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comments35.xml" ContentType="application/vnd.openxmlformats-officedocument.spreadsheetml.comments+xml"/>
  <Override PartName="/xl/comments36.xml" ContentType="application/vnd.openxmlformats-officedocument.spreadsheetml.comments+xml"/>
  <Override PartName="/xl/comments37.xml" ContentType="application/vnd.openxmlformats-officedocument.spreadsheetml.comments+xml"/>
  <Override PartName="/xl/comments38.xml" ContentType="application/vnd.openxmlformats-officedocument.spreadsheetml.comments+xml"/>
  <Override PartName="/xl/comments39.xml" ContentType="application/vnd.openxmlformats-officedocument.spreadsheetml.comments+xml"/>
  <Override PartName="/xl/comments40.xml" ContentType="application/vnd.openxmlformats-officedocument.spreadsheetml.comments+xml"/>
  <Override PartName="/xl/comments41.xml" ContentType="application/vnd.openxmlformats-officedocument.spreadsheetml.comments+xml"/>
  <Override PartName="/xl/comments42.xml" ContentType="application/vnd.openxmlformats-officedocument.spreadsheetml.comments+xml"/>
  <Override PartName="/xl/comments43.xml" ContentType="application/vnd.openxmlformats-officedocument.spreadsheetml.comments+xml"/>
  <Override PartName="/xl/comments44.xml" ContentType="application/vnd.openxmlformats-officedocument.spreadsheetml.comments+xml"/>
  <Override PartName="/xl/comments45.xml" ContentType="application/vnd.openxmlformats-officedocument.spreadsheetml.comments+xml"/>
  <Override PartName="/xl/comments46.xml" ContentType="application/vnd.openxmlformats-officedocument.spreadsheetml.comments+xml"/>
  <Override PartName="/xl/comments47.xml" ContentType="application/vnd.openxmlformats-officedocument.spreadsheetml.comments+xml"/>
  <Override PartName="/xl/comments48.xml" ContentType="application/vnd.openxmlformats-officedocument.spreadsheetml.comments+xml"/>
  <Override PartName="/xl/comments49.xml" ContentType="application/vnd.openxmlformats-officedocument.spreadsheetml.comments+xml"/>
  <Override PartName="/xl/comments50.xml" ContentType="application/vnd.openxmlformats-officedocument.spreadsheetml.comments+xml"/>
  <Override PartName="/xl/comments51.xml" ContentType="application/vnd.openxmlformats-officedocument.spreadsheetml.comments+xml"/>
  <Override PartName="/xl/comments52.xml" ContentType="application/vnd.openxmlformats-officedocument.spreadsheetml.comments+xml"/>
  <Override PartName="/xl/comments53.xml" ContentType="application/vnd.openxmlformats-officedocument.spreadsheetml.comments+xml"/>
  <Override PartName="/xl/comments54.xml" ContentType="application/vnd.openxmlformats-officedocument.spreadsheetml.comments+xml"/>
  <Override PartName="/xl/comments55.xml" ContentType="application/vnd.openxmlformats-officedocument.spreadsheetml.comments+xml"/>
  <Override PartName="/xl/comments56.xml" ContentType="application/vnd.openxmlformats-officedocument.spreadsheetml.comments+xml"/>
  <Override PartName="/xl/comments57.xml" ContentType="application/vnd.openxmlformats-officedocument.spreadsheetml.comments+xml"/>
  <Override PartName="/xl/comments58.xml" ContentType="application/vnd.openxmlformats-officedocument.spreadsheetml.comments+xml"/>
  <Override PartName="/xl/comments59.xml" ContentType="application/vnd.openxmlformats-officedocument.spreadsheetml.comments+xml"/>
  <Override PartName="/xl/comments60.xml" ContentType="application/vnd.openxmlformats-officedocument.spreadsheetml.comments+xml"/>
  <Override PartName="/xl/comments6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81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Gabriel/Desktop/Notes Projects/Old Projects/Dawgma/0. Scouting/2017 - Steamworks/Data/"/>
    </mc:Choice>
  </mc:AlternateContent>
  <bookViews>
    <workbookView xWindow="0" yWindow="460" windowWidth="25600" windowHeight="15460" firstSheet="19" activeTab="33"/>
  </bookViews>
  <sheets>
    <sheet name="Match Planning" sheetId="3" r:id="rId1"/>
    <sheet name="Summary Statistics" sheetId="2" r:id="rId2"/>
    <sheet name="Picklisting" sheetId="7" r:id="rId3"/>
    <sheet name="11" sheetId="1" r:id="rId4"/>
    <sheet name="25" sheetId="9" r:id="rId5"/>
    <sheet name="56" sheetId="8" r:id="rId6"/>
    <sheet name="75" sheetId="10" r:id="rId7"/>
    <sheet name="102" sheetId="11" r:id="rId8"/>
    <sheet name="103" sheetId="12" r:id="rId9"/>
    <sheet name="193" sheetId="13" r:id="rId10"/>
    <sheet name="203" sheetId="14" r:id="rId11"/>
    <sheet name="219" sheetId="15" r:id="rId12"/>
    <sheet name="222" sheetId="16" r:id="rId13"/>
    <sheet name="223" sheetId="17" r:id="rId14"/>
    <sheet name="225" sheetId="18" r:id="rId15"/>
    <sheet name="272" sheetId="19" r:id="rId16"/>
    <sheet name="293" sheetId="20" r:id="rId17"/>
    <sheet name="303" sheetId="21" r:id="rId18"/>
    <sheet name="316" sheetId="22" r:id="rId19"/>
    <sheet name="341" sheetId="23" r:id="rId20"/>
    <sheet name="365" sheetId="24" r:id="rId21"/>
    <sheet name="433" sheetId="25" r:id="rId22"/>
    <sheet name="486" sheetId="26" r:id="rId23"/>
    <sheet name="555" sheetId="27" r:id="rId24"/>
    <sheet name="708" sheetId="28" r:id="rId25"/>
    <sheet name="747" sheetId="29" r:id="rId26"/>
    <sheet name="816" sheetId="30" r:id="rId27"/>
    <sheet name="834" sheetId="31" r:id="rId28"/>
    <sheet name="1218" sheetId="32" r:id="rId29"/>
    <sheet name="1257" sheetId="33" r:id="rId30"/>
    <sheet name="1279" sheetId="34" r:id="rId31"/>
    <sheet name="1370" sheetId="35" r:id="rId32"/>
    <sheet name="1391" sheetId="36" r:id="rId33"/>
    <sheet name="1403" sheetId="37" r:id="rId34"/>
    <sheet name="1495" sheetId="38" r:id="rId35"/>
    <sheet name="1640" sheetId="39" r:id="rId36"/>
    <sheet name="1676" sheetId="40" r:id="rId37"/>
    <sheet name="1712" sheetId="41" r:id="rId38"/>
    <sheet name="1807" sheetId="42" r:id="rId39"/>
    <sheet name="5404" sheetId="43" r:id="rId40"/>
    <sheet name="1923" sheetId="45" r:id="rId41"/>
    <sheet name="2458" sheetId="46" r:id="rId42"/>
    <sheet name="2539" sheetId="47" r:id="rId43"/>
    <sheet name="2590" sheetId="48" r:id="rId44"/>
    <sheet name="2600" sheetId="49" r:id="rId45"/>
    <sheet name="2607" sheetId="50" r:id="rId46"/>
    <sheet name="2729" sheetId="51" r:id="rId47"/>
    <sheet name="3142" sheetId="52" r:id="rId48"/>
    <sheet name="3314" sheetId="53" r:id="rId49"/>
    <sheet name="3637" sheetId="54" r:id="rId50"/>
    <sheet name="3929" sheetId="55" r:id="rId51"/>
    <sheet name="3974" sheetId="56" r:id="rId52"/>
    <sheet name="4285" sheetId="57" r:id="rId53"/>
    <sheet name="4342" sheetId="58" r:id="rId54"/>
    <sheet name="4575" sheetId="59" r:id="rId55"/>
    <sheet name="4637" sheetId="60" r:id="rId56"/>
    <sheet name="4750" sheetId="61" r:id="rId57"/>
    <sheet name="5181" sheetId="62" r:id="rId58"/>
    <sheet name="5401" sheetId="63" r:id="rId59"/>
    <sheet name="5407" sheetId="64" r:id="rId60"/>
    <sheet name="5420" sheetId="65" r:id="rId61"/>
    <sheet name="5895" sheetId="66" r:id="rId62"/>
    <sheet name="6226" sheetId="67" r:id="rId63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7" i="2" l="1"/>
  <c r="B56" i="2"/>
  <c r="E7" i="3"/>
  <c r="H7" i="3"/>
  <c r="K7" i="3"/>
  <c r="E3" i="3"/>
  <c r="H3" i="3"/>
  <c r="K3" i="3"/>
  <c r="W27" i="3"/>
  <c r="E8" i="3"/>
  <c r="E24" i="3"/>
  <c r="H8" i="3"/>
  <c r="H24" i="3"/>
  <c r="K8" i="3"/>
  <c r="K24" i="3"/>
  <c r="W30" i="3"/>
  <c r="T27" i="3"/>
  <c r="N7" i="3"/>
  <c r="Q7" i="3"/>
  <c r="T7" i="3"/>
  <c r="N3" i="3"/>
  <c r="Q3" i="3"/>
  <c r="T3" i="3"/>
  <c r="W28" i="3"/>
  <c r="N8" i="3"/>
  <c r="N24" i="3"/>
  <c r="Q8" i="3"/>
  <c r="Q24" i="3"/>
  <c r="T8" i="3"/>
  <c r="T24" i="3"/>
  <c r="W31" i="3"/>
  <c r="T28" i="3"/>
  <c r="K28" i="3"/>
  <c r="B21" i="7"/>
  <c r="F21" i="7"/>
  <c r="B2" i="7"/>
  <c r="B3" i="7"/>
  <c r="B6" i="7"/>
  <c r="B5" i="7"/>
  <c r="B8" i="7"/>
  <c r="B7" i="7"/>
  <c r="B4" i="7"/>
  <c r="B11" i="7"/>
  <c r="B10" i="7"/>
  <c r="B9" i="7"/>
  <c r="B13" i="7"/>
  <c r="B16" i="7"/>
  <c r="B24" i="7"/>
  <c r="B19" i="7"/>
  <c r="B20" i="7"/>
  <c r="B14" i="7"/>
  <c r="B17" i="7"/>
  <c r="B18" i="7"/>
  <c r="B12" i="7"/>
  <c r="B22" i="7"/>
  <c r="B15" i="7"/>
  <c r="B23" i="7"/>
  <c r="B25" i="7"/>
  <c r="B27" i="7"/>
  <c r="B26" i="7"/>
  <c r="B28" i="7"/>
  <c r="B30" i="7"/>
  <c r="B29" i="7"/>
  <c r="B31" i="7"/>
  <c r="B32" i="7"/>
  <c r="B35" i="7"/>
  <c r="B33" i="7"/>
  <c r="B34" i="7"/>
  <c r="B42" i="7"/>
  <c r="B36" i="7"/>
  <c r="B40" i="7"/>
  <c r="B39" i="7"/>
  <c r="B38" i="7"/>
  <c r="B37" i="7"/>
  <c r="B41" i="7"/>
  <c r="B43" i="7"/>
  <c r="B47" i="7"/>
  <c r="B45" i="7"/>
  <c r="B44" i="7"/>
  <c r="B49" i="7"/>
  <c r="B52" i="7"/>
  <c r="B48" i="7"/>
  <c r="B46" i="7"/>
  <c r="B53" i="7"/>
  <c r="B51" i="7"/>
  <c r="B50" i="7"/>
  <c r="B57" i="7"/>
  <c r="B54" i="7"/>
  <c r="B56" i="7"/>
  <c r="B55" i="7"/>
  <c r="B59" i="7"/>
  <c r="B60" i="7"/>
  <c r="B58" i="7"/>
  <c r="B61" i="7"/>
  <c r="B62" i="7"/>
  <c r="F2" i="7"/>
  <c r="F3" i="7"/>
  <c r="F6" i="7"/>
  <c r="F5" i="7"/>
  <c r="F8" i="7"/>
  <c r="F7" i="7"/>
  <c r="F4" i="7"/>
  <c r="F11" i="7"/>
  <c r="F10" i="7"/>
  <c r="F9" i="7"/>
  <c r="F13" i="7"/>
  <c r="F16" i="7"/>
  <c r="F24" i="7"/>
  <c r="F19" i="7"/>
  <c r="F20" i="7"/>
  <c r="F14" i="7"/>
  <c r="F17" i="7"/>
  <c r="F18" i="7"/>
  <c r="F12" i="7"/>
  <c r="F22" i="7"/>
  <c r="F15" i="7"/>
  <c r="F23" i="7"/>
  <c r="F25" i="7"/>
  <c r="F27" i="7"/>
  <c r="F26" i="7"/>
  <c r="F28" i="7"/>
  <c r="F30" i="7"/>
  <c r="F29" i="7"/>
  <c r="F31" i="7"/>
  <c r="F32" i="7"/>
  <c r="F35" i="7"/>
  <c r="F33" i="7"/>
  <c r="F34" i="7"/>
  <c r="F42" i="7"/>
  <c r="F36" i="7"/>
  <c r="F40" i="7"/>
  <c r="F39" i="7"/>
  <c r="F38" i="7"/>
  <c r="F37" i="7"/>
  <c r="F41" i="7"/>
  <c r="F43" i="7"/>
  <c r="F47" i="7"/>
  <c r="F45" i="7"/>
  <c r="F44" i="7"/>
  <c r="F49" i="7"/>
  <c r="F52" i="7"/>
  <c r="F48" i="7"/>
  <c r="F46" i="7"/>
  <c r="F53" i="7"/>
  <c r="F51" i="7"/>
  <c r="F50" i="7"/>
  <c r="F57" i="7"/>
  <c r="F54" i="7"/>
  <c r="F56" i="7"/>
  <c r="F55" i="7"/>
  <c r="F59" i="7"/>
  <c r="F60" i="7"/>
  <c r="F58" i="7"/>
  <c r="F61" i="7"/>
  <c r="F62" i="7"/>
  <c r="I21" i="7"/>
  <c r="V21" i="7"/>
  <c r="I4" i="7"/>
  <c r="V4" i="7"/>
  <c r="I12" i="7"/>
  <c r="V12" i="7"/>
  <c r="I42" i="7"/>
  <c r="V42" i="7"/>
  <c r="I23" i="7"/>
  <c r="V23" i="7"/>
  <c r="I57" i="7"/>
  <c r="V57" i="7"/>
  <c r="I35" i="7"/>
  <c r="V35" i="7"/>
  <c r="I5" i="7"/>
  <c r="V5" i="7"/>
  <c r="I3" i="7"/>
  <c r="V3" i="7"/>
  <c r="I47" i="7"/>
  <c r="V47" i="7"/>
  <c r="I9" i="7"/>
  <c r="V9" i="7"/>
  <c r="I8" i="7"/>
  <c r="V8" i="7"/>
  <c r="I29" i="7"/>
  <c r="V29" i="7"/>
  <c r="I56" i="7"/>
  <c r="V56" i="7"/>
  <c r="I14" i="7"/>
  <c r="V14" i="7"/>
  <c r="I7" i="7"/>
  <c r="V7" i="7"/>
  <c r="I13" i="7"/>
  <c r="V13" i="7"/>
  <c r="I16" i="7"/>
  <c r="V16" i="7"/>
  <c r="I52" i="7"/>
  <c r="V52" i="7"/>
  <c r="I28" i="7"/>
  <c r="V28" i="7"/>
  <c r="I40" i="7"/>
  <c r="V40" i="7"/>
  <c r="I6" i="7"/>
  <c r="V6" i="7"/>
  <c r="I49" i="7"/>
  <c r="V49" i="7"/>
  <c r="I17" i="7"/>
  <c r="V17" i="7"/>
  <c r="I25" i="7"/>
  <c r="V25" i="7"/>
  <c r="I11" i="7"/>
  <c r="V11" i="7"/>
  <c r="I22" i="7"/>
  <c r="V22" i="7"/>
  <c r="I53" i="7"/>
  <c r="V53" i="7"/>
  <c r="I18" i="7"/>
  <c r="V18" i="7"/>
  <c r="I45" i="7"/>
  <c r="V45" i="7"/>
  <c r="I10" i="7"/>
  <c r="V10" i="7"/>
  <c r="I30" i="7"/>
  <c r="V30" i="7"/>
  <c r="I31" i="7"/>
  <c r="V31" i="7"/>
  <c r="I32" i="7"/>
  <c r="V32" i="7"/>
  <c r="I43" i="7"/>
  <c r="V43" i="7"/>
  <c r="I19" i="7"/>
  <c r="V19" i="7"/>
  <c r="I20" i="7"/>
  <c r="V20" i="7"/>
  <c r="I41" i="7"/>
  <c r="V41" i="7"/>
  <c r="I27" i="7"/>
  <c r="V27" i="7"/>
  <c r="I39" i="7"/>
  <c r="V39" i="7"/>
  <c r="I44" i="7"/>
  <c r="V44" i="7"/>
  <c r="I26" i="7"/>
  <c r="V26" i="7"/>
  <c r="I33" i="7"/>
  <c r="V33" i="7"/>
  <c r="I34" i="7"/>
  <c r="V34" i="7"/>
  <c r="I48" i="7"/>
  <c r="V48" i="7"/>
  <c r="I38" i="7"/>
  <c r="V38" i="7"/>
  <c r="I59" i="7"/>
  <c r="V59" i="7"/>
  <c r="I46" i="7"/>
  <c r="V46" i="7"/>
  <c r="I24" i="7"/>
  <c r="V24" i="7"/>
  <c r="I51" i="7"/>
  <c r="V51" i="7"/>
  <c r="I37" i="7"/>
  <c r="V37" i="7"/>
  <c r="I36" i="7"/>
  <c r="V36" i="7"/>
  <c r="I50" i="7"/>
  <c r="V50" i="7"/>
  <c r="I54" i="7"/>
  <c r="V54" i="7"/>
  <c r="I55" i="7"/>
  <c r="V55" i="7"/>
  <c r="I60" i="7"/>
  <c r="V60" i="7"/>
  <c r="I61" i="7"/>
  <c r="V61" i="7"/>
  <c r="I2" i="7"/>
  <c r="V2" i="7"/>
  <c r="I58" i="7"/>
  <c r="V58" i="7"/>
  <c r="I15" i="7"/>
  <c r="V15" i="7"/>
  <c r="C21" i="7"/>
  <c r="D21" i="7"/>
  <c r="U21" i="7"/>
  <c r="C2" i="7"/>
  <c r="D2" i="7"/>
  <c r="U2" i="7"/>
  <c r="C3" i="7"/>
  <c r="D3" i="7"/>
  <c r="U3" i="7"/>
  <c r="C6" i="7"/>
  <c r="D6" i="7"/>
  <c r="U6" i="7"/>
  <c r="C5" i="7"/>
  <c r="D5" i="7"/>
  <c r="U5" i="7"/>
  <c r="C8" i="7"/>
  <c r="D8" i="7"/>
  <c r="U8" i="7"/>
  <c r="C7" i="7"/>
  <c r="D7" i="7"/>
  <c r="U7" i="7"/>
  <c r="C4" i="7"/>
  <c r="D4" i="7"/>
  <c r="U4" i="7"/>
  <c r="C11" i="7"/>
  <c r="D11" i="7"/>
  <c r="U11" i="7"/>
  <c r="C10" i="7"/>
  <c r="D10" i="7"/>
  <c r="U10" i="7"/>
  <c r="C9" i="7"/>
  <c r="D9" i="7"/>
  <c r="U9" i="7"/>
  <c r="C13" i="7"/>
  <c r="D13" i="7"/>
  <c r="U13" i="7"/>
  <c r="C16" i="7"/>
  <c r="U16" i="7"/>
  <c r="C24" i="7"/>
  <c r="D24" i="7"/>
  <c r="U24" i="7"/>
  <c r="C19" i="7"/>
  <c r="D19" i="7"/>
  <c r="U19" i="7"/>
  <c r="C20" i="7"/>
  <c r="D20" i="7"/>
  <c r="U20" i="7"/>
  <c r="C14" i="7"/>
  <c r="D14" i="7"/>
  <c r="U14" i="7"/>
  <c r="C17" i="7"/>
  <c r="D17" i="7"/>
  <c r="U17" i="7"/>
  <c r="C18" i="7"/>
  <c r="D18" i="7"/>
  <c r="U18" i="7"/>
  <c r="C12" i="7"/>
  <c r="D12" i="7"/>
  <c r="U12" i="7"/>
  <c r="C22" i="7"/>
  <c r="D22" i="7"/>
  <c r="U22" i="7"/>
  <c r="C15" i="7"/>
  <c r="D15" i="7"/>
  <c r="U15" i="7"/>
  <c r="C23" i="7"/>
  <c r="U23" i="7"/>
  <c r="C25" i="7"/>
  <c r="D25" i="7"/>
  <c r="U25" i="7"/>
  <c r="C27" i="7"/>
  <c r="D27" i="7"/>
  <c r="U27" i="7"/>
  <c r="C26" i="7"/>
  <c r="D26" i="7"/>
  <c r="U26" i="7"/>
  <c r="C28" i="7"/>
  <c r="D28" i="7"/>
  <c r="U28" i="7"/>
  <c r="C30" i="7"/>
  <c r="D30" i="7"/>
  <c r="U30" i="7"/>
  <c r="C29" i="7"/>
  <c r="D29" i="7"/>
  <c r="U29" i="7"/>
  <c r="C31" i="7"/>
  <c r="D31" i="7"/>
  <c r="U31" i="7"/>
  <c r="C32" i="7"/>
  <c r="D32" i="7"/>
  <c r="U32" i="7"/>
  <c r="C35" i="7"/>
  <c r="D35" i="7"/>
  <c r="U35" i="7"/>
  <c r="C33" i="7"/>
  <c r="D33" i="7"/>
  <c r="U33" i="7"/>
  <c r="C34" i="7"/>
  <c r="D34" i="7"/>
  <c r="U34" i="7"/>
  <c r="C42" i="7"/>
  <c r="D42" i="7"/>
  <c r="U42" i="7"/>
  <c r="C36" i="7"/>
  <c r="D36" i="7"/>
  <c r="U36" i="7"/>
  <c r="C40" i="7"/>
  <c r="D40" i="7"/>
  <c r="U40" i="7"/>
  <c r="C39" i="7"/>
  <c r="D39" i="7"/>
  <c r="U39" i="7"/>
  <c r="C38" i="7"/>
  <c r="D38" i="7"/>
  <c r="U38" i="7"/>
  <c r="C37" i="7"/>
  <c r="D37" i="7"/>
  <c r="U37" i="7"/>
  <c r="C41" i="7"/>
  <c r="D41" i="7"/>
  <c r="U41" i="7"/>
  <c r="C43" i="7"/>
  <c r="D43" i="7"/>
  <c r="U43" i="7"/>
  <c r="C47" i="7"/>
  <c r="U47" i="7"/>
  <c r="C45" i="7"/>
  <c r="U45" i="7"/>
  <c r="C44" i="7"/>
  <c r="D44" i="7"/>
  <c r="U44" i="7"/>
  <c r="C49" i="7"/>
  <c r="D49" i="7"/>
  <c r="U49" i="7"/>
  <c r="C52" i="7"/>
  <c r="D52" i="7"/>
  <c r="U52" i="7"/>
  <c r="C48" i="7"/>
  <c r="D48" i="7"/>
  <c r="U48" i="7"/>
  <c r="C46" i="7"/>
  <c r="D46" i="7"/>
  <c r="U46" i="7"/>
  <c r="C53" i="7"/>
  <c r="D53" i="7"/>
  <c r="U53" i="7"/>
  <c r="C51" i="7"/>
  <c r="D51" i="7"/>
  <c r="U51" i="7"/>
  <c r="C50" i="7"/>
  <c r="D50" i="7"/>
  <c r="U50" i="7"/>
  <c r="C57" i="7"/>
  <c r="U57" i="7"/>
  <c r="C54" i="7"/>
  <c r="U54" i="7"/>
  <c r="C56" i="7"/>
  <c r="U56" i="7"/>
  <c r="C55" i="7"/>
  <c r="U55" i="7"/>
  <c r="C59" i="7"/>
  <c r="D59" i="7"/>
  <c r="U59" i="7"/>
  <c r="C60" i="7"/>
  <c r="D60" i="7"/>
  <c r="U60" i="7"/>
  <c r="C58" i="7"/>
  <c r="D58" i="7"/>
  <c r="U58" i="7"/>
  <c r="C61" i="7"/>
  <c r="U61" i="7"/>
  <c r="U62" i="7"/>
  <c r="W21" i="7"/>
  <c r="W4" i="7"/>
  <c r="W12" i="7"/>
  <c r="W42" i="7"/>
  <c r="W23" i="7"/>
  <c r="W57" i="7"/>
  <c r="W35" i="7"/>
  <c r="W5" i="7"/>
  <c r="W3" i="7"/>
  <c r="W47" i="7"/>
  <c r="W9" i="7"/>
  <c r="W8" i="7"/>
  <c r="W29" i="7"/>
  <c r="W56" i="7"/>
  <c r="W14" i="7"/>
  <c r="W7" i="7"/>
  <c r="W13" i="7"/>
  <c r="W16" i="7"/>
  <c r="W52" i="7"/>
  <c r="W28" i="7"/>
  <c r="W40" i="7"/>
  <c r="W6" i="7"/>
  <c r="W49" i="7"/>
  <c r="W17" i="7"/>
  <c r="W25" i="7"/>
  <c r="W11" i="7"/>
  <c r="W22" i="7"/>
  <c r="W53" i="7"/>
  <c r="W18" i="7"/>
  <c r="W45" i="7"/>
  <c r="W10" i="7"/>
  <c r="W30" i="7"/>
  <c r="W31" i="7"/>
  <c r="W32" i="7"/>
  <c r="W43" i="7"/>
  <c r="W19" i="7"/>
  <c r="W20" i="7"/>
  <c r="W41" i="7"/>
  <c r="W27" i="7"/>
  <c r="W39" i="7"/>
  <c r="W44" i="7"/>
  <c r="W26" i="7"/>
  <c r="W33" i="7"/>
  <c r="W34" i="7"/>
  <c r="W48" i="7"/>
  <c r="W38" i="7"/>
  <c r="W59" i="7"/>
  <c r="W46" i="7"/>
  <c r="W24" i="7"/>
  <c r="W51" i="7"/>
  <c r="W37" i="7"/>
  <c r="W36" i="7"/>
  <c r="W50" i="7"/>
  <c r="W54" i="7"/>
  <c r="W55" i="7"/>
  <c r="W60" i="7"/>
  <c r="W61" i="7"/>
  <c r="W2" i="7"/>
  <c r="W58" i="7"/>
  <c r="W15" i="7"/>
  <c r="D19" i="52"/>
  <c r="E24" i="2"/>
  <c r="B24" i="2"/>
  <c r="E23" i="2"/>
  <c r="B23" i="2"/>
  <c r="E3" i="2"/>
  <c r="B3" i="2"/>
  <c r="H24" i="2"/>
  <c r="Y24" i="2"/>
  <c r="H23" i="2"/>
  <c r="Y23" i="2"/>
  <c r="H3" i="2"/>
  <c r="Y3" i="2"/>
  <c r="K27" i="3"/>
  <c r="O50" i="31"/>
  <c r="F16" i="31"/>
  <c r="D29" i="31"/>
  <c r="Q50" i="31"/>
  <c r="S50" i="31"/>
  <c r="D31" i="31"/>
  <c r="C50" i="31"/>
  <c r="K22" i="31"/>
  <c r="Q50" i="50"/>
  <c r="D31" i="50"/>
  <c r="C50" i="50"/>
  <c r="K22" i="50"/>
  <c r="O50" i="21"/>
  <c r="F16" i="21"/>
  <c r="D29" i="21"/>
  <c r="Q50" i="21"/>
  <c r="S50" i="21"/>
  <c r="D31" i="21"/>
  <c r="C50" i="21"/>
  <c r="K22" i="21"/>
  <c r="C50" i="39"/>
  <c r="K22" i="39"/>
  <c r="O50" i="40"/>
  <c r="F16" i="40"/>
  <c r="D29" i="40"/>
  <c r="Q50" i="40"/>
  <c r="S50" i="40"/>
  <c r="D31" i="40"/>
  <c r="C50" i="40"/>
  <c r="K22" i="40"/>
  <c r="O49" i="33"/>
  <c r="F16" i="33"/>
  <c r="D29" i="33"/>
  <c r="Q49" i="33"/>
  <c r="S49" i="33"/>
  <c r="D31" i="33"/>
  <c r="C49" i="33"/>
  <c r="K22" i="33"/>
  <c r="O50" i="51"/>
  <c r="D29" i="51"/>
  <c r="Q50" i="51"/>
  <c r="S50" i="51"/>
  <c r="D31" i="51"/>
  <c r="C50" i="51"/>
  <c r="K22" i="51"/>
  <c r="C50" i="13"/>
  <c r="K22" i="13"/>
  <c r="C49" i="66"/>
  <c r="K22" i="66"/>
  <c r="C50" i="1"/>
  <c r="K22" i="1"/>
  <c r="Q50" i="60"/>
  <c r="D31" i="60"/>
  <c r="C50" i="60"/>
  <c r="K22" i="60"/>
  <c r="C50" i="49"/>
  <c r="K22" i="49"/>
  <c r="Q50" i="54"/>
  <c r="D31" i="54"/>
  <c r="C50" i="54"/>
  <c r="K22" i="54"/>
  <c r="O50" i="58"/>
  <c r="F16" i="58"/>
  <c r="D29" i="58"/>
  <c r="Q50" i="58"/>
  <c r="S50" i="58"/>
  <c r="D31" i="58"/>
  <c r="C50" i="58"/>
  <c r="K22" i="58"/>
  <c r="C50" i="61"/>
  <c r="K22" i="61"/>
  <c r="O50" i="47"/>
  <c r="F16" i="47"/>
  <c r="D29" i="47"/>
  <c r="C50" i="47"/>
  <c r="K22" i="47"/>
  <c r="S50" i="47"/>
  <c r="Q50" i="47"/>
  <c r="D31" i="47"/>
  <c r="Q50" i="25"/>
  <c r="D31" i="25"/>
  <c r="C50" i="25"/>
  <c r="K22" i="25"/>
  <c r="C50" i="29"/>
  <c r="K22" i="29"/>
  <c r="N22" i="31"/>
  <c r="N22" i="50"/>
  <c r="N22" i="39"/>
  <c r="N22" i="40"/>
  <c r="N22" i="33"/>
  <c r="N22" i="13"/>
  <c r="N22" i="21"/>
  <c r="N22" i="51"/>
  <c r="N22" i="1"/>
  <c r="N22" i="66"/>
  <c r="N22" i="60"/>
  <c r="N22" i="49"/>
  <c r="N22" i="54"/>
  <c r="N22" i="61"/>
  <c r="N22" i="58"/>
  <c r="N22" i="47"/>
  <c r="N22" i="25"/>
  <c r="N22" i="29"/>
  <c r="O50" i="8"/>
  <c r="D29" i="8"/>
  <c r="Q50" i="8"/>
  <c r="S50" i="8"/>
  <c r="D31" i="8"/>
  <c r="C50" i="8"/>
  <c r="K22" i="8"/>
  <c r="C50" i="63"/>
  <c r="K22" i="63"/>
  <c r="O50" i="57"/>
  <c r="F16" i="57"/>
  <c r="D29" i="57"/>
  <c r="Q50" i="57"/>
  <c r="S50" i="57"/>
  <c r="D31" i="57"/>
  <c r="C50" i="57"/>
  <c r="K22" i="57"/>
  <c r="C50" i="35"/>
  <c r="K22" i="35"/>
  <c r="O50" i="23"/>
  <c r="F16" i="23"/>
  <c r="D29" i="23"/>
  <c r="C50" i="23"/>
  <c r="K22" i="23"/>
  <c r="S50" i="23"/>
  <c r="Q50" i="23"/>
  <c r="D31" i="23"/>
  <c r="O50" i="9"/>
  <c r="F16" i="9"/>
  <c r="D29" i="9"/>
  <c r="Q50" i="9"/>
  <c r="S50" i="9"/>
  <c r="D31" i="9"/>
  <c r="C50" i="9"/>
  <c r="K22" i="9"/>
  <c r="O50" i="17"/>
  <c r="F16" i="17"/>
  <c r="D29" i="17"/>
  <c r="Q50" i="17"/>
  <c r="S50" i="17"/>
  <c r="D31" i="17"/>
  <c r="C50" i="17"/>
  <c r="K22" i="17"/>
  <c r="C50" i="18"/>
  <c r="K22" i="18"/>
  <c r="C50" i="67"/>
  <c r="K22" i="67"/>
  <c r="C50" i="48"/>
  <c r="K22" i="48"/>
  <c r="O50" i="38"/>
  <c r="D29" i="38"/>
  <c r="Q50" i="38"/>
  <c r="S50" i="38"/>
  <c r="D31" i="38"/>
  <c r="C50" i="38"/>
  <c r="K22" i="38"/>
  <c r="C50" i="52"/>
  <c r="K22" i="52"/>
  <c r="T16" i="34"/>
  <c r="S16" i="34"/>
  <c r="O16" i="34"/>
  <c r="N16" i="34"/>
  <c r="K16" i="34"/>
  <c r="D16" i="34"/>
  <c r="S48" i="51"/>
  <c r="Q48" i="51"/>
  <c r="O48" i="51"/>
  <c r="N48" i="51"/>
  <c r="M48" i="51"/>
  <c r="K48" i="51"/>
  <c r="G48" i="51"/>
  <c r="E48" i="51"/>
  <c r="C48" i="51"/>
  <c r="A48" i="51"/>
  <c r="AE25" i="51"/>
  <c r="Z25" i="51"/>
  <c r="BH11" i="51"/>
  <c r="BG11" i="51"/>
  <c r="BF11" i="51"/>
  <c r="BE11" i="51"/>
  <c r="BD11" i="51"/>
  <c r="BC11" i="51"/>
  <c r="BB11" i="51"/>
  <c r="BA11" i="51"/>
  <c r="AZ11" i="51"/>
  <c r="AY11" i="51"/>
  <c r="AX11" i="51"/>
  <c r="AW11" i="51"/>
  <c r="AV11" i="51"/>
  <c r="AU11" i="51"/>
  <c r="AT11" i="51"/>
  <c r="AS11" i="51"/>
  <c r="AR11" i="51"/>
  <c r="AQ11" i="51"/>
  <c r="AP11" i="51"/>
  <c r="AO11" i="51"/>
  <c r="AN11" i="51"/>
  <c r="AM11" i="51"/>
  <c r="AL11" i="51"/>
  <c r="AK11" i="51"/>
  <c r="AI11" i="51"/>
  <c r="AH11" i="51"/>
  <c r="AG11" i="51"/>
  <c r="AF11" i="51"/>
  <c r="AE11" i="51"/>
  <c r="AC11" i="51"/>
  <c r="AB11" i="51"/>
  <c r="AA11" i="51"/>
  <c r="Z11" i="51"/>
  <c r="X13" i="51"/>
  <c r="N16" i="53"/>
  <c r="O16" i="53"/>
  <c r="K19" i="53"/>
  <c r="Y32" i="23"/>
  <c r="X4" i="18"/>
  <c r="Q49" i="12"/>
  <c r="S49" i="12"/>
  <c r="Q50" i="12"/>
  <c r="S50" i="12"/>
  <c r="D31" i="12"/>
  <c r="N16" i="57"/>
  <c r="O16" i="57"/>
  <c r="K19" i="57"/>
  <c r="E21" i="7"/>
  <c r="C48" i="56"/>
  <c r="C49" i="56"/>
  <c r="C50" i="56"/>
  <c r="K22" i="56"/>
  <c r="E2" i="2"/>
  <c r="X13" i="57"/>
  <c r="C46" i="40"/>
  <c r="C47" i="40"/>
  <c r="C48" i="40"/>
  <c r="C49" i="40"/>
  <c r="E13" i="2"/>
  <c r="C49" i="41"/>
  <c r="C50" i="41"/>
  <c r="K22" i="41"/>
  <c r="T16" i="37"/>
  <c r="Y35" i="1"/>
  <c r="S43" i="1"/>
  <c r="Q43" i="1"/>
  <c r="O43" i="1"/>
  <c r="N43" i="1"/>
  <c r="M43" i="1"/>
  <c r="K43" i="1"/>
  <c r="G43" i="1"/>
  <c r="E43" i="1"/>
  <c r="C43" i="1"/>
  <c r="A43" i="1"/>
  <c r="AE20" i="1"/>
  <c r="Z20" i="1"/>
  <c r="W35" i="1"/>
  <c r="X8" i="1"/>
  <c r="X9" i="1"/>
  <c r="X10" i="1"/>
  <c r="BH13" i="1"/>
  <c r="BG13" i="1"/>
  <c r="BF13" i="1"/>
  <c r="BE13" i="1"/>
  <c r="BD13" i="1"/>
  <c r="BC13" i="1"/>
  <c r="BB13" i="1"/>
  <c r="BA13" i="1"/>
  <c r="AZ13" i="1"/>
  <c r="AY13" i="1"/>
  <c r="AX13" i="1"/>
  <c r="AW13" i="1"/>
  <c r="AV13" i="1"/>
  <c r="AU13" i="1"/>
  <c r="AT13" i="1"/>
  <c r="AS13" i="1"/>
  <c r="AR13" i="1"/>
  <c r="AQ13" i="1"/>
  <c r="AP13" i="1"/>
  <c r="AO13" i="1"/>
  <c r="AN13" i="1"/>
  <c r="AM13" i="1"/>
  <c r="AL13" i="1"/>
  <c r="AK13" i="1"/>
  <c r="AI13" i="1"/>
  <c r="AH13" i="1"/>
  <c r="AG13" i="1"/>
  <c r="AF13" i="1"/>
  <c r="AE13" i="1"/>
  <c r="AC13" i="1"/>
  <c r="AB13" i="1"/>
  <c r="AA13" i="1"/>
  <c r="Z13" i="1"/>
  <c r="BH12" i="1"/>
  <c r="BG12" i="1"/>
  <c r="BF12" i="1"/>
  <c r="BE12" i="1"/>
  <c r="BD12" i="1"/>
  <c r="BC12" i="1"/>
  <c r="BB12" i="1"/>
  <c r="BA12" i="1"/>
  <c r="AZ12" i="1"/>
  <c r="AY12" i="1"/>
  <c r="AX12" i="1"/>
  <c r="AW12" i="1"/>
  <c r="AV12" i="1"/>
  <c r="AU12" i="1"/>
  <c r="AT12" i="1"/>
  <c r="AS12" i="1"/>
  <c r="AR12" i="1"/>
  <c r="AQ12" i="1"/>
  <c r="AP12" i="1"/>
  <c r="AO12" i="1"/>
  <c r="AN12" i="1"/>
  <c r="AM12" i="1"/>
  <c r="AL12" i="1"/>
  <c r="AK12" i="1"/>
  <c r="AI12" i="1"/>
  <c r="AH12" i="1"/>
  <c r="AG12" i="1"/>
  <c r="AF12" i="1"/>
  <c r="AE12" i="1"/>
  <c r="AC12" i="1"/>
  <c r="AB12" i="1"/>
  <c r="AA12" i="1"/>
  <c r="Z12" i="1"/>
  <c r="BH11" i="1"/>
  <c r="BG11" i="1"/>
  <c r="BF11" i="1"/>
  <c r="BE11" i="1"/>
  <c r="BD11" i="1"/>
  <c r="BC11" i="1"/>
  <c r="BB11" i="1"/>
  <c r="BA11" i="1"/>
  <c r="AZ11" i="1"/>
  <c r="AY11" i="1"/>
  <c r="AX11" i="1"/>
  <c r="AW11" i="1"/>
  <c r="AV11" i="1"/>
  <c r="AU11" i="1"/>
  <c r="AT11" i="1"/>
  <c r="AS11" i="1"/>
  <c r="AR11" i="1"/>
  <c r="AQ11" i="1"/>
  <c r="AP11" i="1"/>
  <c r="AO11" i="1"/>
  <c r="AN11" i="1"/>
  <c r="AM11" i="1"/>
  <c r="AL11" i="1"/>
  <c r="AK11" i="1"/>
  <c r="AI11" i="1"/>
  <c r="AH11" i="1"/>
  <c r="AG11" i="1"/>
  <c r="AF11" i="1"/>
  <c r="AE11" i="1"/>
  <c r="AC11" i="1"/>
  <c r="AB11" i="1"/>
  <c r="AA11" i="1"/>
  <c r="Z11" i="1"/>
  <c r="BH10" i="1"/>
  <c r="BG10" i="1"/>
  <c r="BF10" i="1"/>
  <c r="BE10" i="1"/>
  <c r="BD10" i="1"/>
  <c r="BC10" i="1"/>
  <c r="BB10" i="1"/>
  <c r="BA10" i="1"/>
  <c r="AZ10" i="1"/>
  <c r="AY10" i="1"/>
  <c r="AX10" i="1"/>
  <c r="AW10" i="1"/>
  <c r="AV10" i="1"/>
  <c r="AU10" i="1"/>
  <c r="AT10" i="1"/>
  <c r="AS10" i="1"/>
  <c r="AR10" i="1"/>
  <c r="AQ10" i="1"/>
  <c r="AP10" i="1"/>
  <c r="AO10" i="1"/>
  <c r="AN10" i="1"/>
  <c r="AM10" i="1"/>
  <c r="AL10" i="1"/>
  <c r="AK10" i="1"/>
  <c r="AI10" i="1"/>
  <c r="AH10" i="1"/>
  <c r="AG10" i="1"/>
  <c r="AF10" i="1"/>
  <c r="AE10" i="1"/>
  <c r="AC10" i="1"/>
  <c r="AB10" i="1"/>
  <c r="AA10" i="1"/>
  <c r="Z10" i="1"/>
  <c r="BH9" i="1"/>
  <c r="BG9" i="1"/>
  <c r="BF9" i="1"/>
  <c r="BE9" i="1"/>
  <c r="BD9" i="1"/>
  <c r="BC9" i="1"/>
  <c r="BB9" i="1"/>
  <c r="BA9" i="1"/>
  <c r="AZ9" i="1"/>
  <c r="AY9" i="1"/>
  <c r="AX9" i="1"/>
  <c r="AW9" i="1"/>
  <c r="AV9" i="1"/>
  <c r="AU9" i="1"/>
  <c r="AT9" i="1"/>
  <c r="AS9" i="1"/>
  <c r="AR9" i="1"/>
  <c r="AQ9" i="1"/>
  <c r="AP9" i="1"/>
  <c r="AO9" i="1"/>
  <c r="AN9" i="1"/>
  <c r="AM9" i="1"/>
  <c r="AL9" i="1"/>
  <c r="AK9" i="1"/>
  <c r="AI9" i="1"/>
  <c r="AH9" i="1"/>
  <c r="AG9" i="1"/>
  <c r="AF9" i="1"/>
  <c r="AE9" i="1"/>
  <c r="AC9" i="1"/>
  <c r="AB9" i="1"/>
  <c r="AA9" i="1"/>
  <c r="Z9" i="1"/>
  <c r="BH8" i="1"/>
  <c r="BG8" i="1"/>
  <c r="BF8" i="1"/>
  <c r="BE8" i="1"/>
  <c r="BD8" i="1"/>
  <c r="BC8" i="1"/>
  <c r="BB8" i="1"/>
  <c r="BA8" i="1"/>
  <c r="AZ8" i="1"/>
  <c r="AY8" i="1"/>
  <c r="AX8" i="1"/>
  <c r="AW8" i="1"/>
  <c r="AV8" i="1"/>
  <c r="AU8" i="1"/>
  <c r="AT8" i="1"/>
  <c r="AS8" i="1"/>
  <c r="AR8" i="1"/>
  <c r="AQ8" i="1"/>
  <c r="AP8" i="1"/>
  <c r="AO8" i="1"/>
  <c r="AN8" i="1"/>
  <c r="AM8" i="1"/>
  <c r="AL8" i="1"/>
  <c r="AK8" i="1"/>
  <c r="AI8" i="1"/>
  <c r="AH8" i="1"/>
  <c r="AG8" i="1"/>
  <c r="AF8" i="1"/>
  <c r="AE8" i="1"/>
  <c r="AC8" i="1"/>
  <c r="AB8" i="1"/>
  <c r="AA8" i="1"/>
  <c r="Z8" i="1"/>
  <c r="BH7" i="1"/>
  <c r="BG7" i="1"/>
  <c r="BF7" i="1"/>
  <c r="BE7" i="1"/>
  <c r="BD7" i="1"/>
  <c r="BC7" i="1"/>
  <c r="BB7" i="1"/>
  <c r="BA7" i="1"/>
  <c r="AZ7" i="1"/>
  <c r="AY7" i="1"/>
  <c r="AX7" i="1"/>
  <c r="AW7" i="1"/>
  <c r="AV7" i="1"/>
  <c r="AU7" i="1"/>
  <c r="AT7" i="1"/>
  <c r="AS7" i="1"/>
  <c r="AR7" i="1"/>
  <c r="AQ7" i="1"/>
  <c r="AP7" i="1"/>
  <c r="AO7" i="1"/>
  <c r="AN7" i="1"/>
  <c r="AM7" i="1"/>
  <c r="AL7" i="1"/>
  <c r="AK7" i="1"/>
  <c r="AI7" i="1"/>
  <c r="AH7" i="1"/>
  <c r="AG7" i="1"/>
  <c r="AF7" i="1"/>
  <c r="AE7" i="1"/>
  <c r="AC7" i="1"/>
  <c r="AB7" i="1"/>
  <c r="AA7" i="1"/>
  <c r="Z7" i="1"/>
  <c r="BH6" i="1"/>
  <c r="BG6" i="1"/>
  <c r="BF6" i="1"/>
  <c r="BE6" i="1"/>
  <c r="BD6" i="1"/>
  <c r="BC6" i="1"/>
  <c r="BB6" i="1"/>
  <c r="BA6" i="1"/>
  <c r="AZ6" i="1"/>
  <c r="AY6" i="1"/>
  <c r="AX6" i="1"/>
  <c r="AW6" i="1"/>
  <c r="AV6" i="1"/>
  <c r="AU6" i="1"/>
  <c r="AT6" i="1"/>
  <c r="AS6" i="1"/>
  <c r="AR6" i="1"/>
  <c r="AQ6" i="1"/>
  <c r="AP6" i="1"/>
  <c r="AO6" i="1"/>
  <c r="AN6" i="1"/>
  <c r="AM6" i="1"/>
  <c r="AL6" i="1"/>
  <c r="AK6" i="1"/>
  <c r="AI6" i="1"/>
  <c r="AH6" i="1"/>
  <c r="AG6" i="1"/>
  <c r="AF6" i="1"/>
  <c r="AE6" i="1"/>
  <c r="AC6" i="1"/>
  <c r="AB6" i="1"/>
  <c r="AA6" i="1"/>
  <c r="Z6" i="1"/>
  <c r="BH5" i="1"/>
  <c r="BG5" i="1"/>
  <c r="BF5" i="1"/>
  <c r="BE5" i="1"/>
  <c r="BD5" i="1"/>
  <c r="BC5" i="1"/>
  <c r="BB5" i="1"/>
  <c r="BA5" i="1"/>
  <c r="AZ5" i="1"/>
  <c r="AY5" i="1"/>
  <c r="AX5" i="1"/>
  <c r="AW5" i="1"/>
  <c r="AV5" i="1"/>
  <c r="AU5" i="1"/>
  <c r="AT5" i="1"/>
  <c r="AS5" i="1"/>
  <c r="AR5" i="1"/>
  <c r="AQ5" i="1"/>
  <c r="AP5" i="1"/>
  <c r="AO5" i="1"/>
  <c r="AN5" i="1"/>
  <c r="AM5" i="1"/>
  <c r="AL5" i="1"/>
  <c r="AK5" i="1"/>
  <c r="AI5" i="1"/>
  <c r="AH5" i="1"/>
  <c r="AG5" i="1"/>
  <c r="AF5" i="1"/>
  <c r="AE5" i="1"/>
  <c r="AC5" i="1"/>
  <c r="AB5" i="1"/>
  <c r="AA5" i="1"/>
  <c r="Z5" i="1"/>
  <c r="BH4" i="1"/>
  <c r="BG4" i="1"/>
  <c r="BF4" i="1"/>
  <c r="BE4" i="1"/>
  <c r="BD4" i="1"/>
  <c r="BC4" i="1"/>
  <c r="BB4" i="1"/>
  <c r="BA4" i="1"/>
  <c r="AZ4" i="1"/>
  <c r="AY4" i="1"/>
  <c r="AX4" i="1"/>
  <c r="AW4" i="1"/>
  <c r="AV4" i="1"/>
  <c r="AU4" i="1"/>
  <c r="AT4" i="1"/>
  <c r="AS4" i="1"/>
  <c r="AR4" i="1"/>
  <c r="AQ4" i="1"/>
  <c r="AP4" i="1"/>
  <c r="AO4" i="1"/>
  <c r="AN4" i="1"/>
  <c r="AM4" i="1"/>
  <c r="AL4" i="1"/>
  <c r="AK4" i="1"/>
  <c r="AI4" i="1"/>
  <c r="AH4" i="1"/>
  <c r="AG4" i="1"/>
  <c r="AF4" i="1"/>
  <c r="AE4" i="1"/>
  <c r="AC4" i="1"/>
  <c r="AB4" i="1"/>
  <c r="AA4" i="1"/>
  <c r="Z4" i="1"/>
  <c r="BH3" i="1"/>
  <c r="BG3" i="1"/>
  <c r="BF3" i="1"/>
  <c r="BE3" i="1"/>
  <c r="BD3" i="1"/>
  <c r="BC3" i="1"/>
  <c r="BB3" i="1"/>
  <c r="BA3" i="1"/>
  <c r="AZ3" i="1"/>
  <c r="AY3" i="1"/>
  <c r="AX3" i="1"/>
  <c r="AW3" i="1"/>
  <c r="AV3" i="1"/>
  <c r="AU3" i="1"/>
  <c r="AT3" i="1"/>
  <c r="AS3" i="1"/>
  <c r="AR3" i="1"/>
  <c r="AQ3" i="1"/>
  <c r="AP3" i="1"/>
  <c r="AO3" i="1"/>
  <c r="AN3" i="1"/>
  <c r="AM3" i="1"/>
  <c r="AL3" i="1"/>
  <c r="AK3" i="1"/>
  <c r="AI3" i="1"/>
  <c r="AH3" i="1"/>
  <c r="AG3" i="1"/>
  <c r="AF3" i="1"/>
  <c r="AE3" i="1"/>
  <c r="AC3" i="1"/>
  <c r="AB3" i="1"/>
  <c r="AA3" i="1"/>
  <c r="Z3" i="1"/>
  <c r="BH2" i="1"/>
  <c r="BG2" i="1"/>
  <c r="BF2" i="1"/>
  <c r="BE2" i="1"/>
  <c r="BD2" i="1"/>
  <c r="BC2" i="1"/>
  <c r="BB2" i="1"/>
  <c r="BA2" i="1"/>
  <c r="AZ2" i="1"/>
  <c r="AY2" i="1"/>
  <c r="AX2" i="1"/>
  <c r="AW2" i="1"/>
  <c r="AV2" i="1"/>
  <c r="AU2" i="1"/>
  <c r="AT2" i="1"/>
  <c r="AS2" i="1"/>
  <c r="AR2" i="1"/>
  <c r="AQ2" i="1"/>
  <c r="AP2" i="1"/>
  <c r="AO2" i="1"/>
  <c r="AN2" i="1"/>
  <c r="AM2" i="1"/>
  <c r="AL2" i="1"/>
  <c r="AK2" i="1"/>
  <c r="AI2" i="1"/>
  <c r="AH2" i="1"/>
  <c r="AG2" i="1"/>
  <c r="AF2" i="1"/>
  <c r="AE2" i="1"/>
  <c r="AC2" i="1"/>
  <c r="AB2" i="1"/>
  <c r="AA2" i="1"/>
  <c r="Z2" i="1"/>
  <c r="Z16" i="1"/>
  <c r="Z17" i="1"/>
  <c r="Z18" i="1"/>
  <c r="Z19" i="1"/>
  <c r="Z21" i="1"/>
  <c r="Z22" i="1"/>
  <c r="Z23" i="1"/>
  <c r="Z24" i="1"/>
  <c r="Z25" i="1"/>
  <c r="Z26" i="1"/>
  <c r="Z27" i="1"/>
  <c r="Z28" i="1"/>
  <c r="A31" i="1"/>
  <c r="D25" i="1"/>
  <c r="W31" i="54"/>
  <c r="K16" i="1"/>
  <c r="L16" i="1"/>
  <c r="I11" i="2"/>
  <c r="L16" i="18"/>
  <c r="K16" i="18"/>
  <c r="I30" i="2"/>
  <c r="K16" i="41"/>
  <c r="L16" i="41"/>
  <c r="I24" i="2"/>
  <c r="K16" i="39"/>
  <c r="L16" i="39"/>
  <c r="I25" i="2"/>
  <c r="K16" i="19"/>
  <c r="I9" i="2"/>
  <c r="K16" i="42"/>
  <c r="L16" i="42"/>
  <c r="I5" i="2"/>
  <c r="E9" i="3"/>
  <c r="K16" i="67"/>
  <c r="L16" i="67"/>
  <c r="I61" i="2"/>
  <c r="K16" i="66"/>
  <c r="L16" i="66"/>
  <c r="I44" i="2"/>
  <c r="K16" i="65"/>
  <c r="L16" i="65"/>
  <c r="I31" i="2"/>
  <c r="L16" i="64"/>
  <c r="K16" i="64"/>
  <c r="I48" i="2"/>
  <c r="K16" i="63"/>
  <c r="L16" i="63"/>
  <c r="I43" i="2"/>
  <c r="L16" i="62"/>
  <c r="K16" i="62"/>
  <c r="I45" i="2"/>
  <c r="K16" i="61"/>
  <c r="L16" i="61"/>
  <c r="I36" i="2"/>
  <c r="K16" i="60"/>
  <c r="L16" i="60"/>
  <c r="I40" i="2"/>
  <c r="K16" i="59"/>
  <c r="L16" i="59"/>
  <c r="I55" i="2"/>
  <c r="K16" i="58"/>
  <c r="L16" i="58"/>
  <c r="I47" i="2"/>
  <c r="K16" i="57"/>
  <c r="I26" i="2"/>
  <c r="K16" i="56"/>
  <c r="L16" i="56"/>
  <c r="I2" i="2"/>
  <c r="K16" i="55"/>
  <c r="L16" i="55"/>
  <c r="I19" i="2"/>
  <c r="K16" i="54"/>
  <c r="L16" i="54"/>
  <c r="I49" i="2"/>
  <c r="K16" i="53"/>
  <c r="L16" i="53"/>
  <c r="I22" i="2"/>
  <c r="K16" i="52"/>
  <c r="L16" i="52"/>
  <c r="I56" i="2"/>
  <c r="K16" i="51"/>
  <c r="L16" i="51"/>
  <c r="I8" i="2"/>
  <c r="K16" i="50"/>
  <c r="L16" i="50"/>
  <c r="I10" i="2"/>
  <c r="K16" i="49"/>
  <c r="L16" i="49"/>
  <c r="I33" i="2"/>
  <c r="K16" i="48"/>
  <c r="L16" i="48"/>
  <c r="I3" i="2"/>
  <c r="K16" i="47"/>
  <c r="L16" i="47"/>
  <c r="I46" i="2"/>
  <c r="K16" i="46"/>
  <c r="L16" i="46"/>
  <c r="I58" i="2"/>
  <c r="K16" i="45"/>
  <c r="L16" i="45"/>
  <c r="I27" i="2"/>
  <c r="K16" i="43"/>
  <c r="L16" i="43"/>
  <c r="I50" i="2"/>
  <c r="K16" i="40"/>
  <c r="L16" i="40"/>
  <c r="I13" i="2"/>
  <c r="K16" i="38"/>
  <c r="L16" i="38"/>
  <c r="I51" i="2"/>
  <c r="K16" i="37"/>
  <c r="L16" i="37"/>
  <c r="I52" i="2"/>
  <c r="K16" i="36"/>
  <c r="L16" i="36"/>
  <c r="I35" i="2"/>
  <c r="K16" i="35"/>
  <c r="L16" i="35"/>
  <c r="I59" i="2"/>
  <c r="L16" i="34"/>
  <c r="I39" i="2"/>
  <c r="K16" i="33"/>
  <c r="L16" i="33"/>
  <c r="I15" i="2"/>
  <c r="K16" i="32"/>
  <c r="I60" i="2"/>
  <c r="K16" i="31"/>
  <c r="L16" i="31"/>
  <c r="I7" i="2"/>
  <c r="K16" i="30"/>
  <c r="L16" i="30"/>
  <c r="I29" i="2"/>
  <c r="K16" i="29"/>
  <c r="L16" i="29"/>
  <c r="I57" i="2"/>
  <c r="K16" i="28"/>
  <c r="L16" i="28"/>
  <c r="I20" i="2"/>
  <c r="K16" i="27"/>
  <c r="L16" i="27"/>
  <c r="I41" i="2"/>
  <c r="K16" i="26"/>
  <c r="L16" i="26"/>
  <c r="I38" i="2"/>
  <c r="K16" i="25"/>
  <c r="L16" i="25"/>
  <c r="I53" i="2"/>
  <c r="K16" i="24"/>
  <c r="L16" i="24"/>
  <c r="I18" i="2"/>
  <c r="K16" i="23"/>
  <c r="L16" i="23"/>
  <c r="I34" i="2"/>
  <c r="K16" i="22"/>
  <c r="L16" i="22"/>
  <c r="I54" i="2"/>
  <c r="K16" i="21"/>
  <c r="L16" i="21"/>
  <c r="I23" i="2"/>
  <c r="K16" i="20"/>
  <c r="L16" i="20"/>
  <c r="I21" i="2"/>
  <c r="K16" i="17"/>
  <c r="L16" i="17"/>
  <c r="I37" i="2"/>
  <c r="K16" i="16"/>
  <c r="L16" i="16"/>
  <c r="I12" i="2"/>
  <c r="K16" i="15"/>
  <c r="L16" i="15"/>
  <c r="I28" i="2"/>
  <c r="K16" i="14"/>
  <c r="L16" i="14"/>
  <c r="I14" i="2"/>
  <c r="K16" i="13"/>
  <c r="I4" i="2"/>
  <c r="K16" i="12"/>
  <c r="L16" i="12"/>
  <c r="I17" i="2"/>
  <c r="K16" i="11"/>
  <c r="L16" i="11"/>
  <c r="I42" i="2"/>
  <c r="K16" i="10"/>
  <c r="I6" i="2"/>
  <c r="K16" i="8"/>
  <c r="L16" i="8"/>
  <c r="I32" i="2"/>
  <c r="K16" i="9"/>
  <c r="L16" i="9"/>
  <c r="I16" i="2"/>
  <c r="W42" i="67"/>
  <c r="W41" i="67"/>
  <c r="W40" i="67"/>
  <c r="W39" i="67"/>
  <c r="W38" i="67"/>
  <c r="W37" i="67"/>
  <c r="W36" i="67"/>
  <c r="W35" i="67"/>
  <c r="W34" i="67"/>
  <c r="W33" i="67"/>
  <c r="W32" i="67"/>
  <c r="W31" i="67"/>
  <c r="W42" i="66"/>
  <c r="W41" i="66"/>
  <c r="W40" i="66"/>
  <c r="W39" i="66"/>
  <c r="W38" i="66"/>
  <c r="W37" i="66"/>
  <c r="W36" i="66"/>
  <c r="W35" i="66"/>
  <c r="W34" i="66"/>
  <c r="W33" i="66"/>
  <c r="W32" i="66"/>
  <c r="W31" i="66"/>
  <c r="W42" i="65"/>
  <c r="W41" i="65"/>
  <c r="W40" i="65"/>
  <c r="W39" i="65"/>
  <c r="W38" i="65"/>
  <c r="W37" i="65"/>
  <c r="W36" i="65"/>
  <c r="W35" i="65"/>
  <c r="W34" i="65"/>
  <c r="W33" i="65"/>
  <c r="W32" i="65"/>
  <c r="W31" i="65"/>
  <c r="W42" i="64"/>
  <c r="W41" i="64"/>
  <c r="W40" i="64"/>
  <c r="W39" i="64"/>
  <c r="W38" i="64"/>
  <c r="W37" i="64"/>
  <c r="W36" i="64"/>
  <c r="W35" i="64"/>
  <c r="W34" i="64"/>
  <c r="W33" i="64"/>
  <c r="W32" i="64"/>
  <c r="W31" i="64"/>
  <c r="W42" i="63"/>
  <c r="W41" i="63"/>
  <c r="W40" i="63"/>
  <c r="W39" i="63"/>
  <c r="W38" i="63"/>
  <c r="W37" i="63"/>
  <c r="W36" i="63"/>
  <c r="W35" i="63"/>
  <c r="W34" i="63"/>
  <c r="W33" i="63"/>
  <c r="W32" i="63"/>
  <c r="W31" i="63"/>
  <c r="W42" i="61"/>
  <c r="W41" i="61"/>
  <c r="W40" i="61"/>
  <c r="W39" i="61"/>
  <c r="W38" i="61"/>
  <c r="W37" i="61"/>
  <c r="W36" i="61"/>
  <c r="W35" i="61"/>
  <c r="W34" i="61"/>
  <c r="W33" i="61"/>
  <c r="W32" i="61"/>
  <c r="W31" i="61"/>
  <c r="W42" i="60"/>
  <c r="W41" i="60"/>
  <c r="W40" i="60"/>
  <c r="W39" i="60"/>
  <c r="W38" i="60"/>
  <c r="W37" i="60"/>
  <c r="W36" i="60"/>
  <c r="W35" i="60"/>
  <c r="W34" i="60"/>
  <c r="W33" i="60"/>
  <c r="W32" i="60"/>
  <c r="W31" i="60"/>
  <c r="W42" i="59"/>
  <c r="W41" i="59"/>
  <c r="W40" i="59"/>
  <c r="W39" i="59"/>
  <c r="W38" i="59"/>
  <c r="W37" i="59"/>
  <c r="W36" i="59"/>
  <c r="W35" i="59"/>
  <c r="W34" i="59"/>
  <c r="W33" i="59"/>
  <c r="W32" i="59"/>
  <c r="W31" i="59"/>
  <c r="W42" i="58"/>
  <c r="W41" i="58"/>
  <c r="W40" i="58"/>
  <c r="W39" i="58"/>
  <c r="W38" i="58"/>
  <c r="W37" i="58"/>
  <c r="W36" i="58"/>
  <c r="W35" i="58"/>
  <c r="W34" i="58"/>
  <c r="W33" i="58"/>
  <c r="W32" i="58"/>
  <c r="W31" i="58"/>
  <c r="W42" i="57"/>
  <c r="W41" i="57"/>
  <c r="W40" i="57"/>
  <c r="W39" i="57"/>
  <c r="W38" i="57"/>
  <c r="W37" i="57"/>
  <c r="W36" i="57"/>
  <c r="W35" i="57"/>
  <c r="W34" i="57"/>
  <c r="W33" i="57"/>
  <c r="W32" i="57"/>
  <c r="W31" i="57"/>
  <c r="W42" i="56"/>
  <c r="W41" i="56"/>
  <c r="W40" i="56"/>
  <c r="W39" i="56"/>
  <c r="W38" i="56"/>
  <c r="W37" i="56"/>
  <c r="W36" i="56"/>
  <c r="W35" i="56"/>
  <c r="W34" i="56"/>
  <c r="W33" i="56"/>
  <c r="W32" i="56"/>
  <c r="W31" i="56"/>
  <c r="W42" i="55"/>
  <c r="W41" i="55"/>
  <c r="W40" i="55"/>
  <c r="W39" i="55"/>
  <c r="W38" i="55"/>
  <c r="W37" i="55"/>
  <c r="W36" i="55"/>
  <c r="W35" i="55"/>
  <c r="W34" i="55"/>
  <c r="W33" i="55"/>
  <c r="W32" i="55"/>
  <c r="W31" i="55"/>
  <c r="W42" i="54"/>
  <c r="W41" i="54"/>
  <c r="W40" i="54"/>
  <c r="W39" i="54"/>
  <c r="W38" i="54"/>
  <c r="W37" i="54"/>
  <c r="W36" i="54"/>
  <c r="W35" i="54"/>
  <c r="W34" i="54"/>
  <c r="W33" i="54"/>
  <c r="W32" i="54"/>
  <c r="W42" i="53"/>
  <c r="W41" i="53"/>
  <c r="W40" i="53"/>
  <c r="W39" i="53"/>
  <c r="W38" i="53"/>
  <c r="W37" i="53"/>
  <c r="W36" i="53"/>
  <c r="W35" i="53"/>
  <c r="W34" i="53"/>
  <c r="W33" i="53"/>
  <c r="W32" i="53"/>
  <c r="W31" i="53"/>
  <c r="W42" i="52"/>
  <c r="W41" i="52"/>
  <c r="W40" i="52"/>
  <c r="W39" i="52"/>
  <c r="W38" i="52"/>
  <c r="W37" i="52"/>
  <c r="W36" i="52"/>
  <c r="W35" i="52"/>
  <c r="W34" i="52"/>
  <c r="W33" i="52"/>
  <c r="W32" i="52"/>
  <c r="W31" i="52"/>
  <c r="W42" i="51"/>
  <c r="W41" i="51"/>
  <c r="W40" i="51"/>
  <c r="W39" i="51"/>
  <c r="W38" i="51"/>
  <c r="W37" i="51"/>
  <c r="W36" i="51"/>
  <c r="W35" i="51"/>
  <c r="W34" i="51"/>
  <c r="W33" i="51"/>
  <c r="W32" i="51"/>
  <c r="W31" i="51"/>
  <c r="W42" i="50"/>
  <c r="W41" i="50"/>
  <c r="W40" i="50"/>
  <c r="W39" i="50"/>
  <c r="W38" i="50"/>
  <c r="W37" i="50"/>
  <c r="W36" i="50"/>
  <c r="W35" i="50"/>
  <c r="W34" i="50"/>
  <c r="W33" i="50"/>
  <c r="W32" i="50"/>
  <c r="W31" i="50"/>
  <c r="W42" i="49"/>
  <c r="W41" i="49"/>
  <c r="W40" i="49"/>
  <c r="W39" i="49"/>
  <c r="W38" i="49"/>
  <c r="W37" i="49"/>
  <c r="W36" i="49"/>
  <c r="W35" i="49"/>
  <c r="W34" i="49"/>
  <c r="W33" i="49"/>
  <c r="W32" i="49"/>
  <c r="W31" i="49"/>
  <c r="W42" i="48"/>
  <c r="W41" i="48"/>
  <c r="W40" i="48"/>
  <c r="W39" i="48"/>
  <c r="W38" i="48"/>
  <c r="W37" i="48"/>
  <c r="W36" i="48"/>
  <c r="W35" i="48"/>
  <c r="W34" i="48"/>
  <c r="W33" i="48"/>
  <c r="W32" i="48"/>
  <c r="W31" i="48"/>
  <c r="W42" i="47"/>
  <c r="W41" i="47"/>
  <c r="W40" i="47"/>
  <c r="W39" i="47"/>
  <c r="W38" i="47"/>
  <c r="W37" i="47"/>
  <c r="W36" i="47"/>
  <c r="W35" i="47"/>
  <c r="W34" i="47"/>
  <c r="W33" i="47"/>
  <c r="W32" i="47"/>
  <c r="W31" i="47"/>
  <c r="W42" i="46"/>
  <c r="W41" i="46"/>
  <c r="W40" i="46"/>
  <c r="W39" i="46"/>
  <c r="W38" i="46"/>
  <c r="W37" i="46"/>
  <c r="W36" i="46"/>
  <c r="W35" i="46"/>
  <c r="W34" i="46"/>
  <c r="W33" i="46"/>
  <c r="W32" i="46"/>
  <c r="W31" i="46"/>
  <c r="W42" i="45"/>
  <c r="W41" i="45"/>
  <c r="W40" i="45"/>
  <c r="W39" i="45"/>
  <c r="W38" i="45"/>
  <c r="W37" i="45"/>
  <c r="W36" i="45"/>
  <c r="W35" i="45"/>
  <c r="W34" i="45"/>
  <c r="W33" i="45"/>
  <c r="W32" i="45"/>
  <c r="W31" i="45"/>
  <c r="W42" i="43"/>
  <c r="W41" i="43"/>
  <c r="W40" i="43"/>
  <c r="W39" i="43"/>
  <c r="W38" i="43"/>
  <c r="W37" i="43"/>
  <c r="W36" i="43"/>
  <c r="W35" i="43"/>
  <c r="W34" i="43"/>
  <c r="W33" i="43"/>
  <c r="W32" i="43"/>
  <c r="W31" i="43"/>
  <c r="W42" i="42"/>
  <c r="W41" i="42"/>
  <c r="W40" i="42"/>
  <c r="W39" i="42"/>
  <c r="W38" i="42"/>
  <c r="W37" i="42"/>
  <c r="W36" i="42"/>
  <c r="W35" i="42"/>
  <c r="W34" i="42"/>
  <c r="W33" i="42"/>
  <c r="W32" i="42"/>
  <c r="W31" i="42"/>
  <c r="W42" i="41"/>
  <c r="W41" i="41"/>
  <c r="W40" i="41"/>
  <c r="W39" i="41"/>
  <c r="W38" i="41"/>
  <c r="W37" i="41"/>
  <c r="W36" i="41"/>
  <c r="W35" i="41"/>
  <c r="W34" i="41"/>
  <c r="W33" i="41"/>
  <c r="W32" i="41"/>
  <c r="W31" i="41"/>
  <c r="W42" i="40"/>
  <c r="W41" i="40"/>
  <c r="W40" i="40"/>
  <c r="W39" i="40"/>
  <c r="W38" i="40"/>
  <c r="W37" i="40"/>
  <c r="W36" i="40"/>
  <c r="W35" i="40"/>
  <c r="W34" i="40"/>
  <c r="W33" i="40"/>
  <c r="W32" i="40"/>
  <c r="W31" i="40"/>
  <c r="W42" i="39"/>
  <c r="W41" i="39"/>
  <c r="W40" i="39"/>
  <c r="W39" i="39"/>
  <c r="W38" i="39"/>
  <c r="W37" i="39"/>
  <c r="W36" i="39"/>
  <c r="W35" i="39"/>
  <c r="W34" i="39"/>
  <c r="W33" i="39"/>
  <c r="W32" i="39"/>
  <c r="W31" i="39"/>
  <c r="W42" i="38"/>
  <c r="W41" i="38"/>
  <c r="W40" i="38"/>
  <c r="W39" i="38"/>
  <c r="W38" i="38"/>
  <c r="W37" i="38"/>
  <c r="W36" i="38"/>
  <c r="W35" i="38"/>
  <c r="W34" i="38"/>
  <c r="W33" i="38"/>
  <c r="W32" i="38"/>
  <c r="W31" i="38"/>
  <c r="W42" i="37"/>
  <c r="W41" i="37"/>
  <c r="W40" i="37"/>
  <c r="W39" i="37"/>
  <c r="W38" i="37"/>
  <c r="W37" i="37"/>
  <c r="W36" i="37"/>
  <c r="W35" i="37"/>
  <c r="W34" i="37"/>
  <c r="W33" i="37"/>
  <c r="W32" i="37"/>
  <c r="W31" i="37"/>
  <c r="W42" i="36"/>
  <c r="W41" i="36"/>
  <c r="W40" i="36"/>
  <c r="W39" i="36"/>
  <c r="W38" i="36"/>
  <c r="W37" i="36"/>
  <c r="W36" i="36"/>
  <c r="W35" i="36"/>
  <c r="W34" i="36"/>
  <c r="W33" i="36"/>
  <c r="W32" i="36"/>
  <c r="W31" i="36"/>
  <c r="W42" i="35"/>
  <c r="W41" i="35"/>
  <c r="W40" i="35"/>
  <c r="W39" i="35"/>
  <c r="W38" i="35"/>
  <c r="W37" i="35"/>
  <c r="W36" i="35"/>
  <c r="W35" i="35"/>
  <c r="W34" i="35"/>
  <c r="W33" i="35"/>
  <c r="W32" i="35"/>
  <c r="W31" i="35"/>
  <c r="W42" i="34"/>
  <c r="W41" i="34"/>
  <c r="W40" i="34"/>
  <c r="W39" i="34"/>
  <c r="W38" i="34"/>
  <c r="W37" i="34"/>
  <c r="W36" i="34"/>
  <c r="W35" i="34"/>
  <c r="W34" i="34"/>
  <c r="W33" i="34"/>
  <c r="W32" i="34"/>
  <c r="W31" i="34"/>
  <c r="W42" i="33"/>
  <c r="W41" i="33"/>
  <c r="W40" i="33"/>
  <c r="W39" i="33"/>
  <c r="W38" i="33"/>
  <c r="W37" i="33"/>
  <c r="W36" i="33"/>
  <c r="W35" i="33"/>
  <c r="W34" i="33"/>
  <c r="W33" i="33"/>
  <c r="W32" i="33"/>
  <c r="W31" i="33"/>
  <c r="W42" i="32"/>
  <c r="W41" i="32"/>
  <c r="W40" i="32"/>
  <c r="W39" i="32"/>
  <c r="W38" i="32"/>
  <c r="W37" i="32"/>
  <c r="W36" i="32"/>
  <c r="W35" i="32"/>
  <c r="W34" i="32"/>
  <c r="W33" i="32"/>
  <c r="W32" i="32"/>
  <c r="W31" i="32"/>
  <c r="W42" i="31"/>
  <c r="W41" i="31"/>
  <c r="W40" i="31"/>
  <c r="W39" i="31"/>
  <c r="W38" i="31"/>
  <c r="W37" i="31"/>
  <c r="W36" i="31"/>
  <c r="W35" i="31"/>
  <c r="W34" i="31"/>
  <c r="W33" i="31"/>
  <c r="W32" i="31"/>
  <c r="W31" i="31"/>
  <c r="W42" i="30"/>
  <c r="W41" i="30"/>
  <c r="W40" i="30"/>
  <c r="W39" i="30"/>
  <c r="W38" i="30"/>
  <c r="W37" i="30"/>
  <c r="W36" i="30"/>
  <c r="W35" i="30"/>
  <c r="W34" i="30"/>
  <c r="W33" i="30"/>
  <c r="W32" i="30"/>
  <c r="W31" i="30"/>
  <c r="W42" i="29"/>
  <c r="W41" i="29"/>
  <c r="W40" i="29"/>
  <c r="W39" i="29"/>
  <c r="W38" i="29"/>
  <c r="W37" i="29"/>
  <c r="W36" i="29"/>
  <c r="W35" i="29"/>
  <c r="W34" i="29"/>
  <c r="W33" i="29"/>
  <c r="W32" i="29"/>
  <c r="W31" i="29"/>
  <c r="W42" i="28"/>
  <c r="W41" i="28"/>
  <c r="W40" i="28"/>
  <c r="W39" i="28"/>
  <c r="W38" i="28"/>
  <c r="W37" i="28"/>
  <c r="W36" i="28"/>
  <c r="W35" i="28"/>
  <c r="W34" i="28"/>
  <c r="W33" i="28"/>
  <c r="W32" i="28"/>
  <c r="W31" i="28"/>
  <c r="W42" i="27"/>
  <c r="W41" i="27"/>
  <c r="W40" i="27"/>
  <c r="W39" i="27"/>
  <c r="W38" i="27"/>
  <c r="W37" i="27"/>
  <c r="W36" i="27"/>
  <c r="W35" i="27"/>
  <c r="W34" i="27"/>
  <c r="W33" i="27"/>
  <c r="W32" i="27"/>
  <c r="W31" i="27"/>
  <c r="W42" i="26"/>
  <c r="W41" i="26"/>
  <c r="W40" i="26"/>
  <c r="W39" i="26"/>
  <c r="W38" i="26"/>
  <c r="W37" i="26"/>
  <c r="W36" i="26"/>
  <c r="W35" i="26"/>
  <c r="W34" i="26"/>
  <c r="W33" i="26"/>
  <c r="W32" i="26"/>
  <c r="W31" i="26"/>
  <c r="W42" i="25"/>
  <c r="W41" i="25"/>
  <c r="W40" i="25"/>
  <c r="W39" i="25"/>
  <c r="W38" i="25"/>
  <c r="W37" i="25"/>
  <c r="W36" i="25"/>
  <c r="W35" i="25"/>
  <c r="W34" i="25"/>
  <c r="W33" i="25"/>
  <c r="W32" i="25"/>
  <c r="W31" i="25"/>
  <c r="W42" i="24"/>
  <c r="W41" i="24"/>
  <c r="W40" i="24"/>
  <c r="W39" i="24"/>
  <c r="W38" i="24"/>
  <c r="W37" i="24"/>
  <c r="W36" i="24"/>
  <c r="W35" i="24"/>
  <c r="W34" i="24"/>
  <c r="W33" i="24"/>
  <c r="W32" i="24"/>
  <c r="W31" i="24"/>
  <c r="W42" i="23"/>
  <c r="W41" i="23"/>
  <c r="W40" i="23"/>
  <c r="W39" i="23"/>
  <c r="W38" i="23"/>
  <c r="W37" i="23"/>
  <c r="W36" i="23"/>
  <c r="W35" i="23"/>
  <c r="W34" i="23"/>
  <c r="W33" i="23"/>
  <c r="W32" i="23"/>
  <c r="W31" i="23"/>
  <c r="W42" i="22"/>
  <c r="W41" i="22"/>
  <c r="W40" i="22"/>
  <c r="W39" i="22"/>
  <c r="W38" i="22"/>
  <c r="W37" i="22"/>
  <c r="W36" i="22"/>
  <c r="W35" i="22"/>
  <c r="W34" i="22"/>
  <c r="W33" i="22"/>
  <c r="W32" i="22"/>
  <c r="W31" i="22"/>
  <c r="W42" i="21"/>
  <c r="W41" i="21"/>
  <c r="W40" i="21"/>
  <c r="W39" i="21"/>
  <c r="W38" i="21"/>
  <c r="W37" i="21"/>
  <c r="W36" i="21"/>
  <c r="W35" i="21"/>
  <c r="W34" i="21"/>
  <c r="W33" i="21"/>
  <c r="W32" i="21"/>
  <c r="W31" i="21"/>
  <c r="W42" i="20"/>
  <c r="W41" i="20"/>
  <c r="W40" i="20"/>
  <c r="W39" i="20"/>
  <c r="W38" i="20"/>
  <c r="W37" i="20"/>
  <c r="W36" i="20"/>
  <c r="W35" i="20"/>
  <c r="W34" i="20"/>
  <c r="W33" i="20"/>
  <c r="W32" i="20"/>
  <c r="W31" i="20"/>
  <c r="W42" i="19"/>
  <c r="W41" i="19"/>
  <c r="W40" i="19"/>
  <c r="W39" i="19"/>
  <c r="W38" i="19"/>
  <c r="W37" i="19"/>
  <c r="W36" i="19"/>
  <c r="W35" i="19"/>
  <c r="W34" i="19"/>
  <c r="W33" i="19"/>
  <c r="W32" i="19"/>
  <c r="W31" i="19"/>
  <c r="W42" i="18"/>
  <c r="W41" i="18"/>
  <c r="W40" i="18"/>
  <c r="W39" i="18"/>
  <c r="W38" i="18"/>
  <c r="W37" i="18"/>
  <c r="W36" i="18"/>
  <c r="W35" i="18"/>
  <c r="W34" i="18"/>
  <c r="W33" i="18"/>
  <c r="W32" i="18"/>
  <c r="W31" i="18"/>
  <c r="W42" i="17"/>
  <c r="W41" i="17"/>
  <c r="W40" i="17"/>
  <c r="W39" i="17"/>
  <c r="W38" i="17"/>
  <c r="W37" i="17"/>
  <c r="W36" i="17"/>
  <c r="W35" i="17"/>
  <c r="W34" i="17"/>
  <c r="W33" i="17"/>
  <c r="W32" i="17"/>
  <c r="W31" i="17"/>
  <c r="W42" i="16"/>
  <c r="W41" i="16"/>
  <c r="W40" i="16"/>
  <c r="W39" i="16"/>
  <c r="W38" i="16"/>
  <c r="W37" i="16"/>
  <c r="W36" i="16"/>
  <c r="W35" i="16"/>
  <c r="W34" i="16"/>
  <c r="W33" i="16"/>
  <c r="W32" i="16"/>
  <c r="W31" i="16"/>
  <c r="W42" i="15"/>
  <c r="W41" i="15"/>
  <c r="W40" i="15"/>
  <c r="W39" i="15"/>
  <c r="W38" i="15"/>
  <c r="W37" i="15"/>
  <c r="W36" i="15"/>
  <c r="W35" i="15"/>
  <c r="W34" i="15"/>
  <c r="W33" i="15"/>
  <c r="W32" i="15"/>
  <c r="W31" i="15"/>
  <c r="W42" i="14"/>
  <c r="W41" i="14"/>
  <c r="W40" i="14"/>
  <c r="W39" i="14"/>
  <c r="W38" i="14"/>
  <c r="W37" i="14"/>
  <c r="W36" i="14"/>
  <c r="W35" i="14"/>
  <c r="W34" i="14"/>
  <c r="W33" i="14"/>
  <c r="W32" i="14"/>
  <c r="W31" i="14"/>
  <c r="W42" i="13"/>
  <c r="W41" i="13"/>
  <c r="W40" i="13"/>
  <c r="W39" i="13"/>
  <c r="W38" i="13"/>
  <c r="W37" i="13"/>
  <c r="W36" i="13"/>
  <c r="W35" i="13"/>
  <c r="W34" i="13"/>
  <c r="W33" i="13"/>
  <c r="W32" i="13"/>
  <c r="W31" i="13"/>
  <c r="W42" i="12"/>
  <c r="W41" i="12"/>
  <c r="W40" i="12"/>
  <c r="W39" i="12"/>
  <c r="W38" i="12"/>
  <c r="W37" i="12"/>
  <c r="W36" i="12"/>
  <c r="W35" i="12"/>
  <c r="W34" i="12"/>
  <c r="W33" i="12"/>
  <c r="W32" i="12"/>
  <c r="W31" i="12"/>
  <c r="W42" i="11"/>
  <c r="W41" i="11"/>
  <c r="W40" i="11"/>
  <c r="W39" i="11"/>
  <c r="W38" i="11"/>
  <c r="W37" i="11"/>
  <c r="W36" i="11"/>
  <c r="W35" i="11"/>
  <c r="W34" i="11"/>
  <c r="W33" i="11"/>
  <c r="W32" i="11"/>
  <c r="W31" i="11"/>
  <c r="W42" i="10"/>
  <c r="W41" i="10"/>
  <c r="W40" i="10"/>
  <c r="W39" i="10"/>
  <c r="W38" i="10"/>
  <c r="W37" i="10"/>
  <c r="W36" i="10"/>
  <c r="W35" i="10"/>
  <c r="W34" i="10"/>
  <c r="W33" i="10"/>
  <c r="W32" i="10"/>
  <c r="W31" i="10"/>
  <c r="W42" i="8"/>
  <c r="W41" i="8"/>
  <c r="W40" i="8"/>
  <c r="W39" i="8"/>
  <c r="W38" i="8"/>
  <c r="W37" i="8"/>
  <c r="W36" i="8"/>
  <c r="W35" i="8"/>
  <c r="W34" i="8"/>
  <c r="W33" i="8"/>
  <c r="W32" i="8"/>
  <c r="W31" i="8"/>
  <c r="W42" i="9"/>
  <c r="W41" i="9"/>
  <c r="W40" i="9"/>
  <c r="W39" i="9"/>
  <c r="W38" i="9"/>
  <c r="W37" i="9"/>
  <c r="W36" i="9"/>
  <c r="W35" i="9"/>
  <c r="W34" i="9"/>
  <c r="W33" i="9"/>
  <c r="W32" i="9"/>
  <c r="W31" i="9"/>
  <c r="W42" i="1"/>
  <c r="W41" i="1"/>
  <c r="W40" i="1"/>
  <c r="W39" i="1"/>
  <c r="W38" i="1"/>
  <c r="W37" i="1"/>
  <c r="W36" i="1"/>
  <c r="W34" i="1"/>
  <c r="W33" i="1"/>
  <c r="W32" i="1"/>
  <c r="W31" i="1"/>
  <c r="W31" i="62"/>
  <c r="W32" i="62"/>
  <c r="W33" i="62"/>
  <c r="W35" i="62"/>
  <c r="W36" i="62"/>
  <c r="W37" i="62"/>
  <c r="W38" i="62"/>
  <c r="W39" i="62"/>
  <c r="W40" i="62"/>
  <c r="W41" i="62"/>
  <c r="W42" i="62"/>
  <c r="W34" i="62"/>
  <c r="C43" i="18"/>
  <c r="C44" i="18"/>
  <c r="C45" i="18"/>
  <c r="C46" i="18"/>
  <c r="C47" i="18"/>
  <c r="C48" i="18"/>
  <c r="C49" i="18"/>
  <c r="L22" i="18"/>
  <c r="F30" i="2"/>
  <c r="C45" i="41"/>
  <c r="C46" i="41"/>
  <c r="C47" i="41"/>
  <c r="C48" i="41"/>
  <c r="L22" i="41"/>
  <c r="F24" i="2"/>
  <c r="C44" i="39"/>
  <c r="C45" i="39"/>
  <c r="C46" i="39"/>
  <c r="C47" i="39"/>
  <c r="C48" i="39"/>
  <c r="C49" i="39"/>
  <c r="L22" i="39"/>
  <c r="F25" i="2"/>
  <c r="C45" i="19"/>
  <c r="C46" i="19"/>
  <c r="C47" i="19"/>
  <c r="C48" i="19"/>
  <c r="C49" i="19"/>
  <c r="C50" i="19"/>
  <c r="L22" i="19"/>
  <c r="F9" i="2"/>
  <c r="C47" i="42"/>
  <c r="C48" i="42"/>
  <c r="C49" i="42"/>
  <c r="L22" i="42"/>
  <c r="F5" i="2"/>
  <c r="E6" i="3"/>
  <c r="C43" i="41"/>
  <c r="C44" i="41"/>
  <c r="C45" i="26"/>
  <c r="C46" i="26"/>
  <c r="C47" i="26"/>
  <c r="C48" i="26"/>
  <c r="C49" i="26"/>
  <c r="C50" i="26"/>
  <c r="L22" i="26"/>
  <c r="F38" i="2"/>
  <c r="C46" i="13"/>
  <c r="C47" i="13"/>
  <c r="C48" i="13"/>
  <c r="C49" i="13"/>
  <c r="L22" i="13"/>
  <c r="F4" i="2"/>
  <c r="C49" i="30"/>
  <c r="C50" i="30"/>
  <c r="L22" i="30"/>
  <c r="F29" i="2"/>
  <c r="F23" i="2"/>
  <c r="H6" i="3"/>
  <c r="C42" i="17"/>
  <c r="C43" i="17"/>
  <c r="C44" i="17"/>
  <c r="C45" i="17"/>
  <c r="C46" i="17"/>
  <c r="C47" i="17"/>
  <c r="C48" i="17"/>
  <c r="C49" i="17"/>
  <c r="L22" i="17"/>
  <c r="F37" i="2"/>
  <c r="C43" i="57"/>
  <c r="C44" i="57"/>
  <c r="C45" i="57"/>
  <c r="C46" i="57"/>
  <c r="C47" i="57"/>
  <c r="C48" i="57"/>
  <c r="C49" i="57"/>
  <c r="L22" i="57"/>
  <c r="F26" i="2"/>
  <c r="C45" i="15"/>
  <c r="C46" i="15"/>
  <c r="C47" i="15"/>
  <c r="C48" i="15"/>
  <c r="C49" i="15"/>
  <c r="C50" i="15"/>
  <c r="L22" i="15"/>
  <c r="F28" i="2"/>
  <c r="L22" i="40"/>
  <c r="F13" i="2"/>
  <c r="F3" i="2"/>
  <c r="K6" i="3"/>
  <c r="E27" i="3"/>
  <c r="D16" i="41"/>
  <c r="E16" i="41"/>
  <c r="D19" i="41"/>
  <c r="D16" i="19"/>
  <c r="E16" i="19"/>
  <c r="D19" i="19"/>
  <c r="B9" i="2"/>
  <c r="D16" i="42"/>
  <c r="E16" i="42"/>
  <c r="D19" i="42"/>
  <c r="B5" i="2"/>
  <c r="D16" i="39"/>
  <c r="D19" i="39"/>
  <c r="B25" i="2"/>
  <c r="D16" i="26"/>
  <c r="E16" i="26"/>
  <c r="D19" i="26"/>
  <c r="B38" i="2"/>
  <c r="D16" i="13"/>
  <c r="E16" i="13"/>
  <c r="D19" i="13"/>
  <c r="B4" i="2"/>
  <c r="D16" i="30"/>
  <c r="E16" i="30"/>
  <c r="D19" i="30"/>
  <c r="B29" i="2"/>
  <c r="E16" i="17"/>
  <c r="D16" i="17"/>
  <c r="D19" i="17"/>
  <c r="B37" i="2"/>
  <c r="D16" i="57"/>
  <c r="E16" i="57"/>
  <c r="D19" i="57"/>
  <c r="B26" i="2"/>
  <c r="D16" i="15"/>
  <c r="E16" i="15"/>
  <c r="D19" i="15"/>
  <c r="B28" i="2"/>
  <c r="D16" i="40"/>
  <c r="E16" i="40"/>
  <c r="D19" i="40"/>
  <c r="B13" i="2"/>
  <c r="E29" i="3"/>
  <c r="E30" i="3"/>
  <c r="C43" i="23"/>
  <c r="C44" i="23"/>
  <c r="C45" i="23"/>
  <c r="C46" i="23"/>
  <c r="C47" i="23"/>
  <c r="C48" i="23"/>
  <c r="C49" i="23"/>
  <c r="E34" i="2"/>
  <c r="C42" i="12"/>
  <c r="C43" i="12"/>
  <c r="C44" i="12"/>
  <c r="C45" i="12"/>
  <c r="C46" i="12"/>
  <c r="C47" i="12"/>
  <c r="C48" i="12"/>
  <c r="C49" i="12"/>
  <c r="C50" i="12"/>
  <c r="K22" i="12"/>
  <c r="E17" i="2"/>
  <c r="C43" i="59"/>
  <c r="C44" i="59"/>
  <c r="C45" i="59"/>
  <c r="C46" i="59"/>
  <c r="C47" i="59"/>
  <c r="C48" i="59"/>
  <c r="C49" i="59"/>
  <c r="C50" i="59"/>
  <c r="K22" i="59"/>
  <c r="E55" i="2"/>
  <c r="C45" i="48"/>
  <c r="C46" i="48"/>
  <c r="C47" i="48"/>
  <c r="C48" i="48"/>
  <c r="C49" i="48"/>
  <c r="C45" i="49"/>
  <c r="C46" i="49"/>
  <c r="C47" i="49"/>
  <c r="C48" i="49"/>
  <c r="C49" i="49"/>
  <c r="E33" i="2"/>
  <c r="C45" i="65"/>
  <c r="C46" i="65"/>
  <c r="C47" i="65"/>
  <c r="C48" i="65"/>
  <c r="C49" i="65"/>
  <c r="K22" i="65"/>
  <c r="E31" i="2"/>
  <c r="K22" i="19"/>
  <c r="E9" i="2"/>
  <c r="E36" i="2"/>
  <c r="C43" i="33"/>
  <c r="C44" i="33"/>
  <c r="C45" i="33"/>
  <c r="C46" i="33"/>
  <c r="C47" i="33"/>
  <c r="C48" i="33"/>
  <c r="E15" i="2"/>
  <c r="C43" i="27"/>
  <c r="C44" i="27"/>
  <c r="C45" i="27"/>
  <c r="C46" i="27"/>
  <c r="C47" i="27"/>
  <c r="C48" i="27"/>
  <c r="C49" i="27"/>
  <c r="C50" i="27"/>
  <c r="K22" i="27"/>
  <c r="E41" i="2"/>
  <c r="C45" i="64"/>
  <c r="C46" i="64"/>
  <c r="C47" i="64"/>
  <c r="C48" i="64"/>
  <c r="C49" i="64"/>
  <c r="C50" i="64"/>
  <c r="K22" i="64"/>
  <c r="E48" i="2"/>
  <c r="C45" i="62"/>
  <c r="C46" i="62"/>
  <c r="C47" i="62"/>
  <c r="C48" i="62"/>
  <c r="C49" i="62"/>
  <c r="C50" i="62"/>
  <c r="K22" i="62"/>
  <c r="E45" i="2"/>
  <c r="C46" i="46"/>
  <c r="C47" i="46"/>
  <c r="C48" i="46"/>
  <c r="C49" i="46"/>
  <c r="C50" i="46"/>
  <c r="K22" i="46"/>
  <c r="E58" i="2"/>
  <c r="C48" i="45"/>
  <c r="C49" i="45"/>
  <c r="C50" i="45"/>
  <c r="K22" i="45"/>
  <c r="E27" i="2"/>
  <c r="E18" i="2"/>
  <c r="C43" i="47"/>
  <c r="C44" i="47"/>
  <c r="C45" i="47"/>
  <c r="C46" i="47"/>
  <c r="C47" i="47"/>
  <c r="C48" i="47"/>
  <c r="C49" i="47"/>
  <c r="E46" i="2"/>
  <c r="C43" i="36"/>
  <c r="C44" i="36"/>
  <c r="C45" i="36"/>
  <c r="C46" i="36"/>
  <c r="C47" i="36"/>
  <c r="C48" i="36"/>
  <c r="C49" i="36"/>
  <c r="C50" i="36"/>
  <c r="K22" i="36"/>
  <c r="E35" i="2"/>
  <c r="C45" i="55"/>
  <c r="C46" i="55"/>
  <c r="C47" i="55"/>
  <c r="C48" i="55"/>
  <c r="C49" i="55"/>
  <c r="C50" i="55"/>
  <c r="K22" i="55"/>
  <c r="E19" i="2"/>
  <c r="E25" i="2"/>
  <c r="C46" i="66"/>
  <c r="C47" i="66"/>
  <c r="C48" i="66"/>
  <c r="E44" i="2"/>
  <c r="C49" i="11"/>
  <c r="C50" i="11"/>
  <c r="K22" i="11"/>
  <c r="E42" i="2"/>
  <c r="D16" i="23"/>
  <c r="E16" i="23"/>
  <c r="D19" i="23"/>
  <c r="B34" i="2"/>
  <c r="E16" i="12"/>
  <c r="D16" i="12"/>
  <c r="D19" i="12"/>
  <c r="B17" i="2"/>
  <c r="D16" i="59"/>
  <c r="E16" i="59"/>
  <c r="D19" i="59"/>
  <c r="B55" i="2"/>
  <c r="D16" i="48"/>
  <c r="E16" i="48"/>
  <c r="D19" i="48"/>
  <c r="D16" i="49"/>
  <c r="D19" i="49"/>
  <c r="B33" i="2"/>
  <c r="D16" i="65"/>
  <c r="E16" i="65"/>
  <c r="D19" i="65"/>
  <c r="B31" i="2"/>
  <c r="B36" i="2"/>
  <c r="D16" i="33"/>
  <c r="E16" i="33"/>
  <c r="D19" i="33"/>
  <c r="B15" i="2"/>
  <c r="D16" i="27"/>
  <c r="E16" i="27"/>
  <c r="D19" i="27"/>
  <c r="B41" i="2"/>
  <c r="D16" i="64"/>
  <c r="E16" i="64"/>
  <c r="D19" i="64"/>
  <c r="B48" i="2"/>
  <c r="D16" i="62"/>
  <c r="E16" i="62"/>
  <c r="D19" i="62"/>
  <c r="B45" i="2"/>
  <c r="D16" i="46"/>
  <c r="E16" i="46"/>
  <c r="D19" i="46"/>
  <c r="B58" i="2"/>
  <c r="D16" i="45"/>
  <c r="E16" i="45"/>
  <c r="D19" i="45"/>
  <c r="B27" i="2"/>
  <c r="B18" i="2"/>
  <c r="D16" i="47"/>
  <c r="D19" i="47"/>
  <c r="B46" i="2"/>
  <c r="D16" i="36"/>
  <c r="E16" i="36"/>
  <c r="D19" i="36"/>
  <c r="B35" i="2"/>
  <c r="E16" i="55"/>
  <c r="D16" i="55"/>
  <c r="D19" i="55"/>
  <c r="B19" i="2"/>
  <c r="D16" i="66"/>
  <c r="D19" i="66"/>
  <c r="B44" i="2"/>
  <c r="D16" i="11"/>
  <c r="D19" i="11"/>
  <c r="B42" i="2"/>
  <c r="N22" i="23"/>
  <c r="H34" i="2"/>
  <c r="N22" i="12"/>
  <c r="H17" i="2"/>
  <c r="N22" i="59"/>
  <c r="H55" i="2"/>
  <c r="N22" i="48"/>
  <c r="H33" i="2"/>
  <c r="N22" i="65"/>
  <c r="H31" i="2"/>
  <c r="N22" i="19"/>
  <c r="H9" i="2"/>
  <c r="H36" i="2"/>
  <c r="A31" i="23"/>
  <c r="Y34" i="2"/>
  <c r="A31" i="12"/>
  <c r="Y17" i="2"/>
  <c r="A31" i="59"/>
  <c r="Y55" i="2"/>
  <c r="A31" i="48"/>
  <c r="A31" i="49"/>
  <c r="Y33" i="2"/>
  <c r="A31" i="65"/>
  <c r="Y31" i="2"/>
  <c r="A31" i="19"/>
  <c r="Y9" i="2"/>
  <c r="Y36" i="2"/>
  <c r="H15" i="2"/>
  <c r="N22" i="27"/>
  <c r="H41" i="2"/>
  <c r="N22" i="64"/>
  <c r="H48" i="2"/>
  <c r="N22" i="62"/>
  <c r="H45" i="2"/>
  <c r="N22" i="46"/>
  <c r="H58" i="2"/>
  <c r="N22" i="45"/>
  <c r="H27" i="2"/>
  <c r="H18" i="2"/>
  <c r="A31" i="33"/>
  <c r="Y15" i="2"/>
  <c r="A31" i="27"/>
  <c r="Y41" i="2"/>
  <c r="A31" i="64"/>
  <c r="Y48" i="2"/>
  <c r="A31" i="62"/>
  <c r="Y45" i="2"/>
  <c r="A31" i="46"/>
  <c r="Y58" i="2"/>
  <c r="A31" i="45"/>
  <c r="Y27" i="2"/>
  <c r="Y18" i="2"/>
  <c r="H46" i="2"/>
  <c r="N22" i="36"/>
  <c r="H35" i="2"/>
  <c r="N22" i="55"/>
  <c r="H19" i="2"/>
  <c r="H25" i="2"/>
  <c r="H44" i="2"/>
  <c r="N22" i="11"/>
  <c r="H42" i="2"/>
  <c r="A31" i="47"/>
  <c r="Y46" i="2"/>
  <c r="A31" i="36"/>
  <c r="Y35" i="2"/>
  <c r="A31" i="55"/>
  <c r="Y19" i="2"/>
  <c r="A31" i="39"/>
  <c r="Y25" i="2"/>
  <c r="A31" i="66"/>
  <c r="Y44" i="2"/>
  <c r="A31" i="11"/>
  <c r="Y42" i="2"/>
  <c r="T31" i="3"/>
  <c r="C42" i="13"/>
  <c r="C43" i="13"/>
  <c r="C44" i="13"/>
  <c r="C45" i="13"/>
  <c r="E4" i="2"/>
  <c r="E30" i="2"/>
  <c r="K22" i="42"/>
  <c r="E5" i="2"/>
  <c r="C42" i="14"/>
  <c r="C43" i="14"/>
  <c r="C44" i="14"/>
  <c r="C45" i="14"/>
  <c r="C46" i="14"/>
  <c r="C47" i="14"/>
  <c r="C48" i="14"/>
  <c r="C49" i="14"/>
  <c r="C50" i="14"/>
  <c r="K22" i="14"/>
  <c r="E14" i="2"/>
  <c r="K22" i="26"/>
  <c r="E38" i="2"/>
  <c r="K22" i="30"/>
  <c r="E29" i="2"/>
  <c r="D16" i="14"/>
  <c r="E16" i="14"/>
  <c r="D19" i="14"/>
  <c r="B14" i="2"/>
  <c r="C42" i="20"/>
  <c r="C43" i="20"/>
  <c r="C44" i="20"/>
  <c r="C45" i="20"/>
  <c r="C46" i="20"/>
  <c r="C47" i="20"/>
  <c r="C48" i="20"/>
  <c r="C49" i="20"/>
  <c r="C50" i="20"/>
  <c r="K22" i="20"/>
  <c r="E21" i="2"/>
  <c r="E37" i="2"/>
  <c r="E26" i="2"/>
  <c r="K22" i="15"/>
  <c r="E28" i="2"/>
  <c r="E16" i="20"/>
  <c r="D16" i="20"/>
  <c r="D19" i="20"/>
  <c r="B21" i="2"/>
  <c r="H4" i="2"/>
  <c r="N22" i="18"/>
  <c r="H30" i="2"/>
  <c r="N22" i="41"/>
  <c r="N22" i="42"/>
  <c r="H5" i="2"/>
  <c r="A31" i="13"/>
  <c r="Y4" i="2"/>
  <c r="A31" i="18"/>
  <c r="Y30" i="2"/>
  <c r="A31" i="41"/>
  <c r="A31" i="42"/>
  <c r="Y5" i="2"/>
  <c r="N22" i="14"/>
  <c r="H14" i="2"/>
  <c r="N22" i="26"/>
  <c r="H38" i="2"/>
  <c r="N22" i="30"/>
  <c r="H29" i="2"/>
  <c r="A31" i="14"/>
  <c r="Y14" i="2"/>
  <c r="A31" i="26"/>
  <c r="Y38" i="2"/>
  <c r="A31" i="30"/>
  <c r="Y29" i="2"/>
  <c r="N22" i="20"/>
  <c r="H21" i="2"/>
  <c r="N22" i="17"/>
  <c r="H37" i="2"/>
  <c r="N22" i="57"/>
  <c r="H26" i="2"/>
  <c r="N22" i="15"/>
  <c r="H28" i="2"/>
  <c r="H13" i="2"/>
  <c r="A31" i="20"/>
  <c r="Y21" i="2"/>
  <c r="A31" i="17"/>
  <c r="Y37" i="2"/>
  <c r="A31" i="57"/>
  <c r="Y26" i="2"/>
  <c r="A31" i="15"/>
  <c r="Y28" i="2"/>
  <c r="A31" i="40"/>
  <c r="Y13" i="2"/>
  <c r="T30" i="3"/>
  <c r="K31" i="3"/>
  <c r="D16" i="9"/>
  <c r="E16" i="9"/>
  <c r="D19" i="9"/>
  <c r="B16" i="2"/>
  <c r="C43" i="9"/>
  <c r="C44" i="9"/>
  <c r="C45" i="9"/>
  <c r="C46" i="9"/>
  <c r="C47" i="9"/>
  <c r="C48" i="9"/>
  <c r="C49" i="9"/>
  <c r="E16" i="2"/>
  <c r="AC16" i="2"/>
  <c r="D16" i="8"/>
  <c r="E16" i="8"/>
  <c r="D19" i="8"/>
  <c r="B32" i="2"/>
  <c r="C42" i="8"/>
  <c r="C43" i="8"/>
  <c r="C44" i="8"/>
  <c r="C45" i="8"/>
  <c r="C46" i="8"/>
  <c r="C47" i="8"/>
  <c r="C48" i="8"/>
  <c r="C49" i="8"/>
  <c r="E32" i="2"/>
  <c r="AC32" i="2"/>
  <c r="D16" i="10"/>
  <c r="E16" i="10"/>
  <c r="D19" i="10"/>
  <c r="B6" i="2"/>
  <c r="C43" i="10"/>
  <c r="C44" i="10"/>
  <c r="C45" i="10"/>
  <c r="C46" i="10"/>
  <c r="C47" i="10"/>
  <c r="C48" i="10"/>
  <c r="C49" i="10"/>
  <c r="C50" i="10"/>
  <c r="K22" i="10"/>
  <c r="E6" i="2"/>
  <c r="AC6" i="2"/>
  <c r="E16" i="11"/>
  <c r="C42" i="11"/>
  <c r="C43" i="11"/>
  <c r="C44" i="11"/>
  <c r="C45" i="11"/>
  <c r="C46" i="11"/>
  <c r="C47" i="11"/>
  <c r="C48" i="11"/>
  <c r="AC42" i="2"/>
  <c r="AC17" i="2"/>
  <c r="AC4" i="2"/>
  <c r="AC14" i="2"/>
  <c r="C42" i="15"/>
  <c r="C43" i="15"/>
  <c r="C44" i="15"/>
  <c r="AC28" i="2"/>
  <c r="E16" i="16"/>
  <c r="D16" i="16"/>
  <c r="D19" i="16"/>
  <c r="B12" i="2"/>
  <c r="C41" i="16"/>
  <c r="C42" i="16"/>
  <c r="C43" i="16"/>
  <c r="C44" i="16"/>
  <c r="C45" i="16"/>
  <c r="C46" i="16"/>
  <c r="C47" i="16"/>
  <c r="C48" i="16"/>
  <c r="C49" i="16"/>
  <c r="C50" i="16"/>
  <c r="K22" i="16"/>
  <c r="E12" i="2"/>
  <c r="AC12" i="2"/>
  <c r="AC37" i="2"/>
  <c r="B30" i="2"/>
  <c r="AC30" i="2"/>
  <c r="C42" i="19"/>
  <c r="C43" i="19"/>
  <c r="C44" i="19"/>
  <c r="AC9" i="2"/>
  <c r="AC21" i="2"/>
  <c r="D16" i="21"/>
  <c r="E16" i="21"/>
  <c r="D19" i="21"/>
  <c r="C43" i="21"/>
  <c r="C44" i="21"/>
  <c r="C45" i="21"/>
  <c r="C46" i="21"/>
  <c r="C47" i="21"/>
  <c r="C48" i="21"/>
  <c r="C49" i="21"/>
  <c r="AC23" i="2"/>
  <c r="E16" i="22"/>
  <c r="D16" i="22"/>
  <c r="D19" i="22"/>
  <c r="B54" i="2"/>
  <c r="C42" i="22"/>
  <c r="C43" i="22"/>
  <c r="C44" i="22"/>
  <c r="C45" i="22"/>
  <c r="C46" i="22"/>
  <c r="C47" i="22"/>
  <c r="C48" i="22"/>
  <c r="C49" i="22"/>
  <c r="C50" i="22"/>
  <c r="K22" i="22"/>
  <c r="E54" i="2"/>
  <c r="AC54" i="2"/>
  <c r="AC34" i="2"/>
  <c r="D16" i="24"/>
  <c r="E16" i="24"/>
  <c r="D19" i="24"/>
  <c r="C43" i="24"/>
  <c r="C44" i="24"/>
  <c r="C45" i="24"/>
  <c r="C46" i="24"/>
  <c r="C47" i="24"/>
  <c r="C48" i="24"/>
  <c r="C49" i="24"/>
  <c r="C50" i="24"/>
  <c r="K22" i="24"/>
  <c r="AC18" i="2"/>
  <c r="D16" i="25"/>
  <c r="E16" i="25"/>
  <c r="D19" i="25"/>
  <c r="B53" i="2"/>
  <c r="C43" i="25"/>
  <c r="C44" i="25"/>
  <c r="C45" i="25"/>
  <c r="C46" i="25"/>
  <c r="C47" i="25"/>
  <c r="C48" i="25"/>
  <c r="C49" i="25"/>
  <c r="E53" i="2"/>
  <c r="AC53" i="2"/>
  <c r="C42" i="26"/>
  <c r="C43" i="26"/>
  <c r="C44" i="26"/>
  <c r="AC38" i="2"/>
  <c r="C42" i="27"/>
  <c r="AC41" i="2"/>
  <c r="E16" i="28"/>
  <c r="D16" i="28"/>
  <c r="D19" i="28"/>
  <c r="B20" i="2"/>
  <c r="C42" i="28"/>
  <c r="C43" i="28"/>
  <c r="C44" i="28"/>
  <c r="C45" i="28"/>
  <c r="C46" i="28"/>
  <c r="C47" i="28"/>
  <c r="C48" i="28"/>
  <c r="C49" i="28"/>
  <c r="C50" i="28"/>
  <c r="K22" i="28"/>
  <c r="E20" i="2"/>
  <c r="AC20" i="2"/>
  <c r="E16" i="29"/>
  <c r="D16" i="29"/>
  <c r="D19" i="29"/>
  <c r="C42" i="29"/>
  <c r="C43" i="29"/>
  <c r="C44" i="29"/>
  <c r="C45" i="29"/>
  <c r="C46" i="29"/>
  <c r="C47" i="29"/>
  <c r="C48" i="29"/>
  <c r="C49" i="29"/>
  <c r="E57" i="2"/>
  <c r="AC57" i="2"/>
  <c r="C42" i="30"/>
  <c r="C43" i="30"/>
  <c r="C44" i="30"/>
  <c r="C45" i="30"/>
  <c r="C46" i="30"/>
  <c r="C47" i="30"/>
  <c r="C48" i="30"/>
  <c r="AC29" i="2"/>
  <c r="D16" i="31"/>
  <c r="E16" i="31"/>
  <c r="D19" i="31"/>
  <c r="B7" i="2"/>
  <c r="C42" i="31"/>
  <c r="C43" i="31"/>
  <c r="C44" i="31"/>
  <c r="C45" i="31"/>
  <c r="C46" i="31"/>
  <c r="C47" i="31"/>
  <c r="C48" i="31"/>
  <c r="C49" i="31"/>
  <c r="E7" i="2"/>
  <c r="AC7" i="2"/>
  <c r="D16" i="32"/>
  <c r="D19" i="32"/>
  <c r="B60" i="2"/>
  <c r="C43" i="32"/>
  <c r="C44" i="32"/>
  <c r="C45" i="32"/>
  <c r="C46" i="32"/>
  <c r="C47" i="32"/>
  <c r="C48" i="32"/>
  <c r="C49" i="32"/>
  <c r="C50" i="32"/>
  <c r="K22" i="32"/>
  <c r="E60" i="2"/>
  <c r="AC60" i="2"/>
  <c r="AC15" i="2"/>
  <c r="E16" i="34"/>
  <c r="D19" i="34"/>
  <c r="B39" i="2"/>
  <c r="C43" i="34"/>
  <c r="C44" i="34"/>
  <c r="C45" i="34"/>
  <c r="C46" i="34"/>
  <c r="C47" i="34"/>
  <c r="C48" i="34"/>
  <c r="C49" i="34"/>
  <c r="C50" i="34"/>
  <c r="C39" i="34"/>
  <c r="C40" i="34"/>
  <c r="C41" i="34"/>
  <c r="C42" i="34"/>
  <c r="K22" i="34"/>
  <c r="E39" i="2"/>
  <c r="AC39" i="2"/>
  <c r="E16" i="35"/>
  <c r="D16" i="35"/>
  <c r="D19" i="35"/>
  <c r="B59" i="2"/>
  <c r="C42" i="35"/>
  <c r="C43" i="35"/>
  <c r="C44" i="35"/>
  <c r="C45" i="35"/>
  <c r="C46" i="35"/>
  <c r="C47" i="35"/>
  <c r="C48" i="35"/>
  <c r="C49" i="35"/>
  <c r="E59" i="2"/>
  <c r="AC59" i="2"/>
  <c r="C42" i="36"/>
  <c r="AC35" i="2"/>
  <c r="E16" i="37"/>
  <c r="D16" i="37"/>
  <c r="D19" i="37"/>
  <c r="B52" i="2"/>
  <c r="C42" i="37"/>
  <c r="C43" i="37"/>
  <c r="C44" i="37"/>
  <c r="C45" i="37"/>
  <c r="C46" i="37"/>
  <c r="C47" i="37"/>
  <c r="C48" i="37"/>
  <c r="C49" i="37"/>
  <c r="C50" i="37"/>
  <c r="K22" i="37"/>
  <c r="E52" i="2"/>
  <c r="AC52" i="2"/>
  <c r="D16" i="38"/>
  <c r="E16" i="38"/>
  <c r="D19" i="38"/>
  <c r="B51" i="2"/>
  <c r="C42" i="38"/>
  <c r="C43" i="38"/>
  <c r="C44" i="38"/>
  <c r="C45" i="38"/>
  <c r="C46" i="38"/>
  <c r="C47" i="38"/>
  <c r="C48" i="38"/>
  <c r="C49" i="38"/>
  <c r="E51" i="2"/>
  <c r="AC51" i="2"/>
  <c r="C43" i="39"/>
  <c r="AC25" i="2"/>
  <c r="C42" i="40"/>
  <c r="C43" i="40"/>
  <c r="C44" i="40"/>
  <c r="C45" i="40"/>
  <c r="AC13" i="2"/>
  <c r="AC24" i="2"/>
  <c r="C42" i="42"/>
  <c r="C43" i="42"/>
  <c r="C44" i="42"/>
  <c r="C45" i="42"/>
  <c r="C46" i="42"/>
  <c r="AC5" i="2"/>
  <c r="D16" i="43"/>
  <c r="E16" i="43"/>
  <c r="D19" i="43"/>
  <c r="B50" i="2"/>
  <c r="C43" i="43"/>
  <c r="C44" i="43"/>
  <c r="C45" i="43"/>
  <c r="C46" i="43"/>
  <c r="C47" i="43"/>
  <c r="C48" i="43"/>
  <c r="C49" i="43"/>
  <c r="C50" i="43"/>
  <c r="K22" i="43"/>
  <c r="E50" i="2"/>
  <c r="AC50" i="2"/>
  <c r="C43" i="45"/>
  <c r="C44" i="45"/>
  <c r="C45" i="45"/>
  <c r="C46" i="45"/>
  <c r="C47" i="45"/>
  <c r="AC27" i="2"/>
  <c r="C43" i="46"/>
  <c r="C44" i="46"/>
  <c r="C45" i="46"/>
  <c r="AC58" i="2"/>
  <c r="AC46" i="2"/>
  <c r="C42" i="48"/>
  <c r="C43" i="48"/>
  <c r="C44" i="48"/>
  <c r="AC3" i="2"/>
  <c r="C43" i="49"/>
  <c r="C44" i="49"/>
  <c r="AC33" i="2"/>
  <c r="D16" i="50"/>
  <c r="E16" i="50"/>
  <c r="D19" i="50"/>
  <c r="B10" i="2"/>
  <c r="C43" i="50"/>
  <c r="C44" i="50"/>
  <c r="C45" i="50"/>
  <c r="C46" i="50"/>
  <c r="C47" i="50"/>
  <c r="C48" i="50"/>
  <c r="C49" i="50"/>
  <c r="E10" i="2"/>
  <c r="AC10" i="2"/>
  <c r="D16" i="51"/>
  <c r="E16" i="51"/>
  <c r="D19" i="51"/>
  <c r="B8" i="2"/>
  <c r="C42" i="51"/>
  <c r="C43" i="51"/>
  <c r="C44" i="51"/>
  <c r="C45" i="51"/>
  <c r="C46" i="51"/>
  <c r="C47" i="51"/>
  <c r="C39" i="51"/>
  <c r="C40" i="51"/>
  <c r="C41" i="51"/>
  <c r="E8" i="2"/>
  <c r="AC8" i="2"/>
  <c r="D16" i="52"/>
  <c r="C42" i="52"/>
  <c r="C43" i="52"/>
  <c r="C44" i="52"/>
  <c r="C45" i="52"/>
  <c r="C46" i="52"/>
  <c r="C47" i="52"/>
  <c r="C48" i="52"/>
  <c r="C49" i="52"/>
  <c r="E56" i="2"/>
  <c r="AC56" i="2"/>
  <c r="E16" i="53"/>
  <c r="D16" i="53"/>
  <c r="D19" i="53"/>
  <c r="B22" i="2"/>
  <c r="C42" i="53"/>
  <c r="C43" i="53"/>
  <c r="C44" i="53"/>
  <c r="C45" i="53"/>
  <c r="C46" i="53"/>
  <c r="C47" i="53"/>
  <c r="C48" i="53"/>
  <c r="C49" i="53"/>
  <c r="C50" i="53"/>
  <c r="K22" i="53"/>
  <c r="E22" i="2"/>
  <c r="AC22" i="2"/>
  <c r="D16" i="54"/>
  <c r="E16" i="54"/>
  <c r="D19" i="54"/>
  <c r="B49" i="2"/>
  <c r="C43" i="54"/>
  <c r="C44" i="54"/>
  <c r="C45" i="54"/>
  <c r="C46" i="54"/>
  <c r="C47" i="54"/>
  <c r="C48" i="54"/>
  <c r="C49" i="54"/>
  <c r="E49" i="2"/>
  <c r="AC49" i="2"/>
  <c r="C42" i="55"/>
  <c r="C43" i="55"/>
  <c r="C44" i="55"/>
  <c r="AC19" i="2"/>
  <c r="E16" i="56"/>
  <c r="D16" i="56"/>
  <c r="D19" i="56"/>
  <c r="B2" i="2"/>
  <c r="C42" i="56"/>
  <c r="C43" i="56"/>
  <c r="C44" i="56"/>
  <c r="C45" i="56"/>
  <c r="C46" i="56"/>
  <c r="C47" i="56"/>
  <c r="AC2" i="2"/>
  <c r="AC26" i="2"/>
  <c r="D16" i="58"/>
  <c r="E16" i="58"/>
  <c r="D19" i="58"/>
  <c r="B47" i="2"/>
  <c r="C42" i="58"/>
  <c r="C43" i="58"/>
  <c r="C44" i="58"/>
  <c r="C45" i="58"/>
  <c r="C46" i="58"/>
  <c r="C47" i="58"/>
  <c r="C48" i="58"/>
  <c r="C49" i="58"/>
  <c r="E47" i="2"/>
  <c r="AC47" i="2"/>
  <c r="C42" i="59"/>
  <c r="AC55" i="2"/>
  <c r="D16" i="60"/>
  <c r="E16" i="60"/>
  <c r="D19" i="60"/>
  <c r="B40" i="2"/>
  <c r="C42" i="60"/>
  <c r="C43" i="60"/>
  <c r="C44" i="60"/>
  <c r="C45" i="60"/>
  <c r="C46" i="60"/>
  <c r="C47" i="60"/>
  <c r="C48" i="60"/>
  <c r="C49" i="60"/>
  <c r="E40" i="2"/>
  <c r="AC40" i="2"/>
  <c r="E16" i="61"/>
  <c r="D16" i="61"/>
  <c r="D19" i="61"/>
  <c r="C42" i="61"/>
  <c r="C43" i="61"/>
  <c r="C44" i="61"/>
  <c r="C45" i="61"/>
  <c r="C46" i="61"/>
  <c r="C47" i="61"/>
  <c r="C48" i="61"/>
  <c r="C49" i="61"/>
  <c r="AC36" i="2"/>
  <c r="C43" i="62"/>
  <c r="C44" i="62"/>
  <c r="AC45" i="2"/>
  <c r="E16" i="63"/>
  <c r="D16" i="63"/>
  <c r="D19" i="63"/>
  <c r="B43" i="2"/>
  <c r="C42" i="63"/>
  <c r="C43" i="63"/>
  <c r="C44" i="63"/>
  <c r="C45" i="63"/>
  <c r="C46" i="63"/>
  <c r="C47" i="63"/>
  <c r="C48" i="63"/>
  <c r="C49" i="63"/>
  <c r="E43" i="2"/>
  <c r="AC43" i="2"/>
  <c r="C42" i="64"/>
  <c r="C43" i="64"/>
  <c r="C44" i="64"/>
  <c r="AC48" i="2"/>
  <c r="C43" i="65"/>
  <c r="C44" i="65"/>
  <c r="AC31" i="2"/>
  <c r="E16" i="66"/>
  <c r="C42" i="66"/>
  <c r="C43" i="66"/>
  <c r="C44" i="66"/>
  <c r="C39" i="66"/>
  <c r="C40" i="66"/>
  <c r="C41" i="66"/>
  <c r="C45" i="66"/>
  <c r="C50" i="66"/>
  <c r="AC44" i="2"/>
  <c r="B61" i="2"/>
  <c r="C43" i="67"/>
  <c r="C44" i="67"/>
  <c r="C45" i="67"/>
  <c r="C46" i="67"/>
  <c r="C47" i="67"/>
  <c r="C48" i="67"/>
  <c r="C49" i="67"/>
  <c r="E61" i="2"/>
  <c r="AC61" i="2"/>
  <c r="E16" i="1"/>
  <c r="D16" i="1"/>
  <c r="D19" i="1"/>
  <c r="B11" i="2"/>
  <c r="C42" i="1"/>
  <c r="C39" i="1"/>
  <c r="C40" i="1"/>
  <c r="C41" i="1"/>
  <c r="C44" i="1"/>
  <c r="C45" i="1"/>
  <c r="C46" i="1"/>
  <c r="C47" i="1"/>
  <c r="C48" i="1"/>
  <c r="C49" i="1"/>
  <c r="E11" i="2"/>
  <c r="AC11" i="2"/>
  <c r="A31" i="21"/>
  <c r="AE7" i="21"/>
  <c r="AF7" i="21"/>
  <c r="AG7" i="21"/>
  <c r="AH7" i="21"/>
  <c r="AI7" i="21"/>
  <c r="AG21" i="21"/>
  <c r="AE13" i="21"/>
  <c r="AF13" i="21"/>
  <c r="AG13" i="21"/>
  <c r="AH13" i="21"/>
  <c r="AI13" i="21"/>
  <c r="AG27" i="21"/>
  <c r="AG28" i="21"/>
  <c r="I31" i="21"/>
  <c r="X23" i="2"/>
  <c r="I31" i="41"/>
  <c r="X24" i="2"/>
  <c r="AE5" i="12"/>
  <c r="AF5" i="12"/>
  <c r="AG5" i="12"/>
  <c r="AH5" i="12"/>
  <c r="AI5" i="12"/>
  <c r="AG19" i="12"/>
  <c r="AE13" i="12"/>
  <c r="AF13" i="12"/>
  <c r="AG13" i="12"/>
  <c r="AH13" i="12"/>
  <c r="AI13" i="12"/>
  <c r="AG27" i="12"/>
  <c r="AG28" i="12"/>
  <c r="I31" i="12"/>
  <c r="X17" i="2"/>
  <c r="O27" i="3"/>
  <c r="P31" i="21"/>
  <c r="Q23" i="2"/>
  <c r="S31" i="21"/>
  <c r="R23" i="2"/>
  <c r="S31" i="13"/>
  <c r="R4" i="2"/>
  <c r="S31" i="62"/>
  <c r="R45" i="2"/>
  <c r="S31" i="18"/>
  <c r="R30" i="2"/>
  <c r="S31" i="41"/>
  <c r="R24" i="2"/>
  <c r="S31" i="39"/>
  <c r="R25" i="2"/>
  <c r="S31" i="19"/>
  <c r="R9" i="2"/>
  <c r="S31" i="42"/>
  <c r="R5" i="2"/>
  <c r="E22" i="3"/>
  <c r="P31" i="41"/>
  <c r="Q24" i="2"/>
  <c r="S31" i="14"/>
  <c r="R14" i="2"/>
  <c r="S31" i="26"/>
  <c r="R38" i="2"/>
  <c r="S31" i="30"/>
  <c r="R29" i="2"/>
  <c r="H22" i="3"/>
  <c r="P31" i="12"/>
  <c r="Q17" i="2"/>
  <c r="S31" i="12"/>
  <c r="R17" i="2"/>
  <c r="S31" i="20"/>
  <c r="R21" i="2"/>
  <c r="S31" i="17"/>
  <c r="R37" i="2"/>
  <c r="S31" i="57"/>
  <c r="R26" i="2"/>
  <c r="S31" i="15"/>
  <c r="R28" i="2"/>
  <c r="S31" i="40"/>
  <c r="R13" i="2"/>
  <c r="R3" i="2"/>
  <c r="K22" i="3"/>
  <c r="W42" i="3"/>
  <c r="AE5" i="59"/>
  <c r="AF5" i="59"/>
  <c r="AG5" i="59"/>
  <c r="AH5" i="59"/>
  <c r="AI5" i="59"/>
  <c r="AG19" i="59"/>
  <c r="AE8" i="59"/>
  <c r="AF8" i="59"/>
  <c r="AG8" i="59"/>
  <c r="AH8" i="59"/>
  <c r="AI8" i="59"/>
  <c r="AG22" i="59"/>
  <c r="AE10" i="59"/>
  <c r="AF10" i="59"/>
  <c r="AG10" i="59"/>
  <c r="AH10" i="59"/>
  <c r="AI10" i="59"/>
  <c r="AG24" i="59"/>
  <c r="AE11" i="59"/>
  <c r="AF11" i="59"/>
  <c r="AG11" i="59"/>
  <c r="AH11" i="59"/>
  <c r="AI11" i="59"/>
  <c r="AG25" i="59"/>
  <c r="AG28" i="59"/>
  <c r="I31" i="59"/>
  <c r="X55" i="2"/>
  <c r="AE5" i="27"/>
  <c r="AF5" i="27"/>
  <c r="AG5" i="27"/>
  <c r="AH5" i="27"/>
  <c r="AI5" i="27"/>
  <c r="AG19" i="27"/>
  <c r="AG28" i="27"/>
  <c r="I31" i="27"/>
  <c r="X41" i="2"/>
  <c r="AE5" i="36"/>
  <c r="AF5" i="36"/>
  <c r="AG5" i="36"/>
  <c r="AH5" i="36"/>
  <c r="AI5" i="36"/>
  <c r="AG19" i="36"/>
  <c r="AE8" i="36"/>
  <c r="AF8" i="36"/>
  <c r="AG8" i="36"/>
  <c r="AH8" i="36"/>
  <c r="AI8" i="36"/>
  <c r="AG22" i="36"/>
  <c r="AG28" i="36"/>
  <c r="I31" i="36"/>
  <c r="X35" i="2"/>
  <c r="S50" i="67"/>
  <c r="Q50" i="67"/>
  <c r="O50" i="67"/>
  <c r="N50" i="67"/>
  <c r="M50" i="67"/>
  <c r="K50" i="67"/>
  <c r="G50" i="67"/>
  <c r="S49" i="67"/>
  <c r="Q49" i="67"/>
  <c r="O49" i="67"/>
  <c r="N49" i="67"/>
  <c r="M49" i="67"/>
  <c r="K49" i="67"/>
  <c r="G49" i="67"/>
  <c r="S48" i="67"/>
  <c r="Q48" i="67"/>
  <c r="O48" i="67"/>
  <c r="N48" i="67"/>
  <c r="M48" i="67"/>
  <c r="K48" i="67"/>
  <c r="G48" i="67"/>
  <c r="S47" i="67"/>
  <c r="Q47" i="67"/>
  <c r="O47" i="67"/>
  <c r="N47" i="67"/>
  <c r="M47" i="67"/>
  <c r="K47" i="67"/>
  <c r="G47" i="67"/>
  <c r="S46" i="67"/>
  <c r="Q46" i="67"/>
  <c r="O46" i="67"/>
  <c r="N46" i="67"/>
  <c r="M46" i="67"/>
  <c r="K46" i="67"/>
  <c r="G46" i="67"/>
  <c r="S45" i="67"/>
  <c r="Q45" i="67"/>
  <c r="O45" i="67"/>
  <c r="N45" i="67"/>
  <c r="M45" i="67"/>
  <c r="K45" i="67"/>
  <c r="G45" i="67"/>
  <c r="S44" i="67"/>
  <c r="Q44" i="67"/>
  <c r="O44" i="67"/>
  <c r="N44" i="67"/>
  <c r="M44" i="67"/>
  <c r="K44" i="67"/>
  <c r="G44" i="67"/>
  <c r="S43" i="67"/>
  <c r="Q43" i="67"/>
  <c r="O43" i="67"/>
  <c r="N43" i="67"/>
  <c r="M43" i="67"/>
  <c r="K43" i="67"/>
  <c r="G43" i="67"/>
  <c r="Y42" i="67"/>
  <c r="S42" i="67"/>
  <c r="Q42" i="67"/>
  <c r="O42" i="67"/>
  <c r="N42" i="67"/>
  <c r="M42" i="67"/>
  <c r="K42" i="67"/>
  <c r="G42" i="67"/>
  <c r="Y41" i="67"/>
  <c r="S41" i="67"/>
  <c r="Q41" i="67"/>
  <c r="O41" i="67"/>
  <c r="N41" i="67"/>
  <c r="M41" i="67"/>
  <c r="K41" i="67"/>
  <c r="G41" i="67"/>
  <c r="Y40" i="67"/>
  <c r="S40" i="67"/>
  <c r="Q40" i="67"/>
  <c r="O40" i="67"/>
  <c r="N40" i="67"/>
  <c r="M40" i="67"/>
  <c r="K40" i="67"/>
  <c r="G40" i="67"/>
  <c r="Y39" i="67"/>
  <c r="S39" i="67"/>
  <c r="Q39" i="67"/>
  <c r="O39" i="67"/>
  <c r="N39" i="67"/>
  <c r="M39" i="67"/>
  <c r="K39" i="67"/>
  <c r="G39" i="67"/>
  <c r="Y38" i="67"/>
  <c r="Y37" i="67"/>
  <c r="Y36" i="67"/>
  <c r="R36" i="67"/>
  <c r="P36" i="67"/>
  <c r="Y35" i="67"/>
  <c r="Y34" i="67"/>
  <c r="Y31" i="67"/>
  <c r="Y32" i="67"/>
  <c r="Y33" i="67"/>
  <c r="S34" i="67"/>
  <c r="R34" i="67"/>
  <c r="Q34" i="67"/>
  <c r="P34" i="67"/>
  <c r="N34" i="67"/>
  <c r="M34" i="67"/>
  <c r="L34" i="67"/>
  <c r="K34" i="67"/>
  <c r="S31" i="67"/>
  <c r="R31" i="67"/>
  <c r="Q31" i="67"/>
  <c r="P31" i="67"/>
  <c r="N31" i="67"/>
  <c r="M31" i="67"/>
  <c r="L31" i="67"/>
  <c r="K31" i="67"/>
  <c r="A31" i="67"/>
  <c r="I31" i="67"/>
  <c r="H31" i="67"/>
  <c r="AE20" i="67"/>
  <c r="AE21" i="67"/>
  <c r="AE22" i="67"/>
  <c r="AE23" i="67"/>
  <c r="AE24" i="67"/>
  <c r="AE25" i="67"/>
  <c r="AE27" i="67"/>
  <c r="AE28" i="67"/>
  <c r="G31" i="67"/>
  <c r="S50" i="66"/>
  <c r="Q50" i="66"/>
  <c r="O50" i="66"/>
  <c r="N50" i="66"/>
  <c r="M50" i="66"/>
  <c r="K50" i="66"/>
  <c r="G50" i="66"/>
  <c r="S49" i="66"/>
  <c r="Q49" i="66"/>
  <c r="O49" i="66"/>
  <c r="N49" i="66"/>
  <c r="M49" i="66"/>
  <c r="K49" i="66"/>
  <c r="G49" i="66"/>
  <c r="S48" i="66"/>
  <c r="Q48" i="66"/>
  <c r="O48" i="66"/>
  <c r="N48" i="66"/>
  <c r="M48" i="66"/>
  <c r="K48" i="66"/>
  <c r="G48" i="66"/>
  <c r="S47" i="66"/>
  <c r="Q47" i="66"/>
  <c r="O47" i="66"/>
  <c r="N47" i="66"/>
  <c r="M47" i="66"/>
  <c r="K47" i="66"/>
  <c r="G47" i="66"/>
  <c r="S46" i="66"/>
  <c r="Q46" i="66"/>
  <c r="O46" i="66"/>
  <c r="N46" i="66"/>
  <c r="M46" i="66"/>
  <c r="K46" i="66"/>
  <c r="G46" i="66"/>
  <c r="S45" i="66"/>
  <c r="Q45" i="66"/>
  <c r="O45" i="66"/>
  <c r="N45" i="66"/>
  <c r="M45" i="66"/>
  <c r="K45" i="66"/>
  <c r="G45" i="66"/>
  <c r="S44" i="66"/>
  <c r="Q44" i="66"/>
  <c r="O44" i="66"/>
  <c r="N44" i="66"/>
  <c r="M44" i="66"/>
  <c r="K44" i="66"/>
  <c r="G44" i="66"/>
  <c r="S43" i="66"/>
  <c r="Q43" i="66"/>
  <c r="O43" i="66"/>
  <c r="N43" i="66"/>
  <c r="M43" i="66"/>
  <c r="K43" i="66"/>
  <c r="G43" i="66"/>
  <c r="X15" i="66"/>
  <c r="Y42" i="66"/>
  <c r="S42" i="66"/>
  <c r="Q42" i="66"/>
  <c r="O42" i="66"/>
  <c r="N42" i="66"/>
  <c r="M42" i="66"/>
  <c r="K42" i="66"/>
  <c r="G42" i="66"/>
  <c r="X14" i="66"/>
  <c r="Y41" i="66"/>
  <c r="S41" i="66"/>
  <c r="Q41" i="66"/>
  <c r="O41" i="66"/>
  <c r="N41" i="66"/>
  <c r="M41" i="66"/>
  <c r="K41" i="66"/>
  <c r="G41" i="66"/>
  <c r="X13" i="66"/>
  <c r="Y40" i="66"/>
  <c r="S40" i="66"/>
  <c r="Q40" i="66"/>
  <c r="O40" i="66"/>
  <c r="N40" i="66"/>
  <c r="M40" i="66"/>
  <c r="K40" i="66"/>
  <c r="G40" i="66"/>
  <c r="X12" i="66"/>
  <c r="Y39" i="66"/>
  <c r="S39" i="66"/>
  <c r="Q39" i="66"/>
  <c r="O39" i="66"/>
  <c r="N39" i="66"/>
  <c r="M39" i="66"/>
  <c r="K39" i="66"/>
  <c r="G39" i="66"/>
  <c r="X11" i="66"/>
  <c r="Y38" i="66"/>
  <c r="X10" i="66"/>
  <c r="Y37" i="66"/>
  <c r="X9" i="66"/>
  <c r="Y36" i="66"/>
  <c r="R16" i="66"/>
  <c r="Q16" i="66"/>
  <c r="R36" i="66"/>
  <c r="P36" i="66"/>
  <c r="X8" i="66"/>
  <c r="Y35" i="66"/>
  <c r="X7" i="66"/>
  <c r="Y34" i="66"/>
  <c r="Y31" i="66"/>
  <c r="Y32" i="66"/>
  <c r="Y33" i="66"/>
  <c r="S34" i="66"/>
  <c r="R34" i="66"/>
  <c r="Q34" i="66"/>
  <c r="P34" i="66"/>
  <c r="N34" i="66"/>
  <c r="M34" i="66"/>
  <c r="L34" i="66"/>
  <c r="K34" i="66"/>
  <c r="S31" i="66"/>
  <c r="R31" i="66"/>
  <c r="Q31" i="66"/>
  <c r="P31" i="66"/>
  <c r="N31" i="66"/>
  <c r="M31" i="66"/>
  <c r="L31" i="66"/>
  <c r="K31" i="66"/>
  <c r="AE5" i="66"/>
  <c r="AF5" i="66"/>
  <c r="AG5" i="66"/>
  <c r="AH5" i="66"/>
  <c r="AI5" i="66"/>
  <c r="AG19" i="66"/>
  <c r="AE2" i="66"/>
  <c r="AF2" i="66"/>
  <c r="AG2" i="66"/>
  <c r="AH2" i="66"/>
  <c r="AI2" i="66"/>
  <c r="AG16" i="66"/>
  <c r="AE3" i="66"/>
  <c r="AF3" i="66"/>
  <c r="AG3" i="66"/>
  <c r="AH3" i="66"/>
  <c r="AI3" i="66"/>
  <c r="AG17" i="66"/>
  <c r="AE4" i="66"/>
  <c r="AF4" i="66"/>
  <c r="AG4" i="66"/>
  <c r="AH4" i="66"/>
  <c r="AI4" i="66"/>
  <c r="AG18" i="66"/>
  <c r="AE6" i="66"/>
  <c r="AF6" i="66"/>
  <c r="AG6" i="66"/>
  <c r="AH6" i="66"/>
  <c r="AI6" i="66"/>
  <c r="AG20" i="66"/>
  <c r="AE7" i="66"/>
  <c r="AF7" i="66"/>
  <c r="AG7" i="66"/>
  <c r="AH7" i="66"/>
  <c r="AI7" i="66"/>
  <c r="AG21" i="66"/>
  <c r="AE8" i="66"/>
  <c r="AF8" i="66"/>
  <c r="AG8" i="66"/>
  <c r="AH8" i="66"/>
  <c r="AI8" i="66"/>
  <c r="AG22" i="66"/>
  <c r="AE9" i="66"/>
  <c r="AF9" i="66"/>
  <c r="AG9" i="66"/>
  <c r="AH9" i="66"/>
  <c r="AI9" i="66"/>
  <c r="AG23" i="66"/>
  <c r="AE10" i="66"/>
  <c r="AF10" i="66"/>
  <c r="AG10" i="66"/>
  <c r="AH10" i="66"/>
  <c r="AI10" i="66"/>
  <c r="AG24" i="66"/>
  <c r="AE11" i="66"/>
  <c r="AF11" i="66"/>
  <c r="AG11" i="66"/>
  <c r="AH11" i="66"/>
  <c r="AI11" i="66"/>
  <c r="AG25" i="66"/>
  <c r="AE12" i="66"/>
  <c r="AF12" i="66"/>
  <c r="AG12" i="66"/>
  <c r="AH12" i="66"/>
  <c r="AI12" i="66"/>
  <c r="AG26" i="66"/>
  <c r="AE13" i="66"/>
  <c r="AF13" i="66"/>
  <c r="AG13" i="66"/>
  <c r="AH13" i="66"/>
  <c r="AI13" i="66"/>
  <c r="AG27" i="66"/>
  <c r="AG28" i="66"/>
  <c r="I31" i="66"/>
  <c r="AF19" i="66"/>
  <c r="AF16" i="66"/>
  <c r="AF17" i="66"/>
  <c r="AF18" i="66"/>
  <c r="AF20" i="66"/>
  <c r="AF21" i="66"/>
  <c r="AF22" i="66"/>
  <c r="AF23" i="66"/>
  <c r="AF24" i="66"/>
  <c r="AF25" i="66"/>
  <c r="AF26" i="66"/>
  <c r="AF27" i="66"/>
  <c r="AF28" i="66"/>
  <c r="H31" i="66"/>
  <c r="AE19" i="66"/>
  <c r="AE20" i="66"/>
  <c r="AE21" i="66"/>
  <c r="AE16" i="66"/>
  <c r="AE17" i="66"/>
  <c r="AE18" i="66"/>
  <c r="AE22" i="66"/>
  <c r="AE23" i="66"/>
  <c r="AE24" i="66"/>
  <c r="AE25" i="66"/>
  <c r="AE26" i="66"/>
  <c r="AE27" i="66"/>
  <c r="AE28" i="66"/>
  <c r="G31" i="66"/>
  <c r="S50" i="65"/>
  <c r="Q50" i="65"/>
  <c r="O50" i="65"/>
  <c r="N50" i="65"/>
  <c r="M50" i="65"/>
  <c r="K50" i="65"/>
  <c r="G50" i="65"/>
  <c r="S49" i="65"/>
  <c r="Q49" i="65"/>
  <c r="O49" i="65"/>
  <c r="N49" i="65"/>
  <c r="M49" i="65"/>
  <c r="K49" i="65"/>
  <c r="G49" i="65"/>
  <c r="S48" i="65"/>
  <c r="Q48" i="65"/>
  <c r="O48" i="65"/>
  <c r="N48" i="65"/>
  <c r="M48" i="65"/>
  <c r="K48" i="65"/>
  <c r="G48" i="65"/>
  <c r="S47" i="65"/>
  <c r="Q47" i="65"/>
  <c r="O47" i="65"/>
  <c r="N47" i="65"/>
  <c r="M47" i="65"/>
  <c r="K47" i="65"/>
  <c r="G47" i="65"/>
  <c r="S46" i="65"/>
  <c r="Q46" i="65"/>
  <c r="O46" i="65"/>
  <c r="N46" i="65"/>
  <c r="M46" i="65"/>
  <c r="K46" i="65"/>
  <c r="G46" i="65"/>
  <c r="S45" i="65"/>
  <c r="Q45" i="65"/>
  <c r="O45" i="65"/>
  <c r="N45" i="65"/>
  <c r="M45" i="65"/>
  <c r="K45" i="65"/>
  <c r="G45" i="65"/>
  <c r="S44" i="65"/>
  <c r="Q44" i="65"/>
  <c r="O44" i="65"/>
  <c r="N44" i="65"/>
  <c r="M44" i="65"/>
  <c r="K44" i="65"/>
  <c r="G44" i="65"/>
  <c r="S43" i="65"/>
  <c r="Q43" i="65"/>
  <c r="O43" i="65"/>
  <c r="N43" i="65"/>
  <c r="M43" i="65"/>
  <c r="K43" i="65"/>
  <c r="G43" i="65"/>
  <c r="Y42" i="65"/>
  <c r="S42" i="65"/>
  <c r="Q42" i="65"/>
  <c r="O42" i="65"/>
  <c r="N42" i="65"/>
  <c r="M42" i="65"/>
  <c r="K42" i="65"/>
  <c r="G42" i="65"/>
  <c r="Y41" i="65"/>
  <c r="S41" i="65"/>
  <c r="Q41" i="65"/>
  <c r="O41" i="65"/>
  <c r="N41" i="65"/>
  <c r="M41" i="65"/>
  <c r="K41" i="65"/>
  <c r="G41" i="65"/>
  <c r="Y40" i="65"/>
  <c r="S40" i="65"/>
  <c r="Q40" i="65"/>
  <c r="O40" i="65"/>
  <c r="N40" i="65"/>
  <c r="M40" i="65"/>
  <c r="K40" i="65"/>
  <c r="G40" i="65"/>
  <c r="Y39" i="65"/>
  <c r="S39" i="65"/>
  <c r="Q39" i="65"/>
  <c r="O39" i="65"/>
  <c r="N39" i="65"/>
  <c r="M39" i="65"/>
  <c r="K39" i="65"/>
  <c r="G39" i="65"/>
  <c r="Y38" i="65"/>
  <c r="Y37" i="65"/>
  <c r="Y36" i="65"/>
  <c r="R36" i="65"/>
  <c r="P36" i="65"/>
  <c r="Y35" i="65"/>
  <c r="Y34" i="65"/>
  <c r="Y31" i="65"/>
  <c r="Y32" i="65"/>
  <c r="Y33" i="65"/>
  <c r="S34" i="65"/>
  <c r="R34" i="65"/>
  <c r="Q34" i="65"/>
  <c r="P34" i="65"/>
  <c r="N34" i="65"/>
  <c r="M34" i="65"/>
  <c r="L34" i="65"/>
  <c r="K34" i="65"/>
  <c r="S31" i="65"/>
  <c r="R31" i="65"/>
  <c r="Q31" i="65"/>
  <c r="P31" i="65"/>
  <c r="N31" i="65"/>
  <c r="M31" i="65"/>
  <c r="L31" i="65"/>
  <c r="K31" i="65"/>
  <c r="I31" i="65"/>
  <c r="H31" i="65"/>
  <c r="AE20" i="65"/>
  <c r="AE21" i="65"/>
  <c r="AE22" i="65"/>
  <c r="AE23" i="65"/>
  <c r="AE24" i="65"/>
  <c r="AE25" i="65"/>
  <c r="AE26" i="65"/>
  <c r="AE28" i="65"/>
  <c r="G31" i="65"/>
  <c r="S50" i="64"/>
  <c r="Q50" i="64"/>
  <c r="O50" i="64"/>
  <c r="N50" i="64"/>
  <c r="M50" i="64"/>
  <c r="K50" i="64"/>
  <c r="G50" i="64"/>
  <c r="S49" i="64"/>
  <c r="Q49" i="64"/>
  <c r="O49" i="64"/>
  <c r="N49" i="64"/>
  <c r="M49" i="64"/>
  <c r="K49" i="64"/>
  <c r="G49" i="64"/>
  <c r="S48" i="64"/>
  <c r="Q48" i="64"/>
  <c r="O48" i="64"/>
  <c r="N48" i="64"/>
  <c r="M48" i="64"/>
  <c r="K48" i="64"/>
  <c r="G48" i="64"/>
  <c r="S47" i="64"/>
  <c r="Q47" i="64"/>
  <c r="O47" i="64"/>
  <c r="N47" i="64"/>
  <c r="M47" i="64"/>
  <c r="K47" i="64"/>
  <c r="G47" i="64"/>
  <c r="S46" i="64"/>
  <c r="Q46" i="64"/>
  <c r="O46" i="64"/>
  <c r="N46" i="64"/>
  <c r="M46" i="64"/>
  <c r="K46" i="64"/>
  <c r="G46" i="64"/>
  <c r="S45" i="64"/>
  <c r="Q45" i="64"/>
  <c r="O45" i="64"/>
  <c r="N45" i="64"/>
  <c r="M45" i="64"/>
  <c r="K45" i="64"/>
  <c r="G45" i="64"/>
  <c r="S44" i="64"/>
  <c r="Q44" i="64"/>
  <c r="O44" i="64"/>
  <c r="N44" i="64"/>
  <c r="M44" i="64"/>
  <c r="K44" i="64"/>
  <c r="G44" i="64"/>
  <c r="S43" i="64"/>
  <c r="Q43" i="64"/>
  <c r="O43" i="64"/>
  <c r="N43" i="64"/>
  <c r="M43" i="64"/>
  <c r="K43" i="64"/>
  <c r="G43" i="64"/>
  <c r="X15" i="64"/>
  <c r="Y42" i="64"/>
  <c r="S42" i="64"/>
  <c r="Q42" i="64"/>
  <c r="O42" i="64"/>
  <c r="N42" i="64"/>
  <c r="M42" i="64"/>
  <c r="K42" i="64"/>
  <c r="G42" i="64"/>
  <c r="Y41" i="64"/>
  <c r="S41" i="64"/>
  <c r="Q41" i="64"/>
  <c r="O41" i="64"/>
  <c r="N41" i="64"/>
  <c r="M41" i="64"/>
  <c r="K41" i="64"/>
  <c r="G41" i="64"/>
  <c r="Y40" i="64"/>
  <c r="S40" i="64"/>
  <c r="Q40" i="64"/>
  <c r="O40" i="64"/>
  <c r="N40" i="64"/>
  <c r="M40" i="64"/>
  <c r="K40" i="64"/>
  <c r="G40" i="64"/>
  <c r="Y39" i="64"/>
  <c r="S39" i="64"/>
  <c r="Q39" i="64"/>
  <c r="O39" i="64"/>
  <c r="N39" i="64"/>
  <c r="M39" i="64"/>
  <c r="K39" i="64"/>
  <c r="G39" i="64"/>
  <c r="Y38" i="64"/>
  <c r="Y37" i="64"/>
  <c r="Y36" i="64"/>
  <c r="R16" i="64"/>
  <c r="R36" i="64"/>
  <c r="P36" i="64"/>
  <c r="X8" i="64"/>
  <c r="Y35" i="64"/>
  <c r="X7" i="64"/>
  <c r="Y34" i="64"/>
  <c r="Y31" i="64"/>
  <c r="Y32" i="64"/>
  <c r="Y33" i="64"/>
  <c r="S34" i="64"/>
  <c r="R34" i="64"/>
  <c r="Q34" i="64"/>
  <c r="P34" i="64"/>
  <c r="N34" i="64"/>
  <c r="M34" i="64"/>
  <c r="L34" i="64"/>
  <c r="K34" i="64"/>
  <c r="S31" i="64"/>
  <c r="R31" i="64"/>
  <c r="Q31" i="64"/>
  <c r="P31" i="64"/>
  <c r="N31" i="64"/>
  <c r="M31" i="64"/>
  <c r="L31" i="64"/>
  <c r="K31" i="64"/>
  <c r="I31" i="64"/>
  <c r="H31" i="64"/>
  <c r="AE19" i="64"/>
  <c r="AE20" i="64"/>
  <c r="AE21" i="64"/>
  <c r="AE22" i="64"/>
  <c r="AE23" i="64"/>
  <c r="AE24" i="64"/>
  <c r="AE25" i="64"/>
  <c r="AE26" i="64"/>
  <c r="AE27" i="64"/>
  <c r="AE28" i="64"/>
  <c r="G31" i="64"/>
  <c r="S50" i="63"/>
  <c r="Q50" i="63"/>
  <c r="O50" i="63"/>
  <c r="N50" i="63"/>
  <c r="M50" i="63"/>
  <c r="K50" i="63"/>
  <c r="G50" i="63"/>
  <c r="S49" i="63"/>
  <c r="Q49" i="63"/>
  <c r="O49" i="63"/>
  <c r="N49" i="63"/>
  <c r="M49" i="63"/>
  <c r="K49" i="63"/>
  <c r="G49" i="63"/>
  <c r="S48" i="63"/>
  <c r="Q48" i="63"/>
  <c r="O48" i="63"/>
  <c r="N48" i="63"/>
  <c r="M48" i="63"/>
  <c r="K48" i="63"/>
  <c r="G48" i="63"/>
  <c r="S47" i="63"/>
  <c r="Q47" i="63"/>
  <c r="O47" i="63"/>
  <c r="N47" i="63"/>
  <c r="M47" i="63"/>
  <c r="K47" i="63"/>
  <c r="G47" i="63"/>
  <c r="S46" i="63"/>
  <c r="Q46" i="63"/>
  <c r="O46" i="63"/>
  <c r="N46" i="63"/>
  <c r="M46" i="63"/>
  <c r="K46" i="63"/>
  <c r="G46" i="63"/>
  <c r="S45" i="63"/>
  <c r="Q45" i="63"/>
  <c r="O45" i="63"/>
  <c r="N45" i="63"/>
  <c r="M45" i="63"/>
  <c r="K45" i="63"/>
  <c r="G45" i="63"/>
  <c r="S44" i="63"/>
  <c r="Q44" i="63"/>
  <c r="O44" i="63"/>
  <c r="N44" i="63"/>
  <c r="M44" i="63"/>
  <c r="K44" i="63"/>
  <c r="G44" i="63"/>
  <c r="S43" i="63"/>
  <c r="Q43" i="63"/>
  <c r="O43" i="63"/>
  <c r="N43" i="63"/>
  <c r="M43" i="63"/>
  <c r="K43" i="63"/>
  <c r="G43" i="63"/>
  <c r="X15" i="63"/>
  <c r="Y42" i="63"/>
  <c r="S42" i="63"/>
  <c r="Q42" i="63"/>
  <c r="O42" i="63"/>
  <c r="N42" i="63"/>
  <c r="M42" i="63"/>
  <c r="K42" i="63"/>
  <c r="G42" i="63"/>
  <c r="X14" i="63"/>
  <c r="Y41" i="63"/>
  <c r="S41" i="63"/>
  <c r="Q41" i="63"/>
  <c r="O41" i="63"/>
  <c r="N41" i="63"/>
  <c r="M41" i="63"/>
  <c r="K41" i="63"/>
  <c r="G41" i="63"/>
  <c r="X13" i="63"/>
  <c r="Y40" i="63"/>
  <c r="S40" i="63"/>
  <c r="Q40" i="63"/>
  <c r="O40" i="63"/>
  <c r="N40" i="63"/>
  <c r="M40" i="63"/>
  <c r="K40" i="63"/>
  <c r="G40" i="63"/>
  <c r="X12" i="63"/>
  <c r="Y39" i="63"/>
  <c r="S39" i="63"/>
  <c r="Q39" i="63"/>
  <c r="O39" i="63"/>
  <c r="N39" i="63"/>
  <c r="M39" i="63"/>
  <c r="K39" i="63"/>
  <c r="G39" i="63"/>
  <c r="X11" i="63"/>
  <c r="Y38" i="63"/>
  <c r="X10" i="63"/>
  <c r="Y37" i="63"/>
  <c r="X9" i="63"/>
  <c r="Y36" i="63"/>
  <c r="R16" i="63"/>
  <c r="Q16" i="63"/>
  <c r="R36" i="63"/>
  <c r="P36" i="63"/>
  <c r="X8" i="63"/>
  <c r="Y35" i="63"/>
  <c r="X7" i="63"/>
  <c r="Y34" i="63"/>
  <c r="Y31" i="63"/>
  <c r="Y32" i="63"/>
  <c r="Y33" i="63"/>
  <c r="S34" i="63"/>
  <c r="R34" i="63"/>
  <c r="Q34" i="63"/>
  <c r="P34" i="63"/>
  <c r="N34" i="63"/>
  <c r="M34" i="63"/>
  <c r="L34" i="63"/>
  <c r="K34" i="63"/>
  <c r="S31" i="63"/>
  <c r="R31" i="63"/>
  <c r="Q31" i="63"/>
  <c r="P31" i="63"/>
  <c r="N31" i="63"/>
  <c r="M31" i="63"/>
  <c r="L31" i="63"/>
  <c r="K31" i="63"/>
  <c r="AE5" i="63"/>
  <c r="AF5" i="63"/>
  <c r="AG5" i="63"/>
  <c r="AH5" i="63"/>
  <c r="AI5" i="63"/>
  <c r="AG19" i="63"/>
  <c r="AE7" i="63"/>
  <c r="AF7" i="63"/>
  <c r="AG7" i="63"/>
  <c r="AH7" i="63"/>
  <c r="AI7" i="63"/>
  <c r="AG21" i="63"/>
  <c r="AE9" i="63"/>
  <c r="AF9" i="63"/>
  <c r="AG9" i="63"/>
  <c r="AH9" i="63"/>
  <c r="AI9" i="63"/>
  <c r="AG23" i="63"/>
  <c r="AE10" i="63"/>
  <c r="AF10" i="63"/>
  <c r="AG10" i="63"/>
  <c r="AH10" i="63"/>
  <c r="AI10" i="63"/>
  <c r="AG24" i="63"/>
  <c r="AE11" i="63"/>
  <c r="AF11" i="63"/>
  <c r="AG11" i="63"/>
  <c r="AH11" i="63"/>
  <c r="AI11" i="63"/>
  <c r="AG25" i="63"/>
  <c r="AG28" i="63"/>
  <c r="A31" i="63"/>
  <c r="I31" i="63"/>
  <c r="AF19" i="63"/>
  <c r="AF21" i="63"/>
  <c r="AF23" i="63"/>
  <c r="AF24" i="63"/>
  <c r="AF25" i="63"/>
  <c r="AF28" i="63"/>
  <c r="H31" i="63"/>
  <c r="AE19" i="63"/>
  <c r="AE21" i="63"/>
  <c r="AE22" i="63"/>
  <c r="AE23" i="63"/>
  <c r="AE24" i="63"/>
  <c r="AE25" i="63"/>
  <c r="AE27" i="63"/>
  <c r="AE28" i="63"/>
  <c r="G31" i="63"/>
  <c r="S50" i="62"/>
  <c r="Q50" i="62"/>
  <c r="O50" i="62"/>
  <c r="N50" i="62"/>
  <c r="M50" i="62"/>
  <c r="K50" i="62"/>
  <c r="G50" i="62"/>
  <c r="S49" i="62"/>
  <c r="Q49" i="62"/>
  <c r="O49" i="62"/>
  <c r="N49" i="62"/>
  <c r="M49" i="62"/>
  <c r="K49" i="62"/>
  <c r="G49" i="62"/>
  <c r="S48" i="62"/>
  <c r="Q48" i="62"/>
  <c r="O48" i="62"/>
  <c r="N48" i="62"/>
  <c r="M48" i="62"/>
  <c r="K48" i="62"/>
  <c r="G48" i="62"/>
  <c r="S47" i="62"/>
  <c r="Q47" i="62"/>
  <c r="O47" i="62"/>
  <c r="N47" i="62"/>
  <c r="M47" i="62"/>
  <c r="K47" i="62"/>
  <c r="G47" i="62"/>
  <c r="S46" i="62"/>
  <c r="Q46" i="62"/>
  <c r="O46" i="62"/>
  <c r="N46" i="62"/>
  <c r="M46" i="62"/>
  <c r="K46" i="62"/>
  <c r="G46" i="62"/>
  <c r="S45" i="62"/>
  <c r="Q45" i="62"/>
  <c r="O45" i="62"/>
  <c r="N45" i="62"/>
  <c r="M45" i="62"/>
  <c r="K45" i="62"/>
  <c r="G45" i="62"/>
  <c r="S44" i="62"/>
  <c r="Q44" i="62"/>
  <c r="O44" i="62"/>
  <c r="N44" i="62"/>
  <c r="M44" i="62"/>
  <c r="K44" i="62"/>
  <c r="G44" i="62"/>
  <c r="S43" i="62"/>
  <c r="Q43" i="62"/>
  <c r="O43" i="62"/>
  <c r="N43" i="62"/>
  <c r="M43" i="62"/>
  <c r="K43" i="62"/>
  <c r="G43" i="62"/>
  <c r="Y42" i="62"/>
  <c r="S42" i="62"/>
  <c r="Q42" i="62"/>
  <c r="O42" i="62"/>
  <c r="N42" i="62"/>
  <c r="M42" i="62"/>
  <c r="K42" i="62"/>
  <c r="G42" i="62"/>
  <c r="Y41" i="62"/>
  <c r="S41" i="62"/>
  <c r="Q41" i="62"/>
  <c r="O41" i="62"/>
  <c r="N41" i="62"/>
  <c r="M41" i="62"/>
  <c r="K41" i="62"/>
  <c r="G41" i="62"/>
  <c r="Y40" i="62"/>
  <c r="S40" i="62"/>
  <c r="Q40" i="62"/>
  <c r="O40" i="62"/>
  <c r="N40" i="62"/>
  <c r="M40" i="62"/>
  <c r="K40" i="62"/>
  <c r="G40" i="62"/>
  <c r="Y39" i="62"/>
  <c r="S39" i="62"/>
  <c r="Q39" i="62"/>
  <c r="O39" i="62"/>
  <c r="N39" i="62"/>
  <c r="M39" i="62"/>
  <c r="K39" i="62"/>
  <c r="G39" i="62"/>
  <c r="Y38" i="62"/>
  <c r="Y37" i="62"/>
  <c r="Y36" i="62"/>
  <c r="R36" i="62"/>
  <c r="P36" i="62"/>
  <c r="X8" i="62"/>
  <c r="Y35" i="62"/>
  <c r="Y34" i="62"/>
  <c r="Y31" i="62"/>
  <c r="Y32" i="62"/>
  <c r="Y33" i="62"/>
  <c r="S34" i="62"/>
  <c r="R34" i="62"/>
  <c r="Q34" i="62"/>
  <c r="P34" i="62"/>
  <c r="N34" i="62"/>
  <c r="M34" i="62"/>
  <c r="L34" i="62"/>
  <c r="K34" i="62"/>
  <c r="R31" i="62"/>
  <c r="Q31" i="62"/>
  <c r="P31" i="62"/>
  <c r="N31" i="62"/>
  <c r="M31" i="62"/>
  <c r="L31" i="62"/>
  <c r="K31" i="62"/>
  <c r="AE10" i="62"/>
  <c r="AF10" i="62"/>
  <c r="AG10" i="62"/>
  <c r="AH10" i="62"/>
  <c r="AI10" i="62"/>
  <c r="AG24" i="62"/>
  <c r="AE9" i="62"/>
  <c r="AF9" i="62"/>
  <c r="AG9" i="62"/>
  <c r="AH9" i="62"/>
  <c r="AI9" i="62"/>
  <c r="AG23" i="62"/>
  <c r="AE11" i="62"/>
  <c r="AF11" i="62"/>
  <c r="AG11" i="62"/>
  <c r="AH11" i="62"/>
  <c r="AI11" i="62"/>
  <c r="AG25" i="62"/>
  <c r="AG28" i="62"/>
  <c r="I31" i="62"/>
  <c r="AF24" i="62"/>
  <c r="AF23" i="62"/>
  <c r="AF25" i="62"/>
  <c r="AF28" i="62"/>
  <c r="H31" i="62"/>
  <c r="AE24" i="62"/>
  <c r="AE20" i="62"/>
  <c r="AE21" i="62"/>
  <c r="AE22" i="62"/>
  <c r="AE23" i="62"/>
  <c r="AE25" i="62"/>
  <c r="AE26" i="62"/>
  <c r="AE27" i="62"/>
  <c r="AE28" i="62"/>
  <c r="G31" i="62"/>
  <c r="S50" i="61"/>
  <c r="Q50" i="61"/>
  <c r="O50" i="61"/>
  <c r="N50" i="61"/>
  <c r="M50" i="61"/>
  <c r="K50" i="61"/>
  <c r="G50" i="61"/>
  <c r="S49" i="61"/>
  <c r="Q49" i="61"/>
  <c r="O49" i="61"/>
  <c r="N49" i="61"/>
  <c r="M49" i="61"/>
  <c r="K49" i="61"/>
  <c r="G49" i="61"/>
  <c r="S48" i="61"/>
  <c r="Q48" i="61"/>
  <c r="O48" i="61"/>
  <c r="N48" i="61"/>
  <c r="M48" i="61"/>
  <c r="K48" i="61"/>
  <c r="G48" i="61"/>
  <c r="S47" i="61"/>
  <c r="Q47" i="61"/>
  <c r="O47" i="61"/>
  <c r="N47" i="61"/>
  <c r="M47" i="61"/>
  <c r="K47" i="61"/>
  <c r="G47" i="61"/>
  <c r="S46" i="61"/>
  <c r="Q46" i="61"/>
  <c r="O46" i="61"/>
  <c r="N46" i="61"/>
  <c r="M46" i="61"/>
  <c r="K46" i="61"/>
  <c r="G46" i="61"/>
  <c r="S45" i="61"/>
  <c r="Q45" i="61"/>
  <c r="O45" i="61"/>
  <c r="N45" i="61"/>
  <c r="M45" i="61"/>
  <c r="K45" i="61"/>
  <c r="G45" i="61"/>
  <c r="S44" i="61"/>
  <c r="Q44" i="61"/>
  <c r="O44" i="61"/>
  <c r="N44" i="61"/>
  <c r="M44" i="61"/>
  <c r="K44" i="61"/>
  <c r="G44" i="61"/>
  <c r="S43" i="61"/>
  <c r="Q43" i="61"/>
  <c r="O43" i="61"/>
  <c r="N43" i="61"/>
  <c r="M43" i="61"/>
  <c r="K43" i="61"/>
  <c r="G43" i="61"/>
  <c r="Y42" i="61"/>
  <c r="S42" i="61"/>
  <c r="Q42" i="61"/>
  <c r="O42" i="61"/>
  <c r="N42" i="61"/>
  <c r="M42" i="61"/>
  <c r="K42" i="61"/>
  <c r="G42" i="61"/>
  <c r="Y41" i="61"/>
  <c r="S41" i="61"/>
  <c r="Q41" i="61"/>
  <c r="O41" i="61"/>
  <c r="N41" i="61"/>
  <c r="M41" i="61"/>
  <c r="K41" i="61"/>
  <c r="G41" i="61"/>
  <c r="X13" i="61"/>
  <c r="Y40" i="61"/>
  <c r="S40" i="61"/>
  <c r="Q40" i="61"/>
  <c r="O40" i="61"/>
  <c r="N40" i="61"/>
  <c r="M40" i="61"/>
  <c r="K40" i="61"/>
  <c r="G40" i="61"/>
  <c r="Y39" i="61"/>
  <c r="S39" i="61"/>
  <c r="Q39" i="61"/>
  <c r="O39" i="61"/>
  <c r="N39" i="61"/>
  <c r="M39" i="61"/>
  <c r="K39" i="61"/>
  <c r="G39" i="61"/>
  <c r="Y38" i="61"/>
  <c r="Y37" i="61"/>
  <c r="Y36" i="61"/>
  <c r="R16" i="61"/>
  <c r="Q16" i="61"/>
  <c r="R36" i="61"/>
  <c r="P36" i="61"/>
  <c r="Y35" i="61"/>
  <c r="X7" i="61"/>
  <c r="Y34" i="61"/>
  <c r="Y31" i="61"/>
  <c r="Y32" i="61"/>
  <c r="Y33" i="61"/>
  <c r="S34" i="61"/>
  <c r="R34" i="61"/>
  <c r="Q34" i="61"/>
  <c r="P34" i="61"/>
  <c r="N34" i="61"/>
  <c r="M34" i="61"/>
  <c r="L34" i="61"/>
  <c r="K34" i="61"/>
  <c r="S31" i="61"/>
  <c r="R31" i="61"/>
  <c r="Q31" i="61"/>
  <c r="P31" i="61"/>
  <c r="N31" i="61"/>
  <c r="M31" i="61"/>
  <c r="L31" i="61"/>
  <c r="K31" i="61"/>
  <c r="AE5" i="61"/>
  <c r="AF5" i="61"/>
  <c r="AG5" i="61"/>
  <c r="AH5" i="61"/>
  <c r="AI5" i="61"/>
  <c r="AG19" i="61"/>
  <c r="AG28" i="61"/>
  <c r="A31" i="61"/>
  <c r="I31" i="61"/>
  <c r="AF19" i="61"/>
  <c r="AF28" i="61"/>
  <c r="H31" i="61"/>
  <c r="AE19" i="61"/>
  <c r="AE20" i="61"/>
  <c r="AE21" i="61"/>
  <c r="AE22" i="61"/>
  <c r="AE23" i="61"/>
  <c r="AE24" i="61"/>
  <c r="AE25" i="61"/>
  <c r="AE26" i="61"/>
  <c r="AE27" i="61"/>
  <c r="AE28" i="61"/>
  <c r="G31" i="61"/>
  <c r="S50" i="60"/>
  <c r="O50" i="60"/>
  <c r="N50" i="60"/>
  <c r="M50" i="60"/>
  <c r="K50" i="60"/>
  <c r="G50" i="60"/>
  <c r="S49" i="60"/>
  <c r="Q49" i="60"/>
  <c r="O49" i="60"/>
  <c r="N49" i="60"/>
  <c r="M49" i="60"/>
  <c r="K49" i="60"/>
  <c r="G49" i="60"/>
  <c r="S48" i="60"/>
  <c r="Q48" i="60"/>
  <c r="O48" i="60"/>
  <c r="N48" i="60"/>
  <c r="M48" i="60"/>
  <c r="K48" i="60"/>
  <c r="G48" i="60"/>
  <c r="S47" i="60"/>
  <c r="Q47" i="60"/>
  <c r="O47" i="60"/>
  <c r="N47" i="60"/>
  <c r="M47" i="60"/>
  <c r="K47" i="60"/>
  <c r="G47" i="60"/>
  <c r="S46" i="60"/>
  <c r="Q46" i="60"/>
  <c r="O46" i="60"/>
  <c r="N46" i="60"/>
  <c r="M46" i="60"/>
  <c r="K46" i="60"/>
  <c r="G46" i="60"/>
  <c r="S45" i="60"/>
  <c r="Q45" i="60"/>
  <c r="O45" i="60"/>
  <c r="N45" i="60"/>
  <c r="M45" i="60"/>
  <c r="K45" i="60"/>
  <c r="G45" i="60"/>
  <c r="S44" i="60"/>
  <c r="Q44" i="60"/>
  <c r="O44" i="60"/>
  <c r="N44" i="60"/>
  <c r="M44" i="60"/>
  <c r="K44" i="60"/>
  <c r="G44" i="60"/>
  <c r="S43" i="60"/>
  <c r="Q43" i="60"/>
  <c r="O43" i="60"/>
  <c r="N43" i="60"/>
  <c r="M43" i="60"/>
  <c r="K43" i="60"/>
  <c r="G43" i="60"/>
  <c r="Y42" i="60"/>
  <c r="S42" i="60"/>
  <c r="Q42" i="60"/>
  <c r="O42" i="60"/>
  <c r="N42" i="60"/>
  <c r="M42" i="60"/>
  <c r="K42" i="60"/>
  <c r="G42" i="60"/>
  <c r="Y41" i="60"/>
  <c r="S41" i="60"/>
  <c r="Q41" i="60"/>
  <c r="O41" i="60"/>
  <c r="N41" i="60"/>
  <c r="M41" i="60"/>
  <c r="K41" i="60"/>
  <c r="G41" i="60"/>
  <c r="Y40" i="60"/>
  <c r="S40" i="60"/>
  <c r="Q40" i="60"/>
  <c r="O40" i="60"/>
  <c r="N40" i="60"/>
  <c r="M40" i="60"/>
  <c r="K40" i="60"/>
  <c r="G40" i="60"/>
  <c r="X12" i="60"/>
  <c r="Y39" i="60"/>
  <c r="S39" i="60"/>
  <c r="Q39" i="60"/>
  <c r="O39" i="60"/>
  <c r="N39" i="60"/>
  <c r="M39" i="60"/>
  <c r="K39" i="60"/>
  <c r="G39" i="60"/>
  <c r="Y38" i="60"/>
  <c r="Y37" i="60"/>
  <c r="Y36" i="60"/>
  <c r="Q16" i="60"/>
  <c r="R36" i="60"/>
  <c r="P36" i="60"/>
  <c r="Y35" i="60"/>
  <c r="Y34" i="60"/>
  <c r="Y31" i="60"/>
  <c r="Y32" i="60"/>
  <c r="Y33" i="60"/>
  <c r="S34" i="60"/>
  <c r="R34" i="60"/>
  <c r="Q34" i="60"/>
  <c r="P34" i="60"/>
  <c r="N34" i="60"/>
  <c r="M34" i="60"/>
  <c r="L34" i="60"/>
  <c r="K34" i="60"/>
  <c r="S31" i="60"/>
  <c r="R31" i="60"/>
  <c r="Q31" i="60"/>
  <c r="P31" i="60"/>
  <c r="N31" i="60"/>
  <c r="M31" i="60"/>
  <c r="L31" i="60"/>
  <c r="K31" i="60"/>
  <c r="A31" i="60"/>
  <c r="AE7" i="60"/>
  <c r="AF7" i="60"/>
  <c r="AG7" i="60"/>
  <c r="AH7" i="60"/>
  <c r="AI7" i="60"/>
  <c r="AG21" i="60"/>
  <c r="AE10" i="60"/>
  <c r="AF10" i="60"/>
  <c r="AG10" i="60"/>
  <c r="AH10" i="60"/>
  <c r="AI10" i="60"/>
  <c r="AG24" i="60"/>
  <c r="AG28" i="60"/>
  <c r="I31" i="60"/>
  <c r="AF21" i="60"/>
  <c r="AF24" i="60"/>
  <c r="AF28" i="60"/>
  <c r="H31" i="60"/>
  <c r="AE19" i="60"/>
  <c r="AE20" i="60"/>
  <c r="AE21" i="60"/>
  <c r="AE22" i="60"/>
  <c r="AE23" i="60"/>
  <c r="AE24" i="60"/>
  <c r="AE25" i="60"/>
  <c r="AE26" i="60"/>
  <c r="AE27" i="60"/>
  <c r="AE28" i="60"/>
  <c r="G31" i="60"/>
  <c r="S50" i="59"/>
  <c r="Q50" i="59"/>
  <c r="O50" i="59"/>
  <c r="N50" i="59"/>
  <c r="M50" i="59"/>
  <c r="K50" i="59"/>
  <c r="G50" i="59"/>
  <c r="S49" i="59"/>
  <c r="Q49" i="59"/>
  <c r="O49" i="59"/>
  <c r="N49" i="59"/>
  <c r="M49" i="59"/>
  <c r="K49" i="59"/>
  <c r="G49" i="59"/>
  <c r="S48" i="59"/>
  <c r="Q48" i="59"/>
  <c r="O48" i="59"/>
  <c r="N48" i="59"/>
  <c r="M48" i="59"/>
  <c r="K48" i="59"/>
  <c r="G48" i="59"/>
  <c r="S47" i="59"/>
  <c r="Q47" i="59"/>
  <c r="O47" i="59"/>
  <c r="N47" i="59"/>
  <c r="M47" i="59"/>
  <c r="K47" i="59"/>
  <c r="G47" i="59"/>
  <c r="S46" i="59"/>
  <c r="Q46" i="59"/>
  <c r="O46" i="59"/>
  <c r="N46" i="59"/>
  <c r="M46" i="59"/>
  <c r="K46" i="59"/>
  <c r="G46" i="59"/>
  <c r="S45" i="59"/>
  <c r="Q45" i="59"/>
  <c r="O45" i="59"/>
  <c r="N45" i="59"/>
  <c r="M45" i="59"/>
  <c r="K45" i="59"/>
  <c r="G45" i="59"/>
  <c r="S44" i="59"/>
  <c r="Q44" i="59"/>
  <c r="O44" i="59"/>
  <c r="N44" i="59"/>
  <c r="M44" i="59"/>
  <c r="K44" i="59"/>
  <c r="G44" i="59"/>
  <c r="S43" i="59"/>
  <c r="Q43" i="59"/>
  <c r="O43" i="59"/>
  <c r="N43" i="59"/>
  <c r="M43" i="59"/>
  <c r="K43" i="59"/>
  <c r="G43" i="59"/>
  <c r="X15" i="59"/>
  <c r="Y42" i="59"/>
  <c r="S42" i="59"/>
  <c r="Q42" i="59"/>
  <c r="O42" i="59"/>
  <c r="N42" i="59"/>
  <c r="M42" i="59"/>
  <c r="K42" i="59"/>
  <c r="G42" i="59"/>
  <c r="Y41" i="59"/>
  <c r="S41" i="59"/>
  <c r="Q41" i="59"/>
  <c r="O41" i="59"/>
  <c r="N41" i="59"/>
  <c r="M41" i="59"/>
  <c r="K41" i="59"/>
  <c r="G41" i="59"/>
  <c r="X13" i="59"/>
  <c r="Y40" i="59"/>
  <c r="S40" i="59"/>
  <c r="Q40" i="59"/>
  <c r="O40" i="59"/>
  <c r="N40" i="59"/>
  <c r="M40" i="59"/>
  <c r="K40" i="59"/>
  <c r="G40" i="59"/>
  <c r="X12" i="59"/>
  <c r="Y39" i="59"/>
  <c r="S39" i="59"/>
  <c r="Q39" i="59"/>
  <c r="O39" i="59"/>
  <c r="N39" i="59"/>
  <c r="M39" i="59"/>
  <c r="K39" i="59"/>
  <c r="G39" i="59"/>
  <c r="X11" i="59"/>
  <c r="Y38" i="59"/>
  <c r="X10" i="59"/>
  <c r="Y37" i="59"/>
  <c r="Y36" i="59"/>
  <c r="Q16" i="59"/>
  <c r="R16" i="59"/>
  <c r="R36" i="59"/>
  <c r="P36" i="59"/>
  <c r="Y35" i="59"/>
  <c r="X7" i="59"/>
  <c r="Y34" i="59"/>
  <c r="Y31" i="59"/>
  <c r="Y32" i="59"/>
  <c r="Y33" i="59"/>
  <c r="S34" i="59"/>
  <c r="R34" i="59"/>
  <c r="Q34" i="59"/>
  <c r="P34" i="59"/>
  <c r="N34" i="59"/>
  <c r="M34" i="59"/>
  <c r="L34" i="59"/>
  <c r="K34" i="59"/>
  <c r="S31" i="59"/>
  <c r="R31" i="59"/>
  <c r="Q31" i="59"/>
  <c r="P31" i="59"/>
  <c r="N31" i="59"/>
  <c r="M31" i="59"/>
  <c r="L31" i="59"/>
  <c r="K31" i="59"/>
  <c r="AF19" i="59"/>
  <c r="AF22" i="59"/>
  <c r="AF24" i="59"/>
  <c r="AF25" i="59"/>
  <c r="AF28" i="59"/>
  <c r="H31" i="59"/>
  <c r="AE19" i="59"/>
  <c r="AE20" i="59"/>
  <c r="AE21" i="59"/>
  <c r="AE22" i="59"/>
  <c r="AE23" i="59"/>
  <c r="AE24" i="59"/>
  <c r="AE25" i="59"/>
  <c r="AE26" i="59"/>
  <c r="AE27" i="59"/>
  <c r="AE28" i="59"/>
  <c r="G31" i="59"/>
  <c r="N50" i="58"/>
  <c r="M50" i="58"/>
  <c r="K50" i="58"/>
  <c r="G50" i="58"/>
  <c r="S49" i="58"/>
  <c r="Q49" i="58"/>
  <c r="O49" i="58"/>
  <c r="N49" i="58"/>
  <c r="M49" i="58"/>
  <c r="K49" i="58"/>
  <c r="G49" i="58"/>
  <c r="S48" i="58"/>
  <c r="Q48" i="58"/>
  <c r="O48" i="58"/>
  <c r="N48" i="58"/>
  <c r="M48" i="58"/>
  <c r="K48" i="58"/>
  <c r="G48" i="58"/>
  <c r="S47" i="58"/>
  <c r="Q47" i="58"/>
  <c r="O47" i="58"/>
  <c r="N47" i="58"/>
  <c r="M47" i="58"/>
  <c r="K47" i="58"/>
  <c r="G47" i="58"/>
  <c r="S46" i="58"/>
  <c r="Q46" i="58"/>
  <c r="O46" i="58"/>
  <c r="N46" i="58"/>
  <c r="M46" i="58"/>
  <c r="K46" i="58"/>
  <c r="G46" i="58"/>
  <c r="S45" i="58"/>
  <c r="Q45" i="58"/>
  <c r="O45" i="58"/>
  <c r="N45" i="58"/>
  <c r="M45" i="58"/>
  <c r="K45" i="58"/>
  <c r="G45" i="58"/>
  <c r="S44" i="58"/>
  <c r="Q44" i="58"/>
  <c r="O44" i="58"/>
  <c r="N44" i="58"/>
  <c r="M44" i="58"/>
  <c r="K44" i="58"/>
  <c r="G44" i="58"/>
  <c r="S43" i="58"/>
  <c r="Q43" i="58"/>
  <c r="O43" i="58"/>
  <c r="N43" i="58"/>
  <c r="M43" i="58"/>
  <c r="K43" i="58"/>
  <c r="G43" i="58"/>
  <c r="Y42" i="58"/>
  <c r="S42" i="58"/>
  <c r="Q42" i="58"/>
  <c r="O42" i="58"/>
  <c r="N42" i="58"/>
  <c r="M42" i="58"/>
  <c r="K42" i="58"/>
  <c r="G42" i="58"/>
  <c r="X14" i="58"/>
  <c r="Y41" i="58"/>
  <c r="S41" i="58"/>
  <c r="Q41" i="58"/>
  <c r="O41" i="58"/>
  <c r="N41" i="58"/>
  <c r="M41" i="58"/>
  <c r="K41" i="58"/>
  <c r="G41" i="58"/>
  <c r="Y40" i="58"/>
  <c r="S40" i="58"/>
  <c r="Q40" i="58"/>
  <c r="O40" i="58"/>
  <c r="N40" i="58"/>
  <c r="M40" i="58"/>
  <c r="K40" i="58"/>
  <c r="G40" i="58"/>
  <c r="Y39" i="58"/>
  <c r="S39" i="58"/>
  <c r="Q39" i="58"/>
  <c r="O39" i="58"/>
  <c r="N39" i="58"/>
  <c r="M39" i="58"/>
  <c r="K39" i="58"/>
  <c r="G39" i="58"/>
  <c r="X11" i="58"/>
  <c r="Y38" i="58"/>
  <c r="Y37" i="58"/>
  <c r="Y36" i="58"/>
  <c r="R16" i="58"/>
  <c r="R36" i="58"/>
  <c r="P36" i="58"/>
  <c r="X8" i="58"/>
  <c r="Y35" i="58"/>
  <c r="Y34" i="58"/>
  <c r="Y31" i="58"/>
  <c r="Y32" i="58"/>
  <c r="Y33" i="58"/>
  <c r="S34" i="58"/>
  <c r="R34" i="58"/>
  <c r="Q34" i="58"/>
  <c r="P34" i="58"/>
  <c r="N34" i="58"/>
  <c r="M34" i="58"/>
  <c r="L34" i="58"/>
  <c r="K34" i="58"/>
  <c r="S31" i="58"/>
  <c r="R31" i="58"/>
  <c r="Q31" i="58"/>
  <c r="P31" i="58"/>
  <c r="N31" i="58"/>
  <c r="M31" i="58"/>
  <c r="L31" i="58"/>
  <c r="K31" i="58"/>
  <c r="A31" i="58"/>
  <c r="AE6" i="58"/>
  <c r="AF6" i="58"/>
  <c r="AG6" i="58"/>
  <c r="AH6" i="58"/>
  <c r="AI6" i="58"/>
  <c r="AG20" i="58"/>
  <c r="AE9" i="58"/>
  <c r="AF9" i="58"/>
  <c r="AG9" i="58"/>
  <c r="AH9" i="58"/>
  <c r="AI9" i="58"/>
  <c r="AG23" i="58"/>
  <c r="AE12" i="58"/>
  <c r="AF12" i="58"/>
  <c r="AG12" i="58"/>
  <c r="AH12" i="58"/>
  <c r="AI12" i="58"/>
  <c r="AG26" i="58"/>
  <c r="AE13" i="58"/>
  <c r="AF13" i="58"/>
  <c r="AG13" i="58"/>
  <c r="AH13" i="58"/>
  <c r="AI13" i="58"/>
  <c r="AG27" i="58"/>
  <c r="AG28" i="58"/>
  <c r="I31" i="58"/>
  <c r="AF20" i="58"/>
  <c r="AF23" i="58"/>
  <c r="AF26" i="58"/>
  <c r="AF27" i="58"/>
  <c r="AF28" i="58"/>
  <c r="H31" i="58"/>
  <c r="AE19" i="58"/>
  <c r="AE20" i="58"/>
  <c r="AE21" i="58"/>
  <c r="AE22" i="58"/>
  <c r="AE23" i="58"/>
  <c r="AE24" i="58"/>
  <c r="AE25" i="58"/>
  <c r="AE26" i="58"/>
  <c r="AE27" i="58"/>
  <c r="AE28" i="58"/>
  <c r="G31" i="58"/>
  <c r="N50" i="57"/>
  <c r="M50" i="57"/>
  <c r="K50" i="57"/>
  <c r="G50" i="57"/>
  <c r="S49" i="57"/>
  <c r="Q49" i="57"/>
  <c r="O49" i="57"/>
  <c r="N49" i="57"/>
  <c r="M49" i="57"/>
  <c r="K49" i="57"/>
  <c r="G49" i="57"/>
  <c r="S48" i="57"/>
  <c r="Q48" i="57"/>
  <c r="O48" i="57"/>
  <c r="N48" i="57"/>
  <c r="M48" i="57"/>
  <c r="K48" i="57"/>
  <c r="G48" i="57"/>
  <c r="S47" i="57"/>
  <c r="Q47" i="57"/>
  <c r="O47" i="57"/>
  <c r="N47" i="57"/>
  <c r="M47" i="57"/>
  <c r="K47" i="57"/>
  <c r="G47" i="57"/>
  <c r="S46" i="57"/>
  <c r="Q46" i="57"/>
  <c r="O46" i="57"/>
  <c r="N46" i="57"/>
  <c r="M46" i="57"/>
  <c r="K46" i="57"/>
  <c r="G46" i="57"/>
  <c r="S45" i="57"/>
  <c r="Q45" i="57"/>
  <c r="O45" i="57"/>
  <c r="N45" i="57"/>
  <c r="M45" i="57"/>
  <c r="K45" i="57"/>
  <c r="G45" i="57"/>
  <c r="S44" i="57"/>
  <c r="Q44" i="57"/>
  <c r="O44" i="57"/>
  <c r="N44" i="57"/>
  <c r="M44" i="57"/>
  <c r="K44" i="57"/>
  <c r="G44" i="57"/>
  <c r="S43" i="57"/>
  <c r="Q43" i="57"/>
  <c r="O43" i="57"/>
  <c r="N43" i="57"/>
  <c r="M43" i="57"/>
  <c r="K43" i="57"/>
  <c r="G43" i="57"/>
  <c r="Y42" i="57"/>
  <c r="S42" i="57"/>
  <c r="Q42" i="57"/>
  <c r="O42" i="57"/>
  <c r="N42" i="57"/>
  <c r="M42" i="57"/>
  <c r="K42" i="57"/>
  <c r="G42" i="57"/>
  <c r="Y41" i="57"/>
  <c r="S41" i="57"/>
  <c r="Q41" i="57"/>
  <c r="O41" i="57"/>
  <c r="N41" i="57"/>
  <c r="M41" i="57"/>
  <c r="K41" i="57"/>
  <c r="G41" i="57"/>
  <c r="Y40" i="57"/>
  <c r="S40" i="57"/>
  <c r="Q40" i="57"/>
  <c r="O40" i="57"/>
  <c r="N40" i="57"/>
  <c r="M40" i="57"/>
  <c r="K40" i="57"/>
  <c r="G40" i="57"/>
  <c r="Y39" i="57"/>
  <c r="S39" i="57"/>
  <c r="Q39" i="57"/>
  <c r="O39" i="57"/>
  <c r="N39" i="57"/>
  <c r="M39" i="57"/>
  <c r="K39" i="57"/>
  <c r="G39" i="57"/>
  <c r="Y38" i="57"/>
  <c r="Y37" i="57"/>
  <c r="Y36" i="57"/>
  <c r="R36" i="57"/>
  <c r="P36" i="57"/>
  <c r="Y35" i="57"/>
  <c r="Y34" i="57"/>
  <c r="Y31" i="57"/>
  <c r="Y32" i="57"/>
  <c r="Y33" i="57"/>
  <c r="S34" i="57"/>
  <c r="R34" i="57"/>
  <c r="Q34" i="57"/>
  <c r="P34" i="57"/>
  <c r="N34" i="57"/>
  <c r="M34" i="57"/>
  <c r="L34" i="57"/>
  <c r="K34" i="57"/>
  <c r="R31" i="57"/>
  <c r="Q31" i="57"/>
  <c r="P31" i="57"/>
  <c r="N31" i="57"/>
  <c r="M31" i="57"/>
  <c r="L31" i="57"/>
  <c r="K31" i="57"/>
  <c r="I31" i="57"/>
  <c r="H31" i="57"/>
  <c r="AE20" i="57"/>
  <c r="AE21" i="57"/>
  <c r="AE22" i="57"/>
  <c r="AE23" i="57"/>
  <c r="AE24" i="57"/>
  <c r="AE25" i="57"/>
  <c r="AE26" i="57"/>
  <c r="AE27" i="57"/>
  <c r="AE28" i="57"/>
  <c r="G31" i="57"/>
  <c r="S50" i="56"/>
  <c r="Q50" i="56"/>
  <c r="O50" i="56"/>
  <c r="N50" i="56"/>
  <c r="M50" i="56"/>
  <c r="K50" i="56"/>
  <c r="G50" i="56"/>
  <c r="S49" i="56"/>
  <c r="Q49" i="56"/>
  <c r="O49" i="56"/>
  <c r="N49" i="56"/>
  <c r="M49" i="56"/>
  <c r="K49" i="56"/>
  <c r="G49" i="56"/>
  <c r="S48" i="56"/>
  <c r="Q48" i="56"/>
  <c r="O48" i="56"/>
  <c r="N48" i="56"/>
  <c r="M48" i="56"/>
  <c r="K48" i="56"/>
  <c r="G48" i="56"/>
  <c r="S47" i="56"/>
  <c r="Q47" i="56"/>
  <c r="O47" i="56"/>
  <c r="N47" i="56"/>
  <c r="M47" i="56"/>
  <c r="K47" i="56"/>
  <c r="G47" i="56"/>
  <c r="S46" i="56"/>
  <c r="Q46" i="56"/>
  <c r="O46" i="56"/>
  <c r="N46" i="56"/>
  <c r="M46" i="56"/>
  <c r="K46" i="56"/>
  <c r="G46" i="56"/>
  <c r="S45" i="56"/>
  <c r="Q45" i="56"/>
  <c r="O45" i="56"/>
  <c r="N45" i="56"/>
  <c r="M45" i="56"/>
  <c r="K45" i="56"/>
  <c r="G45" i="56"/>
  <c r="S44" i="56"/>
  <c r="Q44" i="56"/>
  <c r="O44" i="56"/>
  <c r="N44" i="56"/>
  <c r="M44" i="56"/>
  <c r="K44" i="56"/>
  <c r="G44" i="56"/>
  <c r="S43" i="56"/>
  <c r="Q43" i="56"/>
  <c r="O43" i="56"/>
  <c r="N43" i="56"/>
  <c r="M43" i="56"/>
  <c r="K43" i="56"/>
  <c r="G43" i="56"/>
  <c r="Y42" i="56"/>
  <c r="S42" i="56"/>
  <c r="Q42" i="56"/>
  <c r="O42" i="56"/>
  <c r="N42" i="56"/>
  <c r="M42" i="56"/>
  <c r="K42" i="56"/>
  <c r="G42" i="56"/>
  <c r="Y41" i="56"/>
  <c r="S41" i="56"/>
  <c r="Q41" i="56"/>
  <c r="O41" i="56"/>
  <c r="N41" i="56"/>
  <c r="M41" i="56"/>
  <c r="K41" i="56"/>
  <c r="G41" i="56"/>
  <c r="Y40" i="56"/>
  <c r="S40" i="56"/>
  <c r="Q40" i="56"/>
  <c r="O40" i="56"/>
  <c r="N40" i="56"/>
  <c r="M40" i="56"/>
  <c r="K40" i="56"/>
  <c r="G40" i="56"/>
  <c r="Y39" i="56"/>
  <c r="S39" i="56"/>
  <c r="Q39" i="56"/>
  <c r="O39" i="56"/>
  <c r="N39" i="56"/>
  <c r="M39" i="56"/>
  <c r="K39" i="56"/>
  <c r="G39" i="56"/>
  <c r="Y38" i="56"/>
  <c r="Y37" i="56"/>
  <c r="Y36" i="56"/>
  <c r="R16" i="56"/>
  <c r="Q16" i="56"/>
  <c r="R36" i="56"/>
  <c r="P36" i="56"/>
  <c r="Y35" i="56"/>
  <c r="X7" i="56"/>
  <c r="Y34" i="56"/>
  <c r="Y31" i="56"/>
  <c r="Y32" i="56"/>
  <c r="Y33" i="56"/>
  <c r="S34" i="56"/>
  <c r="R34" i="56"/>
  <c r="Q34" i="56"/>
  <c r="P34" i="56"/>
  <c r="N34" i="56"/>
  <c r="M34" i="56"/>
  <c r="L34" i="56"/>
  <c r="K34" i="56"/>
  <c r="S31" i="56"/>
  <c r="R31" i="56"/>
  <c r="Q31" i="56"/>
  <c r="P31" i="56"/>
  <c r="N31" i="56"/>
  <c r="M31" i="56"/>
  <c r="L31" i="56"/>
  <c r="K31" i="56"/>
  <c r="AE5" i="56"/>
  <c r="AF5" i="56"/>
  <c r="AG5" i="56"/>
  <c r="AH5" i="56"/>
  <c r="AI5" i="56"/>
  <c r="AG19" i="56"/>
  <c r="AE6" i="56"/>
  <c r="AF6" i="56"/>
  <c r="AG6" i="56"/>
  <c r="AH6" i="56"/>
  <c r="AI6" i="56"/>
  <c r="AG20" i="56"/>
  <c r="AG28" i="56"/>
  <c r="A31" i="56"/>
  <c r="I31" i="56"/>
  <c r="AF19" i="56"/>
  <c r="AF20" i="56"/>
  <c r="AF28" i="56"/>
  <c r="H31" i="56"/>
  <c r="AE19" i="56"/>
  <c r="AE20" i="56"/>
  <c r="AE21" i="56"/>
  <c r="AE22" i="56"/>
  <c r="AE23" i="56"/>
  <c r="AE24" i="56"/>
  <c r="AE25" i="56"/>
  <c r="AE26" i="56"/>
  <c r="AE27" i="56"/>
  <c r="AE28" i="56"/>
  <c r="G31" i="56"/>
  <c r="S50" i="55"/>
  <c r="Q50" i="55"/>
  <c r="O50" i="55"/>
  <c r="N50" i="55"/>
  <c r="M50" i="55"/>
  <c r="K50" i="55"/>
  <c r="G50" i="55"/>
  <c r="S49" i="55"/>
  <c r="Q49" i="55"/>
  <c r="O49" i="55"/>
  <c r="N49" i="55"/>
  <c r="M49" i="55"/>
  <c r="K49" i="55"/>
  <c r="G49" i="55"/>
  <c r="S48" i="55"/>
  <c r="Q48" i="55"/>
  <c r="O48" i="55"/>
  <c r="N48" i="55"/>
  <c r="M48" i="55"/>
  <c r="K48" i="55"/>
  <c r="G48" i="55"/>
  <c r="S47" i="55"/>
  <c r="Q47" i="55"/>
  <c r="O47" i="55"/>
  <c r="N47" i="55"/>
  <c r="M47" i="55"/>
  <c r="K47" i="55"/>
  <c r="G47" i="55"/>
  <c r="S46" i="55"/>
  <c r="Q46" i="55"/>
  <c r="O46" i="55"/>
  <c r="N46" i="55"/>
  <c r="M46" i="55"/>
  <c r="K46" i="55"/>
  <c r="G46" i="55"/>
  <c r="S45" i="55"/>
  <c r="Q45" i="55"/>
  <c r="O45" i="55"/>
  <c r="N45" i="55"/>
  <c r="M45" i="55"/>
  <c r="K45" i="55"/>
  <c r="G45" i="55"/>
  <c r="S44" i="55"/>
  <c r="Q44" i="55"/>
  <c r="O44" i="55"/>
  <c r="N44" i="55"/>
  <c r="M44" i="55"/>
  <c r="K44" i="55"/>
  <c r="G44" i="55"/>
  <c r="S43" i="55"/>
  <c r="Q43" i="55"/>
  <c r="O43" i="55"/>
  <c r="N43" i="55"/>
  <c r="M43" i="55"/>
  <c r="K43" i="55"/>
  <c r="G43" i="55"/>
  <c r="Y42" i="55"/>
  <c r="S42" i="55"/>
  <c r="Q42" i="55"/>
  <c r="O42" i="55"/>
  <c r="N42" i="55"/>
  <c r="M42" i="55"/>
  <c r="K42" i="55"/>
  <c r="G42" i="55"/>
  <c r="Y41" i="55"/>
  <c r="S41" i="55"/>
  <c r="Q41" i="55"/>
  <c r="O41" i="55"/>
  <c r="N41" i="55"/>
  <c r="M41" i="55"/>
  <c r="K41" i="55"/>
  <c r="G41" i="55"/>
  <c r="Y40" i="55"/>
  <c r="S40" i="55"/>
  <c r="Q40" i="55"/>
  <c r="O40" i="55"/>
  <c r="N40" i="55"/>
  <c r="M40" i="55"/>
  <c r="K40" i="55"/>
  <c r="G40" i="55"/>
  <c r="Y39" i="55"/>
  <c r="S39" i="55"/>
  <c r="Q39" i="55"/>
  <c r="O39" i="55"/>
  <c r="N39" i="55"/>
  <c r="M39" i="55"/>
  <c r="K39" i="55"/>
  <c r="G39" i="55"/>
  <c r="Y38" i="55"/>
  <c r="Y37" i="55"/>
  <c r="Y36" i="55"/>
  <c r="R16" i="55"/>
  <c r="Q16" i="55"/>
  <c r="R36" i="55"/>
  <c r="P36" i="55"/>
  <c r="Y35" i="55"/>
  <c r="X7" i="55"/>
  <c r="Y34" i="55"/>
  <c r="Y31" i="55"/>
  <c r="Y32" i="55"/>
  <c r="Y33" i="55"/>
  <c r="S34" i="55"/>
  <c r="R34" i="55"/>
  <c r="Q34" i="55"/>
  <c r="P34" i="55"/>
  <c r="N34" i="55"/>
  <c r="M34" i="55"/>
  <c r="L34" i="55"/>
  <c r="K34" i="55"/>
  <c r="S31" i="55"/>
  <c r="R31" i="55"/>
  <c r="Q31" i="55"/>
  <c r="P31" i="55"/>
  <c r="N31" i="55"/>
  <c r="M31" i="55"/>
  <c r="L31" i="55"/>
  <c r="K31" i="55"/>
  <c r="AE5" i="55"/>
  <c r="AF5" i="55"/>
  <c r="AG5" i="55"/>
  <c r="AH5" i="55"/>
  <c r="AI5" i="55"/>
  <c r="AG19" i="55"/>
  <c r="AE6" i="55"/>
  <c r="AF6" i="55"/>
  <c r="AG6" i="55"/>
  <c r="AH6" i="55"/>
  <c r="AI6" i="55"/>
  <c r="AG20" i="55"/>
  <c r="AE12" i="55"/>
  <c r="AF12" i="55"/>
  <c r="AG12" i="55"/>
  <c r="AH12" i="55"/>
  <c r="AI12" i="55"/>
  <c r="AG26" i="55"/>
  <c r="AG28" i="55"/>
  <c r="I31" i="55"/>
  <c r="AF19" i="55"/>
  <c r="AF20" i="55"/>
  <c r="AF26" i="55"/>
  <c r="AF28" i="55"/>
  <c r="H31" i="55"/>
  <c r="AE19" i="55"/>
  <c r="AE20" i="55"/>
  <c r="AE21" i="55"/>
  <c r="AE22" i="55"/>
  <c r="AE23" i="55"/>
  <c r="AE24" i="55"/>
  <c r="AE25" i="55"/>
  <c r="AE26" i="55"/>
  <c r="AE27" i="55"/>
  <c r="AE28" i="55"/>
  <c r="G31" i="55"/>
  <c r="S50" i="54"/>
  <c r="O50" i="54"/>
  <c r="N50" i="54"/>
  <c r="M50" i="54"/>
  <c r="K50" i="54"/>
  <c r="G50" i="54"/>
  <c r="S49" i="54"/>
  <c r="Q49" i="54"/>
  <c r="O49" i="54"/>
  <c r="N49" i="54"/>
  <c r="M49" i="54"/>
  <c r="K49" i="54"/>
  <c r="G49" i="54"/>
  <c r="S48" i="54"/>
  <c r="Q48" i="54"/>
  <c r="O48" i="54"/>
  <c r="N48" i="54"/>
  <c r="M48" i="54"/>
  <c r="K48" i="54"/>
  <c r="G48" i="54"/>
  <c r="S47" i="54"/>
  <c r="Q47" i="54"/>
  <c r="O47" i="54"/>
  <c r="N47" i="54"/>
  <c r="M47" i="54"/>
  <c r="K47" i="54"/>
  <c r="G47" i="54"/>
  <c r="S46" i="54"/>
  <c r="Q46" i="54"/>
  <c r="O46" i="54"/>
  <c r="N46" i="54"/>
  <c r="M46" i="54"/>
  <c r="K46" i="54"/>
  <c r="G46" i="54"/>
  <c r="S45" i="54"/>
  <c r="Q45" i="54"/>
  <c r="O45" i="54"/>
  <c r="N45" i="54"/>
  <c r="M45" i="54"/>
  <c r="K45" i="54"/>
  <c r="G45" i="54"/>
  <c r="S44" i="54"/>
  <c r="Q44" i="54"/>
  <c r="O44" i="54"/>
  <c r="N44" i="54"/>
  <c r="M44" i="54"/>
  <c r="K44" i="54"/>
  <c r="G44" i="54"/>
  <c r="S43" i="54"/>
  <c r="Q43" i="54"/>
  <c r="O43" i="54"/>
  <c r="N43" i="54"/>
  <c r="M43" i="54"/>
  <c r="K43" i="54"/>
  <c r="G43" i="54"/>
  <c r="Y42" i="54"/>
  <c r="S42" i="54"/>
  <c r="Q42" i="54"/>
  <c r="O42" i="54"/>
  <c r="N42" i="54"/>
  <c r="M42" i="54"/>
  <c r="K42" i="54"/>
  <c r="G42" i="54"/>
  <c r="Y41" i="54"/>
  <c r="S41" i="54"/>
  <c r="Q41" i="54"/>
  <c r="O41" i="54"/>
  <c r="N41" i="54"/>
  <c r="M41" i="54"/>
  <c r="K41" i="54"/>
  <c r="G41" i="54"/>
  <c r="Y40" i="54"/>
  <c r="S40" i="54"/>
  <c r="Q40" i="54"/>
  <c r="O40" i="54"/>
  <c r="N40" i="54"/>
  <c r="M40" i="54"/>
  <c r="K40" i="54"/>
  <c r="G40" i="54"/>
  <c r="Y39" i="54"/>
  <c r="S39" i="54"/>
  <c r="Q39" i="54"/>
  <c r="O39" i="54"/>
  <c r="N39" i="54"/>
  <c r="M39" i="54"/>
  <c r="K39" i="54"/>
  <c r="G39" i="54"/>
  <c r="Y38" i="54"/>
  <c r="Y37" i="54"/>
  <c r="Y36" i="54"/>
  <c r="R36" i="54"/>
  <c r="P36" i="54"/>
  <c r="Y35" i="54"/>
  <c r="Y34" i="54"/>
  <c r="Y31" i="54"/>
  <c r="Y32" i="54"/>
  <c r="Y33" i="54"/>
  <c r="S34" i="54"/>
  <c r="R34" i="54"/>
  <c r="Q34" i="54"/>
  <c r="P34" i="54"/>
  <c r="N34" i="54"/>
  <c r="M34" i="54"/>
  <c r="L34" i="54"/>
  <c r="K34" i="54"/>
  <c r="S31" i="54"/>
  <c r="R31" i="54"/>
  <c r="Q31" i="54"/>
  <c r="P31" i="54"/>
  <c r="N31" i="54"/>
  <c r="M31" i="54"/>
  <c r="L31" i="54"/>
  <c r="K31" i="54"/>
  <c r="A31" i="54"/>
  <c r="AE6" i="54"/>
  <c r="AF6" i="54"/>
  <c r="AG6" i="54"/>
  <c r="AH6" i="54"/>
  <c r="AI6" i="54"/>
  <c r="AG20" i="54"/>
  <c r="AG28" i="54"/>
  <c r="I31" i="54"/>
  <c r="AF20" i="54"/>
  <c r="AF28" i="54"/>
  <c r="H31" i="54"/>
  <c r="AE20" i="54"/>
  <c r="AE21" i="54"/>
  <c r="AE22" i="54"/>
  <c r="AE23" i="54"/>
  <c r="AE24" i="54"/>
  <c r="AE25" i="54"/>
  <c r="AE26" i="54"/>
  <c r="AE27" i="54"/>
  <c r="AE28" i="54"/>
  <c r="G31" i="54"/>
  <c r="S50" i="53"/>
  <c r="Q50" i="53"/>
  <c r="O50" i="53"/>
  <c r="N50" i="53"/>
  <c r="M50" i="53"/>
  <c r="K50" i="53"/>
  <c r="G50" i="53"/>
  <c r="S49" i="53"/>
  <c r="Q49" i="53"/>
  <c r="O49" i="53"/>
  <c r="N49" i="53"/>
  <c r="M49" i="53"/>
  <c r="K49" i="53"/>
  <c r="G49" i="53"/>
  <c r="S48" i="53"/>
  <c r="Q48" i="53"/>
  <c r="O48" i="53"/>
  <c r="N48" i="53"/>
  <c r="M48" i="53"/>
  <c r="K48" i="53"/>
  <c r="G48" i="53"/>
  <c r="S47" i="53"/>
  <c r="Q47" i="53"/>
  <c r="O47" i="53"/>
  <c r="N47" i="53"/>
  <c r="M47" i="53"/>
  <c r="K47" i="53"/>
  <c r="G47" i="53"/>
  <c r="S46" i="53"/>
  <c r="Q46" i="53"/>
  <c r="O46" i="53"/>
  <c r="N46" i="53"/>
  <c r="M46" i="53"/>
  <c r="K46" i="53"/>
  <c r="G46" i="53"/>
  <c r="S45" i="53"/>
  <c r="Q45" i="53"/>
  <c r="O45" i="53"/>
  <c r="N45" i="53"/>
  <c r="M45" i="53"/>
  <c r="K45" i="53"/>
  <c r="G45" i="53"/>
  <c r="S44" i="53"/>
  <c r="Q44" i="53"/>
  <c r="O44" i="53"/>
  <c r="N44" i="53"/>
  <c r="M44" i="53"/>
  <c r="K44" i="53"/>
  <c r="G44" i="53"/>
  <c r="S43" i="53"/>
  <c r="Q43" i="53"/>
  <c r="O43" i="53"/>
  <c r="N43" i="53"/>
  <c r="M43" i="53"/>
  <c r="K43" i="53"/>
  <c r="G43" i="53"/>
  <c r="X15" i="53"/>
  <c r="Y42" i="53"/>
  <c r="S42" i="53"/>
  <c r="Q42" i="53"/>
  <c r="O42" i="53"/>
  <c r="N42" i="53"/>
  <c r="M42" i="53"/>
  <c r="K42" i="53"/>
  <c r="G42" i="53"/>
  <c r="X14" i="53"/>
  <c r="Y41" i="53"/>
  <c r="S41" i="53"/>
  <c r="Q41" i="53"/>
  <c r="O41" i="53"/>
  <c r="N41" i="53"/>
  <c r="M41" i="53"/>
  <c r="K41" i="53"/>
  <c r="G41" i="53"/>
  <c r="X13" i="53"/>
  <c r="Y40" i="53"/>
  <c r="S40" i="53"/>
  <c r="Q40" i="53"/>
  <c r="O40" i="53"/>
  <c r="N40" i="53"/>
  <c r="M40" i="53"/>
  <c r="K40" i="53"/>
  <c r="G40" i="53"/>
  <c r="X12" i="53"/>
  <c r="Y39" i="53"/>
  <c r="S39" i="53"/>
  <c r="Q39" i="53"/>
  <c r="O39" i="53"/>
  <c r="N39" i="53"/>
  <c r="M39" i="53"/>
  <c r="K39" i="53"/>
  <c r="G39" i="53"/>
  <c r="X11" i="53"/>
  <c r="Y38" i="53"/>
  <c r="X10" i="53"/>
  <c r="Y37" i="53"/>
  <c r="X9" i="53"/>
  <c r="Y36" i="53"/>
  <c r="R16" i="53"/>
  <c r="Q16" i="53"/>
  <c r="R36" i="53"/>
  <c r="P36" i="53"/>
  <c r="X8" i="53"/>
  <c r="Y35" i="53"/>
  <c r="X7" i="53"/>
  <c r="Y34" i="53"/>
  <c r="Y31" i="53"/>
  <c r="Y32" i="53"/>
  <c r="Y33" i="53"/>
  <c r="S34" i="53"/>
  <c r="R34" i="53"/>
  <c r="Q34" i="53"/>
  <c r="P34" i="53"/>
  <c r="N34" i="53"/>
  <c r="M34" i="53"/>
  <c r="L34" i="53"/>
  <c r="K34" i="53"/>
  <c r="S31" i="53"/>
  <c r="R31" i="53"/>
  <c r="Q31" i="53"/>
  <c r="P31" i="53"/>
  <c r="N31" i="53"/>
  <c r="M31" i="53"/>
  <c r="L31" i="53"/>
  <c r="K31" i="53"/>
  <c r="AE5" i="53"/>
  <c r="AF5" i="53"/>
  <c r="AG5" i="53"/>
  <c r="AH5" i="53"/>
  <c r="AI5" i="53"/>
  <c r="AG19" i="53"/>
  <c r="AE8" i="53"/>
  <c r="AF8" i="53"/>
  <c r="AG8" i="53"/>
  <c r="AH8" i="53"/>
  <c r="AI8" i="53"/>
  <c r="AG22" i="53"/>
  <c r="AG28" i="53"/>
  <c r="A31" i="53"/>
  <c r="I31" i="53"/>
  <c r="AF19" i="53"/>
  <c r="AF22" i="53"/>
  <c r="AF28" i="53"/>
  <c r="H31" i="53"/>
  <c r="AE19" i="53"/>
  <c r="AE20" i="53"/>
  <c r="AE21" i="53"/>
  <c r="AE22" i="53"/>
  <c r="AE23" i="53"/>
  <c r="AE24" i="53"/>
  <c r="AE25" i="53"/>
  <c r="AE26" i="53"/>
  <c r="AE27" i="53"/>
  <c r="AE28" i="53"/>
  <c r="G31" i="53"/>
  <c r="S50" i="52"/>
  <c r="Q50" i="52"/>
  <c r="O50" i="52"/>
  <c r="N50" i="52"/>
  <c r="M50" i="52"/>
  <c r="K50" i="52"/>
  <c r="G50" i="52"/>
  <c r="S49" i="52"/>
  <c r="Q49" i="52"/>
  <c r="O49" i="52"/>
  <c r="N49" i="52"/>
  <c r="M49" i="52"/>
  <c r="K49" i="52"/>
  <c r="G49" i="52"/>
  <c r="S48" i="52"/>
  <c r="Q48" i="52"/>
  <c r="O48" i="52"/>
  <c r="N48" i="52"/>
  <c r="M48" i="52"/>
  <c r="K48" i="52"/>
  <c r="G48" i="52"/>
  <c r="S47" i="52"/>
  <c r="Q47" i="52"/>
  <c r="O47" i="52"/>
  <c r="N47" i="52"/>
  <c r="M47" i="52"/>
  <c r="K47" i="52"/>
  <c r="G47" i="52"/>
  <c r="S46" i="52"/>
  <c r="Q46" i="52"/>
  <c r="O46" i="52"/>
  <c r="N46" i="52"/>
  <c r="M46" i="52"/>
  <c r="K46" i="52"/>
  <c r="G46" i="52"/>
  <c r="S45" i="52"/>
  <c r="Q45" i="52"/>
  <c r="O45" i="52"/>
  <c r="N45" i="52"/>
  <c r="M45" i="52"/>
  <c r="K45" i="52"/>
  <c r="G45" i="52"/>
  <c r="S44" i="52"/>
  <c r="Q44" i="52"/>
  <c r="O44" i="52"/>
  <c r="N44" i="52"/>
  <c r="M44" i="52"/>
  <c r="K44" i="52"/>
  <c r="G44" i="52"/>
  <c r="S43" i="52"/>
  <c r="Q43" i="52"/>
  <c r="O43" i="52"/>
  <c r="N43" i="52"/>
  <c r="M43" i="52"/>
  <c r="K43" i="52"/>
  <c r="G43" i="52"/>
  <c r="Y42" i="52"/>
  <c r="S42" i="52"/>
  <c r="Q42" i="52"/>
  <c r="O42" i="52"/>
  <c r="N42" i="52"/>
  <c r="M42" i="52"/>
  <c r="K42" i="52"/>
  <c r="G42" i="52"/>
  <c r="Y41" i="52"/>
  <c r="S41" i="52"/>
  <c r="Q41" i="52"/>
  <c r="O41" i="52"/>
  <c r="N41" i="52"/>
  <c r="M41" i="52"/>
  <c r="K41" i="52"/>
  <c r="G41" i="52"/>
  <c r="Y40" i="52"/>
  <c r="S40" i="52"/>
  <c r="Q40" i="52"/>
  <c r="O40" i="52"/>
  <c r="N40" i="52"/>
  <c r="M40" i="52"/>
  <c r="K40" i="52"/>
  <c r="G40" i="52"/>
  <c r="Y39" i="52"/>
  <c r="S39" i="52"/>
  <c r="Q39" i="52"/>
  <c r="O39" i="52"/>
  <c r="N39" i="52"/>
  <c r="M39" i="52"/>
  <c r="K39" i="52"/>
  <c r="G39" i="52"/>
  <c r="Y38" i="52"/>
  <c r="Y37" i="52"/>
  <c r="Y36" i="52"/>
  <c r="R36" i="52"/>
  <c r="P36" i="52"/>
  <c r="Y35" i="52"/>
  <c r="Y34" i="52"/>
  <c r="Y31" i="52"/>
  <c r="Y32" i="52"/>
  <c r="Y33" i="52"/>
  <c r="S34" i="52"/>
  <c r="R34" i="52"/>
  <c r="Q34" i="52"/>
  <c r="P34" i="52"/>
  <c r="N34" i="52"/>
  <c r="M34" i="52"/>
  <c r="L34" i="52"/>
  <c r="K34" i="52"/>
  <c r="S31" i="52"/>
  <c r="R31" i="52"/>
  <c r="Q31" i="52"/>
  <c r="P31" i="52"/>
  <c r="N31" i="52"/>
  <c r="M31" i="52"/>
  <c r="L31" i="52"/>
  <c r="K31" i="52"/>
  <c r="A31" i="52"/>
  <c r="I31" i="52"/>
  <c r="H31" i="52"/>
  <c r="AE19" i="52"/>
  <c r="AE20" i="52"/>
  <c r="AE21" i="52"/>
  <c r="AE22" i="52"/>
  <c r="AE23" i="52"/>
  <c r="AE24" i="52"/>
  <c r="AE25" i="52"/>
  <c r="AE26" i="52"/>
  <c r="AE28" i="52"/>
  <c r="G31" i="52"/>
  <c r="N50" i="51"/>
  <c r="M50" i="51"/>
  <c r="K50" i="51"/>
  <c r="G50" i="51"/>
  <c r="S49" i="51"/>
  <c r="Q49" i="51"/>
  <c r="O49" i="51"/>
  <c r="N49" i="51"/>
  <c r="M49" i="51"/>
  <c r="K49" i="51"/>
  <c r="G49" i="51"/>
  <c r="S47" i="51"/>
  <c r="Q47" i="51"/>
  <c r="O47" i="51"/>
  <c r="N47" i="51"/>
  <c r="M47" i="51"/>
  <c r="K47" i="51"/>
  <c r="G47" i="51"/>
  <c r="S46" i="51"/>
  <c r="Q46" i="51"/>
  <c r="O46" i="51"/>
  <c r="N46" i="51"/>
  <c r="M46" i="51"/>
  <c r="K46" i="51"/>
  <c r="G46" i="51"/>
  <c r="S45" i="51"/>
  <c r="Q45" i="51"/>
  <c r="O45" i="51"/>
  <c r="N45" i="51"/>
  <c r="M45" i="51"/>
  <c r="K45" i="51"/>
  <c r="G45" i="51"/>
  <c r="S44" i="51"/>
  <c r="Q44" i="51"/>
  <c r="O44" i="51"/>
  <c r="N44" i="51"/>
  <c r="M44" i="51"/>
  <c r="K44" i="51"/>
  <c r="G44" i="51"/>
  <c r="S43" i="51"/>
  <c r="Q43" i="51"/>
  <c r="O43" i="51"/>
  <c r="N43" i="51"/>
  <c r="M43" i="51"/>
  <c r="K43" i="51"/>
  <c r="G43" i="51"/>
  <c r="X15" i="51"/>
  <c r="Y42" i="51"/>
  <c r="S42" i="51"/>
  <c r="Q42" i="51"/>
  <c r="O42" i="51"/>
  <c r="N42" i="51"/>
  <c r="M42" i="51"/>
  <c r="K42" i="51"/>
  <c r="G42" i="51"/>
  <c r="X14" i="51"/>
  <c r="Y41" i="51"/>
  <c r="S41" i="51"/>
  <c r="Q41" i="51"/>
  <c r="O41" i="51"/>
  <c r="N41" i="51"/>
  <c r="M41" i="51"/>
  <c r="K41" i="51"/>
  <c r="G41" i="51"/>
  <c r="Y40" i="51"/>
  <c r="S40" i="51"/>
  <c r="Q40" i="51"/>
  <c r="O40" i="51"/>
  <c r="N40" i="51"/>
  <c r="M40" i="51"/>
  <c r="K40" i="51"/>
  <c r="G40" i="51"/>
  <c r="X12" i="51"/>
  <c r="Y39" i="51"/>
  <c r="S39" i="51"/>
  <c r="Q39" i="51"/>
  <c r="O39" i="51"/>
  <c r="N39" i="51"/>
  <c r="M39" i="51"/>
  <c r="K39" i="51"/>
  <c r="G39" i="51"/>
  <c r="X11" i="51"/>
  <c r="Y38" i="51"/>
  <c r="X10" i="51"/>
  <c r="Y37" i="51"/>
  <c r="X9" i="51"/>
  <c r="Y36" i="51"/>
  <c r="R16" i="51"/>
  <c r="Q16" i="51"/>
  <c r="R36" i="51"/>
  <c r="P36" i="51"/>
  <c r="X8" i="51"/>
  <c r="Y35" i="51"/>
  <c r="X7" i="51"/>
  <c r="Y34" i="51"/>
  <c r="X4" i="51"/>
  <c r="Y31" i="51"/>
  <c r="X5" i="51"/>
  <c r="Y32" i="51"/>
  <c r="X6" i="51"/>
  <c r="Y33" i="51"/>
  <c r="S34" i="51"/>
  <c r="R34" i="51"/>
  <c r="Q34" i="51"/>
  <c r="P34" i="51"/>
  <c r="N34" i="51"/>
  <c r="M34" i="51"/>
  <c r="L34" i="51"/>
  <c r="K34" i="51"/>
  <c r="S31" i="51"/>
  <c r="R31" i="51"/>
  <c r="Q31" i="51"/>
  <c r="P31" i="51"/>
  <c r="N31" i="51"/>
  <c r="M31" i="51"/>
  <c r="L31" i="51"/>
  <c r="K31" i="51"/>
  <c r="A31" i="51"/>
  <c r="AE2" i="51"/>
  <c r="AF2" i="51"/>
  <c r="AG2" i="51"/>
  <c r="AH2" i="51"/>
  <c r="AI2" i="51"/>
  <c r="AG16" i="51"/>
  <c r="AE3" i="51"/>
  <c r="AF3" i="51"/>
  <c r="AG3" i="51"/>
  <c r="AH3" i="51"/>
  <c r="AI3" i="51"/>
  <c r="AG17" i="51"/>
  <c r="AE4" i="51"/>
  <c r="AF4" i="51"/>
  <c r="AG4" i="51"/>
  <c r="AH4" i="51"/>
  <c r="AI4" i="51"/>
  <c r="AG18" i="51"/>
  <c r="AE5" i="51"/>
  <c r="AF5" i="51"/>
  <c r="AG5" i="51"/>
  <c r="AH5" i="51"/>
  <c r="AI5" i="51"/>
  <c r="AG19" i="51"/>
  <c r="AE6" i="51"/>
  <c r="AF6" i="51"/>
  <c r="AG6" i="51"/>
  <c r="AH6" i="51"/>
  <c r="AI6" i="51"/>
  <c r="AG20" i="51"/>
  <c r="AE7" i="51"/>
  <c r="AF7" i="51"/>
  <c r="AG7" i="51"/>
  <c r="AH7" i="51"/>
  <c r="AI7" i="51"/>
  <c r="AG21" i="51"/>
  <c r="AE8" i="51"/>
  <c r="AF8" i="51"/>
  <c r="AG8" i="51"/>
  <c r="AH8" i="51"/>
  <c r="AI8" i="51"/>
  <c r="AG22" i="51"/>
  <c r="AE9" i="51"/>
  <c r="AF9" i="51"/>
  <c r="AG9" i="51"/>
  <c r="AH9" i="51"/>
  <c r="AI9" i="51"/>
  <c r="AG23" i="51"/>
  <c r="AE10" i="51"/>
  <c r="AF10" i="51"/>
  <c r="AG10" i="51"/>
  <c r="AH10" i="51"/>
  <c r="AI10" i="51"/>
  <c r="AG24" i="51"/>
  <c r="AG25" i="51"/>
  <c r="AE12" i="51"/>
  <c r="AF12" i="51"/>
  <c r="AG12" i="51"/>
  <c r="AH12" i="51"/>
  <c r="AI12" i="51"/>
  <c r="AG26" i="51"/>
  <c r="AE13" i="51"/>
  <c r="AF13" i="51"/>
  <c r="AG13" i="51"/>
  <c r="AH13" i="51"/>
  <c r="AI13" i="51"/>
  <c r="AG27" i="51"/>
  <c r="AG28" i="51"/>
  <c r="I31" i="51"/>
  <c r="AF16" i="51"/>
  <c r="AF17" i="51"/>
  <c r="AF18" i="51"/>
  <c r="AF19" i="51"/>
  <c r="AF20" i="51"/>
  <c r="AF21" i="51"/>
  <c r="AF22" i="51"/>
  <c r="AF23" i="51"/>
  <c r="AF24" i="51"/>
  <c r="AF25" i="51"/>
  <c r="AF26" i="51"/>
  <c r="AF27" i="51"/>
  <c r="AF28" i="51"/>
  <c r="H31" i="51"/>
  <c r="AE19" i="51"/>
  <c r="AE20" i="51"/>
  <c r="AE21" i="51"/>
  <c r="AE22" i="51"/>
  <c r="AE23" i="51"/>
  <c r="AE24" i="51"/>
  <c r="AE16" i="51"/>
  <c r="AE17" i="51"/>
  <c r="AE18" i="51"/>
  <c r="AE27" i="51"/>
  <c r="AE28" i="51"/>
  <c r="G31" i="51"/>
  <c r="S50" i="50"/>
  <c r="O50" i="50"/>
  <c r="N50" i="50"/>
  <c r="M50" i="50"/>
  <c r="K50" i="50"/>
  <c r="G50" i="50"/>
  <c r="S49" i="50"/>
  <c r="Q49" i="50"/>
  <c r="O49" i="50"/>
  <c r="N49" i="50"/>
  <c r="M49" i="50"/>
  <c r="K49" i="50"/>
  <c r="G49" i="50"/>
  <c r="S48" i="50"/>
  <c r="Q48" i="50"/>
  <c r="O48" i="50"/>
  <c r="N48" i="50"/>
  <c r="M48" i="50"/>
  <c r="K48" i="50"/>
  <c r="G48" i="50"/>
  <c r="S47" i="50"/>
  <c r="Q47" i="50"/>
  <c r="O47" i="50"/>
  <c r="N47" i="50"/>
  <c r="M47" i="50"/>
  <c r="K47" i="50"/>
  <c r="G47" i="50"/>
  <c r="S46" i="50"/>
  <c r="Q46" i="50"/>
  <c r="O46" i="50"/>
  <c r="N46" i="50"/>
  <c r="M46" i="50"/>
  <c r="K46" i="50"/>
  <c r="G46" i="50"/>
  <c r="S45" i="50"/>
  <c r="Q45" i="50"/>
  <c r="O45" i="50"/>
  <c r="N45" i="50"/>
  <c r="M45" i="50"/>
  <c r="K45" i="50"/>
  <c r="G45" i="50"/>
  <c r="S44" i="50"/>
  <c r="Q44" i="50"/>
  <c r="O44" i="50"/>
  <c r="N44" i="50"/>
  <c r="M44" i="50"/>
  <c r="K44" i="50"/>
  <c r="G44" i="50"/>
  <c r="S43" i="50"/>
  <c r="Q43" i="50"/>
  <c r="O43" i="50"/>
  <c r="N43" i="50"/>
  <c r="M43" i="50"/>
  <c r="K43" i="50"/>
  <c r="G43" i="50"/>
  <c r="Y42" i="50"/>
  <c r="S42" i="50"/>
  <c r="Q42" i="50"/>
  <c r="O42" i="50"/>
  <c r="N42" i="50"/>
  <c r="M42" i="50"/>
  <c r="K42" i="50"/>
  <c r="G42" i="50"/>
  <c r="Y41" i="50"/>
  <c r="S41" i="50"/>
  <c r="Q41" i="50"/>
  <c r="O41" i="50"/>
  <c r="N41" i="50"/>
  <c r="M41" i="50"/>
  <c r="K41" i="50"/>
  <c r="G41" i="50"/>
  <c r="Y40" i="50"/>
  <c r="S40" i="50"/>
  <c r="Q40" i="50"/>
  <c r="O40" i="50"/>
  <c r="N40" i="50"/>
  <c r="M40" i="50"/>
  <c r="K40" i="50"/>
  <c r="G40" i="50"/>
  <c r="Y39" i="50"/>
  <c r="S39" i="50"/>
  <c r="Q39" i="50"/>
  <c r="O39" i="50"/>
  <c r="N39" i="50"/>
  <c r="M39" i="50"/>
  <c r="K39" i="50"/>
  <c r="G39" i="50"/>
  <c r="Y38" i="50"/>
  <c r="Y37" i="50"/>
  <c r="Y36" i="50"/>
  <c r="R36" i="50"/>
  <c r="P36" i="50"/>
  <c r="Y35" i="50"/>
  <c r="Y34" i="50"/>
  <c r="Y31" i="50"/>
  <c r="Y32" i="50"/>
  <c r="Y33" i="50"/>
  <c r="S34" i="50"/>
  <c r="R34" i="50"/>
  <c r="Q34" i="50"/>
  <c r="P34" i="50"/>
  <c r="N34" i="50"/>
  <c r="M34" i="50"/>
  <c r="L34" i="50"/>
  <c r="K34" i="50"/>
  <c r="S31" i="50"/>
  <c r="R31" i="50"/>
  <c r="Q31" i="50"/>
  <c r="P31" i="50"/>
  <c r="N31" i="50"/>
  <c r="M31" i="50"/>
  <c r="L31" i="50"/>
  <c r="K31" i="50"/>
  <c r="A31" i="50"/>
  <c r="AE13" i="50"/>
  <c r="AF13" i="50"/>
  <c r="AG13" i="50"/>
  <c r="AH13" i="50"/>
  <c r="AI13" i="50"/>
  <c r="AG27" i="50"/>
  <c r="AG28" i="50"/>
  <c r="I31" i="50"/>
  <c r="AF27" i="50"/>
  <c r="AF28" i="50"/>
  <c r="H31" i="50"/>
  <c r="AE20" i="50"/>
  <c r="AE21" i="50"/>
  <c r="AE22" i="50"/>
  <c r="AE23" i="50"/>
  <c r="AE24" i="50"/>
  <c r="AE25" i="50"/>
  <c r="AE26" i="50"/>
  <c r="AE27" i="50"/>
  <c r="AE28" i="50"/>
  <c r="G31" i="50"/>
  <c r="S50" i="49"/>
  <c r="Q50" i="49"/>
  <c r="O50" i="49"/>
  <c r="N50" i="49"/>
  <c r="M50" i="49"/>
  <c r="K50" i="49"/>
  <c r="G50" i="49"/>
  <c r="S49" i="49"/>
  <c r="Q49" i="49"/>
  <c r="O49" i="49"/>
  <c r="N49" i="49"/>
  <c r="M49" i="49"/>
  <c r="K49" i="49"/>
  <c r="G49" i="49"/>
  <c r="S48" i="49"/>
  <c r="Q48" i="49"/>
  <c r="O48" i="49"/>
  <c r="N48" i="49"/>
  <c r="M48" i="49"/>
  <c r="K48" i="49"/>
  <c r="G48" i="49"/>
  <c r="S47" i="49"/>
  <c r="Q47" i="49"/>
  <c r="O47" i="49"/>
  <c r="N47" i="49"/>
  <c r="M47" i="49"/>
  <c r="K47" i="49"/>
  <c r="G47" i="49"/>
  <c r="S46" i="49"/>
  <c r="Q46" i="49"/>
  <c r="O46" i="49"/>
  <c r="N46" i="49"/>
  <c r="M46" i="49"/>
  <c r="K46" i="49"/>
  <c r="G46" i="49"/>
  <c r="S45" i="49"/>
  <c r="Q45" i="49"/>
  <c r="O45" i="49"/>
  <c r="N45" i="49"/>
  <c r="M45" i="49"/>
  <c r="K45" i="49"/>
  <c r="G45" i="49"/>
  <c r="S44" i="49"/>
  <c r="Q44" i="49"/>
  <c r="O44" i="49"/>
  <c r="N44" i="49"/>
  <c r="M44" i="49"/>
  <c r="K44" i="49"/>
  <c r="G44" i="49"/>
  <c r="S43" i="49"/>
  <c r="Q43" i="49"/>
  <c r="O43" i="49"/>
  <c r="N43" i="49"/>
  <c r="M43" i="49"/>
  <c r="K43" i="49"/>
  <c r="G43" i="49"/>
  <c r="Y42" i="49"/>
  <c r="S42" i="49"/>
  <c r="Q42" i="49"/>
  <c r="O42" i="49"/>
  <c r="N42" i="49"/>
  <c r="M42" i="49"/>
  <c r="K42" i="49"/>
  <c r="G42" i="49"/>
  <c r="Y41" i="49"/>
  <c r="S41" i="49"/>
  <c r="Q41" i="49"/>
  <c r="O41" i="49"/>
  <c r="N41" i="49"/>
  <c r="M41" i="49"/>
  <c r="K41" i="49"/>
  <c r="G41" i="49"/>
  <c r="Y40" i="49"/>
  <c r="S40" i="49"/>
  <c r="Q40" i="49"/>
  <c r="O40" i="49"/>
  <c r="N40" i="49"/>
  <c r="M40" i="49"/>
  <c r="K40" i="49"/>
  <c r="G40" i="49"/>
  <c r="Y39" i="49"/>
  <c r="S39" i="49"/>
  <c r="Q39" i="49"/>
  <c r="O39" i="49"/>
  <c r="N39" i="49"/>
  <c r="M39" i="49"/>
  <c r="K39" i="49"/>
  <c r="G39" i="49"/>
  <c r="Y38" i="49"/>
  <c r="Y37" i="49"/>
  <c r="Y36" i="49"/>
  <c r="R36" i="49"/>
  <c r="P36" i="49"/>
  <c r="Y35" i="49"/>
  <c r="Y34" i="49"/>
  <c r="Y31" i="49"/>
  <c r="Y32" i="49"/>
  <c r="Y33" i="49"/>
  <c r="S34" i="49"/>
  <c r="R34" i="49"/>
  <c r="Q34" i="49"/>
  <c r="P34" i="49"/>
  <c r="N34" i="49"/>
  <c r="M34" i="49"/>
  <c r="L34" i="49"/>
  <c r="K34" i="49"/>
  <c r="S31" i="49"/>
  <c r="R31" i="49"/>
  <c r="Q31" i="49"/>
  <c r="P31" i="49"/>
  <c r="N31" i="49"/>
  <c r="M31" i="49"/>
  <c r="L31" i="49"/>
  <c r="K31" i="49"/>
  <c r="AE6" i="49"/>
  <c r="AF6" i="49"/>
  <c r="AG6" i="49"/>
  <c r="AH6" i="49"/>
  <c r="AI6" i="49"/>
  <c r="AG20" i="49"/>
  <c r="AE8" i="49"/>
  <c r="AF8" i="49"/>
  <c r="AG8" i="49"/>
  <c r="AH8" i="49"/>
  <c r="AI8" i="49"/>
  <c r="AG22" i="49"/>
  <c r="AG28" i="49"/>
  <c r="I31" i="49"/>
  <c r="AF20" i="49"/>
  <c r="AF22" i="49"/>
  <c r="AF28" i="49"/>
  <c r="H31" i="49"/>
  <c r="AE20" i="49"/>
  <c r="AE21" i="49"/>
  <c r="AE22" i="49"/>
  <c r="AE23" i="49"/>
  <c r="AE24" i="49"/>
  <c r="AE25" i="49"/>
  <c r="AE26" i="49"/>
  <c r="AE27" i="49"/>
  <c r="AE28" i="49"/>
  <c r="G31" i="49"/>
  <c r="S50" i="48"/>
  <c r="Q50" i="48"/>
  <c r="O50" i="48"/>
  <c r="N50" i="48"/>
  <c r="M50" i="48"/>
  <c r="K50" i="48"/>
  <c r="G50" i="48"/>
  <c r="S49" i="48"/>
  <c r="Q49" i="48"/>
  <c r="O49" i="48"/>
  <c r="N49" i="48"/>
  <c r="M49" i="48"/>
  <c r="K49" i="48"/>
  <c r="G49" i="48"/>
  <c r="S48" i="48"/>
  <c r="Q48" i="48"/>
  <c r="O48" i="48"/>
  <c r="N48" i="48"/>
  <c r="M48" i="48"/>
  <c r="K48" i="48"/>
  <c r="G48" i="48"/>
  <c r="S47" i="48"/>
  <c r="Q47" i="48"/>
  <c r="O47" i="48"/>
  <c r="N47" i="48"/>
  <c r="M47" i="48"/>
  <c r="K47" i="48"/>
  <c r="G47" i="48"/>
  <c r="S46" i="48"/>
  <c r="Q46" i="48"/>
  <c r="O46" i="48"/>
  <c r="N46" i="48"/>
  <c r="M46" i="48"/>
  <c r="K46" i="48"/>
  <c r="G46" i="48"/>
  <c r="S45" i="48"/>
  <c r="Q45" i="48"/>
  <c r="O45" i="48"/>
  <c r="N45" i="48"/>
  <c r="M45" i="48"/>
  <c r="K45" i="48"/>
  <c r="G45" i="48"/>
  <c r="S44" i="48"/>
  <c r="Q44" i="48"/>
  <c r="O44" i="48"/>
  <c r="N44" i="48"/>
  <c r="M44" i="48"/>
  <c r="K44" i="48"/>
  <c r="G44" i="48"/>
  <c r="S43" i="48"/>
  <c r="Q43" i="48"/>
  <c r="O43" i="48"/>
  <c r="N43" i="48"/>
  <c r="M43" i="48"/>
  <c r="K43" i="48"/>
  <c r="G43" i="48"/>
  <c r="X15" i="48"/>
  <c r="Y42" i="48"/>
  <c r="S42" i="48"/>
  <c r="Q42" i="48"/>
  <c r="O42" i="48"/>
  <c r="N42" i="48"/>
  <c r="M42" i="48"/>
  <c r="K42" i="48"/>
  <c r="G42" i="48"/>
  <c r="X14" i="48"/>
  <c r="Y41" i="48"/>
  <c r="S41" i="48"/>
  <c r="Q41" i="48"/>
  <c r="O41" i="48"/>
  <c r="N41" i="48"/>
  <c r="M41" i="48"/>
  <c r="K41" i="48"/>
  <c r="G41" i="48"/>
  <c r="X13" i="48"/>
  <c r="Y40" i="48"/>
  <c r="S40" i="48"/>
  <c r="Q40" i="48"/>
  <c r="O40" i="48"/>
  <c r="N40" i="48"/>
  <c r="M40" i="48"/>
  <c r="K40" i="48"/>
  <c r="G40" i="48"/>
  <c r="Y39" i="48"/>
  <c r="S39" i="48"/>
  <c r="Q39" i="48"/>
  <c r="O39" i="48"/>
  <c r="N39" i="48"/>
  <c r="M39" i="48"/>
  <c r="K39" i="48"/>
  <c r="G39" i="48"/>
  <c r="X11" i="48"/>
  <c r="Y38" i="48"/>
  <c r="X10" i="48"/>
  <c r="Y37" i="48"/>
  <c r="X9" i="48"/>
  <c r="Y36" i="48"/>
  <c r="R16" i="48"/>
  <c r="Q16" i="48"/>
  <c r="R36" i="48"/>
  <c r="P36" i="48"/>
  <c r="X8" i="48"/>
  <c r="Y35" i="48"/>
  <c r="X7" i="48"/>
  <c r="Y34" i="48"/>
  <c r="Y31" i="48"/>
  <c r="Y32" i="48"/>
  <c r="Y33" i="48"/>
  <c r="S34" i="48"/>
  <c r="R34" i="48"/>
  <c r="Q34" i="48"/>
  <c r="P34" i="48"/>
  <c r="N34" i="48"/>
  <c r="M34" i="48"/>
  <c r="L34" i="48"/>
  <c r="K34" i="48"/>
  <c r="S31" i="48"/>
  <c r="R31" i="48"/>
  <c r="Q31" i="48"/>
  <c r="P31" i="48"/>
  <c r="N31" i="48"/>
  <c r="M31" i="48"/>
  <c r="L31" i="48"/>
  <c r="K31" i="48"/>
  <c r="AE5" i="48"/>
  <c r="AF5" i="48"/>
  <c r="AG5" i="48"/>
  <c r="AH5" i="48"/>
  <c r="AI5" i="48"/>
  <c r="AG19" i="48"/>
  <c r="AE10" i="48"/>
  <c r="AF10" i="48"/>
  <c r="AG10" i="48"/>
  <c r="AH10" i="48"/>
  <c r="AI10" i="48"/>
  <c r="AG24" i="48"/>
  <c r="AE11" i="48"/>
  <c r="AF11" i="48"/>
  <c r="AG11" i="48"/>
  <c r="AH11" i="48"/>
  <c r="AI11" i="48"/>
  <c r="AG25" i="48"/>
  <c r="AE12" i="48"/>
  <c r="AF12" i="48"/>
  <c r="AG12" i="48"/>
  <c r="AH12" i="48"/>
  <c r="AI12" i="48"/>
  <c r="AG26" i="48"/>
  <c r="AG28" i="48"/>
  <c r="I31" i="48"/>
  <c r="AF19" i="48"/>
  <c r="AF24" i="48"/>
  <c r="AF25" i="48"/>
  <c r="AF26" i="48"/>
  <c r="AF28" i="48"/>
  <c r="H31" i="48"/>
  <c r="AE19" i="48"/>
  <c r="AE20" i="48"/>
  <c r="AE21" i="48"/>
  <c r="AE22" i="48"/>
  <c r="AE23" i="48"/>
  <c r="AE24" i="48"/>
  <c r="AE25" i="48"/>
  <c r="AE26" i="48"/>
  <c r="AE27" i="48"/>
  <c r="AE28" i="48"/>
  <c r="G31" i="48"/>
  <c r="N50" i="47"/>
  <c r="M50" i="47"/>
  <c r="K50" i="47"/>
  <c r="G50" i="47"/>
  <c r="S49" i="47"/>
  <c r="Q49" i="47"/>
  <c r="O49" i="47"/>
  <c r="N49" i="47"/>
  <c r="M49" i="47"/>
  <c r="K49" i="47"/>
  <c r="G49" i="47"/>
  <c r="S48" i="47"/>
  <c r="Q48" i="47"/>
  <c r="O48" i="47"/>
  <c r="N48" i="47"/>
  <c r="M48" i="47"/>
  <c r="K48" i="47"/>
  <c r="G48" i="47"/>
  <c r="S47" i="47"/>
  <c r="Q47" i="47"/>
  <c r="O47" i="47"/>
  <c r="N47" i="47"/>
  <c r="M47" i="47"/>
  <c r="K47" i="47"/>
  <c r="G47" i="47"/>
  <c r="S46" i="47"/>
  <c r="Q46" i="47"/>
  <c r="O46" i="47"/>
  <c r="N46" i="47"/>
  <c r="M46" i="47"/>
  <c r="K46" i="47"/>
  <c r="G46" i="47"/>
  <c r="S45" i="47"/>
  <c r="Q45" i="47"/>
  <c r="O45" i="47"/>
  <c r="N45" i="47"/>
  <c r="M45" i="47"/>
  <c r="K45" i="47"/>
  <c r="G45" i="47"/>
  <c r="S44" i="47"/>
  <c r="Q44" i="47"/>
  <c r="O44" i="47"/>
  <c r="N44" i="47"/>
  <c r="M44" i="47"/>
  <c r="K44" i="47"/>
  <c r="G44" i="47"/>
  <c r="S43" i="47"/>
  <c r="Q43" i="47"/>
  <c r="O43" i="47"/>
  <c r="N43" i="47"/>
  <c r="M43" i="47"/>
  <c r="K43" i="47"/>
  <c r="G43" i="47"/>
  <c r="Y42" i="47"/>
  <c r="S42" i="47"/>
  <c r="Q42" i="47"/>
  <c r="O42" i="47"/>
  <c r="N42" i="47"/>
  <c r="M42" i="47"/>
  <c r="K42" i="47"/>
  <c r="G42" i="47"/>
  <c r="X14" i="47"/>
  <c r="Y41" i="47"/>
  <c r="S41" i="47"/>
  <c r="Q41" i="47"/>
  <c r="O41" i="47"/>
  <c r="N41" i="47"/>
  <c r="M41" i="47"/>
  <c r="K41" i="47"/>
  <c r="G41" i="47"/>
  <c r="X13" i="47"/>
  <c r="Y40" i="47"/>
  <c r="S40" i="47"/>
  <c r="Q40" i="47"/>
  <c r="O40" i="47"/>
  <c r="N40" i="47"/>
  <c r="M40" i="47"/>
  <c r="K40" i="47"/>
  <c r="G40" i="47"/>
  <c r="Y39" i="47"/>
  <c r="S39" i="47"/>
  <c r="Q39" i="47"/>
  <c r="O39" i="47"/>
  <c r="N39" i="47"/>
  <c r="M39" i="47"/>
  <c r="K39" i="47"/>
  <c r="G39" i="47"/>
  <c r="X11" i="47"/>
  <c r="Y38" i="47"/>
  <c r="X10" i="47"/>
  <c r="Y37" i="47"/>
  <c r="Y36" i="47"/>
  <c r="R36" i="47"/>
  <c r="P36" i="47"/>
  <c r="X8" i="47"/>
  <c r="Y35" i="47"/>
  <c r="Y34" i="47"/>
  <c r="Y31" i="47"/>
  <c r="Y32" i="47"/>
  <c r="Y33" i="47"/>
  <c r="S34" i="47"/>
  <c r="R34" i="47"/>
  <c r="Q34" i="47"/>
  <c r="P34" i="47"/>
  <c r="N34" i="47"/>
  <c r="M34" i="47"/>
  <c r="L34" i="47"/>
  <c r="K34" i="47"/>
  <c r="S31" i="47"/>
  <c r="R31" i="47"/>
  <c r="Q31" i="47"/>
  <c r="P31" i="47"/>
  <c r="N31" i="47"/>
  <c r="M31" i="47"/>
  <c r="L31" i="47"/>
  <c r="K31" i="47"/>
  <c r="AE10" i="47"/>
  <c r="AF10" i="47"/>
  <c r="AG10" i="47"/>
  <c r="AH10" i="47"/>
  <c r="AI10" i="47"/>
  <c r="AG24" i="47"/>
  <c r="AE11" i="47"/>
  <c r="AF11" i="47"/>
  <c r="AG11" i="47"/>
  <c r="AH11" i="47"/>
  <c r="AI11" i="47"/>
  <c r="AG25" i="47"/>
  <c r="AG28" i="47"/>
  <c r="I31" i="47"/>
  <c r="AF24" i="47"/>
  <c r="AF25" i="47"/>
  <c r="AF28" i="47"/>
  <c r="H31" i="47"/>
  <c r="AE20" i="47"/>
  <c r="AE21" i="47"/>
  <c r="AE22" i="47"/>
  <c r="AE23" i="47"/>
  <c r="AE24" i="47"/>
  <c r="AE25" i="47"/>
  <c r="AE26" i="47"/>
  <c r="AE27" i="47"/>
  <c r="AE28" i="47"/>
  <c r="G31" i="47"/>
  <c r="S50" i="46"/>
  <c r="Q50" i="46"/>
  <c r="O50" i="46"/>
  <c r="N50" i="46"/>
  <c r="M50" i="46"/>
  <c r="K50" i="46"/>
  <c r="G50" i="46"/>
  <c r="S49" i="46"/>
  <c r="Q49" i="46"/>
  <c r="O49" i="46"/>
  <c r="N49" i="46"/>
  <c r="M49" i="46"/>
  <c r="K49" i="46"/>
  <c r="G49" i="46"/>
  <c r="S48" i="46"/>
  <c r="Q48" i="46"/>
  <c r="O48" i="46"/>
  <c r="N48" i="46"/>
  <c r="M48" i="46"/>
  <c r="K48" i="46"/>
  <c r="G48" i="46"/>
  <c r="S47" i="46"/>
  <c r="Q47" i="46"/>
  <c r="O47" i="46"/>
  <c r="N47" i="46"/>
  <c r="M47" i="46"/>
  <c r="K47" i="46"/>
  <c r="G47" i="46"/>
  <c r="S46" i="46"/>
  <c r="Q46" i="46"/>
  <c r="O46" i="46"/>
  <c r="N46" i="46"/>
  <c r="M46" i="46"/>
  <c r="K46" i="46"/>
  <c r="G46" i="46"/>
  <c r="S45" i="46"/>
  <c r="Q45" i="46"/>
  <c r="O45" i="46"/>
  <c r="N45" i="46"/>
  <c r="M45" i="46"/>
  <c r="K45" i="46"/>
  <c r="G45" i="46"/>
  <c r="S44" i="46"/>
  <c r="Q44" i="46"/>
  <c r="O44" i="46"/>
  <c r="N44" i="46"/>
  <c r="M44" i="46"/>
  <c r="K44" i="46"/>
  <c r="G44" i="46"/>
  <c r="S43" i="46"/>
  <c r="Q43" i="46"/>
  <c r="O43" i="46"/>
  <c r="N43" i="46"/>
  <c r="M43" i="46"/>
  <c r="K43" i="46"/>
  <c r="G43" i="46"/>
  <c r="Y42" i="46"/>
  <c r="S42" i="46"/>
  <c r="Q42" i="46"/>
  <c r="O42" i="46"/>
  <c r="N42" i="46"/>
  <c r="M42" i="46"/>
  <c r="K42" i="46"/>
  <c r="G42" i="46"/>
  <c r="Y41" i="46"/>
  <c r="S41" i="46"/>
  <c r="Q41" i="46"/>
  <c r="O41" i="46"/>
  <c r="N41" i="46"/>
  <c r="M41" i="46"/>
  <c r="K41" i="46"/>
  <c r="G41" i="46"/>
  <c r="Y40" i="46"/>
  <c r="S40" i="46"/>
  <c r="Q40" i="46"/>
  <c r="O40" i="46"/>
  <c r="N40" i="46"/>
  <c r="M40" i="46"/>
  <c r="K40" i="46"/>
  <c r="G40" i="46"/>
  <c r="Y39" i="46"/>
  <c r="S39" i="46"/>
  <c r="Q39" i="46"/>
  <c r="O39" i="46"/>
  <c r="N39" i="46"/>
  <c r="M39" i="46"/>
  <c r="K39" i="46"/>
  <c r="G39" i="46"/>
  <c r="Y38" i="46"/>
  <c r="Y37" i="46"/>
  <c r="Y36" i="46"/>
  <c r="R36" i="46"/>
  <c r="P36" i="46"/>
  <c r="Y35" i="46"/>
  <c r="Y34" i="46"/>
  <c r="Y31" i="46"/>
  <c r="Y32" i="46"/>
  <c r="Y33" i="46"/>
  <c r="S34" i="46"/>
  <c r="R34" i="46"/>
  <c r="Q34" i="46"/>
  <c r="P34" i="46"/>
  <c r="N34" i="46"/>
  <c r="M34" i="46"/>
  <c r="L34" i="46"/>
  <c r="K34" i="46"/>
  <c r="S31" i="46"/>
  <c r="R31" i="46"/>
  <c r="Q31" i="46"/>
  <c r="P31" i="46"/>
  <c r="N31" i="46"/>
  <c r="M31" i="46"/>
  <c r="L31" i="46"/>
  <c r="K31" i="46"/>
  <c r="AE7" i="46"/>
  <c r="AF7" i="46"/>
  <c r="AG7" i="46"/>
  <c r="AH7" i="46"/>
  <c r="AI7" i="46"/>
  <c r="AG21" i="46"/>
  <c r="AE8" i="46"/>
  <c r="AF8" i="46"/>
  <c r="AG8" i="46"/>
  <c r="AH8" i="46"/>
  <c r="AI8" i="46"/>
  <c r="AG22" i="46"/>
  <c r="AG28" i="46"/>
  <c r="I31" i="46"/>
  <c r="AF21" i="46"/>
  <c r="AF22" i="46"/>
  <c r="AF28" i="46"/>
  <c r="H31" i="46"/>
  <c r="AE20" i="46"/>
  <c r="AE21" i="46"/>
  <c r="AE22" i="46"/>
  <c r="AE23" i="46"/>
  <c r="AE24" i="46"/>
  <c r="AE25" i="46"/>
  <c r="AE26" i="46"/>
  <c r="AE27" i="46"/>
  <c r="AE28" i="46"/>
  <c r="G31" i="46"/>
  <c r="S50" i="45"/>
  <c r="Q50" i="45"/>
  <c r="O50" i="45"/>
  <c r="N50" i="45"/>
  <c r="M50" i="45"/>
  <c r="K50" i="45"/>
  <c r="G50" i="45"/>
  <c r="S49" i="45"/>
  <c r="Q49" i="45"/>
  <c r="O49" i="45"/>
  <c r="N49" i="45"/>
  <c r="M49" i="45"/>
  <c r="K49" i="45"/>
  <c r="G49" i="45"/>
  <c r="S48" i="45"/>
  <c r="Q48" i="45"/>
  <c r="O48" i="45"/>
  <c r="N48" i="45"/>
  <c r="M48" i="45"/>
  <c r="K48" i="45"/>
  <c r="G48" i="45"/>
  <c r="S47" i="45"/>
  <c r="Q47" i="45"/>
  <c r="O47" i="45"/>
  <c r="N47" i="45"/>
  <c r="M47" i="45"/>
  <c r="K47" i="45"/>
  <c r="G47" i="45"/>
  <c r="S46" i="45"/>
  <c r="Q46" i="45"/>
  <c r="O46" i="45"/>
  <c r="N46" i="45"/>
  <c r="M46" i="45"/>
  <c r="K46" i="45"/>
  <c r="G46" i="45"/>
  <c r="S45" i="45"/>
  <c r="Q45" i="45"/>
  <c r="O45" i="45"/>
  <c r="N45" i="45"/>
  <c r="M45" i="45"/>
  <c r="K45" i="45"/>
  <c r="G45" i="45"/>
  <c r="S44" i="45"/>
  <c r="Q44" i="45"/>
  <c r="O44" i="45"/>
  <c r="N44" i="45"/>
  <c r="M44" i="45"/>
  <c r="K44" i="45"/>
  <c r="G44" i="45"/>
  <c r="S43" i="45"/>
  <c r="Q43" i="45"/>
  <c r="O43" i="45"/>
  <c r="N43" i="45"/>
  <c r="M43" i="45"/>
  <c r="K43" i="45"/>
  <c r="G43" i="45"/>
  <c r="Y42" i="45"/>
  <c r="S42" i="45"/>
  <c r="Q42" i="45"/>
  <c r="O42" i="45"/>
  <c r="N42" i="45"/>
  <c r="M42" i="45"/>
  <c r="K42" i="45"/>
  <c r="G42" i="45"/>
  <c r="Y41" i="45"/>
  <c r="S41" i="45"/>
  <c r="Q41" i="45"/>
  <c r="O41" i="45"/>
  <c r="N41" i="45"/>
  <c r="M41" i="45"/>
  <c r="K41" i="45"/>
  <c r="G41" i="45"/>
  <c r="Y40" i="45"/>
  <c r="S40" i="45"/>
  <c r="Q40" i="45"/>
  <c r="O40" i="45"/>
  <c r="N40" i="45"/>
  <c r="M40" i="45"/>
  <c r="K40" i="45"/>
  <c r="G40" i="45"/>
  <c r="Y39" i="45"/>
  <c r="S39" i="45"/>
  <c r="Q39" i="45"/>
  <c r="O39" i="45"/>
  <c r="N39" i="45"/>
  <c r="M39" i="45"/>
  <c r="K39" i="45"/>
  <c r="G39" i="45"/>
  <c r="Y38" i="45"/>
  <c r="Y37" i="45"/>
  <c r="Y36" i="45"/>
  <c r="R36" i="45"/>
  <c r="P36" i="45"/>
  <c r="Y35" i="45"/>
  <c r="Y34" i="45"/>
  <c r="Y31" i="45"/>
  <c r="Y32" i="45"/>
  <c r="Y33" i="45"/>
  <c r="S34" i="45"/>
  <c r="R34" i="45"/>
  <c r="Q34" i="45"/>
  <c r="P34" i="45"/>
  <c r="N34" i="45"/>
  <c r="M34" i="45"/>
  <c r="L34" i="45"/>
  <c r="K34" i="45"/>
  <c r="S31" i="45"/>
  <c r="R31" i="45"/>
  <c r="Q31" i="45"/>
  <c r="P31" i="45"/>
  <c r="N31" i="45"/>
  <c r="M31" i="45"/>
  <c r="L31" i="45"/>
  <c r="K31" i="45"/>
  <c r="AE8" i="45"/>
  <c r="AF8" i="45"/>
  <c r="AG8" i="45"/>
  <c r="AH8" i="45"/>
  <c r="AI8" i="45"/>
  <c r="AG22" i="45"/>
  <c r="AE13" i="45"/>
  <c r="AF13" i="45"/>
  <c r="AG13" i="45"/>
  <c r="AH13" i="45"/>
  <c r="AI13" i="45"/>
  <c r="AG27" i="45"/>
  <c r="AG28" i="45"/>
  <c r="I31" i="45"/>
  <c r="AF22" i="45"/>
  <c r="AF27" i="45"/>
  <c r="AF28" i="45"/>
  <c r="H31" i="45"/>
  <c r="AE20" i="45"/>
  <c r="AE21" i="45"/>
  <c r="AE22" i="45"/>
  <c r="AE23" i="45"/>
  <c r="AE24" i="45"/>
  <c r="AE25" i="45"/>
  <c r="AE26" i="45"/>
  <c r="AE27" i="45"/>
  <c r="AE28" i="45"/>
  <c r="G31" i="45"/>
  <c r="S50" i="43"/>
  <c r="Q50" i="43"/>
  <c r="O50" i="43"/>
  <c r="N50" i="43"/>
  <c r="M50" i="43"/>
  <c r="K50" i="43"/>
  <c r="G50" i="43"/>
  <c r="S49" i="43"/>
  <c r="Q49" i="43"/>
  <c r="O49" i="43"/>
  <c r="N49" i="43"/>
  <c r="M49" i="43"/>
  <c r="K49" i="43"/>
  <c r="G49" i="43"/>
  <c r="S48" i="43"/>
  <c r="Q48" i="43"/>
  <c r="O48" i="43"/>
  <c r="N48" i="43"/>
  <c r="M48" i="43"/>
  <c r="K48" i="43"/>
  <c r="G48" i="43"/>
  <c r="S47" i="43"/>
  <c r="Q47" i="43"/>
  <c r="O47" i="43"/>
  <c r="N47" i="43"/>
  <c r="M47" i="43"/>
  <c r="K47" i="43"/>
  <c r="G47" i="43"/>
  <c r="S46" i="43"/>
  <c r="Q46" i="43"/>
  <c r="O46" i="43"/>
  <c r="N46" i="43"/>
  <c r="M46" i="43"/>
  <c r="K46" i="43"/>
  <c r="G46" i="43"/>
  <c r="S45" i="43"/>
  <c r="Q45" i="43"/>
  <c r="O45" i="43"/>
  <c r="N45" i="43"/>
  <c r="M45" i="43"/>
  <c r="K45" i="43"/>
  <c r="G45" i="43"/>
  <c r="S44" i="43"/>
  <c r="Q44" i="43"/>
  <c r="O44" i="43"/>
  <c r="N44" i="43"/>
  <c r="M44" i="43"/>
  <c r="K44" i="43"/>
  <c r="G44" i="43"/>
  <c r="S43" i="43"/>
  <c r="Q43" i="43"/>
  <c r="O43" i="43"/>
  <c r="N43" i="43"/>
  <c r="M43" i="43"/>
  <c r="K43" i="43"/>
  <c r="G43" i="43"/>
  <c r="Y42" i="43"/>
  <c r="S42" i="43"/>
  <c r="Q42" i="43"/>
  <c r="O42" i="43"/>
  <c r="N42" i="43"/>
  <c r="M42" i="43"/>
  <c r="K42" i="43"/>
  <c r="G42" i="43"/>
  <c r="Y41" i="43"/>
  <c r="S41" i="43"/>
  <c r="Q41" i="43"/>
  <c r="O41" i="43"/>
  <c r="N41" i="43"/>
  <c r="M41" i="43"/>
  <c r="K41" i="43"/>
  <c r="G41" i="43"/>
  <c r="Y40" i="43"/>
  <c r="S40" i="43"/>
  <c r="Q40" i="43"/>
  <c r="O40" i="43"/>
  <c r="N40" i="43"/>
  <c r="M40" i="43"/>
  <c r="K40" i="43"/>
  <c r="G40" i="43"/>
  <c r="Y39" i="43"/>
  <c r="S39" i="43"/>
  <c r="Q39" i="43"/>
  <c r="O39" i="43"/>
  <c r="N39" i="43"/>
  <c r="M39" i="43"/>
  <c r="K39" i="43"/>
  <c r="G39" i="43"/>
  <c r="Y38" i="43"/>
  <c r="Y37" i="43"/>
  <c r="Y36" i="43"/>
  <c r="R36" i="43"/>
  <c r="P36" i="43"/>
  <c r="Y35" i="43"/>
  <c r="Y34" i="43"/>
  <c r="Y31" i="43"/>
  <c r="Y32" i="43"/>
  <c r="Y33" i="43"/>
  <c r="S34" i="43"/>
  <c r="R34" i="43"/>
  <c r="Q34" i="43"/>
  <c r="P34" i="43"/>
  <c r="N34" i="43"/>
  <c r="M34" i="43"/>
  <c r="L34" i="43"/>
  <c r="K34" i="43"/>
  <c r="S31" i="43"/>
  <c r="R31" i="43"/>
  <c r="Q31" i="43"/>
  <c r="P31" i="43"/>
  <c r="N31" i="43"/>
  <c r="M31" i="43"/>
  <c r="L31" i="43"/>
  <c r="K31" i="43"/>
  <c r="A31" i="43"/>
  <c r="AE12" i="43"/>
  <c r="AF12" i="43"/>
  <c r="AG12" i="43"/>
  <c r="AH12" i="43"/>
  <c r="AI12" i="43"/>
  <c r="AG26" i="43"/>
  <c r="AG28" i="43"/>
  <c r="I31" i="43"/>
  <c r="AF26" i="43"/>
  <c r="AF28" i="43"/>
  <c r="H31" i="43"/>
  <c r="AE20" i="43"/>
  <c r="AE21" i="43"/>
  <c r="AE22" i="43"/>
  <c r="AE23" i="43"/>
  <c r="AE24" i="43"/>
  <c r="AE25" i="43"/>
  <c r="AE26" i="43"/>
  <c r="AE27" i="43"/>
  <c r="AE28" i="43"/>
  <c r="G31" i="43"/>
  <c r="S50" i="42"/>
  <c r="Q50" i="42"/>
  <c r="O50" i="42"/>
  <c r="N50" i="42"/>
  <c r="M50" i="42"/>
  <c r="K50" i="42"/>
  <c r="G50" i="42"/>
  <c r="S49" i="42"/>
  <c r="Q49" i="42"/>
  <c r="O49" i="42"/>
  <c r="N49" i="42"/>
  <c r="M49" i="42"/>
  <c r="K49" i="42"/>
  <c r="G49" i="42"/>
  <c r="S48" i="42"/>
  <c r="Q48" i="42"/>
  <c r="O48" i="42"/>
  <c r="N48" i="42"/>
  <c r="M48" i="42"/>
  <c r="K48" i="42"/>
  <c r="G48" i="42"/>
  <c r="S47" i="42"/>
  <c r="Q47" i="42"/>
  <c r="O47" i="42"/>
  <c r="N47" i="42"/>
  <c r="M47" i="42"/>
  <c r="K47" i="42"/>
  <c r="G47" i="42"/>
  <c r="S46" i="42"/>
  <c r="Q46" i="42"/>
  <c r="O46" i="42"/>
  <c r="N46" i="42"/>
  <c r="M46" i="42"/>
  <c r="K46" i="42"/>
  <c r="G46" i="42"/>
  <c r="S45" i="42"/>
  <c r="Q45" i="42"/>
  <c r="O45" i="42"/>
  <c r="N45" i="42"/>
  <c r="M45" i="42"/>
  <c r="K45" i="42"/>
  <c r="G45" i="42"/>
  <c r="S44" i="42"/>
  <c r="Q44" i="42"/>
  <c r="O44" i="42"/>
  <c r="N44" i="42"/>
  <c r="M44" i="42"/>
  <c r="K44" i="42"/>
  <c r="G44" i="42"/>
  <c r="S43" i="42"/>
  <c r="Q43" i="42"/>
  <c r="O43" i="42"/>
  <c r="N43" i="42"/>
  <c r="M43" i="42"/>
  <c r="K43" i="42"/>
  <c r="G43" i="42"/>
  <c r="X15" i="42"/>
  <c r="Y42" i="42"/>
  <c r="S42" i="42"/>
  <c r="Q42" i="42"/>
  <c r="O42" i="42"/>
  <c r="N42" i="42"/>
  <c r="M42" i="42"/>
  <c r="K42" i="42"/>
  <c r="G42" i="42"/>
  <c r="Y41" i="42"/>
  <c r="S41" i="42"/>
  <c r="Q41" i="42"/>
  <c r="O41" i="42"/>
  <c r="N41" i="42"/>
  <c r="M41" i="42"/>
  <c r="K41" i="42"/>
  <c r="G41" i="42"/>
  <c r="Y40" i="42"/>
  <c r="S40" i="42"/>
  <c r="Q40" i="42"/>
  <c r="O40" i="42"/>
  <c r="N40" i="42"/>
  <c r="M40" i="42"/>
  <c r="K40" i="42"/>
  <c r="G40" i="42"/>
  <c r="Y39" i="42"/>
  <c r="S39" i="42"/>
  <c r="Q39" i="42"/>
  <c r="O39" i="42"/>
  <c r="N39" i="42"/>
  <c r="M39" i="42"/>
  <c r="K39" i="42"/>
  <c r="G39" i="42"/>
  <c r="Y38" i="42"/>
  <c r="Y37" i="42"/>
  <c r="Y36" i="42"/>
  <c r="R36" i="42"/>
  <c r="P36" i="42"/>
  <c r="Y35" i="42"/>
  <c r="Y34" i="42"/>
  <c r="Y31" i="42"/>
  <c r="Y32" i="42"/>
  <c r="Y33" i="42"/>
  <c r="S34" i="42"/>
  <c r="R34" i="42"/>
  <c r="Q34" i="42"/>
  <c r="P34" i="42"/>
  <c r="N34" i="42"/>
  <c r="M34" i="42"/>
  <c r="L34" i="42"/>
  <c r="K34" i="42"/>
  <c r="R31" i="42"/>
  <c r="Q31" i="42"/>
  <c r="P31" i="42"/>
  <c r="N31" i="42"/>
  <c r="M31" i="42"/>
  <c r="L31" i="42"/>
  <c r="K31" i="42"/>
  <c r="I31" i="42"/>
  <c r="H31" i="42"/>
  <c r="AE19" i="42"/>
  <c r="AE20" i="42"/>
  <c r="AE21" i="42"/>
  <c r="AE22" i="42"/>
  <c r="AE23" i="42"/>
  <c r="AE24" i="42"/>
  <c r="AE25" i="42"/>
  <c r="AE26" i="42"/>
  <c r="AE28" i="42"/>
  <c r="G31" i="42"/>
  <c r="S50" i="41"/>
  <c r="Q50" i="41"/>
  <c r="O50" i="41"/>
  <c r="N50" i="41"/>
  <c r="M50" i="41"/>
  <c r="K50" i="41"/>
  <c r="G50" i="41"/>
  <c r="S49" i="41"/>
  <c r="Q49" i="41"/>
  <c r="O49" i="41"/>
  <c r="N49" i="41"/>
  <c r="M49" i="41"/>
  <c r="K49" i="41"/>
  <c r="G49" i="41"/>
  <c r="S48" i="41"/>
  <c r="Q48" i="41"/>
  <c r="O48" i="41"/>
  <c r="N48" i="41"/>
  <c r="M48" i="41"/>
  <c r="K48" i="41"/>
  <c r="G48" i="41"/>
  <c r="S47" i="41"/>
  <c r="Q47" i="41"/>
  <c r="O47" i="41"/>
  <c r="N47" i="41"/>
  <c r="M47" i="41"/>
  <c r="K47" i="41"/>
  <c r="G47" i="41"/>
  <c r="S46" i="41"/>
  <c r="Q46" i="41"/>
  <c r="O46" i="41"/>
  <c r="N46" i="41"/>
  <c r="M46" i="41"/>
  <c r="K46" i="41"/>
  <c r="G46" i="41"/>
  <c r="S45" i="41"/>
  <c r="Q45" i="41"/>
  <c r="O45" i="41"/>
  <c r="N45" i="41"/>
  <c r="M45" i="41"/>
  <c r="K45" i="41"/>
  <c r="G45" i="41"/>
  <c r="S44" i="41"/>
  <c r="Q44" i="41"/>
  <c r="O44" i="41"/>
  <c r="N44" i="41"/>
  <c r="M44" i="41"/>
  <c r="K44" i="41"/>
  <c r="G44" i="41"/>
  <c r="S43" i="41"/>
  <c r="Q43" i="41"/>
  <c r="O43" i="41"/>
  <c r="N43" i="41"/>
  <c r="M43" i="41"/>
  <c r="K43" i="41"/>
  <c r="G43" i="41"/>
  <c r="Y42" i="41"/>
  <c r="S42" i="41"/>
  <c r="Q42" i="41"/>
  <c r="O42" i="41"/>
  <c r="N42" i="41"/>
  <c r="M42" i="41"/>
  <c r="K42" i="41"/>
  <c r="G42" i="41"/>
  <c r="Y41" i="41"/>
  <c r="S41" i="41"/>
  <c r="Q41" i="41"/>
  <c r="O41" i="41"/>
  <c r="N41" i="41"/>
  <c r="M41" i="41"/>
  <c r="K41" i="41"/>
  <c r="G41" i="41"/>
  <c r="Y40" i="41"/>
  <c r="S40" i="41"/>
  <c r="Q40" i="41"/>
  <c r="O40" i="41"/>
  <c r="N40" i="41"/>
  <c r="M40" i="41"/>
  <c r="K40" i="41"/>
  <c r="G40" i="41"/>
  <c r="Y39" i="41"/>
  <c r="S39" i="41"/>
  <c r="Q39" i="41"/>
  <c r="O39" i="41"/>
  <c r="N39" i="41"/>
  <c r="M39" i="41"/>
  <c r="K39" i="41"/>
  <c r="G39" i="41"/>
  <c r="Y38" i="41"/>
  <c r="Y37" i="41"/>
  <c r="Y36" i="41"/>
  <c r="R36" i="41"/>
  <c r="P36" i="41"/>
  <c r="Y35" i="41"/>
  <c r="Y34" i="41"/>
  <c r="Y31" i="41"/>
  <c r="Y32" i="41"/>
  <c r="Y33" i="41"/>
  <c r="S34" i="41"/>
  <c r="R34" i="41"/>
  <c r="Q34" i="41"/>
  <c r="P34" i="41"/>
  <c r="N34" i="41"/>
  <c r="M34" i="41"/>
  <c r="L34" i="41"/>
  <c r="K34" i="41"/>
  <c r="R31" i="41"/>
  <c r="Q31" i="41"/>
  <c r="N31" i="41"/>
  <c r="M31" i="41"/>
  <c r="L31" i="41"/>
  <c r="K31" i="41"/>
  <c r="H31" i="41"/>
  <c r="AE20" i="41"/>
  <c r="AE21" i="41"/>
  <c r="AE22" i="41"/>
  <c r="AE23" i="41"/>
  <c r="AE24" i="41"/>
  <c r="AE25" i="41"/>
  <c r="AE26" i="41"/>
  <c r="AE27" i="41"/>
  <c r="AE28" i="41"/>
  <c r="G31" i="41"/>
  <c r="N50" i="40"/>
  <c r="M50" i="40"/>
  <c r="K50" i="40"/>
  <c r="G50" i="40"/>
  <c r="S49" i="40"/>
  <c r="Q49" i="40"/>
  <c r="O49" i="40"/>
  <c r="N49" i="40"/>
  <c r="M49" i="40"/>
  <c r="K49" i="40"/>
  <c r="G49" i="40"/>
  <c r="S48" i="40"/>
  <c r="Q48" i="40"/>
  <c r="O48" i="40"/>
  <c r="N48" i="40"/>
  <c r="M48" i="40"/>
  <c r="K48" i="40"/>
  <c r="G48" i="40"/>
  <c r="S47" i="40"/>
  <c r="Q47" i="40"/>
  <c r="O47" i="40"/>
  <c r="N47" i="40"/>
  <c r="M47" i="40"/>
  <c r="K47" i="40"/>
  <c r="G47" i="40"/>
  <c r="S46" i="40"/>
  <c r="Q46" i="40"/>
  <c r="O46" i="40"/>
  <c r="N46" i="40"/>
  <c r="M46" i="40"/>
  <c r="K46" i="40"/>
  <c r="G46" i="40"/>
  <c r="S45" i="40"/>
  <c r="Q45" i="40"/>
  <c r="O45" i="40"/>
  <c r="N45" i="40"/>
  <c r="M45" i="40"/>
  <c r="K45" i="40"/>
  <c r="G45" i="40"/>
  <c r="S44" i="40"/>
  <c r="Q44" i="40"/>
  <c r="O44" i="40"/>
  <c r="N44" i="40"/>
  <c r="M44" i="40"/>
  <c r="K44" i="40"/>
  <c r="G44" i="40"/>
  <c r="S43" i="40"/>
  <c r="Q43" i="40"/>
  <c r="O43" i="40"/>
  <c r="N43" i="40"/>
  <c r="M43" i="40"/>
  <c r="K43" i="40"/>
  <c r="G43" i="40"/>
  <c r="Y42" i="40"/>
  <c r="S42" i="40"/>
  <c r="Q42" i="40"/>
  <c r="O42" i="40"/>
  <c r="N42" i="40"/>
  <c r="M42" i="40"/>
  <c r="K42" i="40"/>
  <c r="G42" i="40"/>
  <c r="X14" i="40"/>
  <c r="Y41" i="40"/>
  <c r="S41" i="40"/>
  <c r="Q41" i="40"/>
  <c r="O41" i="40"/>
  <c r="N41" i="40"/>
  <c r="M41" i="40"/>
  <c r="K41" i="40"/>
  <c r="G41" i="40"/>
  <c r="Y40" i="40"/>
  <c r="S40" i="40"/>
  <c r="Q40" i="40"/>
  <c r="O40" i="40"/>
  <c r="N40" i="40"/>
  <c r="M40" i="40"/>
  <c r="K40" i="40"/>
  <c r="G40" i="40"/>
  <c r="Y39" i="40"/>
  <c r="S39" i="40"/>
  <c r="Q39" i="40"/>
  <c r="O39" i="40"/>
  <c r="N39" i="40"/>
  <c r="M39" i="40"/>
  <c r="K39" i="40"/>
  <c r="G39" i="40"/>
  <c r="Y38" i="40"/>
  <c r="Y37" i="40"/>
  <c r="Y36" i="40"/>
  <c r="R16" i="40"/>
  <c r="Q16" i="40"/>
  <c r="R36" i="40"/>
  <c r="P36" i="40"/>
  <c r="X8" i="40"/>
  <c r="Y35" i="40"/>
  <c r="X7" i="40"/>
  <c r="Y34" i="40"/>
  <c r="Y31" i="40"/>
  <c r="Y32" i="40"/>
  <c r="Y33" i="40"/>
  <c r="S34" i="40"/>
  <c r="R34" i="40"/>
  <c r="Q34" i="40"/>
  <c r="P34" i="40"/>
  <c r="N34" i="40"/>
  <c r="M34" i="40"/>
  <c r="L34" i="40"/>
  <c r="K34" i="40"/>
  <c r="R31" i="40"/>
  <c r="Q31" i="40"/>
  <c r="P31" i="40"/>
  <c r="N31" i="40"/>
  <c r="M31" i="40"/>
  <c r="L31" i="40"/>
  <c r="K31" i="40"/>
  <c r="AE5" i="40"/>
  <c r="AF5" i="40"/>
  <c r="AG5" i="40"/>
  <c r="AH5" i="40"/>
  <c r="AI5" i="40"/>
  <c r="AG19" i="40"/>
  <c r="AE8" i="40"/>
  <c r="AF8" i="40"/>
  <c r="AG8" i="40"/>
  <c r="AH8" i="40"/>
  <c r="AI8" i="40"/>
  <c r="AG22" i="40"/>
  <c r="AE11" i="40"/>
  <c r="AF11" i="40"/>
  <c r="AG11" i="40"/>
  <c r="AH11" i="40"/>
  <c r="AI11" i="40"/>
  <c r="AG25" i="40"/>
  <c r="AG28" i="40"/>
  <c r="I31" i="40"/>
  <c r="AF19" i="40"/>
  <c r="AF22" i="40"/>
  <c r="AF25" i="40"/>
  <c r="AF28" i="40"/>
  <c r="H31" i="40"/>
  <c r="AE19" i="40"/>
  <c r="AE20" i="40"/>
  <c r="AE21" i="40"/>
  <c r="AE22" i="40"/>
  <c r="AE23" i="40"/>
  <c r="AE24" i="40"/>
  <c r="AE25" i="40"/>
  <c r="AE26" i="40"/>
  <c r="AE27" i="40"/>
  <c r="AE28" i="40"/>
  <c r="G31" i="40"/>
  <c r="S50" i="39"/>
  <c r="Q50" i="39"/>
  <c r="O50" i="39"/>
  <c r="N50" i="39"/>
  <c r="M50" i="39"/>
  <c r="K50" i="39"/>
  <c r="G50" i="39"/>
  <c r="S49" i="39"/>
  <c r="Q49" i="39"/>
  <c r="O49" i="39"/>
  <c r="N49" i="39"/>
  <c r="M49" i="39"/>
  <c r="K49" i="39"/>
  <c r="G49" i="39"/>
  <c r="S48" i="39"/>
  <c r="Q48" i="39"/>
  <c r="O48" i="39"/>
  <c r="N48" i="39"/>
  <c r="M48" i="39"/>
  <c r="K48" i="39"/>
  <c r="G48" i="39"/>
  <c r="S47" i="39"/>
  <c r="Q47" i="39"/>
  <c r="O47" i="39"/>
  <c r="N47" i="39"/>
  <c r="M47" i="39"/>
  <c r="K47" i="39"/>
  <c r="G47" i="39"/>
  <c r="S46" i="39"/>
  <c r="Q46" i="39"/>
  <c r="O46" i="39"/>
  <c r="N46" i="39"/>
  <c r="M46" i="39"/>
  <c r="K46" i="39"/>
  <c r="G46" i="39"/>
  <c r="S45" i="39"/>
  <c r="Q45" i="39"/>
  <c r="O45" i="39"/>
  <c r="N45" i="39"/>
  <c r="M45" i="39"/>
  <c r="K45" i="39"/>
  <c r="G45" i="39"/>
  <c r="S44" i="39"/>
  <c r="Q44" i="39"/>
  <c r="O44" i="39"/>
  <c r="N44" i="39"/>
  <c r="M44" i="39"/>
  <c r="K44" i="39"/>
  <c r="G44" i="39"/>
  <c r="S43" i="39"/>
  <c r="Q43" i="39"/>
  <c r="O43" i="39"/>
  <c r="N43" i="39"/>
  <c r="M43" i="39"/>
  <c r="K43" i="39"/>
  <c r="G43" i="39"/>
  <c r="X15" i="39"/>
  <c r="Y42" i="39"/>
  <c r="S42" i="39"/>
  <c r="Q42" i="39"/>
  <c r="O42" i="39"/>
  <c r="N42" i="39"/>
  <c r="M42" i="39"/>
  <c r="K42" i="39"/>
  <c r="G42" i="39"/>
  <c r="Y41" i="39"/>
  <c r="S41" i="39"/>
  <c r="Q41" i="39"/>
  <c r="O41" i="39"/>
  <c r="N41" i="39"/>
  <c r="M41" i="39"/>
  <c r="K41" i="39"/>
  <c r="G41" i="39"/>
  <c r="X13" i="39"/>
  <c r="Y40" i="39"/>
  <c r="S40" i="39"/>
  <c r="Q40" i="39"/>
  <c r="O40" i="39"/>
  <c r="N40" i="39"/>
  <c r="M40" i="39"/>
  <c r="K40" i="39"/>
  <c r="G40" i="39"/>
  <c r="Y39" i="39"/>
  <c r="S39" i="39"/>
  <c r="Q39" i="39"/>
  <c r="O39" i="39"/>
  <c r="N39" i="39"/>
  <c r="M39" i="39"/>
  <c r="K39" i="39"/>
  <c r="G39" i="39"/>
  <c r="X11" i="39"/>
  <c r="Y38" i="39"/>
  <c r="Y37" i="39"/>
  <c r="X9" i="39"/>
  <c r="Y36" i="39"/>
  <c r="R16" i="39"/>
  <c r="R36" i="39"/>
  <c r="P36" i="39"/>
  <c r="X8" i="39"/>
  <c r="Y35" i="39"/>
  <c r="Y34" i="39"/>
  <c r="Y31" i="39"/>
  <c r="Y32" i="39"/>
  <c r="Y33" i="39"/>
  <c r="S34" i="39"/>
  <c r="R34" i="39"/>
  <c r="Q34" i="39"/>
  <c r="P34" i="39"/>
  <c r="N34" i="39"/>
  <c r="M34" i="39"/>
  <c r="L34" i="39"/>
  <c r="K34" i="39"/>
  <c r="R31" i="39"/>
  <c r="Q31" i="39"/>
  <c r="P31" i="39"/>
  <c r="N31" i="39"/>
  <c r="M31" i="39"/>
  <c r="L31" i="39"/>
  <c r="K31" i="39"/>
  <c r="AE7" i="39"/>
  <c r="AF7" i="39"/>
  <c r="AG7" i="39"/>
  <c r="AH7" i="39"/>
  <c r="AI7" i="39"/>
  <c r="AG21" i="39"/>
  <c r="AE9" i="39"/>
  <c r="AF9" i="39"/>
  <c r="AG9" i="39"/>
  <c r="AH9" i="39"/>
  <c r="AI9" i="39"/>
  <c r="AG23" i="39"/>
  <c r="AE11" i="39"/>
  <c r="AF11" i="39"/>
  <c r="AG11" i="39"/>
  <c r="AH11" i="39"/>
  <c r="AI11" i="39"/>
  <c r="AG25" i="39"/>
  <c r="AG28" i="39"/>
  <c r="I31" i="39"/>
  <c r="AF21" i="39"/>
  <c r="AF23" i="39"/>
  <c r="AF25" i="39"/>
  <c r="AF28" i="39"/>
  <c r="H31" i="39"/>
  <c r="AE20" i="39"/>
  <c r="AE21" i="39"/>
  <c r="AE22" i="39"/>
  <c r="AE23" i="39"/>
  <c r="AE24" i="39"/>
  <c r="AE25" i="39"/>
  <c r="AE26" i="39"/>
  <c r="AE27" i="39"/>
  <c r="AE28" i="39"/>
  <c r="G31" i="39"/>
  <c r="N50" i="38"/>
  <c r="M50" i="38"/>
  <c r="K50" i="38"/>
  <c r="G50" i="38"/>
  <c r="S49" i="38"/>
  <c r="Q49" i="38"/>
  <c r="O49" i="38"/>
  <c r="N49" i="38"/>
  <c r="M49" i="38"/>
  <c r="K49" i="38"/>
  <c r="G49" i="38"/>
  <c r="S48" i="38"/>
  <c r="Q48" i="38"/>
  <c r="O48" i="38"/>
  <c r="N48" i="38"/>
  <c r="M48" i="38"/>
  <c r="K48" i="38"/>
  <c r="G48" i="38"/>
  <c r="S47" i="38"/>
  <c r="Q47" i="38"/>
  <c r="O47" i="38"/>
  <c r="N47" i="38"/>
  <c r="M47" i="38"/>
  <c r="K47" i="38"/>
  <c r="G47" i="38"/>
  <c r="S46" i="38"/>
  <c r="Q46" i="38"/>
  <c r="O46" i="38"/>
  <c r="N46" i="38"/>
  <c r="M46" i="38"/>
  <c r="K46" i="38"/>
  <c r="G46" i="38"/>
  <c r="S45" i="38"/>
  <c r="Q45" i="38"/>
  <c r="O45" i="38"/>
  <c r="N45" i="38"/>
  <c r="M45" i="38"/>
  <c r="K45" i="38"/>
  <c r="G45" i="38"/>
  <c r="S44" i="38"/>
  <c r="Q44" i="38"/>
  <c r="O44" i="38"/>
  <c r="N44" i="38"/>
  <c r="M44" i="38"/>
  <c r="K44" i="38"/>
  <c r="G44" i="38"/>
  <c r="S43" i="38"/>
  <c r="Q43" i="38"/>
  <c r="O43" i="38"/>
  <c r="N43" i="38"/>
  <c r="M43" i="38"/>
  <c r="K43" i="38"/>
  <c r="G43" i="38"/>
  <c r="Y42" i="38"/>
  <c r="S42" i="38"/>
  <c r="Q42" i="38"/>
  <c r="O42" i="38"/>
  <c r="N42" i="38"/>
  <c r="M42" i="38"/>
  <c r="K42" i="38"/>
  <c r="G42" i="38"/>
  <c r="Y41" i="38"/>
  <c r="S41" i="38"/>
  <c r="Q41" i="38"/>
  <c r="O41" i="38"/>
  <c r="N41" i="38"/>
  <c r="M41" i="38"/>
  <c r="K41" i="38"/>
  <c r="G41" i="38"/>
  <c r="Y40" i="38"/>
  <c r="S40" i="38"/>
  <c r="Q40" i="38"/>
  <c r="O40" i="38"/>
  <c r="N40" i="38"/>
  <c r="M40" i="38"/>
  <c r="K40" i="38"/>
  <c r="G40" i="38"/>
  <c r="Y39" i="38"/>
  <c r="S39" i="38"/>
  <c r="Q39" i="38"/>
  <c r="O39" i="38"/>
  <c r="N39" i="38"/>
  <c r="M39" i="38"/>
  <c r="K39" i="38"/>
  <c r="G39" i="38"/>
  <c r="Y38" i="38"/>
  <c r="Y37" i="38"/>
  <c r="Y36" i="38"/>
  <c r="R36" i="38"/>
  <c r="P36" i="38"/>
  <c r="Y35" i="38"/>
  <c r="Y34" i="38"/>
  <c r="Y31" i="38"/>
  <c r="Y32" i="38"/>
  <c r="Y33" i="38"/>
  <c r="S34" i="38"/>
  <c r="R34" i="38"/>
  <c r="Q34" i="38"/>
  <c r="P34" i="38"/>
  <c r="N34" i="38"/>
  <c r="M34" i="38"/>
  <c r="L34" i="38"/>
  <c r="K34" i="38"/>
  <c r="S31" i="38"/>
  <c r="R31" i="38"/>
  <c r="Q31" i="38"/>
  <c r="P31" i="38"/>
  <c r="N31" i="38"/>
  <c r="M31" i="38"/>
  <c r="L31" i="38"/>
  <c r="K31" i="38"/>
  <c r="A31" i="38"/>
  <c r="AE9" i="38"/>
  <c r="AF9" i="38"/>
  <c r="AG9" i="38"/>
  <c r="AH9" i="38"/>
  <c r="AI9" i="38"/>
  <c r="AG23" i="38"/>
  <c r="AG28" i="38"/>
  <c r="I31" i="38"/>
  <c r="AF23" i="38"/>
  <c r="AF28" i="38"/>
  <c r="H31" i="38"/>
  <c r="AE19" i="38"/>
  <c r="AE20" i="38"/>
  <c r="AE21" i="38"/>
  <c r="AE22" i="38"/>
  <c r="AE23" i="38"/>
  <c r="AE24" i="38"/>
  <c r="AE25" i="38"/>
  <c r="AE26" i="38"/>
  <c r="AE27" i="38"/>
  <c r="AE28" i="38"/>
  <c r="G31" i="38"/>
  <c r="S50" i="37"/>
  <c r="Q50" i="37"/>
  <c r="O50" i="37"/>
  <c r="N50" i="37"/>
  <c r="M50" i="37"/>
  <c r="K50" i="37"/>
  <c r="G50" i="37"/>
  <c r="S49" i="37"/>
  <c r="Q49" i="37"/>
  <c r="O49" i="37"/>
  <c r="N49" i="37"/>
  <c r="M49" i="37"/>
  <c r="K49" i="37"/>
  <c r="G49" i="37"/>
  <c r="S48" i="37"/>
  <c r="Q48" i="37"/>
  <c r="O48" i="37"/>
  <c r="N48" i="37"/>
  <c r="M48" i="37"/>
  <c r="K48" i="37"/>
  <c r="G48" i="37"/>
  <c r="S47" i="37"/>
  <c r="Q47" i="37"/>
  <c r="O47" i="37"/>
  <c r="N47" i="37"/>
  <c r="M47" i="37"/>
  <c r="K47" i="37"/>
  <c r="G47" i="37"/>
  <c r="S46" i="37"/>
  <c r="Q46" i="37"/>
  <c r="O46" i="37"/>
  <c r="N46" i="37"/>
  <c r="M46" i="37"/>
  <c r="K46" i="37"/>
  <c r="G46" i="37"/>
  <c r="S45" i="37"/>
  <c r="Q45" i="37"/>
  <c r="O45" i="37"/>
  <c r="N45" i="37"/>
  <c r="M45" i="37"/>
  <c r="K45" i="37"/>
  <c r="G45" i="37"/>
  <c r="S44" i="37"/>
  <c r="Q44" i="37"/>
  <c r="O44" i="37"/>
  <c r="N44" i="37"/>
  <c r="M44" i="37"/>
  <c r="K44" i="37"/>
  <c r="G44" i="37"/>
  <c r="S43" i="37"/>
  <c r="Q43" i="37"/>
  <c r="O43" i="37"/>
  <c r="N43" i="37"/>
  <c r="M43" i="37"/>
  <c r="K43" i="37"/>
  <c r="G43" i="37"/>
  <c r="Y42" i="37"/>
  <c r="S42" i="37"/>
  <c r="Q42" i="37"/>
  <c r="O42" i="37"/>
  <c r="N42" i="37"/>
  <c r="M42" i="37"/>
  <c r="K42" i="37"/>
  <c r="G42" i="37"/>
  <c r="Y41" i="37"/>
  <c r="S41" i="37"/>
  <c r="Q41" i="37"/>
  <c r="O41" i="37"/>
  <c r="N41" i="37"/>
  <c r="M41" i="37"/>
  <c r="K41" i="37"/>
  <c r="G41" i="37"/>
  <c r="X13" i="37"/>
  <c r="Y40" i="37"/>
  <c r="S40" i="37"/>
  <c r="Q40" i="37"/>
  <c r="O40" i="37"/>
  <c r="N40" i="37"/>
  <c r="M40" i="37"/>
  <c r="K40" i="37"/>
  <c r="G40" i="37"/>
  <c r="Y39" i="37"/>
  <c r="S39" i="37"/>
  <c r="Q39" i="37"/>
  <c r="O39" i="37"/>
  <c r="N39" i="37"/>
  <c r="M39" i="37"/>
  <c r="K39" i="37"/>
  <c r="G39" i="37"/>
  <c r="Y38" i="37"/>
  <c r="Y37" i="37"/>
  <c r="Y36" i="37"/>
  <c r="R16" i="37"/>
  <c r="Q16" i="37"/>
  <c r="R36" i="37"/>
  <c r="P36" i="37"/>
  <c r="Y35" i="37"/>
  <c r="X7" i="37"/>
  <c r="Y34" i="37"/>
  <c r="Y31" i="37"/>
  <c r="Y32" i="37"/>
  <c r="Y33" i="37"/>
  <c r="S34" i="37"/>
  <c r="R34" i="37"/>
  <c r="Q34" i="37"/>
  <c r="P34" i="37"/>
  <c r="N34" i="37"/>
  <c r="M34" i="37"/>
  <c r="L34" i="37"/>
  <c r="K34" i="37"/>
  <c r="S31" i="37"/>
  <c r="R31" i="37"/>
  <c r="Q31" i="37"/>
  <c r="P31" i="37"/>
  <c r="N31" i="37"/>
  <c r="M31" i="37"/>
  <c r="L31" i="37"/>
  <c r="K31" i="37"/>
  <c r="AE5" i="37"/>
  <c r="AF5" i="37"/>
  <c r="AG5" i="37"/>
  <c r="AH5" i="37"/>
  <c r="AI5" i="37"/>
  <c r="AG19" i="37"/>
  <c r="AG28" i="37"/>
  <c r="A31" i="37"/>
  <c r="I31" i="37"/>
  <c r="AF19" i="37"/>
  <c r="AF28" i="37"/>
  <c r="H31" i="37"/>
  <c r="AE19" i="37"/>
  <c r="AE20" i="37"/>
  <c r="AE21" i="37"/>
  <c r="AE22" i="37"/>
  <c r="AE23" i="37"/>
  <c r="AE24" i="37"/>
  <c r="AE25" i="37"/>
  <c r="AE26" i="37"/>
  <c r="AE27" i="37"/>
  <c r="AE28" i="37"/>
  <c r="G31" i="37"/>
  <c r="S50" i="36"/>
  <c r="Q50" i="36"/>
  <c r="O50" i="36"/>
  <c r="N50" i="36"/>
  <c r="M50" i="36"/>
  <c r="K50" i="36"/>
  <c r="G50" i="36"/>
  <c r="S49" i="36"/>
  <c r="Q49" i="36"/>
  <c r="O49" i="36"/>
  <c r="N49" i="36"/>
  <c r="M49" i="36"/>
  <c r="K49" i="36"/>
  <c r="G49" i="36"/>
  <c r="S48" i="36"/>
  <c r="Q48" i="36"/>
  <c r="O48" i="36"/>
  <c r="N48" i="36"/>
  <c r="M48" i="36"/>
  <c r="K48" i="36"/>
  <c r="G48" i="36"/>
  <c r="S47" i="36"/>
  <c r="Q47" i="36"/>
  <c r="O47" i="36"/>
  <c r="N47" i="36"/>
  <c r="M47" i="36"/>
  <c r="K47" i="36"/>
  <c r="G47" i="36"/>
  <c r="S46" i="36"/>
  <c r="Q46" i="36"/>
  <c r="O46" i="36"/>
  <c r="N46" i="36"/>
  <c r="M46" i="36"/>
  <c r="K46" i="36"/>
  <c r="G46" i="36"/>
  <c r="S45" i="36"/>
  <c r="Q45" i="36"/>
  <c r="O45" i="36"/>
  <c r="N45" i="36"/>
  <c r="M45" i="36"/>
  <c r="K45" i="36"/>
  <c r="G45" i="36"/>
  <c r="S44" i="36"/>
  <c r="Q44" i="36"/>
  <c r="O44" i="36"/>
  <c r="N44" i="36"/>
  <c r="M44" i="36"/>
  <c r="K44" i="36"/>
  <c r="G44" i="36"/>
  <c r="S43" i="36"/>
  <c r="Q43" i="36"/>
  <c r="O43" i="36"/>
  <c r="N43" i="36"/>
  <c r="M43" i="36"/>
  <c r="K43" i="36"/>
  <c r="G43" i="36"/>
  <c r="X15" i="36"/>
  <c r="Y42" i="36"/>
  <c r="S42" i="36"/>
  <c r="Q42" i="36"/>
  <c r="O42" i="36"/>
  <c r="N42" i="36"/>
  <c r="M42" i="36"/>
  <c r="K42" i="36"/>
  <c r="G42" i="36"/>
  <c r="X14" i="36"/>
  <c r="Y41" i="36"/>
  <c r="S41" i="36"/>
  <c r="Q41" i="36"/>
  <c r="O41" i="36"/>
  <c r="N41" i="36"/>
  <c r="M41" i="36"/>
  <c r="K41" i="36"/>
  <c r="G41" i="36"/>
  <c r="Y40" i="36"/>
  <c r="S40" i="36"/>
  <c r="Q40" i="36"/>
  <c r="O40" i="36"/>
  <c r="N40" i="36"/>
  <c r="M40" i="36"/>
  <c r="K40" i="36"/>
  <c r="G40" i="36"/>
  <c r="Y39" i="36"/>
  <c r="S39" i="36"/>
  <c r="Q39" i="36"/>
  <c r="O39" i="36"/>
  <c r="N39" i="36"/>
  <c r="M39" i="36"/>
  <c r="K39" i="36"/>
  <c r="G39" i="36"/>
  <c r="X11" i="36"/>
  <c r="Y38" i="36"/>
  <c r="Y37" i="36"/>
  <c r="Y36" i="36"/>
  <c r="R16" i="36"/>
  <c r="Q16" i="36"/>
  <c r="R36" i="36"/>
  <c r="P36" i="36"/>
  <c r="Y35" i="36"/>
  <c r="X7" i="36"/>
  <c r="Y34" i="36"/>
  <c r="Y31" i="36"/>
  <c r="Y32" i="36"/>
  <c r="Y33" i="36"/>
  <c r="S34" i="36"/>
  <c r="R34" i="36"/>
  <c r="Q34" i="36"/>
  <c r="P34" i="36"/>
  <c r="N34" i="36"/>
  <c r="M34" i="36"/>
  <c r="L34" i="36"/>
  <c r="K34" i="36"/>
  <c r="S31" i="36"/>
  <c r="R31" i="36"/>
  <c r="Q31" i="36"/>
  <c r="P31" i="36"/>
  <c r="N31" i="36"/>
  <c r="M31" i="36"/>
  <c r="L31" i="36"/>
  <c r="K31" i="36"/>
  <c r="AF19" i="36"/>
  <c r="AF22" i="36"/>
  <c r="AF28" i="36"/>
  <c r="H31" i="36"/>
  <c r="AE19" i="36"/>
  <c r="AE20" i="36"/>
  <c r="AE21" i="36"/>
  <c r="AE22" i="36"/>
  <c r="AE23" i="36"/>
  <c r="AE24" i="36"/>
  <c r="AE25" i="36"/>
  <c r="AE26" i="36"/>
  <c r="AE27" i="36"/>
  <c r="AE28" i="36"/>
  <c r="G31" i="36"/>
  <c r="S50" i="35"/>
  <c r="Q50" i="35"/>
  <c r="O50" i="35"/>
  <c r="N50" i="35"/>
  <c r="M50" i="35"/>
  <c r="K50" i="35"/>
  <c r="G50" i="35"/>
  <c r="S49" i="35"/>
  <c r="Q49" i="35"/>
  <c r="O49" i="35"/>
  <c r="N49" i="35"/>
  <c r="M49" i="35"/>
  <c r="K49" i="35"/>
  <c r="G49" i="35"/>
  <c r="S48" i="35"/>
  <c r="Q48" i="35"/>
  <c r="O48" i="35"/>
  <c r="N48" i="35"/>
  <c r="M48" i="35"/>
  <c r="K48" i="35"/>
  <c r="G48" i="35"/>
  <c r="S47" i="35"/>
  <c r="Q47" i="35"/>
  <c r="O47" i="35"/>
  <c r="N47" i="35"/>
  <c r="M47" i="35"/>
  <c r="K47" i="35"/>
  <c r="G47" i="35"/>
  <c r="S46" i="35"/>
  <c r="Q46" i="35"/>
  <c r="O46" i="35"/>
  <c r="N46" i="35"/>
  <c r="M46" i="35"/>
  <c r="K46" i="35"/>
  <c r="G46" i="35"/>
  <c r="S45" i="35"/>
  <c r="Q45" i="35"/>
  <c r="O45" i="35"/>
  <c r="N45" i="35"/>
  <c r="M45" i="35"/>
  <c r="K45" i="35"/>
  <c r="G45" i="35"/>
  <c r="S44" i="35"/>
  <c r="Q44" i="35"/>
  <c r="O44" i="35"/>
  <c r="N44" i="35"/>
  <c r="M44" i="35"/>
  <c r="K44" i="35"/>
  <c r="G44" i="35"/>
  <c r="S43" i="35"/>
  <c r="Q43" i="35"/>
  <c r="O43" i="35"/>
  <c r="N43" i="35"/>
  <c r="M43" i="35"/>
  <c r="K43" i="35"/>
  <c r="G43" i="35"/>
  <c r="Y42" i="35"/>
  <c r="S42" i="35"/>
  <c r="Q42" i="35"/>
  <c r="O42" i="35"/>
  <c r="N42" i="35"/>
  <c r="M42" i="35"/>
  <c r="K42" i="35"/>
  <c r="G42" i="35"/>
  <c r="X14" i="35"/>
  <c r="Y41" i="35"/>
  <c r="S41" i="35"/>
  <c r="Q41" i="35"/>
  <c r="O41" i="35"/>
  <c r="N41" i="35"/>
  <c r="M41" i="35"/>
  <c r="K41" i="35"/>
  <c r="G41" i="35"/>
  <c r="X13" i="35"/>
  <c r="Y40" i="35"/>
  <c r="S40" i="35"/>
  <c r="Q40" i="35"/>
  <c r="O40" i="35"/>
  <c r="N40" i="35"/>
  <c r="M40" i="35"/>
  <c r="K40" i="35"/>
  <c r="G40" i="35"/>
  <c r="Y39" i="35"/>
  <c r="S39" i="35"/>
  <c r="Q39" i="35"/>
  <c r="O39" i="35"/>
  <c r="N39" i="35"/>
  <c r="M39" i="35"/>
  <c r="K39" i="35"/>
  <c r="G39" i="35"/>
  <c r="X11" i="35"/>
  <c r="Y38" i="35"/>
  <c r="Y37" i="35"/>
  <c r="Y36" i="35"/>
  <c r="R16" i="35"/>
  <c r="Q16" i="35"/>
  <c r="R36" i="35"/>
  <c r="P36" i="35"/>
  <c r="Y35" i="35"/>
  <c r="X7" i="35"/>
  <c r="Y34" i="35"/>
  <c r="Y31" i="35"/>
  <c r="Y32" i="35"/>
  <c r="Y33" i="35"/>
  <c r="S34" i="35"/>
  <c r="R34" i="35"/>
  <c r="Q34" i="35"/>
  <c r="P34" i="35"/>
  <c r="N34" i="35"/>
  <c r="M34" i="35"/>
  <c r="L34" i="35"/>
  <c r="K34" i="35"/>
  <c r="S31" i="35"/>
  <c r="R31" i="35"/>
  <c r="Q31" i="35"/>
  <c r="P31" i="35"/>
  <c r="N31" i="35"/>
  <c r="M31" i="35"/>
  <c r="L31" i="35"/>
  <c r="K31" i="35"/>
  <c r="AE5" i="35"/>
  <c r="AF5" i="35"/>
  <c r="AG5" i="35"/>
  <c r="AH5" i="35"/>
  <c r="AI5" i="35"/>
  <c r="AG19" i="35"/>
  <c r="AE6" i="35"/>
  <c r="AF6" i="35"/>
  <c r="AG6" i="35"/>
  <c r="AH6" i="35"/>
  <c r="AI6" i="35"/>
  <c r="AG20" i="35"/>
  <c r="AG28" i="35"/>
  <c r="A31" i="35"/>
  <c r="I31" i="35"/>
  <c r="AF19" i="35"/>
  <c r="AF20" i="35"/>
  <c r="AF28" i="35"/>
  <c r="H31" i="35"/>
  <c r="AE19" i="35"/>
  <c r="AE20" i="35"/>
  <c r="AE21" i="35"/>
  <c r="AE22" i="35"/>
  <c r="AE23" i="35"/>
  <c r="AE24" i="35"/>
  <c r="AE25" i="35"/>
  <c r="AE26" i="35"/>
  <c r="AE27" i="35"/>
  <c r="AE28" i="35"/>
  <c r="G31" i="35"/>
  <c r="S50" i="34"/>
  <c r="Q50" i="34"/>
  <c r="O50" i="34"/>
  <c r="N50" i="34"/>
  <c r="M50" i="34"/>
  <c r="K50" i="34"/>
  <c r="G50" i="34"/>
  <c r="S49" i="34"/>
  <c r="Q49" i="34"/>
  <c r="O49" i="34"/>
  <c r="N49" i="34"/>
  <c r="M49" i="34"/>
  <c r="K49" i="34"/>
  <c r="G49" i="34"/>
  <c r="S48" i="34"/>
  <c r="Q48" i="34"/>
  <c r="O48" i="34"/>
  <c r="N48" i="34"/>
  <c r="M48" i="34"/>
  <c r="K48" i="34"/>
  <c r="G48" i="34"/>
  <c r="S47" i="34"/>
  <c r="Q47" i="34"/>
  <c r="O47" i="34"/>
  <c r="N47" i="34"/>
  <c r="M47" i="34"/>
  <c r="K47" i="34"/>
  <c r="G47" i="34"/>
  <c r="S46" i="34"/>
  <c r="Q46" i="34"/>
  <c r="O46" i="34"/>
  <c r="N46" i="34"/>
  <c r="M46" i="34"/>
  <c r="K46" i="34"/>
  <c r="G46" i="34"/>
  <c r="S45" i="34"/>
  <c r="Q45" i="34"/>
  <c r="O45" i="34"/>
  <c r="N45" i="34"/>
  <c r="M45" i="34"/>
  <c r="K45" i="34"/>
  <c r="G45" i="34"/>
  <c r="S44" i="34"/>
  <c r="Q44" i="34"/>
  <c r="O44" i="34"/>
  <c r="N44" i="34"/>
  <c r="M44" i="34"/>
  <c r="K44" i="34"/>
  <c r="G44" i="34"/>
  <c r="S43" i="34"/>
  <c r="Q43" i="34"/>
  <c r="O43" i="34"/>
  <c r="N43" i="34"/>
  <c r="M43" i="34"/>
  <c r="K43" i="34"/>
  <c r="G43" i="34"/>
  <c r="X15" i="34"/>
  <c r="Y42" i="34"/>
  <c r="S42" i="34"/>
  <c r="Q42" i="34"/>
  <c r="O42" i="34"/>
  <c r="N42" i="34"/>
  <c r="M42" i="34"/>
  <c r="K42" i="34"/>
  <c r="G42" i="34"/>
  <c r="X14" i="34"/>
  <c r="Y41" i="34"/>
  <c r="S41" i="34"/>
  <c r="Q41" i="34"/>
  <c r="O41" i="34"/>
  <c r="N41" i="34"/>
  <c r="M41" i="34"/>
  <c r="K41" i="34"/>
  <c r="G41" i="34"/>
  <c r="X13" i="34"/>
  <c r="Y40" i="34"/>
  <c r="S40" i="34"/>
  <c r="Q40" i="34"/>
  <c r="O40" i="34"/>
  <c r="N40" i="34"/>
  <c r="M40" i="34"/>
  <c r="K40" i="34"/>
  <c r="G40" i="34"/>
  <c r="X12" i="34"/>
  <c r="Y39" i="34"/>
  <c r="S39" i="34"/>
  <c r="Q39" i="34"/>
  <c r="O39" i="34"/>
  <c r="N39" i="34"/>
  <c r="M39" i="34"/>
  <c r="K39" i="34"/>
  <c r="G39" i="34"/>
  <c r="X11" i="34"/>
  <c r="Y38" i="34"/>
  <c r="X10" i="34"/>
  <c r="Y37" i="34"/>
  <c r="X9" i="34"/>
  <c r="Y36" i="34"/>
  <c r="R16" i="34"/>
  <c r="Q16" i="34"/>
  <c r="R36" i="34"/>
  <c r="P36" i="34"/>
  <c r="X8" i="34"/>
  <c r="Y35" i="34"/>
  <c r="X7" i="34"/>
  <c r="Y34" i="34"/>
  <c r="X4" i="34"/>
  <c r="Y31" i="34"/>
  <c r="X5" i="34"/>
  <c r="Y32" i="34"/>
  <c r="X6" i="34"/>
  <c r="Y33" i="34"/>
  <c r="S34" i="34"/>
  <c r="R34" i="34"/>
  <c r="Q34" i="34"/>
  <c r="P34" i="34"/>
  <c r="N34" i="34"/>
  <c r="M34" i="34"/>
  <c r="L34" i="34"/>
  <c r="K34" i="34"/>
  <c r="S31" i="34"/>
  <c r="R31" i="34"/>
  <c r="Q31" i="34"/>
  <c r="P31" i="34"/>
  <c r="N31" i="34"/>
  <c r="M31" i="34"/>
  <c r="L31" i="34"/>
  <c r="K31" i="34"/>
  <c r="AE6" i="34"/>
  <c r="AF6" i="34"/>
  <c r="AG6" i="34"/>
  <c r="AH6" i="34"/>
  <c r="AI6" i="34"/>
  <c r="AG20" i="34"/>
  <c r="AE2" i="34"/>
  <c r="AF2" i="34"/>
  <c r="AG2" i="34"/>
  <c r="AH2" i="34"/>
  <c r="AI2" i="34"/>
  <c r="AG16" i="34"/>
  <c r="AE3" i="34"/>
  <c r="AF3" i="34"/>
  <c r="AG3" i="34"/>
  <c r="AH3" i="34"/>
  <c r="AI3" i="34"/>
  <c r="AG17" i="34"/>
  <c r="AE4" i="34"/>
  <c r="AF4" i="34"/>
  <c r="AG4" i="34"/>
  <c r="AH4" i="34"/>
  <c r="AI4" i="34"/>
  <c r="AG18" i="34"/>
  <c r="AE5" i="34"/>
  <c r="AF5" i="34"/>
  <c r="AG5" i="34"/>
  <c r="AH5" i="34"/>
  <c r="AI5" i="34"/>
  <c r="AG19" i="34"/>
  <c r="AE7" i="34"/>
  <c r="AF7" i="34"/>
  <c r="AG7" i="34"/>
  <c r="AH7" i="34"/>
  <c r="AI7" i="34"/>
  <c r="AG21" i="34"/>
  <c r="AE8" i="34"/>
  <c r="AF8" i="34"/>
  <c r="AG8" i="34"/>
  <c r="AH8" i="34"/>
  <c r="AI8" i="34"/>
  <c r="AG22" i="34"/>
  <c r="AE9" i="34"/>
  <c r="AF9" i="34"/>
  <c r="AG9" i="34"/>
  <c r="AH9" i="34"/>
  <c r="AI9" i="34"/>
  <c r="AG23" i="34"/>
  <c r="AE10" i="34"/>
  <c r="AF10" i="34"/>
  <c r="AG10" i="34"/>
  <c r="AH10" i="34"/>
  <c r="AI10" i="34"/>
  <c r="AG24" i="34"/>
  <c r="AE11" i="34"/>
  <c r="AF11" i="34"/>
  <c r="AG11" i="34"/>
  <c r="AH11" i="34"/>
  <c r="AI11" i="34"/>
  <c r="AG25" i="34"/>
  <c r="AE12" i="34"/>
  <c r="AF12" i="34"/>
  <c r="AG12" i="34"/>
  <c r="AH12" i="34"/>
  <c r="AI12" i="34"/>
  <c r="AG26" i="34"/>
  <c r="AE13" i="34"/>
  <c r="AF13" i="34"/>
  <c r="AG13" i="34"/>
  <c r="AH13" i="34"/>
  <c r="AI13" i="34"/>
  <c r="AG27" i="34"/>
  <c r="AG28" i="34"/>
  <c r="A31" i="34"/>
  <c r="I31" i="34"/>
  <c r="AF20" i="34"/>
  <c r="AF16" i="34"/>
  <c r="AF17" i="34"/>
  <c r="AF18" i="34"/>
  <c r="AF19" i="34"/>
  <c r="AF21" i="34"/>
  <c r="AF22" i="34"/>
  <c r="AF23" i="34"/>
  <c r="AF24" i="34"/>
  <c r="AF25" i="34"/>
  <c r="AF26" i="34"/>
  <c r="AF27" i="34"/>
  <c r="AF28" i="34"/>
  <c r="H31" i="34"/>
  <c r="AE20" i="34"/>
  <c r="AE21" i="34"/>
  <c r="AE22" i="34"/>
  <c r="AE23" i="34"/>
  <c r="AE24" i="34"/>
  <c r="AE25" i="34"/>
  <c r="AE26" i="34"/>
  <c r="AE27" i="34"/>
  <c r="AE16" i="34"/>
  <c r="AE17" i="34"/>
  <c r="AE18" i="34"/>
  <c r="AE19" i="34"/>
  <c r="AE28" i="34"/>
  <c r="G31" i="34"/>
  <c r="S50" i="33"/>
  <c r="Q50" i="33"/>
  <c r="O50" i="33"/>
  <c r="N50" i="33"/>
  <c r="M50" i="33"/>
  <c r="K50" i="33"/>
  <c r="G50" i="33"/>
  <c r="N49" i="33"/>
  <c r="M49" i="33"/>
  <c r="K49" i="33"/>
  <c r="G49" i="33"/>
  <c r="S48" i="33"/>
  <c r="Q48" i="33"/>
  <c r="O48" i="33"/>
  <c r="N48" i="33"/>
  <c r="M48" i="33"/>
  <c r="K48" i="33"/>
  <c r="G48" i="33"/>
  <c r="S47" i="33"/>
  <c r="Q47" i="33"/>
  <c r="O47" i="33"/>
  <c r="N47" i="33"/>
  <c r="M47" i="33"/>
  <c r="K47" i="33"/>
  <c r="G47" i="33"/>
  <c r="S46" i="33"/>
  <c r="Q46" i="33"/>
  <c r="O46" i="33"/>
  <c r="N46" i="33"/>
  <c r="M46" i="33"/>
  <c r="K46" i="33"/>
  <c r="G46" i="33"/>
  <c r="S45" i="33"/>
  <c r="Q45" i="33"/>
  <c r="O45" i="33"/>
  <c r="N45" i="33"/>
  <c r="M45" i="33"/>
  <c r="K45" i="33"/>
  <c r="G45" i="33"/>
  <c r="S44" i="33"/>
  <c r="Q44" i="33"/>
  <c r="O44" i="33"/>
  <c r="N44" i="33"/>
  <c r="M44" i="33"/>
  <c r="K44" i="33"/>
  <c r="G44" i="33"/>
  <c r="S43" i="33"/>
  <c r="Q43" i="33"/>
  <c r="O43" i="33"/>
  <c r="N43" i="33"/>
  <c r="M43" i="33"/>
  <c r="K43" i="33"/>
  <c r="G43" i="33"/>
  <c r="Y42" i="33"/>
  <c r="S42" i="33"/>
  <c r="Q42" i="33"/>
  <c r="O42" i="33"/>
  <c r="N42" i="33"/>
  <c r="M42" i="33"/>
  <c r="K42" i="33"/>
  <c r="G42" i="33"/>
  <c r="Y41" i="33"/>
  <c r="S41" i="33"/>
  <c r="Q41" i="33"/>
  <c r="O41" i="33"/>
  <c r="N41" i="33"/>
  <c r="M41" i="33"/>
  <c r="K41" i="33"/>
  <c r="G41" i="33"/>
  <c r="Y40" i="33"/>
  <c r="S40" i="33"/>
  <c r="Q40" i="33"/>
  <c r="O40" i="33"/>
  <c r="N40" i="33"/>
  <c r="M40" i="33"/>
  <c r="K40" i="33"/>
  <c r="G40" i="33"/>
  <c r="Y39" i="33"/>
  <c r="S39" i="33"/>
  <c r="Q39" i="33"/>
  <c r="O39" i="33"/>
  <c r="N39" i="33"/>
  <c r="M39" i="33"/>
  <c r="K39" i="33"/>
  <c r="G39" i="33"/>
  <c r="Y38" i="33"/>
  <c r="Y37" i="33"/>
  <c r="Y36" i="33"/>
  <c r="R36" i="33"/>
  <c r="P36" i="33"/>
  <c r="Y35" i="33"/>
  <c r="Y34" i="33"/>
  <c r="Y31" i="33"/>
  <c r="Y32" i="33"/>
  <c r="Y33" i="33"/>
  <c r="S34" i="33"/>
  <c r="R34" i="33"/>
  <c r="Q34" i="33"/>
  <c r="P34" i="33"/>
  <c r="N34" i="33"/>
  <c r="M34" i="33"/>
  <c r="L34" i="33"/>
  <c r="K34" i="33"/>
  <c r="S31" i="33"/>
  <c r="R31" i="33"/>
  <c r="Q31" i="33"/>
  <c r="P31" i="33"/>
  <c r="N31" i="33"/>
  <c r="M31" i="33"/>
  <c r="L31" i="33"/>
  <c r="K31" i="33"/>
  <c r="I31" i="33"/>
  <c r="H31" i="33"/>
  <c r="AE20" i="33"/>
  <c r="AE21" i="33"/>
  <c r="AE22" i="33"/>
  <c r="AE23" i="33"/>
  <c r="AE24" i="33"/>
  <c r="AE25" i="33"/>
  <c r="AE26" i="33"/>
  <c r="AE28" i="33"/>
  <c r="G31" i="33"/>
  <c r="S50" i="32"/>
  <c r="Q50" i="32"/>
  <c r="O50" i="32"/>
  <c r="N50" i="32"/>
  <c r="M50" i="32"/>
  <c r="K50" i="32"/>
  <c r="G50" i="32"/>
  <c r="S49" i="32"/>
  <c r="Q49" i="32"/>
  <c r="O49" i="32"/>
  <c r="N49" i="32"/>
  <c r="M49" i="32"/>
  <c r="K49" i="32"/>
  <c r="G49" i="32"/>
  <c r="S48" i="32"/>
  <c r="Q48" i="32"/>
  <c r="O48" i="32"/>
  <c r="N48" i="32"/>
  <c r="M48" i="32"/>
  <c r="K48" i="32"/>
  <c r="G48" i="32"/>
  <c r="S47" i="32"/>
  <c r="Q47" i="32"/>
  <c r="O47" i="32"/>
  <c r="N47" i="32"/>
  <c r="M47" i="32"/>
  <c r="K47" i="32"/>
  <c r="G47" i="32"/>
  <c r="S46" i="32"/>
  <c r="Q46" i="32"/>
  <c r="O46" i="32"/>
  <c r="N46" i="32"/>
  <c r="M46" i="32"/>
  <c r="K46" i="32"/>
  <c r="G46" i="32"/>
  <c r="S45" i="32"/>
  <c r="Q45" i="32"/>
  <c r="O45" i="32"/>
  <c r="N45" i="32"/>
  <c r="M45" i="32"/>
  <c r="K45" i="32"/>
  <c r="G45" i="32"/>
  <c r="S44" i="32"/>
  <c r="Q44" i="32"/>
  <c r="O44" i="32"/>
  <c r="N44" i="32"/>
  <c r="M44" i="32"/>
  <c r="K44" i="32"/>
  <c r="G44" i="32"/>
  <c r="S43" i="32"/>
  <c r="Q43" i="32"/>
  <c r="O43" i="32"/>
  <c r="N43" i="32"/>
  <c r="M43" i="32"/>
  <c r="K43" i="32"/>
  <c r="G43" i="32"/>
  <c r="X15" i="32"/>
  <c r="Y42" i="32"/>
  <c r="S42" i="32"/>
  <c r="Q42" i="32"/>
  <c r="O42" i="32"/>
  <c r="N42" i="32"/>
  <c r="M42" i="32"/>
  <c r="K42" i="32"/>
  <c r="G42" i="32"/>
  <c r="X14" i="32"/>
  <c r="Y41" i="32"/>
  <c r="S41" i="32"/>
  <c r="Q41" i="32"/>
  <c r="O41" i="32"/>
  <c r="N41" i="32"/>
  <c r="M41" i="32"/>
  <c r="K41" i="32"/>
  <c r="G41" i="32"/>
  <c r="Y40" i="32"/>
  <c r="S40" i="32"/>
  <c r="Q40" i="32"/>
  <c r="O40" i="32"/>
  <c r="N40" i="32"/>
  <c r="M40" i="32"/>
  <c r="K40" i="32"/>
  <c r="G40" i="32"/>
  <c r="X12" i="32"/>
  <c r="Y39" i="32"/>
  <c r="S39" i="32"/>
  <c r="Q39" i="32"/>
  <c r="O39" i="32"/>
  <c r="N39" i="32"/>
  <c r="M39" i="32"/>
  <c r="K39" i="32"/>
  <c r="G39" i="32"/>
  <c r="X11" i="32"/>
  <c r="Y38" i="32"/>
  <c r="Y37" i="32"/>
  <c r="Y36" i="32"/>
  <c r="R16" i="32"/>
  <c r="R36" i="32"/>
  <c r="P36" i="32"/>
  <c r="Y35" i="32"/>
  <c r="Y34" i="32"/>
  <c r="Y31" i="32"/>
  <c r="Y32" i="32"/>
  <c r="Y33" i="32"/>
  <c r="S34" i="32"/>
  <c r="R34" i="32"/>
  <c r="Q34" i="32"/>
  <c r="P34" i="32"/>
  <c r="N34" i="32"/>
  <c r="M34" i="32"/>
  <c r="L34" i="32"/>
  <c r="K34" i="32"/>
  <c r="S31" i="32"/>
  <c r="R31" i="32"/>
  <c r="Q31" i="32"/>
  <c r="P31" i="32"/>
  <c r="N31" i="32"/>
  <c r="M31" i="32"/>
  <c r="L31" i="32"/>
  <c r="K31" i="32"/>
  <c r="A31" i="32"/>
  <c r="AE9" i="32"/>
  <c r="AF9" i="32"/>
  <c r="AG9" i="32"/>
  <c r="AH9" i="32"/>
  <c r="AI9" i="32"/>
  <c r="AG23" i="32"/>
  <c r="AE12" i="32"/>
  <c r="AF12" i="32"/>
  <c r="AG12" i="32"/>
  <c r="AH12" i="32"/>
  <c r="AI12" i="32"/>
  <c r="AG26" i="32"/>
  <c r="AG28" i="32"/>
  <c r="I31" i="32"/>
  <c r="AF23" i="32"/>
  <c r="AF26" i="32"/>
  <c r="AF28" i="32"/>
  <c r="H31" i="32"/>
  <c r="AE20" i="32"/>
  <c r="AE21" i="32"/>
  <c r="AE22" i="32"/>
  <c r="AE23" i="32"/>
  <c r="AE24" i="32"/>
  <c r="AE25" i="32"/>
  <c r="AE26" i="32"/>
  <c r="AE27" i="32"/>
  <c r="AE28" i="32"/>
  <c r="G31" i="32"/>
  <c r="N50" i="31"/>
  <c r="M50" i="31"/>
  <c r="K50" i="31"/>
  <c r="G50" i="31"/>
  <c r="S49" i="31"/>
  <c r="Q49" i="31"/>
  <c r="O49" i="31"/>
  <c r="N49" i="31"/>
  <c r="M49" i="31"/>
  <c r="K49" i="31"/>
  <c r="G49" i="31"/>
  <c r="S48" i="31"/>
  <c r="Q48" i="31"/>
  <c r="O48" i="31"/>
  <c r="N48" i="31"/>
  <c r="M48" i="31"/>
  <c r="K48" i="31"/>
  <c r="G48" i="31"/>
  <c r="S47" i="31"/>
  <c r="Q47" i="31"/>
  <c r="O47" i="31"/>
  <c r="N47" i="31"/>
  <c r="M47" i="31"/>
  <c r="K47" i="31"/>
  <c r="G47" i="31"/>
  <c r="S46" i="31"/>
  <c r="Q46" i="31"/>
  <c r="O46" i="31"/>
  <c r="N46" i="31"/>
  <c r="M46" i="31"/>
  <c r="K46" i="31"/>
  <c r="G46" i="31"/>
  <c r="S45" i="31"/>
  <c r="Q45" i="31"/>
  <c r="O45" i="31"/>
  <c r="N45" i="31"/>
  <c r="M45" i="31"/>
  <c r="K45" i="31"/>
  <c r="G45" i="31"/>
  <c r="S44" i="31"/>
  <c r="Q44" i="31"/>
  <c r="O44" i="31"/>
  <c r="N44" i="31"/>
  <c r="M44" i="31"/>
  <c r="K44" i="31"/>
  <c r="G44" i="31"/>
  <c r="S43" i="31"/>
  <c r="Q43" i="31"/>
  <c r="O43" i="31"/>
  <c r="N43" i="31"/>
  <c r="M43" i="31"/>
  <c r="K43" i="31"/>
  <c r="G43" i="31"/>
  <c r="Y42" i="31"/>
  <c r="S42" i="31"/>
  <c r="Q42" i="31"/>
  <c r="O42" i="31"/>
  <c r="N42" i="31"/>
  <c r="M42" i="31"/>
  <c r="K42" i="31"/>
  <c r="G42" i="31"/>
  <c r="Y41" i="31"/>
  <c r="S41" i="31"/>
  <c r="Q41" i="31"/>
  <c r="O41" i="31"/>
  <c r="N41" i="31"/>
  <c r="M41" i="31"/>
  <c r="K41" i="31"/>
  <c r="G41" i="31"/>
  <c r="Y40" i="31"/>
  <c r="S40" i="31"/>
  <c r="Q40" i="31"/>
  <c r="O40" i="31"/>
  <c r="N40" i="31"/>
  <c r="M40" i="31"/>
  <c r="K40" i="31"/>
  <c r="G40" i="31"/>
  <c r="Y39" i="31"/>
  <c r="S39" i="31"/>
  <c r="Q39" i="31"/>
  <c r="O39" i="31"/>
  <c r="N39" i="31"/>
  <c r="M39" i="31"/>
  <c r="K39" i="31"/>
  <c r="G39" i="31"/>
  <c r="Y38" i="31"/>
  <c r="Y37" i="31"/>
  <c r="Y36" i="31"/>
  <c r="R36" i="31"/>
  <c r="P36" i="31"/>
  <c r="Y35" i="31"/>
  <c r="Y34" i="31"/>
  <c r="Y31" i="31"/>
  <c r="Y32" i="31"/>
  <c r="Y33" i="31"/>
  <c r="S34" i="31"/>
  <c r="R34" i="31"/>
  <c r="Q34" i="31"/>
  <c r="P34" i="31"/>
  <c r="N34" i="31"/>
  <c r="M34" i="31"/>
  <c r="L34" i="31"/>
  <c r="K34" i="31"/>
  <c r="S31" i="31"/>
  <c r="R31" i="31"/>
  <c r="Q31" i="31"/>
  <c r="P31" i="31"/>
  <c r="N31" i="31"/>
  <c r="M31" i="31"/>
  <c r="L31" i="31"/>
  <c r="K31" i="31"/>
  <c r="A31" i="31"/>
  <c r="AE7" i="31"/>
  <c r="AF7" i="31"/>
  <c r="AG7" i="31"/>
  <c r="AH7" i="31"/>
  <c r="AI7" i="31"/>
  <c r="AG21" i="31"/>
  <c r="AE12" i="31"/>
  <c r="AF12" i="31"/>
  <c r="AG12" i="31"/>
  <c r="AH12" i="31"/>
  <c r="AI12" i="31"/>
  <c r="AG26" i="31"/>
  <c r="AE13" i="31"/>
  <c r="AF13" i="31"/>
  <c r="AG13" i="31"/>
  <c r="AH13" i="31"/>
  <c r="AI13" i="31"/>
  <c r="AG27" i="31"/>
  <c r="AG28" i="31"/>
  <c r="I31" i="31"/>
  <c r="AF21" i="31"/>
  <c r="AF26" i="31"/>
  <c r="AF27" i="31"/>
  <c r="AF28" i="31"/>
  <c r="H31" i="31"/>
  <c r="AE19" i="31"/>
  <c r="AE20" i="31"/>
  <c r="AE21" i="31"/>
  <c r="AE22" i="31"/>
  <c r="AE23" i="31"/>
  <c r="AE24" i="31"/>
  <c r="AE25" i="31"/>
  <c r="AE26" i="31"/>
  <c r="AE27" i="31"/>
  <c r="AE28" i="31"/>
  <c r="G31" i="31"/>
  <c r="S50" i="30"/>
  <c r="Q50" i="30"/>
  <c r="O50" i="30"/>
  <c r="N50" i="30"/>
  <c r="M50" i="30"/>
  <c r="K50" i="30"/>
  <c r="G50" i="30"/>
  <c r="S49" i="30"/>
  <c r="Q49" i="30"/>
  <c r="O49" i="30"/>
  <c r="N49" i="30"/>
  <c r="M49" i="30"/>
  <c r="K49" i="30"/>
  <c r="G49" i="30"/>
  <c r="S48" i="30"/>
  <c r="Q48" i="30"/>
  <c r="O48" i="30"/>
  <c r="N48" i="30"/>
  <c r="M48" i="30"/>
  <c r="K48" i="30"/>
  <c r="G48" i="30"/>
  <c r="S47" i="30"/>
  <c r="Q47" i="30"/>
  <c r="O47" i="30"/>
  <c r="N47" i="30"/>
  <c r="M47" i="30"/>
  <c r="K47" i="30"/>
  <c r="G47" i="30"/>
  <c r="S46" i="30"/>
  <c r="Q46" i="30"/>
  <c r="O46" i="30"/>
  <c r="N46" i="30"/>
  <c r="M46" i="30"/>
  <c r="K46" i="30"/>
  <c r="G46" i="30"/>
  <c r="S45" i="30"/>
  <c r="Q45" i="30"/>
  <c r="O45" i="30"/>
  <c r="N45" i="30"/>
  <c r="M45" i="30"/>
  <c r="K45" i="30"/>
  <c r="G45" i="30"/>
  <c r="S44" i="30"/>
  <c r="Q44" i="30"/>
  <c r="O44" i="30"/>
  <c r="N44" i="30"/>
  <c r="M44" i="30"/>
  <c r="K44" i="30"/>
  <c r="G44" i="30"/>
  <c r="S43" i="30"/>
  <c r="Q43" i="30"/>
  <c r="O43" i="30"/>
  <c r="N43" i="30"/>
  <c r="M43" i="30"/>
  <c r="K43" i="30"/>
  <c r="G43" i="30"/>
  <c r="Y42" i="30"/>
  <c r="S42" i="30"/>
  <c r="Q42" i="30"/>
  <c r="O42" i="30"/>
  <c r="N42" i="30"/>
  <c r="M42" i="30"/>
  <c r="K42" i="30"/>
  <c r="G42" i="30"/>
  <c r="Y41" i="30"/>
  <c r="S41" i="30"/>
  <c r="Q41" i="30"/>
  <c r="O41" i="30"/>
  <c r="N41" i="30"/>
  <c r="M41" i="30"/>
  <c r="K41" i="30"/>
  <c r="G41" i="30"/>
  <c r="Y40" i="30"/>
  <c r="S40" i="30"/>
  <c r="Q40" i="30"/>
  <c r="O40" i="30"/>
  <c r="N40" i="30"/>
  <c r="M40" i="30"/>
  <c r="K40" i="30"/>
  <c r="G40" i="30"/>
  <c r="Y39" i="30"/>
  <c r="S39" i="30"/>
  <c r="Q39" i="30"/>
  <c r="O39" i="30"/>
  <c r="N39" i="30"/>
  <c r="M39" i="30"/>
  <c r="K39" i="30"/>
  <c r="G39" i="30"/>
  <c r="Y38" i="30"/>
  <c r="Y37" i="30"/>
  <c r="Y36" i="30"/>
  <c r="R16" i="30"/>
  <c r="Q16" i="30"/>
  <c r="R36" i="30"/>
  <c r="P36" i="30"/>
  <c r="Y35" i="30"/>
  <c r="X7" i="30"/>
  <c r="Y34" i="30"/>
  <c r="Y31" i="30"/>
  <c r="Y32" i="30"/>
  <c r="Y33" i="30"/>
  <c r="S34" i="30"/>
  <c r="R34" i="30"/>
  <c r="Q34" i="30"/>
  <c r="P34" i="30"/>
  <c r="N34" i="30"/>
  <c r="M34" i="30"/>
  <c r="L34" i="30"/>
  <c r="K34" i="30"/>
  <c r="R31" i="30"/>
  <c r="Q31" i="30"/>
  <c r="P31" i="30"/>
  <c r="N31" i="30"/>
  <c r="M31" i="30"/>
  <c r="L31" i="30"/>
  <c r="K31" i="30"/>
  <c r="AE5" i="30"/>
  <c r="AF5" i="30"/>
  <c r="AG5" i="30"/>
  <c r="AH5" i="30"/>
  <c r="AI5" i="30"/>
  <c r="AG19" i="30"/>
  <c r="AE7" i="30"/>
  <c r="AF7" i="30"/>
  <c r="AG7" i="30"/>
  <c r="AH7" i="30"/>
  <c r="AI7" i="30"/>
  <c r="AG21" i="30"/>
  <c r="AG28" i="30"/>
  <c r="I31" i="30"/>
  <c r="AF19" i="30"/>
  <c r="AF21" i="30"/>
  <c r="AF28" i="30"/>
  <c r="H31" i="30"/>
  <c r="AE19" i="30"/>
  <c r="AE20" i="30"/>
  <c r="AE21" i="30"/>
  <c r="AE22" i="30"/>
  <c r="AE23" i="30"/>
  <c r="AE24" i="30"/>
  <c r="AE25" i="30"/>
  <c r="AE26" i="30"/>
  <c r="AE27" i="30"/>
  <c r="AE28" i="30"/>
  <c r="G31" i="30"/>
  <c r="S50" i="29"/>
  <c r="Q50" i="29"/>
  <c r="O50" i="29"/>
  <c r="N50" i="29"/>
  <c r="M50" i="29"/>
  <c r="K50" i="29"/>
  <c r="G50" i="29"/>
  <c r="S49" i="29"/>
  <c r="Q49" i="29"/>
  <c r="O49" i="29"/>
  <c r="N49" i="29"/>
  <c r="M49" i="29"/>
  <c r="K49" i="29"/>
  <c r="G49" i="29"/>
  <c r="S48" i="29"/>
  <c r="Q48" i="29"/>
  <c r="O48" i="29"/>
  <c r="N48" i="29"/>
  <c r="M48" i="29"/>
  <c r="K48" i="29"/>
  <c r="G48" i="29"/>
  <c r="S47" i="29"/>
  <c r="Q47" i="29"/>
  <c r="O47" i="29"/>
  <c r="N47" i="29"/>
  <c r="M47" i="29"/>
  <c r="K47" i="29"/>
  <c r="G47" i="29"/>
  <c r="S46" i="29"/>
  <c r="Q46" i="29"/>
  <c r="O46" i="29"/>
  <c r="N46" i="29"/>
  <c r="M46" i="29"/>
  <c r="K46" i="29"/>
  <c r="G46" i="29"/>
  <c r="S45" i="29"/>
  <c r="Q45" i="29"/>
  <c r="O45" i="29"/>
  <c r="N45" i="29"/>
  <c r="M45" i="29"/>
  <c r="K45" i="29"/>
  <c r="G45" i="29"/>
  <c r="S44" i="29"/>
  <c r="Q44" i="29"/>
  <c r="O44" i="29"/>
  <c r="N44" i="29"/>
  <c r="M44" i="29"/>
  <c r="K44" i="29"/>
  <c r="G44" i="29"/>
  <c r="S43" i="29"/>
  <c r="Q43" i="29"/>
  <c r="O43" i="29"/>
  <c r="N43" i="29"/>
  <c r="M43" i="29"/>
  <c r="K43" i="29"/>
  <c r="G43" i="29"/>
  <c r="X15" i="29"/>
  <c r="Y42" i="29"/>
  <c r="S42" i="29"/>
  <c r="Q42" i="29"/>
  <c r="O42" i="29"/>
  <c r="N42" i="29"/>
  <c r="M42" i="29"/>
  <c r="K42" i="29"/>
  <c r="G42" i="29"/>
  <c r="X14" i="29"/>
  <c r="Y41" i="29"/>
  <c r="S41" i="29"/>
  <c r="Q41" i="29"/>
  <c r="O41" i="29"/>
  <c r="N41" i="29"/>
  <c r="M41" i="29"/>
  <c r="K41" i="29"/>
  <c r="G41" i="29"/>
  <c r="X13" i="29"/>
  <c r="Y40" i="29"/>
  <c r="S40" i="29"/>
  <c r="Q40" i="29"/>
  <c r="O40" i="29"/>
  <c r="N40" i="29"/>
  <c r="M40" i="29"/>
  <c r="K40" i="29"/>
  <c r="G40" i="29"/>
  <c r="X12" i="29"/>
  <c r="Y39" i="29"/>
  <c r="S39" i="29"/>
  <c r="Q39" i="29"/>
  <c r="O39" i="29"/>
  <c r="N39" i="29"/>
  <c r="M39" i="29"/>
  <c r="K39" i="29"/>
  <c r="G39" i="29"/>
  <c r="X11" i="29"/>
  <c r="Y38" i="29"/>
  <c r="X10" i="29"/>
  <c r="Y37" i="29"/>
  <c r="X9" i="29"/>
  <c r="Y36" i="29"/>
  <c r="R16" i="29"/>
  <c r="Q16" i="29"/>
  <c r="R36" i="29"/>
  <c r="P36" i="29"/>
  <c r="X8" i="29"/>
  <c r="Y35" i="29"/>
  <c r="X7" i="29"/>
  <c r="Y34" i="29"/>
  <c r="Y31" i="29"/>
  <c r="Y32" i="29"/>
  <c r="Y33" i="29"/>
  <c r="S34" i="29"/>
  <c r="R34" i="29"/>
  <c r="Q34" i="29"/>
  <c r="P34" i="29"/>
  <c r="N34" i="29"/>
  <c r="M34" i="29"/>
  <c r="L34" i="29"/>
  <c r="K34" i="29"/>
  <c r="S31" i="29"/>
  <c r="R31" i="29"/>
  <c r="Q31" i="29"/>
  <c r="P31" i="29"/>
  <c r="N31" i="29"/>
  <c r="M31" i="29"/>
  <c r="L31" i="29"/>
  <c r="K31" i="29"/>
  <c r="AE5" i="29"/>
  <c r="AF5" i="29"/>
  <c r="AG5" i="29"/>
  <c r="AH5" i="29"/>
  <c r="AI5" i="29"/>
  <c r="AG19" i="29"/>
  <c r="AE6" i="29"/>
  <c r="AF6" i="29"/>
  <c r="AG6" i="29"/>
  <c r="AH6" i="29"/>
  <c r="AI6" i="29"/>
  <c r="AG20" i="29"/>
  <c r="AE7" i="29"/>
  <c r="AF7" i="29"/>
  <c r="AG7" i="29"/>
  <c r="AH7" i="29"/>
  <c r="AI7" i="29"/>
  <c r="AG21" i="29"/>
  <c r="AE12" i="29"/>
  <c r="AF12" i="29"/>
  <c r="AG12" i="29"/>
  <c r="AH12" i="29"/>
  <c r="AI12" i="29"/>
  <c r="AG26" i="29"/>
  <c r="AE13" i="29"/>
  <c r="AF13" i="29"/>
  <c r="AG13" i="29"/>
  <c r="AH13" i="29"/>
  <c r="AI13" i="29"/>
  <c r="AG27" i="29"/>
  <c r="AG28" i="29"/>
  <c r="A31" i="29"/>
  <c r="I31" i="29"/>
  <c r="AF19" i="29"/>
  <c r="AF20" i="29"/>
  <c r="AF21" i="29"/>
  <c r="AF26" i="29"/>
  <c r="AF27" i="29"/>
  <c r="AF28" i="29"/>
  <c r="H31" i="29"/>
  <c r="AE19" i="29"/>
  <c r="AE20" i="29"/>
  <c r="AE21" i="29"/>
  <c r="AE22" i="29"/>
  <c r="AE23" i="29"/>
  <c r="AE24" i="29"/>
  <c r="AE25" i="29"/>
  <c r="AE26" i="29"/>
  <c r="AE27" i="29"/>
  <c r="AE28" i="29"/>
  <c r="G31" i="29"/>
  <c r="S50" i="28"/>
  <c r="Q50" i="28"/>
  <c r="O50" i="28"/>
  <c r="N50" i="28"/>
  <c r="M50" i="28"/>
  <c r="K50" i="28"/>
  <c r="G50" i="28"/>
  <c r="S49" i="28"/>
  <c r="Q49" i="28"/>
  <c r="O49" i="28"/>
  <c r="N49" i="28"/>
  <c r="M49" i="28"/>
  <c r="K49" i="28"/>
  <c r="G49" i="28"/>
  <c r="S48" i="28"/>
  <c r="Q48" i="28"/>
  <c r="O48" i="28"/>
  <c r="N48" i="28"/>
  <c r="M48" i="28"/>
  <c r="K48" i="28"/>
  <c r="G48" i="28"/>
  <c r="S47" i="28"/>
  <c r="Q47" i="28"/>
  <c r="O47" i="28"/>
  <c r="N47" i="28"/>
  <c r="M47" i="28"/>
  <c r="K47" i="28"/>
  <c r="G47" i="28"/>
  <c r="S46" i="28"/>
  <c r="Q46" i="28"/>
  <c r="O46" i="28"/>
  <c r="N46" i="28"/>
  <c r="M46" i="28"/>
  <c r="K46" i="28"/>
  <c r="G46" i="28"/>
  <c r="S45" i="28"/>
  <c r="Q45" i="28"/>
  <c r="O45" i="28"/>
  <c r="N45" i="28"/>
  <c r="M45" i="28"/>
  <c r="K45" i="28"/>
  <c r="G45" i="28"/>
  <c r="S44" i="28"/>
  <c r="Q44" i="28"/>
  <c r="O44" i="28"/>
  <c r="N44" i="28"/>
  <c r="M44" i="28"/>
  <c r="K44" i="28"/>
  <c r="G44" i="28"/>
  <c r="S43" i="28"/>
  <c r="Q43" i="28"/>
  <c r="O43" i="28"/>
  <c r="N43" i="28"/>
  <c r="M43" i="28"/>
  <c r="K43" i="28"/>
  <c r="G43" i="28"/>
  <c r="X15" i="28"/>
  <c r="Y42" i="28"/>
  <c r="S42" i="28"/>
  <c r="Q42" i="28"/>
  <c r="O42" i="28"/>
  <c r="N42" i="28"/>
  <c r="M42" i="28"/>
  <c r="K42" i="28"/>
  <c r="G42" i="28"/>
  <c r="X14" i="28"/>
  <c r="Y41" i="28"/>
  <c r="S41" i="28"/>
  <c r="Q41" i="28"/>
  <c r="O41" i="28"/>
  <c r="N41" i="28"/>
  <c r="M41" i="28"/>
  <c r="K41" i="28"/>
  <c r="G41" i="28"/>
  <c r="X13" i="28"/>
  <c r="Y40" i="28"/>
  <c r="S40" i="28"/>
  <c r="Q40" i="28"/>
  <c r="O40" i="28"/>
  <c r="N40" i="28"/>
  <c r="M40" i="28"/>
  <c r="K40" i="28"/>
  <c r="G40" i="28"/>
  <c r="X12" i="28"/>
  <c r="Y39" i="28"/>
  <c r="S39" i="28"/>
  <c r="Q39" i="28"/>
  <c r="O39" i="28"/>
  <c r="N39" i="28"/>
  <c r="M39" i="28"/>
  <c r="K39" i="28"/>
  <c r="G39" i="28"/>
  <c r="X11" i="28"/>
  <c r="Y38" i="28"/>
  <c r="Y37" i="28"/>
  <c r="X9" i="28"/>
  <c r="Y36" i="28"/>
  <c r="R16" i="28"/>
  <c r="Q16" i="28"/>
  <c r="R36" i="28"/>
  <c r="P36" i="28"/>
  <c r="X8" i="28"/>
  <c r="Y35" i="28"/>
  <c r="X7" i="28"/>
  <c r="Y34" i="28"/>
  <c r="Y31" i="28"/>
  <c r="Y32" i="28"/>
  <c r="Y33" i="28"/>
  <c r="S34" i="28"/>
  <c r="R34" i="28"/>
  <c r="Q34" i="28"/>
  <c r="P34" i="28"/>
  <c r="N34" i="28"/>
  <c r="M34" i="28"/>
  <c r="L34" i="28"/>
  <c r="K34" i="28"/>
  <c r="S31" i="28"/>
  <c r="R31" i="28"/>
  <c r="Q31" i="28"/>
  <c r="P31" i="28"/>
  <c r="N31" i="28"/>
  <c r="M31" i="28"/>
  <c r="L31" i="28"/>
  <c r="K31" i="28"/>
  <c r="AE5" i="28"/>
  <c r="AF5" i="28"/>
  <c r="AG5" i="28"/>
  <c r="AH5" i="28"/>
  <c r="AI5" i="28"/>
  <c r="AG19" i="28"/>
  <c r="AE7" i="28"/>
  <c r="AF7" i="28"/>
  <c r="AG7" i="28"/>
  <c r="AH7" i="28"/>
  <c r="AI7" i="28"/>
  <c r="AG21" i="28"/>
  <c r="AE9" i="28"/>
  <c r="AF9" i="28"/>
  <c r="AG9" i="28"/>
  <c r="AH9" i="28"/>
  <c r="AI9" i="28"/>
  <c r="AG23" i="28"/>
  <c r="AE10" i="28"/>
  <c r="AF10" i="28"/>
  <c r="AG10" i="28"/>
  <c r="AH10" i="28"/>
  <c r="AI10" i="28"/>
  <c r="AG24" i="28"/>
  <c r="AE11" i="28"/>
  <c r="AF11" i="28"/>
  <c r="AG11" i="28"/>
  <c r="AH11" i="28"/>
  <c r="AI11" i="28"/>
  <c r="AG25" i="28"/>
  <c r="AG28" i="28"/>
  <c r="A31" i="28"/>
  <c r="I31" i="28"/>
  <c r="AF19" i="28"/>
  <c r="AF21" i="28"/>
  <c r="AF23" i="28"/>
  <c r="AF24" i="28"/>
  <c r="AF25" i="28"/>
  <c r="AF28" i="28"/>
  <c r="H31" i="28"/>
  <c r="AE19" i="28"/>
  <c r="AE20" i="28"/>
  <c r="AE21" i="28"/>
  <c r="AE22" i="28"/>
  <c r="AE23" i="28"/>
  <c r="AE24" i="28"/>
  <c r="AE25" i="28"/>
  <c r="AE26" i="28"/>
  <c r="AE27" i="28"/>
  <c r="AE28" i="28"/>
  <c r="G31" i="28"/>
  <c r="S50" i="27"/>
  <c r="Q50" i="27"/>
  <c r="O50" i="27"/>
  <c r="N50" i="27"/>
  <c r="M50" i="27"/>
  <c r="K50" i="27"/>
  <c r="G50" i="27"/>
  <c r="S49" i="27"/>
  <c r="Q49" i="27"/>
  <c r="O49" i="27"/>
  <c r="N49" i="27"/>
  <c r="M49" i="27"/>
  <c r="K49" i="27"/>
  <c r="G49" i="27"/>
  <c r="S48" i="27"/>
  <c r="Q48" i="27"/>
  <c r="O48" i="27"/>
  <c r="N48" i="27"/>
  <c r="M48" i="27"/>
  <c r="K48" i="27"/>
  <c r="G48" i="27"/>
  <c r="S47" i="27"/>
  <c r="Q47" i="27"/>
  <c r="O47" i="27"/>
  <c r="N47" i="27"/>
  <c r="M47" i="27"/>
  <c r="K47" i="27"/>
  <c r="G47" i="27"/>
  <c r="S46" i="27"/>
  <c r="Q46" i="27"/>
  <c r="O46" i="27"/>
  <c r="N46" i="27"/>
  <c r="M46" i="27"/>
  <c r="K46" i="27"/>
  <c r="G46" i="27"/>
  <c r="S45" i="27"/>
  <c r="Q45" i="27"/>
  <c r="O45" i="27"/>
  <c r="N45" i="27"/>
  <c r="M45" i="27"/>
  <c r="K45" i="27"/>
  <c r="G45" i="27"/>
  <c r="S44" i="27"/>
  <c r="Q44" i="27"/>
  <c r="O44" i="27"/>
  <c r="N44" i="27"/>
  <c r="M44" i="27"/>
  <c r="K44" i="27"/>
  <c r="G44" i="27"/>
  <c r="S43" i="27"/>
  <c r="Q43" i="27"/>
  <c r="O43" i="27"/>
  <c r="N43" i="27"/>
  <c r="M43" i="27"/>
  <c r="K43" i="27"/>
  <c r="G43" i="27"/>
  <c r="Y42" i="27"/>
  <c r="S42" i="27"/>
  <c r="Q42" i="27"/>
  <c r="O42" i="27"/>
  <c r="N42" i="27"/>
  <c r="M42" i="27"/>
  <c r="K42" i="27"/>
  <c r="G42" i="27"/>
  <c r="Y41" i="27"/>
  <c r="S41" i="27"/>
  <c r="Q41" i="27"/>
  <c r="O41" i="27"/>
  <c r="N41" i="27"/>
  <c r="M41" i="27"/>
  <c r="K41" i="27"/>
  <c r="G41" i="27"/>
  <c r="Y40" i="27"/>
  <c r="S40" i="27"/>
  <c r="Q40" i="27"/>
  <c r="O40" i="27"/>
  <c r="N40" i="27"/>
  <c r="M40" i="27"/>
  <c r="K40" i="27"/>
  <c r="G40" i="27"/>
  <c r="Y39" i="27"/>
  <c r="S39" i="27"/>
  <c r="Q39" i="27"/>
  <c r="O39" i="27"/>
  <c r="N39" i="27"/>
  <c r="M39" i="27"/>
  <c r="K39" i="27"/>
  <c r="G39" i="27"/>
  <c r="Y38" i="27"/>
  <c r="X10" i="27"/>
  <c r="Y37" i="27"/>
  <c r="Y36" i="27"/>
  <c r="R16" i="27"/>
  <c r="Q16" i="27"/>
  <c r="R36" i="27"/>
  <c r="P36" i="27"/>
  <c r="Y35" i="27"/>
  <c r="X7" i="27"/>
  <c r="Y34" i="27"/>
  <c r="Y31" i="27"/>
  <c r="Y32" i="27"/>
  <c r="Y33" i="27"/>
  <c r="S34" i="27"/>
  <c r="R34" i="27"/>
  <c r="Q34" i="27"/>
  <c r="P34" i="27"/>
  <c r="N34" i="27"/>
  <c r="M34" i="27"/>
  <c r="L34" i="27"/>
  <c r="K34" i="27"/>
  <c r="S31" i="27"/>
  <c r="R31" i="27"/>
  <c r="Q31" i="27"/>
  <c r="P31" i="27"/>
  <c r="N31" i="27"/>
  <c r="M31" i="27"/>
  <c r="L31" i="27"/>
  <c r="K31" i="27"/>
  <c r="AF19" i="27"/>
  <c r="AF28" i="27"/>
  <c r="H31" i="27"/>
  <c r="AE19" i="27"/>
  <c r="AE20" i="27"/>
  <c r="AE21" i="27"/>
  <c r="AE22" i="27"/>
  <c r="AE23" i="27"/>
  <c r="AE24" i="27"/>
  <c r="AE25" i="27"/>
  <c r="AE26" i="27"/>
  <c r="AE27" i="27"/>
  <c r="AE28" i="27"/>
  <c r="G31" i="27"/>
  <c r="S50" i="26"/>
  <c r="Q50" i="26"/>
  <c r="O50" i="26"/>
  <c r="N50" i="26"/>
  <c r="M50" i="26"/>
  <c r="K50" i="26"/>
  <c r="G50" i="26"/>
  <c r="S49" i="26"/>
  <c r="Q49" i="26"/>
  <c r="O49" i="26"/>
  <c r="N49" i="26"/>
  <c r="M49" i="26"/>
  <c r="K49" i="26"/>
  <c r="G49" i="26"/>
  <c r="S48" i="26"/>
  <c r="Q48" i="26"/>
  <c r="O48" i="26"/>
  <c r="N48" i="26"/>
  <c r="M48" i="26"/>
  <c r="K48" i="26"/>
  <c r="G48" i="26"/>
  <c r="S47" i="26"/>
  <c r="Q47" i="26"/>
  <c r="O47" i="26"/>
  <c r="N47" i="26"/>
  <c r="M47" i="26"/>
  <c r="K47" i="26"/>
  <c r="G47" i="26"/>
  <c r="S46" i="26"/>
  <c r="Q46" i="26"/>
  <c r="O46" i="26"/>
  <c r="N46" i="26"/>
  <c r="M46" i="26"/>
  <c r="K46" i="26"/>
  <c r="G46" i="26"/>
  <c r="S45" i="26"/>
  <c r="Q45" i="26"/>
  <c r="O45" i="26"/>
  <c r="N45" i="26"/>
  <c r="M45" i="26"/>
  <c r="K45" i="26"/>
  <c r="G45" i="26"/>
  <c r="S44" i="26"/>
  <c r="Q44" i="26"/>
  <c r="O44" i="26"/>
  <c r="N44" i="26"/>
  <c r="M44" i="26"/>
  <c r="K44" i="26"/>
  <c r="G44" i="26"/>
  <c r="S43" i="26"/>
  <c r="Q43" i="26"/>
  <c r="O43" i="26"/>
  <c r="N43" i="26"/>
  <c r="M43" i="26"/>
  <c r="K43" i="26"/>
  <c r="G43" i="26"/>
  <c r="Y42" i="26"/>
  <c r="S42" i="26"/>
  <c r="Q42" i="26"/>
  <c r="O42" i="26"/>
  <c r="N42" i="26"/>
  <c r="M42" i="26"/>
  <c r="K42" i="26"/>
  <c r="G42" i="26"/>
  <c r="Y41" i="26"/>
  <c r="S41" i="26"/>
  <c r="Q41" i="26"/>
  <c r="O41" i="26"/>
  <c r="N41" i="26"/>
  <c r="M41" i="26"/>
  <c r="K41" i="26"/>
  <c r="G41" i="26"/>
  <c r="Y40" i="26"/>
  <c r="S40" i="26"/>
  <c r="Q40" i="26"/>
  <c r="O40" i="26"/>
  <c r="N40" i="26"/>
  <c r="M40" i="26"/>
  <c r="K40" i="26"/>
  <c r="G40" i="26"/>
  <c r="Y39" i="26"/>
  <c r="S39" i="26"/>
  <c r="Q39" i="26"/>
  <c r="O39" i="26"/>
  <c r="N39" i="26"/>
  <c r="M39" i="26"/>
  <c r="K39" i="26"/>
  <c r="G39" i="26"/>
  <c r="Y38" i="26"/>
  <c r="Y37" i="26"/>
  <c r="X9" i="26"/>
  <c r="Y36" i="26"/>
  <c r="R16" i="26"/>
  <c r="Q16" i="26"/>
  <c r="R36" i="26"/>
  <c r="P36" i="26"/>
  <c r="Y35" i="26"/>
  <c r="X7" i="26"/>
  <c r="Y34" i="26"/>
  <c r="Y31" i="26"/>
  <c r="Y32" i="26"/>
  <c r="Y33" i="26"/>
  <c r="S34" i="26"/>
  <c r="R34" i="26"/>
  <c r="Q34" i="26"/>
  <c r="P34" i="26"/>
  <c r="N34" i="26"/>
  <c r="M34" i="26"/>
  <c r="L34" i="26"/>
  <c r="K34" i="26"/>
  <c r="R31" i="26"/>
  <c r="Q31" i="26"/>
  <c r="P31" i="26"/>
  <c r="N31" i="26"/>
  <c r="M31" i="26"/>
  <c r="L31" i="26"/>
  <c r="K31" i="26"/>
  <c r="AE5" i="26"/>
  <c r="AF5" i="26"/>
  <c r="AG5" i="26"/>
  <c r="AH5" i="26"/>
  <c r="AI5" i="26"/>
  <c r="AG19" i="26"/>
  <c r="AG28" i="26"/>
  <c r="I31" i="26"/>
  <c r="AF19" i="26"/>
  <c r="AF28" i="26"/>
  <c r="H31" i="26"/>
  <c r="AE19" i="26"/>
  <c r="AE20" i="26"/>
  <c r="AE21" i="26"/>
  <c r="AE22" i="26"/>
  <c r="AE23" i="26"/>
  <c r="AE24" i="26"/>
  <c r="AE25" i="26"/>
  <c r="AE26" i="26"/>
  <c r="AE27" i="26"/>
  <c r="AE28" i="26"/>
  <c r="G31" i="26"/>
  <c r="S50" i="25"/>
  <c r="O50" i="25"/>
  <c r="N50" i="25"/>
  <c r="M50" i="25"/>
  <c r="K50" i="25"/>
  <c r="G50" i="25"/>
  <c r="S49" i="25"/>
  <c r="Q49" i="25"/>
  <c r="O49" i="25"/>
  <c r="N49" i="25"/>
  <c r="M49" i="25"/>
  <c r="K49" i="25"/>
  <c r="G49" i="25"/>
  <c r="S48" i="25"/>
  <c r="Q48" i="25"/>
  <c r="O48" i="25"/>
  <c r="N48" i="25"/>
  <c r="M48" i="25"/>
  <c r="K48" i="25"/>
  <c r="G48" i="25"/>
  <c r="S47" i="25"/>
  <c r="Q47" i="25"/>
  <c r="O47" i="25"/>
  <c r="N47" i="25"/>
  <c r="M47" i="25"/>
  <c r="K47" i="25"/>
  <c r="G47" i="25"/>
  <c r="S46" i="25"/>
  <c r="Q46" i="25"/>
  <c r="O46" i="25"/>
  <c r="N46" i="25"/>
  <c r="M46" i="25"/>
  <c r="K46" i="25"/>
  <c r="G46" i="25"/>
  <c r="S45" i="25"/>
  <c r="Q45" i="25"/>
  <c r="O45" i="25"/>
  <c r="N45" i="25"/>
  <c r="M45" i="25"/>
  <c r="K45" i="25"/>
  <c r="G45" i="25"/>
  <c r="S44" i="25"/>
  <c r="Q44" i="25"/>
  <c r="O44" i="25"/>
  <c r="N44" i="25"/>
  <c r="M44" i="25"/>
  <c r="K44" i="25"/>
  <c r="G44" i="25"/>
  <c r="S43" i="25"/>
  <c r="Q43" i="25"/>
  <c r="O43" i="25"/>
  <c r="N43" i="25"/>
  <c r="M43" i="25"/>
  <c r="K43" i="25"/>
  <c r="G43" i="25"/>
  <c r="Y42" i="25"/>
  <c r="S42" i="25"/>
  <c r="Q42" i="25"/>
  <c r="O42" i="25"/>
  <c r="N42" i="25"/>
  <c r="M42" i="25"/>
  <c r="K42" i="25"/>
  <c r="G42" i="25"/>
  <c r="Y41" i="25"/>
  <c r="S41" i="25"/>
  <c r="Q41" i="25"/>
  <c r="O41" i="25"/>
  <c r="N41" i="25"/>
  <c r="M41" i="25"/>
  <c r="K41" i="25"/>
  <c r="G41" i="25"/>
  <c r="Y40" i="25"/>
  <c r="S40" i="25"/>
  <c r="Q40" i="25"/>
  <c r="O40" i="25"/>
  <c r="N40" i="25"/>
  <c r="M40" i="25"/>
  <c r="K40" i="25"/>
  <c r="G40" i="25"/>
  <c r="Y39" i="25"/>
  <c r="S39" i="25"/>
  <c r="Q39" i="25"/>
  <c r="O39" i="25"/>
  <c r="N39" i="25"/>
  <c r="M39" i="25"/>
  <c r="K39" i="25"/>
  <c r="G39" i="25"/>
  <c r="Y38" i="25"/>
  <c r="Y37" i="25"/>
  <c r="Y36" i="25"/>
  <c r="R36" i="25"/>
  <c r="P36" i="25"/>
  <c r="Y35" i="25"/>
  <c r="Y34" i="25"/>
  <c r="Y31" i="25"/>
  <c r="Y32" i="25"/>
  <c r="Y33" i="25"/>
  <c r="S34" i="25"/>
  <c r="R34" i="25"/>
  <c r="Q34" i="25"/>
  <c r="P34" i="25"/>
  <c r="N34" i="25"/>
  <c r="M34" i="25"/>
  <c r="L34" i="25"/>
  <c r="K34" i="25"/>
  <c r="S31" i="25"/>
  <c r="R31" i="25"/>
  <c r="Q31" i="25"/>
  <c r="P31" i="25"/>
  <c r="N31" i="25"/>
  <c r="M31" i="25"/>
  <c r="L31" i="25"/>
  <c r="K31" i="25"/>
  <c r="A31" i="25"/>
  <c r="AE9" i="25"/>
  <c r="AF9" i="25"/>
  <c r="AG9" i="25"/>
  <c r="AH9" i="25"/>
  <c r="AI9" i="25"/>
  <c r="AG23" i="25"/>
  <c r="AG28" i="25"/>
  <c r="I31" i="25"/>
  <c r="AF23" i="25"/>
  <c r="AF28" i="25"/>
  <c r="H31" i="25"/>
  <c r="AE17" i="25"/>
  <c r="AE20" i="25"/>
  <c r="AE21" i="25"/>
  <c r="AE22" i="25"/>
  <c r="AE23" i="25"/>
  <c r="AE24" i="25"/>
  <c r="AE25" i="25"/>
  <c r="AE26" i="25"/>
  <c r="AE27" i="25"/>
  <c r="AE28" i="25"/>
  <c r="G31" i="25"/>
  <c r="S50" i="24"/>
  <c r="Q50" i="24"/>
  <c r="O50" i="24"/>
  <c r="N50" i="24"/>
  <c r="M50" i="24"/>
  <c r="K50" i="24"/>
  <c r="G50" i="24"/>
  <c r="S49" i="24"/>
  <c r="Q49" i="24"/>
  <c r="O49" i="24"/>
  <c r="N49" i="24"/>
  <c r="M49" i="24"/>
  <c r="K49" i="24"/>
  <c r="G49" i="24"/>
  <c r="S48" i="24"/>
  <c r="Q48" i="24"/>
  <c r="O48" i="24"/>
  <c r="N48" i="24"/>
  <c r="M48" i="24"/>
  <c r="K48" i="24"/>
  <c r="G48" i="24"/>
  <c r="S47" i="24"/>
  <c r="Q47" i="24"/>
  <c r="O47" i="24"/>
  <c r="N47" i="24"/>
  <c r="M47" i="24"/>
  <c r="K47" i="24"/>
  <c r="G47" i="24"/>
  <c r="S46" i="24"/>
  <c r="Q46" i="24"/>
  <c r="O46" i="24"/>
  <c r="N46" i="24"/>
  <c r="M46" i="24"/>
  <c r="K46" i="24"/>
  <c r="G46" i="24"/>
  <c r="S45" i="24"/>
  <c r="Q45" i="24"/>
  <c r="O45" i="24"/>
  <c r="N45" i="24"/>
  <c r="M45" i="24"/>
  <c r="K45" i="24"/>
  <c r="G45" i="24"/>
  <c r="S44" i="24"/>
  <c r="Q44" i="24"/>
  <c r="O44" i="24"/>
  <c r="N44" i="24"/>
  <c r="M44" i="24"/>
  <c r="K44" i="24"/>
  <c r="G44" i="24"/>
  <c r="S43" i="24"/>
  <c r="Q43" i="24"/>
  <c r="O43" i="24"/>
  <c r="N43" i="24"/>
  <c r="M43" i="24"/>
  <c r="K43" i="24"/>
  <c r="G43" i="24"/>
  <c r="X15" i="24"/>
  <c r="Y42" i="24"/>
  <c r="S42" i="24"/>
  <c r="Q42" i="24"/>
  <c r="O42" i="24"/>
  <c r="N42" i="24"/>
  <c r="M42" i="24"/>
  <c r="K42" i="24"/>
  <c r="G42" i="24"/>
  <c r="X14" i="24"/>
  <c r="Y41" i="24"/>
  <c r="S41" i="24"/>
  <c r="Q41" i="24"/>
  <c r="O41" i="24"/>
  <c r="N41" i="24"/>
  <c r="M41" i="24"/>
  <c r="K41" i="24"/>
  <c r="G41" i="24"/>
  <c r="Y40" i="24"/>
  <c r="S40" i="24"/>
  <c r="Q40" i="24"/>
  <c r="O40" i="24"/>
  <c r="N40" i="24"/>
  <c r="M40" i="24"/>
  <c r="K40" i="24"/>
  <c r="G40" i="24"/>
  <c r="Y39" i="24"/>
  <c r="S39" i="24"/>
  <c r="Q39" i="24"/>
  <c r="O39" i="24"/>
  <c r="N39" i="24"/>
  <c r="M39" i="24"/>
  <c r="K39" i="24"/>
  <c r="G39" i="24"/>
  <c r="X11" i="24"/>
  <c r="Y38" i="24"/>
  <c r="X10" i="24"/>
  <c r="Y37" i="24"/>
  <c r="X9" i="24"/>
  <c r="Y36" i="24"/>
  <c r="R16" i="24"/>
  <c r="R36" i="24"/>
  <c r="P36" i="24"/>
  <c r="X8" i="24"/>
  <c r="Y35" i="24"/>
  <c r="Y34" i="24"/>
  <c r="Y31" i="24"/>
  <c r="Y32" i="24"/>
  <c r="X6" i="24"/>
  <c r="Y33" i="24"/>
  <c r="S34" i="24"/>
  <c r="R34" i="24"/>
  <c r="Q34" i="24"/>
  <c r="P34" i="24"/>
  <c r="N34" i="24"/>
  <c r="M34" i="24"/>
  <c r="L34" i="24"/>
  <c r="K34" i="24"/>
  <c r="S31" i="24"/>
  <c r="R31" i="24"/>
  <c r="Q31" i="24"/>
  <c r="P31" i="24"/>
  <c r="N31" i="24"/>
  <c r="M31" i="24"/>
  <c r="L31" i="24"/>
  <c r="K31" i="24"/>
  <c r="A31" i="24"/>
  <c r="AE8" i="24"/>
  <c r="AF8" i="24"/>
  <c r="AG8" i="24"/>
  <c r="AH8" i="24"/>
  <c r="AI8" i="24"/>
  <c r="AG22" i="24"/>
  <c r="AE13" i="24"/>
  <c r="AF13" i="24"/>
  <c r="AG13" i="24"/>
  <c r="AH13" i="24"/>
  <c r="AI13" i="24"/>
  <c r="AG27" i="24"/>
  <c r="AG28" i="24"/>
  <c r="I31" i="24"/>
  <c r="AF22" i="24"/>
  <c r="AF27" i="24"/>
  <c r="AF28" i="24"/>
  <c r="H31" i="24"/>
  <c r="AE20" i="24"/>
  <c r="AE21" i="24"/>
  <c r="AE22" i="24"/>
  <c r="AE23" i="24"/>
  <c r="AE24" i="24"/>
  <c r="AE25" i="24"/>
  <c r="AE26" i="24"/>
  <c r="AE27" i="24"/>
  <c r="AE28" i="24"/>
  <c r="G31" i="24"/>
  <c r="N50" i="23"/>
  <c r="M50" i="23"/>
  <c r="K50" i="23"/>
  <c r="G50" i="23"/>
  <c r="S49" i="23"/>
  <c r="Q49" i="23"/>
  <c r="O49" i="23"/>
  <c r="N49" i="23"/>
  <c r="M49" i="23"/>
  <c r="K49" i="23"/>
  <c r="G49" i="23"/>
  <c r="S48" i="23"/>
  <c r="Q48" i="23"/>
  <c r="O48" i="23"/>
  <c r="N48" i="23"/>
  <c r="M48" i="23"/>
  <c r="K48" i="23"/>
  <c r="G48" i="23"/>
  <c r="S47" i="23"/>
  <c r="Q47" i="23"/>
  <c r="O47" i="23"/>
  <c r="N47" i="23"/>
  <c r="M47" i="23"/>
  <c r="K47" i="23"/>
  <c r="G47" i="23"/>
  <c r="S46" i="23"/>
  <c r="Q46" i="23"/>
  <c r="O46" i="23"/>
  <c r="N46" i="23"/>
  <c r="M46" i="23"/>
  <c r="K46" i="23"/>
  <c r="G46" i="23"/>
  <c r="S45" i="23"/>
  <c r="Q45" i="23"/>
  <c r="O45" i="23"/>
  <c r="N45" i="23"/>
  <c r="M45" i="23"/>
  <c r="K45" i="23"/>
  <c r="G45" i="23"/>
  <c r="S44" i="23"/>
  <c r="Q44" i="23"/>
  <c r="O44" i="23"/>
  <c r="N44" i="23"/>
  <c r="M44" i="23"/>
  <c r="K44" i="23"/>
  <c r="G44" i="23"/>
  <c r="S43" i="23"/>
  <c r="Q43" i="23"/>
  <c r="O43" i="23"/>
  <c r="N43" i="23"/>
  <c r="M43" i="23"/>
  <c r="K43" i="23"/>
  <c r="G43" i="23"/>
  <c r="X15" i="23"/>
  <c r="Y42" i="23"/>
  <c r="S42" i="23"/>
  <c r="Q42" i="23"/>
  <c r="O42" i="23"/>
  <c r="N42" i="23"/>
  <c r="M42" i="23"/>
  <c r="K42" i="23"/>
  <c r="G42" i="23"/>
  <c r="X14" i="23"/>
  <c r="Y41" i="23"/>
  <c r="S41" i="23"/>
  <c r="Q41" i="23"/>
  <c r="O41" i="23"/>
  <c r="N41" i="23"/>
  <c r="M41" i="23"/>
  <c r="K41" i="23"/>
  <c r="G41" i="23"/>
  <c r="X13" i="23"/>
  <c r="Y40" i="23"/>
  <c r="S40" i="23"/>
  <c r="Q40" i="23"/>
  <c r="O40" i="23"/>
  <c r="N40" i="23"/>
  <c r="M40" i="23"/>
  <c r="K40" i="23"/>
  <c r="G40" i="23"/>
  <c r="X12" i="23"/>
  <c r="Y39" i="23"/>
  <c r="S39" i="23"/>
  <c r="Q39" i="23"/>
  <c r="O39" i="23"/>
  <c r="N39" i="23"/>
  <c r="M39" i="23"/>
  <c r="K39" i="23"/>
  <c r="G39" i="23"/>
  <c r="Y38" i="23"/>
  <c r="X10" i="23"/>
  <c r="Y37" i="23"/>
  <c r="X9" i="23"/>
  <c r="Y36" i="23"/>
  <c r="R16" i="23"/>
  <c r="R36" i="23"/>
  <c r="P36" i="23"/>
  <c r="X8" i="23"/>
  <c r="Y35" i="23"/>
  <c r="X7" i="23"/>
  <c r="Y34" i="23"/>
  <c r="Y31" i="23"/>
  <c r="Y33" i="23"/>
  <c r="S34" i="23"/>
  <c r="R34" i="23"/>
  <c r="Q34" i="23"/>
  <c r="P34" i="23"/>
  <c r="N34" i="23"/>
  <c r="M34" i="23"/>
  <c r="L34" i="23"/>
  <c r="K34" i="23"/>
  <c r="S31" i="23"/>
  <c r="R31" i="23"/>
  <c r="Q31" i="23"/>
  <c r="P31" i="23"/>
  <c r="N31" i="23"/>
  <c r="M31" i="23"/>
  <c r="L31" i="23"/>
  <c r="K31" i="23"/>
  <c r="I31" i="23"/>
  <c r="H31" i="23"/>
  <c r="AE20" i="23"/>
  <c r="AE21" i="23"/>
  <c r="AE22" i="23"/>
  <c r="AE23" i="23"/>
  <c r="AE24" i="23"/>
  <c r="AE25" i="23"/>
  <c r="AE26" i="23"/>
  <c r="AE27" i="23"/>
  <c r="AE28" i="23"/>
  <c r="G31" i="23"/>
  <c r="S50" i="22"/>
  <c r="Q50" i="22"/>
  <c r="O50" i="22"/>
  <c r="N50" i="22"/>
  <c r="M50" i="22"/>
  <c r="K50" i="22"/>
  <c r="G50" i="22"/>
  <c r="S49" i="22"/>
  <c r="Q49" i="22"/>
  <c r="O49" i="22"/>
  <c r="N49" i="22"/>
  <c r="M49" i="22"/>
  <c r="K49" i="22"/>
  <c r="G49" i="22"/>
  <c r="S48" i="22"/>
  <c r="Q48" i="22"/>
  <c r="O48" i="22"/>
  <c r="N48" i="22"/>
  <c r="M48" i="22"/>
  <c r="K48" i="22"/>
  <c r="G48" i="22"/>
  <c r="S47" i="22"/>
  <c r="Q47" i="22"/>
  <c r="O47" i="22"/>
  <c r="N47" i="22"/>
  <c r="M47" i="22"/>
  <c r="K47" i="22"/>
  <c r="G47" i="22"/>
  <c r="S46" i="22"/>
  <c r="Q46" i="22"/>
  <c r="O46" i="22"/>
  <c r="N46" i="22"/>
  <c r="M46" i="22"/>
  <c r="K46" i="22"/>
  <c r="G46" i="22"/>
  <c r="S45" i="22"/>
  <c r="Q45" i="22"/>
  <c r="O45" i="22"/>
  <c r="N45" i="22"/>
  <c r="M45" i="22"/>
  <c r="K45" i="22"/>
  <c r="G45" i="22"/>
  <c r="S44" i="22"/>
  <c r="Q44" i="22"/>
  <c r="O44" i="22"/>
  <c r="N44" i="22"/>
  <c r="M44" i="22"/>
  <c r="K44" i="22"/>
  <c r="G44" i="22"/>
  <c r="S43" i="22"/>
  <c r="Q43" i="22"/>
  <c r="O43" i="22"/>
  <c r="N43" i="22"/>
  <c r="M43" i="22"/>
  <c r="K43" i="22"/>
  <c r="G43" i="22"/>
  <c r="Y42" i="22"/>
  <c r="S42" i="22"/>
  <c r="Q42" i="22"/>
  <c r="O42" i="22"/>
  <c r="N42" i="22"/>
  <c r="M42" i="22"/>
  <c r="K42" i="22"/>
  <c r="G42" i="22"/>
  <c r="Y41" i="22"/>
  <c r="S41" i="22"/>
  <c r="Q41" i="22"/>
  <c r="O41" i="22"/>
  <c r="N41" i="22"/>
  <c r="M41" i="22"/>
  <c r="K41" i="22"/>
  <c r="G41" i="22"/>
  <c r="Y40" i="22"/>
  <c r="S40" i="22"/>
  <c r="Q40" i="22"/>
  <c r="O40" i="22"/>
  <c r="N40" i="22"/>
  <c r="M40" i="22"/>
  <c r="K40" i="22"/>
  <c r="G40" i="22"/>
  <c r="Y39" i="22"/>
  <c r="S39" i="22"/>
  <c r="Q39" i="22"/>
  <c r="O39" i="22"/>
  <c r="N39" i="22"/>
  <c r="M39" i="22"/>
  <c r="K39" i="22"/>
  <c r="G39" i="22"/>
  <c r="Y38" i="22"/>
  <c r="Y37" i="22"/>
  <c r="Y36" i="22"/>
  <c r="R16" i="22"/>
  <c r="Q16" i="22"/>
  <c r="R36" i="22"/>
  <c r="P36" i="22"/>
  <c r="Y35" i="22"/>
  <c r="X7" i="22"/>
  <c r="Y34" i="22"/>
  <c r="Y31" i="22"/>
  <c r="Y32" i="22"/>
  <c r="Y33" i="22"/>
  <c r="S34" i="22"/>
  <c r="R34" i="22"/>
  <c r="Q34" i="22"/>
  <c r="P34" i="22"/>
  <c r="N34" i="22"/>
  <c r="M34" i="22"/>
  <c r="L34" i="22"/>
  <c r="K34" i="22"/>
  <c r="S31" i="22"/>
  <c r="R31" i="22"/>
  <c r="Q31" i="22"/>
  <c r="P31" i="22"/>
  <c r="N31" i="22"/>
  <c r="M31" i="22"/>
  <c r="L31" i="22"/>
  <c r="K31" i="22"/>
  <c r="AE5" i="22"/>
  <c r="AF5" i="22"/>
  <c r="AG5" i="22"/>
  <c r="AH5" i="22"/>
  <c r="AI5" i="22"/>
  <c r="AG19" i="22"/>
  <c r="AE9" i="22"/>
  <c r="AF9" i="22"/>
  <c r="AG9" i="22"/>
  <c r="AH9" i="22"/>
  <c r="AI9" i="22"/>
  <c r="AG23" i="22"/>
  <c r="AG28" i="22"/>
  <c r="A31" i="22"/>
  <c r="I31" i="22"/>
  <c r="AF19" i="22"/>
  <c r="AF23" i="22"/>
  <c r="AF28" i="22"/>
  <c r="H31" i="22"/>
  <c r="AE19" i="22"/>
  <c r="AE20" i="22"/>
  <c r="AE21" i="22"/>
  <c r="AE22" i="22"/>
  <c r="AE23" i="22"/>
  <c r="AE24" i="22"/>
  <c r="AE25" i="22"/>
  <c r="AE26" i="22"/>
  <c r="AE27" i="22"/>
  <c r="AE28" i="22"/>
  <c r="G31" i="22"/>
  <c r="N50" i="21"/>
  <c r="M50" i="21"/>
  <c r="K50" i="21"/>
  <c r="G50" i="21"/>
  <c r="S49" i="21"/>
  <c r="Q49" i="21"/>
  <c r="O49" i="21"/>
  <c r="N49" i="21"/>
  <c r="M49" i="21"/>
  <c r="K49" i="21"/>
  <c r="G49" i="21"/>
  <c r="S48" i="21"/>
  <c r="Q48" i="21"/>
  <c r="O48" i="21"/>
  <c r="N48" i="21"/>
  <c r="M48" i="21"/>
  <c r="K48" i="21"/>
  <c r="G48" i="21"/>
  <c r="S47" i="21"/>
  <c r="Q47" i="21"/>
  <c r="O47" i="21"/>
  <c r="N47" i="21"/>
  <c r="M47" i="21"/>
  <c r="K47" i="21"/>
  <c r="G47" i="21"/>
  <c r="S46" i="21"/>
  <c r="Q46" i="21"/>
  <c r="O46" i="21"/>
  <c r="N46" i="21"/>
  <c r="M46" i="21"/>
  <c r="K46" i="21"/>
  <c r="G46" i="21"/>
  <c r="S45" i="21"/>
  <c r="Q45" i="21"/>
  <c r="O45" i="21"/>
  <c r="N45" i="21"/>
  <c r="M45" i="21"/>
  <c r="K45" i="21"/>
  <c r="G45" i="21"/>
  <c r="S44" i="21"/>
  <c r="Q44" i="21"/>
  <c r="O44" i="21"/>
  <c r="N44" i="21"/>
  <c r="M44" i="21"/>
  <c r="K44" i="21"/>
  <c r="G44" i="21"/>
  <c r="S43" i="21"/>
  <c r="Q43" i="21"/>
  <c r="O43" i="21"/>
  <c r="N43" i="21"/>
  <c r="M43" i="21"/>
  <c r="K43" i="21"/>
  <c r="G43" i="21"/>
  <c r="X15" i="21"/>
  <c r="Y42" i="21"/>
  <c r="S42" i="21"/>
  <c r="Q42" i="21"/>
  <c r="O42" i="21"/>
  <c r="N42" i="21"/>
  <c r="M42" i="21"/>
  <c r="K42" i="21"/>
  <c r="G42" i="21"/>
  <c r="X14" i="21"/>
  <c r="Y41" i="21"/>
  <c r="S41" i="21"/>
  <c r="Q41" i="21"/>
  <c r="O41" i="21"/>
  <c r="N41" i="21"/>
  <c r="M41" i="21"/>
  <c r="K41" i="21"/>
  <c r="G41" i="21"/>
  <c r="X13" i="21"/>
  <c r="Y40" i="21"/>
  <c r="S40" i="21"/>
  <c r="Q40" i="21"/>
  <c r="O40" i="21"/>
  <c r="N40" i="21"/>
  <c r="M40" i="21"/>
  <c r="K40" i="21"/>
  <c r="G40" i="21"/>
  <c r="X12" i="21"/>
  <c r="Y39" i="21"/>
  <c r="S39" i="21"/>
  <c r="Q39" i="21"/>
  <c r="O39" i="21"/>
  <c r="N39" i="21"/>
  <c r="M39" i="21"/>
  <c r="K39" i="21"/>
  <c r="G39" i="21"/>
  <c r="X11" i="21"/>
  <c r="Y38" i="21"/>
  <c r="Y37" i="21"/>
  <c r="X9" i="21"/>
  <c r="Y36" i="21"/>
  <c r="R16" i="21"/>
  <c r="R36" i="21"/>
  <c r="P36" i="21"/>
  <c r="X8" i="21"/>
  <c r="Y35" i="21"/>
  <c r="Y34" i="21"/>
  <c r="Y31" i="21"/>
  <c r="Y32" i="21"/>
  <c r="Y33" i="21"/>
  <c r="S34" i="21"/>
  <c r="R34" i="21"/>
  <c r="Q34" i="21"/>
  <c r="P34" i="21"/>
  <c r="N34" i="21"/>
  <c r="M34" i="21"/>
  <c r="L34" i="21"/>
  <c r="K34" i="21"/>
  <c r="R31" i="21"/>
  <c r="Q31" i="21"/>
  <c r="N31" i="21"/>
  <c r="M31" i="21"/>
  <c r="L31" i="21"/>
  <c r="K31" i="21"/>
  <c r="AF21" i="21"/>
  <c r="AF27" i="21"/>
  <c r="AF28" i="21"/>
  <c r="H31" i="21"/>
  <c r="AE20" i="21"/>
  <c r="AE21" i="21"/>
  <c r="AE22" i="21"/>
  <c r="AE23" i="21"/>
  <c r="AE24" i="21"/>
  <c r="AE25" i="21"/>
  <c r="AE26" i="21"/>
  <c r="AE27" i="21"/>
  <c r="AE28" i="21"/>
  <c r="G31" i="21"/>
  <c r="S50" i="20"/>
  <c r="Q50" i="20"/>
  <c r="O50" i="20"/>
  <c r="N50" i="20"/>
  <c r="M50" i="20"/>
  <c r="K50" i="20"/>
  <c r="G50" i="20"/>
  <c r="S49" i="20"/>
  <c r="Q49" i="20"/>
  <c r="O49" i="20"/>
  <c r="N49" i="20"/>
  <c r="M49" i="20"/>
  <c r="K49" i="20"/>
  <c r="G49" i="20"/>
  <c r="S48" i="20"/>
  <c r="Q48" i="20"/>
  <c r="O48" i="20"/>
  <c r="N48" i="20"/>
  <c r="M48" i="20"/>
  <c r="K48" i="20"/>
  <c r="G48" i="20"/>
  <c r="S47" i="20"/>
  <c r="Q47" i="20"/>
  <c r="O47" i="20"/>
  <c r="N47" i="20"/>
  <c r="M47" i="20"/>
  <c r="K47" i="20"/>
  <c r="G47" i="20"/>
  <c r="S46" i="20"/>
  <c r="Q46" i="20"/>
  <c r="O46" i="20"/>
  <c r="N46" i="20"/>
  <c r="M46" i="20"/>
  <c r="K46" i="20"/>
  <c r="G46" i="20"/>
  <c r="S45" i="20"/>
  <c r="Q45" i="20"/>
  <c r="O45" i="20"/>
  <c r="N45" i="20"/>
  <c r="M45" i="20"/>
  <c r="K45" i="20"/>
  <c r="G45" i="20"/>
  <c r="S44" i="20"/>
  <c r="Q44" i="20"/>
  <c r="O44" i="20"/>
  <c r="N44" i="20"/>
  <c r="M44" i="20"/>
  <c r="K44" i="20"/>
  <c r="G44" i="20"/>
  <c r="S43" i="20"/>
  <c r="Q43" i="20"/>
  <c r="O43" i="20"/>
  <c r="N43" i="20"/>
  <c r="M43" i="20"/>
  <c r="K43" i="20"/>
  <c r="G43" i="20"/>
  <c r="Y42" i="20"/>
  <c r="S42" i="20"/>
  <c r="Q42" i="20"/>
  <c r="O42" i="20"/>
  <c r="N42" i="20"/>
  <c r="M42" i="20"/>
  <c r="K42" i="20"/>
  <c r="G42" i="20"/>
  <c r="Y41" i="20"/>
  <c r="S41" i="20"/>
  <c r="Q41" i="20"/>
  <c r="O41" i="20"/>
  <c r="N41" i="20"/>
  <c r="M41" i="20"/>
  <c r="K41" i="20"/>
  <c r="G41" i="20"/>
  <c r="Y40" i="20"/>
  <c r="S40" i="20"/>
  <c r="Q40" i="20"/>
  <c r="O40" i="20"/>
  <c r="N40" i="20"/>
  <c r="M40" i="20"/>
  <c r="K40" i="20"/>
  <c r="G40" i="20"/>
  <c r="Y39" i="20"/>
  <c r="S39" i="20"/>
  <c r="Q39" i="20"/>
  <c r="O39" i="20"/>
  <c r="N39" i="20"/>
  <c r="M39" i="20"/>
  <c r="K39" i="20"/>
  <c r="G39" i="20"/>
  <c r="Y38" i="20"/>
  <c r="Y37" i="20"/>
  <c r="Y36" i="20"/>
  <c r="R16" i="20"/>
  <c r="Q16" i="20"/>
  <c r="R36" i="20"/>
  <c r="P36" i="20"/>
  <c r="Y35" i="20"/>
  <c r="X7" i="20"/>
  <c r="Y34" i="20"/>
  <c r="Y31" i="20"/>
  <c r="Y32" i="20"/>
  <c r="Y33" i="20"/>
  <c r="S34" i="20"/>
  <c r="R34" i="20"/>
  <c r="Q34" i="20"/>
  <c r="P34" i="20"/>
  <c r="N34" i="20"/>
  <c r="M34" i="20"/>
  <c r="L34" i="20"/>
  <c r="K34" i="20"/>
  <c r="R31" i="20"/>
  <c r="Q31" i="20"/>
  <c r="P31" i="20"/>
  <c r="N31" i="20"/>
  <c r="M31" i="20"/>
  <c r="L31" i="20"/>
  <c r="K31" i="20"/>
  <c r="AE5" i="20"/>
  <c r="AF5" i="20"/>
  <c r="AG5" i="20"/>
  <c r="AH5" i="20"/>
  <c r="AI5" i="20"/>
  <c r="AG19" i="20"/>
  <c r="AE9" i="20"/>
  <c r="AF9" i="20"/>
  <c r="AG9" i="20"/>
  <c r="AH9" i="20"/>
  <c r="AI9" i="20"/>
  <c r="AG23" i="20"/>
  <c r="AE10" i="20"/>
  <c r="AF10" i="20"/>
  <c r="AG10" i="20"/>
  <c r="AH10" i="20"/>
  <c r="AI10" i="20"/>
  <c r="AG24" i="20"/>
  <c r="AE11" i="20"/>
  <c r="AF11" i="20"/>
  <c r="AG11" i="20"/>
  <c r="AH11" i="20"/>
  <c r="AI11" i="20"/>
  <c r="AG25" i="20"/>
  <c r="AE12" i="20"/>
  <c r="AF12" i="20"/>
  <c r="AG12" i="20"/>
  <c r="AH12" i="20"/>
  <c r="AI12" i="20"/>
  <c r="AG26" i="20"/>
  <c r="AG28" i="20"/>
  <c r="I31" i="20"/>
  <c r="AF19" i="20"/>
  <c r="AF23" i="20"/>
  <c r="AF24" i="20"/>
  <c r="AF25" i="20"/>
  <c r="AF26" i="20"/>
  <c r="AF28" i="20"/>
  <c r="H31" i="20"/>
  <c r="AE19" i="20"/>
  <c r="AE20" i="20"/>
  <c r="AE21" i="20"/>
  <c r="AE22" i="20"/>
  <c r="AE23" i="20"/>
  <c r="AE24" i="20"/>
  <c r="AE25" i="20"/>
  <c r="AE26" i="20"/>
  <c r="AE27" i="20"/>
  <c r="AE28" i="20"/>
  <c r="G31" i="20"/>
  <c r="S50" i="19"/>
  <c r="Q50" i="19"/>
  <c r="O50" i="19"/>
  <c r="N50" i="19"/>
  <c r="M50" i="19"/>
  <c r="K50" i="19"/>
  <c r="G50" i="19"/>
  <c r="S49" i="19"/>
  <c r="Q49" i="19"/>
  <c r="O49" i="19"/>
  <c r="N49" i="19"/>
  <c r="M49" i="19"/>
  <c r="K49" i="19"/>
  <c r="G49" i="19"/>
  <c r="S48" i="19"/>
  <c r="Q48" i="19"/>
  <c r="O48" i="19"/>
  <c r="N48" i="19"/>
  <c r="M48" i="19"/>
  <c r="K48" i="19"/>
  <c r="G48" i="19"/>
  <c r="S47" i="19"/>
  <c r="Q47" i="19"/>
  <c r="O47" i="19"/>
  <c r="N47" i="19"/>
  <c r="M47" i="19"/>
  <c r="K47" i="19"/>
  <c r="G47" i="19"/>
  <c r="S46" i="19"/>
  <c r="Q46" i="19"/>
  <c r="O46" i="19"/>
  <c r="N46" i="19"/>
  <c r="M46" i="19"/>
  <c r="K46" i="19"/>
  <c r="G46" i="19"/>
  <c r="S45" i="19"/>
  <c r="Q45" i="19"/>
  <c r="O45" i="19"/>
  <c r="N45" i="19"/>
  <c r="M45" i="19"/>
  <c r="K45" i="19"/>
  <c r="G45" i="19"/>
  <c r="S44" i="19"/>
  <c r="Q44" i="19"/>
  <c r="O44" i="19"/>
  <c r="N44" i="19"/>
  <c r="M44" i="19"/>
  <c r="K44" i="19"/>
  <c r="G44" i="19"/>
  <c r="S43" i="19"/>
  <c r="Q43" i="19"/>
  <c r="O43" i="19"/>
  <c r="N43" i="19"/>
  <c r="M43" i="19"/>
  <c r="K43" i="19"/>
  <c r="G43" i="19"/>
  <c r="Y42" i="19"/>
  <c r="S42" i="19"/>
  <c r="Q42" i="19"/>
  <c r="O42" i="19"/>
  <c r="N42" i="19"/>
  <c r="M42" i="19"/>
  <c r="K42" i="19"/>
  <c r="G42" i="19"/>
  <c r="Y41" i="19"/>
  <c r="S41" i="19"/>
  <c r="Q41" i="19"/>
  <c r="O41" i="19"/>
  <c r="N41" i="19"/>
  <c r="M41" i="19"/>
  <c r="K41" i="19"/>
  <c r="G41" i="19"/>
  <c r="Y40" i="19"/>
  <c r="S40" i="19"/>
  <c r="Q40" i="19"/>
  <c r="O40" i="19"/>
  <c r="N40" i="19"/>
  <c r="M40" i="19"/>
  <c r="K40" i="19"/>
  <c r="G40" i="19"/>
  <c r="Y39" i="19"/>
  <c r="S39" i="19"/>
  <c r="Q39" i="19"/>
  <c r="O39" i="19"/>
  <c r="N39" i="19"/>
  <c r="M39" i="19"/>
  <c r="K39" i="19"/>
  <c r="G39" i="19"/>
  <c r="Y38" i="19"/>
  <c r="Y37" i="19"/>
  <c r="Y36" i="19"/>
  <c r="R36" i="19"/>
  <c r="P36" i="19"/>
  <c r="Y35" i="19"/>
  <c r="Y34" i="19"/>
  <c r="Y31" i="19"/>
  <c r="Y32" i="19"/>
  <c r="Y33" i="19"/>
  <c r="S34" i="19"/>
  <c r="R34" i="19"/>
  <c r="Q34" i="19"/>
  <c r="P34" i="19"/>
  <c r="N34" i="19"/>
  <c r="M34" i="19"/>
  <c r="L34" i="19"/>
  <c r="K34" i="19"/>
  <c r="R31" i="19"/>
  <c r="Q31" i="19"/>
  <c r="P31" i="19"/>
  <c r="N31" i="19"/>
  <c r="M31" i="19"/>
  <c r="L31" i="19"/>
  <c r="K31" i="19"/>
  <c r="AE8" i="19"/>
  <c r="AF8" i="19"/>
  <c r="AG8" i="19"/>
  <c r="AH8" i="19"/>
  <c r="AI8" i="19"/>
  <c r="AG22" i="19"/>
  <c r="AG28" i="19"/>
  <c r="I31" i="19"/>
  <c r="AF22" i="19"/>
  <c r="AF28" i="19"/>
  <c r="H31" i="19"/>
  <c r="AE19" i="19"/>
  <c r="AE20" i="19"/>
  <c r="AE21" i="19"/>
  <c r="AE22" i="19"/>
  <c r="AE23" i="19"/>
  <c r="AE24" i="19"/>
  <c r="AE25" i="19"/>
  <c r="AE26" i="19"/>
  <c r="AE27" i="19"/>
  <c r="AE28" i="19"/>
  <c r="G31" i="19"/>
  <c r="S50" i="18"/>
  <c r="Q50" i="18"/>
  <c r="O50" i="18"/>
  <c r="N50" i="18"/>
  <c r="M50" i="18"/>
  <c r="K50" i="18"/>
  <c r="G50" i="18"/>
  <c r="S49" i="18"/>
  <c r="Q49" i="18"/>
  <c r="O49" i="18"/>
  <c r="N49" i="18"/>
  <c r="M49" i="18"/>
  <c r="K49" i="18"/>
  <c r="G49" i="18"/>
  <c r="S48" i="18"/>
  <c r="Q48" i="18"/>
  <c r="O48" i="18"/>
  <c r="N48" i="18"/>
  <c r="M48" i="18"/>
  <c r="K48" i="18"/>
  <c r="G48" i="18"/>
  <c r="S47" i="18"/>
  <c r="Q47" i="18"/>
  <c r="O47" i="18"/>
  <c r="N47" i="18"/>
  <c r="M47" i="18"/>
  <c r="K47" i="18"/>
  <c r="G47" i="18"/>
  <c r="S46" i="18"/>
  <c r="Q46" i="18"/>
  <c r="O46" i="18"/>
  <c r="N46" i="18"/>
  <c r="M46" i="18"/>
  <c r="K46" i="18"/>
  <c r="G46" i="18"/>
  <c r="S45" i="18"/>
  <c r="Q45" i="18"/>
  <c r="O45" i="18"/>
  <c r="N45" i="18"/>
  <c r="M45" i="18"/>
  <c r="K45" i="18"/>
  <c r="G45" i="18"/>
  <c r="S44" i="18"/>
  <c r="Q44" i="18"/>
  <c r="O44" i="18"/>
  <c r="N44" i="18"/>
  <c r="M44" i="18"/>
  <c r="K44" i="18"/>
  <c r="G44" i="18"/>
  <c r="S43" i="18"/>
  <c r="Q43" i="18"/>
  <c r="O43" i="18"/>
  <c r="N43" i="18"/>
  <c r="M43" i="18"/>
  <c r="K43" i="18"/>
  <c r="G43" i="18"/>
  <c r="X15" i="18"/>
  <c r="Y42" i="18"/>
  <c r="S42" i="18"/>
  <c r="Q42" i="18"/>
  <c r="O42" i="18"/>
  <c r="N42" i="18"/>
  <c r="M42" i="18"/>
  <c r="K42" i="18"/>
  <c r="G42" i="18"/>
  <c r="X14" i="18"/>
  <c r="Y41" i="18"/>
  <c r="S41" i="18"/>
  <c r="Q41" i="18"/>
  <c r="O41" i="18"/>
  <c r="N41" i="18"/>
  <c r="M41" i="18"/>
  <c r="K41" i="18"/>
  <c r="G41" i="18"/>
  <c r="X13" i="18"/>
  <c r="Y40" i="18"/>
  <c r="S40" i="18"/>
  <c r="Q40" i="18"/>
  <c r="O40" i="18"/>
  <c r="N40" i="18"/>
  <c r="M40" i="18"/>
  <c r="K40" i="18"/>
  <c r="G40" i="18"/>
  <c r="X12" i="18"/>
  <c r="Y39" i="18"/>
  <c r="S39" i="18"/>
  <c r="Q39" i="18"/>
  <c r="O39" i="18"/>
  <c r="N39" i="18"/>
  <c r="M39" i="18"/>
  <c r="K39" i="18"/>
  <c r="G39" i="18"/>
  <c r="X11" i="18"/>
  <c r="Y38" i="18"/>
  <c r="X10" i="18"/>
  <c r="Y37" i="18"/>
  <c r="X9" i="18"/>
  <c r="Y36" i="18"/>
  <c r="R16" i="18"/>
  <c r="R36" i="18"/>
  <c r="P36" i="18"/>
  <c r="X8" i="18"/>
  <c r="Y35" i="18"/>
  <c r="Y34" i="18"/>
  <c r="Y31" i="18"/>
  <c r="Y32" i="18"/>
  <c r="Y33" i="18"/>
  <c r="S34" i="18"/>
  <c r="R34" i="18"/>
  <c r="Q34" i="18"/>
  <c r="P34" i="18"/>
  <c r="N34" i="18"/>
  <c r="M34" i="18"/>
  <c r="L34" i="18"/>
  <c r="K34" i="18"/>
  <c r="R31" i="18"/>
  <c r="Q31" i="18"/>
  <c r="P31" i="18"/>
  <c r="N31" i="18"/>
  <c r="M31" i="18"/>
  <c r="L31" i="18"/>
  <c r="K31" i="18"/>
  <c r="AE7" i="18"/>
  <c r="AF7" i="18"/>
  <c r="AG7" i="18"/>
  <c r="AH7" i="18"/>
  <c r="AI7" i="18"/>
  <c r="AG21" i="18"/>
  <c r="AE8" i="18"/>
  <c r="AF8" i="18"/>
  <c r="AG8" i="18"/>
  <c r="AH8" i="18"/>
  <c r="AI8" i="18"/>
  <c r="AG22" i="18"/>
  <c r="AE9" i="18"/>
  <c r="AF9" i="18"/>
  <c r="AG9" i="18"/>
  <c r="AH9" i="18"/>
  <c r="AI9" i="18"/>
  <c r="AG23" i="18"/>
  <c r="AE11" i="18"/>
  <c r="AF11" i="18"/>
  <c r="AG11" i="18"/>
  <c r="AH11" i="18"/>
  <c r="AI11" i="18"/>
  <c r="AG25" i="18"/>
  <c r="AE13" i="18"/>
  <c r="AF13" i="18"/>
  <c r="AG13" i="18"/>
  <c r="AH13" i="18"/>
  <c r="AI13" i="18"/>
  <c r="AG27" i="18"/>
  <c r="AG28" i="18"/>
  <c r="I31" i="18"/>
  <c r="AF21" i="18"/>
  <c r="AF22" i="18"/>
  <c r="AF23" i="18"/>
  <c r="AF25" i="18"/>
  <c r="AF27" i="18"/>
  <c r="AF28" i="18"/>
  <c r="H31" i="18"/>
  <c r="AE20" i="18"/>
  <c r="AE21" i="18"/>
  <c r="AE22" i="18"/>
  <c r="AE23" i="18"/>
  <c r="AE24" i="18"/>
  <c r="AE25" i="18"/>
  <c r="AE26" i="18"/>
  <c r="AE27" i="18"/>
  <c r="AE28" i="18"/>
  <c r="G31" i="18"/>
  <c r="N50" i="17"/>
  <c r="M50" i="17"/>
  <c r="K50" i="17"/>
  <c r="G50" i="17"/>
  <c r="S49" i="17"/>
  <c r="Q49" i="17"/>
  <c r="O49" i="17"/>
  <c r="N49" i="17"/>
  <c r="M49" i="17"/>
  <c r="K49" i="17"/>
  <c r="G49" i="17"/>
  <c r="S48" i="17"/>
  <c r="Q48" i="17"/>
  <c r="O48" i="17"/>
  <c r="N48" i="17"/>
  <c r="M48" i="17"/>
  <c r="K48" i="17"/>
  <c r="G48" i="17"/>
  <c r="S47" i="17"/>
  <c r="Q47" i="17"/>
  <c r="O47" i="17"/>
  <c r="N47" i="17"/>
  <c r="M47" i="17"/>
  <c r="K47" i="17"/>
  <c r="G47" i="17"/>
  <c r="S46" i="17"/>
  <c r="Q46" i="17"/>
  <c r="O46" i="17"/>
  <c r="N46" i="17"/>
  <c r="M46" i="17"/>
  <c r="K46" i="17"/>
  <c r="G46" i="17"/>
  <c r="S45" i="17"/>
  <c r="Q45" i="17"/>
  <c r="O45" i="17"/>
  <c r="N45" i="17"/>
  <c r="M45" i="17"/>
  <c r="K45" i="17"/>
  <c r="G45" i="17"/>
  <c r="S44" i="17"/>
  <c r="Q44" i="17"/>
  <c r="O44" i="17"/>
  <c r="N44" i="17"/>
  <c r="M44" i="17"/>
  <c r="K44" i="17"/>
  <c r="G44" i="17"/>
  <c r="S43" i="17"/>
  <c r="Q43" i="17"/>
  <c r="O43" i="17"/>
  <c r="N43" i="17"/>
  <c r="M43" i="17"/>
  <c r="K43" i="17"/>
  <c r="G43" i="17"/>
  <c r="Y42" i="17"/>
  <c r="S42" i="17"/>
  <c r="Q42" i="17"/>
  <c r="O42" i="17"/>
  <c r="N42" i="17"/>
  <c r="M42" i="17"/>
  <c r="K42" i="17"/>
  <c r="G42" i="17"/>
  <c r="X14" i="17"/>
  <c r="Y41" i="17"/>
  <c r="S41" i="17"/>
  <c r="Q41" i="17"/>
  <c r="O41" i="17"/>
  <c r="N41" i="17"/>
  <c r="M41" i="17"/>
  <c r="K41" i="17"/>
  <c r="G41" i="17"/>
  <c r="X13" i="17"/>
  <c r="Y40" i="17"/>
  <c r="S40" i="17"/>
  <c r="Q40" i="17"/>
  <c r="O40" i="17"/>
  <c r="N40" i="17"/>
  <c r="M40" i="17"/>
  <c r="K40" i="17"/>
  <c r="G40" i="17"/>
  <c r="Y39" i="17"/>
  <c r="S39" i="17"/>
  <c r="Q39" i="17"/>
  <c r="O39" i="17"/>
  <c r="N39" i="17"/>
  <c r="M39" i="17"/>
  <c r="K39" i="17"/>
  <c r="G39" i="17"/>
  <c r="Y38" i="17"/>
  <c r="X10" i="17"/>
  <c r="Y37" i="17"/>
  <c r="Y36" i="17"/>
  <c r="R16" i="17"/>
  <c r="Q16" i="17"/>
  <c r="R36" i="17"/>
  <c r="P36" i="17"/>
  <c r="X8" i="17"/>
  <c r="Y35" i="17"/>
  <c r="X7" i="17"/>
  <c r="Y34" i="17"/>
  <c r="Y31" i="17"/>
  <c r="Y32" i="17"/>
  <c r="Y33" i="17"/>
  <c r="S34" i="17"/>
  <c r="R34" i="17"/>
  <c r="Q34" i="17"/>
  <c r="P34" i="17"/>
  <c r="N34" i="17"/>
  <c r="M34" i="17"/>
  <c r="L34" i="17"/>
  <c r="K34" i="17"/>
  <c r="R31" i="17"/>
  <c r="Q31" i="17"/>
  <c r="P31" i="17"/>
  <c r="N31" i="17"/>
  <c r="M31" i="17"/>
  <c r="L31" i="17"/>
  <c r="K31" i="17"/>
  <c r="AE5" i="17"/>
  <c r="AF5" i="17"/>
  <c r="AG5" i="17"/>
  <c r="AH5" i="17"/>
  <c r="AI5" i="17"/>
  <c r="AG19" i="17"/>
  <c r="AE6" i="17"/>
  <c r="AF6" i="17"/>
  <c r="AG6" i="17"/>
  <c r="AH6" i="17"/>
  <c r="AI6" i="17"/>
  <c r="AG20" i="17"/>
  <c r="AE7" i="17"/>
  <c r="AF7" i="17"/>
  <c r="AG7" i="17"/>
  <c r="AH7" i="17"/>
  <c r="AI7" i="17"/>
  <c r="AG21" i="17"/>
  <c r="AE8" i="17"/>
  <c r="AF8" i="17"/>
  <c r="AG8" i="17"/>
  <c r="AH8" i="17"/>
  <c r="AI8" i="17"/>
  <c r="AG22" i="17"/>
  <c r="AG28" i="17"/>
  <c r="I31" i="17"/>
  <c r="AF19" i="17"/>
  <c r="AF20" i="17"/>
  <c r="AF21" i="17"/>
  <c r="AF22" i="17"/>
  <c r="AF28" i="17"/>
  <c r="H31" i="17"/>
  <c r="AE19" i="17"/>
  <c r="AE20" i="17"/>
  <c r="AE21" i="17"/>
  <c r="AE22" i="17"/>
  <c r="AE23" i="17"/>
  <c r="AE24" i="17"/>
  <c r="AE25" i="17"/>
  <c r="AE26" i="17"/>
  <c r="AE27" i="17"/>
  <c r="AE28" i="17"/>
  <c r="G31" i="17"/>
  <c r="S50" i="16"/>
  <c r="Q50" i="16"/>
  <c r="O50" i="16"/>
  <c r="N50" i="16"/>
  <c r="M50" i="16"/>
  <c r="K50" i="16"/>
  <c r="G50" i="16"/>
  <c r="S49" i="16"/>
  <c r="Q49" i="16"/>
  <c r="O49" i="16"/>
  <c r="N49" i="16"/>
  <c r="M49" i="16"/>
  <c r="K49" i="16"/>
  <c r="G49" i="16"/>
  <c r="S48" i="16"/>
  <c r="Q48" i="16"/>
  <c r="O48" i="16"/>
  <c r="N48" i="16"/>
  <c r="M48" i="16"/>
  <c r="K48" i="16"/>
  <c r="G48" i="16"/>
  <c r="S47" i="16"/>
  <c r="Q47" i="16"/>
  <c r="O47" i="16"/>
  <c r="N47" i="16"/>
  <c r="M47" i="16"/>
  <c r="K47" i="16"/>
  <c r="G47" i="16"/>
  <c r="S46" i="16"/>
  <c r="Q46" i="16"/>
  <c r="O46" i="16"/>
  <c r="N46" i="16"/>
  <c r="M46" i="16"/>
  <c r="K46" i="16"/>
  <c r="G46" i="16"/>
  <c r="S45" i="16"/>
  <c r="Q45" i="16"/>
  <c r="O45" i="16"/>
  <c r="N45" i="16"/>
  <c r="M45" i="16"/>
  <c r="K45" i="16"/>
  <c r="G45" i="16"/>
  <c r="S44" i="16"/>
  <c r="Q44" i="16"/>
  <c r="O44" i="16"/>
  <c r="N44" i="16"/>
  <c r="M44" i="16"/>
  <c r="K44" i="16"/>
  <c r="G44" i="16"/>
  <c r="S43" i="16"/>
  <c r="Q43" i="16"/>
  <c r="O43" i="16"/>
  <c r="N43" i="16"/>
  <c r="M43" i="16"/>
  <c r="K43" i="16"/>
  <c r="G43" i="16"/>
  <c r="Y42" i="16"/>
  <c r="S42" i="16"/>
  <c r="Q42" i="16"/>
  <c r="O42" i="16"/>
  <c r="N42" i="16"/>
  <c r="M42" i="16"/>
  <c r="K42" i="16"/>
  <c r="G42" i="16"/>
  <c r="Y41" i="16"/>
  <c r="S41" i="16"/>
  <c r="Q41" i="16"/>
  <c r="O41" i="16"/>
  <c r="N41" i="16"/>
  <c r="M41" i="16"/>
  <c r="K41" i="16"/>
  <c r="G41" i="16"/>
  <c r="Y40" i="16"/>
  <c r="S40" i="16"/>
  <c r="Q40" i="16"/>
  <c r="O40" i="16"/>
  <c r="N40" i="16"/>
  <c r="M40" i="16"/>
  <c r="K40" i="16"/>
  <c r="G40" i="16"/>
  <c r="Y39" i="16"/>
  <c r="S39" i="16"/>
  <c r="Q39" i="16"/>
  <c r="O39" i="16"/>
  <c r="N39" i="16"/>
  <c r="M39" i="16"/>
  <c r="K39" i="16"/>
  <c r="G39" i="16"/>
  <c r="Y38" i="16"/>
  <c r="Y37" i="16"/>
  <c r="Y36" i="16"/>
  <c r="R36" i="16"/>
  <c r="P36" i="16"/>
  <c r="Y35" i="16"/>
  <c r="Y34" i="16"/>
  <c r="Y31" i="16"/>
  <c r="Y32" i="16"/>
  <c r="Y33" i="16"/>
  <c r="S34" i="16"/>
  <c r="R34" i="16"/>
  <c r="Q34" i="16"/>
  <c r="P34" i="16"/>
  <c r="N34" i="16"/>
  <c r="M34" i="16"/>
  <c r="L34" i="16"/>
  <c r="K34" i="16"/>
  <c r="S31" i="16"/>
  <c r="R31" i="16"/>
  <c r="Q31" i="16"/>
  <c r="P31" i="16"/>
  <c r="N31" i="16"/>
  <c r="M31" i="16"/>
  <c r="L31" i="16"/>
  <c r="K31" i="16"/>
  <c r="A31" i="16"/>
  <c r="I31" i="16"/>
  <c r="H31" i="16"/>
  <c r="AE19" i="16"/>
  <c r="AE20" i="16"/>
  <c r="AE21" i="16"/>
  <c r="AE22" i="16"/>
  <c r="AE24" i="16"/>
  <c r="AE25" i="16"/>
  <c r="AE23" i="16"/>
  <c r="AE26" i="16"/>
  <c r="AE27" i="16"/>
  <c r="AE28" i="16"/>
  <c r="G31" i="16"/>
  <c r="S50" i="15"/>
  <c r="Q50" i="15"/>
  <c r="O50" i="15"/>
  <c r="N50" i="15"/>
  <c r="M50" i="15"/>
  <c r="K50" i="15"/>
  <c r="G50" i="15"/>
  <c r="S49" i="15"/>
  <c r="Q49" i="15"/>
  <c r="O49" i="15"/>
  <c r="N49" i="15"/>
  <c r="M49" i="15"/>
  <c r="K49" i="15"/>
  <c r="G49" i="15"/>
  <c r="S48" i="15"/>
  <c r="Q48" i="15"/>
  <c r="O48" i="15"/>
  <c r="N48" i="15"/>
  <c r="M48" i="15"/>
  <c r="K48" i="15"/>
  <c r="G48" i="15"/>
  <c r="S47" i="15"/>
  <c r="Q47" i="15"/>
  <c r="O47" i="15"/>
  <c r="N47" i="15"/>
  <c r="M47" i="15"/>
  <c r="K47" i="15"/>
  <c r="G47" i="15"/>
  <c r="S46" i="15"/>
  <c r="Q46" i="15"/>
  <c r="O46" i="15"/>
  <c r="N46" i="15"/>
  <c r="M46" i="15"/>
  <c r="K46" i="15"/>
  <c r="G46" i="15"/>
  <c r="S45" i="15"/>
  <c r="Q45" i="15"/>
  <c r="O45" i="15"/>
  <c r="N45" i="15"/>
  <c r="M45" i="15"/>
  <c r="K45" i="15"/>
  <c r="G45" i="15"/>
  <c r="S44" i="15"/>
  <c r="Q44" i="15"/>
  <c r="O44" i="15"/>
  <c r="N44" i="15"/>
  <c r="M44" i="15"/>
  <c r="K44" i="15"/>
  <c r="G44" i="15"/>
  <c r="S43" i="15"/>
  <c r="Q43" i="15"/>
  <c r="O43" i="15"/>
  <c r="N43" i="15"/>
  <c r="M43" i="15"/>
  <c r="K43" i="15"/>
  <c r="G43" i="15"/>
  <c r="X15" i="15"/>
  <c r="Y42" i="15"/>
  <c r="S42" i="15"/>
  <c r="Q42" i="15"/>
  <c r="O42" i="15"/>
  <c r="N42" i="15"/>
  <c r="M42" i="15"/>
  <c r="K42" i="15"/>
  <c r="G42" i="15"/>
  <c r="X14" i="15"/>
  <c r="Y41" i="15"/>
  <c r="S41" i="15"/>
  <c r="Q41" i="15"/>
  <c r="O41" i="15"/>
  <c r="N41" i="15"/>
  <c r="M41" i="15"/>
  <c r="K41" i="15"/>
  <c r="G41" i="15"/>
  <c r="X13" i="15"/>
  <c r="Y40" i="15"/>
  <c r="S40" i="15"/>
  <c r="Q40" i="15"/>
  <c r="O40" i="15"/>
  <c r="N40" i="15"/>
  <c r="M40" i="15"/>
  <c r="K40" i="15"/>
  <c r="G40" i="15"/>
  <c r="Y39" i="15"/>
  <c r="S39" i="15"/>
  <c r="Q39" i="15"/>
  <c r="O39" i="15"/>
  <c r="N39" i="15"/>
  <c r="M39" i="15"/>
  <c r="K39" i="15"/>
  <c r="G39" i="15"/>
  <c r="X11" i="15"/>
  <c r="Y38" i="15"/>
  <c r="X10" i="15"/>
  <c r="Y37" i="15"/>
  <c r="X9" i="15"/>
  <c r="Y36" i="15"/>
  <c r="R16" i="15"/>
  <c r="Q16" i="15"/>
  <c r="R36" i="15"/>
  <c r="P36" i="15"/>
  <c r="X8" i="15"/>
  <c r="Y35" i="15"/>
  <c r="X7" i="15"/>
  <c r="Y34" i="15"/>
  <c r="Y31" i="15"/>
  <c r="Y32" i="15"/>
  <c r="Y33" i="15"/>
  <c r="S34" i="15"/>
  <c r="R34" i="15"/>
  <c r="Q34" i="15"/>
  <c r="P34" i="15"/>
  <c r="N34" i="15"/>
  <c r="M34" i="15"/>
  <c r="L34" i="15"/>
  <c r="K34" i="15"/>
  <c r="R31" i="15"/>
  <c r="Q31" i="15"/>
  <c r="P31" i="15"/>
  <c r="N31" i="15"/>
  <c r="M31" i="15"/>
  <c r="L31" i="15"/>
  <c r="K31" i="15"/>
  <c r="AE5" i="15"/>
  <c r="AF5" i="15"/>
  <c r="AG5" i="15"/>
  <c r="AH5" i="15"/>
  <c r="AI5" i="15"/>
  <c r="AG19" i="15"/>
  <c r="AE10" i="15"/>
  <c r="AF10" i="15"/>
  <c r="AG10" i="15"/>
  <c r="AH10" i="15"/>
  <c r="AI10" i="15"/>
  <c r="AG24" i="15"/>
  <c r="AE12" i="15"/>
  <c r="AF12" i="15"/>
  <c r="AG12" i="15"/>
  <c r="AH12" i="15"/>
  <c r="AI12" i="15"/>
  <c r="AG26" i="15"/>
  <c r="AE13" i="15"/>
  <c r="AF13" i="15"/>
  <c r="AG13" i="15"/>
  <c r="AH13" i="15"/>
  <c r="AI13" i="15"/>
  <c r="AG27" i="15"/>
  <c r="AG28" i="15"/>
  <c r="I31" i="15"/>
  <c r="AF19" i="15"/>
  <c r="AF24" i="15"/>
  <c r="AF26" i="15"/>
  <c r="AF27" i="15"/>
  <c r="AF28" i="15"/>
  <c r="H31" i="15"/>
  <c r="AE19" i="15"/>
  <c r="AE20" i="15"/>
  <c r="AE21" i="15"/>
  <c r="AE22" i="15"/>
  <c r="AE23" i="15"/>
  <c r="AE24" i="15"/>
  <c r="AE25" i="15"/>
  <c r="AE26" i="15"/>
  <c r="AE27" i="15"/>
  <c r="AE28" i="15"/>
  <c r="G31" i="15"/>
  <c r="S50" i="14"/>
  <c r="Q50" i="14"/>
  <c r="O50" i="14"/>
  <c r="N50" i="14"/>
  <c r="M50" i="14"/>
  <c r="K50" i="14"/>
  <c r="G50" i="14"/>
  <c r="S49" i="14"/>
  <c r="Q49" i="14"/>
  <c r="O49" i="14"/>
  <c r="N49" i="14"/>
  <c r="M49" i="14"/>
  <c r="K49" i="14"/>
  <c r="G49" i="14"/>
  <c r="S48" i="14"/>
  <c r="Q48" i="14"/>
  <c r="O48" i="14"/>
  <c r="N48" i="14"/>
  <c r="M48" i="14"/>
  <c r="K48" i="14"/>
  <c r="G48" i="14"/>
  <c r="S47" i="14"/>
  <c r="Q47" i="14"/>
  <c r="O47" i="14"/>
  <c r="N47" i="14"/>
  <c r="M47" i="14"/>
  <c r="K47" i="14"/>
  <c r="G47" i="14"/>
  <c r="S46" i="14"/>
  <c r="Q46" i="14"/>
  <c r="O46" i="14"/>
  <c r="N46" i="14"/>
  <c r="M46" i="14"/>
  <c r="K46" i="14"/>
  <c r="G46" i="14"/>
  <c r="S45" i="14"/>
  <c r="Q45" i="14"/>
  <c r="O45" i="14"/>
  <c r="N45" i="14"/>
  <c r="M45" i="14"/>
  <c r="K45" i="14"/>
  <c r="G45" i="14"/>
  <c r="S44" i="14"/>
  <c r="Q44" i="14"/>
  <c r="O44" i="14"/>
  <c r="N44" i="14"/>
  <c r="M44" i="14"/>
  <c r="K44" i="14"/>
  <c r="G44" i="14"/>
  <c r="S43" i="14"/>
  <c r="Q43" i="14"/>
  <c r="O43" i="14"/>
  <c r="N43" i="14"/>
  <c r="M43" i="14"/>
  <c r="K43" i="14"/>
  <c r="G43" i="14"/>
  <c r="Y42" i="14"/>
  <c r="S42" i="14"/>
  <c r="Q42" i="14"/>
  <c r="O42" i="14"/>
  <c r="N42" i="14"/>
  <c r="M42" i="14"/>
  <c r="K42" i="14"/>
  <c r="G42" i="14"/>
  <c r="Y41" i="14"/>
  <c r="S41" i="14"/>
  <c r="Q41" i="14"/>
  <c r="O41" i="14"/>
  <c r="N41" i="14"/>
  <c r="M41" i="14"/>
  <c r="K41" i="14"/>
  <c r="G41" i="14"/>
  <c r="Y40" i="14"/>
  <c r="S40" i="14"/>
  <c r="Q40" i="14"/>
  <c r="O40" i="14"/>
  <c r="N40" i="14"/>
  <c r="M40" i="14"/>
  <c r="K40" i="14"/>
  <c r="G40" i="14"/>
  <c r="Y39" i="14"/>
  <c r="S39" i="14"/>
  <c r="Q39" i="14"/>
  <c r="O39" i="14"/>
  <c r="N39" i="14"/>
  <c r="M39" i="14"/>
  <c r="K39" i="14"/>
  <c r="G39" i="14"/>
  <c r="Y38" i="14"/>
  <c r="Y37" i="14"/>
  <c r="Y36" i="14"/>
  <c r="R36" i="14"/>
  <c r="P36" i="14"/>
  <c r="Y35" i="14"/>
  <c r="Y34" i="14"/>
  <c r="Y31" i="14"/>
  <c r="Y32" i="14"/>
  <c r="Y33" i="14"/>
  <c r="S34" i="14"/>
  <c r="R34" i="14"/>
  <c r="Q34" i="14"/>
  <c r="P34" i="14"/>
  <c r="N34" i="14"/>
  <c r="M34" i="14"/>
  <c r="L34" i="14"/>
  <c r="K34" i="14"/>
  <c r="R31" i="14"/>
  <c r="Q31" i="14"/>
  <c r="P31" i="14"/>
  <c r="N31" i="14"/>
  <c r="M31" i="14"/>
  <c r="L31" i="14"/>
  <c r="K31" i="14"/>
  <c r="I31" i="14"/>
  <c r="H31" i="14"/>
  <c r="AE19" i="14"/>
  <c r="AE20" i="14"/>
  <c r="AE21" i="14"/>
  <c r="AE22" i="14"/>
  <c r="AE23" i="14"/>
  <c r="AE24" i="14"/>
  <c r="AE25" i="14"/>
  <c r="AE26" i="14"/>
  <c r="AE27" i="14"/>
  <c r="AE28" i="14"/>
  <c r="G31" i="14"/>
  <c r="S50" i="13"/>
  <c r="Q50" i="13"/>
  <c r="O50" i="13"/>
  <c r="N50" i="13"/>
  <c r="M50" i="13"/>
  <c r="K50" i="13"/>
  <c r="G50" i="13"/>
  <c r="S49" i="13"/>
  <c r="Q49" i="13"/>
  <c r="O49" i="13"/>
  <c r="N49" i="13"/>
  <c r="M49" i="13"/>
  <c r="K49" i="13"/>
  <c r="G49" i="13"/>
  <c r="S48" i="13"/>
  <c r="Q48" i="13"/>
  <c r="O48" i="13"/>
  <c r="N48" i="13"/>
  <c r="M48" i="13"/>
  <c r="K48" i="13"/>
  <c r="G48" i="13"/>
  <c r="S47" i="13"/>
  <c r="Q47" i="13"/>
  <c r="O47" i="13"/>
  <c r="N47" i="13"/>
  <c r="M47" i="13"/>
  <c r="K47" i="13"/>
  <c r="G47" i="13"/>
  <c r="S46" i="13"/>
  <c r="Q46" i="13"/>
  <c r="O46" i="13"/>
  <c r="N46" i="13"/>
  <c r="M46" i="13"/>
  <c r="K46" i="13"/>
  <c r="G46" i="13"/>
  <c r="S45" i="13"/>
  <c r="Q45" i="13"/>
  <c r="O45" i="13"/>
  <c r="N45" i="13"/>
  <c r="M45" i="13"/>
  <c r="K45" i="13"/>
  <c r="G45" i="13"/>
  <c r="S44" i="13"/>
  <c r="Q44" i="13"/>
  <c r="O44" i="13"/>
  <c r="N44" i="13"/>
  <c r="M44" i="13"/>
  <c r="K44" i="13"/>
  <c r="G44" i="13"/>
  <c r="S43" i="13"/>
  <c r="Q43" i="13"/>
  <c r="O43" i="13"/>
  <c r="N43" i="13"/>
  <c r="M43" i="13"/>
  <c r="K43" i="13"/>
  <c r="G43" i="13"/>
  <c r="Y42" i="13"/>
  <c r="S42" i="13"/>
  <c r="Q42" i="13"/>
  <c r="O42" i="13"/>
  <c r="N42" i="13"/>
  <c r="M42" i="13"/>
  <c r="K42" i="13"/>
  <c r="G42" i="13"/>
  <c r="Y41" i="13"/>
  <c r="S41" i="13"/>
  <c r="Q41" i="13"/>
  <c r="O41" i="13"/>
  <c r="N41" i="13"/>
  <c r="M41" i="13"/>
  <c r="K41" i="13"/>
  <c r="G41" i="13"/>
  <c r="Y40" i="13"/>
  <c r="S40" i="13"/>
  <c r="Q40" i="13"/>
  <c r="O40" i="13"/>
  <c r="N40" i="13"/>
  <c r="M40" i="13"/>
  <c r="K40" i="13"/>
  <c r="G40" i="13"/>
  <c r="Y39" i="13"/>
  <c r="S39" i="13"/>
  <c r="Q39" i="13"/>
  <c r="O39" i="13"/>
  <c r="N39" i="13"/>
  <c r="M39" i="13"/>
  <c r="K39" i="13"/>
  <c r="G39" i="13"/>
  <c r="Y38" i="13"/>
  <c r="Y37" i="13"/>
  <c r="Y36" i="13"/>
  <c r="R36" i="13"/>
  <c r="P36" i="13"/>
  <c r="Y35" i="13"/>
  <c r="Y34" i="13"/>
  <c r="Y31" i="13"/>
  <c r="Y32" i="13"/>
  <c r="Y33" i="13"/>
  <c r="S34" i="13"/>
  <c r="R34" i="13"/>
  <c r="Q34" i="13"/>
  <c r="P34" i="13"/>
  <c r="N34" i="13"/>
  <c r="M34" i="13"/>
  <c r="L34" i="13"/>
  <c r="K34" i="13"/>
  <c r="R31" i="13"/>
  <c r="Q31" i="13"/>
  <c r="P31" i="13"/>
  <c r="N31" i="13"/>
  <c r="M31" i="13"/>
  <c r="L31" i="13"/>
  <c r="K31" i="13"/>
  <c r="AE13" i="13"/>
  <c r="AF13" i="13"/>
  <c r="AG13" i="13"/>
  <c r="AH13" i="13"/>
  <c r="AI13" i="13"/>
  <c r="AG27" i="13"/>
  <c r="AG28" i="13"/>
  <c r="I31" i="13"/>
  <c r="AF27" i="13"/>
  <c r="AF28" i="13"/>
  <c r="H31" i="13"/>
  <c r="AE19" i="13"/>
  <c r="AE20" i="13"/>
  <c r="AE21" i="13"/>
  <c r="AE22" i="13"/>
  <c r="AE23" i="13"/>
  <c r="AE24" i="13"/>
  <c r="AE25" i="13"/>
  <c r="AE26" i="13"/>
  <c r="AE27" i="13"/>
  <c r="AE28" i="13"/>
  <c r="G31" i="13"/>
  <c r="AE19" i="1"/>
  <c r="AE16" i="1"/>
  <c r="AE17" i="1"/>
  <c r="AE18" i="1"/>
  <c r="AE21" i="1"/>
  <c r="AE22" i="1"/>
  <c r="AE23" i="1"/>
  <c r="AE24" i="1"/>
  <c r="AE25" i="1"/>
  <c r="AE26" i="1"/>
  <c r="AE27" i="1"/>
  <c r="AE28" i="1"/>
  <c r="G31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H31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I31" i="1"/>
  <c r="K31" i="1"/>
  <c r="L31" i="1"/>
  <c r="M31" i="1"/>
  <c r="N31" i="1"/>
  <c r="P31" i="1"/>
  <c r="Q31" i="1"/>
  <c r="R31" i="1"/>
  <c r="S31" i="1"/>
  <c r="X4" i="1"/>
  <c r="Y31" i="1"/>
  <c r="X5" i="1"/>
  <c r="Y32" i="1"/>
  <c r="X6" i="1"/>
  <c r="Y33" i="1"/>
  <c r="K39" i="1"/>
  <c r="K40" i="1"/>
  <c r="K41" i="1"/>
  <c r="K42" i="1"/>
  <c r="K44" i="1"/>
  <c r="K45" i="1"/>
  <c r="K46" i="1"/>
  <c r="K47" i="1"/>
  <c r="K48" i="1"/>
  <c r="K49" i="1"/>
  <c r="K50" i="1"/>
  <c r="K34" i="1"/>
  <c r="L34" i="1"/>
  <c r="M34" i="1"/>
  <c r="N34" i="1"/>
  <c r="X7" i="1"/>
  <c r="Y34" i="1"/>
  <c r="Y36" i="1"/>
  <c r="Y37" i="1"/>
  <c r="X11" i="1"/>
  <c r="Y38" i="1"/>
  <c r="X12" i="1"/>
  <c r="Y39" i="1"/>
  <c r="X13" i="1"/>
  <c r="Y40" i="1"/>
  <c r="X14" i="1"/>
  <c r="Y41" i="1"/>
  <c r="X15" i="1"/>
  <c r="Y42" i="1"/>
  <c r="P34" i="1"/>
  <c r="Q34" i="1"/>
  <c r="R34" i="1"/>
  <c r="S34" i="1"/>
  <c r="Q16" i="1"/>
  <c r="R16" i="1"/>
  <c r="P36" i="1"/>
  <c r="R36" i="1"/>
  <c r="G39" i="1"/>
  <c r="M39" i="1"/>
  <c r="N39" i="1"/>
  <c r="O39" i="1"/>
  <c r="Q39" i="1"/>
  <c r="S39" i="1"/>
  <c r="G40" i="1"/>
  <c r="M40" i="1"/>
  <c r="N40" i="1"/>
  <c r="O40" i="1"/>
  <c r="Q40" i="1"/>
  <c r="S40" i="1"/>
  <c r="G41" i="1"/>
  <c r="M41" i="1"/>
  <c r="N41" i="1"/>
  <c r="O41" i="1"/>
  <c r="Q41" i="1"/>
  <c r="S41" i="1"/>
  <c r="G42" i="1"/>
  <c r="M42" i="1"/>
  <c r="N42" i="1"/>
  <c r="O42" i="1"/>
  <c r="Q42" i="1"/>
  <c r="S42" i="1"/>
  <c r="G44" i="1"/>
  <c r="M44" i="1"/>
  <c r="N44" i="1"/>
  <c r="O44" i="1"/>
  <c r="Q44" i="1"/>
  <c r="S44" i="1"/>
  <c r="G45" i="1"/>
  <c r="M45" i="1"/>
  <c r="N45" i="1"/>
  <c r="O45" i="1"/>
  <c r="Q45" i="1"/>
  <c r="S45" i="1"/>
  <c r="G46" i="1"/>
  <c r="M46" i="1"/>
  <c r="N46" i="1"/>
  <c r="O46" i="1"/>
  <c r="Q46" i="1"/>
  <c r="S46" i="1"/>
  <c r="G47" i="1"/>
  <c r="M47" i="1"/>
  <c r="N47" i="1"/>
  <c r="O47" i="1"/>
  <c r="Q47" i="1"/>
  <c r="S47" i="1"/>
  <c r="G48" i="1"/>
  <c r="M48" i="1"/>
  <c r="N48" i="1"/>
  <c r="O48" i="1"/>
  <c r="Q48" i="1"/>
  <c r="S48" i="1"/>
  <c r="G49" i="1"/>
  <c r="M49" i="1"/>
  <c r="N49" i="1"/>
  <c r="O49" i="1"/>
  <c r="Q49" i="1"/>
  <c r="S49" i="1"/>
  <c r="G50" i="1"/>
  <c r="M50" i="1"/>
  <c r="N50" i="1"/>
  <c r="O50" i="1"/>
  <c r="Q50" i="1"/>
  <c r="S50" i="1"/>
  <c r="O50" i="12"/>
  <c r="N50" i="12"/>
  <c r="M50" i="12"/>
  <c r="K50" i="12"/>
  <c r="G50" i="12"/>
  <c r="O49" i="12"/>
  <c r="N49" i="12"/>
  <c r="M49" i="12"/>
  <c r="K49" i="12"/>
  <c r="G49" i="12"/>
  <c r="S48" i="12"/>
  <c r="Q48" i="12"/>
  <c r="O48" i="12"/>
  <c r="N48" i="12"/>
  <c r="M48" i="12"/>
  <c r="K48" i="12"/>
  <c r="G48" i="12"/>
  <c r="S47" i="12"/>
  <c r="Q47" i="12"/>
  <c r="O47" i="12"/>
  <c r="N47" i="12"/>
  <c r="M47" i="12"/>
  <c r="K47" i="12"/>
  <c r="G47" i="12"/>
  <c r="S46" i="12"/>
  <c r="Q46" i="12"/>
  <c r="O46" i="12"/>
  <c r="N46" i="12"/>
  <c r="M46" i="12"/>
  <c r="K46" i="12"/>
  <c r="G46" i="12"/>
  <c r="S45" i="12"/>
  <c r="Q45" i="12"/>
  <c r="O45" i="12"/>
  <c r="N45" i="12"/>
  <c r="M45" i="12"/>
  <c r="K45" i="12"/>
  <c r="G45" i="12"/>
  <c r="S44" i="12"/>
  <c r="Q44" i="12"/>
  <c r="O44" i="12"/>
  <c r="N44" i="12"/>
  <c r="M44" i="12"/>
  <c r="K44" i="12"/>
  <c r="G44" i="12"/>
  <c r="S43" i="12"/>
  <c r="Q43" i="12"/>
  <c r="O43" i="12"/>
  <c r="N43" i="12"/>
  <c r="M43" i="12"/>
  <c r="K43" i="12"/>
  <c r="G43" i="12"/>
  <c r="Y42" i="12"/>
  <c r="S42" i="12"/>
  <c r="Q42" i="12"/>
  <c r="O42" i="12"/>
  <c r="N42" i="12"/>
  <c r="M42" i="12"/>
  <c r="K42" i="12"/>
  <c r="G42" i="12"/>
  <c r="X14" i="12"/>
  <c r="Y41" i="12"/>
  <c r="S41" i="12"/>
  <c r="Q41" i="12"/>
  <c r="O41" i="12"/>
  <c r="N41" i="12"/>
  <c r="M41" i="12"/>
  <c r="K41" i="12"/>
  <c r="G41" i="12"/>
  <c r="X13" i="12"/>
  <c r="Y40" i="12"/>
  <c r="S40" i="12"/>
  <c r="Q40" i="12"/>
  <c r="O40" i="12"/>
  <c r="N40" i="12"/>
  <c r="M40" i="12"/>
  <c r="K40" i="12"/>
  <c r="G40" i="12"/>
  <c r="Y39" i="12"/>
  <c r="S39" i="12"/>
  <c r="Q39" i="12"/>
  <c r="O39" i="12"/>
  <c r="N39" i="12"/>
  <c r="M39" i="12"/>
  <c r="K39" i="12"/>
  <c r="G39" i="12"/>
  <c r="Y38" i="12"/>
  <c r="Y37" i="12"/>
  <c r="Y36" i="12"/>
  <c r="R16" i="12"/>
  <c r="Q16" i="12"/>
  <c r="R36" i="12"/>
  <c r="P36" i="12"/>
  <c r="Y35" i="12"/>
  <c r="X7" i="12"/>
  <c r="Y34" i="12"/>
  <c r="Y31" i="12"/>
  <c r="Y32" i="12"/>
  <c r="Y33" i="12"/>
  <c r="S34" i="12"/>
  <c r="R34" i="12"/>
  <c r="Q34" i="12"/>
  <c r="P34" i="12"/>
  <c r="N34" i="12"/>
  <c r="M34" i="12"/>
  <c r="L34" i="12"/>
  <c r="K34" i="12"/>
  <c r="R31" i="12"/>
  <c r="Q31" i="12"/>
  <c r="N31" i="12"/>
  <c r="M31" i="12"/>
  <c r="L31" i="12"/>
  <c r="K31" i="12"/>
  <c r="AF19" i="12"/>
  <c r="AF27" i="12"/>
  <c r="AF28" i="12"/>
  <c r="H31" i="12"/>
  <c r="AE19" i="12"/>
  <c r="AE20" i="12"/>
  <c r="AE21" i="12"/>
  <c r="AE22" i="12"/>
  <c r="AE23" i="12"/>
  <c r="AE24" i="12"/>
  <c r="AE25" i="12"/>
  <c r="AE26" i="12"/>
  <c r="AE27" i="12"/>
  <c r="AE28" i="12"/>
  <c r="G31" i="12"/>
  <c r="S50" i="11"/>
  <c r="Q50" i="11"/>
  <c r="O50" i="11"/>
  <c r="N50" i="11"/>
  <c r="M50" i="11"/>
  <c r="K50" i="11"/>
  <c r="G50" i="11"/>
  <c r="S49" i="11"/>
  <c r="Q49" i="11"/>
  <c r="O49" i="11"/>
  <c r="N49" i="11"/>
  <c r="M49" i="11"/>
  <c r="K49" i="11"/>
  <c r="G49" i="11"/>
  <c r="S48" i="11"/>
  <c r="Q48" i="11"/>
  <c r="O48" i="11"/>
  <c r="N48" i="11"/>
  <c r="M48" i="11"/>
  <c r="K48" i="11"/>
  <c r="G48" i="11"/>
  <c r="S47" i="11"/>
  <c r="Q47" i="11"/>
  <c r="O47" i="11"/>
  <c r="N47" i="11"/>
  <c r="M47" i="11"/>
  <c r="K47" i="11"/>
  <c r="G47" i="11"/>
  <c r="S46" i="11"/>
  <c r="Q46" i="11"/>
  <c r="O46" i="11"/>
  <c r="N46" i="11"/>
  <c r="M46" i="11"/>
  <c r="K46" i="11"/>
  <c r="G46" i="11"/>
  <c r="S45" i="11"/>
  <c r="Q45" i="11"/>
  <c r="O45" i="11"/>
  <c r="N45" i="11"/>
  <c r="M45" i="11"/>
  <c r="K45" i="11"/>
  <c r="G45" i="11"/>
  <c r="S44" i="11"/>
  <c r="Q44" i="11"/>
  <c r="O44" i="11"/>
  <c r="N44" i="11"/>
  <c r="M44" i="11"/>
  <c r="K44" i="11"/>
  <c r="G44" i="11"/>
  <c r="S43" i="11"/>
  <c r="Q43" i="11"/>
  <c r="O43" i="11"/>
  <c r="N43" i="11"/>
  <c r="M43" i="11"/>
  <c r="K43" i="11"/>
  <c r="G43" i="11"/>
  <c r="Y42" i="11"/>
  <c r="S42" i="11"/>
  <c r="Q42" i="11"/>
  <c r="O42" i="11"/>
  <c r="N42" i="11"/>
  <c r="M42" i="11"/>
  <c r="K42" i="11"/>
  <c r="G42" i="11"/>
  <c r="Y41" i="11"/>
  <c r="S41" i="11"/>
  <c r="Q41" i="11"/>
  <c r="O41" i="11"/>
  <c r="N41" i="11"/>
  <c r="M41" i="11"/>
  <c r="K41" i="11"/>
  <c r="G41" i="11"/>
  <c r="Y40" i="11"/>
  <c r="S40" i="11"/>
  <c r="Q40" i="11"/>
  <c r="O40" i="11"/>
  <c r="N40" i="11"/>
  <c r="M40" i="11"/>
  <c r="K40" i="11"/>
  <c r="G40" i="11"/>
  <c r="Y39" i="11"/>
  <c r="S39" i="11"/>
  <c r="Q39" i="11"/>
  <c r="O39" i="11"/>
  <c r="N39" i="11"/>
  <c r="M39" i="11"/>
  <c r="K39" i="11"/>
  <c r="G39" i="11"/>
  <c r="Y38" i="11"/>
  <c r="Y37" i="11"/>
  <c r="X9" i="11"/>
  <c r="Y36" i="11"/>
  <c r="R16" i="11"/>
  <c r="Q16" i="11"/>
  <c r="R36" i="11"/>
  <c r="P36" i="11"/>
  <c r="Y35" i="11"/>
  <c r="X7" i="11"/>
  <c r="Y34" i="11"/>
  <c r="Y31" i="11"/>
  <c r="Y32" i="11"/>
  <c r="Y33" i="11"/>
  <c r="S34" i="11"/>
  <c r="R34" i="11"/>
  <c r="Q34" i="11"/>
  <c r="P34" i="11"/>
  <c r="N34" i="11"/>
  <c r="M34" i="11"/>
  <c r="L34" i="11"/>
  <c r="K34" i="11"/>
  <c r="S31" i="11"/>
  <c r="R31" i="11"/>
  <c r="Q31" i="11"/>
  <c r="P31" i="11"/>
  <c r="N31" i="11"/>
  <c r="M31" i="11"/>
  <c r="L31" i="11"/>
  <c r="K31" i="11"/>
  <c r="AE5" i="11"/>
  <c r="AF5" i="11"/>
  <c r="AG5" i="11"/>
  <c r="AH5" i="11"/>
  <c r="AI5" i="11"/>
  <c r="AG19" i="11"/>
  <c r="AE7" i="11"/>
  <c r="AF7" i="11"/>
  <c r="AG7" i="11"/>
  <c r="AH7" i="11"/>
  <c r="AI7" i="11"/>
  <c r="AG21" i="11"/>
  <c r="AG28" i="11"/>
  <c r="I31" i="11"/>
  <c r="AF19" i="11"/>
  <c r="AF21" i="11"/>
  <c r="AF28" i="11"/>
  <c r="H31" i="11"/>
  <c r="AE19" i="11"/>
  <c r="AE20" i="11"/>
  <c r="AE21" i="11"/>
  <c r="AE22" i="11"/>
  <c r="AE23" i="11"/>
  <c r="AE24" i="11"/>
  <c r="AE25" i="11"/>
  <c r="AE26" i="11"/>
  <c r="AE27" i="11"/>
  <c r="AE28" i="11"/>
  <c r="G31" i="11"/>
  <c r="S50" i="10"/>
  <c r="Q50" i="10"/>
  <c r="O50" i="10"/>
  <c r="N50" i="10"/>
  <c r="M50" i="10"/>
  <c r="K50" i="10"/>
  <c r="G50" i="10"/>
  <c r="S49" i="10"/>
  <c r="Q49" i="10"/>
  <c r="O49" i="10"/>
  <c r="N49" i="10"/>
  <c r="M49" i="10"/>
  <c r="K49" i="10"/>
  <c r="G49" i="10"/>
  <c r="S48" i="10"/>
  <c r="Q48" i="10"/>
  <c r="O48" i="10"/>
  <c r="N48" i="10"/>
  <c r="M48" i="10"/>
  <c r="K48" i="10"/>
  <c r="G48" i="10"/>
  <c r="S47" i="10"/>
  <c r="Q47" i="10"/>
  <c r="O47" i="10"/>
  <c r="N47" i="10"/>
  <c r="M47" i="10"/>
  <c r="K47" i="10"/>
  <c r="G47" i="10"/>
  <c r="S46" i="10"/>
  <c r="Q46" i="10"/>
  <c r="O46" i="10"/>
  <c r="N46" i="10"/>
  <c r="M46" i="10"/>
  <c r="K46" i="10"/>
  <c r="G46" i="10"/>
  <c r="S45" i="10"/>
  <c r="Q45" i="10"/>
  <c r="O45" i="10"/>
  <c r="N45" i="10"/>
  <c r="M45" i="10"/>
  <c r="K45" i="10"/>
  <c r="G45" i="10"/>
  <c r="S44" i="10"/>
  <c r="Q44" i="10"/>
  <c r="O44" i="10"/>
  <c r="N44" i="10"/>
  <c r="M44" i="10"/>
  <c r="K44" i="10"/>
  <c r="G44" i="10"/>
  <c r="S43" i="10"/>
  <c r="Q43" i="10"/>
  <c r="O43" i="10"/>
  <c r="N43" i="10"/>
  <c r="M43" i="10"/>
  <c r="K43" i="10"/>
  <c r="G43" i="10"/>
  <c r="Y42" i="10"/>
  <c r="S42" i="10"/>
  <c r="Q42" i="10"/>
  <c r="O42" i="10"/>
  <c r="N42" i="10"/>
  <c r="M42" i="10"/>
  <c r="K42" i="10"/>
  <c r="G42" i="10"/>
  <c r="Y41" i="10"/>
  <c r="S41" i="10"/>
  <c r="Q41" i="10"/>
  <c r="O41" i="10"/>
  <c r="N41" i="10"/>
  <c r="M41" i="10"/>
  <c r="K41" i="10"/>
  <c r="G41" i="10"/>
  <c r="Y40" i="10"/>
  <c r="S40" i="10"/>
  <c r="Q40" i="10"/>
  <c r="O40" i="10"/>
  <c r="N40" i="10"/>
  <c r="M40" i="10"/>
  <c r="K40" i="10"/>
  <c r="G40" i="10"/>
  <c r="Y39" i="10"/>
  <c r="S39" i="10"/>
  <c r="Q39" i="10"/>
  <c r="O39" i="10"/>
  <c r="N39" i="10"/>
  <c r="M39" i="10"/>
  <c r="K39" i="10"/>
  <c r="G39" i="10"/>
  <c r="Y38" i="10"/>
  <c r="Y37" i="10"/>
  <c r="Y36" i="10"/>
  <c r="R36" i="10"/>
  <c r="P36" i="10"/>
  <c r="Y35" i="10"/>
  <c r="Y34" i="10"/>
  <c r="Y31" i="10"/>
  <c r="Y32" i="10"/>
  <c r="Y33" i="10"/>
  <c r="S34" i="10"/>
  <c r="R34" i="10"/>
  <c r="Q34" i="10"/>
  <c r="P34" i="10"/>
  <c r="N34" i="10"/>
  <c r="M34" i="10"/>
  <c r="L34" i="10"/>
  <c r="K34" i="10"/>
  <c r="S31" i="10"/>
  <c r="R31" i="10"/>
  <c r="Q31" i="10"/>
  <c r="P31" i="10"/>
  <c r="N31" i="10"/>
  <c r="M31" i="10"/>
  <c r="L31" i="10"/>
  <c r="K31" i="10"/>
  <c r="A31" i="10"/>
  <c r="AE10" i="10"/>
  <c r="AF10" i="10"/>
  <c r="AG10" i="10"/>
  <c r="AH10" i="10"/>
  <c r="AI10" i="10"/>
  <c r="AG24" i="10"/>
  <c r="AG28" i="10"/>
  <c r="I31" i="10"/>
  <c r="AF24" i="10"/>
  <c r="AF28" i="10"/>
  <c r="H31" i="10"/>
  <c r="AE20" i="10"/>
  <c r="AE21" i="10"/>
  <c r="AE22" i="10"/>
  <c r="AE23" i="10"/>
  <c r="AE24" i="10"/>
  <c r="AE25" i="10"/>
  <c r="AE26" i="10"/>
  <c r="AE27" i="10"/>
  <c r="AE28" i="10"/>
  <c r="G31" i="10"/>
  <c r="N50" i="8"/>
  <c r="M50" i="8"/>
  <c r="K50" i="8"/>
  <c r="G50" i="8"/>
  <c r="S49" i="8"/>
  <c r="Q49" i="8"/>
  <c r="O49" i="8"/>
  <c r="N49" i="8"/>
  <c r="M49" i="8"/>
  <c r="K49" i="8"/>
  <c r="G49" i="8"/>
  <c r="S48" i="8"/>
  <c r="Q48" i="8"/>
  <c r="O48" i="8"/>
  <c r="N48" i="8"/>
  <c r="M48" i="8"/>
  <c r="K48" i="8"/>
  <c r="G48" i="8"/>
  <c r="S47" i="8"/>
  <c r="Q47" i="8"/>
  <c r="O47" i="8"/>
  <c r="N47" i="8"/>
  <c r="M47" i="8"/>
  <c r="K47" i="8"/>
  <c r="G47" i="8"/>
  <c r="S46" i="8"/>
  <c r="Q46" i="8"/>
  <c r="O46" i="8"/>
  <c r="N46" i="8"/>
  <c r="M46" i="8"/>
  <c r="K46" i="8"/>
  <c r="G46" i="8"/>
  <c r="S45" i="8"/>
  <c r="Q45" i="8"/>
  <c r="O45" i="8"/>
  <c r="N45" i="8"/>
  <c r="M45" i="8"/>
  <c r="K45" i="8"/>
  <c r="G45" i="8"/>
  <c r="S44" i="8"/>
  <c r="Q44" i="8"/>
  <c r="O44" i="8"/>
  <c r="N44" i="8"/>
  <c r="M44" i="8"/>
  <c r="K44" i="8"/>
  <c r="G44" i="8"/>
  <c r="S43" i="8"/>
  <c r="Q43" i="8"/>
  <c r="O43" i="8"/>
  <c r="N43" i="8"/>
  <c r="M43" i="8"/>
  <c r="K43" i="8"/>
  <c r="G43" i="8"/>
  <c r="Y42" i="8"/>
  <c r="S42" i="8"/>
  <c r="Q42" i="8"/>
  <c r="O42" i="8"/>
  <c r="N42" i="8"/>
  <c r="M42" i="8"/>
  <c r="K42" i="8"/>
  <c r="G42" i="8"/>
  <c r="Y41" i="8"/>
  <c r="S41" i="8"/>
  <c r="Q41" i="8"/>
  <c r="O41" i="8"/>
  <c r="N41" i="8"/>
  <c r="M41" i="8"/>
  <c r="K41" i="8"/>
  <c r="G41" i="8"/>
  <c r="Y40" i="8"/>
  <c r="S40" i="8"/>
  <c r="Q40" i="8"/>
  <c r="O40" i="8"/>
  <c r="N40" i="8"/>
  <c r="M40" i="8"/>
  <c r="K40" i="8"/>
  <c r="G40" i="8"/>
  <c r="Y39" i="8"/>
  <c r="S39" i="8"/>
  <c r="Q39" i="8"/>
  <c r="O39" i="8"/>
  <c r="N39" i="8"/>
  <c r="M39" i="8"/>
  <c r="K39" i="8"/>
  <c r="G39" i="8"/>
  <c r="Y38" i="8"/>
  <c r="Y37" i="8"/>
  <c r="Y36" i="8"/>
  <c r="R36" i="8"/>
  <c r="P36" i="8"/>
  <c r="Y35" i="8"/>
  <c r="Y34" i="8"/>
  <c r="Y31" i="8"/>
  <c r="Y32" i="8"/>
  <c r="Y33" i="8"/>
  <c r="S34" i="8"/>
  <c r="R34" i="8"/>
  <c r="Q34" i="8"/>
  <c r="P34" i="8"/>
  <c r="N34" i="8"/>
  <c r="M34" i="8"/>
  <c r="L34" i="8"/>
  <c r="K34" i="8"/>
  <c r="S31" i="8"/>
  <c r="R31" i="8"/>
  <c r="Q31" i="8"/>
  <c r="P31" i="8"/>
  <c r="N31" i="8"/>
  <c r="M31" i="8"/>
  <c r="L31" i="8"/>
  <c r="K31" i="8"/>
  <c r="A31" i="8"/>
  <c r="I31" i="8"/>
  <c r="H31" i="8"/>
  <c r="AE19" i="8"/>
  <c r="AE20" i="8"/>
  <c r="AE21" i="8"/>
  <c r="AE22" i="8"/>
  <c r="AE23" i="8"/>
  <c r="AE24" i="8"/>
  <c r="AE25" i="8"/>
  <c r="AE26" i="8"/>
  <c r="AE27" i="8"/>
  <c r="AE28" i="8"/>
  <c r="G31" i="8"/>
  <c r="N50" i="9"/>
  <c r="M50" i="9"/>
  <c r="K50" i="9"/>
  <c r="G50" i="9"/>
  <c r="S49" i="9"/>
  <c r="Q49" i="9"/>
  <c r="O49" i="9"/>
  <c r="N49" i="9"/>
  <c r="M49" i="9"/>
  <c r="K49" i="9"/>
  <c r="G49" i="9"/>
  <c r="S48" i="9"/>
  <c r="Q48" i="9"/>
  <c r="O48" i="9"/>
  <c r="N48" i="9"/>
  <c r="M48" i="9"/>
  <c r="K48" i="9"/>
  <c r="G48" i="9"/>
  <c r="S47" i="9"/>
  <c r="Q47" i="9"/>
  <c r="O47" i="9"/>
  <c r="N47" i="9"/>
  <c r="M47" i="9"/>
  <c r="K47" i="9"/>
  <c r="G47" i="9"/>
  <c r="S46" i="9"/>
  <c r="Q46" i="9"/>
  <c r="O46" i="9"/>
  <c r="N46" i="9"/>
  <c r="M46" i="9"/>
  <c r="K46" i="9"/>
  <c r="G46" i="9"/>
  <c r="S45" i="9"/>
  <c r="Q45" i="9"/>
  <c r="O45" i="9"/>
  <c r="N45" i="9"/>
  <c r="M45" i="9"/>
  <c r="K45" i="9"/>
  <c r="G45" i="9"/>
  <c r="S44" i="9"/>
  <c r="Q44" i="9"/>
  <c r="O44" i="9"/>
  <c r="N44" i="9"/>
  <c r="M44" i="9"/>
  <c r="K44" i="9"/>
  <c r="G44" i="9"/>
  <c r="S43" i="9"/>
  <c r="Q43" i="9"/>
  <c r="O43" i="9"/>
  <c r="N43" i="9"/>
  <c r="M43" i="9"/>
  <c r="K43" i="9"/>
  <c r="G43" i="9"/>
  <c r="Y42" i="9"/>
  <c r="S42" i="9"/>
  <c r="Q42" i="9"/>
  <c r="O42" i="9"/>
  <c r="N42" i="9"/>
  <c r="M42" i="9"/>
  <c r="K42" i="9"/>
  <c r="G42" i="9"/>
  <c r="Y41" i="9"/>
  <c r="S41" i="9"/>
  <c r="Q41" i="9"/>
  <c r="O41" i="9"/>
  <c r="N41" i="9"/>
  <c r="M41" i="9"/>
  <c r="K41" i="9"/>
  <c r="G41" i="9"/>
  <c r="Y40" i="9"/>
  <c r="S40" i="9"/>
  <c r="Q40" i="9"/>
  <c r="O40" i="9"/>
  <c r="N40" i="9"/>
  <c r="M40" i="9"/>
  <c r="K40" i="9"/>
  <c r="G40" i="9"/>
  <c r="Y39" i="9"/>
  <c r="S39" i="9"/>
  <c r="Q39" i="9"/>
  <c r="O39" i="9"/>
  <c r="N39" i="9"/>
  <c r="M39" i="9"/>
  <c r="K39" i="9"/>
  <c r="G39" i="9"/>
  <c r="Y38" i="9"/>
  <c r="Y37" i="9"/>
  <c r="Y36" i="9"/>
  <c r="R36" i="9"/>
  <c r="P36" i="9"/>
  <c r="Y35" i="9"/>
  <c r="Y34" i="9"/>
  <c r="Y31" i="9"/>
  <c r="Y32" i="9"/>
  <c r="Y33" i="9"/>
  <c r="S34" i="9"/>
  <c r="R34" i="9"/>
  <c r="Q34" i="9"/>
  <c r="P34" i="9"/>
  <c r="N34" i="9"/>
  <c r="M34" i="9"/>
  <c r="L34" i="9"/>
  <c r="K34" i="9"/>
  <c r="S31" i="9"/>
  <c r="R31" i="9"/>
  <c r="Q31" i="9"/>
  <c r="P31" i="9"/>
  <c r="N31" i="9"/>
  <c r="M31" i="9"/>
  <c r="L31" i="9"/>
  <c r="K31" i="9"/>
  <c r="A31" i="9"/>
  <c r="AE10" i="9"/>
  <c r="AF10" i="9"/>
  <c r="AG10" i="9"/>
  <c r="AH10" i="9"/>
  <c r="AI10" i="9"/>
  <c r="AG24" i="9"/>
  <c r="AG28" i="9"/>
  <c r="I31" i="9"/>
  <c r="AF24" i="9"/>
  <c r="AF28" i="9"/>
  <c r="H31" i="9"/>
  <c r="AE20" i="9"/>
  <c r="AE21" i="9"/>
  <c r="AE22" i="9"/>
  <c r="AE23" i="9"/>
  <c r="AE24" i="9"/>
  <c r="AE25" i="9"/>
  <c r="AE26" i="9"/>
  <c r="AE27" i="9"/>
  <c r="AE28" i="9"/>
  <c r="G31" i="9"/>
  <c r="AA11" i="2"/>
  <c r="AA50" i="2"/>
  <c r="AA30" i="2"/>
  <c r="AA23" i="2"/>
  <c r="AA4" i="2"/>
  <c r="AA24" i="2"/>
  <c r="AA25" i="2"/>
  <c r="AA9" i="2"/>
  <c r="AA5" i="2"/>
  <c r="E23" i="3"/>
  <c r="AA16" i="2"/>
  <c r="AA49" i="2"/>
  <c r="AA14" i="2"/>
  <c r="AA28" i="2"/>
  <c r="AA38" i="2"/>
  <c r="AA29" i="2"/>
  <c r="H23" i="3"/>
  <c r="AA32" i="2"/>
  <c r="AA17" i="2"/>
  <c r="AA21" i="2"/>
  <c r="AA37" i="2"/>
  <c r="AA26" i="2"/>
  <c r="AA13" i="2"/>
  <c r="AA3" i="2"/>
  <c r="K23" i="3"/>
  <c r="W39" i="3"/>
  <c r="R11" i="2"/>
  <c r="R50" i="2"/>
  <c r="Y11" i="2"/>
  <c r="Y50" i="2"/>
  <c r="R16" i="2"/>
  <c r="R49" i="2"/>
  <c r="Y16" i="2"/>
  <c r="Y49" i="2"/>
  <c r="R32" i="2"/>
  <c r="Y32" i="2"/>
  <c r="O33" i="3"/>
  <c r="N35" i="3"/>
  <c r="C39" i="10"/>
  <c r="C40" i="10"/>
  <c r="C41" i="10"/>
  <c r="C42" i="10"/>
  <c r="C40" i="17"/>
  <c r="C41" i="17"/>
  <c r="C41" i="23"/>
  <c r="C42" i="23"/>
  <c r="C39" i="11"/>
  <c r="C40" i="11"/>
  <c r="C41" i="11"/>
  <c r="C40" i="53"/>
  <c r="C41" i="53"/>
  <c r="C42" i="47"/>
  <c r="C39" i="12"/>
  <c r="C40" i="12"/>
  <c r="C41" i="12"/>
  <c r="C41" i="33"/>
  <c r="C42" i="33"/>
  <c r="N22" i="10"/>
  <c r="H6" i="2"/>
  <c r="Y6" i="2"/>
  <c r="N22" i="53"/>
  <c r="H22" i="2"/>
  <c r="Y22" i="2"/>
  <c r="C39" i="9"/>
  <c r="C40" i="9"/>
  <c r="C41" i="9"/>
  <c r="C42" i="9"/>
  <c r="C39" i="29"/>
  <c r="C40" i="29"/>
  <c r="C41" i="29"/>
  <c r="C39" i="36"/>
  <c r="C40" i="36"/>
  <c r="C41" i="36"/>
  <c r="C39" i="67"/>
  <c r="C40" i="67"/>
  <c r="C41" i="67"/>
  <c r="C42" i="67"/>
  <c r="C40" i="21"/>
  <c r="C41" i="21"/>
  <c r="C42" i="21"/>
  <c r="C40" i="24"/>
  <c r="C41" i="24"/>
  <c r="C42" i="24"/>
  <c r="C40" i="37"/>
  <c r="C41" i="37"/>
  <c r="C40" i="48"/>
  <c r="C41" i="48"/>
  <c r="C40" i="56"/>
  <c r="C41" i="56"/>
  <c r="C40" i="62"/>
  <c r="C41" i="62"/>
  <c r="C42" i="62"/>
  <c r="C40" i="27"/>
  <c r="C41" i="27"/>
  <c r="C40" i="38"/>
  <c r="C41" i="38"/>
  <c r="C40" i="39"/>
  <c r="C41" i="39"/>
  <c r="C42" i="39"/>
  <c r="C40" i="46"/>
  <c r="C41" i="46"/>
  <c r="C42" i="46"/>
  <c r="C40" i="49"/>
  <c r="C41" i="49"/>
  <c r="C42" i="49"/>
  <c r="C40" i="64"/>
  <c r="C41" i="64"/>
  <c r="C40" i="16"/>
  <c r="C40" i="28"/>
  <c r="C41" i="28"/>
  <c r="C40" i="45"/>
  <c r="C41" i="45"/>
  <c r="C42" i="45"/>
  <c r="C40" i="50"/>
  <c r="C41" i="50"/>
  <c r="C42" i="50"/>
  <c r="C40" i="55"/>
  <c r="C41" i="55"/>
  <c r="C40" i="58"/>
  <c r="C41" i="58"/>
  <c r="C40" i="13"/>
  <c r="C41" i="13"/>
  <c r="C40" i="32"/>
  <c r="C41" i="32"/>
  <c r="C42" i="32"/>
  <c r="C40" i="35"/>
  <c r="C41" i="35"/>
  <c r="C40" i="63"/>
  <c r="C41" i="63"/>
  <c r="C40" i="43"/>
  <c r="C41" i="43"/>
  <c r="C42" i="43"/>
  <c r="C40" i="22"/>
  <c r="C41" i="22"/>
  <c r="C40" i="57"/>
  <c r="C41" i="57"/>
  <c r="C42" i="57"/>
  <c r="C40" i="14"/>
  <c r="C41" i="14"/>
  <c r="C40" i="18"/>
  <c r="C41" i="18"/>
  <c r="C42" i="18"/>
  <c r="C40" i="20"/>
  <c r="C41" i="20"/>
  <c r="C40" i="23"/>
  <c r="C40" i="31"/>
  <c r="C41" i="31"/>
  <c r="C40" i="65"/>
  <c r="C41" i="65"/>
  <c r="C42" i="65"/>
  <c r="C40" i="26"/>
  <c r="C41" i="26"/>
  <c r="C40" i="30"/>
  <c r="C41" i="30"/>
  <c r="C40" i="40"/>
  <c r="C41" i="40"/>
  <c r="C40" i="47"/>
  <c r="C41" i="47"/>
  <c r="C40" i="41"/>
  <c r="C41" i="41"/>
  <c r="C42" i="41"/>
  <c r="C40" i="61"/>
  <c r="C41" i="61"/>
  <c r="C40" i="60"/>
  <c r="C41" i="60"/>
  <c r="C40" i="8"/>
  <c r="C41" i="8"/>
  <c r="C40" i="52"/>
  <c r="C41" i="52"/>
  <c r="C40" i="54"/>
  <c r="C41" i="54"/>
  <c r="C42" i="54"/>
  <c r="C40" i="59"/>
  <c r="C41" i="59"/>
  <c r="C40" i="15"/>
  <c r="C41" i="15"/>
  <c r="C40" i="19"/>
  <c r="C41" i="19"/>
  <c r="C40" i="33"/>
  <c r="C40" i="42"/>
  <c r="C41" i="42"/>
  <c r="C41" i="25"/>
  <c r="C42" i="25"/>
  <c r="C40" i="25"/>
  <c r="C39" i="8"/>
  <c r="H11" i="2"/>
  <c r="N22" i="43"/>
  <c r="H50" i="2"/>
  <c r="N22" i="9"/>
  <c r="H16" i="2"/>
  <c r="H49" i="2"/>
  <c r="N22" i="8"/>
  <c r="H32" i="2"/>
  <c r="AA15" i="2"/>
  <c r="AA35" i="2"/>
  <c r="AA46" i="2"/>
  <c r="AA19" i="2"/>
  <c r="AA44" i="2"/>
  <c r="AA42" i="2"/>
  <c r="T23" i="3"/>
  <c r="X5" i="53"/>
  <c r="X6" i="53"/>
  <c r="AA22" i="2"/>
  <c r="AA41" i="2"/>
  <c r="AA48" i="2"/>
  <c r="AA45" i="2"/>
  <c r="AA58" i="2"/>
  <c r="AA27" i="2"/>
  <c r="AA18" i="2"/>
  <c r="Q23" i="3"/>
  <c r="X5" i="10"/>
  <c r="AA6" i="2"/>
  <c r="X6" i="23"/>
  <c r="AA34" i="2"/>
  <c r="AA55" i="2"/>
  <c r="AA33" i="2"/>
  <c r="AA31" i="2"/>
  <c r="AA36" i="2"/>
  <c r="N23" i="3"/>
  <c r="R15" i="2"/>
  <c r="Q35" i="2"/>
  <c r="R35" i="2"/>
  <c r="R46" i="2"/>
  <c r="R19" i="2"/>
  <c r="R44" i="2"/>
  <c r="R42" i="2"/>
  <c r="T22" i="3"/>
  <c r="R22" i="2"/>
  <c r="Q41" i="2"/>
  <c r="R41" i="2"/>
  <c r="R48" i="2"/>
  <c r="R58" i="2"/>
  <c r="R27" i="2"/>
  <c r="R18" i="2"/>
  <c r="Q22" i="3"/>
  <c r="R6" i="2"/>
  <c r="R34" i="2"/>
  <c r="Q55" i="2"/>
  <c r="R55" i="2"/>
  <c r="R33" i="2"/>
  <c r="R31" i="2"/>
  <c r="R36" i="2"/>
  <c r="N22" i="3"/>
  <c r="Q15" i="2"/>
  <c r="Q46" i="2"/>
  <c r="Q11" i="2"/>
  <c r="Q19" i="2"/>
  <c r="Q25" i="2"/>
  <c r="Q44" i="2"/>
  <c r="Q42" i="2"/>
  <c r="Q9" i="2"/>
  <c r="T21" i="3"/>
  <c r="Q22" i="2"/>
  <c r="Q4" i="2"/>
  <c r="Q48" i="2"/>
  <c r="Q45" i="2"/>
  <c r="Q58" i="2"/>
  <c r="Q27" i="2"/>
  <c r="Q18" i="2"/>
  <c r="Q21" i="3"/>
  <c r="Q6" i="2"/>
  <c r="Q37" i="2"/>
  <c r="Q34" i="2"/>
  <c r="Q3" i="2"/>
  <c r="Q33" i="2"/>
  <c r="Q31" i="2"/>
  <c r="Q36" i="2"/>
  <c r="N21" i="3"/>
  <c r="Q32" i="2"/>
  <c r="Q21" i="2"/>
  <c r="Q26" i="2"/>
  <c r="Q28" i="2"/>
  <c r="Q13" i="2"/>
  <c r="K21" i="3"/>
  <c r="Q16" i="2"/>
  <c r="Q49" i="2"/>
  <c r="P24" i="2"/>
  <c r="Q14" i="2"/>
  <c r="Q38" i="2"/>
  <c r="Q29" i="2"/>
  <c r="H21" i="3"/>
  <c r="X42" i="2"/>
  <c r="X22" i="2"/>
  <c r="X46" i="2"/>
  <c r="W41" i="2"/>
  <c r="X15" i="2"/>
  <c r="X48" i="2"/>
  <c r="X45" i="2"/>
  <c r="X58" i="2"/>
  <c r="X27" i="2"/>
  <c r="X18" i="2"/>
  <c r="Q20" i="3"/>
  <c r="X6" i="2"/>
  <c r="X37" i="2"/>
  <c r="AE4" i="23"/>
  <c r="AF4" i="23"/>
  <c r="AG4" i="23"/>
  <c r="AH4" i="23"/>
  <c r="AI4" i="23"/>
  <c r="AG18" i="23"/>
  <c r="AG28" i="23"/>
  <c r="X34" i="2"/>
  <c r="W55" i="2"/>
  <c r="X3" i="2"/>
  <c r="X33" i="2"/>
  <c r="X31" i="2"/>
  <c r="X9" i="2"/>
  <c r="X36" i="2"/>
  <c r="N20" i="3"/>
  <c r="X32" i="2"/>
  <c r="AE3" i="41"/>
  <c r="AF3" i="41"/>
  <c r="AG3" i="41"/>
  <c r="AH3" i="41"/>
  <c r="AI3" i="41"/>
  <c r="AG17" i="41"/>
  <c r="AG28" i="41"/>
  <c r="W17" i="2"/>
  <c r="X21" i="2"/>
  <c r="X26" i="2"/>
  <c r="X28" i="2"/>
  <c r="X13" i="2"/>
  <c r="K20" i="3"/>
  <c r="AE4" i="9"/>
  <c r="AF4" i="9"/>
  <c r="AG4" i="9"/>
  <c r="AH4" i="9"/>
  <c r="AI4" i="9"/>
  <c r="AG18" i="9"/>
  <c r="X16" i="2"/>
  <c r="X49" i="2"/>
  <c r="W24" i="2"/>
  <c r="X14" i="2"/>
  <c r="X25" i="2"/>
  <c r="X38" i="2"/>
  <c r="X4" i="2"/>
  <c r="X29" i="2"/>
  <c r="H20" i="3"/>
  <c r="W15" i="2"/>
  <c r="V35" i="2"/>
  <c r="W35" i="2"/>
  <c r="W46" i="2"/>
  <c r="W19" i="2"/>
  <c r="W25" i="2"/>
  <c r="W44" i="2"/>
  <c r="W42" i="2"/>
  <c r="W9" i="2"/>
  <c r="T19" i="3"/>
  <c r="W22" i="2"/>
  <c r="V41" i="2"/>
  <c r="W48" i="2"/>
  <c r="W45" i="2"/>
  <c r="W58" i="2"/>
  <c r="W27" i="2"/>
  <c r="W18" i="2"/>
  <c r="Q19" i="3"/>
  <c r="W6" i="2"/>
  <c r="W37" i="2"/>
  <c r="AF18" i="23"/>
  <c r="AF28" i="23"/>
  <c r="W34" i="2"/>
  <c r="V55" i="2"/>
  <c r="W3" i="2"/>
  <c r="W33" i="2"/>
  <c r="W31" i="2"/>
  <c r="W36" i="2"/>
  <c r="N19" i="3"/>
  <c r="W32" i="2"/>
  <c r="AF17" i="41"/>
  <c r="AF28" i="41"/>
  <c r="V17" i="2"/>
  <c r="W21" i="2"/>
  <c r="W26" i="2"/>
  <c r="W28" i="2"/>
  <c r="W13" i="2"/>
  <c r="K19" i="3"/>
  <c r="AF18" i="9"/>
  <c r="W16" i="2"/>
  <c r="W49" i="2"/>
  <c r="V24" i="2"/>
  <c r="W14" i="2"/>
  <c r="W38" i="2"/>
  <c r="W4" i="2"/>
  <c r="W29" i="2"/>
  <c r="W23" i="2"/>
  <c r="H19" i="3"/>
  <c r="AE16" i="12"/>
  <c r="AE17" i="12"/>
  <c r="AE18" i="12"/>
  <c r="AE18" i="33"/>
  <c r="AE19" i="33"/>
  <c r="V15" i="2"/>
  <c r="T16" i="36"/>
  <c r="U35" i="2"/>
  <c r="V46" i="2"/>
  <c r="V19" i="2"/>
  <c r="V25" i="2"/>
  <c r="V44" i="2"/>
  <c r="V42" i="2"/>
  <c r="V9" i="2"/>
  <c r="T18" i="3"/>
  <c r="AE16" i="11"/>
  <c r="AE17" i="11"/>
  <c r="AE18" i="11"/>
  <c r="AE17" i="53"/>
  <c r="AE18" i="53"/>
  <c r="V22" i="2"/>
  <c r="AE19" i="47"/>
  <c r="T16" i="27"/>
  <c r="U41" i="2"/>
  <c r="V48" i="2"/>
  <c r="V45" i="2"/>
  <c r="V58" i="2"/>
  <c r="V27" i="2"/>
  <c r="V18" i="2"/>
  <c r="Q18" i="3"/>
  <c r="AE16" i="10"/>
  <c r="AE17" i="10"/>
  <c r="AE18" i="10"/>
  <c r="AE19" i="10"/>
  <c r="V6" i="2"/>
  <c r="AE17" i="17"/>
  <c r="AE18" i="17"/>
  <c r="V37" i="2"/>
  <c r="AE18" i="23"/>
  <c r="AE19" i="23"/>
  <c r="V34" i="2"/>
  <c r="T16" i="59"/>
  <c r="U55" i="2"/>
  <c r="V3" i="2"/>
  <c r="V33" i="2"/>
  <c r="V31" i="2"/>
  <c r="V36" i="2"/>
  <c r="N18" i="3"/>
  <c r="AE16" i="8"/>
  <c r="AE17" i="8"/>
  <c r="AE18" i="8"/>
  <c r="V32" i="2"/>
  <c r="AE17" i="41"/>
  <c r="AE18" i="41"/>
  <c r="AE19" i="41"/>
  <c r="T16" i="12"/>
  <c r="U17" i="2"/>
  <c r="V21" i="2"/>
  <c r="V26" i="2"/>
  <c r="V28" i="2"/>
  <c r="V13" i="2"/>
  <c r="K18" i="3"/>
  <c r="AE16" i="9"/>
  <c r="AE17" i="9"/>
  <c r="AE18" i="9"/>
  <c r="AE19" i="9"/>
  <c r="V16" i="2"/>
  <c r="AE18" i="54"/>
  <c r="AE19" i="54"/>
  <c r="V49" i="2"/>
  <c r="T16" i="41"/>
  <c r="U24" i="2"/>
  <c r="V14" i="2"/>
  <c r="V38" i="2"/>
  <c r="V4" i="2"/>
  <c r="V29" i="2"/>
  <c r="V23" i="2"/>
  <c r="H18" i="3"/>
  <c r="O19" i="2"/>
  <c r="P19" i="2"/>
  <c r="O44" i="2"/>
  <c r="P44" i="2"/>
  <c r="O42" i="2"/>
  <c r="P42" i="2"/>
  <c r="O9" i="2"/>
  <c r="P9" i="2"/>
  <c r="T17" i="3"/>
  <c r="O15" i="2"/>
  <c r="P15" i="2"/>
  <c r="O48" i="2"/>
  <c r="P48" i="2"/>
  <c r="O45" i="2"/>
  <c r="P45" i="2"/>
  <c r="O58" i="2"/>
  <c r="P58" i="2"/>
  <c r="O27" i="2"/>
  <c r="P27" i="2"/>
  <c r="O18" i="2"/>
  <c r="P18" i="2"/>
  <c r="Q17" i="3"/>
  <c r="N24" i="2"/>
  <c r="O24" i="2"/>
  <c r="O14" i="2"/>
  <c r="P14" i="2"/>
  <c r="O38" i="2"/>
  <c r="P38" i="2"/>
  <c r="O4" i="2"/>
  <c r="P4" i="2"/>
  <c r="O29" i="2"/>
  <c r="P29" i="2"/>
  <c r="O23" i="2"/>
  <c r="P23" i="2"/>
  <c r="H17" i="3"/>
  <c r="N19" i="2"/>
  <c r="N44" i="2"/>
  <c r="N42" i="2"/>
  <c r="N9" i="2"/>
  <c r="T16" i="3"/>
  <c r="N15" i="2"/>
  <c r="N48" i="2"/>
  <c r="N45" i="2"/>
  <c r="N58" i="2"/>
  <c r="N27" i="2"/>
  <c r="N18" i="2"/>
  <c r="Q16" i="3"/>
  <c r="M24" i="2"/>
  <c r="N14" i="2"/>
  <c r="N38" i="2"/>
  <c r="N4" i="2"/>
  <c r="N29" i="2"/>
  <c r="N23" i="2"/>
  <c r="H16" i="3"/>
  <c r="L35" i="2"/>
  <c r="M19" i="2"/>
  <c r="M44" i="2"/>
  <c r="M42" i="2"/>
  <c r="M9" i="2"/>
  <c r="T15" i="3"/>
  <c r="L41" i="2"/>
  <c r="M15" i="2"/>
  <c r="M48" i="2"/>
  <c r="M45" i="2"/>
  <c r="M58" i="2"/>
  <c r="M27" i="2"/>
  <c r="M18" i="2"/>
  <c r="Q15" i="3"/>
  <c r="L17" i="2"/>
  <c r="L24" i="2"/>
  <c r="M14" i="2"/>
  <c r="M38" i="2"/>
  <c r="M4" i="2"/>
  <c r="M29" i="2"/>
  <c r="M23" i="2"/>
  <c r="H15" i="3"/>
  <c r="L15" i="2"/>
  <c r="K35" i="2"/>
  <c r="L46" i="2"/>
  <c r="L19" i="2"/>
  <c r="L25" i="2"/>
  <c r="L44" i="2"/>
  <c r="L42" i="2"/>
  <c r="L9" i="2"/>
  <c r="T14" i="3"/>
  <c r="K41" i="2"/>
  <c r="L48" i="2"/>
  <c r="L45" i="2"/>
  <c r="L58" i="2"/>
  <c r="L27" i="2"/>
  <c r="L18" i="2"/>
  <c r="Q14" i="3"/>
  <c r="Q16" i="10"/>
  <c r="L6" i="2"/>
  <c r="L34" i="2"/>
  <c r="K55" i="2"/>
  <c r="L55" i="2"/>
  <c r="L3" i="2"/>
  <c r="L33" i="2"/>
  <c r="L31" i="2"/>
  <c r="L36" i="2"/>
  <c r="N14" i="3"/>
  <c r="K17" i="2"/>
  <c r="L21" i="2"/>
  <c r="L37" i="2"/>
  <c r="L28" i="2"/>
  <c r="L13" i="2"/>
  <c r="K14" i="3"/>
  <c r="L49" i="2"/>
  <c r="K24" i="2"/>
  <c r="L14" i="2"/>
  <c r="L38" i="2"/>
  <c r="L4" i="2"/>
  <c r="L29" i="2"/>
  <c r="L23" i="2"/>
  <c r="H14" i="3"/>
  <c r="K15" i="2"/>
  <c r="K46" i="2"/>
  <c r="K19" i="2"/>
  <c r="K25" i="2"/>
  <c r="K44" i="2"/>
  <c r="K42" i="2"/>
  <c r="K9" i="2"/>
  <c r="T13" i="3"/>
  <c r="K48" i="2"/>
  <c r="K45" i="2"/>
  <c r="K58" i="2"/>
  <c r="K27" i="2"/>
  <c r="K18" i="2"/>
  <c r="Q13" i="3"/>
  <c r="K6" i="2"/>
  <c r="K34" i="2"/>
  <c r="K3" i="2"/>
  <c r="K33" i="2"/>
  <c r="K31" i="2"/>
  <c r="K36" i="2"/>
  <c r="N13" i="3"/>
  <c r="K21" i="2"/>
  <c r="K37" i="2"/>
  <c r="K28" i="2"/>
  <c r="K13" i="2"/>
  <c r="K13" i="3"/>
  <c r="K49" i="2"/>
  <c r="K14" i="2"/>
  <c r="K38" i="2"/>
  <c r="K4" i="2"/>
  <c r="K29" i="2"/>
  <c r="K23" i="2"/>
  <c r="H13" i="3"/>
  <c r="T16" i="33"/>
  <c r="U15" i="2"/>
  <c r="S16" i="36"/>
  <c r="P19" i="36"/>
  <c r="T35" i="2"/>
  <c r="T16" i="47"/>
  <c r="U46" i="2"/>
  <c r="T16" i="55"/>
  <c r="U19" i="2"/>
  <c r="T16" i="39"/>
  <c r="U25" i="2"/>
  <c r="T16" i="66"/>
  <c r="U44" i="2"/>
  <c r="T16" i="11"/>
  <c r="U42" i="2"/>
  <c r="U9" i="2"/>
  <c r="T12" i="3"/>
  <c r="T16" i="53"/>
  <c r="U22" i="2"/>
  <c r="S16" i="27"/>
  <c r="P19" i="27"/>
  <c r="T41" i="2"/>
  <c r="T16" i="64"/>
  <c r="U48" i="2"/>
  <c r="T16" i="62"/>
  <c r="U45" i="2"/>
  <c r="T16" i="46"/>
  <c r="U58" i="2"/>
  <c r="T16" i="45"/>
  <c r="U27" i="2"/>
  <c r="U18" i="2"/>
  <c r="Q12" i="3"/>
  <c r="T16" i="10"/>
  <c r="U6" i="2"/>
  <c r="T16" i="17"/>
  <c r="U37" i="2"/>
  <c r="T16" i="23"/>
  <c r="U34" i="2"/>
  <c r="S16" i="59"/>
  <c r="P19" i="59"/>
  <c r="T55" i="2"/>
  <c r="T16" i="48"/>
  <c r="U3" i="2"/>
  <c r="T16" i="49"/>
  <c r="U33" i="2"/>
  <c r="T16" i="65"/>
  <c r="U31" i="2"/>
  <c r="T16" i="19"/>
  <c r="U36" i="2"/>
  <c r="N12" i="3"/>
  <c r="T16" i="8"/>
  <c r="U32" i="2"/>
  <c r="S16" i="12"/>
  <c r="P19" i="12"/>
  <c r="T17" i="2"/>
  <c r="T16" i="20"/>
  <c r="U21" i="2"/>
  <c r="T16" i="57"/>
  <c r="U26" i="2"/>
  <c r="T16" i="15"/>
  <c r="U28" i="2"/>
  <c r="T16" i="40"/>
  <c r="U13" i="2"/>
  <c r="K12" i="3"/>
  <c r="T16" i="54"/>
  <c r="U49" i="2"/>
  <c r="S16" i="41"/>
  <c r="P19" i="41"/>
  <c r="T24" i="2"/>
  <c r="T16" i="14"/>
  <c r="U14" i="2"/>
  <c r="T16" i="26"/>
  <c r="U38" i="2"/>
  <c r="T16" i="13"/>
  <c r="U4" i="2"/>
  <c r="T16" i="30"/>
  <c r="U29" i="2"/>
  <c r="U23" i="2"/>
  <c r="H12" i="3"/>
  <c r="S16" i="33"/>
  <c r="P19" i="33"/>
  <c r="T15" i="2"/>
  <c r="S16" i="47"/>
  <c r="P19" i="47"/>
  <c r="T46" i="2"/>
  <c r="S16" i="55"/>
  <c r="P19" i="55"/>
  <c r="T19" i="2"/>
  <c r="S16" i="39"/>
  <c r="P19" i="39"/>
  <c r="T25" i="2"/>
  <c r="S16" i="66"/>
  <c r="P19" i="66"/>
  <c r="T44" i="2"/>
  <c r="S16" i="11"/>
  <c r="P19" i="11"/>
  <c r="T42" i="2"/>
  <c r="T9" i="2"/>
  <c r="T11" i="3"/>
  <c r="S16" i="53"/>
  <c r="P19" i="53"/>
  <c r="T22" i="2"/>
  <c r="S16" i="64"/>
  <c r="P19" i="64"/>
  <c r="T48" i="2"/>
  <c r="S16" i="62"/>
  <c r="P19" i="62"/>
  <c r="T45" i="2"/>
  <c r="S16" i="46"/>
  <c r="P19" i="46"/>
  <c r="T58" i="2"/>
  <c r="S16" i="45"/>
  <c r="P19" i="45"/>
  <c r="T27" i="2"/>
  <c r="T18" i="2"/>
  <c r="Q11" i="3"/>
  <c r="S16" i="10"/>
  <c r="P19" i="10"/>
  <c r="T6" i="2"/>
  <c r="S16" i="17"/>
  <c r="P19" i="17"/>
  <c r="T37" i="2"/>
  <c r="S16" i="23"/>
  <c r="P19" i="23"/>
  <c r="T34" i="2"/>
  <c r="S16" i="48"/>
  <c r="P19" i="48"/>
  <c r="T3" i="2"/>
  <c r="S16" i="49"/>
  <c r="P19" i="49"/>
  <c r="T33" i="2"/>
  <c r="S16" i="65"/>
  <c r="P19" i="65"/>
  <c r="T31" i="2"/>
  <c r="S16" i="19"/>
  <c r="P19" i="19"/>
  <c r="T36" i="2"/>
  <c r="N11" i="3"/>
  <c r="S16" i="8"/>
  <c r="P19" i="8"/>
  <c r="T32" i="2"/>
  <c r="S16" i="20"/>
  <c r="P19" i="20"/>
  <c r="T21" i="2"/>
  <c r="S16" i="57"/>
  <c r="P19" i="57"/>
  <c r="T26" i="2"/>
  <c r="S16" i="15"/>
  <c r="P19" i="15"/>
  <c r="T28" i="2"/>
  <c r="S16" i="40"/>
  <c r="P19" i="40"/>
  <c r="T13" i="2"/>
  <c r="K11" i="3"/>
  <c r="S16" i="9"/>
  <c r="T16" i="9"/>
  <c r="P19" i="9"/>
  <c r="T16" i="2"/>
  <c r="S16" i="54"/>
  <c r="P19" i="54"/>
  <c r="T49" i="2"/>
  <c r="S16" i="14"/>
  <c r="P19" i="14"/>
  <c r="T14" i="2"/>
  <c r="S16" i="26"/>
  <c r="P19" i="26"/>
  <c r="T38" i="2"/>
  <c r="S16" i="13"/>
  <c r="P19" i="13"/>
  <c r="T4" i="2"/>
  <c r="S16" i="30"/>
  <c r="P19" i="30"/>
  <c r="T29" i="2"/>
  <c r="T23" i="2"/>
  <c r="H11" i="3"/>
  <c r="M16" i="12"/>
  <c r="J17" i="2"/>
  <c r="J15" i="2"/>
  <c r="M16" i="36"/>
  <c r="J35" i="2"/>
  <c r="J46" i="2"/>
  <c r="J19" i="2"/>
  <c r="J25" i="2"/>
  <c r="J44" i="2"/>
  <c r="J42" i="2"/>
  <c r="J9" i="2"/>
  <c r="T10" i="3"/>
  <c r="M16" i="11"/>
  <c r="M16" i="53"/>
  <c r="J22" i="2"/>
  <c r="M16" i="27"/>
  <c r="J41" i="2"/>
  <c r="M16" i="64"/>
  <c r="J48" i="2"/>
  <c r="J45" i="2"/>
  <c r="M16" i="46"/>
  <c r="J58" i="2"/>
  <c r="J27" i="2"/>
  <c r="J18" i="2"/>
  <c r="Q10" i="3"/>
  <c r="M16" i="10"/>
  <c r="J6" i="2"/>
  <c r="M16" i="17"/>
  <c r="J37" i="2"/>
  <c r="J34" i="2"/>
  <c r="M16" i="59"/>
  <c r="J55" i="2"/>
  <c r="M16" i="48"/>
  <c r="J3" i="2"/>
  <c r="J33" i="2"/>
  <c r="J31" i="2"/>
  <c r="M16" i="19"/>
  <c r="J36" i="2"/>
  <c r="N10" i="3"/>
  <c r="J32" i="2"/>
  <c r="M16" i="41"/>
  <c r="J24" i="2"/>
  <c r="M16" i="20"/>
  <c r="J21" i="2"/>
  <c r="J26" i="2"/>
  <c r="J28" i="2"/>
  <c r="J13" i="2"/>
  <c r="K10" i="3"/>
  <c r="J16" i="2"/>
  <c r="M16" i="54"/>
  <c r="J49" i="2"/>
  <c r="M16" i="14"/>
  <c r="J14" i="2"/>
  <c r="M16" i="26"/>
  <c r="J38" i="2"/>
  <c r="M16" i="13"/>
  <c r="J4" i="2"/>
  <c r="J29" i="2"/>
  <c r="J23" i="2"/>
  <c r="H10" i="3"/>
  <c r="T9" i="3"/>
  <c r="Q9" i="3"/>
  <c r="N9" i="3"/>
  <c r="K9" i="3"/>
  <c r="H9" i="3"/>
  <c r="L22" i="12"/>
  <c r="F17" i="2"/>
  <c r="L22" i="33"/>
  <c r="F15" i="2"/>
  <c r="L22" i="36"/>
  <c r="F35" i="2"/>
  <c r="L22" i="47"/>
  <c r="F46" i="2"/>
  <c r="L22" i="55"/>
  <c r="F19" i="2"/>
  <c r="L22" i="66"/>
  <c r="F44" i="2"/>
  <c r="L22" i="11"/>
  <c r="F42" i="2"/>
  <c r="T6" i="3"/>
  <c r="L22" i="53"/>
  <c r="F22" i="2"/>
  <c r="L22" i="27"/>
  <c r="F41" i="2"/>
  <c r="L22" i="64"/>
  <c r="F48" i="2"/>
  <c r="L22" i="62"/>
  <c r="F45" i="2"/>
  <c r="L22" i="46"/>
  <c r="F58" i="2"/>
  <c r="L22" i="45"/>
  <c r="F27" i="2"/>
  <c r="F18" i="2"/>
  <c r="Q6" i="3"/>
  <c r="L22" i="10"/>
  <c r="F6" i="2"/>
  <c r="L22" i="23"/>
  <c r="F34" i="2"/>
  <c r="L22" i="59"/>
  <c r="F55" i="2"/>
  <c r="L22" i="48"/>
  <c r="L22" i="49"/>
  <c r="F33" i="2"/>
  <c r="L22" i="65"/>
  <c r="F31" i="2"/>
  <c r="F36" i="2"/>
  <c r="N6" i="3"/>
  <c r="L22" i="8"/>
  <c r="F32" i="2"/>
  <c r="L22" i="20"/>
  <c r="F21" i="2"/>
  <c r="L22" i="9"/>
  <c r="F16" i="2"/>
  <c r="L22" i="54"/>
  <c r="F49" i="2"/>
  <c r="L22" i="14"/>
  <c r="F14" i="2"/>
  <c r="M22" i="12"/>
  <c r="G17" i="2"/>
  <c r="M22" i="33"/>
  <c r="G15" i="2"/>
  <c r="M22" i="36"/>
  <c r="G35" i="2"/>
  <c r="M22" i="47"/>
  <c r="G46" i="2"/>
  <c r="M22" i="55"/>
  <c r="G19" i="2"/>
  <c r="M22" i="39"/>
  <c r="G25" i="2"/>
  <c r="M22" i="66"/>
  <c r="G44" i="2"/>
  <c r="M22" i="11"/>
  <c r="G42" i="2"/>
  <c r="G9" i="2"/>
  <c r="T5" i="3"/>
  <c r="M22" i="53"/>
  <c r="G22" i="2"/>
  <c r="M22" i="27"/>
  <c r="G41" i="2"/>
  <c r="M22" i="64"/>
  <c r="G48" i="2"/>
  <c r="M22" i="62"/>
  <c r="G45" i="2"/>
  <c r="M22" i="46"/>
  <c r="G58" i="2"/>
  <c r="M22" i="45"/>
  <c r="G27" i="2"/>
  <c r="G18" i="2"/>
  <c r="Q5" i="3"/>
  <c r="M22" i="10"/>
  <c r="G6" i="2"/>
  <c r="M22" i="17"/>
  <c r="G37" i="2"/>
  <c r="M22" i="23"/>
  <c r="G34" i="2"/>
  <c r="M22" i="59"/>
  <c r="G55" i="2"/>
  <c r="M22" i="48"/>
  <c r="G3" i="2"/>
  <c r="M22" i="49"/>
  <c r="G33" i="2"/>
  <c r="M22" i="65"/>
  <c r="G31" i="2"/>
  <c r="M22" i="19"/>
  <c r="G36" i="2"/>
  <c r="N5" i="3"/>
  <c r="M22" i="8"/>
  <c r="G32" i="2"/>
  <c r="M22" i="41"/>
  <c r="G24" i="2"/>
  <c r="M22" i="20"/>
  <c r="G21" i="2"/>
  <c r="M22" i="57"/>
  <c r="G26" i="2"/>
  <c r="M22" i="15"/>
  <c r="G28" i="2"/>
  <c r="M22" i="40"/>
  <c r="G13" i="2"/>
  <c r="K5" i="3"/>
  <c r="M22" i="9"/>
  <c r="G16" i="2"/>
  <c r="M22" i="54"/>
  <c r="G49" i="2"/>
  <c r="M22" i="14"/>
  <c r="G14" i="2"/>
  <c r="M22" i="26"/>
  <c r="G38" i="2"/>
  <c r="M22" i="13"/>
  <c r="G4" i="2"/>
  <c r="M22" i="30"/>
  <c r="G29" i="2"/>
  <c r="G23" i="2"/>
  <c r="H5" i="3"/>
  <c r="N16" i="12"/>
  <c r="O16" i="12"/>
  <c r="K19" i="12"/>
  <c r="D17" i="2"/>
  <c r="N16" i="33"/>
  <c r="O16" i="33"/>
  <c r="K19" i="33"/>
  <c r="D15" i="2"/>
  <c r="O16" i="36"/>
  <c r="N16" i="36"/>
  <c r="K19" i="36"/>
  <c r="D35" i="2"/>
  <c r="N16" i="47"/>
  <c r="O16" i="47"/>
  <c r="K19" i="47"/>
  <c r="D46" i="2"/>
  <c r="N16" i="55"/>
  <c r="O16" i="55"/>
  <c r="K19" i="55"/>
  <c r="D19" i="2"/>
  <c r="N16" i="39"/>
  <c r="O16" i="39"/>
  <c r="K19" i="39"/>
  <c r="D25" i="2"/>
  <c r="N16" i="66"/>
  <c r="O16" i="66"/>
  <c r="K19" i="66"/>
  <c r="D44" i="2"/>
  <c r="N16" i="11"/>
  <c r="O16" i="11"/>
  <c r="K19" i="11"/>
  <c r="D42" i="2"/>
  <c r="D9" i="2"/>
  <c r="T4" i="3"/>
  <c r="D22" i="2"/>
  <c r="O16" i="27"/>
  <c r="N16" i="27"/>
  <c r="K19" i="27"/>
  <c r="D41" i="2"/>
  <c r="N16" i="64"/>
  <c r="O16" i="64"/>
  <c r="K19" i="64"/>
  <c r="D48" i="2"/>
  <c r="N16" i="62"/>
  <c r="O16" i="62"/>
  <c r="K19" i="62"/>
  <c r="D45" i="2"/>
  <c r="N16" i="46"/>
  <c r="O16" i="46"/>
  <c r="K19" i="46"/>
  <c r="D58" i="2"/>
  <c r="N16" i="45"/>
  <c r="O16" i="45"/>
  <c r="K19" i="45"/>
  <c r="D27" i="2"/>
  <c r="D18" i="2"/>
  <c r="Q4" i="3"/>
  <c r="N16" i="10"/>
  <c r="O16" i="10"/>
  <c r="K19" i="10"/>
  <c r="D6" i="2"/>
  <c r="N16" i="17"/>
  <c r="O16" i="17"/>
  <c r="K19" i="17"/>
  <c r="D37" i="2"/>
  <c r="N16" i="23"/>
  <c r="O16" i="23"/>
  <c r="K19" i="23"/>
  <c r="D34" i="2"/>
  <c r="O16" i="59"/>
  <c r="N16" i="59"/>
  <c r="K19" i="59"/>
  <c r="D55" i="2"/>
  <c r="N16" i="48"/>
  <c r="O16" i="48"/>
  <c r="K19" i="48"/>
  <c r="D3" i="2"/>
  <c r="N16" i="49"/>
  <c r="O16" i="49"/>
  <c r="K19" i="49"/>
  <c r="D33" i="2"/>
  <c r="N16" i="65"/>
  <c r="O16" i="65"/>
  <c r="K19" i="65"/>
  <c r="D31" i="2"/>
  <c r="N16" i="19"/>
  <c r="O16" i="19"/>
  <c r="K19" i="19"/>
  <c r="D36" i="2"/>
  <c r="N4" i="3"/>
  <c r="N16" i="9"/>
  <c r="O16" i="9"/>
  <c r="K19" i="9"/>
  <c r="D16" i="2"/>
  <c r="N16" i="54"/>
  <c r="O16" i="54"/>
  <c r="K19" i="54"/>
  <c r="D49" i="2"/>
  <c r="N16" i="41"/>
  <c r="O16" i="41"/>
  <c r="K19" i="41"/>
  <c r="D24" i="2"/>
  <c r="N16" i="14"/>
  <c r="O16" i="14"/>
  <c r="K19" i="14"/>
  <c r="D14" i="2"/>
  <c r="N16" i="26"/>
  <c r="O16" i="26"/>
  <c r="K19" i="26"/>
  <c r="D38" i="2"/>
  <c r="N16" i="13"/>
  <c r="O16" i="13"/>
  <c r="K19" i="13"/>
  <c r="D4" i="2"/>
  <c r="N16" i="30"/>
  <c r="O16" i="30"/>
  <c r="K19" i="30"/>
  <c r="D29" i="2"/>
  <c r="D23" i="2"/>
  <c r="H4" i="3"/>
  <c r="E16" i="47"/>
  <c r="Q50" i="2"/>
  <c r="Q30" i="2"/>
  <c r="Q5" i="2"/>
  <c r="E21" i="3"/>
  <c r="X11" i="2"/>
  <c r="X50" i="2"/>
  <c r="X30" i="2"/>
  <c r="X5" i="2"/>
  <c r="E20" i="3"/>
  <c r="W11" i="2"/>
  <c r="W50" i="2"/>
  <c r="W30" i="2"/>
  <c r="W5" i="2"/>
  <c r="E19" i="3"/>
  <c r="V11" i="2"/>
  <c r="AE19" i="43"/>
  <c r="V50" i="2"/>
  <c r="T16" i="21"/>
  <c r="V30" i="2"/>
  <c r="V5" i="2"/>
  <c r="E18" i="3"/>
  <c r="L11" i="2"/>
  <c r="L50" i="2"/>
  <c r="L30" i="2"/>
  <c r="L5" i="2"/>
  <c r="E14" i="3"/>
  <c r="K11" i="2"/>
  <c r="K50" i="2"/>
  <c r="K30" i="2"/>
  <c r="K5" i="2"/>
  <c r="E13" i="3"/>
  <c r="T16" i="1"/>
  <c r="U11" i="2"/>
  <c r="T16" i="43"/>
  <c r="U50" i="2"/>
  <c r="S16" i="21"/>
  <c r="P19" i="21"/>
  <c r="T16" i="18"/>
  <c r="U30" i="2"/>
  <c r="T16" i="42"/>
  <c r="U5" i="2"/>
  <c r="E12" i="3"/>
  <c r="S16" i="1"/>
  <c r="P19" i="1"/>
  <c r="T11" i="2"/>
  <c r="S16" i="43"/>
  <c r="P19" i="43"/>
  <c r="T50" i="2"/>
  <c r="S16" i="18"/>
  <c r="P19" i="18"/>
  <c r="T30" i="2"/>
  <c r="S16" i="42"/>
  <c r="P19" i="42"/>
  <c r="T5" i="2"/>
  <c r="E11" i="3"/>
  <c r="M16" i="1"/>
  <c r="J11" i="2"/>
  <c r="J50" i="2"/>
  <c r="M16" i="18"/>
  <c r="J30" i="2"/>
  <c r="J5" i="2"/>
  <c r="E10" i="3"/>
  <c r="L22" i="1"/>
  <c r="F11" i="2"/>
  <c r="L22" i="43"/>
  <c r="F50" i="2"/>
  <c r="L22" i="21"/>
  <c r="M22" i="1"/>
  <c r="G11" i="2"/>
  <c r="M22" i="43"/>
  <c r="G50" i="2"/>
  <c r="M22" i="21"/>
  <c r="M22" i="18"/>
  <c r="G30" i="2"/>
  <c r="M22" i="42"/>
  <c r="G5" i="2"/>
  <c r="E5" i="3"/>
  <c r="N16" i="1"/>
  <c r="O16" i="1"/>
  <c r="K19" i="1"/>
  <c r="D11" i="2"/>
  <c r="N16" i="43"/>
  <c r="O16" i="43"/>
  <c r="K19" i="43"/>
  <c r="D50" i="2"/>
  <c r="N16" i="21"/>
  <c r="O16" i="21"/>
  <c r="K19" i="21"/>
  <c r="N16" i="18"/>
  <c r="O16" i="18"/>
  <c r="K19" i="18"/>
  <c r="D30" i="2"/>
  <c r="N16" i="42"/>
  <c r="O16" i="42"/>
  <c r="K19" i="42"/>
  <c r="D5" i="2"/>
  <c r="E4" i="3"/>
  <c r="AA61" i="2"/>
  <c r="X4" i="66"/>
  <c r="X5" i="66"/>
  <c r="X6" i="66"/>
  <c r="X4" i="63"/>
  <c r="X5" i="63"/>
  <c r="X6" i="63"/>
  <c r="AA43" i="2"/>
  <c r="X4" i="61"/>
  <c r="X5" i="61"/>
  <c r="AA40" i="2"/>
  <c r="X4" i="59"/>
  <c r="X6" i="59"/>
  <c r="AA47" i="2"/>
  <c r="AA2" i="2"/>
  <c r="X4" i="53"/>
  <c r="AA56" i="2"/>
  <c r="AA8" i="2"/>
  <c r="AA10" i="2"/>
  <c r="X4" i="48"/>
  <c r="X6" i="47"/>
  <c r="Y61" i="2"/>
  <c r="Y43" i="2"/>
  <c r="Y40" i="2"/>
  <c r="Y47" i="2"/>
  <c r="Y2" i="2"/>
  <c r="Y56" i="2"/>
  <c r="Y8" i="2"/>
  <c r="Y10" i="2"/>
  <c r="AE2" i="67"/>
  <c r="AF2" i="67"/>
  <c r="AG2" i="67"/>
  <c r="AH2" i="67"/>
  <c r="AI2" i="67"/>
  <c r="AG16" i="67"/>
  <c r="AG28" i="67"/>
  <c r="X61" i="2"/>
  <c r="X44" i="2"/>
  <c r="AE3" i="63"/>
  <c r="AF3" i="63"/>
  <c r="AG3" i="63"/>
  <c r="AH3" i="63"/>
  <c r="AI3" i="63"/>
  <c r="AG17" i="63"/>
  <c r="AE4" i="63"/>
  <c r="AF4" i="63"/>
  <c r="AG4" i="63"/>
  <c r="AH4" i="63"/>
  <c r="AI4" i="63"/>
  <c r="AG18" i="63"/>
  <c r="X43" i="2"/>
  <c r="AE4" i="62"/>
  <c r="AF4" i="62"/>
  <c r="AG4" i="62"/>
  <c r="AH4" i="62"/>
  <c r="AI4" i="62"/>
  <c r="AG18" i="62"/>
  <c r="AE2" i="60"/>
  <c r="AF2" i="60"/>
  <c r="AG2" i="60"/>
  <c r="AH2" i="60"/>
  <c r="AI2" i="60"/>
  <c r="AG16" i="60"/>
  <c r="X40" i="2"/>
  <c r="AE3" i="58"/>
  <c r="AF3" i="58"/>
  <c r="AG3" i="58"/>
  <c r="AH3" i="58"/>
  <c r="AI3" i="58"/>
  <c r="AG17" i="58"/>
  <c r="X47" i="2"/>
  <c r="X2" i="2"/>
  <c r="X19" i="2"/>
  <c r="X56" i="2"/>
  <c r="X8" i="2"/>
  <c r="AE4" i="50"/>
  <c r="AF4" i="50"/>
  <c r="AG4" i="50"/>
  <c r="AH4" i="50"/>
  <c r="AI4" i="50"/>
  <c r="AG18" i="50"/>
  <c r="X10" i="2"/>
  <c r="AE4" i="49"/>
  <c r="AF4" i="49"/>
  <c r="AG4" i="49"/>
  <c r="AH4" i="49"/>
  <c r="AI4" i="49"/>
  <c r="AG18" i="49"/>
  <c r="AE2" i="48"/>
  <c r="AF2" i="48"/>
  <c r="AG2" i="48"/>
  <c r="AH2" i="48"/>
  <c r="AI2" i="48"/>
  <c r="AG16" i="48"/>
  <c r="AE3" i="47"/>
  <c r="AF3" i="47"/>
  <c r="AG3" i="47"/>
  <c r="AH3" i="47"/>
  <c r="AI3" i="47"/>
  <c r="AG17" i="47"/>
  <c r="AE2" i="46"/>
  <c r="AF2" i="46"/>
  <c r="AG2" i="46"/>
  <c r="AH2" i="46"/>
  <c r="AI2" i="46"/>
  <c r="AG16" i="46"/>
  <c r="AF16" i="67"/>
  <c r="AF28" i="67"/>
  <c r="W61" i="2"/>
  <c r="AF17" i="63"/>
  <c r="AF18" i="63"/>
  <c r="W43" i="2"/>
  <c r="AF18" i="62"/>
  <c r="AF16" i="60"/>
  <c r="W40" i="2"/>
  <c r="AF17" i="58"/>
  <c r="W47" i="2"/>
  <c r="W2" i="2"/>
  <c r="W56" i="2"/>
  <c r="W8" i="2"/>
  <c r="AF18" i="50"/>
  <c r="W10" i="2"/>
  <c r="AF18" i="49"/>
  <c r="AF16" i="48"/>
  <c r="AF17" i="47"/>
  <c r="AF16" i="46"/>
  <c r="AE16" i="67"/>
  <c r="AE17" i="67"/>
  <c r="AE18" i="67"/>
  <c r="AE19" i="67"/>
  <c r="V61" i="2"/>
  <c r="AE16" i="65"/>
  <c r="AE17" i="65"/>
  <c r="AE18" i="65"/>
  <c r="AE19" i="65"/>
  <c r="AE16" i="64"/>
  <c r="AE17" i="64"/>
  <c r="AE18" i="64"/>
  <c r="AE16" i="63"/>
  <c r="AE17" i="63"/>
  <c r="AE18" i="63"/>
  <c r="V43" i="2"/>
  <c r="AE16" i="62"/>
  <c r="AE17" i="62"/>
  <c r="AE18" i="62"/>
  <c r="AE19" i="62"/>
  <c r="AE16" i="61"/>
  <c r="AE17" i="61"/>
  <c r="AE18" i="61"/>
  <c r="AE16" i="60"/>
  <c r="AE17" i="60"/>
  <c r="AE18" i="60"/>
  <c r="V40" i="2"/>
  <c r="AE16" i="59"/>
  <c r="AE17" i="59"/>
  <c r="AE18" i="59"/>
  <c r="AE16" i="58"/>
  <c r="AE17" i="58"/>
  <c r="AE18" i="58"/>
  <c r="V47" i="2"/>
  <c r="AE16" i="57"/>
  <c r="AE17" i="57"/>
  <c r="AE18" i="57"/>
  <c r="AE19" i="57"/>
  <c r="AE16" i="56"/>
  <c r="AE17" i="56"/>
  <c r="AE18" i="56"/>
  <c r="V2" i="2"/>
  <c r="AE16" i="55"/>
  <c r="AE17" i="55"/>
  <c r="AE18" i="55"/>
  <c r="AE16" i="54"/>
  <c r="AE17" i="54"/>
  <c r="AE16" i="53"/>
  <c r="AE16" i="52"/>
  <c r="AE17" i="52"/>
  <c r="AE18" i="52"/>
  <c r="V56" i="2"/>
  <c r="V8" i="2"/>
  <c r="AE16" i="50"/>
  <c r="AE17" i="50"/>
  <c r="AE18" i="50"/>
  <c r="AE19" i="50"/>
  <c r="V10" i="2"/>
  <c r="AE16" i="49"/>
  <c r="AE17" i="49"/>
  <c r="AE18" i="49"/>
  <c r="AE19" i="49"/>
  <c r="AE16" i="48"/>
  <c r="AE17" i="48"/>
  <c r="AE18" i="48"/>
  <c r="AE16" i="47"/>
  <c r="AE17" i="47"/>
  <c r="AE18" i="47"/>
  <c r="AE16" i="46"/>
  <c r="AE17" i="46"/>
  <c r="AE18" i="46"/>
  <c r="AE19" i="46"/>
  <c r="AE16" i="45"/>
  <c r="AE17" i="45"/>
  <c r="AE18" i="45"/>
  <c r="AE19" i="45"/>
  <c r="T16" i="67"/>
  <c r="U61" i="2"/>
  <c r="T16" i="63"/>
  <c r="U43" i="2"/>
  <c r="T16" i="61"/>
  <c r="T16" i="60"/>
  <c r="U40" i="2"/>
  <c r="T16" i="58"/>
  <c r="U47" i="2"/>
  <c r="T16" i="56"/>
  <c r="U2" i="2"/>
  <c r="T16" i="52"/>
  <c r="U56" i="2"/>
  <c r="T16" i="51"/>
  <c r="U8" i="2"/>
  <c r="T16" i="50"/>
  <c r="U10" i="2"/>
  <c r="T16" i="38"/>
  <c r="U51" i="2"/>
  <c r="U52" i="2"/>
  <c r="T16" i="35"/>
  <c r="U59" i="2"/>
  <c r="U39" i="2"/>
  <c r="T16" i="32"/>
  <c r="U60" i="2"/>
  <c r="T16" i="31"/>
  <c r="U7" i="2"/>
  <c r="T16" i="29"/>
  <c r="U57" i="2"/>
  <c r="T16" i="28"/>
  <c r="U20" i="2"/>
  <c r="T16" i="25"/>
  <c r="U53" i="2"/>
  <c r="T16" i="24"/>
  <c r="T16" i="22"/>
  <c r="U54" i="2"/>
  <c r="T16" i="16"/>
  <c r="U12" i="2"/>
  <c r="U16" i="2"/>
  <c r="S16" i="67"/>
  <c r="P19" i="67"/>
  <c r="T61" i="2"/>
  <c r="S16" i="63"/>
  <c r="P19" i="63"/>
  <c r="T43" i="2"/>
  <c r="S16" i="61"/>
  <c r="P19" i="61"/>
  <c r="S16" i="60"/>
  <c r="P19" i="60"/>
  <c r="T40" i="2"/>
  <c r="S16" i="58"/>
  <c r="P19" i="58"/>
  <c r="T47" i="2"/>
  <c r="S16" i="56"/>
  <c r="P19" i="56"/>
  <c r="T2" i="2"/>
  <c r="S16" i="52"/>
  <c r="P19" i="52"/>
  <c r="T56" i="2"/>
  <c r="S16" i="51"/>
  <c r="P19" i="51"/>
  <c r="T8" i="2"/>
  <c r="S16" i="50"/>
  <c r="P19" i="50"/>
  <c r="T10" i="2"/>
  <c r="S16" i="38"/>
  <c r="P19" i="38"/>
  <c r="T51" i="2"/>
  <c r="S16" i="37"/>
  <c r="P19" i="37"/>
  <c r="T52" i="2"/>
  <c r="S16" i="35"/>
  <c r="P19" i="35"/>
  <c r="T59" i="2"/>
  <c r="P19" i="34"/>
  <c r="T39" i="2"/>
  <c r="S16" i="32"/>
  <c r="P19" i="32"/>
  <c r="T60" i="2"/>
  <c r="S16" i="31"/>
  <c r="P19" i="31"/>
  <c r="T7" i="2"/>
  <c r="S16" i="29"/>
  <c r="P19" i="29"/>
  <c r="T57" i="2"/>
  <c r="S16" i="28"/>
  <c r="P19" i="28"/>
  <c r="T20" i="2"/>
  <c r="S16" i="25"/>
  <c r="P19" i="25"/>
  <c r="T53" i="2"/>
  <c r="S16" i="24"/>
  <c r="P19" i="24"/>
  <c r="S16" i="22"/>
  <c r="P19" i="22"/>
  <c r="T54" i="2"/>
  <c r="S16" i="16"/>
  <c r="P19" i="16"/>
  <c r="T12" i="2"/>
  <c r="R61" i="2"/>
  <c r="R43" i="2"/>
  <c r="R40" i="2"/>
  <c r="R47" i="2"/>
  <c r="R2" i="2"/>
  <c r="R56" i="2"/>
  <c r="R8" i="2"/>
  <c r="R10" i="2"/>
  <c r="R51" i="2"/>
  <c r="R52" i="2"/>
  <c r="R59" i="2"/>
  <c r="R39" i="2"/>
  <c r="R60" i="2"/>
  <c r="R7" i="2"/>
  <c r="R57" i="2"/>
  <c r="R20" i="2"/>
  <c r="R53" i="2"/>
  <c r="R54" i="2"/>
  <c r="R12" i="2"/>
  <c r="Q61" i="2"/>
  <c r="Q43" i="2"/>
  <c r="Q40" i="2"/>
  <c r="Q47" i="2"/>
  <c r="Q2" i="2"/>
  <c r="Q56" i="2"/>
  <c r="Q8" i="2"/>
  <c r="Q10" i="2"/>
  <c r="Q51" i="2"/>
  <c r="Q52" i="2"/>
  <c r="Q59" i="2"/>
  <c r="Q39" i="2"/>
  <c r="Q60" i="2"/>
  <c r="Q7" i="2"/>
  <c r="Q57" i="2"/>
  <c r="Q20" i="2"/>
  <c r="Q53" i="2"/>
  <c r="Q54" i="2"/>
  <c r="Q12" i="2"/>
  <c r="P61" i="2"/>
  <c r="P31" i="2"/>
  <c r="P26" i="2"/>
  <c r="P56" i="2"/>
  <c r="AK2" i="51"/>
  <c r="AM2" i="51"/>
  <c r="AN2" i="51"/>
  <c r="AO2" i="51"/>
  <c r="AP2" i="51"/>
  <c r="AQ2" i="51"/>
  <c r="AR2" i="51"/>
  <c r="AS2" i="51"/>
  <c r="AT2" i="51"/>
  <c r="AU2" i="51"/>
  <c r="AV2" i="51"/>
  <c r="AW2" i="51"/>
  <c r="AX2" i="51"/>
  <c r="AY2" i="51"/>
  <c r="AZ2" i="51"/>
  <c r="BA2" i="51"/>
  <c r="BB2" i="51"/>
  <c r="BC2" i="51"/>
  <c r="BD2" i="51"/>
  <c r="BE2" i="51"/>
  <c r="BF2" i="51"/>
  <c r="BG2" i="51"/>
  <c r="BH2" i="51"/>
  <c r="AN16" i="51"/>
  <c r="P10" i="2"/>
  <c r="P33" i="2"/>
  <c r="O61" i="2"/>
  <c r="O31" i="2"/>
  <c r="O26" i="2"/>
  <c r="O56" i="2"/>
  <c r="AM16" i="51"/>
  <c r="O10" i="2"/>
  <c r="O33" i="2"/>
  <c r="N61" i="2"/>
  <c r="N31" i="2"/>
  <c r="N26" i="2"/>
  <c r="N56" i="2"/>
  <c r="AL16" i="51"/>
  <c r="N10" i="2"/>
  <c r="N33" i="2"/>
  <c r="M61" i="2"/>
  <c r="M31" i="2"/>
  <c r="M26" i="2"/>
  <c r="M56" i="2"/>
  <c r="AK16" i="51"/>
  <c r="M10" i="2"/>
  <c r="M33" i="2"/>
  <c r="L61" i="2"/>
  <c r="L43" i="2"/>
  <c r="L40" i="2"/>
  <c r="L47" i="2"/>
  <c r="L26" i="2"/>
  <c r="L2" i="2"/>
  <c r="L22" i="2"/>
  <c r="L56" i="2"/>
  <c r="L8" i="2"/>
  <c r="L10" i="2"/>
  <c r="L51" i="2"/>
  <c r="L52" i="2"/>
  <c r="L59" i="2"/>
  <c r="L39" i="2"/>
  <c r="L60" i="2"/>
  <c r="L7" i="2"/>
  <c r="L57" i="2"/>
  <c r="L20" i="2"/>
  <c r="L53" i="2"/>
  <c r="L54" i="2"/>
  <c r="L12" i="2"/>
  <c r="L32" i="2"/>
  <c r="L16" i="2"/>
  <c r="K61" i="2"/>
  <c r="K43" i="2"/>
  <c r="K40" i="2"/>
  <c r="K47" i="2"/>
  <c r="K26" i="2"/>
  <c r="K2" i="2"/>
  <c r="K22" i="2"/>
  <c r="K56" i="2"/>
  <c r="K8" i="2"/>
  <c r="K10" i="2"/>
  <c r="K51" i="2"/>
  <c r="K52" i="2"/>
  <c r="K59" i="2"/>
  <c r="K39" i="2"/>
  <c r="K60" i="2"/>
  <c r="K7" i="2"/>
  <c r="K57" i="2"/>
  <c r="K20" i="2"/>
  <c r="K53" i="2"/>
  <c r="K54" i="2"/>
  <c r="K12" i="2"/>
  <c r="K32" i="2"/>
  <c r="K16" i="2"/>
  <c r="J61" i="2"/>
  <c r="M16" i="66"/>
  <c r="M16" i="63"/>
  <c r="J43" i="2"/>
  <c r="M16" i="61"/>
  <c r="M16" i="60"/>
  <c r="J40" i="2"/>
  <c r="J47" i="2"/>
  <c r="M16" i="56"/>
  <c r="J2" i="2"/>
  <c r="M16" i="55"/>
  <c r="J56" i="2"/>
  <c r="M16" i="51"/>
  <c r="J8" i="2"/>
  <c r="M16" i="50"/>
  <c r="J10" i="2"/>
  <c r="M16" i="40"/>
  <c r="J51" i="2"/>
  <c r="M16" i="37"/>
  <c r="J52" i="2"/>
  <c r="M16" i="35"/>
  <c r="J59" i="2"/>
  <c r="M16" i="34"/>
  <c r="J39" i="2"/>
  <c r="M16" i="32"/>
  <c r="J60" i="2"/>
  <c r="M16" i="31"/>
  <c r="J7" i="2"/>
  <c r="M16" i="30"/>
  <c r="M16" i="29"/>
  <c r="J57" i="2"/>
  <c r="M16" i="28"/>
  <c r="J20" i="2"/>
  <c r="J53" i="2"/>
  <c r="M16" i="22"/>
  <c r="J54" i="2"/>
  <c r="M16" i="16"/>
  <c r="J12" i="2"/>
  <c r="M16" i="15"/>
  <c r="L16" i="57"/>
  <c r="N22" i="67"/>
  <c r="H61" i="2"/>
  <c r="C39" i="65"/>
  <c r="C39" i="64"/>
  <c r="C39" i="63"/>
  <c r="N22" i="63"/>
  <c r="H43" i="2"/>
  <c r="C39" i="62"/>
  <c r="C39" i="61"/>
  <c r="C39" i="60"/>
  <c r="H40" i="2"/>
  <c r="C39" i="59"/>
  <c r="C39" i="58"/>
  <c r="H47" i="2"/>
  <c r="C39" i="57"/>
  <c r="C39" i="56"/>
  <c r="N22" i="56"/>
  <c r="H2" i="2"/>
  <c r="C39" i="55"/>
  <c r="C39" i="54"/>
  <c r="C39" i="53"/>
  <c r="C39" i="52"/>
  <c r="N22" i="52"/>
  <c r="H56" i="2"/>
  <c r="H8" i="2"/>
  <c r="C39" i="50"/>
  <c r="H10" i="2"/>
  <c r="C39" i="49"/>
  <c r="C39" i="48"/>
  <c r="C39" i="47"/>
  <c r="C39" i="46"/>
  <c r="C39" i="45"/>
  <c r="C39" i="43"/>
  <c r="C39" i="42"/>
  <c r="C39" i="41"/>
  <c r="C39" i="40"/>
  <c r="C39" i="39"/>
  <c r="C39" i="38"/>
  <c r="N22" i="38"/>
  <c r="H51" i="2"/>
  <c r="C39" i="37"/>
  <c r="N22" i="37"/>
  <c r="H52" i="2"/>
  <c r="C39" i="35"/>
  <c r="N22" i="35"/>
  <c r="H59" i="2"/>
  <c r="N22" i="34"/>
  <c r="H39" i="2"/>
  <c r="C39" i="33"/>
  <c r="C39" i="32"/>
  <c r="N22" i="32"/>
  <c r="H60" i="2"/>
  <c r="C39" i="31"/>
  <c r="H7" i="2"/>
  <c r="C39" i="30"/>
  <c r="H57" i="2"/>
  <c r="C39" i="28"/>
  <c r="N22" i="28"/>
  <c r="H20" i="2"/>
  <c r="C39" i="27"/>
  <c r="C39" i="26"/>
  <c r="C39" i="25"/>
  <c r="H53" i="2"/>
  <c r="C39" i="24"/>
  <c r="N22" i="24"/>
  <c r="C39" i="23"/>
  <c r="C39" i="22"/>
  <c r="N22" i="22"/>
  <c r="H54" i="2"/>
  <c r="C39" i="21"/>
  <c r="C39" i="20"/>
  <c r="C39" i="19"/>
  <c r="C39" i="18"/>
  <c r="C39" i="17"/>
  <c r="C39" i="16"/>
  <c r="N22" i="16"/>
  <c r="H12" i="2"/>
  <c r="C39" i="15"/>
  <c r="C39" i="14"/>
  <c r="C39" i="13"/>
  <c r="M22" i="67"/>
  <c r="G61" i="2"/>
  <c r="M22" i="63"/>
  <c r="G43" i="2"/>
  <c r="M22" i="61"/>
  <c r="M22" i="60"/>
  <c r="G40" i="2"/>
  <c r="M22" i="58"/>
  <c r="G47" i="2"/>
  <c r="M22" i="56"/>
  <c r="G2" i="2"/>
  <c r="M22" i="52"/>
  <c r="G56" i="2"/>
  <c r="M22" i="51"/>
  <c r="G8" i="2"/>
  <c r="M22" i="50"/>
  <c r="G10" i="2"/>
  <c r="M22" i="38"/>
  <c r="G51" i="2"/>
  <c r="M22" i="37"/>
  <c r="G52" i="2"/>
  <c r="M22" i="35"/>
  <c r="G59" i="2"/>
  <c r="M22" i="34"/>
  <c r="G39" i="2"/>
  <c r="M22" i="32"/>
  <c r="G60" i="2"/>
  <c r="M22" i="31"/>
  <c r="G7" i="2"/>
  <c r="M22" i="29"/>
  <c r="G57" i="2"/>
  <c r="M22" i="28"/>
  <c r="G20" i="2"/>
  <c r="M22" i="25"/>
  <c r="G53" i="2"/>
  <c r="M22" i="24"/>
  <c r="M22" i="22"/>
  <c r="G54" i="2"/>
  <c r="M22" i="16"/>
  <c r="G12" i="2"/>
  <c r="L22" i="67"/>
  <c r="F61" i="2"/>
  <c r="L22" i="63"/>
  <c r="F43" i="2"/>
  <c r="L22" i="61"/>
  <c r="L22" i="60"/>
  <c r="F40" i="2"/>
  <c r="L22" i="58"/>
  <c r="F47" i="2"/>
  <c r="L22" i="56"/>
  <c r="F2" i="2"/>
  <c r="L22" i="52"/>
  <c r="F56" i="2"/>
  <c r="L22" i="51"/>
  <c r="F8" i="2"/>
  <c r="L22" i="50"/>
  <c r="F10" i="2"/>
  <c r="L22" i="38"/>
  <c r="F51" i="2"/>
  <c r="L22" i="37"/>
  <c r="F52" i="2"/>
  <c r="L22" i="35"/>
  <c r="F59" i="2"/>
  <c r="L22" i="34"/>
  <c r="F39" i="2"/>
  <c r="L22" i="32"/>
  <c r="F60" i="2"/>
  <c r="L22" i="31"/>
  <c r="F7" i="2"/>
  <c r="L22" i="29"/>
  <c r="F57" i="2"/>
  <c r="L22" i="28"/>
  <c r="F20" i="2"/>
  <c r="L22" i="25"/>
  <c r="F53" i="2"/>
  <c r="L22" i="24"/>
  <c r="L22" i="22"/>
  <c r="F54" i="2"/>
  <c r="L22" i="16"/>
  <c r="F12" i="2"/>
  <c r="N16" i="67"/>
  <c r="O16" i="67"/>
  <c r="K19" i="67"/>
  <c r="D61" i="2"/>
  <c r="N16" i="63"/>
  <c r="O16" i="63"/>
  <c r="K19" i="63"/>
  <c r="D43" i="2"/>
  <c r="N16" i="61"/>
  <c r="O16" i="61"/>
  <c r="K19" i="61"/>
  <c r="N16" i="60"/>
  <c r="O16" i="60"/>
  <c r="K19" i="60"/>
  <c r="D40" i="2"/>
  <c r="N16" i="58"/>
  <c r="O16" i="58"/>
  <c r="K19" i="58"/>
  <c r="D47" i="2"/>
  <c r="D26" i="2"/>
  <c r="N16" i="56"/>
  <c r="O16" i="56"/>
  <c r="K19" i="56"/>
  <c r="D2" i="2"/>
  <c r="N16" i="52"/>
  <c r="O16" i="52"/>
  <c r="K19" i="52"/>
  <c r="D56" i="2"/>
  <c r="N16" i="51"/>
  <c r="O16" i="51"/>
  <c r="K19" i="51"/>
  <c r="D8" i="2"/>
  <c r="N16" i="50"/>
  <c r="O16" i="50"/>
  <c r="K19" i="50"/>
  <c r="D10" i="2"/>
  <c r="N16" i="40"/>
  <c r="O16" i="40"/>
  <c r="K19" i="40"/>
  <c r="D13" i="2"/>
  <c r="N16" i="38"/>
  <c r="O16" i="38"/>
  <c r="K19" i="38"/>
  <c r="D51" i="2"/>
  <c r="N16" i="37"/>
  <c r="O16" i="37"/>
  <c r="K19" i="37"/>
  <c r="D52" i="2"/>
  <c r="N16" i="35"/>
  <c r="O16" i="35"/>
  <c r="K19" i="35"/>
  <c r="D59" i="2"/>
  <c r="K19" i="34"/>
  <c r="D39" i="2"/>
  <c r="N16" i="32"/>
  <c r="O16" i="32"/>
  <c r="K19" i="32"/>
  <c r="D60" i="2"/>
  <c r="N16" i="31"/>
  <c r="O16" i="31"/>
  <c r="K19" i="31"/>
  <c r="D7" i="2"/>
  <c r="N16" i="29"/>
  <c r="O16" i="29"/>
  <c r="K19" i="29"/>
  <c r="D57" i="2"/>
  <c r="N16" i="28"/>
  <c r="O16" i="28"/>
  <c r="K19" i="28"/>
  <c r="D20" i="2"/>
  <c r="N16" i="25"/>
  <c r="O16" i="25"/>
  <c r="K19" i="25"/>
  <c r="D53" i="2"/>
  <c r="N16" i="24"/>
  <c r="O16" i="24"/>
  <c r="K19" i="24"/>
  <c r="N16" i="22"/>
  <c r="O16" i="22"/>
  <c r="K19" i="22"/>
  <c r="D54" i="2"/>
  <c r="N16" i="20"/>
  <c r="O16" i="20"/>
  <c r="K19" i="20"/>
  <c r="D21" i="2"/>
  <c r="N16" i="16"/>
  <c r="O16" i="16"/>
  <c r="K19" i="16"/>
  <c r="D12" i="2"/>
  <c r="N16" i="15"/>
  <c r="O16" i="15"/>
  <c r="K19" i="15"/>
  <c r="D28" i="2"/>
  <c r="N16" i="8"/>
  <c r="O16" i="8"/>
  <c r="K19" i="8"/>
  <c r="D32" i="2"/>
  <c r="D16" i="67"/>
  <c r="D19" i="67"/>
  <c r="E16" i="39"/>
  <c r="D16" i="18"/>
  <c r="E16" i="18"/>
  <c r="D19" i="18"/>
  <c r="S61" i="7"/>
  <c r="S32" i="7"/>
  <c r="S35" i="7"/>
  <c r="S57" i="7"/>
  <c r="S45" i="7"/>
  <c r="S37" i="7"/>
  <c r="S47" i="7"/>
  <c r="S41" i="7"/>
  <c r="S51" i="7"/>
  <c r="S38" i="7"/>
  <c r="S21" i="7"/>
  <c r="S2" i="7"/>
  <c r="S15" i="7"/>
  <c r="S49" i="7"/>
  <c r="S25" i="7"/>
  <c r="S54" i="7"/>
  <c r="S13" i="7"/>
  <c r="S4" i="7"/>
  <c r="S42" i="7"/>
  <c r="S23" i="7"/>
  <c r="S44" i="7"/>
  <c r="S59" i="7"/>
  <c r="S30" i="7"/>
  <c r="S52" i="7"/>
  <c r="S3" i="7"/>
  <c r="S7" i="7"/>
  <c r="S9" i="7"/>
  <c r="S10" i="7"/>
  <c r="S53" i="7"/>
  <c r="S46" i="7"/>
  <c r="S36" i="7"/>
  <c r="S60" i="7"/>
  <c r="S40" i="7"/>
  <c r="S17" i="7"/>
  <c r="S58" i="7"/>
  <c r="S5" i="7"/>
  <c r="S33" i="7"/>
  <c r="S55" i="7"/>
  <c r="S22" i="7"/>
  <c r="S43" i="7"/>
  <c r="S34" i="7"/>
  <c r="S50" i="7"/>
  <c r="S27" i="7"/>
  <c r="S26" i="7"/>
  <c r="S48" i="7"/>
  <c r="S12" i="7"/>
  <c r="S18" i="7"/>
  <c r="S8" i="7"/>
  <c r="S56" i="7"/>
  <c r="S28" i="7"/>
  <c r="S6" i="7"/>
  <c r="S29" i="7"/>
  <c r="S14" i="7"/>
  <c r="S16" i="7"/>
  <c r="S20" i="7"/>
  <c r="S39" i="7"/>
  <c r="S11" i="7"/>
  <c r="S31" i="7"/>
  <c r="S19" i="7"/>
  <c r="E50" i="67"/>
  <c r="A50" i="67"/>
  <c r="E49" i="67"/>
  <c r="A49" i="67"/>
  <c r="E48" i="67"/>
  <c r="A48" i="67"/>
  <c r="E47" i="67"/>
  <c r="A47" i="67"/>
  <c r="E46" i="67"/>
  <c r="A46" i="67"/>
  <c r="E45" i="67"/>
  <c r="A45" i="67"/>
  <c r="E44" i="67"/>
  <c r="A44" i="67"/>
  <c r="E43" i="67"/>
  <c r="A43" i="67"/>
  <c r="X15" i="67"/>
  <c r="E42" i="67"/>
  <c r="A42" i="67"/>
  <c r="X14" i="67"/>
  <c r="E41" i="67"/>
  <c r="A41" i="67"/>
  <c r="X13" i="67"/>
  <c r="E40" i="67"/>
  <c r="A40" i="67"/>
  <c r="X12" i="67"/>
  <c r="E39" i="67"/>
  <c r="A39" i="67"/>
  <c r="X11" i="67"/>
  <c r="X10" i="67"/>
  <c r="X9" i="67"/>
  <c r="R16" i="67"/>
  <c r="Q16" i="67"/>
  <c r="X8" i="67"/>
  <c r="X7" i="67"/>
  <c r="X4" i="67"/>
  <c r="X5" i="67"/>
  <c r="X6" i="67"/>
  <c r="AE3" i="67"/>
  <c r="AF3" i="67"/>
  <c r="AG3" i="67"/>
  <c r="AH3" i="67"/>
  <c r="AI3" i="67"/>
  <c r="AG17" i="67"/>
  <c r="AE4" i="67"/>
  <c r="AF4" i="67"/>
  <c r="AG4" i="67"/>
  <c r="AH4" i="67"/>
  <c r="AI4" i="67"/>
  <c r="AG18" i="67"/>
  <c r="AE5" i="67"/>
  <c r="AF5" i="67"/>
  <c r="AG5" i="67"/>
  <c r="AH5" i="67"/>
  <c r="AI5" i="67"/>
  <c r="AG19" i="67"/>
  <c r="AE6" i="67"/>
  <c r="AF6" i="67"/>
  <c r="AG6" i="67"/>
  <c r="AH6" i="67"/>
  <c r="AI6" i="67"/>
  <c r="AG20" i="67"/>
  <c r="AE7" i="67"/>
  <c r="AF7" i="67"/>
  <c r="AG7" i="67"/>
  <c r="AH7" i="67"/>
  <c r="AI7" i="67"/>
  <c r="AG21" i="67"/>
  <c r="AE8" i="67"/>
  <c r="AF8" i="67"/>
  <c r="AG8" i="67"/>
  <c r="AH8" i="67"/>
  <c r="AI8" i="67"/>
  <c r="AG22" i="67"/>
  <c r="AE9" i="67"/>
  <c r="AF9" i="67"/>
  <c r="AG9" i="67"/>
  <c r="AH9" i="67"/>
  <c r="AI9" i="67"/>
  <c r="AG23" i="67"/>
  <c r="AE10" i="67"/>
  <c r="AF10" i="67"/>
  <c r="AG10" i="67"/>
  <c r="AH10" i="67"/>
  <c r="AI10" i="67"/>
  <c r="AG24" i="67"/>
  <c r="AE11" i="67"/>
  <c r="AF11" i="67"/>
  <c r="AG11" i="67"/>
  <c r="AH11" i="67"/>
  <c r="AI11" i="67"/>
  <c r="AG25" i="67"/>
  <c r="AE12" i="67"/>
  <c r="AF12" i="67"/>
  <c r="AG12" i="67"/>
  <c r="AH12" i="67"/>
  <c r="AI12" i="67"/>
  <c r="AG26" i="67"/>
  <c r="AE13" i="67"/>
  <c r="AF13" i="67"/>
  <c r="AG13" i="67"/>
  <c r="AH13" i="67"/>
  <c r="AI13" i="67"/>
  <c r="AG27" i="67"/>
  <c r="AF17" i="67"/>
  <c r="AF18" i="67"/>
  <c r="AF19" i="67"/>
  <c r="AF20" i="67"/>
  <c r="AF21" i="67"/>
  <c r="AF22" i="67"/>
  <c r="AF23" i="67"/>
  <c r="AF24" i="67"/>
  <c r="AF25" i="67"/>
  <c r="AF26" i="67"/>
  <c r="AF27" i="67"/>
  <c r="AE26" i="67"/>
  <c r="D31" i="67"/>
  <c r="J29" i="67"/>
  <c r="I29" i="67"/>
  <c r="H29" i="67"/>
  <c r="G29" i="67"/>
  <c r="F16" i="67"/>
  <c r="D29" i="67"/>
  <c r="AK2" i="67"/>
  <c r="AQ16" i="67"/>
  <c r="AL2" i="67"/>
  <c r="AR16" i="67"/>
  <c r="AM2" i="67"/>
  <c r="AS16" i="67"/>
  <c r="AN2" i="67"/>
  <c r="AT16" i="67"/>
  <c r="AO2" i="67"/>
  <c r="AU16" i="67"/>
  <c r="AP2" i="67"/>
  <c r="AV16" i="67"/>
  <c r="AQ2" i="67"/>
  <c r="AW16" i="67"/>
  <c r="AR2" i="67"/>
  <c r="AX16" i="67"/>
  <c r="AS2" i="67"/>
  <c r="AY16" i="67"/>
  <c r="AT2" i="67"/>
  <c r="AZ16" i="67"/>
  <c r="AU2" i="67"/>
  <c r="BA16" i="67"/>
  <c r="AV2" i="67"/>
  <c r="BB16" i="67"/>
  <c r="AW2" i="67"/>
  <c r="BC16" i="67"/>
  <c r="AX2" i="67"/>
  <c r="BD16" i="67"/>
  <c r="AY2" i="67"/>
  <c r="BE16" i="67"/>
  <c r="AZ2" i="67"/>
  <c r="BF16" i="67"/>
  <c r="BA2" i="67"/>
  <c r="BG16" i="67"/>
  <c r="BB2" i="67"/>
  <c r="BH16" i="67"/>
  <c r="BC2" i="67"/>
  <c r="BI16" i="67"/>
  <c r="BD2" i="67"/>
  <c r="BJ16" i="67"/>
  <c r="BE2" i="67"/>
  <c r="BK16" i="67"/>
  <c r="BF2" i="67"/>
  <c r="BL16" i="67"/>
  <c r="BG2" i="67"/>
  <c r="BM16" i="67"/>
  <c r="BH2" i="67"/>
  <c r="BN16" i="67"/>
  <c r="AP16" i="67"/>
  <c r="AK3" i="67"/>
  <c r="AQ17" i="67"/>
  <c r="AL3" i="67"/>
  <c r="AR17" i="67"/>
  <c r="AM3" i="67"/>
  <c r="AS17" i="67"/>
  <c r="AN3" i="67"/>
  <c r="AT17" i="67"/>
  <c r="AO3" i="67"/>
  <c r="AU17" i="67"/>
  <c r="AP3" i="67"/>
  <c r="AV17" i="67"/>
  <c r="AQ3" i="67"/>
  <c r="AW17" i="67"/>
  <c r="AR3" i="67"/>
  <c r="AX17" i="67"/>
  <c r="AS3" i="67"/>
  <c r="AY17" i="67"/>
  <c r="AT3" i="67"/>
  <c r="AZ17" i="67"/>
  <c r="AU3" i="67"/>
  <c r="BA17" i="67"/>
  <c r="AV3" i="67"/>
  <c r="BB17" i="67"/>
  <c r="AW3" i="67"/>
  <c r="BC17" i="67"/>
  <c r="AX3" i="67"/>
  <c r="BD17" i="67"/>
  <c r="AY3" i="67"/>
  <c r="BE17" i="67"/>
  <c r="AZ3" i="67"/>
  <c r="BF17" i="67"/>
  <c r="BA3" i="67"/>
  <c r="BG17" i="67"/>
  <c r="BB3" i="67"/>
  <c r="BH17" i="67"/>
  <c r="BC3" i="67"/>
  <c r="BI17" i="67"/>
  <c r="BD3" i="67"/>
  <c r="BJ17" i="67"/>
  <c r="BE3" i="67"/>
  <c r="BK17" i="67"/>
  <c r="BF3" i="67"/>
  <c r="BL17" i="67"/>
  <c r="BG3" i="67"/>
  <c r="BM17" i="67"/>
  <c r="BH3" i="67"/>
  <c r="BN17" i="67"/>
  <c r="AP17" i="67"/>
  <c r="AK4" i="67"/>
  <c r="AQ18" i="67"/>
  <c r="AL4" i="67"/>
  <c r="AR18" i="67"/>
  <c r="AM4" i="67"/>
  <c r="AS18" i="67"/>
  <c r="AN4" i="67"/>
  <c r="AT18" i="67"/>
  <c r="AO4" i="67"/>
  <c r="AU18" i="67"/>
  <c r="AP4" i="67"/>
  <c r="AV18" i="67"/>
  <c r="AQ4" i="67"/>
  <c r="AW18" i="67"/>
  <c r="AR4" i="67"/>
  <c r="AX18" i="67"/>
  <c r="AS4" i="67"/>
  <c r="AY18" i="67"/>
  <c r="AT4" i="67"/>
  <c r="AZ18" i="67"/>
  <c r="AU4" i="67"/>
  <c r="BA18" i="67"/>
  <c r="AV4" i="67"/>
  <c r="BB18" i="67"/>
  <c r="AW4" i="67"/>
  <c r="BC18" i="67"/>
  <c r="AX4" i="67"/>
  <c r="BD18" i="67"/>
  <c r="AY4" i="67"/>
  <c r="BE18" i="67"/>
  <c r="AZ4" i="67"/>
  <c r="BF18" i="67"/>
  <c r="BA4" i="67"/>
  <c r="BG18" i="67"/>
  <c r="BB4" i="67"/>
  <c r="BH18" i="67"/>
  <c r="BC4" i="67"/>
  <c r="BI18" i="67"/>
  <c r="BD4" i="67"/>
  <c r="BJ18" i="67"/>
  <c r="BE4" i="67"/>
  <c r="BK18" i="67"/>
  <c r="BF4" i="67"/>
  <c r="BL18" i="67"/>
  <c r="BG4" i="67"/>
  <c r="BM18" i="67"/>
  <c r="BH4" i="67"/>
  <c r="BN18" i="67"/>
  <c r="AP18" i="67"/>
  <c r="AK5" i="67"/>
  <c r="AQ19" i="67"/>
  <c r="AL5" i="67"/>
  <c r="AR19" i="67"/>
  <c r="AM5" i="67"/>
  <c r="AS19" i="67"/>
  <c r="AN5" i="67"/>
  <c r="AT19" i="67"/>
  <c r="AO5" i="67"/>
  <c r="AU19" i="67"/>
  <c r="AP5" i="67"/>
  <c r="AV19" i="67"/>
  <c r="AQ5" i="67"/>
  <c r="AW19" i="67"/>
  <c r="AR5" i="67"/>
  <c r="AX19" i="67"/>
  <c r="AS5" i="67"/>
  <c r="AY19" i="67"/>
  <c r="AT5" i="67"/>
  <c r="AZ19" i="67"/>
  <c r="AU5" i="67"/>
  <c r="BA19" i="67"/>
  <c r="AV5" i="67"/>
  <c r="BB19" i="67"/>
  <c r="AW5" i="67"/>
  <c r="BC19" i="67"/>
  <c r="AX5" i="67"/>
  <c r="BD19" i="67"/>
  <c r="AY5" i="67"/>
  <c r="BE19" i="67"/>
  <c r="AZ5" i="67"/>
  <c r="BF19" i="67"/>
  <c r="BA5" i="67"/>
  <c r="BG19" i="67"/>
  <c r="BB5" i="67"/>
  <c r="BH19" i="67"/>
  <c r="BC5" i="67"/>
  <c r="BI19" i="67"/>
  <c r="BD5" i="67"/>
  <c r="BJ19" i="67"/>
  <c r="BE5" i="67"/>
  <c r="BK19" i="67"/>
  <c r="BF5" i="67"/>
  <c r="BL19" i="67"/>
  <c r="BG5" i="67"/>
  <c r="BM19" i="67"/>
  <c r="BH5" i="67"/>
  <c r="BN19" i="67"/>
  <c r="AP19" i="67"/>
  <c r="AK6" i="67"/>
  <c r="AQ20" i="67"/>
  <c r="AL6" i="67"/>
  <c r="AR20" i="67"/>
  <c r="AM6" i="67"/>
  <c r="AS20" i="67"/>
  <c r="AN6" i="67"/>
  <c r="AT20" i="67"/>
  <c r="AO6" i="67"/>
  <c r="AU20" i="67"/>
  <c r="AP6" i="67"/>
  <c r="AV20" i="67"/>
  <c r="AQ6" i="67"/>
  <c r="AW20" i="67"/>
  <c r="AR6" i="67"/>
  <c r="AX20" i="67"/>
  <c r="AS6" i="67"/>
  <c r="AY20" i="67"/>
  <c r="AT6" i="67"/>
  <c r="AZ20" i="67"/>
  <c r="AU6" i="67"/>
  <c r="BA20" i="67"/>
  <c r="AV6" i="67"/>
  <c r="BB20" i="67"/>
  <c r="AW6" i="67"/>
  <c r="BC20" i="67"/>
  <c r="AX6" i="67"/>
  <c r="BD20" i="67"/>
  <c r="AY6" i="67"/>
  <c r="BE20" i="67"/>
  <c r="AZ6" i="67"/>
  <c r="BF20" i="67"/>
  <c r="BA6" i="67"/>
  <c r="BG20" i="67"/>
  <c r="BB6" i="67"/>
  <c r="BH20" i="67"/>
  <c r="BC6" i="67"/>
  <c r="BI20" i="67"/>
  <c r="BD6" i="67"/>
  <c r="BJ20" i="67"/>
  <c r="BE6" i="67"/>
  <c r="BK20" i="67"/>
  <c r="BF6" i="67"/>
  <c r="BL20" i="67"/>
  <c r="BG6" i="67"/>
  <c r="BM20" i="67"/>
  <c r="BH6" i="67"/>
  <c r="BN20" i="67"/>
  <c r="AP20" i="67"/>
  <c r="AK7" i="67"/>
  <c r="AQ21" i="67"/>
  <c r="AL7" i="67"/>
  <c r="AR21" i="67"/>
  <c r="AM7" i="67"/>
  <c r="AS21" i="67"/>
  <c r="AN7" i="67"/>
  <c r="AT21" i="67"/>
  <c r="AO7" i="67"/>
  <c r="AU21" i="67"/>
  <c r="AP7" i="67"/>
  <c r="AV21" i="67"/>
  <c r="AQ7" i="67"/>
  <c r="AW21" i="67"/>
  <c r="AR7" i="67"/>
  <c r="AX21" i="67"/>
  <c r="AS7" i="67"/>
  <c r="AY21" i="67"/>
  <c r="AT7" i="67"/>
  <c r="AZ21" i="67"/>
  <c r="AU7" i="67"/>
  <c r="BA21" i="67"/>
  <c r="AV7" i="67"/>
  <c r="BB21" i="67"/>
  <c r="AW7" i="67"/>
  <c r="BC21" i="67"/>
  <c r="AX7" i="67"/>
  <c r="BD21" i="67"/>
  <c r="AY7" i="67"/>
  <c r="BE21" i="67"/>
  <c r="AZ7" i="67"/>
  <c r="BF21" i="67"/>
  <c r="BA7" i="67"/>
  <c r="BG21" i="67"/>
  <c r="BB7" i="67"/>
  <c r="BH21" i="67"/>
  <c r="BC7" i="67"/>
  <c r="BI21" i="67"/>
  <c r="BD7" i="67"/>
  <c r="BJ21" i="67"/>
  <c r="BE7" i="67"/>
  <c r="BK21" i="67"/>
  <c r="BF7" i="67"/>
  <c r="BL21" i="67"/>
  <c r="BG7" i="67"/>
  <c r="BM21" i="67"/>
  <c r="BH7" i="67"/>
  <c r="BN21" i="67"/>
  <c r="AP21" i="67"/>
  <c r="AK8" i="67"/>
  <c r="AQ22" i="67"/>
  <c r="AL8" i="67"/>
  <c r="AR22" i="67"/>
  <c r="AM8" i="67"/>
  <c r="AS22" i="67"/>
  <c r="AN8" i="67"/>
  <c r="AT22" i="67"/>
  <c r="AO8" i="67"/>
  <c r="AU22" i="67"/>
  <c r="AP8" i="67"/>
  <c r="AV22" i="67"/>
  <c r="AQ8" i="67"/>
  <c r="AW22" i="67"/>
  <c r="AR8" i="67"/>
  <c r="AX22" i="67"/>
  <c r="AS8" i="67"/>
  <c r="AY22" i="67"/>
  <c r="AT8" i="67"/>
  <c r="AZ22" i="67"/>
  <c r="AU8" i="67"/>
  <c r="BA22" i="67"/>
  <c r="AV8" i="67"/>
  <c r="BB22" i="67"/>
  <c r="AW8" i="67"/>
  <c r="BC22" i="67"/>
  <c r="AX8" i="67"/>
  <c r="BD22" i="67"/>
  <c r="AY8" i="67"/>
  <c r="BE22" i="67"/>
  <c r="AZ8" i="67"/>
  <c r="BF22" i="67"/>
  <c r="BA8" i="67"/>
  <c r="BG22" i="67"/>
  <c r="BB8" i="67"/>
  <c r="BH22" i="67"/>
  <c r="BC8" i="67"/>
  <c r="BI22" i="67"/>
  <c r="BD8" i="67"/>
  <c r="BJ22" i="67"/>
  <c r="BE8" i="67"/>
  <c r="BK22" i="67"/>
  <c r="BF8" i="67"/>
  <c r="BL22" i="67"/>
  <c r="BG8" i="67"/>
  <c r="BM22" i="67"/>
  <c r="BH8" i="67"/>
  <c r="BN22" i="67"/>
  <c r="AP22" i="67"/>
  <c r="AK9" i="67"/>
  <c r="AQ23" i="67"/>
  <c r="AL9" i="67"/>
  <c r="AR23" i="67"/>
  <c r="AM9" i="67"/>
  <c r="AS23" i="67"/>
  <c r="AN9" i="67"/>
  <c r="AT23" i="67"/>
  <c r="AO9" i="67"/>
  <c r="AU23" i="67"/>
  <c r="AP9" i="67"/>
  <c r="AV23" i="67"/>
  <c r="AQ9" i="67"/>
  <c r="AW23" i="67"/>
  <c r="AR9" i="67"/>
  <c r="AX23" i="67"/>
  <c r="AS9" i="67"/>
  <c r="AY23" i="67"/>
  <c r="AT9" i="67"/>
  <c r="AZ23" i="67"/>
  <c r="AU9" i="67"/>
  <c r="BA23" i="67"/>
  <c r="AV9" i="67"/>
  <c r="BB23" i="67"/>
  <c r="AW9" i="67"/>
  <c r="BC23" i="67"/>
  <c r="AX9" i="67"/>
  <c r="BD23" i="67"/>
  <c r="AY9" i="67"/>
  <c r="BE23" i="67"/>
  <c r="AZ9" i="67"/>
  <c r="BF23" i="67"/>
  <c r="BA9" i="67"/>
  <c r="BG23" i="67"/>
  <c r="BB9" i="67"/>
  <c r="BH23" i="67"/>
  <c r="BC9" i="67"/>
  <c r="BI23" i="67"/>
  <c r="BD9" i="67"/>
  <c r="BJ23" i="67"/>
  <c r="BE9" i="67"/>
  <c r="BK23" i="67"/>
  <c r="BF9" i="67"/>
  <c r="BL23" i="67"/>
  <c r="BG9" i="67"/>
  <c r="BM23" i="67"/>
  <c r="BH9" i="67"/>
  <c r="BN23" i="67"/>
  <c r="AP23" i="67"/>
  <c r="AK10" i="67"/>
  <c r="AQ24" i="67"/>
  <c r="AL10" i="67"/>
  <c r="AR24" i="67"/>
  <c r="AM10" i="67"/>
  <c r="AS24" i="67"/>
  <c r="AN10" i="67"/>
  <c r="AT24" i="67"/>
  <c r="AO10" i="67"/>
  <c r="AU24" i="67"/>
  <c r="AP10" i="67"/>
  <c r="AV24" i="67"/>
  <c r="AQ10" i="67"/>
  <c r="AW24" i="67"/>
  <c r="AR10" i="67"/>
  <c r="AX24" i="67"/>
  <c r="AS10" i="67"/>
  <c r="AY24" i="67"/>
  <c r="AT10" i="67"/>
  <c r="AZ24" i="67"/>
  <c r="AU10" i="67"/>
  <c r="BA24" i="67"/>
  <c r="AV10" i="67"/>
  <c r="BB24" i="67"/>
  <c r="AW10" i="67"/>
  <c r="BC24" i="67"/>
  <c r="AX10" i="67"/>
  <c r="BD24" i="67"/>
  <c r="AY10" i="67"/>
  <c r="BE24" i="67"/>
  <c r="AZ10" i="67"/>
  <c r="BF24" i="67"/>
  <c r="BA10" i="67"/>
  <c r="BG24" i="67"/>
  <c r="BB10" i="67"/>
  <c r="BH24" i="67"/>
  <c r="BC10" i="67"/>
  <c r="BI24" i="67"/>
  <c r="BD10" i="67"/>
  <c r="BJ24" i="67"/>
  <c r="BE10" i="67"/>
  <c r="BK24" i="67"/>
  <c r="BF10" i="67"/>
  <c r="BL24" i="67"/>
  <c r="BG10" i="67"/>
  <c r="BM24" i="67"/>
  <c r="BH10" i="67"/>
  <c r="BN24" i="67"/>
  <c r="AP24" i="67"/>
  <c r="AK11" i="67"/>
  <c r="AQ25" i="67"/>
  <c r="AL11" i="67"/>
  <c r="AR25" i="67"/>
  <c r="AM11" i="67"/>
  <c r="AS25" i="67"/>
  <c r="AN11" i="67"/>
  <c r="AT25" i="67"/>
  <c r="AO11" i="67"/>
  <c r="AU25" i="67"/>
  <c r="AP11" i="67"/>
  <c r="AV25" i="67"/>
  <c r="AQ11" i="67"/>
  <c r="AW25" i="67"/>
  <c r="AR11" i="67"/>
  <c r="AX25" i="67"/>
  <c r="AS11" i="67"/>
  <c r="AY25" i="67"/>
  <c r="AT11" i="67"/>
  <c r="AZ25" i="67"/>
  <c r="AU11" i="67"/>
  <c r="BA25" i="67"/>
  <c r="AV11" i="67"/>
  <c r="BB25" i="67"/>
  <c r="AW11" i="67"/>
  <c r="BC25" i="67"/>
  <c r="AX11" i="67"/>
  <c r="BD25" i="67"/>
  <c r="AY11" i="67"/>
  <c r="BE25" i="67"/>
  <c r="AZ11" i="67"/>
  <c r="BF25" i="67"/>
  <c r="BA11" i="67"/>
  <c r="BG25" i="67"/>
  <c r="BB11" i="67"/>
  <c r="BH25" i="67"/>
  <c r="BC11" i="67"/>
  <c r="BI25" i="67"/>
  <c r="BD11" i="67"/>
  <c r="BJ25" i="67"/>
  <c r="BE11" i="67"/>
  <c r="BK25" i="67"/>
  <c r="BF11" i="67"/>
  <c r="BL25" i="67"/>
  <c r="BG11" i="67"/>
  <c r="BM25" i="67"/>
  <c r="BH11" i="67"/>
  <c r="BN25" i="67"/>
  <c r="AP25" i="67"/>
  <c r="AK12" i="67"/>
  <c r="AQ26" i="67"/>
  <c r="AL12" i="67"/>
  <c r="AR26" i="67"/>
  <c r="AM12" i="67"/>
  <c r="AS26" i="67"/>
  <c r="AN12" i="67"/>
  <c r="AT26" i="67"/>
  <c r="AO12" i="67"/>
  <c r="AU26" i="67"/>
  <c r="AP12" i="67"/>
  <c r="AV26" i="67"/>
  <c r="AQ12" i="67"/>
  <c r="AW26" i="67"/>
  <c r="AR12" i="67"/>
  <c r="AX26" i="67"/>
  <c r="AS12" i="67"/>
  <c r="AY26" i="67"/>
  <c r="AT12" i="67"/>
  <c r="AZ26" i="67"/>
  <c r="AU12" i="67"/>
  <c r="BA26" i="67"/>
  <c r="AV12" i="67"/>
  <c r="BB26" i="67"/>
  <c r="AW12" i="67"/>
  <c r="BC26" i="67"/>
  <c r="AX12" i="67"/>
  <c r="BD26" i="67"/>
  <c r="AY12" i="67"/>
  <c r="BE26" i="67"/>
  <c r="AZ12" i="67"/>
  <c r="BF26" i="67"/>
  <c r="BA12" i="67"/>
  <c r="BG26" i="67"/>
  <c r="BB12" i="67"/>
  <c r="BH26" i="67"/>
  <c r="BC12" i="67"/>
  <c r="BI26" i="67"/>
  <c r="BD12" i="67"/>
  <c r="BJ26" i="67"/>
  <c r="BE12" i="67"/>
  <c r="BK26" i="67"/>
  <c r="BF12" i="67"/>
  <c r="BL26" i="67"/>
  <c r="BG12" i="67"/>
  <c r="BM26" i="67"/>
  <c r="BH12" i="67"/>
  <c r="BN26" i="67"/>
  <c r="AP26" i="67"/>
  <c r="AK13" i="67"/>
  <c r="AQ27" i="67"/>
  <c r="AL13" i="67"/>
  <c r="AR27" i="67"/>
  <c r="AM13" i="67"/>
  <c r="AS27" i="67"/>
  <c r="AN13" i="67"/>
  <c r="AT27" i="67"/>
  <c r="AO13" i="67"/>
  <c r="AU27" i="67"/>
  <c r="AP13" i="67"/>
  <c r="AV27" i="67"/>
  <c r="AQ13" i="67"/>
  <c r="AW27" i="67"/>
  <c r="AR13" i="67"/>
  <c r="AX27" i="67"/>
  <c r="AS13" i="67"/>
  <c r="AY27" i="67"/>
  <c r="AT13" i="67"/>
  <c r="AZ27" i="67"/>
  <c r="AU13" i="67"/>
  <c r="BA27" i="67"/>
  <c r="AV13" i="67"/>
  <c r="BB27" i="67"/>
  <c r="AW13" i="67"/>
  <c r="BC27" i="67"/>
  <c r="AX13" i="67"/>
  <c r="BD27" i="67"/>
  <c r="AY13" i="67"/>
  <c r="BE27" i="67"/>
  <c r="AZ13" i="67"/>
  <c r="BF27" i="67"/>
  <c r="BA13" i="67"/>
  <c r="BG27" i="67"/>
  <c r="BB13" i="67"/>
  <c r="BH27" i="67"/>
  <c r="BC13" i="67"/>
  <c r="BI27" i="67"/>
  <c r="BD13" i="67"/>
  <c r="BJ27" i="67"/>
  <c r="BE13" i="67"/>
  <c r="BK27" i="67"/>
  <c r="BF13" i="67"/>
  <c r="BL27" i="67"/>
  <c r="BG13" i="67"/>
  <c r="BM27" i="67"/>
  <c r="BH13" i="67"/>
  <c r="BN27" i="67"/>
  <c r="AP27" i="67"/>
  <c r="AP28" i="67"/>
  <c r="AN16" i="67"/>
  <c r="AN17" i="67"/>
  <c r="AN18" i="67"/>
  <c r="AN19" i="67"/>
  <c r="AN20" i="67"/>
  <c r="AN21" i="67"/>
  <c r="AN22" i="67"/>
  <c r="AN23" i="67"/>
  <c r="AN24" i="67"/>
  <c r="AN25" i="67"/>
  <c r="AN26" i="67"/>
  <c r="AN27" i="67"/>
  <c r="AN28" i="67"/>
  <c r="AM16" i="67"/>
  <c r="AM17" i="67"/>
  <c r="AM18" i="67"/>
  <c r="AM19" i="67"/>
  <c r="AM20" i="67"/>
  <c r="AM21" i="67"/>
  <c r="AM22" i="67"/>
  <c r="AM23" i="67"/>
  <c r="AM24" i="67"/>
  <c r="AM25" i="67"/>
  <c r="AM26" i="67"/>
  <c r="AM27" i="67"/>
  <c r="AM28" i="67"/>
  <c r="AL16" i="67"/>
  <c r="AL17" i="67"/>
  <c r="AL18" i="67"/>
  <c r="AL19" i="67"/>
  <c r="AL20" i="67"/>
  <c r="AL21" i="67"/>
  <c r="AL22" i="67"/>
  <c r="AL23" i="67"/>
  <c r="AL24" i="67"/>
  <c r="AL25" i="67"/>
  <c r="AL26" i="67"/>
  <c r="AL27" i="67"/>
  <c r="AL28" i="67"/>
  <c r="AK16" i="67"/>
  <c r="AK17" i="67"/>
  <c r="AK18" i="67"/>
  <c r="AK19" i="67"/>
  <c r="AK20" i="67"/>
  <c r="AK21" i="67"/>
  <c r="AK22" i="67"/>
  <c r="AK23" i="67"/>
  <c r="AK24" i="67"/>
  <c r="AK25" i="67"/>
  <c r="AK26" i="67"/>
  <c r="AK27" i="67"/>
  <c r="AK28" i="67"/>
  <c r="Z2" i="67"/>
  <c r="AA2" i="67"/>
  <c r="AB2" i="67"/>
  <c r="AC2" i="67"/>
  <c r="AA16" i="67"/>
  <c r="Z3" i="67"/>
  <c r="AA3" i="67"/>
  <c r="AB3" i="67"/>
  <c r="AC3" i="67"/>
  <c r="AA17" i="67"/>
  <c r="Z4" i="67"/>
  <c r="AA4" i="67"/>
  <c r="AB4" i="67"/>
  <c r="AC4" i="67"/>
  <c r="AA18" i="67"/>
  <c r="Z5" i="67"/>
  <c r="AA5" i="67"/>
  <c r="AB5" i="67"/>
  <c r="AC5" i="67"/>
  <c r="AA19" i="67"/>
  <c r="Z6" i="67"/>
  <c r="AA6" i="67"/>
  <c r="AB6" i="67"/>
  <c r="AC6" i="67"/>
  <c r="AA20" i="67"/>
  <c r="Z7" i="67"/>
  <c r="AA7" i="67"/>
  <c r="AB7" i="67"/>
  <c r="AC7" i="67"/>
  <c r="AA21" i="67"/>
  <c r="Z8" i="67"/>
  <c r="AA8" i="67"/>
  <c r="AB8" i="67"/>
  <c r="AC8" i="67"/>
  <c r="AA22" i="67"/>
  <c r="Z9" i="67"/>
  <c r="AA9" i="67"/>
  <c r="AB9" i="67"/>
  <c r="AC9" i="67"/>
  <c r="AA23" i="67"/>
  <c r="Z10" i="67"/>
  <c r="AA10" i="67"/>
  <c r="AB10" i="67"/>
  <c r="AC10" i="67"/>
  <c r="AA24" i="67"/>
  <c r="Z11" i="67"/>
  <c r="AA11" i="67"/>
  <c r="AB11" i="67"/>
  <c r="AC11" i="67"/>
  <c r="AA25" i="67"/>
  <c r="Z12" i="67"/>
  <c r="AA12" i="67"/>
  <c r="AB12" i="67"/>
  <c r="AC12" i="67"/>
  <c r="AA26" i="67"/>
  <c r="Z13" i="67"/>
  <c r="AA13" i="67"/>
  <c r="AB13" i="67"/>
  <c r="AC13" i="67"/>
  <c r="AA27" i="67"/>
  <c r="AA28" i="67"/>
  <c r="Z16" i="67"/>
  <c r="Z17" i="67"/>
  <c r="Z18" i="67"/>
  <c r="Z19" i="67"/>
  <c r="Z20" i="67"/>
  <c r="Z21" i="67"/>
  <c r="Z22" i="67"/>
  <c r="Z23" i="67"/>
  <c r="Z24" i="67"/>
  <c r="Z25" i="67"/>
  <c r="Z26" i="67"/>
  <c r="Z27" i="67"/>
  <c r="Z28" i="67"/>
  <c r="S28" i="67"/>
  <c r="R28" i="67"/>
  <c r="Q28" i="67"/>
  <c r="P28" i="67"/>
  <c r="N28" i="67"/>
  <c r="M28" i="67"/>
  <c r="L28" i="67"/>
  <c r="K28" i="67"/>
  <c r="D27" i="67"/>
  <c r="G26" i="67"/>
  <c r="N25" i="67"/>
  <c r="M25" i="67"/>
  <c r="L25" i="67"/>
  <c r="K25" i="67"/>
  <c r="D25" i="67"/>
  <c r="G24" i="67"/>
  <c r="H16" i="67"/>
  <c r="D23" i="67"/>
  <c r="G22" i="67"/>
  <c r="G16" i="67"/>
  <c r="D21" i="67"/>
  <c r="G20" i="67"/>
  <c r="M19" i="67"/>
  <c r="E16" i="67"/>
  <c r="W16" i="67"/>
  <c r="V16" i="67"/>
  <c r="U16" i="67"/>
  <c r="M16" i="67"/>
  <c r="E50" i="66"/>
  <c r="A50" i="66"/>
  <c r="E49" i="66"/>
  <c r="A49" i="66"/>
  <c r="E48" i="66"/>
  <c r="A48" i="66"/>
  <c r="E47" i="66"/>
  <c r="A47" i="66"/>
  <c r="E46" i="66"/>
  <c r="A46" i="66"/>
  <c r="E45" i="66"/>
  <c r="A45" i="66"/>
  <c r="E44" i="66"/>
  <c r="A44" i="66"/>
  <c r="E43" i="66"/>
  <c r="A43" i="66"/>
  <c r="E42" i="66"/>
  <c r="A42" i="66"/>
  <c r="E41" i="66"/>
  <c r="A41" i="66"/>
  <c r="E40" i="66"/>
  <c r="A40" i="66"/>
  <c r="E39" i="66"/>
  <c r="A39" i="66"/>
  <c r="D31" i="66"/>
  <c r="J29" i="66"/>
  <c r="I29" i="66"/>
  <c r="H29" i="66"/>
  <c r="G29" i="66"/>
  <c r="F16" i="66"/>
  <c r="D29" i="66"/>
  <c r="AK2" i="66"/>
  <c r="AQ16" i="66"/>
  <c r="AL2" i="66"/>
  <c r="AR16" i="66"/>
  <c r="AM2" i="66"/>
  <c r="AS16" i="66"/>
  <c r="AN2" i="66"/>
  <c r="AT16" i="66"/>
  <c r="AO2" i="66"/>
  <c r="AU16" i="66"/>
  <c r="AP2" i="66"/>
  <c r="AV16" i="66"/>
  <c r="AQ2" i="66"/>
  <c r="AW16" i="66"/>
  <c r="AR2" i="66"/>
  <c r="AX16" i="66"/>
  <c r="AS2" i="66"/>
  <c r="AY16" i="66"/>
  <c r="AT2" i="66"/>
  <c r="AZ16" i="66"/>
  <c r="AU2" i="66"/>
  <c r="BA16" i="66"/>
  <c r="AV2" i="66"/>
  <c r="BB16" i="66"/>
  <c r="AW2" i="66"/>
  <c r="BC16" i="66"/>
  <c r="AX2" i="66"/>
  <c r="BD16" i="66"/>
  <c r="AY2" i="66"/>
  <c r="BE16" i="66"/>
  <c r="AZ2" i="66"/>
  <c r="BF16" i="66"/>
  <c r="BA2" i="66"/>
  <c r="BG16" i="66"/>
  <c r="BB2" i="66"/>
  <c r="BH16" i="66"/>
  <c r="BC2" i="66"/>
  <c r="BI16" i="66"/>
  <c r="BD2" i="66"/>
  <c r="BJ16" i="66"/>
  <c r="BE2" i="66"/>
  <c r="BK16" i="66"/>
  <c r="BF2" i="66"/>
  <c r="BL16" i="66"/>
  <c r="BG2" i="66"/>
  <c r="BM16" i="66"/>
  <c r="BH2" i="66"/>
  <c r="BN16" i="66"/>
  <c r="AP16" i="66"/>
  <c r="AK3" i="66"/>
  <c r="AQ17" i="66"/>
  <c r="AL3" i="66"/>
  <c r="AR17" i="66"/>
  <c r="AM3" i="66"/>
  <c r="AS17" i="66"/>
  <c r="AN3" i="66"/>
  <c r="AT17" i="66"/>
  <c r="AO3" i="66"/>
  <c r="AU17" i="66"/>
  <c r="AP3" i="66"/>
  <c r="AV17" i="66"/>
  <c r="AQ3" i="66"/>
  <c r="AW17" i="66"/>
  <c r="AR3" i="66"/>
  <c r="AX17" i="66"/>
  <c r="AS3" i="66"/>
  <c r="AY17" i="66"/>
  <c r="AT3" i="66"/>
  <c r="AZ17" i="66"/>
  <c r="AU3" i="66"/>
  <c r="BA17" i="66"/>
  <c r="AV3" i="66"/>
  <c r="BB17" i="66"/>
  <c r="AW3" i="66"/>
  <c r="BC17" i="66"/>
  <c r="AX3" i="66"/>
  <c r="BD17" i="66"/>
  <c r="AY3" i="66"/>
  <c r="BE17" i="66"/>
  <c r="AZ3" i="66"/>
  <c r="BF17" i="66"/>
  <c r="BA3" i="66"/>
  <c r="BG17" i="66"/>
  <c r="BB3" i="66"/>
  <c r="BH17" i="66"/>
  <c r="BC3" i="66"/>
  <c r="BI17" i="66"/>
  <c r="BD3" i="66"/>
  <c r="BJ17" i="66"/>
  <c r="BE3" i="66"/>
  <c r="BK17" i="66"/>
  <c r="BF3" i="66"/>
  <c r="BL17" i="66"/>
  <c r="BG3" i="66"/>
  <c r="BM17" i="66"/>
  <c r="BH3" i="66"/>
  <c r="BN17" i="66"/>
  <c r="AP17" i="66"/>
  <c r="AK4" i="66"/>
  <c r="AQ18" i="66"/>
  <c r="AL4" i="66"/>
  <c r="AR18" i="66"/>
  <c r="AM4" i="66"/>
  <c r="AS18" i="66"/>
  <c r="AN4" i="66"/>
  <c r="AT18" i="66"/>
  <c r="AO4" i="66"/>
  <c r="AU18" i="66"/>
  <c r="AP4" i="66"/>
  <c r="AV18" i="66"/>
  <c r="AQ4" i="66"/>
  <c r="AW18" i="66"/>
  <c r="AR4" i="66"/>
  <c r="AX18" i="66"/>
  <c r="AS4" i="66"/>
  <c r="AY18" i="66"/>
  <c r="AT4" i="66"/>
  <c r="AZ18" i="66"/>
  <c r="AU4" i="66"/>
  <c r="BA18" i="66"/>
  <c r="AV4" i="66"/>
  <c r="BB18" i="66"/>
  <c r="AW4" i="66"/>
  <c r="BC18" i="66"/>
  <c r="AX4" i="66"/>
  <c r="BD18" i="66"/>
  <c r="AY4" i="66"/>
  <c r="BE18" i="66"/>
  <c r="AZ4" i="66"/>
  <c r="BF18" i="66"/>
  <c r="BA4" i="66"/>
  <c r="BG18" i="66"/>
  <c r="BB4" i="66"/>
  <c r="BH18" i="66"/>
  <c r="BC4" i="66"/>
  <c r="BI18" i="66"/>
  <c r="BD4" i="66"/>
  <c r="BJ18" i="66"/>
  <c r="BE4" i="66"/>
  <c r="BK18" i="66"/>
  <c r="BF4" i="66"/>
  <c r="BL18" i="66"/>
  <c r="BG4" i="66"/>
  <c r="BM18" i="66"/>
  <c r="BH4" i="66"/>
  <c r="BN18" i="66"/>
  <c r="AP18" i="66"/>
  <c r="AK5" i="66"/>
  <c r="AQ19" i="66"/>
  <c r="AL5" i="66"/>
  <c r="AR19" i="66"/>
  <c r="AM5" i="66"/>
  <c r="AS19" i="66"/>
  <c r="AN5" i="66"/>
  <c r="AT19" i="66"/>
  <c r="AO5" i="66"/>
  <c r="AU19" i="66"/>
  <c r="AP5" i="66"/>
  <c r="AV19" i="66"/>
  <c r="AQ5" i="66"/>
  <c r="AW19" i="66"/>
  <c r="AR5" i="66"/>
  <c r="AX19" i="66"/>
  <c r="AS5" i="66"/>
  <c r="AY19" i="66"/>
  <c r="AT5" i="66"/>
  <c r="AZ19" i="66"/>
  <c r="AU5" i="66"/>
  <c r="BA19" i="66"/>
  <c r="AV5" i="66"/>
  <c r="BB19" i="66"/>
  <c r="AW5" i="66"/>
  <c r="BC19" i="66"/>
  <c r="AX5" i="66"/>
  <c r="BD19" i="66"/>
  <c r="AY5" i="66"/>
  <c r="BE19" i="66"/>
  <c r="AZ5" i="66"/>
  <c r="BF19" i="66"/>
  <c r="BA5" i="66"/>
  <c r="BG19" i="66"/>
  <c r="BB5" i="66"/>
  <c r="BH19" i="66"/>
  <c r="BC5" i="66"/>
  <c r="BI19" i="66"/>
  <c r="BD5" i="66"/>
  <c r="BJ19" i="66"/>
  <c r="BE5" i="66"/>
  <c r="BK19" i="66"/>
  <c r="BF5" i="66"/>
  <c r="BL19" i="66"/>
  <c r="BG5" i="66"/>
  <c r="BM19" i="66"/>
  <c r="BH5" i="66"/>
  <c r="BN19" i="66"/>
  <c r="AP19" i="66"/>
  <c r="AK6" i="66"/>
  <c r="AQ20" i="66"/>
  <c r="AL6" i="66"/>
  <c r="AR20" i="66"/>
  <c r="AM6" i="66"/>
  <c r="AS20" i="66"/>
  <c r="AN6" i="66"/>
  <c r="AT20" i="66"/>
  <c r="AO6" i="66"/>
  <c r="AU20" i="66"/>
  <c r="AP6" i="66"/>
  <c r="AV20" i="66"/>
  <c r="AQ6" i="66"/>
  <c r="AW20" i="66"/>
  <c r="AR6" i="66"/>
  <c r="AX20" i="66"/>
  <c r="AS6" i="66"/>
  <c r="AY20" i="66"/>
  <c r="AT6" i="66"/>
  <c r="AZ20" i="66"/>
  <c r="AU6" i="66"/>
  <c r="BA20" i="66"/>
  <c r="AV6" i="66"/>
  <c r="BB20" i="66"/>
  <c r="AW6" i="66"/>
  <c r="BC20" i="66"/>
  <c r="AX6" i="66"/>
  <c r="BD20" i="66"/>
  <c r="AY6" i="66"/>
  <c r="BE20" i="66"/>
  <c r="AZ6" i="66"/>
  <c r="BF20" i="66"/>
  <c r="BA6" i="66"/>
  <c r="BG20" i="66"/>
  <c r="BB6" i="66"/>
  <c r="BH20" i="66"/>
  <c r="BC6" i="66"/>
  <c r="BI20" i="66"/>
  <c r="BD6" i="66"/>
  <c r="BJ20" i="66"/>
  <c r="BE6" i="66"/>
  <c r="BK20" i="66"/>
  <c r="BF6" i="66"/>
  <c r="BL20" i="66"/>
  <c r="BG6" i="66"/>
  <c r="BM20" i="66"/>
  <c r="BH6" i="66"/>
  <c r="BN20" i="66"/>
  <c r="AP20" i="66"/>
  <c r="AK7" i="66"/>
  <c r="AQ21" i="66"/>
  <c r="AL7" i="66"/>
  <c r="AR21" i="66"/>
  <c r="AM7" i="66"/>
  <c r="AS21" i="66"/>
  <c r="AN7" i="66"/>
  <c r="AT21" i="66"/>
  <c r="AO7" i="66"/>
  <c r="AU21" i="66"/>
  <c r="AP7" i="66"/>
  <c r="AV21" i="66"/>
  <c r="AQ7" i="66"/>
  <c r="AW21" i="66"/>
  <c r="AR7" i="66"/>
  <c r="AX21" i="66"/>
  <c r="AS7" i="66"/>
  <c r="AY21" i="66"/>
  <c r="AT7" i="66"/>
  <c r="AZ21" i="66"/>
  <c r="AU7" i="66"/>
  <c r="BA21" i="66"/>
  <c r="AV7" i="66"/>
  <c r="BB21" i="66"/>
  <c r="AW7" i="66"/>
  <c r="BC21" i="66"/>
  <c r="AX7" i="66"/>
  <c r="BD21" i="66"/>
  <c r="AY7" i="66"/>
  <c r="BE21" i="66"/>
  <c r="AZ7" i="66"/>
  <c r="BF21" i="66"/>
  <c r="BA7" i="66"/>
  <c r="BG21" i="66"/>
  <c r="BB7" i="66"/>
  <c r="BH21" i="66"/>
  <c r="BC7" i="66"/>
  <c r="BI21" i="66"/>
  <c r="BD7" i="66"/>
  <c r="BJ21" i="66"/>
  <c r="BE7" i="66"/>
  <c r="BK21" i="66"/>
  <c r="BF7" i="66"/>
  <c r="BL21" i="66"/>
  <c r="BG7" i="66"/>
  <c r="BM21" i="66"/>
  <c r="BH7" i="66"/>
  <c r="BN21" i="66"/>
  <c r="AP21" i="66"/>
  <c r="AK8" i="66"/>
  <c r="AQ22" i="66"/>
  <c r="AL8" i="66"/>
  <c r="AR22" i="66"/>
  <c r="AM8" i="66"/>
  <c r="AS22" i="66"/>
  <c r="AN8" i="66"/>
  <c r="AT22" i="66"/>
  <c r="AO8" i="66"/>
  <c r="AU22" i="66"/>
  <c r="AP8" i="66"/>
  <c r="AV22" i="66"/>
  <c r="AQ8" i="66"/>
  <c r="AW22" i="66"/>
  <c r="AR8" i="66"/>
  <c r="AX22" i="66"/>
  <c r="AS8" i="66"/>
  <c r="AY22" i="66"/>
  <c r="AT8" i="66"/>
  <c r="AZ22" i="66"/>
  <c r="AU8" i="66"/>
  <c r="BA22" i="66"/>
  <c r="AV8" i="66"/>
  <c r="BB22" i="66"/>
  <c r="AW8" i="66"/>
  <c r="BC22" i="66"/>
  <c r="AX8" i="66"/>
  <c r="BD22" i="66"/>
  <c r="AY8" i="66"/>
  <c r="BE22" i="66"/>
  <c r="AZ8" i="66"/>
  <c r="BF22" i="66"/>
  <c r="BA8" i="66"/>
  <c r="BG22" i="66"/>
  <c r="BB8" i="66"/>
  <c r="BH22" i="66"/>
  <c r="BC8" i="66"/>
  <c r="BI22" i="66"/>
  <c r="BD8" i="66"/>
  <c r="BJ22" i="66"/>
  <c r="BE8" i="66"/>
  <c r="BK22" i="66"/>
  <c r="BF8" i="66"/>
  <c r="BL22" i="66"/>
  <c r="BG8" i="66"/>
  <c r="BM22" i="66"/>
  <c r="BH8" i="66"/>
  <c r="BN22" i="66"/>
  <c r="AP22" i="66"/>
  <c r="AK9" i="66"/>
  <c r="AQ23" i="66"/>
  <c r="AL9" i="66"/>
  <c r="AR23" i="66"/>
  <c r="AM9" i="66"/>
  <c r="AS23" i="66"/>
  <c r="AN9" i="66"/>
  <c r="AT23" i="66"/>
  <c r="AO9" i="66"/>
  <c r="AU23" i="66"/>
  <c r="AP9" i="66"/>
  <c r="AV23" i="66"/>
  <c r="AQ9" i="66"/>
  <c r="AW23" i="66"/>
  <c r="AR9" i="66"/>
  <c r="AX23" i="66"/>
  <c r="AS9" i="66"/>
  <c r="AY23" i="66"/>
  <c r="AT9" i="66"/>
  <c r="AZ23" i="66"/>
  <c r="AU9" i="66"/>
  <c r="BA23" i="66"/>
  <c r="AV9" i="66"/>
  <c r="BB23" i="66"/>
  <c r="AW9" i="66"/>
  <c r="BC23" i="66"/>
  <c r="AX9" i="66"/>
  <c r="BD23" i="66"/>
  <c r="AY9" i="66"/>
  <c r="BE23" i="66"/>
  <c r="AZ9" i="66"/>
  <c r="BF23" i="66"/>
  <c r="BA9" i="66"/>
  <c r="BG23" i="66"/>
  <c r="BB9" i="66"/>
  <c r="BH23" i="66"/>
  <c r="BC9" i="66"/>
  <c r="BI23" i="66"/>
  <c r="BD9" i="66"/>
  <c r="BJ23" i="66"/>
  <c r="BE9" i="66"/>
  <c r="BK23" i="66"/>
  <c r="BF9" i="66"/>
  <c r="BL23" i="66"/>
  <c r="BG9" i="66"/>
  <c r="BM23" i="66"/>
  <c r="BH9" i="66"/>
  <c r="BN23" i="66"/>
  <c r="AP23" i="66"/>
  <c r="AK10" i="66"/>
  <c r="AQ24" i="66"/>
  <c r="AL10" i="66"/>
  <c r="AR24" i="66"/>
  <c r="AM10" i="66"/>
  <c r="AS24" i="66"/>
  <c r="AN10" i="66"/>
  <c r="AT24" i="66"/>
  <c r="AO10" i="66"/>
  <c r="AU24" i="66"/>
  <c r="AP10" i="66"/>
  <c r="AV24" i="66"/>
  <c r="AQ10" i="66"/>
  <c r="AW24" i="66"/>
  <c r="AR10" i="66"/>
  <c r="AX24" i="66"/>
  <c r="AS10" i="66"/>
  <c r="AY24" i="66"/>
  <c r="AT10" i="66"/>
  <c r="AZ24" i="66"/>
  <c r="AU10" i="66"/>
  <c r="BA24" i="66"/>
  <c r="AV10" i="66"/>
  <c r="BB24" i="66"/>
  <c r="AW10" i="66"/>
  <c r="BC24" i="66"/>
  <c r="AX10" i="66"/>
  <c r="BD24" i="66"/>
  <c r="AY10" i="66"/>
  <c r="BE24" i="66"/>
  <c r="AZ10" i="66"/>
  <c r="BF24" i="66"/>
  <c r="BA10" i="66"/>
  <c r="BG24" i="66"/>
  <c r="BB10" i="66"/>
  <c r="BH24" i="66"/>
  <c r="BC10" i="66"/>
  <c r="BI24" i="66"/>
  <c r="BD10" i="66"/>
  <c r="BJ24" i="66"/>
  <c r="BE10" i="66"/>
  <c r="BK24" i="66"/>
  <c r="BF10" i="66"/>
  <c r="BL24" i="66"/>
  <c r="BG10" i="66"/>
  <c r="BM24" i="66"/>
  <c r="BH10" i="66"/>
  <c r="BN24" i="66"/>
  <c r="AP24" i="66"/>
  <c r="AK11" i="66"/>
  <c r="AQ25" i="66"/>
  <c r="AL11" i="66"/>
  <c r="AR25" i="66"/>
  <c r="AM11" i="66"/>
  <c r="AS25" i="66"/>
  <c r="AN11" i="66"/>
  <c r="AT25" i="66"/>
  <c r="AO11" i="66"/>
  <c r="AU25" i="66"/>
  <c r="AP11" i="66"/>
  <c r="AV25" i="66"/>
  <c r="AQ11" i="66"/>
  <c r="AW25" i="66"/>
  <c r="AR11" i="66"/>
  <c r="AX25" i="66"/>
  <c r="AS11" i="66"/>
  <c r="AY25" i="66"/>
  <c r="AT11" i="66"/>
  <c r="AZ25" i="66"/>
  <c r="AU11" i="66"/>
  <c r="BA25" i="66"/>
  <c r="AV11" i="66"/>
  <c r="BB25" i="66"/>
  <c r="AW11" i="66"/>
  <c r="BC25" i="66"/>
  <c r="AX11" i="66"/>
  <c r="BD25" i="66"/>
  <c r="AY11" i="66"/>
  <c r="BE25" i="66"/>
  <c r="AZ11" i="66"/>
  <c r="BF25" i="66"/>
  <c r="BA11" i="66"/>
  <c r="BG25" i="66"/>
  <c r="BB11" i="66"/>
  <c r="BH25" i="66"/>
  <c r="BC11" i="66"/>
  <c r="BI25" i="66"/>
  <c r="BD11" i="66"/>
  <c r="BJ25" i="66"/>
  <c r="BE11" i="66"/>
  <c r="BK25" i="66"/>
  <c r="BF11" i="66"/>
  <c r="BL25" i="66"/>
  <c r="BG11" i="66"/>
  <c r="BM25" i="66"/>
  <c r="BH11" i="66"/>
  <c r="BN25" i="66"/>
  <c r="AP25" i="66"/>
  <c r="AK12" i="66"/>
  <c r="AQ26" i="66"/>
  <c r="AL12" i="66"/>
  <c r="AR26" i="66"/>
  <c r="AM12" i="66"/>
  <c r="AS26" i="66"/>
  <c r="AN12" i="66"/>
  <c r="AT26" i="66"/>
  <c r="AO12" i="66"/>
  <c r="AU26" i="66"/>
  <c r="AP12" i="66"/>
  <c r="AV26" i="66"/>
  <c r="AQ12" i="66"/>
  <c r="AW26" i="66"/>
  <c r="AR12" i="66"/>
  <c r="AX26" i="66"/>
  <c r="AS12" i="66"/>
  <c r="AY26" i="66"/>
  <c r="AT12" i="66"/>
  <c r="AZ26" i="66"/>
  <c r="AU12" i="66"/>
  <c r="BA26" i="66"/>
  <c r="AV12" i="66"/>
  <c r="BB26" i="66"/>
  <c r="AW12" i="66"/>
  <c r="BC26" i="66"/>
  <c r="AX12" i="66"/>
  <c r="BD26" i="66"/>
  <c r="AY12" i="66"/>
  <c r="BE26" i="66"/>
  <c r="AZ12" i="66"/>
  <c r="BF26" i="66"/>
  <c r="BA12" i="66"/>
  <c r="BG26" i="66"/>
  <c r="BB12" i="66"/>
  <c r="BH26" i="66"/>
  <c r="BC12" i="66"/>
  <c r="BI26" i="66"/>
  <c r="BD12" i="66"/>
  <c r="BJ26" i="66"/>
  <c r="BE12" i="66"/>
  <c r="BK26" i="66"/>
  <c r="BF12" i="66"/>
  <c r="BL26" i="66"/>
  <c r="BG12" i="66"/>
  <c r="BM26" i="66"/>
  <c r="BH12" i="66"/>
  <c r="BN26" i="66"/>
  <c r="AP26" i="66"/>
  <c r="AK13" i="66"/>
  <c r="AQ27" i="66"/>
  <c r="AL13" i="66"/>
  <c r="AR27" i="66"/>
  <c r="AM13" i="66"/>
  <c r="AS27" i="66"/>
  <c r="AN13" i="66"/>
  <c r="AT27" i="66"/>
  <c r="AO13" i="66"/>
  <c r="AU27" i="66"/>
  <c r="AP13" i="66"/>
  <c r="AV27" i="66"/>
  <c r="AQ13" i="66"/>
  <c r="AW27" i="66"/>
  <c r="AR13" i="66"/>
  <c r="AX27" i="66"/>
  <c r="AS13" i="66"/>
  <c r="AY27" i="66"/>
  <c r="AT13" i="66"/>
  <c r="AZ27" i="66"/>
  <c r="AU13" i="66"/>
  <c r="BA27" i="66"/>
  <c r="AV13" i="66"/>
  <c r="BB27" i="66"/>
  <c r="AW13" i="66"/>
  <c r="BC27" i="66"/>
  <c r="AX13" i="66"/>
  <c r="BD27" i="66"/>
  <c r="AY13" i="66"/>
  <c r="BE27" i="66"/>
  <c r="AZ13" i="66"/>
  <c r="BF27" i="66"/>
  <c r="BA13" i="66"/>
  <c r="BG27" i="66"/>
  <c r="BB13" i="66"/>
  <c r="BH27" i="66"/>
  <c r="BC13" i="66"/>
  <c r="BI27" i="66"/>
  <c r="BD13" i="66"/>
  <c r="BJ27" i="66"/>
  <c r="BE13" i="66"/>
  <c r="BK27" i="66"/>
  <c r="BF13" i="66"/>
  <c r="BL27" i="66"/>
  <c r="BG13" i="66"/>
  <c r="BM27" i="66"/>
  <c r="BH13" i="66"/>
  <c r="BN27" i="66"/>
  <c r="AP27" i="66"/>
  <c r="AP28" i="66"/>
  <c r="AN16" i="66"/>
  <c r="AN18" i="66"/>
  <c r="AN19" i="66"/>
  <c r="AN20" i="66"/>
  <c r="AN21" i="66"/>
  <c r="AN22" i="66"/>
  <c r="AN23" i="66"/>
  <c r="AN24" i="66"/>
  <c r="AN25" i="66"/>
  <c r="AN26" i="66"/>
  <c r="AN27" i="66"/>
  <c r="AM16" i="66"/>
  <c r="AM18" i="66"/>
  <c r="AM19" i="66"/>
  <c r="AM20" i="66"/>
  <c r="AM21" i="66"/>
  <c r="AM22" i="66"/>
  <c r="AM23" i="66"/>
  <c r="AM24" i="66"/>
  <c r="AM25" i="66"/>
  <c r="AM26" i="66"/>
  <c r="AM27" i="66"/>
  <c r="AL16" i="66"/>
  <c r="AL18" i="66"/>
  <c r="AL19" i="66"/>
  <c r="AL20" i="66"/>
  <c r="AL21" i="66"/>
  <c r="AL22" i="66"/>
  <c r="AL23" i="66"/>
  <c r="AL24" i="66"/>
  <c r="AL25" i="66"/>
  <c r="AL26" i="66"/>
  <c r="AL27" i="66"/>
  <c r="AK16" i="66"/>
  <c r="AK18" i="66"/>
  <c r="AK19" i="66"/>
  <c r="AK20" i="66"/>
  <c r="AK21" i="66"/>
  <c r="AK22" i="66"/>
  <c r="AK23" i="66"/>
  <c r="AK24" i="66"/>
  <c r="AK25" i="66"/>
  <c r="AK26" i="66"/>
  <c r="AK27" i="66"/>
  <c r="Z2" i="66"/>
  <c r="AA2" i="66"/>
  <c r="AB2" i="66"/>
  <c r="AC2" i="66"/>
  <c r="AA16" i="66"/>
  <c r="Z3" i="66"/>
  <c r="AA3" i="66"/>
  <c r="AB3" i="66"/>
  <c r="AC3" i="66"/>
  <c r="AA17" i="66"/>
  <c r="Z4" i="66"/>
  <c r="AA4" i="66"/>
  <c r="AB4" i="66"/>
  <c r="AC4" i="66"/>
  <c r="AA18" i="66"/>
  <c r="Z5" i="66"/>
  <c r="AA5" i="66"/>
  <c r="AB5" i="66"/>
  <c r="AC5" i="66"/>
  <c r="AA19" i="66"/>
  <c r="Z6" i="66"/>
  <c r="AA6" i="66"/>
  <c r="AB6" i="66"/>
  <c r="AC6" i="66"/>
  <c r="AA20" i="66"/>
  <c r="Z7" i="66"/>
  <c r="AA7" i="66"/>
  <c r="AB7" i="66"/>
  <c r="AC7" i="66"/>
  <c r="AA21" i="66"/>
  <c r="Z8" i="66"/>
  <c r="AA8" i="66"/>
  <c r="AB8" i="66"/>
  <c r="AC8" i="66"/>
  <c r="AA22" i="66"/>
  <c r="Z9" i="66"/>
  <c r="AA9" i="66"/>
  <c r="AB9" i="66"/>
  <c r="AC9" i="66"/>
  <c r="AA23" i="66"/>
  <c r="Z10" i="66"/>
  <c r="AA10" i="66"/>
  <c r="AB10" i="66"/>
  <c r="AC10" i="66"/>
  <c r="AA24" i="66"/>
  <c r="Z11" i="66"/>
  <c r="AA11" i="66"/>
  <c r="AB11" i="66"/>
  <c r="AC11" i="66"/>
  <c r="AA25" i="66"/>
  <c r="Z12" i="66"/>
  <c r="AA12" i="66"/>
  <c r="AB12" i="66"/>
  <c r="AC12" i="66"/>
  <c r="AA26" i="66"/>
  <c r="Z13" i="66"/>
  <c r="AA13" i="66"/>
  <c r="AB13" i="66"/>
  <c r="AC13" i="66"/>
  <c r="AA27" i="66"/>
  <c r="AA28" i="66"/>
  <c r="Z16" i="66"/>
  <c r="Z17" i="66"/>
  <c r="Z18" i="66"/>
  <c r="Z19" i="66"/>
  <c r="Z20" i="66"/>
  <c r="Z21" i="66"/>
  <c r="Z22" i="66"/>
  <c r="Z23" i="66"/>
  <c r="Z24" i="66"/>
  <c r="Z25" i="66"/>
  <c r="Z26" i="66"/>
  <c r="Z27" i="66"/>
  <c r="Z28" i="66"/>
  <c r="S28" i="66"/>
  <c r="R28" i="66"/>
  <c r="Q28" i="66"/>
  <c r="P28" i="66"/>
  <c r="N28" i="66"/>
  <c r="M28" i="66"/>
  <c r="L28" i="66"/>
  <c r="K28" i="66"/>
  <c r="D27" i="66"/>
  <c r="N25" i="66"/>
  <c r="M25" i="66"/>
  <c r="L25" i="66"/>
  <c r="K25" i="66"/>
  <c r="D25" i="66"/>
  <c r="H16" i="66"/>
  <c r="D23" i="66"/>
  <c r="G16" i="66"/>
  <c r="D21" i="66"/>
  <c r="M19" i="66"/>
  <c r="W16" i="66"/>
  <c r="V16" i="66"/>
  <c r="U16" i="66"/>
  <c r="E50" i="65"/>
  <c r="C50" i="65"/>
  <c r="A50" i="65"/>
  <c r="E49" i="65"/>
  <c r="A49" i="65"/>
  <c r="E48" i="65"/>
  <c r="A48" i="65"/>
  <c r="E47" i="65"/>
  <c r="A47" i="65"/>
  <c r="E46" i="65"/>
  <c r="A46" i="65"/>
  <c r="E45" i="65"/>
  <c r="A45" i="65"/>
  <c r="E44" i="65"/>
  <c r="A44" i="65"/>
  <c r="E43" i="65"/>
  <c r="A43" i="65"/>
  <c r="X15" i="65"/>
  <c r="E42" i="65"/>
  <c r="A42" i="65"/>
  <c r="X14" i="65"/>
  <c r="E41" i="65"/>
  <c r="A41" i="65"/>
  <c r="X13" i="65"/>
  <c r="E40" i="65"/>
  <c r="A40" i="65"/>
  <c r="X12" i="65"/>
  <c r="E39" i="65"/>
  <c r="A39" i="65"/>
  <c r="X11" i="65"/>
  <c r="X10" i="65"/>
  <c r="X9" i="65"/>
  <c r="R16" i="65"/>
  <c r="Q16" i="65"/>
  <c r="X8" i="65"/>
  <c r="X7" i="65"/>
  <c r="X4" i="65"/>
  <c r="X5" i="65"/>
  <c r="X6" i="65"/>
  <c r="AE2" i="65"/>
  <c r="AF2" i="65"/>
  <c r="AG2" i="65"/>
  <c r="AH2" i="65"/>
  <c r="AI2" i="65"/>
  <c r="AG16" i="65"/>
  <c r="AE3" i="65"/>
  <c r="AF3" i="65"/>
  <c r="AG3" i="65"/>
  <c r="AH3" i="65"/>
  <c r="AI3" i="65"/>
  <c r="AG17" i="65"/>
  <c r="AE4" i="65"/>
  <c r="AF4" i="65"/>
  <c r="AG4" i="65"/>
  <c r="AH4" i="65"/>
  <c r="AI4" i="65"/>
  <c r="AG18" i="65"/>
  <c r="AE5" i="65"/>
  <c r="AF5" i="65"/>
  <c r="AG5" i="65"/>
  <c r="AH5" i="65"/>
  <c r="AI5" i="65"/>
  <c r="AG19" i="65"/>
  <c r="AE6" i="65"/>
  <c r="AF6" i="65"/>
  <c r="AG6" i="65"/>
  <c r="AH6" i="65"/>
  <c r="AI6" i="65"/>
  <c r="AG20" i="65"/>
  <c r="AE7" i="65"/>
  <c r="AF7" i="65"/>
  <c r="AG7" i="65"/>
  <c r="AH7" i="65"/>
  <c r="AI7" i="65"/>
  <c r="AG21" i="65"/>
  <c r="AE8" i="65"/>
  <c r="AF8" i="65"/>
  <c r="AG8" i="65"/>
  <c r="AH8" i="65"/>
  <c r="AI8" i="65"/>
  <c r="AG22" i="65"/>
  <c r="AE9" i="65"/>
  <c r="AF9" i="65"/>
  <c r="AG9" i="65"/>
  <c r="AH9" i="65"/>
  <c r="AI9" i="65"/>
  <c r="AG23" i="65"/>
  <c r="AE10" i="65"/>
  <c r="AF10" i="65"/>
  <c r="AG10" i="65"/>
  <c r="AH10" i="65"/>
  <c r="AI10" i="65"/>
  <c r="AG24" i="65"/>
  <c r="AE11" i="65"/>
  <c r="AF11" i="65"/>
  <c r="AG11" i="65"/>
  <c r="AH11" i="65"/>
  <c r="AI11" i="65"/>
  <c r="AG25" i="65"/>
  <c r="AE12" i="65"/>
  <c r="AF12" i="65"/>
  <c r="AG12" i="65"/>
  <c r="AH12" i="65"/>
  <c r="AI12" i="65"/>
  <c r="AG26" i="65"/>
  <c r="AE13" i="65"/>
  <c r="AF13" i="65"/>
  <c r="AG13" i="65"/>
  <c r="AH13" i="65"/>
  <c r="AI13" i="65"/>
  <c r="AG27" i="65"/>
  <c r="AG28" i="65"/>
  <c r="AF16" i="65"/>
  <c r="AF17" i="65"/>
  <c r="AF18" i="65"/>
  <c r="AF19" i="65"/>
  <c r="AF20" i="65"/>
  <c r="AF21" i="65"/>
  <c r="AF22" i="65"/>
  <c r="AF23" i="65"/>
  <c r="AF24" i="65"/>
  <c r="AF25" i="65"/>
  <c r="AF26" i="65"/>
  <c r="AF27" i="65"/>
  <c r="AF28" i="65"/>
  <c r="AE27" i="65"/>
  <c r="D31" i="65"/>
  <c r="J29" i="65"/>
  <c r="I29" i="65"/>
  <c r="H29" i="65"/>
  <c r="G29" i="65"/>
  <c r="F16" i="65"/>
  <c r="D29" i="65"/>
  <c r="AK2" i="65"/>
  <c r="AQ16" i="65"/>
  <c r="AL2" i="65"/>
  <c r="AR16" i="65"/>
  <c r="AM2" i="65"/>
  <c r="AS16" i="65"/>
  <c r="AN2" i="65"/>
  <c r="AT16" i="65"/>
  <c r="AO2" i="65"/>
  <c r="AU16" i="65"/>
  <c r="AP2" i="65"/>
  <c r="AV16" i="65"/>
  <c r="AQ2" i="65"/>
  <c r="AW16" i="65"/>
  <c r="AR2" i="65"/>
  <c r="AX16" i="65"/>
  <c r="AS2" i="65"/>
  <c r="AY16" i="65"/>
  <c r="AT2" i="65"/>
  <c r="AZ16" i="65"/>
  <c r="AU2" i="65"/>
  <c r="BA16" i="65"/>
  <c r="AV2" i="65"/>
  <c r="BB16" i="65"/>
  <c r="AW2" i="65"/>
  <c r="BC16" i="65"/>
  <c r="AX2" i="65"/>
  <c r="BD16" i="65"/>
  <c r="AY2" i="65"/>
  <c r="BE16" i="65"/>
  <c r="AZ2" i="65"/>
  <c r="BF16" i="65"/>
  <c r="BA2" i="65"/>
  <c r="BG16" i="65"/>
  <c r="BB2" i="65"/>
  <c r="BH16" i="65"/>
  <c r="BC2" i="65"/>
  <c r="BI16" i="65"/>
  <c r="BD2" i="65"/>
  <c r="BJ16" i="65"/>
  <c r="BE2" i="65"/>
  <c r="BK16" i="65"/>
  <c r="BF2" i="65"/>
  <c r="BL16" i="65"/>
  <c r="BG2" i="65"/>
  <c r="BM16" i="65"/>
  <c r="BH2" i="65"/>
  <c r="BN16" i="65"/>
  <c r="AP16" i="65"/>
  <c r="AK3" i="65"/>
  <c r="AQ17" i="65"/>
  <c r="AL3" i="65"/>
  <c r="AR17" i="65"/>
  <c r="AM3" i="65"/>
  <c r="AS17" i="65"/>
  <c r="AN3" i="65"/>
  <c r="AT17" i="65"/>
  <c r="AO3" i="65"/>
  <c r="AU17" i="65"/>
  <c r="AP3" i="65"/>
  <c r="AV17" i="65"/>
  <c r="AQ3" i="65"/>
  <c r="AW17" i="65"/>
  <c r="AR3" i="65"/>
  <c r="AX17" i="65"/>
  <c r="AS3" i="65"/>
  <c r="AY17" i="65"/>
  <c r="AT3" i="65"/>
  <c r="AZ17" i="65"/>
  <c r="AU3" i="65"/>
  <c r="BA17" i="65"/>
  <c r="AV3" i="65"/>
  <c r="BB17" i="65"/>
  <c r="AW3" i="65"/>
  <c r="BC17" i="65"/>
  <c r="AX3" i="65"/>
  <c r="BD17" i="65"/>
  <c r="AY3" i="65"/>
  <c r="BE17" i="65"/>
  <c r="AZ3" i="65"/>
  <c r="BF17" i="65"/>
  <c r="BA3" i="65"/>
  <c r="BG17" i="65"/>
  <c r="BB3" i="65"/>
  <c r="BH17" i="65"/>
  <c r="BC3" i="65"/>
  <c r="BI17" i="65"/>
  <c r="BD3" i="65"/>
  <c r="BJ17" i="65"/>
  <c r="BE3" i="65"/>
  <c r="BK17" i="65"/>
  <c r="BF3" i="65"/>
  <c r="BL17" i="65"/>
  <c r="BG3" i="65"/>
  <c r="BM17" i="65"/>
  <c r="BH3" i="65"/>
  <c r="BN17" i="65"/>
  <c r="AP17" i="65"/>
  <c r="AK4" i="65"/>
  <c r="AQ18" i="65"/>
  <c r="AL4" i="65"/>
  <c r="AR18" i="65"/>
  <c r="AM4" i="65"/>
  <c r="AS18" i="65"/>
  <c r="AN4" i="65"/>
  <c r="AT18" i="65"/>
  <c r="AO4" i="65"/>
  <c r="AU18" i="65"/>
  <c r="AP4" i="65"/>
  <c r="AV18" i="65"/>
  <c r="AQ4" i="65"/>
  <c r="AW18" i="65"/>
  <c r="AR4" i="65"/>
  <c r="AX18" i="65"/>
  <c r="AS4" i="65"/>
  <c r="AY18" i="65"/>
  <c r="AT4" i="65"/>
  <c r="AZ18" i="65"/>
  <c r="AU4" i="65"/>
  <c r="BA18" i="65"/>
  <c r="AV4" i="65"/>
  <c r="BB18" i="65"/>
  <c r="AW4" i="65"/>
  <c r="BC18" i="65"/>
  <c r="AX4" i="65"/>
  <c r="BD18" i="65"/>
  <c r="AY4" i="65"/>
  <c r="BE18" i="65"/>
  <c r="AZ4" i="65"/>
  <c r="BF18" i="65"/>
  <c r="BA4" i="65"/>
  <c r="BG18" i="65"/>
  <c r="BB4" i="65"/>
  <c r="BH18" i="65"/>
  <c r="BC4" i="65"/>
  <c r="BI18" i="65"/>
  <c r="BD4" i="65"/>
  <c r="BJ18" i="65"/>
  <c r="BE4" i="65"/>
  <c r="BK18" i="65"/>
  <c r="BF4" i="65"/>
  <c r="BL18" i="65"/>
  <c r="BG4" i="65"/>
  <c r="BM18" i="65"/>
  <c r="BH4" i="65"/>
  <c r="BN18" i="65"/>
  <c r="AP18" i="65"/>
  <c r="AK5" i="65"/>
  <c r="AQ19" i="65"/>
  <c r="AL5" i="65"/>
  <c r="AR19" i="65"/>
  <c r="AM5" i="65"/>
  <c r="AS19" i="65"/>
  <c r="AN5" i="65"/>
  <c r="AT19" i="65"/>
  <c r="AO5" i="65"/>
  <c r="AU19" i="65"/>
  <c r="AP5" i="65"/>
  <c r="AV19" i="65"/>
  <c r="AQ5" i="65"/>
  <c r="AW19" i="65"/>
  <c r="AR5" i="65"/>
  <c r="AX19" i="65"/>
  <c r="AS5" i="65"/>
  <c r="AY19" i="65"/>
  <c r="AT5" i="65"/>
  <c r="AZ19" i="65"/>
  <c r="AU5" i="65"/>
  <c r="BA19" i="65"/>
  <c r="AV5" i="65"/>
  <c r="BB19" i="65"/>
  <c r="AW5" i="65"/>
  <c r="BC19" i="65"/>
  <c r="AX5" i="65"/>
  <c r="BD19" i="65"/>
  <c r="AY5" i="65"/>
  <c r="BE19" i="65"/>
  <c r="AZ5" i="65"/>
  <c r="BF19" i="65"/>
  <c r="BA5" i="65"/>
  <c r="BG19" i="65"/>
  <c r="BB5" i="65"/>
  <c r="BH19" i="65"/>
  <c r="BC5" i="65"/>
  <c r="BI19" i="65"/>
  <c r="BD5" i="65"/>
  <c r="BJ19" i="65"/>
  <c r="BE5" i="65"/>
  <c r="BK19" i="65"/>
  <c r="BF5" i="65"/>
  <c r="BL19" i="65"/>
  <c r="BG5" i="65"/>
  <c r="BM19" i="65"/>
  <c r="BH5" i="65"/>
  <c r="BN19" i="65"/>
  <c r="AP19" i="65"/>
  <c r="AK6" i="65"/>
  <c r="AQ20" i="65"/>
  <c r="AL6" i="65"/>
  <c r="AR20" i="65"/>
  <c r="AM6" i="65"/>
  <c r="AS20" i="65"/>
  <c r="AN6" i="65"/>
  <c r="AT20" i="65"/>
  <c r="AO6" i="65"/>
  <c r="AU20" i="65"/>
  <c r="AP6" i="65"/>
  <c r="AV20" i="65"/>
  <c r="AQ6" i="65"/>
  <c r="AW20" i="65"/>
  <c r="AR6" i="65"/>
  <c r="AX20" i="65"/>
  <c r="AS6" i="65"/>
  <c r="AY20" i="65"/>
  <c r="AT6" i="65"/>
  <c r="AZ20" i="65"/>
  <c r="AU6" i="65"/>
  <c r="BA20" i="65"/>
  <c r="AV6" i="65"/>
  <c r="BB20" i="65"/>
  <c r="AW6" i="65"/>
  <c r="BC20" i="65"/>
  <c r="AX6" i="65"/>
  <c r="BD20" i="65"/>
  <c r="AY6" i="65"/>
  <c r="BE20" i="65"/>
  <c r="AZ6" i="65"/>
  <c r="BF20" i="65"/>
  <c r="BA6" i="65"/>
  <c r="BG20" i="65"/>
  <c r="BB6" i="65"/>
  <c r="BH20" i="65"/>
  <c r="BC6" i="65"/>
  <c r="BI20" i="65"/>
  <c r="BD6" i="65"/>
  <c r="BJ20" i="65"/>
  <c r="BE6" i="65"/>
  <c r="BK20" i="65"/>
  <c r="BF6" i="65"/>
  <c r="BL20" i="65"/>
  <c r="BG6" i="65"/>
  <c r="BM20" i="65"/>
  <c r="BH6" i="65"/>
  <c r="BN20" i="65"/>
  <c r="AP20" i="65"/>
  <c r="AK7" i="65"/>
  <c r="AQ21" i="65"/>
  <c r="AL7" i="65"/>
  <c r="AR21" i="65"/>
  <c r="AM7" i="65"/>
  <c r="AS21" i="65"/>
  <c r="AN7" i="65"/>
  <c r="AT21" i="65"/>
  <c r="AO7" i="65"/>
  <c r="AU21" i="65"/>
  <c r="AP7" i="65"/>
  <c r="AV21" i="65"/>
  <c r="AQ7" i="65"/>
  <c r="AW21" i="65"/>
  <c r="AR7" i="65"/>
  <c r="AX21" i="65"/>
  <c r="AS7" i="65"/>
  <c r="AY21" i="65"/>
  <c r="AT7" i="65"/>
  <c r="AZ21" i="65"/>
  <c r="AU7" i="65"/>
  <c r="BA21" i="65"/>
  <c r="AV7" i="65"/>
  <c r="BB21" i="65"/>
  <c r="AW7" i="65"/>
  <c r="BC21" i="65"/>
  <c r="AX7" i="65"/>
  <c r="BD21" i="65"/>
  <c r="AY7" i="65"/>
  <c r="BE21" i="65"/>
  <c r="AZ7" i="65"/>
  <c r="BF21" i="65"/>
  <c r="BA7" i="65"/>
  <c r="BG21" i="65"/>
  <c r="BB7" i="65"/>
  <c r="BH21" i="65"/>
  <c r="BC7" i="65"/>
  <c r="BI21" i="65"/>
  <c r="BD7" i="65"/>
  <c r="BJ21" i="65"/>
  <c r="BE7" i="65"/>
  <c r="BK21" i="65"/>
  <c r="BF7" i="65"/>
  <c r="BL21" i="65"/>
  <c r="BG7" i="65"/>
  <c r="BM21" i="65"/>
  <c r="BH7" i="65"/>
  <c r="BN21" i="65"/>
  <c r="AP21" i="65"/>
  <c r="AK8" i="65"/>
  <c r="AQ22" i="65"/>
  <c r="AL8" i="65"/>
  <c r="AR22" i="65"/>
  <c r="AM8" i="65"/>
  <c r="AS22" i="65"/>
  <c r="AN8" i="65"/>
  <c r="AT22" i="65"/>
  <c r="AO8" i="65"/>
  <c r="AU22" i="65"/>
  <c r="AP8" i="65"/>
  <c r="AV22" i="65"/>
  <c r="AQ8" i="65"/>
  <c r="AW22" i="65"/>
  <c r="AR8" i="65"/>
  <c r="AX22" i="65"/>
  <c r="AS8" i="65"/>
  <c r="AY22" i="65"/>
  <c r="AT8" i="65"/>
  <c r="AZ22" i="65"/>
  <c r="AU8" i="65"/>
  <c r="BA22" i="65"/>
  <c r="AV8" i="65"/>
  <c r="BB22" i="65"/>
  <c r="AW8" i="65"/>
  <c r="BC22" i="65"/>
  <c r="AX8" i="65"/>
  <c r="BD22" i="65"/>
  <c r="AY8" i="65"/>
  <c r="BE22" i="65"/>
  <c r="AZ8" i="65"/>
  <c r="BF22" i="65"/>
  <c r="BA8" i="65"/>
  <c r="BG22" i="65"/>
  <c r="BB8" i="65"/>
  <c r="BH22" i="65"/>
  <c r="BC8" i="65"/>
  <c r="BI22" i="65"/>
  <c r="BD8" i="65"/>
  <c r="BJ22" i="65"/>
  <c r="BE8" i="65"/>
  <c r="BK22" i="65"/>
  <c r="BF8" i="65"/>
  <c r="BL22" i="65"/>
  <c r="BG8" i="65"/>
  <c r="BM22" i="65"/>
  <c r="BH8" i="65"/>
  <c r="BN22" i="65"/>
  <c r="AP22" i="65"/>
  <c r="AK9" i="65"/>
  <c r="AQ23" i="65"/>
  <c r="AL9" i="65"/>
  <c r="AR23" i="65"/>
  <c r="AM9" i="65"/>
  <c r="AS23" i="65"/>
  <c r="AN9" i="65"/>
  <c r="AT23" i="65"/>
  <c r="AO9" i="65"/>
  <c r="AU23" i="65"/>
  <c r="AP9" i="65"/>
  <c r="AV23" i="65"/>
  <c r="AQ9" i="65"/>
  <c r="AW23" i="65"/>
  <c r="AR9" i="65"/>
  <c r="AX23" i="65"/>
  <c r="AS9" i="65"/>
  <c r="AY23" i="65"/>
  <c r="AT9" i="65"/>
  <c r="AZ23" i="65"/>
  <c r="AU9" i="65"/>
  <c r="BA23" i="65"/>
  <c r="AV9" i="65"/>
  <c r="BB23" i="65"/>
  <c r="AW9" i="65"/>
  <c r="BC23" i="65"/>
  <c r="AX9" i="65"/>
  <c r="BD23" i="65"/>
  <c r="AY9" i="65"/>
  <c r="BE23" i="65"/>
  <c r="AZ9" i="65"/>
  <c r="BF23" i="65"/>
  <c r="BA9" i="65"/>
  <c r="BG23" i="65"/>
  <c r="BB9" i="65"/>
  <c r="BH23" i="65"/>
  <c r="BC9" i="65"/>
  <c r="BI23" i="65"/>
  <c r="BD9" i="65"/>
  <c r="BJ23" i="65"/>
  <c r="BE9" i="65"/>
  <c r="BK23" i="65"/>
  <c r="BF9" i="65"/>
  <c r="BL23" i="65"/>
  <c r="BG9" i="65"/>
  <c r="BM23" i="65"/>
  <c r="BH9" i="65"/>
  <c r="BN23" i="65"/>
  <c r="AP23" i="65"/>
  <c r="AK10" i="65"/>
  <c r="AQ24" i="65"/>
  <c r="AL10" i="65"/>
  <c r="AR24" i="65"/>
  <c r="AM10" i="65"/>
  <c r="AS24" i="65"/>
  <c r="AN10" i="65"/>
  <c r="AT24" i="65"/>
  <c r="AO10" i="65"/>
  <c r="AU24" i="65"/>
  <c r="AP10" i="65"/>
  <c r="AV24" i="65"/>
  <c r="AQ10" i="65"/>
  <c r="AW24" i="65"/>
  <c r="AR10" i="65"/>
  <c r="AX24" i="65"/>
  <c r="AS10" i="65"/>
  <c r="AY24" i="65"/>
  <c r="AT10" i="65"/>
  <c r="AZ24" i="65"/>
  <c r="AU10" i="65"/>
  <c r="BA24" i="65"/>
  <c r="AV10" i="65"/>
  <c r="BB24" i="65"/>
  <c r="AW10" i="65"/>
  <c r="BC24" i="65"/>
  <c r="AX10" i="65"/>
  <c r="BD24" i="65"/>
  <c r="AY10" i="65"/>
  <c r="BE24" i="65"/>
  <c r="AZ10" i="65"/>
  <c r="BF24" i="65"/>
  <c r="BA10" i="65"/>
  <c r="BG24" i="65"/>
  <c r="BB10" i="65"/>
  <c r="BH24" i="65"/>
  <c r="BC10" i="65"/>
  <c r="BI24" i="65"/>
  <c r="BD10" i="65"/>
  <c r="BJ24" i="65"/>
  <c r="BE10" i="65"/>
  <c r="BK24" i="65"/>
  <c r="BF10" i="65"/>
  <c r="BL24" i="65"/>
  <c r="BG10" i="65"/>
  <c r="BM24" i="65"/>
  <c r="BH10" i="65"/>
  <c r="BN24" i="65"/>
  <c r="AP24" i="65"/>
  <c r="AK11" i="65"/>
  <c r="AQ25" i="65"/>
  <c r="AL11" i="65"/>
  <c r="AR25" i="65"/>
  <c r="AM11" i="65"/>
  <c r="AS25" i="65"/>
  <c r="AN11" i="65"/>
  <c r="AT25" i="65"/>
  <c r="AO11" i="65"/>
  <c r="AU25" i="65"/>
  <c r="AP11" i="65"/>
  <c r="AV25" i="65"/>
  <c r="AQ11" i="65"/>
  <c r="AW25" i="65"/>
  <c r="AR11" i="65"/>
  <c r="AX25" i="65"/>
  <c r="AS11" i="65"/>
  <c r="AY25" i="65"/>
  <c r="AT11" i="65"/>
  <c r="AZ25" i="65"/>
  <c r="AU11" i="65"/>
  <c r="BA25" i="65"/>
  <c r="AV11" i="65"/>
  <c r="BB25" i="65"/>
  <c r="AW11" i="65"/>
  <c r="BC25" i="65"/>
  <c r="AX11" i="65"/>
  <c r="BD25" i="65"/>
  <c r="AY11" i="65"/>
  <c r="BE25" i="65"/>
  <c r="AZ11" i="65"/>
  <c r="BF25" i="65"/>
  <c r="BA11" i="65"/>
  <c r="BG25" i="65"/>
  <c r="BB11" i="65"/>
  <c r="BH25" i="65"/>
  <c r="BC11" i="65"/>
  <c r="BI25" i="65"/>
  <c r="BD11" i="65"/>
  <c r="BJ25" i="65"/>
  <c r="BE11" i="65"/>
  <c r="BK25" i="65"/>
  <c r="BF11" i="65"/>
  <c r="BL25" i="65"/>
  <c r="BG11" i="65"/>
  <c r="BM25" i="65"/>
  <c r="BH11" i="65"/>
  <c r="BN25" i="65"/>
  <c r="AP25" i="65"/>
  <c r="AK12" i="65"/>
  <c r="AQ26" i="65"/>
  <c r="AL12" i="65"/>
  <c r="AR26" i="65"/>
  <c r="AM12" i="65"/>
  <c r="AS26" i="65"/>
  <c r="AN12" i="65"/>
  <c r="AT26" i="65"/>
  <c r="AO12" i="65"/>
  <c r="AU26" i="65"/>
  <c r="AP12" i="65"/>
  <c r="AV26" i="65"/>
  <c r="AQ12" i="65"/>
  <c r="AW26" i="65"/>
  <c r="AR12" i="65"/>
  <c r="AX26" i="65"/>
  <c r="AS12" i="65"/>
  <c r="AY26" i="65"/>
  <c r="AT12" i="65"/>
  <c r="AZ26" i="65"/>
  <c r="AU12" i="65"/>
  <c r="BA26" i="65"/>
  <c r="AV12" i="65"/>
  <c r="BB26" i="65"/>
  <c r="AW12" i="65"/>
  <c r="BC26" i="65"/>
  <c r="AX12" i="65"/>
  <c r="BD26" i="65"/>
  <c r="AY12" i="65"/>
  <c r="BE26" i="65"/>
  <c r="AZ12" i="65"/>
  <c r="BF26" i="65"/>
  <c r="BA12" i="65"/>
  <c r="BG26" i="65"/>
  <c r="BB12" i="65"/>
  <c r="BH26" i="65"/>
  <c r="BC12" i="65"/>
  <c r="BI26" i="65"/>
  <c r="BD12" i="65"/>
  <c r="BJ26" i="65"/>
  <c r="BE12" i="65"/>
  <c r="BK26" i="65"/>
  <c r="BF12" i="65"/>
  <c r="BL26" i="65"/>
  <c r="BG12" i="65"/>
  <c r="BM26" i="65"/>
  <c r="BH12" i="65"/>
  <c r="BN26" i="65"/>
  <c r="AP26" i="65"/>
  <c r="AK13" i="65"/>
  <c r="AQ27" i="65"/>
  <c r="AL13" i="65"/>
  <c r="AR27" i="65"/>
  <c r="AM13" i="65"/>
  <c r="AS27" i="65"/>
  <c r="AN13" i="65"/>
  <c r="AT27" i="65"/>
  <c r="AO13" i="65"/>
  <c r="AU27" i="65"/>
  <c r="AP13" i="65"/>
  <c r="AV27" i="65"/>
  <c r="AQ13" i="65"/>
  <c r="AW27" i="65"/>
  <c r="AR13" i="65"/>
  <c r="AX27" i="65"/>
  <c r="AS13" i="65"/>
  <c r="AY27" i="65"/>
  <c r="AT13" i="65"/>
  <c r="AZ27" i="65"/>
  <c r="AU13" i="65"/>
  <c r="BA27" i="65"/>
  <c r="AV13" i="65"/>
  <c r="BB27" i="65"/>
  <c r="AW13" i="65"/>
  <c r="BC27" i="65"/>
  <c r="AX13" i="65"/>
  <c r="BD27" i="65"/>
  <c r="AY13" i="65"/>
  <c r="BE27" i="65"/>
  <c r="AZ13" i="65"/>
  <c r="BF27" i="65"/>
  <c r="BA13" i="65"/>
  <c r="BG27" i="65"/>
  <c r="BB13" i="65"/>
  <c r="BH27" i="65"/>
  <c r="BC13" i="65"/>
  <c r="BI27" i="65"/>
  <c r="BD13" i="65"/>
  <c r="BJ27" i="65"/>
  <c r="BE13" i="65"/>
  <c r="BK27" i="65"/>
  <c r="BF13" i="65"/>
  <c r="BL27" i="65"/>
  <c r="BG13" i="65"/>
  <c r="BM27" i="65"/>
  <c r="BH13" i="65"/>
  <c r="BN27" i="65"/>
  <c r="AP27" i="65"/>
  <c r="AP28" i="65"/>
  <c r="AN16" i="65"/>
  <c r="AN17" i="65"/>
  <c r="AN18" i="65"/>
  <c r="AN19" i="65"/>
  <c r="AN20" i="65"/>
  <c r="AN21" i="65"/>
  <c r="AN22" i="65"/>
  <c r="AN23" i="65"/>
  <c r="AN24" i="65"/>
  <c r="AN25" i="65"/>
  <c r="AN26" i="65"/>
  <c r="AN27" i="65"/>
  <c r="AN28" i="65"/>
  <c r="AM16" i="65"/>
  <c r="AM17" i="65"/>
  <c r="AM18" i="65"/>
  <c r="AM19" i="65"/>
  <c r="AM20" i="65"/>
  <c r="AM21" i="65"/>
  <c r="AM22" i="65"/>
  <c r="AM23" i="65"/>
  <c r="AM24" i="65"/>
  <c r="AM25" i="65"/>
  <c r="AM26" i="65"/>
  <c r="AM27" i="65"/>
  <c r="AM28" i="65"/>
  <c r="AL16" i="65"/>
  <c r="AL17" i="65"/>
  <c r="AL18" i="65"/>
  <c r="AL19" i="65"/>
  <c r="AL20" i="65"/>
  <c r="AL21" i="65"/>
  <c r="AL22" i="65"/>
  <c r="AL23" i="65"/>
  <c r="AL24" i="65"/>
  <c r="AL25" i="65"/>
  <c r="AL26" i="65"/>
  <c r="AL27" i="65"/>
  <c r="AL28" i="65"/>
  <c r="AK16" i="65"/>
  <c r="AK17" i="65"/>
  <c r="AK18" i="65"/>
  <c r="AK19" i="65"/>
  <c r="AK20" i="65"/>
  <c r="AK21" i="65"/>
  <c r="AK22" i="65"/>
  <c r="AK23" i="65"/>
  <c r="AK24" i="65"/>
  <c r="AK25" i="65"/>
  <c r="AK26" i="65"/>
  <c r="AK27" i="65"/>
  <c r="AK28" i="65"/>
  <c r="Z2" i="65"/>
  <c r="AA2" i="65"/>
  <c r="AB2" i="65"/>
  <c r="AC2" i="65"/>
  <c r="AA16" i="65"/>
  <c r="Z3" i="65"/>
  <c r="AA3" i="65"/>
  <c r="AB3" i="65"/>
  <c r="AC3" i="65"/>
  <c r="AA17" i="65"/>
  <c r="Z4" i="65"/>
  <c r="AA4" i="65"/>
  <c r="AB4" i="65"/>
  <c r="AC4" i="65"/>
  <c r="AA18" i="65"/>
  <c r="Z5" i="65"/>
  <c r="AA5" i="65"/>
  <c r="AB5" i="65"/>
  <c r="AC5" i="65"/>
  <c r="AA19" i="65"/>
  <c r="Z6" i="65"/>
  <c r="AA6" i="65"/>
  <c r="AB6" i="65"/>
  <c r="AC6" i="65"/>
  <c r="AA20" i="65"/>
  <c r="Z7" i="65"/>
  <c r="AA7" i="65"/>
  <c r="AB7" i="65"/>
  <c r="AC7" i="65"/>
  <c r="AA21" i="65"/>
  <c r="Z8" i="65"/>
  <c r="AA8" i="65"/>
  <c r="AB8" i="65"/>
  <c r="AC8" i="65"/>
  <c r="AA22" i="65"/>
  <c r="Z9" i="65"/>
  <c r="AA9" i="65"/>
  <c r="AB9" i="65"/>
  <c r="AC9" i="65"/>
  <c r="AA23" i="65"/>
  <c r="Z10" i="65"/>
  <c r="AA10" i="65"/>
  <c r="AB10" i="65"/>
  <c r="AC10" i="65"/>
  <c r="AA24" i="65"/>
  <c r="Z11" i="65"/>
  <c r="AA11" i="65"/>
  <c r="AB11" i="65"/>
  <c r="AC11" i="65"/>
  <c r="AA25" i="65"/>
  <c r="Z12" i="65"/>
  <c r="AA12" i="65"/>
  <c r="AB12" i="65"/>
  <c r="AC12" i="65"/>
  <c r="AA26" i="65"/>
  <c r="Z13" i="65"/>
  <c r="AA13" i="65"/>
  <c r="AB13" i="65"/>
  <c r="AC13" i="65"/>
  <c r="AA27" i="65"/>
  <c r="AA28" i="65"/>
  <c r="Z16" i="65"/>
  <c r="Z17" i="65"/>
  <c r="Z18" i="65"/>
  <c r="Z19" i="65"/>
  <c r="Z20" i="65"/>
  <c r="Z21" i="65"/>
  <c r="Z22" i="65"/>
  <c r="Z23" i="65"/>
  <c r="Z24" i="65"/>
  <c r="Z25" i="65"/>
  <c r="Z26" i="65"/>
  <c r="Z27" i="65"/>
  <c r="Z28" i="65"/>
  <c r="S28" i="65"/>
  <c r="R28" i="65"/>
  <c r="Q28" i="65"/>
  <c r="P28" i="65"/>
  <c r="N28" i="65"/>
  <c r="M28" i="65"/>
  <c r="L28" i="65"/>
  <c r="K28" i="65"/>
  <c r="D27" i="65"/>
  <c r="G26" i="65"/>
  <c r="N25" i="65"/>
  <c r="M25" i="65"/>
  <c r="L25" i="65"/>
  <c r="K25" i="65"/>
  <c r="D25" i="65"/>
  <c r="G24" i="65"/>
  <c r="H16" i="65"/>
  <c r="D23" i="65"/>
  <c r="G22" i="65"/>
  <c r="G16" i="65"/>
  <c r="D21" i="65"/>
  <c r="G20" i="65"/>
  <c r="M19" i="65"/>
  <c r="W16" i="65"/>
  <c r="V16" i="65"/>
  <c r="U16" i="65"/>
  <c r="M16" i="65"/>
  <c r="E50" i="64"/>
  <c r="A50" i="64"/>
  <c r="E49" i="64"/>
  <c r="A49" i="64"/>
  <c r="E48" i="64"/>
  <c r="A48" i="64"/>
  <c r="E47" i="64"/>
  <c r="A47" i="64"/>
  <c r="E46" i="64"/>
  <c r="A46" i="64"/>
  <c r="E45" i="64"/>
  <c r="A45" i="64"/>
  <c r="E44" i="64"/>
  <c r="A44" i="64"/>
  <c r="E43" i="64"/>
  <c r="A43" i="64"/>
  <c r="E42" i="64"/>
  <c r="A42" i="64"/>
  <c r="X14" i="64"/>
  <c r="E41" i="64"/>
  <c r="A41" i="64"/>
  <c r="X13" i="64"/>
  <c r="E40" i="64"/>
  <c r="A40" i="64"/>
  <c r="X12" i="64"/>
  <c r="E39" i="64"/>
  <c r="A39" i="64"/>
  <c r="X11" i="64"/>
  <c r="X10" i="64"/>
  <c r="X9" i="64"/>
  <c r="Q16" i="64"/>
  <c r="X4" i="64"/>
  <c r="X5" i="64"/>
  <c r="X6" i="64"/>
  <c r="AE2" i="64"/>
  <c r="AF2" i="64"/>
  <c r="AG2" i="64"/>
  <c r="AH2" i="64"/>
  <c r="AI2" i="64"/>
  <c r="AG16" i="64"/>
  <c r="AE3" i="64"/>
  <c r="AF3" i="64"/>
  <c r="AG3" i="64"/>
  <c r="AH3" i="64"/>
  <c r="AI3" i="64"/>
  <c r="AG17" i="64"/>
  <c r="AE4" i="64"/>
  <c r="AF4" i="64"/>
  <c r="AG4" i="64"/>
  <c r="AH4" i="64"/>
  <c r="AI4" i="64"/>
  <c r="AG18" i="64"/>
  <c r="AE5" i="64"/>
  <c r="AF5" i="64"/>
  <c r="AG5" i="64"/>
  <c r="AH5" i="64"/>
  <c r="AI5" i="64"/>
  <c r="AG19" i="64"/>
  <c r="AE6" i="64"/>
  <c r="AF6" i="64"/>
  <c r="AG6" i="64"/>
  <c r="AH6" i="64"/>
  <c r="AI6" i="64"/>
  <c r="AG20" i="64"/>
  <c r="AE7" i="64"/>
  <c r="AF7" i="64"/>
  <c r="AG7" i="64"/>
  <c r="AH7" i="64"/>
  <c r="AI7" i="64"/>
  <c r="AG21" i="64"/>
  <c r="AE8" i="64"/>
  <c r="AF8" i="64"/>
  <c r="AG8" i="64"/>
  <c r="AH8" i="64"/>
  <c r="AI8" i="64"/>
  <c r="AG22" i="64"/>
  <c r="AE9" i="64"/>
  <c r="AF9" i="64"/>
  <c r="AG9" i="64"/>
  <c r="AH9" i="64"/>
  <c r="AI9" i="64"/>
  <c r="AG23" i="64"/>
  <c r="AE10" i="64"/>
  <c r="AF10" i="64"/>
  <c r="AG10" i="64"/>
  <c r="AH10" i="64"/>
  <c r="AI10" i="64"/>
  <c r="AG24" i="64"/>
  <c r="AE11" i="64"/>
  <c r="AF11" i="64"/>
  <c r="AG11" i="64"/>
  <c r="AH11" i="64"/>
  <c r="AI11" i="64"/>
  <c r="AG25" i="64"/>
  <c r="AE12" i="64"/>
  <c r="AF12" i="64"/>
  <c r="AG12" i="64"/>
  <c r="AH12" i="64"/>
  <c r="AI12" i="64"/>
  <c r="AG26" i="64"/>
  <c r="AE13" i="64"/>
  <c r="AF13" i="64"/>
  <c r="AG13" i="64"/>
  <c r="AH13" i="64"/>
  <c r="AI13" i="64"/>
  <c r="AG27" i="64"/>
  <c r="AG28" i="64"/>
  <c r="AF16" i="64"/>
  <c r="AF17" i="64"/>
  <c r="AF18" i="64"/>
  <c r="AF19" i="64"/>
  <c r="AF20" i="64"/>
  <c r="AF21" i="64"/>
  <c r="AF22" i="64"/>
  <c r="AF23" i="64"/>
  <c r="AF24" i="64"/>
  <c r="AF25" i="64"/>
  <c r="AF26" i="64"/>
  <c r="AF27" i="64"/>
  <c r="AF28" i="64"/>
  <c r="D31" i="64"/>
  <c r="J29" i="64"/>
  <c r="I29" i="64"/>
  <c r="H29" i="64"/>
  <c r="G29" i="64"/>
  <c r="F16" i="64"/>
  <c r="D29" i="64"/>
  <c r="AK2" i="64"/>
  <c r="AQ16" i="64"/>
  <c r="AL2" i="64"/>
  <c r="AR16" i="64"/>
  <c r="AM2" i="64"/>
  <c r="AS16" i="64"/>
  <c r="AN2" i="64"/>
  <c r="AT16" i="64"/>
  <c r="AO2" i="64"/>
  <c r="AU16" i="64"/>
  <c r="AP2" i="64"/>
  <c r="AV16" i="64"/>
  <c r="AQ2" i="64"/>
  <c r="AW16" i="64"/>
  <c r="AR2" i="64"/>
  <c r="AX16" i="64"/>
  <c r="AS2" i="64"/>
  <c r="AY16" i="64"/>
  <c r="AT2" i="64"/>
  <c r="AZ16" i="64"/>
  <c r="AU2" i="64"/>
  <c r="BA16" i="64"/>
  <c r="AV2" i="64"/>
  <c r="BB16" i="64"/>
  <c r="AW2" i="64"/>
  <c r="BC16" i="64"/>
  <c r="AX2" i="64"/>
  <c r="BD16" i="64"/>
  <c r="AY2" i="64"/>
  <c r="BE16" i="64"/>
  <c r="AZ2" i="64"/>
  <c r="BF16" i="64"/>
  <c r="BA2" i="64"/>
  <c r="BG16" i="64"/>
  <c r="BB2" i="64"/>
  <c r="BH16" i="64"/>
  <c r="BC2" i="64"/>
  <c r="BI16" i="64"/>
  <c r="BD2" i="64"/>
  <c r="BJ16" i="64"/>
  <c r="BE2" i="64"/>
  <c r="BK16" i="64"/>
  <c r="BF2" i="64"/>
  <c r="BL16" i="64"/>
  <c r="BG2" i="64"/>
  <c r="BM16" i="64"/>
  <c r="BH2" i="64"/>
  <c r="BN16" i="64"/>
  <c r="AP16" i="64"/>
  <c r="AK3" i="64"/>
  <c r="AQ17" i="64"/>
  <c r="AL3" i="64"/>
  <c r="AR17" i="64"/>
  <c r="AM3" i="64"/>
  <c r="AS17" i="64"/>
  <c r="AN3" i="64"/>
  <c r="AT17" i="64"/>
  <c r="AO3" i="64"/>
  <c r="AU17" i="64"/>
  <c r="AP3" i="64"/>
  <c r="AV17" i="64"/>
  <c r="AQ3" i="64"/>
  <c r="AW17" i="64"/>
  <c r="AR3" i="64"/>
  <c r="AX17" i="64"/>
  <c r="AS3" i="64"/>
  <c r="AY17" i="64"/>
  <c r="AT3" i="64"/>
  <c r="AZ17" i="64"/>
  <c r="AU3" i="64"/>
  <c r="BA17" i="64"/>
  <c r="AV3" i="64"/>
  <c r="BB17" i="64"/>
  <c r="AW3" i="64"/>
  <c r="BC17" i="64"/>
  <c r="AX3" i="64"/>
  <c r="BD17" i="64"/>
  <c r="AY3" i="64"/>
  <c r="BE17" i="64"/>
  <c r="AZ3" i="64"/>
  <c r="BF17" i="64"/>
  <c r="BA3" i="64"/>
  <c r="BG17" i="64"/>
  <c r="BB3" i="64"/>
  <c r="BH17" i="64"/>
  <c r="BC3" i="64"/>
  <c r="BI17" i="64"/>
  <c r="BD3" i="64"/>
  <c r="BJ17" i="64"/>
  <c r="BE3" i="64"/>
  <c r="BK17" i="64"/>
  <c r="BF3" i="64"/>
  <c r="BL17" i="64"/>
  <c r="BG3" i="64"/>
  <c r="BM17" i="64"/>
  <c r="BH3" i="64"/>
  <c r="BN17" i="64"/>
  <c r="AP17" i="64"/>
  <c r="AK4" i="64"/>
  <c r="AQ18" i="64"/>
  <c r="AL4" i="64"/>
  <c r="AR18" i="64"/>
  <c r="AM4" i="64"/>
  <c r="AS18" i="64"/>
  <c r="AN4" i="64"/>
  <c r="AT18" i="64"/>
  <c r="AO4" i="64"/>
  <c r="AU18" i="64"/>
  <c r="AP4" i="64"/>
  <c r="AV18" i="64"/>
  <c r="AQ4" i="64"/>
  <c r="AW18" i="64"/>
  <c r="AR4" i="64"/>
  <c r="AX18" i="64"/>
  <c r="AS4" i="64"/>
  <c r="AY18" i="64"/>
  <c r="AT4" i="64"/>
  <c r="AZ18" i="64"/>
  <c r="AU4" i="64"/>
  <c r="BA18" i="64"/>
  <c r="AV4" i="64"/>
  <c r="BB18" i="64"/>
  <c r="AW4" i="64"/>
  <c r="BC18" i="64"/>
  <c r="AX4" i="64"/>
  <c r="BD18" i="64"/>
  <c r="AY4" i="64"/>
  <c r="BE18" i="64"/>
  <c r="AZ4" i="64"/>
  <c r="BF18" i="64"/>
  <c r="BA4" i="64"/>
  <c r="BG18" i="64"/>
  <c r="BB4" i="64"/>
  <c r="BH18" i="64"/>
  <c r="BC4" i="64"/>
  <c r="BI18" i="64"/>
  <c r="BD4" i="64"/>
  <c r="BJ18" i="64"/>
  <c r="BE4" i="64"/>
  <c r="BK18" i="64"/>
  <c r="BF4" i="64"/>
  <c r="BL18" i="64"/>
  <c r="BG4" i="64"/>
  <c r="BM18" i="64"/>
  <c r="BH4" i="64"/>
  <c r="BN18" i="64"/>
  <c r="AP18" i="64"/>
  <c r="AK5" i="64"/>
  <c r="AQ19" i="64"/>
  <c r="AL5" i="64"/>
  <c r="AR19" i="64"/>
  <c r="AM5" i="64"/>
  <c r="AS19" i="64"/>
  <c r="AN5" i="64"/>
  <c r="AT19" i="64"/>
  <c r="AO5" i="64"/>
  <c r="AU19" i="64"/>
  <c r="AP5" i="64"/>
  <c r="AV19" i="64"/>
  <c r="AQ5" i="64"/>
  <c r="AW19" i="64"/>
  <c r="AR5" i="64"/>
  <c r="AX19" i="64"/>
  <c r="AS5" i="64"/>
  <c r="AY19" i="64"/>
  <c r="AT5" i="64"/>
  <c r="AZ19" i="64"/>
  <c r="AU5" i="64"/>
  <c r="BA19" i="64"/>
  <c r="AV5" i="64"/>
  <c r="BB19" i="64"/>
  <c r="AW5" i="64"/>
  <c r="BC19" i="64"/>
  <c r="AX5" i="64"/>
  <c r="BD19" i="64"/>
  <c r="AY5" i="64"/>
  <c r="BE19" i="64"/>
  <c r="AZ5" i="64"/>
  <c r="BF19" i="64"/>
  <c r="BA5" i="64"/>
  <c r="BG19" i="64"/>
  <c r="BB5" i="64"/>
  <c r="BH19" i="64"/>
  <c r="BC5" i="64"/>
  <c r="BI19" i="64"/>
  <c r="BD5" i="64"/>
  <c r="BJ19" i="64"/>
  <c r="BE5" i="64"/>
  <c r="BK19" i="64"/>
  <c r="BF5" i="64"/>
  <c r="BL19" i="64"/>
  <c r="BG5" i="64"/>
  <c r="BM19" i="64"/>
  <c r="BH5" i="64"/>
  <c r="BN19" i="64"/>
  <c r="AP19" i="64"/>
  <c r="AK6" i="64"/>
  <c r="AQ20" i="64"/>
  <c r="AL6" i="64"/>
  <c r="AR20" i="64"/>
  <c r="AM6" i="64"/>
  <c r="AS20" i="64"/>
  <c r="AN6" i="64"/>
  <c r="AT20" i="64"/>
  <c r="AO6" i="64"/>
  <c r="AU20" i="64"/>
  <c r="AP6" i="64"/>
  <c r="AV20" i="64"/>
  <c r="AQ6" i="64"/>
  <c r="AW20" i="64"/>
  <c r="AR6" i="64"/>
  <c r="AX20" i="64"/>
  <c r="AS6" i="64"/>
  <c r="AY20" i="64"/>
  <c r="AT6" i="64"/>
  <c r="AZ20" i="64"/>
  <c r="AU6" i="64"/>
  <c r="BA20" i="64"/>
  <c r="AV6" i="64"/>
  <c r="BB20" i="64"/>
  <c r="AW6" i="64"/>
  <c r="BC20" i="64"/>
  <c r="AX6" i="64"/>
  <c r="BD20" i="64"/>
  <c r="AY6" i="64"/>
  <c r="BE20" i="64"/>
  <c r="AZ6" i="64"/>
  <c r="BF20" i="64"/>
  <c r="BA6" i="64"/>
  <c r="BG20" i="64"/>
  <c r="BB6" i="64"/>
  <c r="BH20" i="64"/>
  <c r="BC6" i="64"/>
  <c r="BI20" i="64"/>
  <c r="BD6" i="64"/>
  <c r="BJ20" i="64"/>
  <c r="BE6" i="64"/>
  <c r="BK20" i="64"/>
  <c r="BF6" i="64"/>
  <c r="BL20" i="64"/>
  <c r="BG6" i="64"/>
  <c r="BM20" i="64"/>
  <c r="BH6" i="64"/>
  <c r="BN20" i="64"/>
  <c r="AP20" i="64"/>
  <c r="AK7" i="64"/>
  <c r="AQ21" i="64"/>
  <c r="AL7" i="64"/>
  <c r="AR21" i="64"/>
  <c r="AM7" i="64"/>
  <c r="AS21" i="64"/>
  <c r="AN7" i="64"/>
  <c r="AT21" i="64"/>
  <c r="AO7" i="64"/>
  <c r="AU21" i="64"/>
  <c r="AP7" i="64"/>
  <c r="AV21" i="64"/>
  <c r="AQ7" i="64"/>
  <c r="AW21" i="64"/>
  <c r="AR7" i="64"/>
  <c r="AX21" i="64"/>
  <c r="AS7" i="64"/>
  <c r="AY21" i="64"/>
  <c r="AT7" i="64"/>
  <c r="AZ21" i="64"/>
  <c r="AU7" i="64"/>
  <c r="BA21" i="64"/>
  <c r="AV7" i="64"/>
  <c r="BB21" i="64"/>
  <c r="AW7" i="64"/>
  <c r="BC21" i="64"/>
  <c r="AX7" i="64"/>
  <c r="BD21" i="64"/>
  <c r="AY7" i="64"/>
  <c r="BE21" i="64"/>
  <c r="AZ7" i="64"/>
  <c r="BF21" i="64"/>
  <c r="BA7" i="64"/>
  <c r="BG21" i="64"/>
  <c r="BB7" i="64"/>
  <c r="BH21" i="64"/>
  <c r="BC7" i="64"/>
  <c r="BI21" i="64"/>
  <c r="BD7" i="64"/>
  <c r="BJ21" i="64"/>
  <c r="BE7" i="64"/>
  <c r="BK21" i="64"/>
  <c r="BF7" i="64"/>
  <c r="BL21" i="64"/>
  <c r="BG7" i="64"/>
  <c r="BM21" i="64"/>
  <c r="BH7" i="64"/>
  <c r="BN21" i="64"/>
  <c r="AP21" i="64"/>
  <c r="AK8" i="64"/>
  <c r="AQ22" i="64"/>
  <c r="AL8" i="64"/>
  <c r="AR22" i="64"/>
  <c r="AM8" i="64"/>
  <c r="AS22" i="64"/>
  <c r="AN8" i="64"/>
  <c r="AT22" i="64"/>
  <c r="AO8" i="64"/>
  <c r="AU22" i="64"/>
  <c r="AP8" i="64"/>
  <c r="AV22" i="64"/>
  <c r="AQ8" i="64"/>
  <c r="AW22" i="64"/>
  <c r="AR8" i="64"/>
  <c r="AX22" i="64"/>
  <c r="AS8" i="64"/>
  <c r="AY22" i="64"/>
  <c r="AT8" i="64"/>
  <c r="AZ22" i="64"/>
  <c r="AU8" i="64"/>
  <c r="BA22" i="64"/>
  <c r="AV8" i="64"/>
  <c r="BB22" i="64"/>
  <c r="AW8" i="64"/>
  <c r="BC22" i="64"/>
  <c r="AX8" i="64"/>
  <c r="BD22" i="64"/>
  <c r="AY8" i="64"/>
  <c r="BE22" i="64"/>
  <c r="AZ8" i="64"/>
  <c r="BF22" i="64"/>
  <c r="BA8" i="64"/>
  <c r="BG22" i="64"/>
  <c r="BB8" i="64"/>
  <c r="BH22" i="64"/>
  <c r="BC8" i="64"/>
  <c r="BI22" i="64"/>
  <c r="BD8" i="64"/>
  <c r="BJ22" i="64"/>
  <c r="BE8" i="64"/>
  <c r="BK22" i="64"/>
  <c r="BF8" i="64"/>
  <c r="BL22" i="64"/>
  <c r="BG8" i="64"/>
  <c r="BM22" i="64"/>
  <c r="BH8" i="64"/>
  <c r="BN22" i="64"/>
  <c r="AP22" i="64"/>
  <c r="AK9" i="64"/>
  <c r="AQ23" i="64"/>
  <c r="AL9" i="64"/>
  <c r="AR23" i="64"/>
  <c r="AM9" i="64"/>
  <c r="AS23" i="64"/>
  <c r="AN9" i="64"/>
  <c r="AT23" i="64"/>
  <c r="AO9" i="64"/>
  <c r="AU23" i="64"/>
  <c r="AP9" i="64"/>
  <c r="AV23" i="64"/>
  <c r="AQ9" i="64"/>
  <c r="AW23" i="64"/>
  <c r="AR9" i="64"/>
  <c r="AX23" i="64"/>
  <c r="AS9" i="64"/>
  <c r="AY23" i="64"/>
  <c r="AT9" i="64"/>
  <c r="AZ23" i="64"/>
  <c r="AU9" i="64"/>
  <c r="BA23" i="64"/>
  <c r="AV9" i="64"/>
  <c r="BB23" i="64"/>
  <c r="AW9" i="64"/>
  <c r="BC23" i="64"/>
  <c r="AX9" i="64"/>
  <c r="BD23" i="64"/>
  <c r="AY9" i="64"/>
  <c r="BE23" i="64"/>
  <c r="AZ9" i="64"/>
  <c r="BF23" i="64"/>
  <c r="BA9" i="64"/>
  <c r="BG23" i="64"/>
  <c r="BB9" i="64"/>
  <c r="BH23" i="64"/>
  <c r="BC9" i="64"/>
  <c r="BI23" i="64"/>
  <c r="BD9" i="64"/>
  <c r="BJ23" i="64"/>
  <c r="BE9" i="64"/>
  <c r="BK23" i="64"/>
  <c r="BF9" i="64"/>
  <c r="BL23" i="64"/>
  <c r="BG9" i="64"/>
  <c r="BM23" i="64"/>
  <c r="BH9" i="64"/>
  <c r="BN23" i="64"/>
  <c r="AP23" i="64"/>
  <c r="AK10" i="64"/>
  <c r="AQ24" i="64"/>
  <c r="AL10" i="64"/>
  <c r="AR24" i="64"/>
  <c r="AM10" i="64"/>
  <c r="AS24" i="64"/>
  <c r="AN10" i="64"/>
  <c r="AT24" i="64"/>
  <c r="AO10" i="64"/>
  <c r="AU24" i="64"/>
  <c r="AP10" i="64"/>
  <c r="AV24" i="64"/>
  <c r="AQ10" i="64"/>
  <c r="AW24" i="64"/>
  <c r="AR10" i="64"/>
  <c r="AX24" i="64"/>
  <c r="AS10" i="64"/>
  <c r="AY24" i="64"/>
  <c r="AT10" i="64"/>
  <c r="AZ24" i="64"/>
  <c r="AU10" i="64"/>
  <c r="BA24" i="64"/>
  <c r="AV10" i="64"/>
  <c r="BB24" i="64"/>
  <c r="AW10" i="64"/>
  <c r="BC24" i="64"/>
  <c r="AX10" i="64"/>
  <c r="BD24" i="64"/>
  <c r="AY10" i="64"/>
  <c r="BE24" i="64"/>
  <c r="AZ10" i="64"/>
  <c r="BF24" i="64"/>
  <c r="BA10" i="64"/>
  <c r="BG24" i="64"/>
  <c r="BB10" i="64"/>
  <c r="BH24" i="64"/>
  <c r="BC10" i="64"/>
  <c r="BI24" i="64"/>
  <c r="BD10" i="64"/>
  <c r="BJ24" i="64"/>
  <c r="BE10" i="64"/>
  <c r="BK24" i="64"/>
  <c r="BF10" i="64"/>
  <c r="BL24" i="64"/>
  <c r="BG10" i="64"/>
  <c r="BM24" i="64"/>
  <c r="BH10" i="64"/>
  <c r="BN24" i="64"/>
  <c r="AP24" i="64"/>
  <c r="AK11" i="64"/>
  <c r="AQ25" i="64"/>
  <c r="AL11" i="64"/>
  <c r="AR25" i="64"/>
  <c r="AM11" i="64"/>
  <c r="AS25" i="64"/>
  <c r="AN11" i="64"/>
  <c r="AT25" i="64"/>
  <c r="AO11" i="64"/>
  <c r="AU25" i="64"/>
  <c r="AP11" i="64"/>
  <c r="AV25" i="64"/>
  <c r="AQ11" i="64"/>
  <c r="AW25" i="64"/>
  <c r="AR11" i="64"/>
  <c r="AX25" i="64"/>
  <c r="AS11" i="64"/>
  <c r="AY25" i="64"/>
  <c r="AT11" i="64"/>
  <c r="AZ25" i="64"/>
  <c r="AU11" i="64"/>
  <c r="BA25" i="64"/>
  <c r="AV11" i="64"/>
  <c r="BB25" i="64"/>
  <c r="AW11" i="64"/>
  <c r="BC25" i="64"/>
  <c r="AX11" i="64"/>
  <c r="BD25" i="64"/>
  <c r="AY11" i="64"/>
  <c r="BE25" i="64"/>
  <c r="AZ11" i="64"/>
  <c r="BF25" i="64"/>
  <c r="BA11" i="64"/>
  <c r="BG25" i="64"/>
  <c r="BB11" i="64"/>
  <c r="BH25" i="64"/>
  <c r="BC11" i="64"/>
  <c r="BI25" i="64"/>
  <c r="BD11" i="64"/>
  <c r="BJ25" i="64"/>
  <c r="BE11" i="64"/>
  <c r="BK25" i="64"/>
  <c r="BF11" i="64"/>
  <c r="BL25" i="64"/>
  <c r="BG11" i="64"/>
  <c r="BM25" i="64"/>
  <c r="BH11" i="64"/>
  <c r="BN25" i="64"/>
  <c r="AP25" i="64"/>
  <c r="AK12" i="64"/>
  <c r="AQ26" i="64"/>
  <c r="AL12" i="64"/>
  <c r="AR26" i="64"/>
  <c r="AM12" i="64"/>
  <c r="AS26" i="64"/>
  <c r="AN12" i="64"/>
  <c r="AT26" i="64"/>
  <c r="AO12" i="64"/>
  <c r="AU26" i="64"/>
  <c r="AP12" i="64"/>
  <c r="AV26" i="64"/>
  <c r="AQ12" i="64"/>
  <c r="AW26" i="64"/>
  <c r="AR12" i="64"/>
  <c r="AX26" i="64"/>
  <c r="AS12" i="64"/>
  <c r="AY26" i="64"/>
  <c r="AT12" i="64"/>
  <c r="AZ26" i="64"/>
  <c r="AU12" i="64"/>
  <c r="BA26" i="64"/>
  <c r="AV12" i="64"/>
  <c r="BB26" i="64"/>
  <c r="AW12" i="64"/>
  <c r="BC26" i="64"/>
  <c r="AX12" i="64"/>
  <c r="BD26" i="64"/>
  <c r="AY12" i="64"/>
  <c r="BE26" i="64"/>
  <c r="AZ12" i="64"/>
  <c r="BF26" i="64"/>
  <c r="BA12" i="64"/>
  <c r="BG26" i="64"/>
  <c r="BB12" i="64"/>
  <c r="BH26" i="64"/>
  <c r="BC12" i="64"/>
  <c r="BI26" i="64"/>
  <c r="BD12" i="64"/>
  <c r="BJ26" i="64"/>
  <c r="BE12" i="64"/>
  <c r="BK26" i="64"/>
  <c r="BF12" i="64"/>
  <c r="BL26" i="64"/>
  <c r="BG12" i="64"/>
  <c r="BM26" i="64"/>
  <c r="BH12" i="64"/>
  <c r="BN26" i="64"/>
  <c r="AP26" i="64"/>
  <c r="AK13" i="64"/>
  <c r="AQ27" i="64"/>
  <c r="AL13" i="64"/>
  <c r="AR27" i="64"/>
  <c r="AM13" i="64"/>
  <c r="AS27" i="64"/>
  <c r="AN13" i="64"/>
  <c r="AT27" i="64"/>
  <c r="AO13" i="64"/>
  <c r="AU27" i="64"/>
  <c r="AP13" i="64"/>
  <c r="AV27" i="64"/>
  <c r="AQ13" i="64"/>
  <c r="AW27" i="64"/>
  <c r="AR13" i="64"/>
  <c r="AX27" i="64"/>
  <c r="AS13" i="64"/>
  <c r="AY27" i="64"/>
  <c r="AT13" i="64"/>
  <c r="AZ27" i="64"/>
  <c r="AU13" i="64"/>
  <c r="BA27" i="64"/>
  <c r="AV13" i="64"/>
  <c r="BB27" i="64"/>
  <c r="AW13" i="64"/>
  <c r="BC27" i="64"/>
  <c r="AX13" i="64"/>
  <c r="BD27" i="64"/>
  <c r="AY13" i="64"/>
  <c r="BE27" i="64"/>
  <c r="AZ13" i="64"/>
  <c r="BF27" i="64"/>
  <c r="BA13" i="64"/>
  <c r="BG27" i="64"/>
  <c r="BB13" i="64"/>
  <c r="BH27" i="64"/>
  <c r="BC13" i="64"/>
  <c r="BI27" i="64"/>
  <c r="BD13" i="64"/>
  <c r="BJ27" i="64"/>
  <c r="BE13" i="64"/>
  <c r="BK27" i="64"/>
  <c r="BF13" i="64"/>
  <c r="BL27" i="64"/>
  <c r="BG13" i="64"/>
  <c r="BM27" i="64"/>
  <c r="BH13" i="64"/>
  <c r="BN27" i="64"/>
  <c r="AP27" i="64"/>
  <c r="AP28" i="64"/>
  <c r="AN16" i="64"/>
  <c r="AN17" i="64"/>
  <c r="AN18" i="64"/>
  <c r="AN19" i="64"/>
  <c r="AN20" i="64"/>
  <c r="AN21" i="64"/>
  <c r="AN22" i="64"/>
  <c r="AN23" i="64"/>
  <c r="AN24" i="64"/>
  <c r="AN25" i="64"/>
  <c r="AN26" i="64"/>
  <c r="AN27" i="64"/>
  <c r="AN28" i="64"/>
  <c r="AM16" i="64"/>
  <c r="AM17" i="64"/>
  <c r="AM18" i="64"/>
  <c r="AM19" i="64"/>
  <c r="AM20" i="64"/>
  <c r="AM21" i="64"/>
  <c r="AM22" i="64"/>
  <c r="AM23" i="64"/>
  <c r="AM24" i="64"/>
  <c r="AM25" i="64"/>
  <c r="AM26" i="64"/>
  <c r="AM27" i="64"/>
  <c r="AM28" i="64"/>
  <c r="AL16" i="64"/>
  <c r="AL17" i="64"/>
  <c r="AL18" i="64"/>
  <c r="AL19" i="64"/>
  <c r="AL20" i="64"/>
  <c r="AL21" i="64"/>
  <c r="AL22" i="64"/>
  <c r="AL23" i="64"/>
  <c r="AL24" i="64"/>
  <c r="AL25" i="64"/>
  <c r="AL26" i="64"/>
  <c r="AL27" i="64"/>
  <c r="AL28" i="64"/>
  <c r="AK16" i="64"/>
  <c r="AK17" i="64"/>
  <c r="AK18" i="64"/>
  <c r="AK19" i="64"/>
  <c r="AK20" i="64"/>
  <c r="AK21" i="64"/>
  <c r="AK22" i="64"/>
  <c r="AK23" i="64"/>
  <c r="AK24" i="64"/>
  <c r="AK25" i="64"/>
  <c r="AK26" i="64"/>
  <c r="AK27" i="64"/>
  <c r="AK28" i="64"/>
  <c r="Z2" i="64"/>
  <c r="AA2" i="64"/>
  <c r="AB2" i="64"/>
  <c r="AC2" i="64"/>
  <c r="AA16" i="64"/>
  <c r="Z3" i="64"/>
  <c r="AA3" i="64"/>
  <c r="AB3" i="64"/>
  <c r="AC3" i="64"/>
  <c r="AA17" i="64"/>
  <c r="Z4" i="64"/>
  <c r="AA4" i="64"/>
  <c r="AB4" i="64"/>
  <c r="AC4" i="64"/>
  <c r="AA18" i="64"/>
  <c r="Z5" i="64"/>
  <c r="AA5" i="64"/>
  <c r="AB5" i="64"/>
  <c r="AC5" i="64"/>
  <c r="AA19" i="64"/>
  <c r="Z6" i="64"/>
  <c r="AA6" i="64"/>
  <c r="AB6" i="64"/>
  <c r="AC6" i="64"/>
  <c r="AA20" i="64"/>
  <c r="Z7" i="64"/>
  <c r="AA7" i="64"/>
  <c r="AB7" i="64"/>
  <c r="AC7" i="64"/>
  <c r="AA21" i="64"/>
  <c r="Z8" i="64"/>
  <c r="AA8" i="64"/>
  <c r="AB8" i="64"/>
  <c r="AC8" i="64"/>
  <c r="AA22" i="64"/>
  <c r="Z9" i="64"/>
  <c r="AA9" i="64"/>
  <c r="AB9" i="64"/>
  <c r="AC9" i="64"/>
  <c r="AA23" i="64"/>
  <c r="Z10" i="64"/>
  <c r="AA10" i="64"/>
  <c r="AB10" i="64"/>
  <c r="AC10" i="64"/>
  <c r="AA24" i="64"/>
  <c r="Z11" i="64"/>
  <c r="AA11" i="64"/>
  <c r="AB11" i="64"/>
  <c r="AC11" i="64"/>
  <c r="AA25" i="64"/>
  <c r="Z12" i="64"/>
  <c r="AA12" i="64"/>
  <c r="AB12" i="64"/>
  <c r="AC12" i="64"/>
  <c r="AA26" i="64"/>
  <c r="Z13" i="64"/>
  <c r="AA13" i="64"/>
  <c r="AB13" i="64"/>
  <c r="AC13" i="64"/>
  <c r="AA27" i="64"/>
  <c r="AA28" i="64"/>
  <c r="Z16" i="64"/>
  <c r="Z17" i="64"/>
  <c r="Z18" i="64"/>
  <c r="Z19" i="64"/>
  <c r="Z20" i="64"/>
  <c r="Z21" i="64"/>
  <c r="Z22" i="64"/>
  <c r="Z23" i="64"/>
  <c r="Z24" i="64"/>
  <c r="Z25" i="64"/>
  <c r="Z26" i="64"/>
  <c r="Z27" i="64"/>
  <c r="Z28" i="64"/>
  <c r="S28" i="64"/>
  <c r="R28" i="64"/>
  <c r="Q28" i="64"/>
  <c r="P28" i="64"/>
  <c r="N28" i="64"/>
  <c r="M28" i="64"/>
  <c r="L28" i="64"/>
  <c r="K28" i="64"/>
  <c r="D27" i="64"/>
  <c r="G26" i="64"/>
  <c r="N25" i="64"/>
  <c r="M25" i="64"/>
  <c r="L25" i="64"/>
  <c r="K25" i="64"/>
  <c r="D25" i="64"/>
  <c r="G24" i="64"/>
  <c r="H16" i="64"/>
  <c r="D23" i="64"/>
  <c r="G22" i="64"/>
  <c r="G16" i="64"/>
  <c r="D21" i="64"/>
  <c r="G20" i="64"/>
  <c r="M19" i="64"/>
  <c r="W16" i="64"/>
  <c r="V16" i="64"/>
  <c r="U16" i="64"/>
  <c r="E50" i="63"/>
  <c r="A50" i="63"/>
  <c r="E49" i="63"/>
  <c r="A49" i="63"/>
  <c r="E48" i="63"/>
  <c r="A48" i="63"/>
  <c r="E47" i="63"/>
  <c r="A47" i="63"/>
  <c r="E46" i="63"/>
  <c r="A46" i="63"/>
  <c r="E45" i="63"/>
  <c r="A45" i="63"/>
  <c r="E44" i="63"/>
  <c r="A44" i="63"/>
  <c r="E43" i="63"/>
  <c r="A43" i="63"/>
  <c r="E42" i="63"/>
  <c r="A42" i="63"/>
  <c r="E41" i="63"/>
  <c r="A41" i="63"/>
  <c r="E40" i="63"/>
  <c r="A40" i="63"/>
  <c r="E39" i="63"/>
  <c r="A39" i="63"/>
  <c r="AE2" i="63"/>
  <c r="AF2" i="63"/>
  <c r="AG2" i="63"/>
  <c r="AH2" i="63"/>
  <c r="AI2" i="63"/>
  <c r="AG16" i="63"/>
  <c r="AE6" i="63"/>
  <c r="AF6" i="63"/>
  <c r="AG6" i="63"/>
  <c r="AH6" i="63"/>
  <c r="AI6" i="63"/>
  <c r="AG20" i="63"/>
  <c r="AE8" i="63"/>
  <c r="AF8" i="63"/>
  <c r="AG8" i="63"/>
  <c r="AH8" i="63"/>
  <c r="AI8" i="63"/>
  <c r="AG22" i="63"/>
  <c r="AE12" i="63"/>
  <c r="AF12" i="63"/>
  <c r="AG12" i="63"/>
  <c r="AH12" i="63"/>
  <c r="AI12" i="63"/>
  <c r="AG26" i="63"/>
  <c r="AE13" i="63"/>
  <c r="AF13" i="63"/>
  <c r="AG13" i="63"/>
  <c r="AH13" i="63"/>
  <c r="AI13" i="63"/>
  <c r="AG27" i="63"/>
  <c r="AF16" i="63"/>
  <c r="AF20" i="63"/>
  <c r="AF22" i="63"/>
  <c r="AF26" i="63"/>
  <c r="AF27" i="63"/>
  <c r="AE20" i="63"/>
  <c r="AE26" i="63"/>
  <c r="D31" i="63"/>
  <c r="J29" i="63"/>
  <c r="I29" i="63"/>
  <c r="H29" i="63"/>
  <c r="G29" i="63"/>
  <c r="F16" i="63"/>
  <c r="D29" i="63"/>
  <c r="AK2" i="63"/>
  <c r="AQ16" i="63"/>
  <c r="AL2" i="63"/>
  <c r="AR16" i="63"/>
  <c r="AM2" i="63"/>
  <c r="AS16" i="63"/>
  <c r="AN2" i="63"/>
  <c r="AT16" i="63"/>
  <c r="AO2" i="63"/>
  <c r="AU16" i="63"/>
  <c r="AP2" i="63"/>
  <c r="AV16" i="63"/>
  <c r="AQ2" i="63"/>
  <c r="AW16" i="63"/>
  <c r="AR2" i="63"/>
  <c r="AX16" i="63"/>
  <c r="AS2" i="63"/>
  <c r="AY16" i="63"/>
  <c r="AT2" i="63"/>
  <c r="AZ16" i="63"/>
  <c r="AU2" i="63"/>
  <c r="BA16" i="63"/>
  <c r="AV2" i="63"/>
  <c r="BB16" i="63"/>
  <c r="AW2" i="63"/>
  <c r="BC16" i="63"/>
  <c r="AX2" i="63"/>
  <c r="BD16" i="63"/>
  <c r="AY2" i="63"/>
  <c r="BE16" i="63"/>
  <c r="AZ2" i="63"/>
  <c r="BF16" i="63"/>
  <c r="BA2" i="63"/>
  <c r="BG16" i="63"/>
  <c r="BB2" i="63"/>
  <c r="BH16" i="63"/>
  <c r="BC2" i="63"/>
  <c r="BI16" i="63"/>
  <c r="BD2" i="63"/>
  <c r="BJ16" i="63"/>
  <c r="BE2" i="63"/>
  <c r="BK16" i="63"/>
  <c r="BF2" i="63"/>
  <c r="BL16" i="63"/>
  <c r="BG2" i="63"/>
  <c r="BM16" i="63"/>
  <c r="BH2" i="63"/>
  <c r="BN16" i="63"/>
  <c r="AP16" i="63"/>
  <c r="AK3" i="63"/>
  <c r="AQ17" i="63"/>
  <c r="AL3" i="63"/>
  <c r="AR17" i="63"/>
  <c r="AM3" i="63"/>
  <c r="AS17" i="63"/>
  <c r="AN3" i="63"/>
  <c r="AT17" i="63"/>
  <c r="AO3" i="63"/>
  <c r="AU17" i="63"/>
  <c r="AP3" i="63"/>
  <c r="AV17" i="63"/>
  <c r="AQ3" i="63"/>
  <c r="AW17" i="63"/>
  <c r="AR3" i="63"/>
  <c r="AX17" i="63"/>
  <c r="AS3" i="63"/>
  <c r="AY17" i="63"/>
  <c r="AT3" i="63"/>
  <c r="AZ17" i="63"/>
  <c r="AU3" i="63"/>
  <c r="BA17" i="63"/>
  <c r="AV3" i="63"/>
  <c r="BB17" i="63"/>
  <c r="AW3" i="63"/>
  <c r="BC17" i="63"/>
  <c r="AX3" i="63"/>
  <c r="BD17" i="63"/>
  <c r="AY3" i="63"/>
  <c r="BE17" i="63"/>
  <c r="AZ3" i="63"/>
  <c r="BF17" i="63"/>
  <c r="BA3" i="63"/>
  <c r="BG17" i="63"/>
  <c r="BB3" i="63"/>
  <c r="BH17" i="63"/>
  <c r="BC3" i="63"/>
  <c r="BI17" i="63"/>
  <c r="BD3" i="63"/>
  <c r="BJ17" i="63"/>
  <c r="BE3" i="63"/>
  <c r="BK17" i="63"/>
  <c r="BF3" i="63"/>
  <c r="BL17" i="63"/>
  <c r="BG3" i="63"/>
  <c r="BM17" i="63"/>
  <c r="BH3" i="63"/>
  <c r="BN17" i="63"/>
  <c r="AP17" i="63"/>
  <c r="AK4" i="63"/>
  <c r="AQ18" i="63"/>
  <c r="AL4" i="63"/>
  <c r="AR18" i="63"/>
  <c r="AM4" i="63"/>
  <c r="AS18" i="63"/>
  <c r="AN4" i="63"/>
  <c r="AT18" i="63"/>
  <c r="AO4" i="63"/>
  <c r="AU18" i="63"/>
  <c r="AP4" i="63"/>
  <c r="AV18" i="63"/>
  <c r="AQ4" i="63"/>
  <c r="AW18" i="63"/>
  <c r="AR4" i="63"/>
  <c r="AX18" i="63"/>
  <c r="AS4" i="63"/>
  <c r="AY18" i="63"/>
  <c r="AT4" i="63"/>
  <c r="AZ18" i="63"/>
  <c r="AU4" i="63"/>
  <c r="BA18" i="63"/>
  <c r="AV4" i="63"/>
  <c r="BB18" i="63"/>
  <c r="AW4" i="63"/>
  <c r="BC18" i="63"/>
  <c r="AX4" i="63"/>
  <c r="BD18" i="63"/>
  <c r="AY4" i="63"/>
  <c r="BE18" i="63"/>
  <c r="AZ4" i="63"/>
  <c r="BF18" i="63"/>
  <c r="BA4" i="63"/>
  <c r="BG18" i="63"/>
  <c r="BB4" i="63"/>
  <c r="BH18" i="63"/>
  <c r="BC4" i="63"/>
  <c r="BI18" i="63"/>
  <c r="BD4" i="63"/>
  <c r="BJ18" i="63"/>
  <c r="BE4" i="63"/>
  <c r="BK18" i="63"/>
  <c r="BF4" i="63"/>
  <c r="BL18" i="63"/>
  <c r="BG4" i="63"/>
  <c r="BM18" i="63"/>
  <c r="BH4" i="63"/>
  <c r="BN18" i="63"/>
  <c r="AP18" i="63"/>
  <c r="AK5" i="63"/>
  <c r="AQ19" i="63"/>
  <c r="AL5" i="63"/>
  <c r="AR19" i="63"/>
  <c r="AM5" i="63"/>
  <c r="AS19" i="63"/>
  <c r="AN5" i="63"/>
  <c r="AT19" i="63"/>
  <c r="AO5" i="63"/>
  <c r="AU19" i="63"/>
  <c r="AP5" i="63"/>
  <c r="AV19" i="63"/>
  <c r="AQ5" i="63"/>
  <c r="AW19" i="63"/>
  <c r="AR5" i="63"/>
  <c r="AX19" i="63"/>
  <c r="AS5" i="63"/>
  <c r="AY19" i="63"/>
  <c r="AT5" i="63"/>
  <c r="AZ19" i="63"/>
  <c r="AU5" i="63"/>
  <c r="BA19" i="63"/>
  <c r="AV5" i="63"/>
  <c r="BB19" i="63"/>
  <c r="AW5" i="63"/>
  <c r="BC19" i="63"/>
  <c r="AX5" i="63"/>
  <c r="BD19" i="63"/>
  <c r="AY5" i="63"/>
  <c r="BE19" i="63"/>
  <c r="AZ5" i="63"/>
  <c r="BF19" i="63"/>
  <c r="BA5" i="63"/>
  <c r="BG19" i="63"/>
  <c r="BB5" i="63"/>
  <c r="BH19" i="63"/>
  <c r="BC5" i="63"/>
  <c r="BI19" i="63"/>
  <c r="BD5" i="63"/>
  <c r="BJ19" i="63"/>
  <c r="BE5" i="63"/>
  <c r="BK19" i="63"/>
  <c r="BF5" i="63"/>
  <c r="BL19" i="63"/>
  <c r="BG5" i="63"/>
  <c r="BM19" i="63"/>
  <c r="BH5" i="63"/>
  <c r="BN19" i="63"/>
  <c r="AP19" i="63"/>
  <c r="AK6" i="63"/>
  <c r="AQ20" i="63"/>
  <c r="AL6" i="63"/>
  <c r="AR20" i="63"/>
  <c r="AM6" i="63"/>
  <c r="AS20" i="63"/>
  <c r="AN6" i="63"/>
  <c r="AT20" i="63"/>
  <c r="AO6" i="63"/>
  <c r="AU20" i="63"/>
  <c r="AP6" i="63"/>
  <c r="AV20" i="63"/>
  <c r="AQ6" i="63"/>
  <c r="AW20" i="63"/>
  <c r="AR6" i="63"/>
  <c r="AX20" i="63"/>
  <c r="AS6" i="63"/>
  <c r="AY20" i="63"/>
  <c r="AT6" i="63"/>
  <c r="AZ20" i="63"/>
  <c r="AU6" i="63"/>
  <c r="BA20" i="63"/>
  <c r="AV6" i="63"/>
  <c r="BB20" i="63"/>
  <c r="AW6" i="63"/>
  <c r="BC20" i="63"/>
  <c r="AX6" i="63"/>
  <c r="BD20" i="63"/>
  <c r="AY6" i="63"/>
  <c r="BE20" i="63"/>
  <c r="AZ6" i="63"/>
  <c r="BF20" i="63"/>
  <c r="BA6" i="63"/>
  <c r="BG20" i="63"/>
  <c r="BB6" i="63"/>
  <c r="BH20" i="63"/>
  <c r="BC6" i="63"/>
  <c r="BI20" i="63"/>
  <c r="BD6" i="63"/>
  <c r="BJ20" i="63"/>
  <c r="BE6" i="63"/>
  <c r="BK20" i="63"/>
  <c r="BF6" i="63"/>
  <c r="BL20" i="63"/>
  <c r="BG6" i="63"/>
  <c r="BM20" i="63"/>
  <c r="BH6" i="63"/>
  <c r="BN20" i="63"/>
  <c r="AP20" i="63"/>
  <c r="AK7" i="63"/>
  <c r="AQ21" i="63"/>
  <c r="AL7" i="63"/>
  <c r="AR21" i="63"/>
  <c r="AM7" i="63"/>
  <c r="AS21" i="63"/>
  <c r="AN7" i="63"/>
  <c r="AT21" i="63"/>
  <c r="AO7" i="63"/>
  <c r="AU21" i="63"/>
  <c r="AP7" i="63"/>
  <c r="AV21" i="63"/>
  <c r="AQ7" i="63"/>
  <c r="AW21" i="63"/>
  <c r="AR7" i="63"/>
  <c r="AX21" i="63"/>
  <c r="AS7" i="63"/>
  <c r="AY21" i="63"/>
  <c r="AT7" i="63"/>
  <c r="AZ21" i="63"/>
  <c r="AU7" i="63"/>
  <c r="BA21" i="63"/>
  <c r="AV7" i="63"/>
  <c r="BB21" i="63"/>
  <c r="AW7" i="63"/>
  <c r="BC21" i="63"/>
  <c r="AX7" i="63"/>
  <c r="BD21" i="63"/>
  <c r="AY7" i="63"/>
  <c r="BE21" i="63"/>
  <c r="AZ7" i="63"/>
  <c r="BF21" i="63"/>
  <c r="BA7" i="63"/>
  <c r="BG21" i="63"/>
  <c r="BB7" i="63"/>
  <c r="BH21" i="63"/>
  <c r="BC7" i="63"/>
  <c r="BI21" i="63"/>
  <c r="BD7" i="63"/>
  <c r="BJ21" i="63"/>
  <c r="BE7" i="63"/>
  <c r="BK21" i="63"/>
  <c r="BF7" i="63"/>
  <c r="BL21" i="63"/>
  <c r="BG7" i="63"/>
  <c r="BM21" i="63"/>
  <c r="BH7" i="63"/>
  <c r="BN21" i="63"/>
  <c r="AP21" i="63"/>
  <c r="AK8" i="63"/>
  <c r="AQ22" i="63"/>
  <c r="AL8" i="63"/>
  <c r="AR22" i="63"/>
  <c r="AM8" i="63"/>
  <c r="AS22" i="63"/>
  <c r="AN8" i="63"/>
  <c r="AT22" i="63"/>
  <c r="AO8" i="63"/>
  <c r="AU22" i="63"/>
  <c r="AP8" i="63"/>
  <c r="AV22" i="63"/>
  <c r="AQ8" i="63"/>
  <c r="AW22" i="63"/>
  <c r="AR8" i="63"/>
  <c r="AX22" i="63"/>
  <c r="AS8" i="63"/>
  <c r="AY22" i="63"/>
  <c r="AT8" i="63"/>
  <c r="AZ22" i="63"/>
  <c r="AU8" i="63"/>
  <c r="BA22" i="63"/>
  <c r="AV8" i="63"/>
  <c r="BB22" i="63"/>
  <c r="AW8" i="63"/>
  <c r="BC22" i="63"/>
  <c r="AX8" i="63"/>
  <c r="BD22" i="63"/>
  <c r="AY8" i="63"/>
  <c r="BE22" i="63"/>
  <c r="AZ8" i="63"/>
  <c r="BF22" i="63"/>
  <c r="BA8" i="63"/>
  <c r="BG22" i="63"/>
  <c r="BB8" i="63"/>
  <c r="BH22" i="63"/>
  <c r="BC8" i="63"/>
  <c r="BI22" i="63"/>
  <c r="BD8" i="63"/>
  <c r="BJ22" i="63"/>
  <c r="BE8" i="63"/>
  <c r="BK22" i="63"/>
  <c r="BF8" i="63"/>
  <c r="BL22" i="63"/>
  <c r="BG8" i="63"/>
  <c r="BM22" i="63"/>
  <c r="BH8" i="63"/>
  <c r="BN22" i="63"/>
  <c r="AP22" i="63"/>
  <c r="AK9" i="63"/>
  <c r="AQ23" i="63"/>
  <c r="AL9" i="63"/>
  <c r="AR23" i="63"/>
  <c r="AM9" i="63"/>
  <c r="AS23" i="63"/>
  <c r="AN9" i="63"/>
  <c r="AT23" i="63"/>
  <c r="AO9" i="63"/>
  <c r="AU23" i="63"/>
  <c r="AP9" i="63"/>
  <c r="AV23" i="63"/>
  <c r="AQ9" i="63"/>
  <c r="AW23" i="63"/>
  <c r="AR9" i="63"/>
  <c r="AX23" i="63"/>
  <c r="AS9" i="63"/>
  <c r="AY23" i="63"/>
  <c r="AT9" i="63"/>
  <c r="AZ23" i="63"/>
  <c r="AU9" i="63"/>
  <c r="BA23" i="63"/>
  <c r="AV9" i="63"/>
  <c r="BB23" i="63"/>
  <c r="AW9" i="63"/>
  <c r="BC23" i="63"/>
  <c r="AX9" i="63"/>
  <c r="BD23" i="63"/>
  <c r="AY9" i="63"/>
  <c r="BE23" i="63"/>
  <c r="AZ9" i="63"/>
  <c r="BF23" i="63"/>
  <c r="BA9" i="63"/>
  <c r="BG23" i="63"/>
  <c r="BB9" i="63"/>
  <c r="BH23" i="63"/>
  <c r="BC9" i="63"/>
  <c r="BI23" i="63"/>
  <c r="BD9" i="63"/>
  <c r="BJ23" i="63"/>
  <c r="BE9" i="63"/>
  <c r="BK23" i="63"/>
  <c r="BF9" i="63"/>
  <c r="BL23" i="63"/>
  <c r="BG9" i="63"/>
  <c r="BM23" i="63"/>
  <c r="BH9" i="63"/>
  <c r="BN23" i="63"/>
  <c r="AP23" i="63"/>
  <c r="AK10" i="63"/>
  <c r="AQ24" i="63"/>
  <c r="AL10" i="63"/>
  <c r="AR24" i="63"/>
  <c r="AM10" i="63"/>
  <c r="AS24" i="63"/>
  <c r="AN10" i="63"/>
  <c r="AT24" i="63"/>
  <c r="AO10" i="63"/>
  <c r="AU24" i="63"/>
  <c r="AP10" i="63"/>
  <c r="AV24" i="63"/>
  <c r="AQ10" i="63"/>
  <c r="AW24" i="63"/>
  <c r="AR10" i="63"/>
  <c r="AX24" i="63"/>
  <c r="AS10" i="63"/>
  <c r="AY24" i="63"/>
  <c r="AT10" i="63"/>
  <c r="AZ24" i="63"/>
  <c r="AU10" i="63"/>
  <c r="BA24" i="63"/>
  <c r="AV10" i="63"/>
  <c r="BB24" i="63"/>
  <c r="AW10" i="63"/>
  <c r="BC24" i="63"/>
  <c r="AX10" i="63"/>
  <c r="BD24" i="63"/>
  <c r="AY10" i="63"/>
  <c r="BE24" i="63"/>
  <c r="AZ10" i="63"/>
  <c r="BF24" i="63"/>
  <c r="BA10" i="63"/>
  <c r="BG24" i="63"/>
  <c r="BB10" i="63"/>
  <c r="BH24" i="63"/>
  <c r="BC10" i="63"/>
  <c r="BI24" i="63"/>
  <c r="BD10" i="63"/>
  <c r="BJ24" i="63"/>
  <c r="BE10" i="63"/>
  <c r="BK24" i="63"/>
  <c r="BF10" i="63"/>
  <c r="BL24" i="63"/>
  <c r="BG10" i="63"/>
  <c r="BM24" i="63"/>
  <c r="BH10" i="63"/>
  <c r="BN24" i="63"/>
  <c r="AP24" i="63"/>
  <c r="AK11" i="63"/>
  <c r="AQ25" i="63"/>
  <c r="AL11" i="63"/>
  <c r="AR25" i="63"/>
  <c r="AM11" i="63"/>
  <c r="AS25" i="63"/>
  <c r="AN11" i="63"/>
  <c r="AT25" i="63"/>
  <c r="AO11" i="63"/>
  <c r="AU25" i="63"/>
  <c r="AP11" i="63"/>
  <c r="AV25" i="63"/>
  <c r="AQ11" i="63"/>
  <c r="AW25" i="63"/>
  <c r="AR11" i="63"/>
  <c r="AX25" i="63"/>
  <c r="AS11" i="63"/>
  <c r="AY25" i="63"/>
  <c r="AT11" i="63"/>
  <c r="AZ25" i="63"/>
  <c r="AU11" i="63"/>
  <c r="BA25" i="63"/>
  <c r="AV11" i="63"/>
  <c r="BB25" i="63"/>
  <c r="AW11" i="63"/>
  <c r="BC25" i="63"/>
  <c r="AX11" i="63"/>
  <c r="BD25" i="63"/>
  <c r="AY11" i="63"/>
  <c r="BE25" i="63"/>
  <c r="AZ11" i="63"/>
  <c r="BF25" i="63"/>
  <c r="BA11" i="63"/>
  <c r="BG25" i="63"/>
  <c r="BB11" i="63"/>
  <c r="BH25" i="63"/>
  <c r="BC11" i="63"/>
  <c r="BI25" i="63"/>
  <c r="BD11" i="63"/>
  <c r="BJ25" i="63"/>
  <c r="BE11" i="63"/>
  <c r="BK25" i="63"/>
  <c r="BF11" i="63"/>
  <c r="BL25" i="63"/>
  <c r="BG11" i="63"/>
  <c r="BM25" i="63"/>
  <c r="BH11" i="63"/>
  <c r="BN25" i="63"/>
  <c r="AP25" i="63"/>
  <c r="AK12" i="63"/>
  <c r="AQ26" i="63"/>
  <c r="AL12" i="63"/>
  <c r="AR26" i="63"/>
  <c r="AM12" i="63"/>
  <c r="AS26" i="63"/>
  <c r="AN12" i="63"/>
  <c r="AT26" i="63"/>
  <c r="AO12" i="63"/>
  <c r="AU26" i="63"/>
  <c r="AP12" i="63"/>
  <c r="AV26" i="63"/>
  <c r="AQ12" i="63"/>
  <c r="AW26" i="63"/>
  <c r="AR12" i="63"/>
  <c r="AX26" i="63"/>
  <c r="AS12" i="63"/>
  <c r="AY26" i="63"/>
  <c r="AT12" i="63"/>
  <c r="AZ26" i="63"/>
  <c r="AU12" i="63"/>
  <c r="BA26" i="63"/>
  <c r="AV12" i="63"/>
  <c r="BB26" i="63"/>
  <c r="AW12" i="63"/>
  <c r="BC26" i="63"/>
  <c r="AX12" i="63"/>
  <c r="BD26" i="63"/>
  <c r="AY12" i="63"/>
  <c r="BE26" i="63"/>
  <c r="AZ12" i="63"/>
  <c r="BF26" i="63"/>
  <c r="BA12" i="63"/>
  <c r="BG26" i="63"/>
  <c r="BB12" i="63"/>
  <c r="BH26" i="63"/>
  <c r="BC12" i="63"/>
  <c r="BI26" i="63"/>
  <c r="BD12" i="63"/>
  <c r="BJ26" i="63"/>
  <c r="BE12" i="63"/>
  <c r="BK26" i="63"/>
  <c r="BF12" i="63"/>
  <c r="BL26" i="63"/>
  <c r="BG12" i="63"/>
  <c r="BM26" i="63"/>
  <c r="BH12" i="63"/>
  <c r="BN26" i="63"/>
  <c r="AP26" i="63"/>
  <c r="AK13" i="63"/>
  <c r="AQ27" i="63"/>
  <c r="AL13" i="63"/>
  <c r="AR27" i="63"/>
  <c r="AM13" i="63"/>
  <c r="AS27" i="63"/>
  <c r="AN13" i="63"/>
  <c r="AT27" i="63"/>
  <c r="AO13" i="63"/>
  <c r="AU27" i="63"/>
  <c r="AP13" i="63"/>
  <c r="AV27" i="63"/>
  <c r="AQ13" i="63"/>
  <c r="AW27" i="63"/>
  <c r="AR13" i="63"/>
  <c r="AX27" i="63"/>
  <c r="AS13" i="63"/>
  <c r="AY27" i="63"/>
  <c r="AT13" i="63"/>
  <c r="AZ27" i="63"/>
  <c r="AU13" i="63"/>
  <c r="BA27" i="63"/>
  <c r="AV13" i="63"/>
  <c r="BB27" i="63"/>
  <c r="AW13" i="63"/>
  <c r="BC27" i="63"/>
  <c r="AX13" i="63"/>
  <c r="BD27" i="63"/>
  <c r="AY13" i="63"/>
  <c r="BE27" i="63"/>
  <c r="AZ13" i="63"/>
  <c r="BF27" i="63"/>
  <c r="BA13" i="63"/>
  <c r="BG27" i="63"/>
  <c r="BB13" i="63"/>
  <c r="BH27" i="63"/>
  <c r="BC13" i="63"/>
  <c r="BI27" i="63"/>
  <c r="BD13" i="63"/>
  <c r="BJ27" i="63"/>
  <c r="BE13" i="63"/>
  <c r="BK27" i="63"/>
  <c r="BF13" i="63"/>
  <c r="BL27" i="63"/>
  <c r="BG13" i="63"/>
  <c r="BM27" i="63"/>
  <c r="BH13" i="63"/>
  <c r="BN27" i="63"/>
  <c r="AP27" i="63"/>
  <c r="AP28" i="63"/>
  <c r="AN17" i="63"/>
  <c r="AN18" i="63"/>
  <c r="AN19" i="63"/>
  <c r="AN20" i="63"/>
  <c r="AN21" i="63"/>
  <c r="AN22" i="63"/>
  <c r="AN23" i="63"/>
  <c r="AN24" i="63"/>
  <c r="AN25" i="63"/>
  <c r="AN26" i="63"/>
  <c r="AN27" i="63"/>
  <c r="AM17" i="63"/>
  <c r="AM18" i="63"/>
  <c r="AM19" i="63"/>
  <c r="AM20" i="63"/>
  <c r="AM21" i="63"/>
  <c r="AM22" i="63"/>
  <c r="AM23" i="63"/>
  <c r="AM24" i="63"/>
  <c r="AM25" i="63"/>
  <c r="AM26" i="63"/>
  <c r="AM27" i="63"/>
  <c r="AL17" i="63"/>
  <c r="AL18" i="63"/>
  <c r="AL19" i="63"/>
  <c r="AL20" i="63"/>
  <c r="AL21" i="63"/>
  <c r="AL22" i="63"/>
  <c r="AL23" i="63"/>
  <c r="AL24" i="63"/>
  <c r="AL25" i="63"/>
  <c r="AL26" i="63"/>
  <c r="AL27" i="63"/>
  <c r="AK17" i="63"/>
  <c r="AK18" i="63"/>
  <c r="AK19" i="63"/>
  <c r="AK20" i="63"/>
  <c r="AK21" i="63"/>
  <c r="AK22" i="63"/>
  <c r="AK23" i="63"/>
  <c r="AK24" i="63"/>
  <c r="AK25" i="63"/>
  <c r="AK26" i="63"/>
  <c r="AK27" i="63"/>
  <c r="Z2" i="63"/>
  <c r="AA2" i="63"/>
  <c r="AB2" i="63"/>
  <c r="AC2" i="63"/>
  <c r="AA16" i="63"/>
  <c r="Z3" i="63"/>
  <c r="AA3" i="63"/>
  <c r="AB3" i="63"/>
  <c r="AC3" i="63"/>
  <c r="AA17" i="63"/>
  <c r="Z4" i="63"/>
  <c r="AA4" i="63"/>
  <c r="AB4" i="63"/>
  <c r="AC4" i="63"/>
  <c r="AA18" i="63"/>
  <c r="Z5" i="63"/>
  <c r="AA5" i="63"/>
  <c r="AB5" i="63"/>
  <c r="AC5" i="63"/>
  <c r="AA19" i="63"/>
  <c r="Z6" i="63"/>
  <c r="AA6" i="63"/>
  <c r="AB6" i="63"/>
  <c r="AC6" i="63"/>
  <c r="AA20" i="63"/>
  <c r="Z7" i="63"/>
  <c r="AA7" i="63"/>
  <c r="AB7" i="63"/>
  <c r="AC7" i="63"/>
  <c r="AA21" i="63"/>
  <c r="Z8" i="63"/>
  <c r="AA8" i="63"/>
  <c r="AB8" i="63"/>
  <c r="AC8" i="63"/>
  <c r="AA22" i="63"/>
  <c r="Z9" i="63"/>
  <c r="AA9" i="63"/>
  <c r="AB9" i="63"/>
  <c r="AC9" i="63"/>
  <c r="AA23" i="63"/>
  <c r="Z10" i="63"/>
  <c r="AA10" i="63"/>
  <c r="AB10" i="63"/>
  <c r="AC10" i="63"/>
  <c r="AA24" i="63"/>
  <c r="Z11" i="63"/>
  <c r="AA11" i="63"/>
  <c r="AB11" i="63"/>
  <c r="AC11" i="63"/>
  <c r="AA25" i="63"/>
  <c r="Z12" i="63"/>
  <c r="AA12" i="63"/>
  <c r="AB12" i="63"/>
  <c r="AC12" i="63"/>
  <c r="AA26" i="63"/>
  <c r="Z13" i="63"/>
  <c r="AA13" i="63"/>
  <c r="AB13" i="63"/>
  <c r="AC13" i="63"/>
  <c r="AA27" i="63"/>
  <c r="AA28" i="63"/>
  <c r="Z16" i="63"/>
  <c r="Z17" i="63"/>
  <c r="Z18" i="63"/>
  <c r="Z19" i="63"/>
  <c r="Z20" i="63"/>
  <c r="Z21" i="63"/>
  <c r="Z22" i="63"/>
  <c r="Z23" i="63"/>
  <c r="Z24" i="63"/>
  <c r="Z25" i="63"/>
  <c r="Z26" i="63"/>
  <c r="Z27" i="63"/>
  <c r="Z28" i="63"/>
  <c r="S28" i="63"/>
  <c r="R28" i="63"/>
  <c r="Q28" i="63"/>
  <c r="P28" i="63"/>
  <c r="N28" i="63"/>
  <c r="M28" i="63"/>
  <c r="L28" i="63"/>
  <c r="K28" i="63"/>
  <c r="D27" i="63"/>
  <c r="N25" i="63"/>
  <c r="M25" i="63"/>
  <c r="L25" i="63"/>
  <c r="K25" i="63"/>
  <c r="D25" i="63"/>
  <c r="H16" i="63"/>
  <c r="D23" i="63"/>
  <c r="G16" i="63"/>
  <c r="D21" i="63"/>
  <c r="M19" i="63"/>
  <c r="W16" i="63"/>
  <c r="V16" i="63"/>
  <c r="U16" i="63"/>
  <c r="E50" i="62"/>
  <c r="A50" i="62"/>
  <c r="E49" i="62"/>
  <c r="A49" i="62"/>
  <c r="E48" i="62"/>
  <c r="A48" i="62"/>
  <c r="E47" i="62"/>
  <c r="A47" i="62"/>
  <c r="E46" i="62"/>
  <c r="A46" i="62"/>
  <c r="E45" i="62"/>
  <c r="A45" i="62"/>
  <c r="E44" i="62"/>
  <c r="A44" i="62"/>
  <c r="E43" i="62"/>
  <c r="A43" i="62"/>
  <c r="X15" i="62"/>
  <c r="E42" i="62"/>
  <c r="A42" i="62"/>
  <c r="X14" i="62"/>
  <c r="E41" i="62"/>
  <c r="A41" i="62"/>
  <c r="X13" i="62"/>
  <c r="E40" i="62"/>
  <c r="A40" i="62"/>
  <c r="X12" i="62"/>
  <c r="E39" i="62"/>
  <c r="A39" i="62"/>
  <c r="X11" i="62"/>
  <c r="X10" i="62"/>
  <c r="X9" i="62"/>
  <c r="R16" i="62"/>
  <c r="Q16" i="62"/>
  <c r="X7" i="62"/>
  <c r="X4" i="62"/>
  <c r="X5" i="62"/>
  <c r="X6" i="62"/>
  <c r="AE2" i="62"/>
  <c r="AF2" i="62"/>
  <c r="AG2" i="62"/>
  <c r="AH2" i="62"/>
  <c r="AI2" i="62"/>
  <c r="AG16" i="62"/>
  <c r="AE3" i="62"/>
  <c r="AF3" i="62"/>
  <c r="AG3" i="62"/>
  <c r="AH3" i="62"/>
  <c r="AI3" i="62"/>
  <c r="AG17" i="62"/>
  <c r="AE5" i="62"/>
  <c r="AF5" i="62"/>
  <c r="AG5" i="62"/>
  <c r="AH5" i="62"/>
  <c r="AI5" i="62"/>
  <c r="AG19" i="62"/>
  <c r="AE6" i="62"/>
  <c r="AF6" i="62"/>
  <c r="AG6" i="62"/>
  <c r="AH6" i="62"/>
  <c r="AI6" i="62"/>
  <c r="AG20" i="62"/>
  <c r="AE7" i="62"/>
  <c r="AF7" i="62"/>
  <c r="AG7" i="62"/>
  <c r="AH7" i="62"/>
  <c r="AI7" i="62"/>
  <c r="AG21" i="62"/>
  <c r="AE8" i="62"/>
  <c r="AF8" i="62"/>
  <c r="AG8" i="62"/>
  <c r="AH8" i="62"/>
  <c r="AI8" i="62"/>
  <c r="AG22" i="62"/>
  <c r="AE12" i="62"/>
  <c r="AF12" i="62"/>
  <c r="AG12" i="62"/>
  <c r="AH12" i="62"/>
  <c r="AI12" i="62"/>
  <c r="AG26" i="62"/>
  <c r="AE13" i="62"/>
  <c r="AF13" i="62"/>
  <c r="AG13" i="62"/>
  <c r="AH13" i="62"/>
  <c r="AI13" i="62"/>
  <c r="AG27" i="62"/>
  <c r="AF16" i="62"/>
  <c r="AF17" i="62"/>
  <c r="AF19" i="62"/>
  <c r="AF20" i="62"/>
  <c r="AF21" i="62"/>
  <c r="AF22" i="62"/>
  <c r="AF26" i="62"/>
  <c r="AF27" i="62"/>
  <c r="D31" i="62"/>
  <c r="J29" i="62"/>
  <c r="I29" i="62"/>
  <c r="H29" i="62"/>
  <c r="G29" i="62"/>
  <c r="F16" i="62"/>
  <c r="D29" i="62"/>
  <c r="AK2" i="62"/>
  <c r="AQ16" i="62"/>
  <c r="AL2" i="62"/>
  <c r="AR16" i="62"/>
  <c r="AM2" i="62"/>
  <c r="AS16" i="62"/>
  <c r="AN2" i="62"/>
  <c r="AT16" i="62"/>
  <c r="AO2" i="62"/>
  <c r="AU16" i="62"/>
  <c r="AP2" i="62"/>
  <c r="AV16" i="62"/>
  <c r="AQ2" i="62"/>
  <c r="AW16" i="62"/>
  <c r="AR2" i="62"/>
  <c r="AX16" i="62"/>
  <c r="AS2" i="62"/>
  <c r="AY16" i="62"/>
  <c r="AT2" i="62"/>
  <c r="AZ16" i="62"/>
  <c r="AU2" i="62"/>
  <c r="BA16" i="62"/>
  <c r="AV2" i="62"/>
  <c r="BB16" i="62"/>
  <c r="AW2" i="62"/>
  <c r="BC16" i="62"/>
  <c r="AX2" i="62"/>
  <c r="BD16" i="62"/>
  <c r="AY2" i="62"/>
  <c r="BE16" i="62"/>
  <c r="AZ2" i="62"/>
  <c r="BF16" i="62"/>
  <c r="BA2" i="62"/>
  <c r="BG16" i="62"/>
  <c r="BB2" i="62"/>
  <c r="BH16" i="62"/>
  <c r="BC2" i="62"/>
  <c r="BI16" i="62"/>
  <c r="BD2" i="62"/>
  <c r="BJ16" i="62"/>
  <c r="BE2" i="62"/>
  <c r="BK16" i="62"/>
  <c r="BF2" i="62"/>
  <c r="BL16" i="62"/>
  <c r="BG2" i="62"/>
  <c r="BM16" i="62"/>
  <c r="BH2" i="62"/>
  <c r="BN16" i="62"/>
  <c r="AP16" i="62"/>
  <c r="AK3" i="62"/>
  <c r="AQ17" i="62"/>
  <c r="AL3" i="62"/>
  <c r="AR17" i="62"/>
  <c r="AM3" i="62"/>
  <c r="AS17" i="62"/>
  <c r="AN3" i="62"/>
  <c r="AT17" i="62"/>
  <c r="AO3" i="62"/>
  <c r="AU17" i="62"/>
  <c r="AP3" i="62"/>
  <c r="AV17" i="62"/>
  <c r="AQ3" i="62"/>
  <c r="AW17" i="62"/>
  <c r="AR3" i="62"/>
  <c r="AX17" i="62"/>
  <c r="AS3" i="62"/>
  <c r="AY17" i="62"/>
  <c r="AT3" i="62"/>
  <c r="AZ17" i="62"/>
  <c r="AU3" i="62"/>
  <c r="BA17" i="62"/>
  <c r="AV3" i="62"/>
  <c r="BB17" i="62"/>
  <c r="AW3" i="62"/>
  <c r="BC17" i="62"/>
  <c r="AX3" i="62"/>
  <c r="BD17" i="62"/>
  <c r="AY3" i="62"/>
  <c r="BE17" i="62"/>
  <c r="AZ3" i="62"/>
  <c r="BF17" i="62"/>
  <c r="BA3" i="62"/>
  <c r="BG17" i="62"/>
  <c r="BB3" i="62"/>
  <c r="BH17" i="62"/>
  <c r="BC3" i="62"/>
  <c r="BI17" i="62"/>
  <c r="BD3" i="62"/>
  <c r="BJ17" i="62"/>
  <c r="BE3" i="62"/>
  <c r="BK17" i="62"/>
  <c r="BF3" i="62"/>
  <c r="BL17" i="62"/>
  <c r="BG3" i="62"/>
  <c r="BM17" i="62"/>
  <c r="BH3" i="62"/>
  <c r="BN17" i="62"/>
  <c r="AP17" i="62"/>
  <c r="AK4" i="62"/>
  <c r="AQ18" i="62"/>
  <c r="AL4" i="62"/>
  <c r="AR18" i="62"/>
  <c r="AM4" i="62"/>
  <c r="AS18" i="62"/>
  <c r="AN4" i="62"/>
  <c r="AT18" i="62"/>
  <c r="AO4" i="62"/>
  <c r="AU18" i="62"/>
  <c r="AP4" i="62"/>
  <c r="AV18" i="62"/>
  <c r="AQ4" i="62"/>
  <c r="AW18" i="62"/>
  <c r="AR4" i="62"/>
  <c r="AX18" i="62"/>
  <c r="AS4" i="62"/>
  <c r="AY18" i="62"/>
  <c r="AT4" i="62"/>
  <c r="AZ18" i="62"/>
  <c r="AU4" i="62"/>
  <c r="BA18" i="62"/>
  <c r="AV4" i="62"/>
  <c r="BB18" i="62"/>
  <c r="AW4" i="62"/>
  <c r="BC18" i="62"/>
  <c r="AX4" i="62"/>
  <c r="BD18" i="62"/>
  <c r="AY4" i="62"/>
  <c r="BE18" i="62"/>
  <c r="AZ4" i="62"/>
  <c r="BF18" i="62"/>
  <c r="BA4" i="62"/>
  <c r="BG18" i="62"/>
  <c r="BB4" i="62"/>
  <c r="BH18" i="62"/>
  <c r="BC4" i="62"/>
  <c r="BI18" i="62"/>
  <c r="BD4" i="62"/>
  <c r="BJ18" i="62"/>
  <c r="BE4" i="62"/>
  <c r="BK18" i="62"/>
  <c r="BF4" i="62"/>
  <c r="BL18" i="62"/>
  <c r="BG4" i="62"/>
  <c r="BM18" i="62"/>
  <c r="BH4" i="62"/>
  <c r="BN18" i="62"/>
  <c r="AP18" i="62"/>
  <c r="AK5" i="62"/>
  <c r="AQ19" i="62"/>
  <c r="AL5" i="62"/>
  <c r="AR19" i="62"/>
  <c r="AM5" i="62"/>
  <c r="AS19" i="62"/>
  <c r="AN5" i="62"/>
  <c r="AT19" i="62"/>
  <c r="AO5" i="62"/>
  <c r="AU19" i="62"/>
  <c r="AP5" i="62"/>
  <c r="AV19" i="62"/>
  <c r="AQ5" i="62"/>
  <c r="AW19" i="62"/>
  <c r="AR5" i="62"/>
  <c r="AX19" i="62"/>
  <c r="AS5" i="62"/>
  <c r="AY19" i="62"/>
  <c r="AT5" i="62"/>
  <c r="AZ19" i="62"/>
  <c r="AU5" i="62"/>
  <c r="BA19" i="62"/>
  <c r="AV5" i="62"/>
  <c r="BB19" i="62"/>
  <c r="AW5" i="62"/>
  <c r="BC19" i="62"/>
  <c r="AX5" i="62"/>
  <c r="BD19" i="62"/>
  <c r="AY5" i="62"/>
  <c r="BE19" i="62"/>
  <c r="AZ5" i="62"/>
  <c r="BF19" i="62"/>
  <c r="BA5" i="62"/>
  <c r="BG19" i="62"/>
  <c r="BB5" i="62"/>
  <c r="BH19" i="62"/>
  <c r="BC5" i="62"/>
  <c r="BI19" i="62"/>
  <c r="BD5" i="62"/>
  <c r="BJ19" i="62"/>
  <c r="BE5" i="62"/>
  <c r="BK19" i="62"/>
  <c r="BF5" i="62"/>
  <c r="BL19" i="62"/>
  <c r="BG5" i="62"/>
  <c r="BM19" i="62"/>
  <c r="BH5" i="62"/>
  <c r="BN19" i="62"/>
  <c r="AP19" i="62"/>
  <c r="AK6" i="62"/>
  <c r="AQ20" i="62"/>
  <c r="AL6" i="62"/>
  <c r="AR20" i="62"/>
  <c r="AM6" i="62"/>
  <c r="AS20" i="62"/>
  <c r="AN6" i="62"/>
  <c r="AT20" i="62"/>
  <c r="AO6" i="62"/>
  <c r="AU20" i="62"/>
  <c r="AP6" i="62"/>
  <c r="AV20" i="62"/>
  <c r="AQ6" i="62"/>
  <c r="AW20" i="62"/>
  <c r="AR6" i="62"/>
  <c r="AX20" i="62"/>
  <c r="AS6" i="62"/>
  <c r="AY20" i="62"/>
  <c r="AT6" i="62"/>
  <c r="AZ20" i="62"/>
  <c r="AU6" i="62"/>
  <c r="BA20" i="62"/>
  <c r="AV6" i="62"/>
  <c r="BB20" i="62"/>
  <c r="AW6" i="62"/>
  <c r="BC20" i="62"/>
  <c r="AX6" i="62"/>
  <c r="BD20" i="62"/>
  <c r="AY6" i="62"/>
  <c r="BE20" i="62"/>
  <c r="AZ6" i="62"/>
  <c r="BF20" i="62"/>
  <c r="BA6" i="62"/>
  <c r="BG20" i="62"/>
  <c r="BB6" i="62"/>
  <c r="BH20" i="62"/>
  <c r="BC6" i="62"/>
  <c r="BI20" i="62"/>
  <c r="BD6" i="62"/>
  <c r="BJ20" i="62"/>
  <c r="BE6" i="62"/>
  <c r="BK20" i="62"/>
  <c r="BF6" i="62"/>
  <c r="BL20" i="62"/>
  <c r="BG6" i="62"/>
  <c r="BM20" i="62"/>
  <c r="BH6" i="62"/>
  <c r="BN20" i="62"/>
  <c r="AP20" i="62"/>
  <c r="AK7" i="62"/>
  <c r="AQ21" i="62"/>
  <c r="AL7" i="62"/>
  <c r="AR21" i="62"/>
  <c r="AM7" i="62"/>
  <c r="AS21" i="62"/>
  <c r="AN7" i="62"/>
  <c r="AT21" i="62"/>
  <c r="AO7" i="62"/>
  <c r="AU21" i="62"/>
  <c r="AP7" i="62"/>
  <c r="AV21" i="62"/>
  <c r="AQ7" i="62"/>
  <c r="AW21" i="62"/>
  <c r="AR7" i="62"/>
  <c r="AX21" i="62"/>
  <c r="AS7" i="62"/>
  <c r="AY21" i="62"/>
  <c r="AT7" i="62"/>
  <c r="AZ21" i="62"/>
  <c r="AU7" i="62"/>
  <c r="BA21" i="62"/>
  <c r="AV7" i="62"/>
  <c r="BB21" i="62"/>
  <c r="AW7" i="62"/>
  <c r="BC21" i="62"/>
  <c r="AX7" i="62"/>
  <c r="BD21" i="62"/>
  <c r="AY7" i="62"/>
  <c r="BE21" i="62"/>
  <c r="AZ7" i="62"/>
  <c r="BF21" i="62"/>
  <c r="BA7" i="62"/>
  <c r="BG21" i="62"/>
  <c r="BB7" i="62"/>
  <c r="BH21" i="62"/>
  <c r="BC7" i="62"/>
  <c r="BI21" i="62"/>
  <c r="BD7" i="62"/>
  <c r="BJ21" i="62"/>
  <c r="BE7" i="62"/>
  <c r="BK21" i="62"/>
  <c r="BF7" i="62"/>
  <c r="BL21" i="62"/>
  <c r="BG7" i="62"/>
  <c r="BM21" i="62"/>
  <c r="BH7" i="62"/>
  <c r="BN21" i="62"/>
  <c r="AP21" i="62"/>
  <c r="AK8" i="62"/>
  <c r="AQ22" i="62"/>
  <c r="AL8" i="62"/>
  <c r="AR22" i="62"/>
  <c r="AM8" i="62"/>
  <c r="AS22" i="62"/>
  <c r="AN8" i="62"/>
  <c r="AT22" i="62"/>
  <c r="AO8" i="62"/>
  <c r="AU22" i="62"/>
  <c r="AP8" i="62"/>
  <c r="AV22" i="62"/>
  <c r="AQ8" i="62"/>
  <c r="AW22" i="62"/>
  <c r="AR8" i="62"/>
  <c r="AX22" i="62"/>
  <c r="AS8" i="62"/>
  <c r="AY22" i="62"/>
  <c r="AT8" i="62"/>
  <c r="AZ22" i="62"/>
  <c r="AU8" i="62"/>
  <c r="BA22" i="62"/>
  <c r="AV8" i="62"/>
  <c r="BB22" i="62"/>
  <c r="AW8" i="62"/>
  <c r="BC22" i="62"/>
  <c r="AX8" i="62"/>
  <c r="BD22" i="62"/>
  <c r="AY8" i="62"/>
  <c r="BE22" i="62"/>
  <c r="AZ8" i="62"/>
  <c r="BF22" i="62"/>
  <c r="BA8" i="62"/>
  <c r="BG22" i="62"/>
  <c r="BB8" i="62"/>
  <c r="BH22" i="62"/>
  <c r="BC8" i="62"/>
  <c r="BI22" i="62"/>
  <c r="BD8" i="62"/>
  <c r="BJ22" i="62"/>
  <c r="BE8" i="62"/>
  <c r="BK22" i="62"/>
  <c r="BF8" i="62"/>
  <c r="BL22" i="62"/>
  <c r="BG8" i="62"/>
  <c r="BM22" i="62"/>
  <c r="BH8" i="62"/>
  <c r="BN22" i="62"/>
  <c r="AP22" i="62"/>
  <c r="AK9" i="62"/>
  <c r="AQ23" i="62"/>
  <c r="AL9" i="62"/>
  <c r="AR23" i="62"/>
  <c r="AM9" i="62"/>
  <c r="AS23" i="62"/>
  <c r="AN9" i="62"/>
  <c r="AT23" i="62"/>
  <c r="AO9" i="62"/>
  <c r="AU23" i="62"/>
  <c r="AP9" i="62"/>
  <c r="AV23" i="62"/>
  <c r="AQ9" i="62"/>
  <c r="AW23" i="62"/>
  <c r="AR9" i="62"/>
  <c r="AX23" i="62"/>
  <c r="AS9" i="62"/>
  <c r="AY23" i="62"/>
  <c r="AT9" i="62"/>
  <c r="AZ23" i="62"/>
  <c r="AU9" i="62"/>
  <c r="BA23" i="62"/>
  <c r="AV9" i="62"/>
  <c r="BB23" i="62"/>
  <c r="AW9" i="62"/>
  <c r="BC23" i="62"/>
  <c r="AX9" i="62"/>
  <c r="BD23" i="62"/>
  <c r="AY9" i="62"/>
  <c r="BE23" i="62"/>
  <c r="AZ9" i="62"/>
  <c r="BF23" i="62"/>
  <c r="BA9" i="62"/>
  <c r="BG23" i="62"/>
  <c r="BB9" i="62"/>
  <c r="BH23" i="62"/>
  <c r="BC9" i="62"/>
  <c r="BI23" i="62"/>
  <c r="BD9" i="62"/>
  <c r="BJ23" i="62"/>
  <c r="BE9" i="62"/>
  <c r="BK23" i="62"/>
  <c r="BF9" i="62"/>
  <c r="BL23" i="62"/>
  <c r="BG9" i="62"/>
  <c r="BM23" i="62"/>
  <c r="BH9" i="62"/>
  <c r="BN23" i="62"/>
  <c r="AP23" i="62"/>
  <c r="AK10" i="62"/>
  <c r="AQ24" i="62"/>
  <c r="AL10" i="62"/>
  <c r="AR24" i="62"/>
  <c r="AM10" i="62"/>
  <c r="AS24" i="62"/>
  <c r="AN10" i="62"/>
  <c r="AT24" i="62"/>
  <c r="AO10" i="62"/>
  <c r="AU24" i="62"/>
  <c r="AP10" i="62"/>
  <c r="AV24" i="62"/>
  <c r="AQ10" i="62"/>
  <c r="AW24" i="62"/>
  <c r="AR10" i="62"/>
  <c r="AX24" i="62"/>
  <c r="AS10" i="62"/>
  <c r="AY24" i="62"/>
  <c r="AT10" i="62"/>
  <c r="AZ24" i="62"/>
  <c r="AU10" i="62"/>
  <c r="BA24" i="62"/>
  <c r="AV10" i="62"/>
  <c r="BB24" i="62"/>
  <c r="AW10" i="62"/>
  <c r="BC24" i="62"/>
  <c r="AX10" i="62"/>
  <c r="BD24" i="62"/>
  <c r="AY10" i="62"/>
  <c r="BE24" i="62"/>
  <c r="AZ10" i="62"/>
  <c r="BF24" i="62"/>
  <c r="BA10" i="62"/>
  <c r="BG24" i="62"/>
  <c r="BB10" i="62"/>
  <c r="BH24" i="62"/>
  <c r="BC10" i="62"/>
  <c r="BI24" i="62"/>
  <c r="BD10" i="62"/>
  <c r="BJ24" i="62"/>
  <c r="BE10" i="62"/>
  <c r="BK24" i="62"/>
  <c r="BF10" i="62"/>
  <c r="BL24" i="62"/>
  <c r="BG10" i="62"/>
  <c r="BM24" i="62"/>
  <c r="BH10" i="62"/>
  <c r="BN24" i="62"/>
  <c r="AP24" i="62"/>
  <c r="AK11" i="62"/>
  <c r="AQ25" i="62"/>
  <c r="AL11" i="62"/>
  <c r="AR25" i="62"/>
  <c r="AM11" i="62"/>
  <c r="AS25" i="62"/>
  <c r="AN11" i="62"/>
  <c r="AT25" i="62"/>
  <c r="AO11" i="62"/>
  <c r="AU25" i="62"/>
  <c r="AP11" i="62"/>
  <c r="AV25" i="62"/>
  <c r="AQ11" i="62"/>
  <c r="AW25" i="62"/>
  <c r="AR11" i="62"/>
  <c r="AX25" i="62"/>
  <c r="AS11" i="62"/>
  <c r="AY25" i="62"/>
  <c r="AT11" i="62"/>
  <c r="AZ25" i="62"/>
  <c r="AU11" i="62"/>
  <c r="BA25" i="62"/>
  <c r="AV11" i="62"/>
  <c r="BB25" i="62"/>
  <c r="AW11" i="62"/>
  <c r="BC25" i="62"/>
  <c r="AX11" i="62"/>
  <c r="BD25" i="62"/>
  <c r="AY11" i="62"/>
  <c r="BE25" i="62"/>
  <c r="AZ11" i="62"/>
  <c r="BF25" i="62"/>
  <c r="BA11" i="62"/>
  <c r="BG25" i="62"/>
  <c r="BB11" i="62"/>
  <c r="BH25" i="62"/>
  <c r="BC11" i="62"/>
  <c r="BI25" i="62"/>
  <c r="BD11" i="62"/>
  <c r="BJ25" i="62"/>
  <c r="BE11" i="62"/>
  <c r="BK25" i="62"/>
  <c r="BF11" i="62"/>
  <c r="BL25" i="62"/>
  <c r="BG11" i="62"/>
  <c r="BM25" i="62"/>
  <c r="BH11" i="62"/>
  <c r="BN25" i="62"/>
  <c r="AP25" i="62"/>
  <c r="AK12" i="62"/>
  <c r="AQ26" i="62"/>
  <c r="AL12" i="62"/>
  <c r="AR26" i="62"/>
  <c r="AM12" i="62"/>
  <c r="AS26" i="62"/>
  <c r="AN12" i="62"/>
  <c r="AT26" i="62"/>
  <c r="AO12" i="62"/>
  <c r="AU26" i="62"/>
  <c r="AP12" i="62"/>
  <c r="AV26" i="62"/>
  <c r="AQ12" i="62"/>
  <c r="AW26" i="62"/>
  <c r="AR12" i="62"/>
  <c r="AX26" i="62"/>
  <c r="AS12" i="62"/>
  <c r="AY26" i="62"/>
  <c r="AT12" i="62"/>
  <c r="AZ26" i="62"/>
  <c r="AU12" i="62"/>
  <c r="BA26" i="62"/>
  <c r="AV12" i="62"/>
  <c r="BB26" i="62"/>
  <c r="AW12" i="62"/>
  <c r="BC26" i="62"/>
  <c r="AX12" i="62"/>
  <c r="BD26" i="62"/>
  <c r="AY12" i="62"/>
  <c r="BE26" i="62"/>
  <c r="AZ12" i="62"/>
  <c r="BF26" i="62"/>
  <c r="BA12" i="62"/>
  <c r="BG26" i="62"/>
  <c r="BB12" i="62"/>
  <c r="BH26" i="62"/>
  <c r="BC12" i="62"/>
  <c r="BI26" i="62"/>
  <c r="BD12" i="62"/>
  <c r="BJ26" i="62"/>
  <c r="BE12" i="62"/>
  <c r="BK26" i="62"/>
  <c r="BF12" i="62"/>
  <c r="BL26" i="62"/>
  <c r="BG12" i="62"/>
  <c r="BM26" i="62"/>
  <c r="BH12" i="62"/>
  <c r="BN26" i="62"/>
  <c r="AP26" i="62"/>
  <c r="AK13" i="62"/>
  <c r="AQ27" i="62"/>
  <c r="AL13" i="62"/>
  <c r="AR27" i="62"/>
  <c r="AM13" i="62"/>
  <c r="AS27" i="62"/>
  <c r="AN13" i="62"/>
  <c r="AT27" i="62"/>
  <c r="AO13" i="62"/>
  <c r="AU27" i="62"/>
  <c r="AP13" i="62"/>
  <c r="AV27" i="62"/>
  <c r="AQ13" i="62"/>
  <c r="AW27" i="62"/>
  <c r="AR13" i="62"/>
  <c r="AX27" i="62"/>
  <c r="AS13" i="62"/>
  <c r="AY27" i="62"/>
  <c r="AT13" i="62"/>
  <c r="AZ27" i="62"/>
  <c r="AU13" i="62"/>
  <c r="BA27" i="62"/>
  <c r="AV13" i="62"/>
  <c r="BB27" i="62"/>
  <c r="AW13" i="62"/>
  <c r="BC27" i="62"/>
  <c r="AX13" i="62"/>
  <c r="BD27" i="62"/>
  <c r="AY13" i="62"/>
  <c r="BE27" i="62"/>
  <c r="AZ13" i="62"/>
  <c r="BF27" i="62"/>
  <c r="BA13" i="62"/>
  <c r="BG27" i="62"/>
  <c r="BB13" i="62"/>
  <c r="BH27" i="62"/>
  <c r="BC13" i="62"/>
  <c r="BI27" i="62"/>
  <c r="BD13" i="62"/>
  <c r="BJ27" i="62"/>
  <c r="BE13" i="62"/>
  <c r="BK27" i="62"/>
  <c r="BF13" i="62"/>
  <c r="BL27" i="62"/>
  <c r="BG13" i="62"/>
  <c r="BM27" i="62"/>
  <c r="BH13" i="62"/>
  <c r="BN27" i="62"/>
  <c r="AP27" i="62"/>
  <c r="AP28" i="62"/>
  <c r="AN16" i="62"/>
  <c r="AN17" i="62"/>
  <c r="AN18" i="62"/>
  <c r="AN19" i="62"/>
  <c r="AN20" i="62"/>
  <c r="AN21" i="62"/>
  <c r="AN22" i="62"/>
  <c r="AN23" i="62"/>
  <c r="AN24" i="62"/>
  <c r="AN25" i="62"/>
  <c r="AN26" i="62"/>
  <c r="AN27" i="62"/>
  <c r="AN28" i="62"/>
  <c r="AM16" i="62"/>
  <c r="AM17" i="62"/>
  <c r="AM18" i="62"/>
  <c r="AM19" i="62"/>
  <c r="AM20" i="62"/>
  <c r="AM21" i="62"/>
  <c r="AM22" i="62"/>
  <c r="AM23" i="62"/>
  <c r="AM24" i="62"/>
  <c r="AM25" i="62"/>
  <c r="AM26" i="62"/>
  <c r="AM27" i="62"/>
  <c r="AM28" i="62"/>
  <c r="AL16" i="62"/>
  <c r="AL17" i="62"/>
  <c r="AL18" i="62"/>
  <c r="AL19" i="62"/>
  <c r="AL20" i="62"/>
  <c r="AL21" i="62"/>
  <c r="AL22" i="62"/>
  <c r="AL23" i="62"/>
  <c r="AL24" i="62"/>
  <c r="AL25" i="62"/>
  <c r="AL26" i="62"/>
  <c r="AL27" i="62"/>
  <c r="AL28" i="62"/>
  <c r="AK16" i="62"/>
  <c r="AK17" i="62"/>
  <c r="AK18" i="62"/>
  <c r="AK19" i="62"/>
  <c r="AK20" i="62"/>
  <c r="AK21" i="62"/>
  <c r="AK22" i="62"/>
  <c r="AK23" i="62"/>
  <c r="AK24" i="62"/>
  <c r="AK25" i="62"/>
  <c r="AK26" i="62"/>
  <c r="AK27" i="62"/>
  <c r="AK28" i="62"/>
  <c r="Z2" i="62"/>
  <c r="AA2" i="62"/>
  <c r="AB2" i="62"/>
  <c r="AC2" i="62"/>
  <c r="AA16" i="62"/>
  <c r="Z3" i="62"/>
  <c r="AA3" i="62"/>
  <c r="AB3" i="62"/>
  <c r="AC3" i="62"/>
  <c r="AA17" i="62"/>
  <c r="Z4" i="62"/>
  <c r="AA4" i="62"/>
  <c r="AB4" i="62"/>
  <c r="AC4" i="62"/>
  <c r="AA18" i="62"/>
  <c r="Z5" i="62"/>
  <c r="AA5" i="62"/>
  <c r="AB5" i="62"/>
  <c r="AC5" i="62"/>
  <c r="AA19" i="62"/>
  <c r="Z6" i="62"/>
  <c r="AA6" i="62"/>
  <c r="AB6" i="62"/>
  <c r="AC6" i="62"/>
  <c r="AA20" i="62"/>
  <c r="Z7" i="62"/>
  <c r="AA7" i="62"/>
  <c r="AB7" i="62"/>
  <c r="AC7" i="62"/>
  <c r="AA21" i="62"/>
  <c r="Z8" i="62"/>
  <c r="AA8" i="62"/>
  <c r="AB8" i="62"/>
  <c r="AC8" i="62"/>
  <c r="AA22" i="62"/>
  <c r="Z9" i="62"/>
  <c r="AA9" i="62"/>
  <c r="AB9" i="62"/>
  <c r="AC9" i="62"/>
  <c r="AA23" i="62"/>
  <c r="Z10" i="62"/>
  <c r="AA10" i="62"/>
  <c r="AB10" i="62"/>
  <c r="AC10" i="62"/>
  <c r="AA24" i="62"/>
  <c r="Z11" i="62"/>
  <c r="AA11" i="62"/>
  <c r="AB11" i="62"/>
  <c r="AC11" i="62"/>
  <c r="AA25" i="62"/>
  <c r="Z12" i="62"/>
  <c r="AA12" i="62"/>
  <c r="AB12" i="62"/>
  <c r="AC12" i="62"/>
  <c r="AA26" i="62"/>
  <c r="Z13" i="62"/>
  <c r="AA13" i="62"/>
  <c r="AB13" i="62"/>
  <c r="AC13" i="62"/>
  <c r="AA27" i="62"/>
  <c r="AA28" i="62"/>
  <c r="Z16" i="62"/>
  <c r="Z17" i="62"/>
  <c r="Z18" i="62"/>
  <c r="Z19" i="62"/>
  <c r="Z20" i="62"/>
  <c r="Z21" i="62"/>
  <c r="Z22" i="62"/>
  <c r="Z23" i="62"/>
  <c r="Z24" i="62"/>
  <c r="Z25" i="62"/>
  <c r="Z26" i="62"/>
  <c r="Z27" i="62"/>
  <c r="Z28" i="62"/>
  <c r="S28" i="62"/>
  <c r="R28" i="62"/>
  <c r="Q28" i="62"/>
  <c r="P28" i="62"/>
  <c r="N28" i="62"/>
  <c r="M28" i="62"/>
  <c r="L28" i="62"/>
  <c r="K28" i="62"/>
  <c r="D27" i="62"/>
  <c r="G26" i="62"/>
  <c r="N25" i="62"/>
  <c r="M25" i="62"/>
  <c r="L25" i="62"/>
  <c r="K25" i="62"/>
  <c r="D25" i="62"/>
  <c r="G24" i="62"/>
  <c r="H16" i="62"/>
  <c r="D23" i="62"/>
  <c r="G22" i="62"/>
  <c r="G16" i="62"/>
  <c r="D21" i="62"/>
  <c r="G20" i="62"/>
  <c r="M19" i="62"/>
  <c r="W16" i="62"/>
  <c r="V16" i="62"/>
  <c r="U16" i="62"/>
  <c r="M16" i="62"/>
  <c r="E50" i="61"/>
  <c r="A50" i="61"/>
  <c r="E49" i="61"/>
  <c r="A49" i="61"/>
  <c r="E48" i="61"/>
  <c r="A48" i="61"/>
  <c r="E47" i="61"/>
  <c r="A47" i="61"/>
  <c r="E46" i="61"/>
  <c r="A46" i="61"/>
  <c r="E45" i="61"/>
  <c r="A45" i="61"/>
  <c r="E44" i="61"/>
  <c r="A44" i="61"/>
  <c r="E43" i="61"/>
  <c r="A43" i="61"/>
  <c r="X15" i="61"/>
  <c r="E42" i="61"/>
  <c r="A42" i="61"/>
  <c r="X14" i="61"/>
  <c r="E41" i="61"/>
  <c r="A41" i="61"/>
  <c r="E40" i="61"/>
  <c r="A40" i="61"/>
  <c r="X12" i="61"/>
  <c r="E39" i="61"/>
  <c r="A39" i="61"/>
  <c r="X11" i="61"/>
  <c r="X10" i="61"/>
  <c r="X9" i="61"/>
  <c r="X8" i="61"/>
  <c r="X6" i="61"/>
  <c r="AE2" i="61"/>
  <c r="AF2" i="61"/>
  <c r="AG2" i="61"/>
  <c r="AH2" i="61"/>
  <c r="AI2" i="61"/>
  <c r="AG16" i="61"/>
  <c r="AE3" i="61"/>
  <c r="AF3" i="61"/>
  <c r="AG3" i="61"/>
  <c r="AH3" i="61"/>
  <c r="AI3" i="61"/>
  <c r="AG17" i="61"/>
  <c r="AE4" i="61"/>
  <c r="AF4" i="61"/>
  <c r="AG4" i="61"/>
  <c r="AH4" i="61"/>
  <c r="AI4" i="61"/>
  <c r="AG18" i="61"/>
  <c r="AE6" i="61"/>
  <c r="AF6" i="61"/>
  <c r="AG6" i="61"/>
  <c r="AH6" i="61"/>
  <c r="AI6" i="61"/>
  <c r="AG20" i="61"/>
  <c r="AE7" i="61"/>
  <c r="AF7" i="61"/>
  <c r="AG7" i="61"/>
  <c r="AH7" i="61"/>
  <c r="AI7" i="61"/>
  <c r="AG21" i="61"/>
  <c r="AE8" i="61"/>
  <c r="AF8" i="61"/>
  <c r="AG8" i="61"/>
  <c r="AH8" i="61"/>
  <c r="AI8" i="61"/>
  <c r="AG22" i="61"/>
  <c r="AE9" i="61"/>
  <c r="AF9" i="61"/>
  <c r="AG9" i="61"/>
  <c r="AH9" i="61"/>
  <c r="AI9" i="61"/>
  <c r="AG23" i="61"/>
  <c r="AE10" i="61"/>
  <c r="AF10" i="61"/>
  <c r="AG10" i="61"/>
  <c r="AH10" i="61"/>
  <c r="AI10" i="61"/>
  <c r="AG24" i="61"/>
  <c r="AE11" i="61"/>
  <c r="AF11" i="61"/>
  <c r="AG11" i="61"/>
  <c r="AH11" i="61"/>
  <c r="AI11" i="61"/>
  <c r="AG25" i="61"/>
  <c r="AE12" i="61"/>
  <c r="AF12" i="61"/>
  <c r="AG12" i="61"/>
  <c r="AH12" i="61"/>
  <c r="AI12" i="61"/>
  <c r="AG26" i="61"/>
  <c r="AE13" i="61"/>
  <c r="AF13" i="61"/>
  <c r="AG13" i="61"/>
  <c r="AH13" i="61"/>
  <c r="AI13" i="61"/>
  <c r="AG27" i="61"/>
  <c r="AF16" i="61"/>
  <c r="AF17" i="61"/>
  <c r="AF18" i="61"/>
  <c r="AF20" i="61"/>
  <c r="AF21" i="61"/>
  <c r="AF22" i="61"/>
  <c r="AF23" i="61"/>
  <c r="AF24" i="61"/>
  <c r="AF25" i="61"/>
  <c r="AF26" i="61"/>
  <c r="AF27" i="61"/>
  <c r="D31" i="61"/>
  <c r="J29" i="61"/>
  <c r="I29" i="61"/>
  <c r="H29" i="61"/>
  <c r="G29" i="61"/>
  <c r="F16" i="61"/>
  <c r="D29" i="61"/>
  <c r="AK2" i="61"/>
  <c r="AQ16" i="61"/>
  <c r="AL2" i="61"/>
  <c r="AR16" i="61"/>
  <c r="AM2" i="61"/>
  <c r="AS16" i="61"/>
  <c r="AN2" i="61"/>
  <c r="AT16" i="61"/>
  <c r="AO2" i="61"/>
  <c r="AU16" i="61"/>
  <c r="AP2" i="61"/>
  <c r="AV16" i="61"/>
  <c r="AQ2" i="61"/>
  <c r="AW16" i="61"/>
  <c r="AR2" i="61"/>
  <c r="AX16" i="61"/>
  <c r="AS2" i="61"/>
  <c r="AY16" i="61"/>
  <c r="AT2" i="61"/>
  <c r="AZ16" i="61"/>
  <c r="AU2" i="61"/>
  <c r="BA16" i="61"/>
  <c r="AV2" i="61"/>
  <c r="BB16" i="61"/>
  <c r="AW2" i="61"/>
  <c r="BC16" i="61"/>
  <c r="AX2" i="61"/>
  <c r="BD16" i="61"/>
  <c r="AY2" i="61"/>
  <c r="BE16" i="61"/>
  <c r="AZ2" i="61"/>
  <c r="BF16" i="61"/>
  <c r="BA2" i="61"/>
  <c r="BG16" i="61"/>
  <c r="BB2" i="61"/>
  <c r="BH16" i="61"/>
  <c r="BC2" i="61"/>
  <c r="BI16" i="61"/>
  <c r="BD2" i="61"/>
  <c r="BJ16" i="61"/>
  <c r="BE2" i="61"/>
  <c r="BK16" i="61"/>
  <c r="BF2" i="61"/>
  <c r="BL16" i="61"/>
  <c r="BG2" i="61"/>
  <c r="BM16" i="61"/>
  <c r="BH2" i="61"/>
  <c r="BN16" i="61"/>
  <c r="AP16" i="61"/>
  <c r="AK3" i="61"/>
  <c r="AQ17" i="61"/>
  <c r="AL3" i="61"/>
  <c r="AR17" i="61"/>
  <c r="AM3" i="61"/>
  <c r="AS17" i="61"/>
  <c r="AN3" i="61"/>
  <c r="AT17" i="61"/>
  <c r="AO3" i="61"/>
  <c r="AU17" i="61"/>
  <c r="AP3" i="61"/>
  <c r="AV17" i="61"/>
  <c r="AQ3" i="61"/>
  <c r="AW17" i="61"/>
  <c r="AR3" i="61"/>
  <c r="AX17" i="61"/>
  <c r="AS3" i="61"/>
  <c r="AY17" i="61"/>
  <c r="AT3" i="61"/>
  <c r="AZ17" i="61"/>
  <c r="AU3" i="61"/>
  <c r="BA17" i="61"/>
  <c r="AV3" i="61"/>
  <c r="BB17" i="61"/>
  <c r="AW3" i="61"/>
  <c r="BC17" i="61"/>
  <c r="AX3" i="61"/>
  <c r="BD17" i="61"/>
  <c r="AY3" i="61"/>
  <c r="BE17" i="61"/>
  <c r="AZ3" i="61"/>
  <c r="BF17" i="61"/>
  <c r="BA3" i="61"/>
  <c r="BG17" i="61"/>
  <c r="BB3" i="61"/>
  <c r="BH17" i="61"/>
  <c r="BC3" i="61"/>
  <c r="BI17" i="61"/>
  <c r="BD3" i="61"/>
  <c r="BJ17" i="61"/>
  <c r="BE3" i="61"/>
  <c r="BK17" i="61"/>
  <c r="BF3" i="61"/>
  <c r="BL17" i="61"/>
  <c r="BG3" i="61"/>
  <c r="BM17" i="61"/>
  <c r="BH3" i="61"/>
  <c r="BN17" i="61"/>
  <c r="AP17" i="61"/>
  <c r="AK4" i="61"/>
  <c r="AQ18" i="61"/>
  <c r="AL4" i="61"/>
  <c r="AR18" i="61"/>
  <c r="AM4" i="61"/>
  <c r="AS18" i="61"/>
  <c r="AN4" i="61"/>
  <c r="AT18" i="61"/>
  <c r="AO4" i="61"/>
  <c r="AU18" i="61"/>
  <c r="AP4" i="61"/>
  <c r="AV18" i="61"/>
  <c r="AQ4" i="61"/>
  <c r="AW18" i="61"/>
  <c r="AR4" i="61"/>
  <c r="AX18" i="61"/>
  <c r="AS4" i="61"/>
  <c r="AY18" i="61"/>
  <c r="AT4" i="61"/>
  <c r="AZ18" i="61"/>
  <c r="AU4" i="61"/>
  <c r="BA18" i="61"/>
  <c r="AV4" i="61"/>
  <c r="BB18" i="61"/>
  <c r="AW4" i="61"/>
  <c r="BC18" i="61"/>
  <c r="AX4" i="61"/>
  <c r="BD18" i="61"/>
  <c r="AY4" i="61"/>
  <c r="BE18" i="61"/>
  <c r="AZ4" i="61"/>
  <c r="BF18" i="61"/>
  <c r="BA4" i="61"/>
  <c r="BG18" i="61"/>
  <c r="BB4" i="61"/>
  <c r="BH18" i="61"/>
  <c r="BC4" i="61"/>
  <c r="BI18" i="61"/>
  <c r="BD4" i="61"/>
  <c r="BJ18" i="61"/>
  <c r="BE4" i="61"/>
  <c r="BK18" i="61"/>
  <c r="BF4" i="61"/>
  <c r="BL18" i="61"/>
  <c r="BG4" i="61"/>
  <c r="BM18" i="61"/>
  <c r="BH4" i="61"/>
  <c r="BN18" i="61"/>
  <c r="AP18" i="61"/>
  <c r="AK5" i="61"/>
  <c r="AQ19" i="61"/>
  <c r="AL5" i="61"/>
  <c r="AR19" i="61"/>
  <c r="AM5" i="61"/>
  <c r="AS19" i="61"/>
  <c r="AN5" i="61"/>
  <c r="AT19" i="61"/>
  <c r="AO5" i="61"/>
  <c r="AU19" i="61"/>
  <c r="AP5" i="61"/>
  <c r="AV19" i="61"/>
  <c r="AQ5" i="61"/>
  <c r="AW19" i="61"/>
  <c r="AR5" i="61"/>
  <c r="AX19" i="61"/>
  <c r="AS5" i="61"/>
  <c r="AY19" i="61"/>
  <c r="AT5" i="61"/>
  <c r="AZ19" i="61"/>
  <c r="AU5" i="61"/>
  <c r="BA19" i="61"/>
  <c r="AV5" i="61"/>
  <c r="BB19" i="61"/>
  <c r="AW5" i="61"/>
  <c r="BC19" i="61"/>
  <c r="AX5" i="61"/>
  <c r="BD19" i="61"/>
  <c r="AY5" i="61"/>
  <c r="BE19" i="61"/>
  <c r="AZ5" i="61"/>
  <c r="BF19" i="61"/>
  <c r="BA5" i="61"/>
  <c r="BG19" i="61"/>
  <c r="BB5" i="61"/>
  <c r="BH19" i="61"/>
  <c r="BC5" i="61"/>
  <c r="BI19" i="61"/>
  <c r="BD5" i="61"/>
  <c r="BJ19" i="61"/>
  <c r="BE5" i="61"/>
  <c r="BK19" i="61"/>
  <c r="BF5" i="61"/>
  <c r="BL19" i="61"/>
  <c r="BG5" i="61"/>
  <c r="BM19" i="61"/>
  <c r="BH5" i="61"/>
  <c r="BN19" i="61"/>
  <c r="AP19" i="61"/>
  <c r="AK6" i="61"/>
  <c r="AQ20" i="61"/>
  <c r="AL6" i="61"/>
  <c r="AR20" i="61"/>
  <c r="AM6" i="61"/>
  <c r="AS20" i="61"/>
  <c r="AN6" i="61"/>
  <c r="AT20" i="61"/>
  <c r="AO6" i="61"/>
  <c r="AU20" i="61"/>
  <c r="AP6" i="61"/>
  <c r="AV20" i="61"/>
  <c r="AQ6" i="61"/>
  <c r="AW20" i="61"/>
  <c r="AR6" i="61"/>
  <c r="AX20" i="61"/>
  <c r="AS6" i="61"/>
  <c r="AY20" i="61"/>
  <c r="AT6" i="61"/>
  <c r="AZ20" i="61"/>
  <c r="AU6" i="61"/>
  <c r="BA20" i="61"/>
  <c r="AV6" i="61"/>
  <c r="BB20" i="61"/>
  <c r="AW6" i="61"/>
  <c r="BC20" i="61"/>
  <c r="AX6" i="61"/>
  <c r="BD20" i="61"/>
  <c r="AY6" i="61"/>
  <c r="BE20" i="61"/>
  <c r="AZ6" i="61"/>
  <c r="BF20" i="61"/>
  <c r="BA6" i="61"/>
  <c r="BG20" i="61"/>
  <c r="BB6" i="61"/>
  <c r="BH20" i="61"/>
  <c r="BC6" i="61"/>
  <c r="BI20" i="61"/>
  <c r="BD6" i="61"/>
  <c r="BJ20" i="61"/>
  <c r="BE6" i="61"/>
  <c r="BK20" i="61"/>
  <c r="BF6" i="61"/>
  <c r="BL20" i="61"/>
  <c r="BG6" i="61"/>
  <c r="BM20" i="61"/>
  <c r="BH6" i="61"/>
  <c r="BN20" i="61"/>
  <c r="AP20" i="61"/>
  <c r="AK7" i="61"/>
  <c r="AQ21" i="61"/>
  <c r="AL7" i="61"/>
  <c r="AR21" i="61"/>
  <c r="AM7" i="61"/>
  <c r="AS21" i="61"/>
  <c r="AN7" i="61"/>
  <c r="AT21" i="61"/>
  <c r="AO7" i="61"/>
  <c r="AU21" i="61"/>
  <c r="AP7" i="61"/>
  <c r="AV21" i="61"/>
  <c r="AQ7" i="61"/>
  <c r="AW21" i="61"/>
  <c r="AR7" i="61"/>
  <c r="AX21" i="61"/>
  <c r="AS7" i="61"/>
  <c r="AY21" i="61"/>
  <c r="AT7" i="61"/>
  <c r="AZ21" i="61"/>
  <c r="AU7" i="61"/>
  <c r="BA21" i="61"/>
  <c r="AV7" i="61"/>
  <c r="BB21" i="61"/>
  <c r="AW7" i="61"/>
  <c r="BC21" i="61"/>
  <c r="AX7" i="61"/>
  <c r="BD21" i="61"/>
  <c r="AY7" i="61"/>
  <c r="BE21" i="61"/>
  <c r="AZ7" i="61"/>
  <c r="BF21" i="61"/>
  <c r="BA7" i="61"/>
  <c r="BG21" i="61"/>
  <c r="BB7" i="61"/>
  <c r="BH21" i="61"/>
  <c r="BC7" i="61"/>
  <c r="BI21" i="61"/>
  <c r="BD7" i="61"/>
  <c r="BJ21" i="61"/>
  <c r="BE7" i="61"/>
  <c r="BK21" i="61"/>
  <c r="BF7" i="61"/>
  <c r="BL21" i="61"/>
  <c r="BG7" i="61"/>
  <c r="BM21" i="61"/>
  <c r="BH7" i="61"/>
  <c r="BN21" i="61"/>
  <c r="AP21" i="61"/>
  <c r="AK8" i="61"/>
  <c r="AQ22" i="61"/>
  <c r="AL8" i="61"/>
  <c r="AR22" i="61"/>
  <c r="AM8" i="61"/>
  <c r="AS22" i="61"/>
  <c r="AN8" i="61"/>
  <c r="AT22" i="61"/>
  <c r="AO8" i="61"/>
  <c r="AU22" i="61"/>
  <c r="AP8" i="61"/>
  <c r="AV22" i="61"/>
  <c r="AQ8" i="61"/>
  <c r="AW22" i="61"/>
  <c r="AR8" i="61"/>
  <c r="AX22" i="61"/>
  <c r="AS8" i="61"/>
  <c r="AY22" i="61"/>
  <c r="AT8" i="61"/>
  <c r="AZ22" i="61"/>
  <c r="AU8" i="61"/>
  <c r="BA22" i="61"/>
  <c r="AV8" i="61"/>
  <c r="BB22" i="61"/>
  <c r="AW8" i="61"/>
  <c r="BC22" i="61"/>
  <c r="AX8" i="61"/>
  <c r="BD22" i="61"/>
  <c r="AY8" i="61"/>
  <c r="BE22" i="61"/>
  <c r="AZ8" i="61"/>
  <c r="BF22" i="61"/>
  <c r="BA8" i="61"/>
  <c r="BG22" i="61"/>
  <c r="BB8" i="61"/>
  <c r="BH22" i="61"/>
  <c r="BC8" i="61"/>
  <c r="BI22" i="61"/>
  <c r="BD8" i="61"/>
  <c r="BJ22" i="61"/>
  <c r="BE8" i="61"/>
  <c r="BK22" i="61"/>
  <c r="BF8" i="61"/>
  <c r="BL22" i="61"/>
  <c r="BG8" i="61"/>
  <c r="BM22" i="61"/>
  <c r="BH8" i="61"/>
  <c r="BN22" i="61"/>
  <c r="AP22" i="61"/>
  <c r="AK9" i="61"/>
  <c r="AQ23" i="61"/>
  <c r="AL9" i="61"/>
  <c r="AR23" i="61"/>
  <c r="AM9" i="61"/>
  <c r="AS23" i="61"/>
  <c r="AN9" i="61"/>
  <c r="AT23" i="61"/>
  <c r="AO9" i="61"/>
  <c r="AU23" i="61"/>
  <c r="AP9" i="61"/>
  <c r="AV23" i="61"/>
  <c r="AQ9" i="61"/>
  <c r="AW23" i="61"/>
  <c r="AR9" i="61"/>
  <c r="AX23" i="61"/>
  <c r="AS9" i="61"/>
  <c r="AY23" i="61"/>
  <c r="AT9" i="61"/>
  <c r="AZ23" i="61"/>
  <c r="AU9" i="61"/>
  <c r="BA23" i="61"/>
  <c r="AV9" i="61"/>
  <c r="BB23" i="61"/>
  <c r="AW9" i="61"/>
  <c r="BC23" i="61"/>
  <c r="AX9" i="61"/>
  <c r="BD23" i="61"/>
  <c r="AY9" i="61"/>
  <c r="BE23" i="61"/>
  <c r="AZ9" i="61"/>
  <c r="BF23" i="61"/>
  <c r="BA9" i="61"/>
  <c r="BG23" i="61"/>
  <c r="BB9" i="61"/>
  <c r="BH23" i="61"/>
  <c r="BC9" i="61"/>
  <c r="BI23" i="61"/>
  <c r="BD9" i="61"/>
  <c r="BJ23" i="61"/>
  <c r="BE9" i="61"/>
  <c r="BK23" i="61"/>
  <c r="BF9" i="61"/>
  <c r="BL23" i="61"/>
  <c r="BG9" i="61"/>
  <c r="BM23" i="61"/>
  <c r="BH9" i="61"/>
  <c r="BN23" i="61"/>
  <c r="AP23" i="61"/>
  <c r="AK10" i="61"/>
  <c r="AQ24" i="61"/>
  <c r="AL10" i="61"/>
  <c r="AR24" i="61"/>
  <c r="AM10" i="61"/>
  <c r="AS24" i="61"/>
  <c r="AN10" i="61"/>
  <c r="AT24" i="61"/>
  <c r="AO10" i="61"/>
  <c r="AU24" i="61"/>
  <c r="AP10" i="61"/>
  <c r="AV24" i="61"/>
  <c r="AQ10" i="61"/>
  <c r="AW24" i="61"/>
  <c r="AR10" i="61"/>
  <c r="AX24" i="61"/>
  <c r="AS10" i="61"/>
  <c r="AY24" i="61"/>
  <c r="AT10" i="61"/>
  <c r="AZ24" i="61"/>
  <c r="AU10" i="61"/>
  <c r="BA24" i="61"/>
  <c r="AV10" i="61"/>
  <c r="BB24" i="61"/>
  <c r="AW10" i="61"/>
  <c r="BC24" i="61"/>
  <c r="AX10" i="61"/>
  <c r="BD24" i="61"/>
  <c r="AY10" i="61"/>
  <c r="BE24" i="61"/>
  <c r="AZ10" i="61"/>
  <c r="BF24" i="61"/>
  <c r="BA10" i="61"/>
  <c r="BG24" i="61"/>
  <c r="BB10" i="61"/>
  <c r="BH24" i="61"/>
  <c r="BC10" i="61"/>
  <c r="BI24" i="61"/>
  <c r="BD10" i="61"/>
  <c r="BJ24" i="61"/>
  <c r="BE10" i="61"/>
  <c r="BK24" i="61"/>
  <c r="BF10" i="61"/>
  <c r="BL24" i="61"/>
  <c r="BG10" i="61"/>
  <c r="BM24" i="61"/>
  <c r="BH10" i="61"/>
  <c r="BN24" i="61"/>
  <c r="AP24" i="61"/>
  <c r="AK11" i="61"/>
  <c r="AQ25" i="61"/>
  <c r="AL11" i="61"/>
  <c r="AR25" i="61"/>
  <c r="AM11" i="61"/>
  <c r="AS25" i="61"/>
  <c r="AN11" i="61"/>
  <c r="AT25" i="61"/>
  <c r="AO11" i="61"/>
  <c r="AU25" i="61"/>
  <c r="AP11" i="61"/>
  <c r="AV25" i="61"/>
  <c r="AQ11" i="61"/>
  <c r="AW25" i="61"/>
  <c r="AR11" i="61"/>
  <c r="AX25" i="61"/>
  <c r="AS11" i="61"/>
  <c r="AY25" i="61"/>
  <c r="AT11" i="61"/>
  <c r="AZ25" i="61"/>
  <c r="AU11" i="61"/>
  <c r="BA25" i="61"/>
  <c r="AV11" i="61"/>
  <c r="BB25" i="61"/>
  <c r="AW11" i="61"/>
  <c r="BC25" i="61"/>
  <c r="AX11" i="61"/>
  <c r="BD25" i="61"/>
  <c r="AY11" i="61"/>
  <c r="BE25" i="61"/>
  <c r="AZ11" i="61"/>
  <c r="BF25" i="61"/>
  <c r="BA11" i="61"/>
  <c r="BG25" i="61"/>
  <c r="BB11" i="61"/>
  <c r="BH25" i="61"/>
  <c r="BC11" i="61"/>
  <c r="BI25" i="61"/>
  <c r="BD11" i="61"/>
  <c r="BJ25" i="61"/>
  <c r="BE11" i="61"/>
  <c r="BK25" i="61"/>
  <c r="BF11" i="61"/>
  <c r="BL25" i="61"/>
  <c r="BG11" i="61"/>
  <c r="BM25" i="61"/>
  <c r="BH11" i="61"/>
  <c r="BN25" i="61"/>
  <c r="AP25" i="61"/>
  <c r="AK12" i="61"/>
  <c r="AQ26" i="61"/>
  <c r="AL12" i="61"/>
  <c r="AR26" i="61"/>
  <c r="AM12" i="61"/>
  <c r="AS26" i="61"/>
  <c r="AN12" i="61"/>
  <c r="AT26" i="61"/>
  <c r="AO12" i="61"/>
  <c r="AU26" i="61"/>
  <c r="AP12" i="61"/>
  <c r="AV26" i="61"/>
  <c r="AQ12" i="61"/>
  <c r="AW26" i="61"/>
  <c r="AR12" i="61"/>
  <c r="AX26" i="61"/>
  <c r="AS12" i="61"/>
  <c r="AY26" i="61"/>
  <c r="AT12" i="61"/>
  <c r="AZ26" i="61"/>
  <c r="AU12" i="61"/>
  <c r="BA26" i="61"/>
  <c r="AV12" i="61"/>
  <c r="BB26" i="61"/>
  <c r="AW12" i="61"/>
  <c r="BC26" i="61"/>
  <c r="AX12" i="61"/>
  <c r="BD26" i="61"/>
  <c r="AY12" i="61"/>
  <c r="BE26" i="61"/>
  <c r="AZ12" i="61"/>
  <c r="BF26" i="61"/>
  <c r="BA12" i="61"/>
  <c r="BG26" i="61"/>
  <c r="BB12" i="61"/>
  <c r="BH26" i="61"/>
  <c r="BC12" i="61"/>
  <c r="BI26" i="61"/>
  <c r="BD12" i="61"/>
  <c r="BJ26" i="61"/>
  <c r="BE12" i="61"/>
  <c r="BK26" i="61"/>
  <c r="BF12" i="61"/>
  <c r="BL26" i="61"/>
  <c r="BG12" i="61"/>
  <c r="BM26" i="61"/>
  <c r="BH12" i="61"/>
  <c r="BN26" i="61"/>
  <c r="AP26" i="61"/>
  <c r="AK13" i="61"/>
  <c r="AQ27" i="61"/>
  <c r="AL13" i="61"/>
  <c r="AR27" i="61"/>
  <c r="AM13" i="61"/>
  <c r="AS27" i="61"/>
  <c r="AN13" i="61"/>
  <c r="AT27" i="61"/>
  <c r="AO13" i="61"/>
  <c r="AU27" i="61"/>
  <c r="AP13" i="61"/>
  <c r="AV27" i="61"/>
  <c r="AQ13" i="61"/>
  <c r="AW27" i="61"/>
  <c r="AR13" i="61"/>
  <c r="AX27" i="61"/>
  <c r="AS13" i="61"/>
  <c r="AY27" i="61"/>
  <c r="AT13" i="61"/>
  <c r="AZ27" i="61"/>
  <c r="AU13" i="61"/>
  <c r="BA27" i="61"/>
  <c r="AV13" i="61"/>
  <c r="BB27" i="61"/>
  <c r="AW13" i="61"/>
  <c r="BC27" i="61"/>
  <c r="AX13" i="61"/>
  <c r="BD27" i="61"/>
  <c r="AY13" i="61"/>
  <c r="BE27" i="61"/>
  <c r="AZ13" i="61"/>
  <c r="BF27" i="61"/>
  <c r="BA13" i="61"/>
  <c r="BG27" i="61"/>
  <c r="BB13" i="61"/>
  <c r="BH27" i="61"/>
  <c r="BC13" i="61"/>
  <c r="BI27" i="61"/>
  <c r="BD13" i="61"/>
  <c r="BJ27" i="61"/>
  <c r="BE13" i="61"/>
  <c r="BK27" i="61"/>
  <c r="BF13" i="61"/>
  <c r="BL27" i="61"/>
  <c r="BG13" i="61"/>
  <c r="BM27" i="61"/>
  <c r="BH13" i="61"/>
  <c r="BN27" i="61"/>
  <c r="AP27" i="61"/>
  <c r="AP28" i="61"/>
  <c r="AN16" i="61"/>
  <c r="AN17" i="61"/>
  <c r="AN18" i="61"/>
  <c r="AN20" i="61"/>
  <c r="AN21" i="61"/>
  <c r="AN22" i="61"/>
  <c r="AN23" i="61"/>
  <c r="AN24" i="61"/>
  <c r="AN25" i="61"/>
  <c r="AN26" i="61"/>
  <c r="AN27" i="61"/>
  <c r="AM16" i="61"/>
  <c r="AM17" i="61"/>
  <c r="AM18" i="61"/>
  <c r="AM20" i="61"/>
  <c r="AM21" i="61"/>
  <c r="AM22" i="61"/>
  <c r="AM23" i="61"/>
  <c r="AM24" i="61"/>
  <c r="AM25" i="61"/>
  <c r="AM26" i="61"/>
  <c r="AM27" i="61"/>
  <c r="AL16" i="61"/>
  <c r="AL17" i="61"/>
  <c r="AL18" i="61"/>
  <c r="AL20" i="61"/>
  <c r="AL21" i="61"/>
  <c r="AL22" i="61"/>
  <c r="AL23" i="61"/>
  <c r="AL24" i="61"/>
  <c r="AL25" i="61"/>
  <c r="AL26" i="61"/>
  <c r="AL27" i="61"/>
  <c r="AK16" i="61"/>
  <c r="AK17" i="61"/>
  <c r="AK18" i="61"/>
  <c r="AK20" i="61"/>
  <c r="AK21" i="61"/>
  <c r="AK22" i="61"/>
  <c r="AK23" i="61"/>
  <c r="AK24" i="61"/>
  <c r="AK25" i="61"/>
  <c r="AK26" i="61"/>
  <c r="AK27" i="61"/>
  <c r="Z2" i="61"/>
  <c r="AA2" i="61"/>
  <c r="AB2" i="61"/>
  <c r="AC2" i="61"/>
  <c r="AA16" i="61"/>
  <c r="Z3" i="61"/>
  <c r="AA3" i="61"/>
  <c r="AB3" i="61"/>
  <c r="AC3" i="61"/>
  <c r="AA17" i="61"/>
  <c r="Z4" i="61"/>
  <c r="AA4" i="61"/>
  <c r="AB4" i="61"/>
  <c r="AC4" i="61"/>
  <c r="AA18" i="61"/>
  <c r="Z5" i="61"/>
  <c r="AA5" i="61"/>
  <c r="AB5" i="61"/>
  <c r="AC5" i="61"/>
  <c r="AA19" i="61"/>
  <c r="Z6" i="61"/>
  <c r="AA6" i="61"/>
  <c r="AB6" i="61"/>
  <c r="AC6" i="61"/>
  <c r="AA20" i="61"/>
  <c r="Z7" i="61"/>
  <c r="AA7" i="61"/>
  <c r="AB7" i="61"/>
  <c r="AC7" i="61"/>
  <c r="AA21" i="61"/>
  <c r="Z8" i="61"/>
  <c r="AA8" i="61"/>
  <c r="AB8" i="61"/>
  <c r="AC8" i="61"/>
  <c r="AA22" i="61"/>
  <c r="Z9" i="61"/>
  <c r="AA9" i="61"/>
  <c r="AB9" i="61"/>
  <c r="AC9" i="61"/>
  <c r="AA23" i="61"/>
  <c r="Z10" i="61"/>
  <c r="AA10" i="61"/>
  <c r="AB10" i="61"/>
  <c r="AC10" i="61"/>
  <c r="AA24" i="61"/>
  <c r="Z11" i="61"/>
  <c r="AA11" i="61"/>
  <c r="AB11" i="61"/>
  <c r="AC11" i="61"/>
  <c r="AA25" i="61"/>
  <c r="Z12" i="61"/>
  <c r="AA12" i="61"/>
  <c r="AB12" i="61"/>
  <c r="AC12" i="61"/>
  <c r="AA26" i="61"/>
  <c r="Z13" i="61"/>
  <c r="AA13" i="61"/>
  <c r="AB13" i="61"/>
  <c r="AC13" i="61"/>
  <c r="AA27" i="61"/>
  <c r="AA28" i="61"/>
  <c r="Z16" i="61"/>
  <c r="Z17" i="61"/>
  <c r="Z18" i="61"/>
  <c r="Z19" i="61"/>
  <c r="Z20" i="61"/>
  <c r="Z21" i="61"/>
  <c r="Z22" i="61"/>
  <c r="Z23" i="61"/>
  <c r="Z24" i="61"/>
  <c r="Z25" i="61"/>
  <c r="Z26" i="61"/>
  <c r="Z27" i="61"/>
  <c r="Z28" i="61"/>
  <c r="S28" i="61"/>
  <c r="R28" i="61"/>
  <c r="Q28" i="61"/>
  <c r="P28" i="61"/>
  <c r="N28" i="61"/>
  <c r="M28" i="61"/>
  <c r="L28" i="61"/>
  <c r="K28" i="61"/>
  <c r="D27" i="61"/>
  <c r="N25" i="61"/>
  <c r="M25" i="61"/>
  <c r="L25" i="61"/>
  <c r="K25" i="61"/>
  <c r="D25" i="61"/>
  <c r="H16" i="61"/>
  <c r="D23" i="61"/>
  <c r="G16" i="61"/>
  <c r="D21" i="61"/>
  <c r="M19" i="61"/>
  <c r="W16" i="61"/>
  <c r="V16" i="61"/>
  <c r="U16" i="61"/>
  <c r="E50" i="60"/>
  <c r="A50" i="60"/>
  <c r="E49" i="60"/>
  <c r="A49" i="60"/>
  <c r="E48" i="60"/>
  <c r="A48" i="60"/>
  <c r="E47" i="60"/>
  <c r="A47" i="60"/>
  <c r="E46" i="60"/>
  <c r="A46" i="60"/>
  <c r="E45" i="60"/>
  <c r="A45" i="60"/>
  <c r="E44" i="60"/>
  <c r="A44" i="60"/>
  <c r="E43" i="60"/>
  <c r="A43" i="60"/>
  <c r="X15" i="60"/>
  <c r="E42" i="60"/>
  <c r="A42" i="60"/>
  <c r="X14" i="60"/>
  <c r="E41" i="60"/>
  <c r="A41" i="60"/>
  <c r="X13" i="60"/>
  <c r="E40" i="60"/>
  <c r="A40" i="60"/>
  <c r="E39" i="60"/>
  <c r="A39" i="60"/>
  <c r="X11" i="60"/>
  <c r="X10" i="60"/>
  <c r="X9" i="60"/>
  <c r="R16" i="60"/>
  <c r="X8" i="60"/>
  <c r="X7" i="60"/>
  <c r="X4" i="60"/>
  <c r="X5" i="60"/>
  <c r="X6" i="60"/>
  <c r="AE3" i="60"/>
  <c r="AF3" i="60"/>
  <c r="AG3" i="60"/>
  <c r="AH3" i="60"/>
  <c r="AI3" i="60"/>
  <c r="AG17" i="60"/>
  <c r="AE4" i="60"/>
  <c r="AF4" i="60"/>
  <c r="AG4" i="60"/>
  <c r="AH4" i="60"/>
  <c r="AI4" i="60"/>
  <c r="AG18" i="60"/>
  <c r="AE5" i="60"/>
  <c r="AF5" i="60"/>
  <c r="AG5" i="60"/>
  <c r="AH5" i="60"/>
  <c r="AI5" i="60"/>
  <c r="AG19" i="60"/>
  <c r="AE6" i="60"/>
  <c r="AF6" i="60"/>
  <c r="AG6" i="60"/>
  <c r="AH6" i="60"/>
  <c r="AI6" i="60"/>
  <c r="AG20" i="60"/>
  <c r="AE8" i="60"/>
  <c r="AF8" i="60"/>
  <c r="AG8" i="60"/>
  <c r="AH8" i="60"/>
  <c r="AI8" i="60"/>
  <c r="AG22" i="60"/>
  <c r="AE9" i="60"/>
  <c r="AF9" i="60"/>
  <c r="AG9" i="60"/>
  <c r="AH9" i="60"/>
  <c r="AI9" i="60"/>
  <c r="AG23" i="60"/>
  <c r="AE11" i="60"/>
  <c r="AF11" i="60"/>
  <c r="AG11" i="60"/>
  <c r="AH11" i="60"/>
  <c r="AI11" i="60"/>
  <c r="AG25" i="60"/>
  <c r="AE12" i="60"/>
  <c r="AF12" i="60"/>
  <c r="AG12" i="60"/>
  <c r="AH12" i="60"/>
  <c r="AI12" i="60"/>
  <c r="AG26" i="60"/>
  <c r="AE13" i="60"/>
  <c r="AF13" i="60"/>
  <c r="AG13" i="60"/>
  <c r="AH13" i="60"/>
  <c r="AI13" i="60"/>
  <c r="AG27" i="60"/>
  <c r="AF17" i="60"/>
  <c r="AF18" i="60"/>
  <c r="AF19" i="60"/>
  <c r="AF20" i="60"/>
  <c r="AF22" i="60"/>
  <c r="AF23" i="60"/>
  <c r="AF25" i="60"/>
  <c r="AF26" i="60"/>
  <c r="AF27" i="60"/>
  <c r="J29" i="60"/>
  <c r="I29" i="60"/>
  <c r="H29" i="60"/>
  <c r="G29" i="60"/>
  <c r="F16" i="60"/>
  <c r="D29" i="60"/>
  <c r="AK2" i="60"/>
  <c r="AQ16" i="60"/>
  <c r="AL2" i="60"/>
  <c r="AR16" i="60"/>
  <c r="AM2" i="60"/>
  <c r="AS16" i="60"/>
  <c r="AN2" i="60"/>
  <c r="AT16" i="60"/>
  <c r="AO2" i="60"/>
  <c r="AU16" i="60"/>
  <c r="AP2" i="60"/>
  <c r="AV16" i="60"/>
  <c r="AQ2" i="60"/>
  <c r="AW16" i="60"/>
  <c r="AR2" i="60"/>
  <c r="AX16" i="60"/>
  <c r="AS2" i="60"/>
  <c r="AY16" i="60"/>
  <c r="AT2" i="60"/>
  <c r="AZ16" i="60"/>
  <c r="AU2" i="60"/>
  <c r="BA16" i="60"/>
  <c r="AV2" i="60"/>
  <c r="BB16" i="60"/>
  <c r="AW2" i="60"/>
  <c r="BC16" i="60"/>
  <c r="AX2" i="60"/>
  <c r="BD16" i="60"/>
  <c r="AY2" i="60"/>
  <c r="BE16" i="60"/>
  <c r="AZ2" i="60"/>
  <c r="BF16" i="60"/>
  <c r="BA2" i="60"/>
  <c r="BG16" i="60"/>
  <c r="BB2" i="60"/>
  <c r="BH16" i="60"/>
  <c r="BC2" i="60"/>
  <c r="BI16" i="60"/>
  <c r="BD2" i="60"/>
  <c r="BJ16" i="60"/>
  <c r="BE2" i="60"/>
  <c r="BK16" i="60"/>
  <c r="BF2" i="60"/>
  <c r="BL16" i="60"/>
  <c r="BG2" i="60"/>
  <c r="BM16" i="60"/>
  <c r="BH2" i="60"/>
  <c r="BN16" i="60"/>
  <c r="AP16" i="60"/>
  <c r="AK3" i="60"/>
  <c r="AQ17" i="60"/>
  <c r="AL3" i="60"/>
  <c r="AR17" i="60"/>
  <c r="AM3" i="60"/>
  <c r="AS17" i="60"/>
  <c r="AN3" i="60"/>
  <c r="AT17" i="60"/>
  <c r="AO3" i="60"/>
  <c r="AU17" i="60"/>
  <c r="AP3" i="60"/>
  <c r="AV17" i="60"/>
  <c r="AQ3" i="60"/>
  <c r="AW17" i="60"/>
  <c r="AR3" i="60"/>
  <c r="AX17" i="60"/>
  <c r="AS3" i="60"/>
  <c r="AY17" i="60"/>
  <c r="AT3" i="60"/>
  <c r="AZ17" i="60"/>
  <c r="AU3" i="60"/>
  <c r="BA17" i="60"/>
  <c r="AV3" i="60"/>
  <c r="BB17" i="60"/>
  <c r="AW3" i="60"/>
  <c r="BC17" i="60"/>
  <c r="AX3" i="60"/>
  <c r="BD17" i="60"/>
  <c r="AY3" i="60"/>
  <c r="BE17" i="60"/>
  <c r="AZ3" i="60"/>
  <c r="BF17" i="60"/>
  <c r="BA3" i="60"/>
  <c r="BG17" i="60"/>
  <c r="BB3" i="60"/>
  <c r="BH17" i="60"/>
  <c r="BC3" i="60"/>
  <c r="BI17" i="60"/>
  <c r="BD3" i="60"/>
  <c r="BJ17" i="60"/>
  <c r="BE3" i="60"/>
  <c r="BK17" i="60"/>
  <c r="BF3" i="60"/>
  <c r="BL17" i="60"/>
  <c r="BG3" i="60"/>
  <c r="BM17" i="60"/>
  <c r="BH3" i="60"/>
  <c r="BN17" i="60"/>
  <c r="AP17" i="60"/>
  <c r="AK4" i="60"/>
  <c r="AQ18" i="60"/>
  <c r="AL4" i="60"/>
  <c r="AR18" i="60"/>
  <c r="AM4" i="60"/>
  <c r="AS18" i="60"/>
  <c r="AN4" i="60"/>
  <c r="AT18" i="60"/>
  <c r="AO4" i="60"/>
  <c r="AU18" i="60"/>
  <c r="AP4" i="60"/>
  <c r="AV18" i="60"/>
  <c r="AQ4" i="60"/>
  <c r="AW18" i="60"/>
  <c r="AR4" i="60"/>
  <c r="AX18" i="60"/>
  <c r="AS4" i="60"/>
  <c r="AY18" i="60"/>
  <c r="AT4" i="60"/>
  <c r="AZ18" i="60"/>
  <c r="AU4" i="60"/>
  <c r="BA18" i="60"/>
  <c r="AV4" i="60"/>
  <c r="BB18" i="60"/>
  <c r="AW4" i="60"/>
  <c r="BC18" i="60"/>
  <c r="AX4" i="60"/>
  <c r="BD18" i="60"/>
  <c r="AY4" i="60"/>
  <c r="BE18" i="60"/>
  <c r="AZ4" i="60"/>
  <c r="BF18" i="60"/>
  <c r="BA4" i="60"/>
  <c r="BG18" i="60"/>
  <c r="BB4" i="60"/>
  <c r="BH18" i="60"/>
  <c r="BC4" i="60"/>
  <c r="BI18" i="60"/>
  <c r="BD4" i="60"/>
  <c r="BJ18" i="60"/>
  <c r="BE4" i="60"/>
  <c r="BK18" i="60"/>
  <c r="BF4" i="60"/>
  <c r="BL18" i="60"/>
  <c r="BG4" i="60"/>
  <c r="BM18" i="60"/>
  <c r="BH4" i="60"/>
  <c r="BN18" i="60"/>
  <c r="AP18" i="60"/>
  <c r="AK5" i="60"/>
  <c r="AQ19" i="60"/>
  <c r="AL5" i="60"/>
  <c r="AR19" i="60"/>
  <c r="AM5" i="60"/>
  <c r="AS19" i="60"/>
  <c r="AN5" i="60"/>
  <c r="AT19" i="60"/>
  <c r="AO5" i="60"/>
  <c r="AU19" i="60"/>
  <c r="AP5" i="60"/>
  <c r="AV19" i="60"/>
  <c r="AQ5" i="60"/>
  <c r="AW19" i="60"/>
  <c r="AR5" i="60"/>
  <c r="AX19" i="60"/>
  <c r="AS5" i="60"/>
  <c r="AY19" i="60"/>
  <c r="AT5" i="60"/>
  <c r="AZ19" i="60"/>
  <c r="AU5" i="60"/>
  <c r="BA19" i="60"/>
  <c r="AV5" i="60"/>
  <c r="BB19" i="60"/>
  <c r="AW5" i="60"/>
  <c r="BC19" i="60"/>
  <c r="AX5" i="60"/>
  <c r="BD19" i="60"/>
  <c r="AY5" i="60"/>
  <c r="BE19" i="60"/>
  <c r="AZ5" i="60"/>
  <c r="BF19" i="60"/>
  <c r="BA5" i="60"/>
  <c r="BG19" i="60"/>
  <c r="BB5" i="60"/>
  <c r="BH19" i="60"/>
  <c r="BC5" i="60"/>
  <c r="BI19" i="60"/>
  <c r="BD5" i="60"/>
  <c r="BJ19" i="60"/>
  <c r="BE5" i="60"/>
  <c r="BK19" i="60"/>
  <c r="BF5" i="60"/>
  <c r="BL19" i="60"/>
  <c r="BG5" i="60"/>
  <c r="BM19" i="60"/>
  <c r="BH5" i="60"/>
  <c r="BN19" i="60"/>
  <c r="AP19" i="60"/>
  <c r="AK6" i="60"/>
  <c r="AQ20" i="60"/>
  <c r="AL6" i="60"/>
  <c r="AR20" i="60"/>
  <c r="AM6" i="60"/>
  <c r="AS20" i="60"/>
  <c r="AN6" i="60"/>
  <c r="AT20" i="60"/>
  <c r="AO6" i="60"/>
  <c r="AU20" i="60"/>
  <c r="AP6" i="60"/>
  <c r="AV20" i="60"/>
  <c r="AQ6" i="60"/>
  <c r="AW20" i="60"/>
  <c r="AR6" i="60"/>
  <c r="AX20" i="60"/>
  <c r="AS6" i="60"/>
  <c r="AY20" i="60"/>
  <c r="AT6" i="60"/>
  <c r="AZ20" i="60"/>
  <c r="AU6" i="60"/>
  <c r="BA20" i="60"/>
  <c r="AV6" i="60"/>
  <c r="BB20" i="60"/>
  <c r="AW6" i="60"/>
  <c r="BC20" i="60"/>
  <c r="AX6" i="60"/>
  <c r="BD20" i="60"/>
  <c r="AY6" i="60"/>
  <c r="BE20" i="60"/>
  <c r="AZ6" i="60"/>
  <c r="BF20" i="60"/>
  <c r="BA6" i="60"/>
  <c r="BG20" i="60"/>
  <c r="BB6" i="60"/>
  <c r="BH20" i="60"/>
  <c r="BC6" i="60"/>
  <c r="BI20" i="60"/>
  <c r="BD6" i="60"/>
  <c r="BJ20" i="60"/>
  <c r="BE6" i="60"/>
  <c r="BK20" i="60"/>
  <c r="BF6" i="60"/>
  <c r="BL20" i="60"/>
  <c r="BG6" i="60"/>
  <c r="BM20" i="60"/>
  <c r="BH6" i="60"/>
  <c r="BN20" i="60"/>
  <c r="AP20" i="60"/>
  <c r="AK7" i="60"/>
  <c r="AQ21" i="60"/>
  <c r="AL7" i="60"/>
  <c r="AR21" i="60"/>
  <c r="AM7" i="60"/>
  <c r="AS21" i="60"/>
  <c r="AN7" i="60"/>
  <c r="AT21" i="60"/>
  <c r="AO7" i="60"/>
  <c r="AU21" i="60"/>
  <c r="AP7" i="60"/>
  <c r="AV21" i="60"/>
  <c r="AQ7" i="60"/>
  <c r="AW21" i="60"/>
  <c r="AR7" i="60"/>
  <c r="AX21" i="60"/>
  <c r="AS7" i="60"/>
  <c r="AY21" i="60"/>
  <c r="AT7" i="60"/>
  <c r="AZ21" i="60"/>
  <c r="AU7" i="60"/>
  <c r="BA21" i="60"/>
  <c r="AV7" i="60"/>
  <c r="BB21" i="60"/>
  <c r="AW7" i="60"/>
  <c r="BC21" i="60"/>
  <c r="AX7" i="60"/>
  <c r="BD21" i="60"/>
  <c r="AY7" i="60"/>
  <c r="BE21" i="60"/>
  <c r="AZ7" i="60"/>
  <c r="BF21" i="60"/>
  <c r="BA7" i="60"/>
  <c r="BG21" i="60"/>
  <c r="BB7" i="60"/>
  <c r="BH21" i="60"/>
  <c r="BC7" i="60"/>
  <c r="BI21" i="60"/>
  <c r="BD7" i="60"/>
  <c r="BJ21" i="60"/>
  <c r="BE7" i="60"/>
  <c r="BK21" i="60"/>
  <c r="BF7" i="60"/>
  <c r="BL21" i="60"/>
  <c r="BG7" i="60"/>
  <c r="BM21" i="60"/>
  <c r="BH7" i="60"/>
  <c r="BN21" i="60"/>
  <c r="AP21" i="60"/>
  <c r="AK8" i="60"/>
  <c r="AQ22" i="60"/>
  <c r="AL8" i="60"/>
  <c r="AR22" i="60"/>
  <c r="AM8" i="60"/>
  <c r="AS22" i="60"/>
  <c r="AN8" i="60"/>
  <c r="AT22" i="60"/>
  <c r="AO8" i="60"/>
  <c r="AU22" i="60"/>
  <c r="AP8" i="60"/>
  <c r="AV22" i="60"/>
  <c r="AQ8" i="60"/>
  <c r="AW22" i="60"/>
  <c r="AR8" i="60"/>
  <c r="AX22" i="60"/>
  <c r="AS8" i="60"/>
  <c r="AY22" i="60"/>
  <c r="AT8" i="60"/>
  <c r="AZ22" i="60"/>
  <c r="AU8" i="60"/>
  <c r="BA22" i="60"/>
  <c r="AV8" i="60"/>
  <c r="BB22" i="60"/>
  <c r="AW8" i="60"/>
  <c r="BC22" i="60"/>
  <c r="AX8" i="60"/>
  <c r="BD22" i="60"/>
  <c r="AY8" i="60"/>
  <c r="BE22" i="60"/>
  <c r="AZ8" i="60"/>
  <c r="BF22" i="60"/>
  <c r="BA8" i="60"/>
  <c r="BG22" i="60"/>
  <c r="BB8" i="60"/>
  <c r="BH22" i="60"/>
  <c r="BC8" i="60"/>
  <c r="BI22" i="60"/>
  <c r="BD8" i="60"/>
  <c r="BJ22" i="60"/>
  <c r="BE8" i="60"/>
  <c r="BK22" i="60"/>
  <c r="BF8" i="60"/>
  <c r="BL22" i="60"/>
  <c r="BG8" i="60"/>
  <c r="BM22" i="60"/>
  <c r="BH8" i="60"/>
  <c r="BN22" i="60"/>
  <c r="AP22" i="60"/>
  <c r="AK9" i="60"/>
  <c r="AQ23" i="60"/>
  <c r="AL9" i="60"/>
  <c r="AR23" i="60"/>
  <c r="AM9" i="60"/>
  <c r="AS23" i="60"/>
  <c r="AN9" i="60"/>
  <c r="AT23" i="60"/>
  <c r="AO9" i="60"/>
  <c r="AU23" i="60"/>
  <c r="AP9" i="60"/>
  <c r="AV23" i="60"/>
  <c r="AQ9" i="60"/>
  <c r="AW23" i="60"/>
  <c r="AR9" i="60"/>
  <c r="AX23" i="60"/>
  <c r="AS9" i="60"/>
  <c r="AY23" i="60"/>
  <c r="AT9" i="60"/>
  <c r="AZ23" i="60"/>
  <c r="AU9" i="60"/>
  <c r="BA23" i="60"/>
  <c r="AV9" i="60"/>
  <c r="BB23" i="60"/>
  <c r="AW9" i="60"/>
  <c r="BC23" i="60"/>
  <c r="AX9" i="60"/>
  <c r="BD23" i="60"/>
  <c r="AY9" i="60"/>
  <c r="BE23" i="60"/>
  <c r="AZ9" i="60"/>
  <c r="BF23" i="60"/>
  <c r="BA9" i="60"/>
  <c r="BG23" i="60"/>
  <c r="BB9" i="60"/>
  <c r="BH23" i="60"/>
  <c r="BC9" i="60"/>
  <c r="BI23" i="60"/>
  <c r="BD9" i="60"/>
  <c r="BJ23" i="60"/>
  <c r="BE9" i="60"/>
  <c r="BK23" i="60"/>
  <c r="BF9" i="60"/>
  <c r="BL23" i="60"/>
  <c r="BG9" i="60"/>
  <c r="BM23" i="60"/>
  <c r="BH9" i="60"/>
  <c r="BN23" i="60"/>
  <c r="AP23" i="60"/>
  <c r="AK10" i="60"/>
  <c r="AQ24" i="60"/>
  <c r="AL10" i="60"/>
  <c r="AR24" i="60"/>
  <c r="AM10" i="60"/>
  <c r="AS24" i="60"/>
  <c r="AN10" i="60"/>
  <c r="AT24" i="60"/>
  <c r="AO10" i="60"/>
  <c r="AU24" i="60"/>
  <c r="AP10" i="60"/>
  <c r="AV24" i="60"/>
  <c r="AQ10" i="60"/>
  <c r="AW24" i="60"/>
  <c r="AR10" i="60"/>
  <c r="AX24" i="60"/>
  <c r="AS10" i="60"/>
  <c r="AY24" i="60"/>
  <c r="AT10" i="60"/>
  <c r="AZ24" i="60"/>
  <c r="AU10" i="60"/>
  <c r="BA24" i="60"/>
  <c r="AV10" i="60"/>
  <c r="BB24" i="60"/>
  <c r="AW10" i="60"/>
  <c r="BC24" i="60"/>
  <c r="AX10" i="60"/>
  <c r="BD24" i="60"/>
  <c r="AY10" i="60"/>
  <c r="BE24" i="60"/>
  <c r="AZ10" i="60"/>
  <c r="BF24" i="60"/>
  <c r="BA10" i="60"/>
  <c r="BG24" i="60"/>
  <c r="BB10" i="60"/>
  <c r="BH24" i="60"/>
  <c r="BC10" i="60"/>
  <c r="BI24" i="60"/>
  <c r="BD10" i="60"/>
  <c r="BJ24" i="60"/>
  <c r="BE10" i="60"/>
  <c r="BK24" i="60"/>
  <c r="BF10" i="60"/>
  <c r="BL24" i="60"/>
  <c r="BG10" i="60"/>
  <c r="BM24" i="60"/>
  <c r="BH10" i="60"/>
  <c r="BN24" i="60"/>
  <c r="AP24" i="60"/>
  <c r="AK11" i="60"/>
  <c r="AQ25" i="60"/>
  <c r="AL11" i="60"/>
  <c r="AR25" i="60"/>
  <c r="AM11" i="60"/>
  <c r="AS25" i="60"/>
  <c r="AN11" i="60"/>
  <c r="AT25" i="60"/>
  <c r="AO11" i="60"/>
  <c r="AU25" i="60"/>
  <c r="AP11" i="60"/>
  <c r="AV25" i="60"/>
  <c r="AQ11" i="60"/>
  <c r="AW25" i="60"/>
  <c r="AR11" i="60"/>
  <c r="AX25" i="60"/>
  <c r="AS11" i="60"/>
  <c r="AY25" i="60"/>
  <c r="AT11" i="60"/>
  <c r="AZ25" i="60"/>
  <c r="AU11" i="60"/>
  <c r="BA25" i="60"/>
  <c r="AV11" i="60"/>
  <c r="BB25" i="60"/>
  <c r="AW11" i="60"/>
  <c r="BC25" i="60"/>
  <c r="AX11" i="60"/>
  <c r="BD25" i="60"/>
  <c r="AY11" i="60"/>
  <c r="BE25" i="60"/>
  <c r="AZ11" i="60"/>
  <c r="BF25" i="60"/>
  <c r="BA11" i="60"/>
  <c r="BG25" i="60"/>
  <c r="BB11" i="60"/>
  <c r="BH25" i="60"/>
  <c r="BC11" i="60"/>
  <c r="BI25" i="60"/>
  <c r="BD11" i="60"/>
  <c r="BJ25" i="60"/>
  <c r="BE11" i="60"/>
  <c r="BK25" i="60"/>
  <c r="BF11" i="60"/>
  <c r="BL25" i="60"/>
  <c r="BG11" i="60"/>
  <c r="BM25" i="60"/>
  <c r="BH11" i="60"/>
  <c r="BN25" i="60"/>
  <c r="AP25" i="60"/>
  <c r="AK12" i="60"/>
  <c r="AQ26" i="60"/>
  <c r="AL12" i="60"/>
  <c r="AR26" i="60"/>
  <c r="AM12" i="60"/>
  <c r="AS26" i="60"/>
  <c r="AN12" i="60"/>
  <c r="AT26" i="60"/>
  <c r="AO12" i="60"/>
  <c r="AU26" i="60"/>
  <c r="AP12" i="60"/>
  <c r="AV26" i="60"/>
  <c r="AQ12" i="60"/>
  <c r="AW26" i="60"/>
  <c r="AR12" i="60"/>
  <c r="AX26" i="60"/>
  <c r="AS12" i="60"/>
  <c r="AY26" i="60"/>
  <c r="AT12" i="60"/>
  <c r="AZ26" i="60"/>
  <c r="AU12" i="60"/>
  <c r="BA26" i="60"/>
  <c r="AV12" i="60"/>
  <c r="BB26" i="60"/>
  <c r="AW12" i="60"/>
  <c r="BC26" i="60"/>
  <c r="AX12" i="60"/>
  <c r="BD26" i="60"/>
  <c r="AY12" i="60"/>
  <c r="BE26" i="60"/>
  <c r="AZ12" i="60"/>
  <c r="BF26" i="60"/>
  <c r="BA12" i="60"/>
  <c r="BG26" i="60"/>
  <c r="BB12" i="60"/>
  <c r="BH26" i="60"/>
  <c r="BC12" i="60"/>
  <c r="BI26" i="60"/>
  <c r="BD12" i="60"/>
  <c r="BJ26" i="60"/>
  <c r="BE12" i="60"/>
  <c r="BK26" i="60"/>
  <c r="BF12" i="60"/>
  <c r="BL26" i="60"/>
  <c r="BG12" i="60"/>
  <c r="BM26" i="60"/>
  <c r="BH12" i="60"/>
  <c r="BN26" i="60"/>
  <c r="AP26" i="60"/>
  <c r="AK13" i="60"/>
  <c r="AQ27" i="60"/>
  <c r="AL13" i="60"/>
  <c r="AR27" i="60"/>
  <c r="AM13" i="60"/>
  <c r="AS27" i="60"/>
  <c r="AN13" i="60"/>
  <c r="AT27" i="60"/>
  <c r="AO13" i="60"/>
  <c r="AU27" i="60"/>
  <c r="AP13" i="60"/>
  <c r="AV27" i="60"/>
  <c r="AQ13" i="60"/>
  <c r="AW27" i="60"/>
  <c r="AR13" i="60"/>
  <c r="AX27" i="60"/>
  <c r="AS13" i="60"/>
  <c r="AY27" i="60"/>
  <c r="AT13" i="60"/>
  <c r="AZ27" i="60"/>
  <c r="AU13" i="60"/>
  <c r="BA27" i="60"/>
  <c r="AV13" i="60"/>
  <c r="BB27" i="60"/>
  <c r="AW13" i="60"/>
  <c r="BC27" i="60"/>
  <c r="AX13" i="60"/>
  <c r="BD27" i="60"/>
  <c r="AY13" i="60"/>
  <c r="BE27" i="60"/>
  <c r="AZ13" i="60"/>
  <c r="BF27" i="60"/>
  <c r="BA13" i="60"/>
  <c r="BG27" i="60"/>
  <c r="BB13" i="60"/>
  <c r="BH27" i="60"/>
  <c r="BC13" i="60"/>
  <c r="BI27" i="60"/>
  <c r="BD13" i="60"/>
  <c r="BJ27" i="60"/>
  <c r="BE13" i="60"/>
  <c r="BK27" i="60"/>
  <c r="BF13" i="60"/>
  <c r="BL27" i="60"/>
  <c r="BG13" i="60"/>
  <c r="BM27" i="60"/>
  <c r="BH13" i="60"/>
  <c r="BN27" i="60"/>
  <c r="AP27" i="60"/>
  <c r="AP28" i="60"/>
  <c r="AN16" i="60"/>
  <c r="AN17" i="60"/>
  <c r="AN18" i="60"/>
  <c r="AN19" i="60"/>
  <c r="AN20" i="60"/>
  <c r="AN21" i="60"/>
  <c r="AN22" i="60"/>
  <c r="AN23" i="60"/>
  <c r="AN25" i="60"/>
  <c r="AN26" i="60"/>
  <c r="AN27" i="60"/>
  <c r="AM16" i="60"/>
  <c r="AM17" i="60"/>
  <c r="AM18" i="60"/>
  <c r="AM19" i="60"/>
  <c r="AM20" i="60"/>
  <c r="AM21" i="60"/>
  <c r="AM22" i="60"/>
  <c r="AM23" i="60"/>
  <c r="AM25" i="60"/>
  <c r="AM26" i="60"/>
  <c r="AM27" i="60"/>
  <c r="AL16" i="60"/>
  <c r="AL17" i="60"/>
  <c r="AL18" i="60"/>
  <c r="AL19" i="60"/>
  <c r="AL20" i="60"/>
  <c r="AL21" i="60"/>
  <c r="AL22" i="60"/>
  <c r="AL23" i="60"/>
  <c r="AL25" i="60"/>
  <c r="AL26" i="60"/>
  <c r="AL27" i="60"/>
  <c r="AK16" i="60"/>
  <c r="AK17" i="60"/>
  <c r="AK18" i="60"/>
  <c r="AK19" i="60"/>
  <c r="AK20" i="60"/>
  <c r="AK21" i="60"/>
  <c r="AK22" i="60"/>
  <c r="AK23" i="60"/>
  <c r="AK25" i="60"/>
  <c r="AK26" i="60"/>
  <c r="AK27" i="60"/>
  <c r="Z2" i="60"/>
  <c r="AA2" i="60"/>
  <c r="AB2" i="60"/>
  <c r="AC2" i="60"/>
  <c r="AA16" i="60"/>
  <c r="Z3" i="60"/>
  <c r="AA3" i="60"/>
  <c r="AB3" i="60"/>
  <c r="AC3" i="60"/>
  <c r="AA17" i="60"/>
  <c r="Z4" i="60"/>
  <c r="AA4" i="60"/>
  <c r="AB4" i="60"/>
  <c r="AC4" i="60"/>
  <c r="AA18" i="60"/>
  <c r="Z5" i="60"/>
  <c r="AA5" i="60"/>
  <c r="AB5" i="60"/>
  <c r="AC5" i="60"/>
  <c r="AA19" i="60"/>
  <c r="Z6" i="60"/>
  <c r="AA6" i="60"/>
  <c r="AB6" i="60"/>
  <c r="AC6" i="60"/>
  <c r="AA20" i="60"/>
  <c r="Z7" i="60"/>
  <c r="AA7" i="60"/>
  <c r="AB7" i="60"/>
  <c r="AC7" i="60"/>
  <c r="AA21" i="60"/>
  <c r="Z8" i="60"/>
  <c r="AA8" i="60"/>
  <c r="AB8" i="60"/>
  <c r="AC8" i="60"/>
  <c r="AA22" i="60"/>
  <c r="Z9" i="60"/>
  <c r="AA9" i="60"/>
  <c r="AB9" i="60"/>
  <c r="AC9" i="60"/>
  <c r="AA23" i="60"/>
  <c r="Z10" i="60"/>
  <c r="AA10" i="60"/>
  <c r="AB10" i="60"/>
  <c r="AC10" i="60"/>
  <c r="AA24" i="60"/>
  <c r="Z11" i="60"/>
  <c r="AA11" i="60"/>
  <c r="AB11" i="60"/>
  <c r="AC11" i="60"/>
  <c r="AA25" i="60"/>
  <c r="Z12" i="60"/>
  <c r="AA12" i="60"/>
  <c r="AB12" i="60"/>
  <c r="AC12" i="60"/>
  <c r="AA26" i="60"/>
  <c r="Z13" i="60"/>
  <c r="AA13" i="60"/>
  <c r="AB13" i="60"/>
  <c r="AC13" i="60"/>
  <c r="AA27" i="60"/>
  <c r="AA28" i="60"/>
  <c r="Z16" i="60"/>
  <c r="Z17" i="60"/>
  <c r="Z18" i="60"/>
  <c r="Z19" i="60"/>
  <c r="Z20" i="60"/>
  <c r="Z21" i="60"/>
  <c r="Z22" i="60"/>
  <c r="Z23" i="60"/>
  <c r="Z24" i="60"/>
  <c r="Z25" i="60"/>
  <c r="Z26" i="60"/>
  <c r="Z27" i="60"/>
  <c r="Z28" i="60"/>
  <c r="S28" i="60"/>
  <c r="R28" i="60"/>
  <c r="Q28" i="60"/>
  <c r="P28" i="60"/>
  <c r="N28" i="60"/>
  <c r="M28" i="60"/>
  <c r="L28" i="60"/>
  <c r="K28" i="60"/>
  <c r="D27" i="60"/>
  <c r="N25" i="60"/>
  <c r="M25" i="60"/>
  <c r="L25" i="60"/>
  <c r="K25" i="60"/>
  <c r="D25" i="60"/>
  <c r="H16" i="60"/>
  <c r="D23" i="60"/>
  <c r="G16" i="60"/>
  <c r="D21" i="60"/>
  <c r="M19" i="60"/>
  <c r="W16" i="60"/>
  <c r="V16" i="60"/>
  <c r="U16" i="60"/>
  <c r="E50" i="59"/>
  <c r="A50" i="59"/>
  <c r="E49" i="59"/>
  <c r="A49" i="59"/>
  <c r="E48" i="59"/>
  <c r="A48" i="59"/>
  <c r="E47" i="59"/>
  <c r="A47" i="59"/>
  <c r="E46" i="59"/>
  <c r="A46" i="59"/>
  <c r="E45" i="59"/>
  <c r="A45" i="59"/>
  <c r="E44" i="59"/>
  <c r="A44" i="59"/>
  <c r="E43" i="59"/>
  <c r="A43" i="59"/>
  <c r="E42" i="59"/>
  <c r="A42" i="59"/>
  <c r="X14" i="59"/>
  <c r="E41" i="59"/>
  <c r="A41" i="59"/>
  <c r="E40" i="59"/>
  <c r="A40" i="59"/>
  <c r="E39" i="59"/>
  <c r="A39" i="59"/>
  <c r="X9" i="59"/>
  <c r="X8" i="59"/>
  <c r="X5" i="59"/>
  <c r="AE2" i="59"/>
  <c r="AF2" i="59"/>
  <c r="AG2" i="59"/>
  <c r="AH2" i="59"/>
  <c r="AI2" i="59"/>
  <c r="AG16" i="59"/>
  <c r="AE3" i="59"/>
  <c r="AF3" i="59"/>
  <c r="AG3" i="59"/>
  <c r="AH3" i="59"/>
  <c r="AI3" i="59"/>
  <c r="AG17" i="59"/>
  <c r="AE4" i="59"/>
  <c r="AF4" i="59"/>
  <c r="AG4" i="59"/>
  <c r="AH4" i="59"/>
  <c r="AI4" i="59"/>
  <c r="AG18" i="59"/>
  <c r="AE6" i="59"/>
  <c r="AF6" i="59"/>
  <c r="AG6" i="59"/>
  <c r="AH6" i="59"/>
  <c r="AI6" i="59"/>
  <c r="AG20" i="59"/>
  <c r="AE7" i="59"/>
  <c r="AF7" i="59"/>
  <c r="AG7" i="59"/>
  <c r="AH7" i="59"/>
  <c r="AI7" i="59"/>
  <c r="AG21" i="59"/>
  <c r="AE9" i="59"/>
  <c r="AF9" i="59"/>
  <c r="AG9" i="59"/>
  <c r="AH9" i="59"/>
  <c r="AI9" i="59"/>
  <c r="AG23" i="59"/>
  <c r="AE12" i="59"/>
  <c r="AF12" i="59"/>
  <c r="AG12" i="59"/>
  <c r="AH12" i="59"/>
  <c r="AI12" i="59"/>
  <c r="AG26" i="59"/>
  <c r="AE13" i="59"/>
  <c r="AF13" i="59"/>
  <c r="AG13" i="59"/>
  <c r="AH13" i="59"/>
  <c r="AI13" i="59"/>
  <c r="AG27" i="59"/>
  <c r="AF16" i="59"/>
  <c r="AF17" i="59"/>
  <c r="AF18" i="59"/>
  <c r="AF20" i="59"/>
  <c r="AF21" i="59"/>
  <c r="AF23" i="59"/>
  <c r="AF26" i="59"/>
  <c r="AF27" i="59"/>
  <c r="D31" i="59"/>
  <c r="J29" i="59"/>
  <c r="I29" i="59"/>
  <c r="H29" i="59"/>
  <c r="G29" i="59"/>
  <c r="F16" i="59"/>
  <c r="D29" i="59"/>
  <c r="AK2" i="59"/>
  <c r="AQ16" i="59"/>
  <c r="AL2" i="59"/>
  <c r="AR16" i="59"/>
  <c r="AM2" i="59"/>
  <c r="AS16" i="59"/>
  <c r="AN2" i="59"/>
  <c r="AT16" i="59"/>
  <c r="AO2" i="59"/>
  <c r="AU16" i="59"/>
  <c r="AP2" i="59"/>
  <c r="AV16" i="59"/>
  <c r="AQ2" i="59"/>
  <c r="AW16" i="59"/>
  <c r="AR2" i="59"/>
  <c r="AX16" i="59"/>
  <c r="AS2" i="59"/>
  <c r="AY16" i="59"/>
  <c r="AT2" i="59"/>
  <c r="AZ16" i="59"/>
  <c r="AU2" i="59"/>
  <c r="BA16" i="59"/>
  <c r="AV2" i="59"/>
  <c r="BB16" i="59"/>
  <c r="AW2" i="59"/>
  <c r="BC16" i="59"/>
  <c r="AX2" i="59"/>
  <c r="BD16" i="59"/>
  <c r="AY2" i="59"/>
  <c r="BE16" i="59"/>
  <c r="AZ2" i="59"/>
  <c r="BF16" i="59"/>
  <c r="BA2" i="59"/>
  <c r="BG16" i="59"/>
  <c r="BB2" i="59"/>
  <c r="BH16" i="59"/>
  <c r="BC2" i="59"/>
  <c r="BI16" i="59"/>
  <c r="BD2" i="59"/>
  <c r="BJ16" i="59"/>
  <c r="BE2" i="59"/>
  <c r="BK16" i="59"/>
  <c r="BF2" i="59"/>
  <c r="BL16" i="59"/>
  <c r="BG2" i="59"/>
  <c r="BM16" i="59"/>
  <c r="BH2" i="59"/>
  <c r="BN16" i="59"/>
  <c r="AP16" i="59"/>
  <c r="AK3" i="59"/>
  <c r="AQ17" i="59"/>
  <c r="AL3" i="59"/>
  <c r="AR17" i="59"/>
  <c r="AM3" i="59"/>
  <c r="AS17" i="59"/>
  <c r="AN3" i="59"/>
  <c r="AT17" i="59"/>
  <c r="AO3" i="59"/>
  <c r="AU17" i="59"/>
  <c r="AP3" i="59"/>
  <c r="AV17" i="59"/>
  <c r="AQ3" i="59"/>
  <c r="AW17" i="59"/>
  <c r="AR3" i="59"/>
  <c r="AX17" i="59"/>
  <c r="AS3" i="59"/>
  <c r="AY17" i="59"/>
  <c r="AT3" i="59"/>
  <c r="AZ17" i="59"/>
  <c r="AU3" i="59"/>
  <c r="BA17" i="59"/>
  <c r="AV3" i="59"/>
  <c r="BB17" i="59"/>
  <c r="AW3" i="59"/>
  <c r="BC17" i="59"/>
  <c r="AX3" i="59"/>
  <c r="BD17" i="59"/>
  <c r="AY3" i="59"/>
  <c r="BE17" i="59"/>
  <c r="AZ3" i="59"/>
  <c r="BF17" i="59"/>
  <c r="BA3" i="59"/>
  <c r="BG17" i="59"/>
  <c r="BB3" i="59"/>
  <c r="BH17" i="59"/>
  <c r="BC3" i="59"/>
  <c r="BI17" i="59"/>
  <c r="BD3" i="59"/>
  <c r="BJ17" i="59"/>
  <c r="BE3" i="59"/>
  <c r="BK17" i="59"/>
  <c r="BF3" i="59"/>
  <c r="BL17" i="59"/>
  <c r="BG3" i="59"/>
  <c r="BM17" i="59"/>
  <c r="BH3" i="59"/>
  <c r="BN17" i="59"/>
  <c r="AP17" i="59"/>
  <c r="AK4" i="59"/>
  <c r="AQ18" i="59"/>
  <c r="AL4" i="59"/>
  <c r="AR18" i="59"/>
  <c r="AM4" i="59"/>
  <c r="AS18" i="59"/>
  <c r="AN4" i="59"/>
  <c r="AT18" i="59"/>
  <c r="AO4" i="59"/>
  <c r="AU18" i="59"/>
  <c r="AP4" i="59"/>
  <c r="AV18" i="59"/>
  <c r="AQ4" i="59"/>
  <c r="AW18" i="59"/>
  <c r="AR4" i="59"/>
  <c r="AX18" i="59"/>
  <c r="AS4" i="59"/>
  <c r="AY18" i="59"/>
  <c r="AT4" i="59"/>
  <c r="AZ18" i="59"/>
  <c r="AU4" i="59"/>
  <c r="BA18" i="59"/>
  <c r="AV4" i="59"/>
  <c r="BB18" i="59"/>
  <c r="AW4" i="59"/>
  <c r="BC18" i="59"/>
  <c r="AX4" i="59"/>
  <c r="BD18" i="59"/>
  <c r="AY4" i="59"/>
  <c r="BE18" i="59"/>
  <c r="AZ4" i="59"/>
  <c r="BF18" i="59"/>
  <c r="BA4" i="59"/>
  <c r="BG18" i="59"/>
  <c r="BB4" i="59"/>
  <c r="BH18" i="59"/>
  <c r="BC4" i="59"/>
  <c r="BI18" i="59"/>
  <c r="BD4" i="59"/>
  <c r="BJ18" i="59"/>
  <c r="BE4" i="59"/>
  <c r="BK18" i="59"/>
  <c r="BF4" i="59"/>
  <c r="BL18" i="59"/>
  <c r="BG4" i="59"/>
  <c r="BM18" i="59"/>
  <c r="BH4" i="59"/>
  <c r="BN18" i="59"/>
  <c r="AP18" i="59"/>
  <c r="AK5" i="59"/>
  <c r="AQ19" i="59"/>
  <c r="AL5" i="59"/>
  <c r="AR19" i="59"/>
  <c r="AM5" i="59"/>
  <c r="AS19" i="59"/>
  <c r="AN5" i="59"/>
  <c r="AT19" i="59"/>
  <c r="AO5" i="59"/>
  <c r="AU19" i="59"/>
  <c r="AP5" i="59"/>
  <c r="AV19" i="59"/>
  <c r="AQ5" i="59"/>
  <c r="AW19" i="59"/>
  <c r="AR5" i="59"/>
  <c r="AX19" i="59"/>
  <c r="AS5" i="59"/>
  <c r="AY19" i="59"/>
  <c r="AT5" i="59"/>
  <c r="AZ19" i="59"/>
  <c r="AU5" i="59"/>
  <c r="BA19" i="59"/>
  <c r="AV5" i="59"/>
  <c r="BB19" i="59"/>
  <c r="AW5" i="59"/>
  <c r="BC19" i="59"/>
  <c r="AX5" i="59"/>
  <c r="BD19" i="59"/>
  <c r="AY5" i="59"/>
  <c r="BE19" i="59"/>
  <c r="AZ5" i="59"/>
  <c r="BF19" i="59"/>
  <c r="BA5" i="59"/>
  <c r="BG19" i="59"/>
  <c r="BB5" i="59"/>
  <c r="BH19" i="59"/>
  <c r="BC5" i="59"/>
  <c r="BI19" i="59"/>
  <c r="BD5" i="59"/>
  <c r="BJ19" i="59"/>
  <c r="BE5" i="59"/>
  <c r="BK19" i="59"/>
  <c r="BF5" i="59"/>
  <c r="BL19" i="59"/>
  <c r="BG5" i="59"/>
  <c r="BM19" i="59"/>
  <c r="BH5" i="59"/>
  <c r="BN19" i="59"/>
  <c r="AP19" i="59"/>
  <c r="AK6" i="59"/>
  <c r="AQ20" i="59"/>
  <c r="AL6" i="59"/>
  <c r="AR20" i="59"/>
  <c r="AM6" i="59"/>
  <c r="AS20" i="59"/>
  <c r="AN6" i="59"/>
  <c r="AT20" i="59"/>
  <c r="AO6" i="59"/>
  <c r="AU20" i="59"/>
  <c r="AP6" i="59"/>
  <c r="AV20" i="59"/>
  <c r="AQ6" i="59"/>
  <c r="AW20" i="59"/>
  <c r="AR6" i="59"/>
  <c r="AX20" i="59"/>
  <c r="AS6" i="59"/>
  <c r="AY20" i="59"/>
  <c r="AT6" i="59"/>
  <c r="AZ20" i="59"/>
  <c r="AU6" i="59"/>
  <c r="BA20" i="59"/>
  <c r="AV6" i="59"/>
  <c r="BB20" i="59"/>
  <c r="AW6" i="59"/>
  <c r="BC20" i="59"/>
  <c r="AX6" i="59"/>
  <c r="BD20" i="59"/>
  <c r="AY6" i="59"/>
  <c r="BE20" i="59"/>
  <c r="AZ6" i="59"/>
  <c r="BF20" i="59"/>
  <c r="BA6" i="59"/>
  <c r="BG20" i="59"/>
  <c r="BB6" i="59"/>
  <c r="BH20" i="59"/>
  <c r="BC6" i="59"/>
  <c r="BI20" i="59"/>
  <c r="BD6" i="59"/>
  <c r="BJ20" i="59"/>
  <c r="BE6" i="59"/>
  <c r="BK20" i="59"/>
  <c r="BF6" i="59"/>
  <c r="BL20" i="59"/>
  <c r="BG6" i="59"/>
  <c r="BM20" i="59"/>
  <c r="BH6" i="59"/>
  <c r="BN20" i="59"/>
  <c r="AP20" i="59"/>
  <c r="AK7" i="59"/>
  <c r="AQ21" i="59"/>
  <c r="AL7" i="59"/>
  <c r="AR21" i="59"/>
  <c r="AM7" i="59"/>
  <c r="AS21" i="59"/>
  <c r="AN7" i="59"/>
  <c r="AT21" i="59"/>
  <c r="AO7" i="59"/>
  <c r="AU21" i="59"/>
  <c r="AP7" i="59"/>
  <c r="AV21" i="59"/>
  <c r="AQ7" i="59"/>
  <c r="AW21" i="59"/>
  <c r="AR7" i="59"/>
  <c r="AX21" i="59"/>
  <c r="AS7" i="59"/>
  <c r="AY21" i="59"/>
  <c r="AT7" i="59"/>
  <c r="AZ21" i="59"/>
  <c r="AU7" i="59"/>
  <c r="BA21" i="59"/>
  <c r="AV7" i="59"/>
  <c r="BB21" i="59"/>
  <c r="AW7" i="59"/>
  <c r="BC21" i="59"/>
  <c r="AX7" i="59"/>
  <c r="BD21" i="59"/>
  <c r="AY7" i="59"/>
  <c r="BE21" i="59"/>
  <c r="AZ7" i="59"/>
  <c r="BF21" i="59"/>
  <c r="BA7" i="59"/>
  <c r="BG21" i="59"/>
  <c r="BB7" i="59"/>
  <c r="BH21" i="59"/>
  <c r="BC7" i="59"/>
  <c r="BI21" i="59"/>
  <c r="BD7" i="59"/>
  <c r="BJ21" i="59"/>
  <c r="BE7" i="59"/>
  <c r="BK21" i="59"/>
  <c r="BF7" i="59"/>
  <c r="BL21" i="59"/>
  <c r="BG7" i="59"/>
  <c r="BM21" i="59"/>
  <c r="BH7" i="59"/>
  <c r="BN21" i="59"/>
  <c r="AP21" i="59"/>
  <c r="AK8" i="59"/>
  <c r="AQ22" i="59"/>
  <c r="AL8" i="59"/>
  <c r="AR22" i="59"/>
  <c r="AM8" i="59"/>
  <c r="AS22" i="59"/>
  <c r="AN8" i="59"/>
  <c r="AT22" i="59"/>
  <c r="AO8" i="59"/>
  <c r="AU22" i="59"/>
  <c r="AP8" i="59"/>
  <c r="AV22" i="59"/>
  <c r="AQ8" i="59"/>
  <c r="AW22" i="59"/>
  <c r="AR8" i="59"/>
  <c r="AX22" i="59"/>
  <c r="AS8" i="59"/>
  <c r="AY22" i="59"/>
  <c r="AT8" i="59"/>
  <c r="AZ22" i="59"/>
  <c r="AU8" i="59"/>
  <c r="BA22" i="59"/>
  <c r="AV8" i="59"/>
  <c r="BB22" i="59"/>
  <c r="AW8" i="59"/>
  <c r="BC22" i="59"/>
  <c r="AX8" i="59"/>
  <c r="BD22" i="59"/>
  <c r="AY8" i="59"/>
  <c r="BE22" i="59"/>
  <c r="AZ8" i="59"/>
  <c r="BF22" i="59"/>
  <c r="BA8" i="59"/>
  <c r="BG22" i="59"/>
  <c r="BB8" i="59"/>
  <c r="BH22" i="59"/>
  <c r="BC8" i="59"/>
  <c r="BI22" i="59"/>
  <c r="BD8" i="59"/>
  <c r="BJ22" i="59"/>
  <c r="BE8" i="59"/>
  <c r="BK22" i="59"/>
  <c r="BF8" i="59"/>
  <c r="BL22" i="59"/>
  <c r="BG8" i="59"/>
  <c r="BM22" i="59"/>
  <c r="BH8" i="59"/>
  <c r="BN22" i="59"/>
  <c r="AP22" i="59"/>
  <c r="AK9" i="59"/>
  <c r="AQ23" i="59"/>
  <c r="AL9" i="59"/>
  <c r="AR23" i="59"/>
  <c r="AM9" i="59"/>
  <c r="AS23" i="59"/>
  <c r="AN9" i="59"/>
  <c r="AT23" i="59"/>
  <c r="AO9" i="59"/>
  <c r="AU23" i="59"/>
  <c r="AP9" i="59"/>
  <c r="AV23" i="59"/>
  <c r="AQ9" i="59"/>
  <c r="AW23" i="59"/>
  <c r="AR9" i="59"/>
  <c r="AX23" i="59"/>
  <c r="AS9" i="59"/>
  <c r="AY23" i="59"/>
  <c r="AT9" i="59"/>
  <c r="AZ23" i="59"/>
  <c r="AU9" i="59"/>
  <c r="BA23" i="59"/>
  <c r="AV9" i="59"/>
  <c r="BB23" i="59"/>
  <c r="AW9" i="59"/>
  <c r="BC23" i="59"/>
  <c r="AX9" i="59"/>
  <c r="BD23" i="59"/>
  <c r="AY9" i="59"/>
  <c r="BE23" i="59"/>
  <c r="AZ9" i="59"/>
  <c r="BF23" i="59"/>
  <c r="BA9" i="59"/>
  <c r="BG23" i="59"/>
  <c r="BB9" i="59"/>
  <c r="BH23" i="59"/>
  <c r="BC9" i="59"/>
  <c r="BI23" i="59"/>
  <c r="BD9" i="59"/>
  <c r="BJ23" i="59"/>
  <c r="BE9" i="59"/>
  <c r="BK23" i="59"/>
  <c r="BF9" i="59"/>
  <c r="BL23" i="59"/>
  <c r="BG9" i="59"/>
  <c r="BM23" i="59"/>
  <c r="BH9" i="59"/>
  <c r="BN23" i="59"/>
  <c r="AP23" i="59"/>
  <c r="AK10" i="59"/>
  <c r="AQ24" i="59"/>
  <c r="AL10" i="59"/>
  <c r="AR24" i="59"/>
  <c r="AM10" i="59"/>
  <c r="AS24" i="59"/>
  <c r="AN10" i="59"/>
  <c r="AT24" i="59"/>
  <c r="AO10" i="59"/>
  <c r="AU24" i="59"/>
  <c r="AP10" i="59"/>
  <c r="AV24" i="59"/>
  <c r="AQ10" i="59"/>
  <c r="AW24" i="59"/>
  <c r="AR10" i="59"/>
  <c r="AX24" i="59"/>
  <c r="AS10" i="59"/>
  <c r="AY24" i="59"/>
  <c r="AT10" i="59"/>
  <c r="AZ24" i="59"/>
  <c r="AU10" i="59"/>
  <c r="BA24" i="59"/>
  <c r="AV10" i="59"/>
  <c r="BB24" i="59"/>
  <c r="AW10" i="59"/>
  <c r="BC24" i="59"/>
  <c r="AX10" i="59"/>
  <c r="BD24" i="59"/>
  <c r="AY10" i="59"/>
  <c r="BE24" i="59"/>
  <c r="AZ10" i="59"/>
  <c r="BF24" i="59"/>
  <c r="BA10" i="59"/>
  <c r="BG24" i="59"/>
  <c r="BB10" i="59"/>
  <c r="BH24" i="59"/>
  <c r="BC10" i="59"/>
  <c r="BI24" i="59"/>
  <c r="BD10" i="59"/>
  <c r="BJ24" i="59"/>
  <c r="BE10" i="59"/>
  <c r="BK24" i="59"/>
  <c r="BF10" i="59"/>
  <c r="BL24" i="59"/>
  <c r="BG10" i="59"/>
  <c r="BM24" i="59"/>
  <c r="BH10" i="59"/>
  <c r="BN24" i="59"/>
  <c r="AP24" i="59"/>
  <c r="AK11" i="59"/>
  <c r="AQ25" i="59"/>
  <c r="AL11" i="59"/>
  <c r="AR25" i="59"/>
  <c r="AM11" i="59"/>
  <c r="AS25" i="59"/>
  <c r="AN11" i="59"/>
  <c r="AT25" i="59"/>
  <c r="AO11" i="59"/>
  <c r="AU25" i="59"/>
  <c r="AP11" i="59"/>
  <c r="AV25" i="59"/>
  <c r="AQ11" i="59"/>
  <c r="AW25" i="59"/>
  <c r="AR11" i="59"/>
  <c r="AX25" i="59"/>
  <c r="AS11" i="59"/>
  <c r="AY25" i="59"/>
  <c r="AT11" i="59"/>
  <c r="AZ25" i="59"/>
  <c r="AU11" i="59"/>
  <c r="BA25" i="59"/>
  <c r="AV11" i="59"/>
  <c r="BB25" i="59"/>
  <c r="AW11" i="59"/>
  <c r="BC25" i="59"/>
  <c r="AX11" i="59"/>
  <c r="BD25" i="59"/>
  <c r="AY11" i="59"/>
  <c r="BE25" i="59"/>
  <c r="AZ11" i="59"/>
  <c r="BF25" i="59"/>
  <c r="BA11" i="59"/>
  <c r="BG25" i="59"/>
  <c r="BB11" i="59"/>
  <c r="BH25" i="59"/>
  <c r="BC11" i="59"/>
  <c r="BI25" i="59"/>
  <c r="BD11" i="59"/>
  <c r="BJ25" i="59"/>
  <c r="BE11" i="59"/>
  <c r="BK25" i="59"/>
  <c r="BF11" i="59"/>
  <c r="BL25" i="59"/>
  <c r="BG11" i="59"/>
  <c r="BM25" i="59"/>
  <c r="BH11" i="59"/>
  <c r="BN25" i="59"/>
  <c r="AP25" i="59"/>
  <c r="AK12" i="59"/>
  <c r="AQ26" i="59"/>
  <c r="AL12" i="59"/>
  <c r="AR26" i="59"/>
  <c r="AM12" i="59"/>
  <c r="AS26" i="59"/>
  <c r="AN12" i="59"/>
  <c r="AT26" i="59"/>
  <c r="AO12" i="59"/>
  <c r="AU26" i="59"/>
  <c r="AP12" i="59"/>
  <c r="AV26" i="59"/>
  <c r="AQ12" i="59"/>
  <c r="AW26" i="59"/>
  <c r="AR12" i="59"/>
  <c r="AX26" i="59"/>
  <c r="AS12" i="59"/>
  <c r="AY26" i="59"/>
  <c r="AT12" i="59"/>
  <c r="AZ26" i="59"/>
  <c r="AU12" i="59"/>
  <c r="BA26" i="59"/>
  <c r="AV12" i="59"/>
  <c r="BB26" i="59"/>
  <c r="AW12" i="59"/>
  <c r="BC26" i="59"/>
  <c r="AX12" i="59"/>
  <c r="BD26" i="59"/>
  <c r="AY12" i="59"/>
  <c r="BE26" i="59"/>
  <c r="AZ12" i="59"/>
  <c r="BF26" i="59"/>
  <c r="BA12" i="59"/>
  <c r="BG26" i="59"/>
  <c r="BB12" i="59"/>
  <c r="BH26" i="59"/>
  <c r="BC12" i="59"/>
  <c r="BI26" i="59"/>
  <c r="BD12" i="59"/>
  <c r="BJ26" i="59"/>
  <c r="BE12" i="59"/>
  <c r="BK26" i="59"/>
  <c r="BF12" i="59"/>
  <c r="BL26" i="59"/>
  <c r="BG12" i="59"/>
  <c r="BM26" i="59"/>
  <c r="BH12" i="59"/>
  <c r="BN26" i="59"/>
  <c r="AP26" i="59"/>
  <c r="AK13" i="59"/>
  <c r="AQ27" i="59"/>
  <c r="AL13" i="59"/>
  <c r="AR27" i="59"/>
  <c r="AM13" i="59"/>
  <c r="AS27" i="59"/>
  <c r="AN13" i="59"/>
  <c r="AT27" i="59"/>
  <c r="AO13" i="59"/>
  <c r="AU27" i="59"/>
  <c r="AP13" i="59"/>
  <c r="AV27" i="59"/>
  <c r="AQ13" i="59"/>
  <c r="AW27" i="59"/>
  <c r="AR13" i="59"/>
  <c r="AX27" i="59"/>
  <c r="AS13" i="59"/>
  <c r="AY27" i="59"/>
  <c r="AT13" i="59"/>
  <c r="AZ27" i="59"/>
  <c r="AU13" i="59"/>
  <c r="BA27" i="59"/>
  <c r="AV13" i="59"/>
  <c r="BB27" i="59"/>
  <c r="AW13" i="59"/>
  <c r="BC27" i="59"/>
  <c r="AX13" i="59"/>
  <c r="BD27" i="59"/>
  <c r="AY13" i="59"/>
  <c r="BE27" i="59"/>
  <c r="AZ13" i="59"/>
  <c r="BF27" i="59"/>
  <c r="BA13" i="59"/>
  <c r="BG27" i="59"/>
  <c r="BB13" i="59"/>
  <c r="BH27" i="59"/>
  <c r="BC13" i="59"/>
  <c r="BI27" i="59"/>
  <c r="BD13" i="59"/>
  <c r="BJ27" i="59"/>
  <c r="BE13" i="59"/>
  <c r="BK27" i="59"/>
  <c r="BF13" i="59"/>
  <c r="BL27" i="59"/>
  <c r="BG13" i="59"/>
  <c r="BM27" i="59"/>
  <c r="BH13" i="59"/>
  <c r="BN27" i="59"/>
  <c r="AP27" i="59"/>
  <c r="AP28" i="59"/>
  <c r="AN17" i="59"/>
  <c r="AN18" i="59"/>
  <c r="AN20" i="59"/>
  <c r="AN21" i="59"/>
  <c r="AN22" i="59"/>
  <c r="AN23" i="59"/>
  <c r="AN24" i="59"/>
  <c r="AN25" i="59"/>
  <c r="AN26" i="59"/>
  <c r="AN27" i="59"/>
  <c r="AM17" i="59"/>
  <c r="AM18" i="59"/>
  <c r="AM19" i="59"/>
  <c r="AM20" i="59"/>
  <c r="AM21" i="59"/>
  <c r="AM22" i="59"/>
  <c r="AM23" i="59"/>
  <c r="AM24" i="59"/>
  <c r="AM25" i="59"/>
  <c r="AM26" i="59"/>
  <c r="AM27" i="59"/>
  <c r="AL17" i="59"/>
  <c r="AL18" i="59"/>
  <c r="AL19" i="59"/>
  <c r="AL20" i="59"/>
  <c r="AL21" i="59"/>
  <c r="AL22" i="59"/>
  <c r="AL23" i="59"/>
  <c r="AL24" i="59"/>
  <c r="AL25" i="59"/>
  <c r="AL26" i="59"/>
  <c r="AL27" i="59"/>
  <c r="AK17" i="59"/>
  <c r="AK18" i="59"/>
  <c r="AK19" i="59"/>
  <c r="AK20" i="59"/>
  <c r="AK21" i="59"/>
  <c r="AK22" i="59"/>
  <c r="AK23" i="59"/>
  <c r="AK24" i="59"/>
  <c r="AK25" i="59"/>
  <c r="AK26" i="59"/>
  <c r="AK27" i="59"/>
  <c r="Z2" i="59"/>
  <c r="AA2" i="59"/>
  <c r="AB2" i="59"/>
  <c r="AC2" i="59"/>
  <c r="AA16" i="59"/>
  <c r="Z3" i="59"/>
  <c r="AA3" i="59"/>
  <c r="AB3" i="59"/>
  <c r="AC3" i="59"/>
  <c r="AA17" i="59"/>
  <c r="Z4" i="59"/>
  <c r="AA4" i="59"/>
  <c r="AB4" i="59"/>
  <c r="AC4" i="59"/>
  <c r="AA18" i="59"/>
  <c r="Z5" i="59"/>
  <c r="AA5" i="59"/>
  <c r="AB5" i="59"/>
  <c r="AC5" i="59"/>
  <c r="AA19" i="59"/>
  <c r="Z6" i="59"/>
  <c r="AA6" i="59"/>
  <c r="AB6" i="59"/>
  <c r="AC6" i="59"/>
  <c r="AA20" i="59"/>
  <c r="Z7" i="59"/>
  <c r="AA7" i="59"/>
  <c r="AB7" i="59"/>
  <c r="AC7" i="59"/>
  <c r="AA21" i="59"/>
  <c r="Z8" i="59"/>
  <c r="AA8" i="59"/>
  <c r="AB8" i="59"/>
  <c r="AC8" i="59"/>
  <c r="AA22" i="59"/>
  <c r="Z9" i="59"/>
  <c r="AA9" i="59"/>
  <c r="AB9" i="59"/>
  <c r="AC9" i="59"/>
  <c r="AA23" i="59"/>
  <c r="Z10" i="59"/>
  <c r="AA10" i="59"/>
  <c r="AB10" i="59"/>
  <c r="AC10" i="59"/>
  <c r="AA24" i="59"/>
  <c r="Z11" i="59"/>
  <c r="AA11" i="59"/>
  <c r="AB11" i="59"/>
  <c r="AC11" i="59"/>
  <c r="AA25" i="59"/>
  <c r="Z12" i="59"/>
  <c r="AA12" i="59"/>
  <c r="AB12" i="59"/>
  <c r="AC12" i="59"/>
  <c r="AA26" i="59"/>
  <c r="Z13" i="59"/>
  <c r="AA13" i="59"/>
  <c r="AB13" i="59"/>
  <c r="AC13" i="59"/>
  <c r="AA27" i="59"/>
  <c r="AA28" i="59"/>
  <c r="Z16" i="59"/>
  <c r="Z17" i="59"/>
  <c r="Z18" i="59"/>
  <c r="Z19" i="59"/>
  <c r="Z20" i="59"/>
  <c r="Z21" i="59"/>
  <c r="Z22" i="59"/>
  <c r="Z23" i="59"/>
  <c r="Z24" i="59"/>
  <c r="Z25" i="59"/>
  <c r="Z26" i="59"/>
  <c r="Z27" i="59"/>
  <c r="Z28" i="59"/>
  <c r="S28" i="59"/>
  <c r="R28" i="59"/>
  <c r="Q28" i="59"/>
  <c r="P28" i="59"/>
  <c r="N28" i="59"/>
  <c r="M28" i="59"/>
  <c r="L28" i="59"/>
  <c r="K28" i="59"/>
  <c r="D27" i="59"/>
  <c r="N25" i="59"/>
  <c r="M25" i="59"/>
  <c r="L25" i="59"/>
  <c r="K25" i="59"/>
  <c r="D25" i="59"/>
  <c r="H16" i="59"/>
  <c r="D23" i="59"/>
  <c r="G16" i="59"/>
  <c r="D21" i="59"/>
  <c r="M19" i="59"/>
  <c r="W16" i="59"/>
  <c r="V16" i="59"/>
  <c r="U16" i="59"/>
  <c r="E50" i="58"/>
  <c r="A50" i="58"/>
  <c r="E49" i="58"/>
  <c r="A49" i="58"/>
  <c r="E48" i="58"/>
  <c r="A48" i="58"/>
  <c r="E47" i="58"/>
  <c r="A47" i="58"/>
  <c r="E46" i="58"/>
  <c r="A46" i="58"/>
  <c r="E45" i="58"/>
  <c r="A45" i="58"/>
  <c r="E44" i="58"/>
  <c r="A44" i="58"/>
  <c r="E43" i="58"/>
  <c r="A43" i="58"/>
  <c r="X15" i="58"/>
  <c r="E42" i="58"/>
  <c r="A42" i="58"/>
  <c r="E41" i="58"/>
  <c r="A41" i="58"/>
  <c r="X13" i="58"/>
  <c r="E40" i="58"/>
  <c r="A40" i="58"/>
  <c r="X12" i="58"/>
  <c r="E39" i="58"/>
  <c r="A39" i="58"/>
  <c r="X10" i="58"/>
  <c r="X9" i="58"/>
  <c r="Q16" i="58"/>
  <c r="X7" i="58"/>
  <c r="X4" i="58"/>
  <c r="X5" i="58"/>
  <c r="X6" i="58"/>
  <c r="AE2" i="58"/>
  <c r="AF2" i="58"/>
  <c r="AG2" i="58"/>
  <c r="AH2" i="58"/>
  <c r="AI2" i="58"/>
  <c r="AG16" i="58"/>
  <c r="AE4" i="58"/>
  <c r="AF4" i="58"/>
  <c r="AG4" i="58"/>
  <c r="AH4" i="58"/>
  <c r="AI4" i="58"/>
  <c r="AG18" i="58"/>
  <c r="AE5" i="58"/>
  <c r="AF5" i="58"/>
  <c r="AG5" i="58"/>
  <c r="AH5" i="58"/>
  <c r="AI5" i="58"/>
  <c r="AG19" i="58"/>
  <c r="AE7" i="58"/>
  <c r="AF7" i="58"/>
  <c r="AG7" i="58"/>
  <c r="AH7" i="58"/>
  <c r="AI7" i="58"/>
  <c r="AG21" i="58"/>
  <c r="AE8" i="58"/>
  <c r="AF8" i="58"/>
  <c r="AG8" i="58"/>
  <c r="AH8" i="58"/>
  <c r="AI8" i="58"/>
  <c r="AG22" i="58"/>
  <c r="AE10" i="58"/>
  <c r="AF10" i="58"/>
  <c r="AG10" i="58"/>
  <c r="AH10" i="58"/>
  <c r="AI10" i="58"/>
  <c r="AG24" i="58"/>
  <c r="AE11" i="58"/>
  <c r="AF11" i="58"/>
  <c r="AG11" i="58"/>
  <c r="AH11" i="58"/>
  <c r="AI11" i="58"/>
  <c r="AG25" i="58"/>
  <c r="AF16" i="58"/>
  <c r="AF18" i="58"/>
  <c r="AF19" i="58"/>
  <c r="AF21" i="58"/>
  <c r="AF22" i="58"/>
  <c r="AF24" i="58"/>
  <c r="AF25" i="58"/>
  <c r="J29" i="58"/>
  <c r="I29" i="58"/>
  <c r="H29" i="58"/>
  <c r="G29" i="58"/>
  <c r="AK2" i="58"/>
  <c r="AQ16" i="58"/>
  <c r="AL2" i="58"/>
  <c r="AR16" i="58"/>
  <c r="AM2" i="58"/>
  <c r="AS16" i="58"/>
  <c r="AN2" i="58"/>
  <c r="AT16" i="58"/>
  <c r="AO2" i="58"/>
  <c r="AU16" i="58"/>
  <c r="AP2" i="58"/>
  <c r="AV16" i="58"/>
  <c r="AQ2" i="58"/>
  <c r="AW16" i="58"/>
  <c r="AR2" i="58"/>
  <c r="AX16" i="58"/>
  <c r="AS2" i="58"/>
  <c r="AY16" i="58"/>
  <c r="AT2" i="58"/>
  <c r="AZ16" i="58"/>
  <c r="AU2" i="58"/>
  <c r="BA16" i="58"/>
  <c r="AV2" i="58"/>
  <c r="BB16" i="58"/>
  <c r="AW2" i="58"/>
  <c r="BC16" i="58"/>
  <c r="AX2" i="58"/>
  <c r="BD16" i="58"/>
  <c r="AY2" i="58"/>
  <c r="BE16" i="58"/>
  <c r="AZ2" i="58"/>
  <c r="BF16" i="58"/>
  <c r="BA2" i="58"/>
  <c r="BG16" i="58"/>
  <c r="BB2" i="58"/>
  <c r="BH16" i="58"/>
  <c r="BC2" i="58"/>
  <c r="BI16" i="58"/>
  <c r="BD2" i="58"/>
  <c r="BJ16" i="58"/>
  <c r="BE2" i="58"/>
  <c r="BK16" i="58"/>
  <c r="BF2" i="58"/>
  <c r="BL16" i="58"/>
  <c r="BG2" i="58"/>
  <c r="BM16" i="58"/>
  <c r="BH2" i="58"/>
  <c r="BN16" i="58"/>
  <c r="AP16" i="58"/>
  <c r="AK3" i="58"/>
  <c r="AQ17" i="58"/>
  <c r="AL3" i="58"/>
  <c r="AR17" i="58"/>
  <c r="AM3" i="58"/>
  <c r="AS17" i="58"/>
  <c r="AN3" i="58"/>
  <c r="AT17" i="58"/>
  <c r="AO3" i="58"/>
  <c r="AU17" i="58"/>
  <c r="AP3" i="58"/>
  <c r="AV17" i="58"/>
  <c r="AQ3" i="58"/>
  <c r="AW17" i="58"/>
  <c r="AR3" i="58"/>
  <c r="AX17" i="58"/>
  <c r="AS3" i="58"/>
  <c r="AY17" i="58"/>
  <c r="AT3" i="58"/>
  <c r="AZ17" i="58"/>
  <c r="AU3" i="58"/>
  <c r="BA17" i="58"/>
  <c r="AV3" i="58"/>
  <c r="BB17" i="58"/>
  <c r="AW3" i="58"/>
  <c r="BC17" i="58"/>
  <c r="AX3" i="58"/>
  <c r="BD17" i="58"/>
  <c r="AY3" i="58"/>
  <c r="BE17" i="58"/>
  <c r="AZ3" i="58"/>
  <c r="BF17" i="58"/>
  <c r="BA3" i="58"/>
  <c r="BG17" i="58"/>
  <c r="BB3" i="58"/>
  <c r="BH17" i="58"/>
  <c r="BC3" i="58"/>
  <c r="BI17" i="58"/>
  <c r="BD3" i="58"/>
  <c r="BJ17" i="58"/>
  <c r="BE3" i="58"/>
  <c r="BK17" i="58"/>
  <c r="BF3" i="58"/>
  <c r="BL17" i="58"/>
  <c r="BG3" i="58"/>
  <c r="BM17" i="58"/>
  <c r="BH3" i="58"/>
  <c r="BN17" i="58"/>
  <c r="AP17" i="58"/>
  <c r="AK4" i="58"/>
  <c r="AQ18" i="58"/>
  <c r="AL4" i="58"/>
  <c r="AR18" i="58"/>
  <c r="AM4" i="58"/>
  <c r="AS18" i="58"/>
  <c r="AN4" i="58"/>
  <c r="AT18" i="58"/>
  <c r="AO4" i="58"/>
  <c r="AU18" i="58"/>
  <c r="AP4" i="58"/>
  <c r="AV18" i="58"/>
  <c r="AQ4" i="58"/>
  <c r="AW18" i="58"/>
  <c r="AR4" i="58"/>
  <c r="AX18" i="58"/>
  <c r="AS4" i="58"/>
  <c r="AY18" i="58"/>
  <c r="AT4" i="58"/>
  <c r="AZ18" i="58"/>
  <c r="AU4" i="58"/>
  <c r="BA18" i="58"/>
  <c r="AV4" i="58"/>
  <c r="BB18" i="58"/>
  <c r="AW4" i="58"/>
  <c r="BC18" i="58"/>
  <c r="AX4" i="58"/>
  <c r="BD18" i="58"/>
  <c r="AY4" i="58"/>
  <c r="BE18" i="58"/>
  <c r="AZ4" i="58"/>
  <c r="BF18" i="58"/>
  <c r="BA4" i="58"/>
  <c r="BG18" i="58"/>
  <c r="BB4" i="58"/>
  <c r="BH18" i="58"/>
  <c r="BC4" i="58"/>
  <c r="BI18" i="58"/>
  <c r="BD4" i="58"/>
  <c r="BJ18" i="58"/>
  <c r="BE4" i="58"/>
  <c r="BK18" i="58"/>
  <c r="BF4" i="58"/>
  <c r="BL18" i="58"/>
  <c r="BG4" i="58"/>
  <c r="BM18" i="58"/>
  <c r="BH4" i="58"/>
  <c r="BN18" i="58"/>
  <c r="AP18" i="58"/>
  <c r="AK5" i="58"/>
  <c r="AQ19" i="58"/>
  <c r="AL5" i="58"/>
  <c r="AR19" i="58"/>
  <c r="AM5" i="58"/>
  <c r="AS19" i="58"/>
  <c r="AN5" i="58"/>
  <c r="AT19" i="58"/>
  <c r="AO5" i="58"/>
  <c r="AU19" i="58"/>
  <c r="AP5" i="58"/>
  <c r="AV19" i="58"/>
  <c r="AQ5" i="58"/>
  <c r="AW19" i="58"/>
  <c r="AR5" i="58"/>
  <c r="AX19" i="58"/>
  <c r="AS5" i="58"/>
  <c r="AY19" i="58"/>
  <c r="AT5" i="58"/>
  <c r="AZ19" i="58"/>
  <c r="AU5" i="58"/>
  <c r="BA19" i="58"/>
  <c r="AV5" i="58"/>
  <c r="BB19" i="58"/>
  <c r="AW5" i="58"/>
  <c r="BC19" i="58"/>
  <c r="AX5" i="58"/>
  <c r="BD19" i="58"/>
  <c r="AY5" i="58"/>
  <c r="BE19" i="58"/>
  <c r="AZ5" i="58"/>
  <c r="BF19" i="58"/>
  <c r="BA5" i="58"/>
  <c r="BG19" i="58"/>
  <c r="BB5" i="58"/>
  <c r="BH19" i="58"/>
  <c r="BC5" i="58"/>
  <c r="BI19" i="58"/>
  <c r="BD5" i="58"/>
  <c r="BJ19" i="58"/>
  <c r="BE5" i="58"/>
  <c r="BK19" i="58"/>
  <c r="BF5" i="58"/>
  <c r="BL19" i="58"/>
  <c r="BG5" i="58"/>
  <c r="BM19" i="58"/>
  <c r="BH5" i="58"/>
  <c r="BN19" i="58"/>
  <c r="AP19" i="58"/>
  <c r="AK6" i="58"/>
  <c r="AQ20" i="58"/>
  <c r="AL6" i="58"/>
  <c r="AR20" i="58"/>
  <c r="AM6" i="58"/>
  <c r="AS20" i="58"/>
  <c r="AN6" i="58"/>
  <c r="AT20" i="58"/>
  <c r="AO6" i="58"/>
  <c r="AU20" i="58"/>
  <c r="AP6" i="58"/>
  <c r="AV20" i="58"/>
  <c r="AQ6" i="58"/>
  <c r="AW20" i="58"/>
  <c r="AR6" i="58"/>
  <c r="AX20" i="58"/>
  <c r="AS6" i="58"/>
  <c r="AY20" i="58"/>
  <c r="AT6" i="58"/>
  <c r="AZ20" i="58"/>
  <c r="AU6" i="58"/>
  <c r="BA20" i="58"/>
  <c r="AV6" i="58"/>
  <c r="BB20" i="58"/>
  <c r="AW6" i="58"/>
  <c r="BC20" i="58"/>
  <c r="AX6" i="58"/>
  <c r="BD20" i="58"/>
  <c r="AY6" i="58"/>
  <c r="BE20" i="58"/>
  <c r="AZ6" i="58"/>
  <c r="BF20" i="58"/>
  <c r="BA6" i="58"/>
  <c r="BG20" i="58"/>
  <c r="BB6" i="58"/>
  <c r="BH20" i="58"/>
  <c r="BC6" i="58"/>
  <c r="BI20" i="58"/>
  <c r="BD6" i="58"/>
  <c r="BJ20" i="58"/>
  <c r="BE6" i="58"/>
  <c r="BK20" i="58"/>
  <c r="BF6" i="58"/>
  <c r="BL20" i="58"/>
  <c r="BG6" i="58"/>
  <c r="BM20" i="58"/>
  <c r="BH6" i="58"/>
  <c r="BN20" i="58"/>
  <c r="AP20" i="58"/>
  <c r="AK7" i="58"/>
  <c r="AQ21" i="58"/>
  <c r="AL7" i="58"/>
  <c r="AR21" i="58"/>
  <c r="AM7" i="58"/>
  <c r="AS21" i="58"/>
  <c r="AN7" i="58"/>
  <c r="AT21" i="58"/>
  <c r="AO7" i="58"/>
  <c r="AU21" i="58"/>
  <c r="AP7" i="58"/>
  <c r="AV21" i="58"/>
  <c r="AQ7" i="58"/>
  <c r="AW21" i="58"/>
  <c r="AR7" i="58"/>
  <c r="AX21" i="58"/>
  <c r="AS7" i="58"/>
  <c r="AY21" i="58"/>
  <c r="AT7" i="58"/>
  <c r="AZ21" i="58"/>
  <c r="AU7" i="58"/>
  <c r="BA21" i="58"/>
  <c r="AV7" i="58"/>
  <c r="BB21" i="58"/>
  <c r="AW7" i="58"/>
  <c r="BC21" i="58"/>
  <c r="AX7" i="58"/>
  <c r="BD21" i="58"/>
  <c r="AY7" i="58"/>
  <c r="BE21" i="58"/>
  <c r="AZ7" i="58"/>
  <c r="BF21" i="58"/>
  <c r="BA7" i="58"/>
  <c r="BG21" i="58"/>
  <c r="BB7" i="58"/>
  <c r="BH21" i="58"/>
  <c r="BC7" i="58"/>
  <c r="BI21" i="58"/>
  <c r="BD7" i="58"/>
  <c r="BJ21" i="58"/>
  <c r="BE7" i="58"/>
  <c r="BK21" i="58"/>
  <c r="BF7" i="58"/>
  <c r="BL21" i="58"/>
  <c r="BG7" i="58"/>
  <c r="BM21" i="58"/>
  <c r="BH7" i="58"/>
  <c r="BN21" i="58"/>
  <c r="AP21" i="58"/>
  <c r="AK8" i="58"/>
  <c r="AQ22" i="58"/>
  <c r="AL8" i="58"/>
  <c r="AR22" i="58"/>
  <c r="AM8" i="58"/>
  <c r="AS22" i="58"/>
  <c r="AN8" i="58"/>
  <c r="AT22" i="58"/>
  <c r="AO8" i="58"/>
  <c r="AU22" i="58"/>
  <c r="AP8" i="58"/>
  <c r="AV22" i="58"/>
  <c r="AQ8" i="58"/>
  <c r="AW22" i="58"/>
  <c r="AR8" i="58"/>
  <c r="AX22" i="58"/>
  <c r="AS8" i="58"/>
  <c r="AY22" i="58"/>
  <c r="AT8" i="58"/>
  <c r="AZ22" i="58"/>
  <c r="AU8" i="58"/>
  <c r="BA22" i="58"/>
  <c r="AV8" i="58"/>
  <c r="BB22" i="58"/>
  <c r="AW8" i="58"/>
  <c r="BC22" i="58"/>
  <c r="AX8" i="58"/>
  <c r="BD22" i="58"/>
  <c r="AY8" i="58"/>
  <c r="BE22" i="58"/>
  <c r="AZ8" i="58"/>
  <c r="BF22" i="58"/>
  <c r="BA8" i="58"/>
  <c r="BG22" i="58"/>
  <c r="BB8" i="58"/>
  <c r="BH22" i="58"/>
  <c r="BC8" i="58"/>
  <c r="BI22" i="58"/>
  <c r="BD8" i="58"/>
  <c r="BJ22" i="58"/>
  <c r="BE8" i="58"/>
  <c r="BK22" i="58"/>
  <c r="BF8" i="58"/>
  <c r="BL22" i="58"/>
  <c r="BG8" i="58"/>
  <c r="BM22" i="58"/>
  <c r="BH8" i="58"/>
  <c r="BN22" i="58"/>
  <c r="AP22" i="58"/>
  <c r="AK9" i="58"/>
  <c r="AQ23" i="58"/>
  <c r="AL9" i="58"/>
  <c r="AR23" i="58"/>
  <c r="AM9" i="58"/>
  <c r="AS23" i="58"/>
  <c r="AN9" i="58"/>
  <c r="AT23" i="58"/>
  <c r="AO9" i="58"/>
  <c r="AU23" i="58"/>
  <c r="AP9" i="58"/>
  <c r="AV23" i="58"/>
  <c r="AQ9" i="58"/>
  <c r="AW23" i="58"/>
  <c r="AR9" i="58"/>
  <c r="AX23" i="58"/>
  <c r="AS9" i="58"/>
  <c r="AY23" i="58"/>
  <c r="AT9" i="58"/>
  <c r="AZ23" i="58"/>
  <c r="AU9" i="58"/>
  <c r="BA23" i="58"/>
  <c r="AV9" i="58"/>
  <c r="BB23" i="58"/>
  <c r="AW9" i="58"/>
  <c r="BC23" i="58"/>
  <c r="AX9" i="58"/>
  <c r="BD23" i="58"/>
  <c r="AY9" i="58"/>
  <c r="BE23" i="58"/>
  <c r="AZ9" i="58"/>
  <c r="BF23" i="58"/>
  <c r="BA9" i="58"/>
  <c r="BG23" i="58"/>
  <c r="BB9" i="58"/>
  <c r="BH23" i="58"/>
  <c r="BC9" i="58"/>
  <c r="BI23" i="58"/>
  <c r="BD9" i="58"/>
  <c r="BJ23" i="58"/>
  <c r="BE9" i="58"/>
  <c r="BK23" i="58"/>
  <c r="BF9" i="58"/>
  <c r="BL23" i="58"/>
  <c r="BG9" i="58"/>
  <c r="BM23" i="58"/>
  <c r="BH9" i="58"/>
  <c r="BN23" i="58"/>
  <c r="AP23" i="58"/>
  <c r="AK10" i="58"/>
  <c r="AQ24" i="58"/>
  <c r="AL10" i="58"/>
  <c r="AR24" i="58"/>
  <c r="AM10" i="58"/>
  <c r="AS24" i="58"/>
  <c r="AN10" i="58"/>
  <c r="AT24" i="58"/>
  <c r="AO10" i="58"/>
  <c r="AU24" i="58"/>
  <c r="AP10" i="58"/>
  <c r="AV24" i="58"/>
  <c r="AQ10" i="58"/>
  <c r="AW24" i="58"/>
  <c r="AR10" i="58"/>
  <c r="AX24" i="58"/>
  <c r="AS10" i="58"/>
  <c r="AY24" i="58"/>
  <c r="AT10" i="58"/>
  <c r="AZ24" i="58"/>
  <c r="AU10" i="58"/>
  <c r="BA24" i="58"/>
  <c r="AV10" i="58"/>
  <c r="BB24" i="58"/>
  <c r="AW10" i="58"/>
  <c r="BC24" i="58"/>
  <c r="AX10" i="58"/>
  <c r="BD24" i="58"/>
  <c r="AY10" i="58"/>
  <c r="BE24" i="58"/>
  <c r="AZ10" i="58"/>
  <c r="BF24" i="58"/>
  <c r="BA10" i="58"/>
  <c r="BG24" i="58"/>
  <c r="BB10" i="58"/>
  <c r="BH24" i="58"/>
  <c r="BC10" i="58"/>
  <c r="BI24" i="58"/>
  <c r="BD10" i="58"/>
  <c r="BJ24" i="58"/>
  <c r="BE10" i="58"/>
  <c r="BK24" i="58"/>
  <c r="BF10" i="58"/>
  <c r="BL24" i="58"/>
  <c r="BG10" i="58"/>
  <c r="BM24" i="58"/>
  <c r="BH10" i="58"/>
  <c r="BN24" i="58"/>
  <c r="AP24" i="58"/>
  <c r="AK11" i="58"/>
  <c r="AQ25" i="58"/>
  <c r="AL11" i="58"/>
  <c r="AR25" i="58"/>
  <c r="AM11" i="58"/>
  <c r="AS25" i="58"/>
  <c r="AN11" i="58"/>
  <c r="AT25" i="58"/>
  <c r="AO11" i="58"/>
  <c r="AU25" i="58"/>
  <c r="AP11" i="58"/>
  <c r="AV25" i="58"/>
  <c r="AQ11" i="58"/>
  <c r="AW25" i="58"/>
  <c r="AR11" i="58"/>
  <c r="AX25" i="58"/>
  <c r="AS11" i="58"/>
  <c r="AY25" i="58"/>
  <c r="AT11" i="58"/>
  <c r="AZ25" i="58"/>
  <c r="AU11" i="58"/>
  <c r="BA25" i="58"/>
  <c r="AV11" i="58"/>
  <c r="BB25" i="58"/>
  <c r="AW11" i="58"/>
  <c r="BC25" i="58"/>
  <c r="AX11" i="58"/>
  <c r="BD25" i="58"/>
  <c r="AY11" i="58"/>
  <c r="BE25" i="58"/>
  <c r="AZ11" i="58"/>
  <c r="BF25" i="58"/>
  <c r="BA11" i="58"/>
  <c r="BG25" i="58"/>
  <c r="BB11" i="58"/>
  <c r="BH25" i="58"/>
  <c r="BC11" i="58"/>
  <c r="BI25" i="58"/>
  <c r="BD11" i="58"/>
  <c r="BJ25" i="58"/>
  <c r="BE11" i="58"/>
  <c r="BK25" i="58"/>
  <c r="BF11" i="58"/>
  <c r="BL25" i="58"/>
  <c r="BG11" i="58"/>
  <c r="BM25" i="58"/>
  <c r="BH11" i="58"/>
  <c r="BN25" i="58"/>
  <c r="AP25" i="58"/>
  <c r="AK12" i="58"/>
  <c r="AQ26" i="58"/>
  <c r="AL12" i="58"/>
  <c r="AR26" i="58"/>
  <c r="AM12" i="58"/>
  <c r="AS26" i="58"/>
  <c r="AN12" i="58"/>
  <c r="AT26" i="58"/>
  <c r="AO12" i="58"/>
  <c r="AU26" i="58"/>
  <c r="AP12" i="58"/>
  <c r="AV26" i="58"/>
  <c r="AQ12" i="58"/>
  <c r="AW26" i="58"/>
  <c r="AR12" i="58"/>
  <c r="AX26" i="58"/>
  <c r="AS12" i="58"/>
  <c r="AY26" i="58"/>
  <c r="AT12" i="58"/>
  <c r="AZ26" i="58"/>
  <c r="AU12" i="58"/>
  <c r="BA26" i="58"/>
  <c r="AV12" i="58"/>
  <c r="BB26" i="58"/>
  <c r="AW12" i="58"/>
  <c r="BC26" i="58"/>
  <c r="AX12" i="58"/>
  <c r="BD26" i="58"/>
  <c r="AY12" i="58"/>
  <c r="BE26" i="58"/>
  <c r="AZ12" i="58"/>
  <c r="BF26" i="58"/>
  <c r="BA12" i="58"/>
  <c r="BG26" i="58"/>
  <c r="BB12" i="58"/>
  <c r="BH26" i="58"/>
  <c r="BC12" i="58"/>
  <c r="BI26" i="58"/>
  <c r="BD12" i="58"/>
  <c r="BJ26" i="58"/>
  <c r="BE12" i="58"/>
  <c r="BK26" i="58"/>
  <c r="BF12" i="58"/>
  <c r="BL26" i="58"/>
  <c r="BG12" i="58"/>
  <c r="BM26" i="58"/>
  <c r="BH12" i="58"/>
  <c r="BN26" i="58"/>
  <c r="AP26" i="58"/>
  <c r="AK13" i="58"/>
  <c r="AQ27" i="58"/>
  <c r="AL13" i="58"/>
  <c r="AR27" i="58"/>
  <c r="AM13" i="58"/>
  <c r="AS27" i="58"/>
  <c r="AN13" i="58"/>
  <c r="AT27" i="58"/>
  <c r="AO13" i="58"/>
  <c r="AU27" i="58"/>
  <c r="AP13" i="58"/>
  <c r="AV27" i="58"/>
  <c r="AQ13" i="58"/>
  <c r="AW27" i="58"/>
  <c r="AR13" i="58"/>
  <c r="AX27" i="58"/>
  <c r="AS13" i="58"/>
  <c r="AY27" i="58"/>
  <c r="AT13" i="58"/>
  <c r="AZ27" i="58"/>
  <c r="AU13" i="58"/>
  <c r="BA27" i="58"/>
  <c r="AV13" i="58"/>
  <c r="BB27" i="58"/>
  <c r="AW13" i="58"/>
  <c r="BC27" i="58"/>
  <c r="AX13" i="58"/>
  <c r="BD27" i="58"/>
  <c r="AY13" i="58"/>
  <c r="BE27" i="58"/>
  <c r="AZ13" i="58"/>
  <c r="BF27" i="58"/>
  <c r="BA13" i="58"/>
  <c r="BG27" i="58"/>
  <c r="BB13" i="58"/>
  <c r="BH27" i="58"/>
  <c r="BC13" i="58"/>
  <c r="BI27" i="58"/>
  <c r="BD13" i="58"/>
  <c r="BJ27" i="58"/>
  <c r="BE13" i="58"/>
  <c r="BK27" i="58"/>
  <c r="BF13" i="58"/>
  <c r="BL27" i="58"/>
  <c r="BG13" i="58"/>
  <c r="BM27" i="58"/>
  <c r="BH13" i="58"/>
  <c r="BN27" i="58"/>
  <c r="AP27" i="58"/>
  <c r="AP28" i="58"/>
  <c r="AN16" i="58"/>
  <c r="AN17" i="58"/>
  <c r="AN18" i="58"/>
  <c r="AN19" i="58"/>
  <c r="AN21" i="58"/>
  <c r="AN22" i="58"/>
  <c r="AN23" i="58"/>
  <c r="AN24" i="58"/>
  <c r="AN25" i="58"/>
  <c r="AN26" i="58"/>
  <c r="AN27" i="58"/>
  <c r="AM16" i="58"/>
  <c r="AM17" i="58"/>
  <c r="AM18" i="58"/>
  <c r="AM19" i="58"/>
  <c r="AM21" i="58"/>
  <c r="AM22" i="58"/>
  <c r="AM23" i="58"/>
  <c r="AM24" i="58"/>
  <c r="AM25" i="58"/>
  <c r="AM26" i="58"/>
  <c r="AM27" i="58"/>
  <c r="AL16" i="58"/>
  <c r="AL17" i="58"/>
  <c r="AL18" i="58"/>
  <c r="AL19" i="58"/>
  <c r="AL21" i="58"/>
  <c r="AL22" i="58"/>
  <c r="AL23" i="58"/>
  <c r="AL24" i="58"/>
  <c r="AL25" i="58"/>
  <c r="AL26" i="58"/>
  <c r="AL27" i="58"/>
  <c r="AK16" i="58"/>
  <c r="AK17" i="58"/>
  <c r="AK18" i="58"/>
  <c r="AK19" i="58"/>
  <c r="AK21" i="58"/>
  <c r="AK22" i="58"/>
  <c r="AK23" i="58"/>
  <c r="AK24" i="58"/>
  <c r="AK25" i="58"/>
  <c r="AK26" i="58"/>
  <c r="AK27" i="58"/>
  <c r="Z2" i="58"/>
  <c r="AA2" i="58"/>
  <c r="AB2" i="58"/>
  <c r="AC2" i="58"/>
  <c r="AA16" i="58"/>
  <c r="Z3" i="58"/>
  <c r="AA3" i="58"/>
  <c r="AB3" i="58"/>
  <c r="AC3" i="58"/>
  <c r="AA17" i="58"/>
  <c r="Z4" i="58"/>
  <c r="AA4" i="58"/>
  <c r="AB4" i="58"/>
  <c r="AC4" i="58"/>
  <c r="AA18" i="58"/>
  <c r="Z5" i="58"/>
  <c r="AA5" i="58"/>
  <c r="AB5" i="58"/>
  <c r="AC5" i="58"/>
  <c r="AA19" i="58"/>
  <c r="Z6" i="58"/>
  <c r="AA6" i="58"/>
  <c r="AB6" i="58"/>
  <c r="AC6" i="58"/>
  <c r="AA20" i="58"/>
  <c r="Z7" i="58"/>
  <c r="AA7" i="58"/>
  <c r="AB7" i="58"/>
  <c r="AC7" i="58"/>
  <c r="AA21" i="58"/>
  <c r="Z8" i="58"/>
  <c r="AA8" i="58"/>
  <c r="AB8" i="58"/>
  <c r="AC8" i="58"/>
  <c r="AA22" i="58"/>
  <c r="Z9" i="58"/>
  <c r="AA9" i="58"/>
  <c r="AB9" i="58"/>
  <c r="AC9" i="58"/>
  <c r="AA23" i="58"/>
  <c r="Z10" i="58"/>
  <c r="AA10" i="58"/>
  <c r="AB10" i="58"/>
  <c r="AC10" i="58"/>
  <c r="AA24" i="58"/>
  <c r="Z11" i="58"/>
  <c r="AA11" i="58"/>
  <c r="AB11" i="58"/>
  <c r="AC11" i="58"/>
  <c r="AA25" i="58"/>
  <c r="Z12" i="58"/>
  <c r="AA12" i="58"/>
  <c r="AB12" i="58"/>
  <c r="AC12" i="58"/>
  <c r="AA26" i="58"/>
  <c r="Z13" i="58"/>
  <c r="AA13" i="58"/>
  <c r="AB13" i="58"/>
  <c r="AC13" i="58"/>
  <c r="AA27" i="58"/>
  <c r="AA28" i="58"/>
  <c r="Z16" i="58"/>
  <c r="Z17" i="58"/>
  <c r="Z18" i="58"/>
  <c r="Z19" i="58"/>
  <c r="Z20" i="58"/>
  <c r="Z21" i="58"/>
  <c r="Z22" i="58"/>
  <c r="Z23" i="58"/>
  <c r="Z24" i="58"/>
  <c r="Z25" i="58"/>
  <c r="Z26" i="58"/>
  <c r="Z27" i="58"/>
  <c r="Z28" i="58"/>
  <c r="S28" i="58"/>
  <c r="R28" i="58"/>
  <c r="Q28" i="58"/>
  <c r="P28" i="58"/>
  <c r="N28" i="58"/>
  <c r="M28" i="58"/>
  <c r="L28" i="58"/>
  <c r="K28" i="58"/>
  <c r="D27" i="58"/>
  <c r="N25" i="58"/>
  <c r="M25" i="58"/>
  <c r="L25" i="58"/>
  <c r="K25" i="58"/>
  <c r="D25" i="58"/>
  <c r="H16" i="58"/>
  <c r="D23" i="58"/>
  <c r="G16" i="58"/>
  <c r="D21" i="58"/>
  <c r="M19" i="58"/>
  <c r="W16" i="58"/>
  <c r="V16" i="58"/>
  <c r="U16" i="58"/>
  <c r="M16" i="58"/>
  <c r="E50" i="57"/>
  <c r="A50" i="57"/>
  <c r="E49" i="57"/>
  <c r="A49" i="57"/>
  <c r="E48" i="57"/>
  <c r="A48" i="57"/>
  <c r="E47" i="57"/>
  <c r="A47" i="57"/>
  <c r="E46" i="57"/>
  <c r="A46" i="57"/>
  <c r="E45" i="57"/>
  <c r="A45" i="57"/>
  <c r="E44" i="57"/>
  <c r="A44" i="57"/>
  <c r="E43" i="57"/>
  <c r="A43" i="57"/>
  <c r="X15" i="57"/>
  <c r="E42" i="57"/>
  <c r="A42" i="57"/>
  <c r="X14" i="57"/>
  <c r="E41" i="57"/>
  <c r="A41" i="57"/>
  <c r="E40" i="57"/>
  <c r="A40" i="57"/>
  <c r="X12" i="57"/>
  <c r="E39" i="57"/>
  <c r="A39" i="57"/>
  <c r="X11" i="57"/>
  <c r="X10" i="57"/>
  <c r="X9" i="57"/>
  <c r="R16" i="57"/>
  <c r="Q16" i="57"/>
  <c r="X8" i="57"/>
  <c r="X7" i="57"/>
  <c r="X4" i="57"/>
  <c r="X5" i="57"/>
  <c r="X6" i="57"/>
  <c r="AE2" i="57"/>
  <c r="AF2" i="57"/>
  <c r="AG2" i="57"/>
  <c r="AH2" i="57"/>
  <c r="AI2" i="57"/>
  <c r="AG16" i="57"/>
  <c r="AE3" i="57"/>
  <c r="AF3" i="57"/>
  <c r="AG3" i="57"/>
  <c r="AH3" i="57"/>
  <c r="AI3" i="57"/>
  <c r="AG17" i="57"/>
  <c r="AE4" i="57"/>
  <c r="AF4" i="57"/>
  <c r="AG4" i="57"/>
  <c r="AH4" i="57"/>
  <c r="AI4" i="57"/>
  <c r="AG18" i="57"/>
  <c r="AE5" i="57"/>
  <c r="AF5" i="57"/>
  <c r="AG5" i="57"/>
  <c r="AH5" i="57"/>
  <c r="AI5" i="57"/>
  <c r="AG19" i="57"/>
  <c r="AE6" i="57"/>
  <c r="AF6" i="57"/>
  <c r="AG6" i="57"/>
  <c r="AH6" i="57"/>
  <c r="AI6" i="57"/>
  <c r="AG20" i="57"/>
  <c r="AE7" i="57"/>
  <c r="AF7" i="57"/>
  <c r="AG7" i="57"/>
  <c r="AH7" i="57"/>
  <c r="AI7" i="57"/>
  <c r="AG21" i="57"/>
  <c r="AE8" i="57"/>
  <c r="AF8" i="57"/>
  <c r="AG8" i="57"/>
  <c r="AH8" i="57"/>
  <c r="AI8" i="57"/>
  <c r="AG22" i="57"/>
  <c r="AE9" i="57"/>
  <c r="AF9" i="57"/>
  <c r="AG9" i="57"/>
  <c r="AH9" i="57"/>
  <c r="AI9" i="57"/>
  <c r="AG23" i="57"/>
  <c r="AE10" i="57"/>
  <c r="AF10" i="57"/>
  <c r="AG10" i="57"/>
  <c r="AH10" i="57"/>
  <c r="AI10" i="57"/>
  <c r="AG24" i="57"/>
  <c r="AE11" i="57"/>
  <c r="AF11" i="57"/>
  <c r="AG11" i="57"/>
  <c r="AH11" i="57"/>
  <c r="AI11" i="57"/>
  <c r="AG25" i="57"/>
  <c r="AE12" i="57"/>
  <c r="AF12" i="57"/>
  <c r="AG12" i="57"/>
  <c r="AH12" i="57"/>
  <c r="AI12" i="57"/>
  <c r="AG26" i="57"/>
  <c r="AE13" i="57"/>
  <c r="AF13" i="57"/>
  <c r="AG13" i="57"/>
  <c r="AH13" i="57"/>
  <c r="AI13" i="57"/>
  <c r="AG27" i="57"/>
  <c r="AG28" i="57"/>
  <c r="AF16" i="57"/>
  <c r="AF17" i="57"/>
  <c r="AF18" i="57"/>
  <c r="AF19" i="57"/>
  <c r="AF20" i="57"/>
  <c r="AF21" i="57"/>
  <c r="AF22" i="57"/>
  <c r="AF23" i="57"/>
  <c r="AF24" i="57"/>
  <c r="AF25" i="57"/>
  <c r="AF26" i="57"/>
  <c r="AF27" i="57"/>
  <c r="AF28" i="57"/>
  <c r="J29" i="57"/>
  <c r="I29" i="57"/>
  <c r="H29" i="57"/>
  <c r="G29" i="57"/>
  <c r="AK2" i="57"/>
  <c r="AQ16" i="57"/>
  <c r="AL2" i="57"/>
  <c r="AR16" i="57"/>
  <c r="AM2" i="57"/>
  <c r="AS16" i="57"/>
  <c r="AN2" i="57"/>
  <c r="AT16" i="57"/>
  <c r="AO2" i="57"/>
  <c r="AU16" i="57"/>
  <c r="AP2" i="57"/>
  <c r="AV16" i="57"/>
  <c r="AQ2" i="57"/>
  <c r="AW16" i="57"/>
  <c r="AR2" i="57"/>
  <c r="AX16" i="57"/>
  <c r="AS2" i="57"/>
  <c r="AY16" i="57"/>
  <c r="AT2" i="57"/>
  <c r="AZ16" i="57"/>
  <c r="AU2" i="57"/>
  <c r="BA16" i="57"/>
  <c r="AV2" i="57"/>
  <c r="BB16" i="57"/>
  <c r="AW2" i="57"/>
  <c r="BC16" i="57"/>
  <c r="AX2" i="57"/>
  <c r="BD16" i="57"/>
  <c r="AY2" i="57"/>
  <c r="BE16" i="57"/>
  <c r="AZ2" i="57"/>
  <c r="BF16" i="57"/>
  <c r="BA2" i="57"/>
  <c r="BG16" i="57"/>
  <c r="BB2" i="57"/>
  <c r="BH16" i="57"/>
  <c r="BC2" i="57"/>
  <c r="BI16" i="57"/>
  <c r="BD2" i="57"/>
  <c r="BJ16" i="57"/>
  <c r="BE2" i="57"/>
  <c r="BK16" i="57"/>
  <c r="BF2" i="57"/>
  <c r="BL16" i="57"/>
  <c r="BG2" i="57"/>
  <c r="BM16" i="57"/>
  <c r="BH2" i="57"/>
  <c r="BN16" i="57"/>
  <c r="AP16" i="57"/>
  <c r="AK3" i="57"/>
  <c r="AQ17" i="57"/>
  <c r="AL3" i="57"/>
  <c r="AR17" i="57"/>
  <c r="AM3" i="57"/>
  <c r="AS17" i="57"/>
  <c r="AN3" i="57"/>
  <c r="AT17" i="57"/>
  <c r="AO3" i="57"/>
  <c r="AU17" i="57"/>
  <c r="AP3" i="57"/>
  <c r="AV17" i="57"/>
  <c r="AQ3" i="57"/>
  <c r="AW17" i="57"/>
  <c r="AR3" i="57"/>
  <c r="AX17" i="57"/>
  <c r="AS3" i="57"/>
  <c r="AY17" i="57"/>
  <c r="AT3" i="57"/>
  <c r="AZ17" i="57"/>
  <c r="AU3" i="57"/>
  <c r="BA17" i="57"/>
  <c r="AV3" i="57"/>
  <c r="BB17" i="57"/>
  <c r="AW3" i="57"/>
  <c r="BC17" i="57"/>
  <c r="AX3" i="57"/>
  <c r="BD17" i="57"/>
  <c r="AY3" i="57"/>
  <c r="BE17" i="57"/>
  <c r="AZ3" i="57"/>
  <c r="BF17" i="57"/>
  <c r="BA3" i="57"/>
  <c r="BG17" i="57"/>
  <c r="BB3" i="57"/>
  <c r="BH17" i="57"/>
  <c r="BC3" i="57"/>
  <c r="BI17" i="57"/>
  <c r="BD3" i="57"/>
  <c r="BJ17" i="57"/>
  <c r="BE3" i="57"/>
  <c r="BK17" i="57"/>
  <c r="BF3" i="57"/>
  <c r="BL17" i="57"/>
  <c r="BG3" i="57"/>
  <c r="BM17" i="57"/>
  <c r="BH3" i="57"/>
  <c r="BN17" i="57"/>
  <c r="AP17" i="57"/>
  <c r="AK4" i="57"/>
  <c r="AQ18" i="57"/>
  <c r="AL4" i="57"/>
  <c r="AR18" i="57"/>
  <c r="AM4" i="57"/>
  <c r="AS18" i="57"/>
  <c r="AN4" i="57"/>
  <c r="AT18" i="57"/>
  <c r="AO4" i="57"/>
  <c r="AU18" i="57"/>
  <c r="AP4" i="57"/>
  <c r="AV18" i="57"/>
  <c r="AQ4" i="57"/>
  <c r="AW18" i="57"/>
  <c r="AR4" i="57"/>
  <c r="AX18" i="57"/>
  <c r="AS4" i="57"/>
  <c r="AY18" i="57"/>
  <c r="AT4" i="57"/>
  <c r="AZ18" i="57"/>
  <c r="AU4" i="57"/>
  <c r="BA18" i="57"/>
  <c r="AV4" i="57"/>
  <c r="BB18" i="57"/>
  <c r="AW4" i="57"/>
  <c r="BC18" i="57"/>
  <c r="AX4" i="57"/>
  <c r="BD18" i="57"/>
  <c r="AY4" i="57"/>
  <c r="BE18" i="57"/>
  <c r="AZ4" i="57"/>
  <c r="BF18" i="57"/>
  <c r="BA4" i="57"/>
  <c r="BG18" i="57"/>
  <c r="BB4" i="57"/>
  <c r="BH18" i="57"/>
  <c r="BC4" i="57"/>
  <c r="BI18" i="57"/>
  <c r="BD4" i="57"/>
  <c r="BJ18" i="57"/>
  <c r="BE4" i="57"/>
  <c r="BK18" i="57"/>
  <c r="BF4" i="57"/>
  <c r="BL18" i="57"/>
  <c r="BG4" i="57"/>
  <c r="BM18" i="57"/>
  <c r="BH4" i="57"/>
  <c r="BN18" i="57"/>
  <c r="AP18" i="57"/>
  <c r="AK5" i="57"/>
  <c r="AQ19" i="57"/>
  <c r="AL5" i="57"/>
  <c r="AR19" i="57"/>
  <c r="AM5" i="57"/>
  <c r="AS19" i="57"/>
  <c r="AN5" i="57"/>
  <c r="AT19" i="57"/>
  <c r="AO5" i="57"/>
  <c r="AU19" i="57"/>
  <c r="AP5" i="57"/>
  <c r="AV19" i="57"/>
  <c r="AQ5" i="57"/>
  <c r="AW19" i="57"/>
  <c r="AR5" i="57"/>
  <c r="AX19" i="57"/>
  <c r="AS5" i="57"/>
  <c r="AY19" i="57"/>
  <c r="AT5" i="57"/>
  <c r="AZ19" i="57"/>
  <c r="AU5" i="57"/>
  <c r="BA19" i="57"/>
  <c r="AV5" i="57"/>
  <c r="BB19" i="57"/>
  <c r="AW5" i="57"/>
  <c r="BC19" i="57"/>
  <c r="AX5" i="57"/>
  <c r="BD19" i="57"/>
  <c r="AY5" i="57"/>
  <c r="BE19" i="57"/>
  <c r="AZ5" i="57"/>
  <c r="BF19" i="57"/>
  <c r="BA5" i="57"/>
  <c r="BG19" i="57"/>
  <c r="BB5" i="57"/>
  <c r="BH19" i="57"/>
  <c r="BC5" i="57"/>
  <c r="BI19" i="57"/>
  <c r="BD5" i="57"/>
  <c r="BJ19" i="57"/>
  <c r="BE5" i="57"/>
  <c r="BK19" i="57"/>
  <c r="BF5" i="57"/>
  <c r="BL19" i="57"/>
  <c r="BG5" i="57"/>
  <c r="BM19" i="57"/>
  <c r="BH5" i="57"/>
  <c r="BN19" i="57"/>
  <c r="AP19" i="57"/>
  <c r="AK6" i="57"/>
  <c r="AQ20" i="57"/>
  <c r="AL6" i="57"/>
  <c r="AR20" i="57"/>
  <c r="AM6" i="57"/>
  <c r="AS20" i="57"/>
  <c r="AN6" i="57"/>
  <c r="AT20" i="57"/>
  <c r="AO6" i="57"/>
  <c r="AU20" i="57"/>
  <c r="AP6" i="57"/>
  <c r="AV20" i="57"/>
  <c r="AQ6" i="57"/>
  <c r="AW20" i="57"/>
  <c r="AR6" i="57"/>
  <c r="AX20" i="57"/>
  <c r="AS6" i="57"/>
  <c r="AY20" i="57"/>
  <c r="AT6" i="57"/>
  <c r="AZ20" i="57"/>
  <c r="AU6" i="57"/>
  <c r="BA20" i="57"/>
  <c r="AV6" i="57"/>
  <c r="BB20" i="57"/>
  <c r="AW6" i="57"/>
  <c r="BC20" i="57"/>
  <c r="AX6" i="57"/>
  <c r="BD20" i="57"/>
  <c r="AY6" i="57"/>
  <c r="BE20" i="57"/>
  <c r="AZ6" i="57"/>
  <c r="BF20" i="57"/>
  <c r="BA6" i="57"/>
  <c r="BG20" i="57"/>
  <c r="BB6" i="57"/>
  <c r="BH20" i="57"/>
  <c r="BC6" i="57"/>
  <c r="BI20" i="57"/>
  <c r="BD6" i="57"/>
  <c r="BJ20" i="57"/>
  <c r="BE6" i="57"/>
  <c r="BK20" i="57"/>
  <c r="BF6" i="57"/>
  <c r="BL20" i="57"/>
  <c r="BG6" i="57"/>
  <c r="BM20" i="57"/>
  <c r="BH6" i="57"/>
  <c r="BN20" i="57"/>
  <c r="AP20" i="57"/>
  <c r="AK7" i="57"/>
  <c r="AQ21" i="57"/>
  <c r="AL7" i="57"/>
  <c r="AR21" i="57"/>
  <c r="AM7" i="57"/>
  <c r="AS21" i="57"/>
  <c r="AN7" i="57"/>
  <c r="AT21" i="57"/>
  <c r="AO7" i="57"/>
  <c r="AU21" i="57"/>
  <c r="AP7" i="57"/>
  <c r="AV21" i="57"/>
  <c r="AQ7" i="57"/>
  <c r="AW21" i="57"/>
  <c r="AR7" i="57"/>
  <c r="AX21" i="57"/>
  <c r="AS7" i="57"/>
  <c r="AY21" i="57"/>
  <c r="AT7" i="57"/>
  <c r="AZ21" i="57"/>
  <c r="AU7" i="57"/>
  <c r="BA21" i="57"/>
  <c r="AV7" i="57"/>
  <c r="BB21" i="57"/>
  <c r="AW7" i="57"/>
  <c r="BC21" i="57"/>
  <c r="AX7" i="57"/>
  <c r="BD21" i="57"/>
  <c r="AY7" i="57"/>
  <c r="BE21" i="57"/>
  <c r="AZ7" i="57"/>
  <c r="BF21" i="57"/>
  <c r="BA7" i="57"/>
  <c r="BG21" i="57"/>
  <c r="BB7" i="57"/>
  <c r="BH21" i="57"/>
  <c r="BC7" i="57"/>
  <c r="BI21" i="57"/>
  <c r="BD7" i="57"/>
  <c r="BJ21" i="57"/>
  <c r="BE7" i="57"/>
  <c r="BK21" i="57"/>
  <c r="BF7" i="57"/>
  <c r="BL21" i="57"/>
  <c r="BG7" i="57"/>
  <c r="BM21" i="57"/>
  <c r="BH7" i="57"/>
  <c r="BN21" i="57"/>
  <c r="AP21" i="57"/>
  <c r="AK8" i="57"/>
  <c r="AQ22" i="57"/>
  <c r="AL8" i="57"/>
  <c r="AR22" i="57"/>
  <c r="AM8" i="57"/>
  <c r="AS22" i="57"/>
  <c r="AN8" i="57"/>
  <c r="AT22" i="57"/>
  <c r="AO8" i="57"/>
  <c r="AU22" i="57"/>
  <c r="AP8" i="57"/>
  <c r="AV22" i="57"/>
  <c r="AQ8" i="57"/>
  <c r="AW22" i="57"/>
  <c r="AR8" i="57"/>
  <c r="AX22" i="57"/>
  <c r="AS8" i="57"/>
  <c r="AY22" i="57"/>
  <c r="AT8" i="57"/>
  <c r="AZ22" i="57"/>
  <c r="AU8" i="57"/>
  <c r="BA22" i="57"/>
  <c r="AV8" i="57"/>
  <c r="BB22" i="57"/>
  <c r="AW8" i="57"/>
  <c r="BC22" i="57"/>
  <c r="AX8" i="57"/>
  <c r="BD22" i="57"/>
  <c r="AY8" i="57"/>
  <c r="BE22" i="57"/>
  <c r="AZ8" i="57"/>
  <c r="BF22" i="57"/>
  <c r="BA8" i="57"/>
  <c r="BG22" i="57"/>
  <c r="BB8" i="57"/>
  <c r="BH22" i="57"/>
  <c r="BC8" i="57"/>
  <c r="BI22" i="57"/>
  <c r="BD8" i="57"/>
  <c r="BJ22" i="57"/>
  <c r="BE8" i="57"/>
  <c r="BK22" i="57"/>
  <c r="BF8" i="57"/>
  <c r="BL22" i="57"/>
  <c r="BG8" i="57"/>
  <c r="BM22" i="57"/>
  <c r="BH8" i="57"/>
  <c r="BN22" i="57"/>
  <c r="AP22" i="57"/>
  <c r="AK9" i="57"/>
  <c r="AQ23" i="57"/>
  <c r="AL9" i="57"/>
  <c r="AR23" i="57"/>
  <c r="AM9" i="57"/>
  <c r="AS23" i="57"/>
  <c r="AN9" i="57"/>
  <c r="AT23" i="57"/>
  <c r="AO9" i="57"/>
  <c r="AU23" i="57"/>
  <c r="AP9" i="57"/>
  <c r="AV23" i="57"/>
  <c r="AQ9" i="57"/>
  <c r="AW23" i="57"/>
  <c r="AR9" i="57"/>
  <c r="AX23" i="57"/>
  <c r="AS9" i="57"/>
  <c r="AY23" i="57"/>
  <c r="AT9" i="57"/>
  <c r="AZ23" i="57"/>
  <c r="AU9" i="57"/>
  <c r="BA23" i="57"/>
  <c r="AV9" i="57"/>
  <c r="BB23" i="57"/>
  <c r="AW9" i="57"/>
  <c r="BC23" i="57"/>
  <c r="AX9" i="57"/>
  <c r="BD23" i="57"/>
  <c r="AY9" i="57"/>
  <c r="BE23" i="57"/>
  <c r="AZ9" i="57"/>
  <c r="BF23" i="57"/>
  <c r="BA9" i="57"/>
  <c r="BG23" i="57"/>
  <c r="BB9" i="57"/>
  <c r="BH23" i="57"/>
  <c r="BC9" i="57"/>
  <c r="BI23" i="57"/>
  <c r="BD9" i="57"/>
  <c r="BJ23" i="57"/>
  <c r="BE9" i="57"/>
  <c r="BK23" i="57"/>
  <c r="BF9" i="57"/>
  <c r="BL23" i="57"/>
  <c r="BG9" i="57"/>
  <c r="BM23" i="57"/>
  <c r="BH9" i="57"/>
  <c r="BN23" i="57"/>
  <c r="AP23" i="57"/>
  <c r="AK10" i="57"/>
  <c r="AQ24" i="57"/>
  <c r="AL10" i="57"/>
  <c r="AR24" i="57"/>
  <c r="AM10" i="57"/>
  <c r="AS24" i="57"/>
  <c r="AN10" i="57"/>
  <c r="AT24" i="57"/>
  <c r="AO10" i="57"/>
  <c r="AU24" i="57"/>
  <c r="AP10" i="57"/>
  <c r="AV24" i="57"/>
  <c r="AQ10" i="57"/>
  <c r="AW24" i="57"/>
  <c r="AR10" i="57"/>
  <c r="AX24" i="57"/>
  <c r="AS10" i="57"/>
  <c r="AY24" i="57"/>
  <c r="AT10" i="57"/>
  <c r="AZ24" i="57"/>
  <c r="AU10" i="57"/>
  <c r="BA24" i="57"/>
  <c r="AV10" i="57"/>
  <c r="BB24" i="57"/>
  <c r="AW10" i="57"/>
  <c r="BC24" i="57"/>
  <c r="AX10" i="57"/>
  <c r="BD24" i="57"/>
  <c r="AY10" i="57"/>
  <c r="BE24" i="57"/>
  <c r="AZ10" i="57"/>
  <c r="BF24" i="57"/>
  <c r="BA10" i="57"/>
  <c r="BG24" i="57"/>
  <c r="BB10" i="57"/>
  <c r="BH24" i="57"/>
  <c r="BC10" i="57"/>
  <c r="BI24" i="57"/>
  <c r="BD10" i="57"/>
  <c r="BJ24" i="57"/>
  <c r="BE10" i="57"/>
  <c r="BK24" i="57"/>
  <c r="BF10" i="57"/>
  <c r="BL24" i="57"/>
  <c r="BG10" i="57"/>
  <c r="BM24" i="57"/>
  <c r="BH10" i="57"/>
  <c r="BN24" i="57"/>
  <c r="AP24" i="57"/>
  <c r="AK11" i="57"/>
  <c r="AQ25" i="57"/>
  <c r="AL11" i="57"/>
  <c r="AR25" i="57"/>
  <c r="AM11" i="57"/>
  <c r="AS25" i="57"/>
  <c r="AN11" i="57"/>
  <c r="AT25" i="57"/>
  <c r="AO11" i="57"/>
  <c r="AU25" i="57"/>
  <c r="AP11" i="57"/>
  <c r="AV25" i="57"/>
  <c r="AQ11" i="57"/>
  <c r="AW25" i="57"/>
  <c r="AR11" i="57"/>
  <c r="AX25" i="57"/>
  <c r="AS11" i="57"/>
  <c r="AY25" i="57"/>
  <c r="AT11" i="57"/>
  <c r="AZ25" i="57"/>
  <c r="AU11" i="57"/>
  <c r="BA25" i="57"/>
  <c r="AV11" i="57"/>
  <c r="BB25" i="57"/>
  <c r="AW11" i="57"/>
  <c r="BC25" i="57"/>
  <c r="AX11" i="57"/>
  <c r="BD25" i="57"/>
  <c r="AY11" i="57"/>
  <c r="BE25" i="57"/>
  <c r="AZ11" i="57"/>
  <c r="BF25" i="57"/>
  <c r="BA11" i="57"/>
  <c r="BG25" i="57"/>
  <c r="BB11" i="57"/>
  <c r="BH25" i="57"/>
  <c r="BC11" i="57"/>
  <c r="BI25" i="57"/>
  <c r="BD11" i="57"/>
  <c r="BJ25" i="57"/>
  <c r="BE11" i="57"/>
  <c r="BK25" i="57"/>
  <c r="BF11" i="57"/>
  <c r="BL25" i="57"/>
  <c r="BG11" i="57"/>
  <c r="BM25" i="57"/>
  <c r="BH11" i="57"/>
  <c r="BN25" i="57"/>
  <c r="AP25" i="57"/>
  <c r="AK12" i="57"/>
  <c r="AQ26" i="57"/>
  <c r="AL12" i="57"/>
  <c r="AR26" i="57"/>
  <c r="AM12" i="57"/>
  <c r="AS26" i="57"/>
  <c r="AN12" i="57"/>
  <c r="AT26" i="57"/>
  <c r="AO12" i="57"/>
  <c r="AU26" i="57"/>
  <c r="AP12" i="57"/>
  <c r="AV26" i="57"/>
  <c r="AQ12" i="57"/>
  <c r="AW26" i="57"/>
  <c r="AR12" i="57"/>
  <c r="AX26" i="57"/>
  <c r="AS12" i="57"/>
  <c r="AY26" i="57"/>
  <c r="AT12" i="57"/>
  <c r="AZ26" i="57"/>
  <c r="AU12" i="57"/>
  <c r="BA26" i="57"/>
  <c r="AV12" i="57"/>
  <c r="BB26" i="57"/>
  <c r="AW12" i="57"/>
  <c r="BC26" i="57"/>
  <c r="AX12" i="57"/>
  <c r="BD26" i="57"/>
  <c r="AY12" i="57"/>
  <c r="BE26" i="57"/>
  <c r="AZ12" i="57"/>
  <c r="BF26" i="57"/>
  <c r="BA12" i="57"/>
  <c r="BG26" i="57"/>
  <c r="BB12" i="57"/>
  <c r="BH26" i="57"/>
  <c r="BC12" i="57"/>
  <c r="BI26" i="57"/>
  <c r="BD12" i="57"/>
  <c r="BJ26" i="57"/>
  <c r="BE12" i="57"/>
  <c r="BK26" i="57"/>
  <c r="BF12" i="57"/>
  <c r="BL26" i="57"/>
  <c r="BG12" i="57"/>
  <c r="BM26" i="57"/>
  <c r="BH12" i="57"/>
  <c r="BN26" i="57"/>
  <c r="AP26" i="57"/>
  <c r="AK13" i="57"/>
  <c r="AQ27" i="57"/>
  <c r="AL13" i="57"/>
  <c r="AR27" i="57"/>
  <c r="AM13" i="57"/>
  <c r="AS27" i="57"/>
  <c r="AN13" i="57"/>
  <c r="AT27" i="57"/>
  <c r="AO13" i="57"/>
  <c r="AU27" i="57"/>
  <c r="AP13" i="57"/>
  <c r="AV27" i="57"/>
  <c r="AQ13" i="57"/>
  <c r="AW27" i="57"/>
  <c r="AR13" i="57"/>
  <c r="AX27" i="57"/>
  <c r="AS13" i="57"/>
  <c r="AY27" i="57"/>
  <c r="AT13" i="57"/>
  <c r="AZ27" i="57"/>
  <c r="AU13" i="57"/>
  <c r="BA27" i="57"/>
  <c r="AV13" i="57"/>
  <c r="BB27" i="57"/>
  <c r="AW13" i="57"/>
  <c r="BC27" i="57"/>
  <c r="AX13" i="57"/>
  <c r="BD27" i="57"/>
  <c r="AY13" i="57"/>
  <c r="BE27" i="57"/>
  <c r="AZ13" i="57"/>
  <c r="BF27" i="57"/>
  <c r="BA13" i="57"/>
  <c r="BG27" i="57"/>
  <c r="BB13" i="57"/>
  <c r="BH27" i="57"/>
  <c r="BC13" i="57"/>
  <c r="BI27" i="57"/>
  <c r="BD13" i="57"/>
  <c r="BJ27" i="57"/>
  <c r="BE13" i="57"/>
  <c r="BK27" i="57"/>
  <c r="BF13" i="57"/>
  <c r="BL27" i="57"/>
  <c r="BG13" i="57"/>
  <c r="BM27" i="57"/>
  <c r="BH13" i="57"/>
  <c r="BN27" i="57"/>
  <c r="AP27" i="57"/>
  <c r="AP28" i="57"/>
  <c r="AN16" i="57"/>
  <c r="AN17" i="57"/>
  <c r="AN18" i="57"/>
  <c r="AN19" i="57"/>
  <c r="AN20" i="57"/>
  <c r="AN21" i="57"/>
  <c r="AN22" i="57"/>
  <c r="AN23" i="57"/>
  <c r="AN24" i="57"/>
  <c r="AN25" i="57"/>
  <c r="AN26" i="57"/>
  <c r="AN27" i="57"/>
  <c r="AN28" i="57"/>
  <c r="AM16" i="57"/>
  <c r="AM17" i="57"/>
  <c r="AM18" i="57"/>
  <c r="AM19" i="57"/>
  <c r="AM20" i="57"/>
  <c r="AM21" i="57"/>
  <c r="AM22" i="57"/>
  <c r="AM23" i="57"/>
  <c r="AM24" i="57"/>
  <c r="AM25" i="57"/>
  <c r="AM26" i="57"/>
  <c r="AM27" i="57"/>
  <c r="AM28" i="57"/>
  <c r="AL16" i="57"/>
  <c r="AL17" i="57"/>
  <c r="AL18" i="57"/>
  <c r="AL19" i="57"/>
  <c r="AL20" i="57"/>
  <c r="AL21" i="57"/>
  <c r="AL22" i="57"/>
  <c r="AL23" i="57"/>
  <c r="AL24" i="57"/>
  <c r="AL25" i="57"/>
  <c r="AL26" i="57"/>
  <c r="AL27" i="57"/>
  <c r="AL28" i="57"/>
  <c r="AK16" i="57"/>
  <c r="AK17" i="57"/>
  <c r="AK18" i="57"/>
  <c r="AK19" i="57"/>
  <c r="AK20" i="57"/>
  <c r="AK21" i="57"/>
  <c r="AK22" i="57"/>
  <c r="AK23" i="57"/>
  <c r="AK24" i="57"/>
  <c r="AK25" i="57"/>
  <c r="AK26" i="57"/>
  <c r="AK27" i="57"/>
  <c r="AK28" i="57"/>
  <c r="Z2" i="57"/>
  <c r="AA2" i="57"/>
  <c r="AB2" i="57"/>
  <c r="AC2" i="57"/>
  <c r="AA16" i="57"/>
  <c r="Z3" i="57"/>
  <c r="AA3" i="57"/>
  <c r="AB3" i="57"/>
  <c r="AC3" i="57"/>
  <c r="AA17" i="57"/>
  <c r="Z4" i="57"/>
  <c r="AA4" i="57"/>
  <c r="AB4" i="57"/>
  <c r="AC4" i="57"/>
  <c r="AA18" i="57"/>
  <c r="Z5" i="57"/>
  <c r="AA5" i="57"/>
  <c r="AB5" i="57"/>
  <c r="AC5" i="57"/>
  <c r="AA19" i="57"/>
  <c r="Z6" i="57"/>
  <c r="AA6" i="57"/>
  <c r="AB6" i="57"/>
  <c r="AC6" i="57"/>
  <c r="AA20" i="57"/>
  <c r="Z7" i="57"/>
  <c r="AA7" i="57"/>
  <c r="AB7" i="57"/>
  <c r="AC7" i="57"/>
  <c r="AA21" i="57"/>
  <c r="Z8" i="57"/>
  <c r="AA8" i="57"/>
  <c r="AB8" i="57"/>
  <c r="AC8" i="57"/>
  <c r="AA22" i="57"/>
  <c r="Z9" i="57"/>
  <c r="AA9" i="57"/>
  <c r="AB9" i="57"/>
  <c r="AC9" i="57"/>
  <c r="AA23" i="57"/>
  <c r="Z10" i="57"/>
  <c r="AA10" i="57"/>
  <c r="AB10" i="57"/>
  <c r="AC10" i="57"/>
  <c r="AA24" i="57"/>
  <c r="Z11" i="57"/>
  <c r="AA11" i="57"/>
  <c r="AB11" i="57"/>
  <c r="AC11" i="57"/>
  <c r="AA25" i="57"/>
  <c r="Z12" i="57"/>
  <c r="AA12" i="57"/>
  <c r="AB12" i="57"/>
  <c r="AC12" i="57"/>
  <c r="AA26" i="57"/>
  <c r="Z13" i="57"/>
  <c r="AA13" i="57"/>
  <c r="AB13" i="57"/>
  <c r="AC13" i="57"/>
  <c r="AA27" i="57"/>
  <c r="AA28" i="57"/>
  <c r="Z16" i="57"/>
  <c r="Z17" i="57"/>
  <c r="Z18" i="57"/>
  <c r="Z19" i="57"/>
  <c r="Z20" i="57"/>
  <c r="Z21" i="57"/>
  <c r="Z22" i="57"/>
  <c r="Z23" i="57"/>
  <c r="Z24" i="57"/>
  <c r="Z25" i="57"/>
  <c r="Z26" i="57"/>
  <c r="Z27" i="57"/>
  <c r="Z28" i="57"/>
  <c r="S28" i="57"/>
  <c r="R28" i="57"/>
  <c r="Q28" i="57"/>
  <c r="P28" i="57"/>
  <c r="N28" i="57"/>
  <c r="M28" i="57"/>
  <c r="L28" i="57"/>
  <c r="K28" i="57"/>
  <c r="D27" i="57"/>
  <c r="G26" i="57"/>
  <c r="N25" i="57"/>
  <c r="M25" i="57"/>
  <c r="L25" i="57"/>
  <c r="K25" i="57"/>
  <c r="D25" i="57"/>
  <c r="G24" i="57"/>
  <c r="H16" i="57"/>
  <c r="D23" i="57"/>
  <c r="G22" i="57"/>
  <c r="G16" i="57"/>
  <c r="D21" i="57"/>
  <c r="G20" i="57"/>
  <c r="M19" i="57"/>
  <c r="W16" i="57"/>
  <c r="V16" i="57"/>
  <c r="U16" i="57"/>
  <c r="M16" i="57"/>
  <c r="E50" i="56"/>
  <c r="A50" i="56"/>
  <c r="E49" i="56"/>
  <c r="A49" i="56"/>
  <c r="E48" i="56"/>
  <c r="A48" i="56"/>
  <c r="E47" i="56"/>
  <c r="A47" i="56"/>
  <c r="E46" i="56"/>
  <c r="A46" i="56"/>
  <c r="E45" i="56"/>
  <c r="A45" i="56"/>
  <c r="E44" i="56"/>
  <c r="A44" i="56"/>
  <c r="E43" i="56"/>
  <c r="A43" i="56"/>
  <c r="X15" i="56"/>
  <c r="E42" i="56"/>
  <c r="A42" i="56"/>
  <c r="X14" i="56"/>
  <c r="E41" i="56"/>
  <c r="A41" i="56"/>
  <c r="X13" i="56"/>
  <c r="E40" i="56"/>
  <c r="A40" i="56"/>
  <c r="X12" i="56"/>
  <c r="E39" i="56"/>
  <c r="A39" i="56"/>
  <c r="X11" i="56"/>
  <c r="X10" i="56"/>
  <c r="X9" i="56"/>
  <c r="X8" i="56"/>
  <c r="X4" i="56"/>
  <c r="X5" i="56"/>
  <c r="X6" i="56"/>
  <c r="AE2" i="56"/>
  <c r="AF2" i="56"/>
  <c r="AG2" i="56"/>
  <c r="AH2" i="56"/>
  <c r="AI2" i="56"/>
  <c r="AG16" i="56"/>
  <c r="AE3" i="56"/>
  <c r="AF3" i="56"/>
  <c r="AG3" i="56"/>
  <c r="AH3" i="56"/>
  <c r="AI3" i="56"/>
  <c r="AG17" i="56"/>
  <c r="AE4" i="56"/>
  <c r="AF4" i="56"/>
  <c r="AG4" i="56"/>
  <c r="AH4" i="56"/>
  <c r="AI4" i="56"/>
  <c r="AG18" i="56"/>
  <c r="AE7" i="56"/>
  <c r="AF7" i="56"/>
  <c r="AG7" i="56"/>
  <c r="AH7" i="56"/>
  <c r="AI7" i="56"/>
  <c r="AG21" i="56"/>
  <c r="AE8" i="56"/>
  <c r="AF8" i="56"/>
  <c r="AG8" i="56"/>
  <c r="AH8" i="56"/>
  <c r="AI8" i="56"/>
  <c r="AG22" i="56"/>
  <c r="AE9" i="56"/>
  <c r="AF9" i="56"/>
  <c r="AG9" i="56"/>
  <c r="AH9" i="56"/>
  <c r="AI9" i="56"/>
  <c r="AG23" i="56"/>
  <c r="AE10" i="56"/>
  <c r="AF10" i="56"/>
  <c r="AG10" i="56"/>
  <c r="AH10" i="56"/>
  <c r="AI10" i="56"/>
  <c r="AG24" i="56"/>
  <c r="AE11" i="56"/>
  <c r="AF11" i="56"/>
  <c r="AG11" i="56"/>
  <c r="AH11" i="56"/>
  <c r="AI11" i="56"/>
  <c r="AG25" i="56"/>
  <c r="AE12" i="56"/>
  <c r="AF12" i="56"/>
  <c r="AG12" i="56"/>
  <c r="AH12" i="56"/>
  <c r="AI12" i="56"/>
  <c r="AG26" i="56"/>
  <c r="AE13" i="56"/>
  <c r="AF13" i="56"/>
  <c r="AG13" i="56"/>
  <c r="AH13" i="56"/>
  <c r="AI13" i="56"/>
  <c r="AG27" i="56"/>
  <c r="AF16" i="56"/>
  <c r="AF17" i="56"/>
  <c r="AF18" i="56"/>
  <c r="AF21" i="56"/>
  <c r="AF22" i="56"/>
  <c r="AF23" i="56"/>
  <c r="AF24" i="56"/>
  <c r="AF25" i="56"/>
  <c r="AF26" i="56"/>
  <c r="AF27" i="56"/>
  <c r="D31" i="56"/>
  <c r="J29" i="56"/>
  <c r="I29" i="56"/>
  <c r="H29" i="56"/>
  <c r="G29" i="56"/>
  <c r="F16" i="56"/>
  <c r="D29" i="56"/>
  <c r="AK2" i="56"/>
  <c r="AQ16" i="56"/>
  <c r="AL2" i="56"/>
  <c r="AR16" i="56"/>
  <c r="AM2" i="56"/>
  <c r="AS16" i="56"/>
  <c r="AN2" i="56"/>
  <c r="AT16" i="56"/>
  <c r="AO2" i="56"/>
  <c r="AU16" i="56"/>
  <c r="AP2" i="56"/>
  <c r="AV16" i="56"/>
  <c r="AQ2" i="56"/>
  <c r="AW16" i="56"/>
  <c r="AR2" i="56"/>
  <c r="AX16" i="56"/>
  <c r="AS2" i="56"/>
  <c r="AY16" i="56"/>
  <c r="AT2" i="56"/>
  <c r="AZ16" i="56"/>
  <c r="AU2" i="56"/>
  <c r="BA16" i="56"/>
  <c r="AV2" i="56"/>
  <c r="BB16" i="56"/>
  <c r="AW2" i="56"/>
  <c r="BC16" i="56"/>
  <c r="AX2" i="56"/>
  <c r="BD16" i="56"/>
  <c r="AY2" i="56"/>
  <c r="BE16" i="56"/>
  <c r="AZ2" i="56"/>
  <c r="BF16" i="56"/>
  <c r="BA2" i="56"/>
  <c r="BG16" i="56"/>
  <c r="BB2" i="56"/>
  <c r="BH16" i="56"/>
  <c r="BC2" i="56"/>
  <c r="BI16" i="56"/>
  <c r="BD2" i="56"/>
  <c r="BJ16" i="56"/>
  <c r="BE2" i="56"/>
  <c r="BK16" i="56"/>
  <c r="BF2" i="56"/>
  <c r="BL16" i="56"/>
  <c r="BG2" i="56"/>
  <c r="BM16" i="56"/>
  <c r="BH2" i="56"/>
  <c r="BN16" i="56"/>
  <c r="AP16" i="56"/>
  <c r="AK3" i="56"/>
  <c r="AQ17" i="56"/>
  <c r="AL3" i="56"/>
  <c r="AR17" i="56"/>
  <c r="AM3" i="56"/>
  <c r="AS17" i="56"/>
  <c r="AN3" i="56"/>
  <c r="AT17" i="56"/>
  <c r="AO3" i="56"/>
  <c r="AU17" i="56"/>
  <c r="AP3" i="56"/>
  <c r="AV17" i="56"/>
  <c r="AQ3" i="56"/>
  <c r="AW17" i="56"/>
  <c r="AR3" i="56"/>
  <c r="AX17" i="56"/>
  <c r="AS3" i="56"/>
  <c r="AY17" i="56"/>
  <c r="AT3" i="56"/>
  <c r="AZ17" i="56"/>
  <c r="AU3" i="56"/>
  <c r="BA17" i="56"/>
  <c r="AV3" i="56"/>
  <c r="BB17" i="56"/>
  <c r="AW3" i="56"/>
  <c r="BC17" i="56"/>
  <c r="AX3" i="56"/>
  <c r="BD17" i="56"/>
  <c r="AY3" i="56"/>
  <c r="BE17" i="56"/>
  <c r="AZ3" i="56"/>
  <c r="BF17" i="56"/>
  <c r="BA3" i="56"/>
  <c r="BG17" i="56"/>
  <c r="BB3" i="56"/>
  <c r="BH17" i="56"/>
  <c r="BC3" i="56"/>
  <c r="BI17" i="56"/>
  <c r="BD3" i="56"/>
  <c r="BJ17" i="56"/>
  <c r="BE3" i="56"/>
  <c r="BK17" i="56"/>
  <c r="BF3" i="56"/>
  <c r="BL17" i="56"/>
  <c r="BG3" i="56"/>
  <c r="BM17" i="56"/>
  <c r="BH3" i="56"/>
  <c r="BN17" i="56"/>
  <c r="AP17" i="56"/>
  <c r="AK4" i="56"/>
  <c r="AQ18" i="56"/>
  <c r="AL4" i="56"/>
  <c r="AR18" i="56"/>
  <c r="AM4" i="56"/>
  <c r="AS18" i="56"/>
  <c r="AN4" i="56"/>
  <c r="AT18" i="56"/>
  <c r="AO4" i="56"/>
  <c r="AU18" i="56"/>
  <c r="AP4" i="56"/>
  <c r="AV18" i="56"/>
  <c r="AQ4" i="56"/>
  <c r="AW18" i="56"/>
  <c r="AR4" i="56"/>
  <c r="AX18" i="56"/>
  <c r="AS4" i="56"/>
  <c r="AY18" i="56"/>
  <c r="AT4" i="56"/>
  <c r="AZ18" i="56"/>
  <c r="AU4" i="56"/>
  <c r="BA18" i="56"/>
  <c r="AV4" i="56"/>
  <c r="BB18" i="56"/>
  <c r="AW4" i="56"/>
  <c r="BC18" i="56"/>
  <c r="AX4" i="56"/>
  <c r="BD18" i="56"/>
  <c r="AY4" i="56"/>
  <c r="BE18" i="56"/>
  <c r="AZ4" i="56"/>
  <c r="BF18" i="56"/>
  <c r="BA4" i="56"/>
  <c r="BG18" i="56"/>
  <c r="BB4" i="56"/>
  <c r="BH18" i="56"/>
  <c r="BC4" i="56"/>
  <c r="BI18" i="56"/>
  <c r="BD4" i="56"/>
  <c r="BJ18" i="56"/>
  <c r="BE4" i="56"/>
  <c r="BK18" i="56"/>
  <c r="BF4" i="56"/>
  <c r="BL18" i="56"/>
  <c r="BG4" i="56"/>
  <c r="BM18" i="56"/>
  <c r="BH4" i="56"/>
  <c r="BN18" i="56"/>
  <c r="AP18" i="56"/>
  <c r="AK5" i="56"/>
  <c r="AQ19" i="56"/>
  <c r="AL5" i="56"/>
  <c r="AR19" i="56"/>
  <c r="AM5" i="56"/>
  <c r="AS19" i="56"/>
  <c r="AN5" i="56"/>
  <c r="AT19" i="56"/>
  <c r="AO5" i="56"/>
  <c r="AU19" i="56"/>
  <c r="AP5" i="56"/>
  <c r="AV19" i="56"/>
  <c r="AQ5" i="56"/>
  <c r="AW19" i="56"/>
  <c r="AR5" i="56"/>
  <c r="AX19" i="56"/>
  <c r="AS5" i="56"/>
  <c r="AY19" i="56"/>
  <c r="AT5" i="56"/>
  <c r="AZ19" i="56"/>
  <c r="AU5" i="56"/>
  <c r="BA19" i="56"/>
  <c r="AV5" i="56"/>
  <c r="BB19" i="56"/>
  <c r="AW5" i="56"/>
  <c r="BC19" i="56"/>
  <c r="AX5" i="56"/>
  <c r="BD19" i="56"/>
  <c r="AY5" i="56"/>
  <c r="BE19" i="56"/>
  <c r="AZ5" i="56"/>
  <c r="BF19" i="56"/>
  <c r="BA5" i="56"/>
  <c r="BG19" i="56"/>
  <c r="BB5" i="56"/>
  <c r="BH19" i="56"/>
  <c r="BC5" i="56"/>
  <c r="BI19" i="56"/>
  <c r="BD5" i="56"/>
  <c r="BJ19" i="56"/>
  <c r="BE5" i="56"/>
  <c r="BK19" i="56"/>
  <c r="BF5" i="56"/>
  <c r="BL19" i="56"/>
  <c r="BG5" i="56"/>
  <c r="BM19" i="56"/>
  <c r="BH5" i="56"/>
  <c r="BN19" i="56"/>
  <c r="AP19" i="56"/>
  <c r="AK6" i="56"/>
  <c r="AQ20" i="56"/>
  <c r="AL6" i="56"/>
  <c r="AR20" i="56"/>
  <c r="AM6" i="56"/>
  <c r="AS20" i="56"/>
  <c r="AN6" i="56"/>
  <c r="AT20" i="56"/>
  <c r="AO6" i="56"/>
  <c r="AU20" i="56"/>
  <c r="AP6" i="56"/>
  <c r="AV20" i="56"/>
  <c r="AQ6" i="56"/>
  <c r="AW20" i="56"/>
  <c r="AR6" i="56"/>
  <c r="AX20" i="56"/>
  <c r="AS6" i="56"/>
  <c r="AY20" i="56"/>
  <c r="AT6" i="56"/>
  <c r="AZ20" i="56"/>
  <c r="AU6" i="56"/>
  <c r="BA20" i="56"/>
  <c r="AV6" i="56"/>
  <c r="BB20" i="56"/>
  <c r="AW6" i="56"/>
  <c r="BC20" i="56"/>
  <c r="AX6" i="56"/>
  <c r="BD20" i="56"/>
  <c r="AY6" i="56"/>
  <c r="BE20" i="56"/>
  <c r="AZ6" i="56"/>
  <c r="BF20" i="56"/>
  <c r="BA6" i="56"/>
  <c r="BG20" i="56"/>
  <c r="BB6" i="56"/>
  <c r="BH20" i="56"/>
  <c r="BC6" i="56"/>
  <c r="BI20" i="56"/>
  <c r="BD6" i="56"/>
  <c r="BJ20" i="56"/>
  <c r="BE6" i="56"/>
  <c r="BK20" i="56"/>
  <c r="BF6" i="56"/>
  <c r="BL20" i="56"/>
  <c r="BG6" i="56"/>
  <c r="BM20" i="56"/>
  <c r="BH6" i="56"/>
  <c r="BN20" i="56"/>
  <c r="AP20" i="56"/>
  <c r="AK7" i="56"/>
  <c r="AQ21" i="56"/>
  <c r="AL7" i="56"/>
  <c r="AR21" i="56"/>
  <c r="AM7" i="56"/>
  <c r="AS21" i="56"/>
  <c r="AN7" i="56"/>
  <c r="AT21" i="56"/>
  <c r="AO7" i="56"/>
  <c r="AU21" i="56"/>
  <c r="AP7" i="56"/>
  <c r="AV21" i="56"/>
  <c r="AQ7" i="56"/>
  <c r="AW21" i="56"/>
  <c r="AR7" i="56"/>
  <c r="AX21" i="56"/>
  <c r="AS7" i="56"/>
  <c r="AY21" i="56"/>
  <c r="AT7" i="56"/>
  <c r="AZ21" i="56"/>
  <c r="AU7" i="56"/>
  <c r="BA21" i="56"/>
  <c r="AV7" i="56"/>
  <c r="BB21" i="56"/>
  <c r="AW7" i="56"/>
  <c r="BC21" i="56"/>
  <c r="AX7" i="56"/>
  <c r="BD21" i="56"/>
  <c r="AY7" i="56"/>
  <c r="BE21" i="56"/>
  <c r="AZ7" i="56"/>
  <c r="BF21" i="56"/>
  <c r="BA7" i="56"/>
  <c r="BG21" i="56"/>
  <c r="BB7" i="56"/>
  <c r="BH21" i="56"/>
  <c r="BC7" i="56"/>
  <c r="BI21" i="56"/>
  <c r="BD7" i="56"/>
  <c r="BJ21" i="56"/>
  <c r="BE7" i="56"/>
  <c r="BK21" i="56"/>
  <c r="BF7" i="56"/>
  <c r="BL21" i="56"/>
  <c r="BG7" i="56"/>
  <c r="BM21" i="56"/>
  <c r="BH7" i="56"/>
  <c r="BN21" i="56"/>
  <c r="AP21" i="56"/>
  <c r="AK8" i="56"/>
  <c r="AQ22" i="56"/>
  <c r="AL8" i="56"/>
  <c r="AR22" i="56"/>
  <c r="AM8" i="56"/>
  <c r="AS22" i="56"/>
  <c r="AN8" i="56"/>
  <c r="AT22" i="56"/>
  <c r="AO8" i="56"/>
  <c r="AU22" i="56"/>
  <c r="AP8" i="56"/>
  <c r="AV22" i="56"/>
  <c r="AQ8" i="56"/>
  <c r="AW22" i="56"/>
  <c r="AR8" i="56"/>
  <c r="AX22" i="56"/>
  <c r="AS8" i="56"/>
  <c r="AY22" i="56"/>
  <c r="AT8" i="56"/>
  <c r="AZ22" i="56"/>
  <c r="AU8" i="56"/>
  <c r="BA22" i="56"/>
  <c r="AV8" i="56"/>
  <c r="BB22" i="56"/>
  <c r="AW8" i="56"/>
  <c r="BC22" i="56"/>
  <c r="AX8" i="56"/>
  <c r="BD22" i="56"/>
  <c r="AY8" i="56"/>
  <c r="BE22" i="56"/>
  <c r="AZ8" i="56"/>
  <c r="BF22" i="56"/>
  <c r="BA8" i="56"/>
  <c r="BG22" i="56"/>
  <c r="BB8" i="56"/>
  <c r="BH22" i="56"/>
  <c r="BC8" i="56"/>
  <c r="BI22" i="56"/>
  <c r="BD8" i="56"/>
  <c r="BJ22" i="56"/>
  <c r="BE8" i="56"/>
  <c r="BK22" i="56"/>
  <c r="BF8" i="56"/>
  <c r="BL22" i="56"/>
  <c r="BG8" i="56"/>
  <c r="BM22" i="56"/>
  <c r="BH8" i="56"/>
  <c r="BN22" i="56"/>
  <c r="AP22" i="56"/>
  <c r="AK9" i="56"/>
  <c r="AQ23" i="56"/>
  <c r="AL9" i="56"/>
  <c r="AR23" i="56"/>
  <c r="AM9" i="56"/>
  <c r="AS23" i="56"/>
  <c r="AN9" i="56"/>
  <c r="AT23" i="56"/>
  <c r="AO9" i="56"/>
  <c r="AU23" i="56"/>
  <c r="AP9" i="56"/>
  <c r="AV23" i="56"/>
  <c r="AQ9" i="56"/>
  <c r="AW23" i="56"/>
  <c r="AR9" i="56"/>
  <c r="AX23" i="56"/>
  <c r="AS9" i="56"/>
  <c r="AY23" i="56"/>
  <c r="AT9" i="56"/>
  <c r="AZ23" i="56"/>
  <c r="AU9" i="56"/>
  <c r="BA23" i="56"/>
  <c r="AV9" i="56"/>
  <c r="BB23" i="56"/>
  <c r="AW9" i="56"/>
  <c r="BC23" i="56"/>
  <c r="AX9" i="56"/>
  <c r="BD23" i="56"/>
  <c r="AY9" i="56"/>
  <c r="BE23" i="56"/>
  <c r="AZ9" i="56"/>
  <c r="BF23" i="56"/>
  <c r="BA9" i="56"/>
  <c r="BG23" i="56"/>
  <c r="BB9" i="56"/>
  <c r="BH23" i="56"/>
  <c r="BC9" i="56"/>
  <c r="BI23" i="56"/>
  <c r="BD9" i="56"/>
  <c r="BJ23" i="56"/>
  <c r="BE9" i="56"/>
  <c r="BK23" i="56"/>
  <c r="BF9" i="56"/>
  <c r="BL23" i="56"/>
  <c r="BG9" i="56"/>
  <c r="BM23" i="56"/>
  <c r="BH9" i="56"/>
  <c r="BN23" i="56"/>
  <c r="AP23" i="56"/>
  <c r="AK10" i="56"/>
  <c r="AQ24" i="56"/>
  <c r="AL10" i="56"/>
  <c r="AR24" i="56"/>
  <c r="AM10" i="56"/>
  <c r="AS24" i="56"/>
  <c r="AN10" i="56"/>
  <c r="AT24" i="56"/>
  <c r="AO10" i="56"/>
  <c r="AU24" i="56"/>
  <c r="AP10" i="56"/>
  <c r="AV24" i="56"/>
  <c r="AQ10" i="56"/>
  <c r="AW24" i="56"/>
  <c r="AR10" i="56"/>
  <c r="AX24" i="56"/>
  <c r="AS10" i="56"/>
  <c r="AY24" i="56"/>
  <c r="AT10" i="56"/>
  <c r="AZ24" i="56"/>
  <c r="AU10" i="56"/>
  <c r="BA24" i="56"/>
  <c r="AV10" i="56"/>
  <c r="BB24" i="56"/>
  <c r="AW10" i="56"/>
  <c r="BC24" i="56"/>
  <c r="AX10" i="56"/>
  <c r="BD24" i="56"/>
  <c r="AY10" i="56"/>
  <c r="BE24" i="56"/>
  <c r="AZ10" i="56"/>
  <c r="BF24" i="56"/>
  <c r="BA10" i="56"/>
  <c r="BG24" i="56"/>
  <c r="BB10" i="56"/>
  <c r="BH24" i="56"/>
  <c r="BC10" i="56"/>
  <c r="BI24" i="56"/>
  <c r="BD10" i="56"/>
  <c r="BJ24" i="56"/>
  <c r="BE10" i="56"/>
  <c r="BK24" i="56"/>
  <c r="BF10" i="56"/>
  <c r="BL24" i="56"/>
  <c r="BG10" i="56"/>
  <c r="BM24" i="56"/>
  <c r="BH10" i="56"/>
  <c r="BN24" i="56"/>
  <c r="AP24" i="56"/>
  <c r="AK11" i="56"/>
  <c r="AQ25" i="56"/>
  <c r="AL11" i="56"/>
  <c r="AR25" i="56"/>
  <c r="AM11" i="56"/>
  <c r="AS25" i="56"/>
  <c r="AN11" i="56"/>
  <c r="AT25" i="56"/>
  <c r="AO11" i="56"/>
  <c r="AU25" i="56"/>
  <c r="AP11" i="56"/>
  <c r="AV25" i="56"/>
  <c r="AQ11" i="56"/>
  <c r="AW25" i="56"/>
  <c r="AR11" i="56"/>
  <c r="AX25" i="56"/>
  <c r="AS11" i="56"/>
  <c r="AY25" i="56"/>
  <c r="AT11" i="56"/>
  <c r="AZ25" i="56"/>
  <c r="AU11" i="56"/>
  <c r="BA25" i="56"/>
  <c r="AV11" i="56"/>
  <c r="BB25" i="56"/>
  <c r="AW11" i="56"/>
  <c r="BC25" i="56"/>
  <c r="AX11" i="56"/>
  <c r="BD25" i="56"/>
  <c r="AY11" i="56"/>
  <c r="BE25" i="56"/>
  <c r="AZ11" i="56"/>
  <c r="BF25" i="56"/>
  <c r="BA11" i="56"/>
  <c r="BG25" i="56"/>
  <c r="BB11" i="56"/>
  <c r="BH25" i="56"/>
  <c r="BC11" i="56"/>
  <c r="BI25" i="56"/>
  <c r="BD11" i="56"/>
  <c r="BJ25" i="56"/>
  <c r="BE11" i="56"/>
  <c r="BK25" i="56"/>
  <c r="BF11" i="56"/>
  <c r="BL25" i="56"/>
  <c r="BG11" i="56"/>
  <c r="BM25" i="56"/>
  <c r="BH11" i="56"/>
  <c r="BN25" i="56"/>
  <c r="AP25" i="56"/>
  <c r="AK12" i="56"/>
  <c r="AQ26" i="56"/>
  <c r="AL12" i="56"/>
  <c r="AR26" i="56"/>
  <c r="AM12" i="56"/>
  <c r="AS26" i="56"/>
  <c r="AN12" i="56"/>
  <c r="AT26" i="56"/>
  <c r="AO12" i="56"/>
  <c r="AU26" i="56"/>
  <c r="AP12" i="56"/>
  <c r="AV26" i="56"/>
  <c r="AQ12" i="56"/>
  <c r="AW26" i="56"/>
  <c r="AR12" i="56"/>
  <c r="AX26" i="56"/>
  <c r="AS12" i="56"/>
  <c r="AY26" i="56"/>
  <c r="AT12" i="56"/>
  <c r="AZ26" i="56"/>
  <c r="AU12" i="56"/>
  <c r="BA26" i="56"/>
  <c r="AV12" i="56"/>
  <c r="BB26" i="56"/>
  <c r="AW12" i="56"/>
  <c r="BC26" i="56"/>
  <c r="AX12" i="56"/>
  <c r="BD26" i="56"/>
  <c r="AY12" i="56"/>
  <c r="BE26" i="56"/>
  <c r="AZ12" i="56"/>
  <c r="BF26" i="56"/>
  <c r="BA12" i="56"/>
  <c r="BG26" i="56"/>
  <c r="BB12" i="56"/>
  <c r="BH26" i="56"/>
  <c r="BC12" i="56"/>
  <c r="BI26" i="56"/>
  <c r="BD12" i="56"/>
  <c r="BJ26" i="56"/>
  <c r="BE12" i="56"/>
  <c r="BK26" i="56"/>
  <c r="BF12" i="56"/>
  <c r="BL26" i="56"/>
  <c r="BG12" i="56"/>
  <c r="BM26" i="56"/>
  <c r="BH12" i="56"/>
  <c r="BN26" i="56"/>
  <c r="AP26" i="56"/>
  <c r="AK13" i="56"/>
  <c r="AQ27" i="56"/>
  <c r="AL13" i="56"/>
  <c r="AR27" i="56"/>
  <c r="AM13" i="56"/>
  <c r="AS27" i="56"/>
  <c r="AN13" i="56"/>
  <c r="AT27" i="56"/>
  <c r="AO13" i="56"/>
  <c r="AU27" i="56"/>
  <c r="AP13" i="56"/>
  <c r="AV27" i="56"/>
  <c r="AQ13" i="56"/>
  <c r="AW27" i="56"/>
  <c r="AR13" i="56"/>
  <c r="AX27" i="56"/>
  <c r="AS13" i="56"/>
  <c r="AY27" i="56"/>
  <c r="AT13" i="56"/>
  <c r="AZ27" i="56"/>
  <c r="AU13" i="56"/>
  <c r="BA27" i="56"/>
  <c r="AV13" i="56"/>
  <c r="BB27" i="56"/>
  <c r="AW13" i="56"/>
  <c r="BC27" i="56"/>
  <c r="AX13" i="56"/>
  <c r="BD27" i="56"/>
  <c r="AY13" i="56"/>
  <c r="BE27" i="56"/>
  <c r="AZ13" i="56"/>
  <c r="BF27" i="56"/>
  <c r="BA13" i="56"/>
  <c r="BG27" i="56"/>
  <c r="BB13" i="56"/>
  <c r="BH27" i="56"/>
  <c r="BC13" i="56"/>
  <c r="BI27" i="56"/>
  <c r="BD13" i="56"/>
  <c r="BJ27" i="56"/>
  <c r="BE13" i="56"/>
  <c r="BK27" i="56"/>
  <c r="BF13" i="56"/>
  <c r="BL27" i="56"/>
  <c r="BG13" i="56"/>
  <c r="BM27" i="56"/>
  <c r="BH13" i="56"/>
  <c r="BN27" i="56"/>
  <c r="AP27" i="56"/>
  <c r="AP28" i="56"/>
  <c r="AN16" i="56"/>
  <c r="AN17" i="56"/>
  <c r="AN18" i="56"/>
  <c r="AN20" i="56"/>
  <c r="AN21" i="56"/>
  <c r="AN22" i="56"/>
  <c r="AN23" i="56"/>
  <c r="AN24" i="56"/>
  <c r="AN25" i="56"/>
  <c r="AN26" i="56"/>
  <c r="AN27" i="56"/>
  <c r="AM16" i="56"/>
  <c r="AM17" i="56"/>
  <c r="AM18" i="56"/>
  <c r="AM20" i="56"/>
  <c r="AM21" i="56"/>
  <c r="AM22" i="56"/>
  <c r="AM23" i="56"/>
  <c r="AM24" i="56"/>
  <c r="AM25" i="56"/>
  <c r="AM26" i="56"/>
  <c r="AM27" i="56"/>
  <c r="AL16" i="56"/>
  <c r="AL17" i="56"/>
  <c r="AL18" i="56"/>
  <c r="AL20" i="56"/>
  <c r="AL21" i="56"/>
  <c r="AL22" i="56"/>
  <c r="AL23" i="56"/>
  <c r="AL24" i="56"/>
  <c r="AL25" i="56"/>
  <c r="AL26" i="56"/>
  <c r="AL27" i="56"/>
  <c r="AK16" i="56"/>
  <c r="AK17" i="56"/>
  <c r="AK18" i="56"/>
  <c r="AK20" i="56"/>
  <c r="AK21" i="56"/>
  <c r="AK22" i="56"/>
  <c r="AK23" i="56"/>
  <c r="AK24" i="56"/>
  <c r="AK25" i="56"/>
  <c r="AK26" i="56"/>
  <c r="AK27" i="56"/>
  <c r="Z2" i="56"/>
  <c r="AA2" i="56"/>
  <c r="AB2" i="56"/>
  <c r="AC2" i="56"/>
  <c r="AA16" i="56"/>
  <c r="Z3" i="56"/>
  <c r="AA3" i="56"/>
  <c r="AB3" i="56"/>
  <c r="AC3" i="56"/>
  <c r="AA17" i="56"/>
  <c r="Z4" i="56"/>
  <c r="AA4" i="56"/>
  <c r="AB4" i="56"/>
  <c r="AC4" i="56"/>
  <c r="AA18" i="56"/>
  <c r="Z5" i="56"/>
  <c r="AA5" i="56"/>
  <c r="AB5" i="56"/>
  <c r="AC5" i="56"/>
  <c r="AA19" i="56"/>
  <c r="Z6" i="56"/>
  <c r="AA6" i="56"/>
  <c r="AB6" i="56"/>
  <c r="AC6" i="56"/>
  <c r="AA20" i="56"/>
  <c r="Z7" i="56"/>
  <c r="AA7" i="56"/>
  <c r="AB7" i="56"/>
  <c r="AC7" i="56"/>
  <c r="AA21" i="56"/>
  <c r="Z8" i="56"/>
  <c r="AA8" i="56"/>
  <c r="AB8" i="56"/>
  <c r="AC8" i="56"/>
  <c r="AA22" i="56"/>
  <c r="Z9" i="56"/>
  <c r="AA9" i="56"/>
  <c r="AB9" i="56"/>
  <c r="AC9" i="56"/>
  <c r="AA23" i="56"/>
  <c r="Z10" i="56"/>
  <c r="AA10" i="56"/>
  <c r="AB10" i="56"/>
  <c r="AC10" i="56"/>
  <c r="AA24" i="56"/>
  <c r="Z11" i="56"/>
  <c r="AA11" i="56"/>
  <c r="AB11" i="56"/>
  <c r="AC11" i="56"/>
  <c r="AA25" i="56"/>
  <c r="Z12" i="56"/>
  <c r="AA12" i="56"/>
  <c r="AB12" i="56"/>
  <c r="AC12" i="56"/>
  <c r="AA26" i="56"/>
  <c r="Z13" i="56"/>
  <c r="AA13" i="56"/>
  <c r="AB13" i="56"/>
  <c r="AC13" i="56"/>
  <c r="AA27" i="56"/>
  <c r="AA28" i="56"/>
  <c r="Z16" i="56"/>
  <c r="Z17" i="56"/>
  <c r="Z18" i="56"/>
  <c r="Z19" i="56"/>
  <c r="Z20" i="56"/>
  <c r="Z21" i="56"/>
  <c r="Z22" i="56"/>
  <c r="Z23" i="56"/>
  <c r="Z24" i="56"/>
  <c r="Z25" i="56"/>
  <c r="Z26" i="56"/>
  <c r="Z27" i="56"/>
  <c r="Z28" i="56"/>
  <c r="S28" i="56"/>
  <c r="R28" i="56"/>
  <c r="Q28" i="56"/>
  <c r="P28" i="56"/>
  <c r="N28" i="56"/>
  <c r="M28" i="56"/>
  <c r="L28" i="56"/>
  <c r="K28" i="56"/>
  <c r="D27" i="56"/>
  <c r="N25" i="56"/>
  <c r="M25" i="56"/>
  <c r="L25" i="56"/>
  <c r="K25" i="56"/>
  <c r="D25" i="56"/>
  <c r="H16" i="56"/>
  <c r="D23" i="56"/>
  <c r="G16" i="56"/>
  <c r="D21" i="56"/>
  <c r="M19" i="56"/>
  <c r="W16" i="56"/>
  <c r="V16" i="56"/>
  <c r="U16" i="56"/>
  <c r="E50" i="55"/>
  <c r="A50" i="55"/>
  <c r="E49" i="55"/>
  <c r="A49" i="55"/>
  <c r="E48" i="55"/>
  <c r="A48" i="55"/>
  <c r="E47" i="55"/>
  <c r="A47" i="55"/>
  <c r="E46" i="55"/>
  <c r="A46" i="55"/>
  <c r="E45" i="55"/>
  <c r="A45" i="55"/>
  <c r="E44" i="55"/>
  <c r="A44" i="55"/>
  <c r="E43" i="55"/>
  <c r="A43" i="55"/>
  <c r="X15" i="55"/>
  <c r="E42" i="55"/>
  <c r="A42" i="55"/>
  <c r="X14" i="55"/>
  <c r="E41" i="55"/>
  <c r="A41" i="55"/>
  <c r="X13" i="55"/>
  <c r="E40" i="55"/>
  <c r="A40" i="55"/>
  <c r="X12" i="55"/>
  <c r="E39" i="55"/>
  <c r="A39" i="55"/>
  <c r="X11" i="55"/>
  <c r="X10" i="55"/>
  <c r="X9" i="55"/>
  <c r="X8" i="55"/>
  <c r="X4" i="55"/>
  <c r="X5" i="55"/>
  <c r="X6" i="55"/>
  <c r="AE2" i="55"/>
  <c r="AF2" i="55"/>
  <c r="AG2" i="55"/>
  <c r="AH2" i="55"/>
  <c r="AI2" i="55"/>
  <c r="AG16" i="55"/>
  <c r="AE3" i="55"/>
  <c r="AF3" i="55"/>
  <c r="AG3" i="55"/>
  <c r="AH3" i="55"/>
  <c r="AI3" i="55"/>
  <c r="AG17" i="55"/>
  <c r="AE4" i="55"/>
  <c r="AF4" i="55"/>
  <c r="AG4" i="55"/>
  <c r="AH4" i="55"/>
  <c r="AI4" i="55"/>
  <c r="AG18" i="55"/>
  <c r="AE7" i="55"/>
  <c r="AF7" i="55"/>
  <c r="AG7" i="55"/>
  <c r="AH7" i="55"/>
  <c r="AI7" i="55"/>
  <c r="AG21" i="55"/>
  <c r="AE8" i="55"/>
  <c r="AF8" i="55"/>
  <c r="AG8" i="55"/>
  <c r="AH8" i="55"/>
  <c r="AI8" i="55"/>
  <c r="AG22" i="55"/>
  <c r="AE9" i="55"/>
  <c r="AF9" i="55"/>
  <c r="AG9" i="55"/>
  <c r="AH9" i="55"/>
  <c r="AI9" i="55"/>
  <c r="AG23" i="55"/>
  <c r="AE10" i="55"/>
  <c r="AF10" i="55"/>
  <c r="AG10" i="55"/>
  <c r="AH10" i="55"/>
  <c r="AI10" i="55"/>
  <c r="AG24" i="55"/>
  <c r="AE11" i="55"/>
  <c r="AF11" i="55"/>
  <c r="AG11" i="55"/>
  <c r="AH11" i="55"/>
  <c r="AI11" i="55"/>
  <c r="AG25" i="55"/>
  <c r="AE13" i="55"/>
  <c r="AF13" i="55"/>
  <c r="AG13" i="55"/>
  <c r="AH13" i="55"/>
  <c r="AI13" i="55"/>
  <c r="AG27" i="55"/>
  <c r="AF16" i="55"/>
  <c r="AF17" i="55"/>
  <c r="AF18" i="55"/>
  <c r="AF21" i="55"/>
  <c r="AF22" i="55"/>
  <c r="AF23" i="55"/>
  <c r="AF24" i="55"/>
  <c r="AF25" i="55"/>
  <c r="AF27" i="55"/>
  <c r="D31" i="55"/>
  <c r="J29" i="55"/>
  <c r="I29" i="55"/>
  <c r="H29" i="55"/>
  <c r="G29" i="55"/>
  <c r="F16" i="55"/>
  <c r="D29" i="55"/>
  <c r="AK2" i="55"/>
  <c r="AQ16" i="55"/>
  <c r="AL2" i="55"/>
  <c r="AR16" i="55"/>
  <c r="AM2" i="55"/>
  <c r="AS16" i="55"/>
  <c r="AN2" i="55"/>
  <c r="AT16" i="55"/>
  <c r="AO2" i="55"/>
  <c r="AU16" i="55"/>
  <c r="AP2" i="55"/>
  <c r="AV16" i="55"/>
  <c r="AQ2" i="55"/>
  <c r="AW16" i="55"/>
  <c r="AR2" i="55"/>
  <c r="AX16" i="55"/>
  <c r="AS2" i="55"/>
  <c r="AY16" i="55"/>
  <c r="AT2" i="55"/>
  <c r="AZ16" i="55"/>
  <c r="AU2" i="55"/>
  <c r="BA16" i="55"/>
  <c r="AV2" i="55"/>
  <c r="BB16" i="55"/>
  <c r="AW2" i="55"/>
  <c r="BC16" i="55"/>
  <c r="AX2" i="55"/>
  <c r="BD16" i="55"/>
  <c r="AY2" i="55"/>
  <c r="BE16" i="55"/>
  <c r="AZ2" i="55"/>
  <c r="BF16" i="55"/>
  <c r="BA2" i="55"/>
  <c r="BG16" i="55"/>
  <c r="BB2" i="55"/>
  <c r="BH16" i="55"/>
  <c r="BC2" i="55"/>
  <c r="BI16" i="55"/>
  <c r="BD2" i="55"/>
  <c r="BJ16" i="55"/>
  <c r="BE2" i="55"/>
  <c r="BK16" i="55"/>
  <c r="BF2" i="55"/>
  <c r="BL16" i="55"/>
  <c r="BG2" i="55"/>
  <c r="BM16" i="55"/>
  <c r="BH2" i="55"/>
  <c r="BN16" i="55"/>
  <c r="AP16" i="55"/>
  <c r="AK3" i="55"/>
  <c r="AQ17" i="55"/>
  <c r="AL3" i="55"/>
  <c r="AR17" i="55"/>
  <c r="AM3" i="55"/>
  <c r="AS17" i="55"/>
  <c r="AN3" i="55"/>
  <c r="AT17" i="55"/>
  <c r="AO3" i="55"/>
  <c r="AU17" i="55"/>
  <c r="AP3" i="55"/>
  <c r="AV17" i="55"/>
  <c r="AQ3" i="55"/>
  <c r="AW17" i="55"/>
  <c r="AR3" i="55"/>
  <c r="AX17" i="55"/>
  <c r="AS3" i="55"/>
  <c r="AY17" i="55"/>
  <c r="AT3" i="55"/>
  <c r="AZ17" i="55"/>
  <c r="AU3" i="55"/>
  <c r="BA17" i="55"/>
  <c r="AV3" i="55"/>
  <c r="BB17" i="55"/>
  <c r="AW3" i="55"/>
  <c r="BC17" i="55"/>
  <c r="AX3" i="55"/>
  <c r="BD17" i="55"/>
  <c r="AY3" i="55"/>
  <c r="BE17" i="55"/>
  <c r="AZ3" i="55"/>
  <c r="BF17" i="55"/>
  <c r="BA3" i="55"/>
  <c r="BG17" i="55"/>
  <c r="BB3" i="55"/>
  <c r="BH17" i="55"/>
  <c r="BC3" i="55"/>
  <c r="BI17" i="55"/>
  <c r="BD3" i="55"/>
  <c r="BJ17" i="55"/>
  <c r="BE3" i="55"/>
  <c r="BK17" i="55"/>
  <c r="BF3" i="55"/>
  <c r="BL17" i="55"/>
  <c r="BG3" i="55"/>
  <c r="BM17" i="55"/>
  <c r="BH3" i="55"/>
  <c r="BN17" i="55"/>
  <c r="AP17" i="55"/>
  <c r="AK4" i="55"/>
  <c r="AQ18" i="55"/>
  <c r="AL4" i="55"/>
  <c r="AR18" i="55"/>
  <c r="AM4" i="55"/>
  <c r="AS18" i="55"/>
  <c r="AN4" i="55"/>
  <c r="AT18" i="55"/>
  <c r="AO4" i="55"/>
  <c r="AU18" i="55"/>
  <c r="AP4" i="55"/>
  <c r="AV18" i="55"/>
  <c r="AQ4" i="55"/>
  <c r="AW18" i="55"/>
  <c r="AR4" i="55"/>
  <c r="AX18" i="55"/>
  <c r="AS4" i="55"/>
  <c r="AY18" i="55"/>
  <c r="AT4" i="55"/>
  <c r="AZ18" i="55"/>
  <c r="AU4" i="55"/>
  <c r="BA18" i="55"/>
  <c r="AV4" i="55"/>
  <c r="BB18" i="55"/>
  <c r="AW4" i="55"/>
  <c r="BC18" i="55"/>
  <c r="AX4" i="55"/>
  <c r="BD18" i="55"/>
  <c r="AY4" i="55"/>
  <c r="BE18" i="55"/>
  <c r="AZ4" i="55"/>
  <c r="BF18" i="55"/>
  <c r="BA4" i="55"/>
  <c r="BG18" i="55"/>
  <c r="BB4" i="55"/>
  <c r="BH18" i="55"/>
  <c r="BC4" i="55"/>
  <c r="BI18" i="55"/>
  <c r="BD4" i="55"/>
  <c r="BJ18" i="55"/>
  <c r="BE4" i="55"/>
  <c r="BK18" i="55"/>
  <c r="BF4" i="55"/>
  <c r="BL18" i="55"/>
  <c r="BG4" i="55"/>
  <c r="BM18" i="55"/>
  <c r="BH4" i="55"/>
  <c r="BN18" i="55"/>
  <c r="AP18" i="55"/>
  <c r="AK5" i="55"/>
  <c r="AQ19" i="55"/>
  <c r="AL5" i="55"/>
  <c r="AR19" i="55"/>
  <c r="AM5" i="55"/>
  <c r="AS19" i="55"/>
  <c r="AN5" i="55"/>
  <c r="AT19" i="55"/>
  <c r="AO5" i="55"/>
  <c r="AU19" i="55"/>
  <c r="AP5" i="55"/>
  <c r="AV19" i="55"/>
  <c r="AQ5" i="55"/>
  <c r="AW19" i="55"/>
  <c r="AR5" i="55"/>
  <c r="AX19" i="55"/>
  <c r="AS5" i="55"/>
  <c r="AY19" i="55"/>
  <c r="AT5" i="55"/>
  <c r="AZ19" i="55"/>
  <c r="AU5" i="55"/>
  <c r="BA19" i="55"/>
  <c r="AV5" i="55"/>
  <c r="BB19" i="55"/>
  <c r="AW5" i="55"/>
  <c r="BC19" i="55"/>
  <c r="AX5" i="55"/>
  <c r="BD19" i="55"/>
  <c r="AY5" i="55"/>
  <c r="BE19" i="55"/>
  <c r="AZ5" i="55"/>
  <c r="BF19" i="55"/>
  <c r="BA5" i="55"/>
  <c r="BG19" i="55"/>
  <c r="BB5" i="55"/>
  <c r="BH19" i="55"/>
  <c r="BC5" i="55"/>
  <c r="BI19" i="55"/>
  <c r="BD5" i="55"/>
  <c r="BJ19" i="55"/>
  <c r="BE5" i="55"/>
  <c r="BK19" i="55"/>
  <c r="BF5" i="55"/>
  <c r="BL19" i="55"/>
  <c r="BG5" i="55"/>
  <c r="BM19" i="55"/>
  <c r="BH5" i="55"/>
  <c r="BN19" i="55"/>
  <c r="AP19" i="55"/>
  <c r="AK6" i="55"/>
  <c r="AQ20" i="55"/>
  <c r="AL6" i="55"/>
  <c r="AR20" i="55"/>
  <c r="AM6" i="55"/>
  <c r="AS20" i="55"/>
  <c r="AN6" i="55"/>
  <c r="AT20" i="55"/>
  <c r="AO6" i="55"/>
  <c r="AU20" i="55"/>
  <c r="AP6" i="55"/>
  <c r="AV20" i="55"/>
  <c r="AQ6" i="55"/>
  <c r="AW20" i="55"/>
  <c r="AR6" i="55"/>
  <c r="AX20" i="55"/>
  <c r="AS6" i="55"/>
  <c r="AY20" i="55"/>
  <c r="AT6" i="55"/>
  <c r="AZ20" i="55"/>
  <c r="AU6" i="55"/>
  <c r="BA20" i="55"/>
  <c r="AV6" i="55"/>
  <c r="BB20" i="55"/>
  <c r="AW6" i="55"/>
  <c r="BC20" i="55"/>
  <c r="AX6" i="55"/>
  <c r="BD20" i="55"/>
  <c r="AY6" i="55"/>
  <c r="BE20" i="55"/>
  <c r="AZ6" i="55"/>
  <c r="BF20" i="55"/>
  <c r="BA6" i="55"/>
  <c r="BG20" i="55"/>
  <c r="BB6" i="55"/>
  <c r="BH20" i="55"/>
  <c r="BC6" i="55"/>
  <c r="BI20" i="55"/>
  <c r="BD6" i="55"/>
  <c r="BJ20" i="55"/>
  <c r="BE6" i="55"/>
  <c r="BK20" i="55"/>
  <c r="BF6" i="55"/>
  <c r="BL20" i="55"/>
  <c r="BG6" i="55"/>
  <c r="BM20" i="55"/>
  <c r="BH6" i="55"/>
  <c r="BN20" i="55"/>
  <c r="AP20" i="55"/>
  <c r="AK7" i="55"/>
  <c r="AQ21" i="55"/>
  <c r="AL7" i="55"/>
  <c r="AR21" i="55"/>
  <c r="AM7" i="55"/>
  <c r="AS21" i="55"/>
  <c r="AN7" i="55"/>
  <c r="AT21" i="55"/>
  <c r="AO7" i="55"/>
  <c r="AU21" i="55"/>
  <c r="AP7" i="55"/>
  <c r="AV21" i="55"/>
  <c r="AQ7" i="55"/>
  <c r="AW21" i="55"/>
  <c r="AR7" i="55"/>
  <c r="AX21" i="55"/>
  <c r="AS7" i="55"/>
  <c r="AY21" i="55"/>
  <c r="AT7" i="55"/>
  <c r="AZ21" i="55"/>
  <c r="AU7" i="55"/>
  <c r="BA21" i="55"/>
  <c r="AV7" i="55"/>
  <c r="BB21" i="55"/>
  <c r="AW7" i="55"/>
  <c r="BC21" i="55"/>
  <c r="AX7" i="55"/>
  <c r="BD21" i="55"/>
  <c r="AY7" i="55"/>
  <c r="BE21" i="55"/>
  <c r="AZ7" i="55"/>
  <c r="BF21" i="55"/>
  <c r="BA7" i="55"/>
  <c r="BG21" i="55"/>
  <c r="BB7" i="55"/>
  <c r="BH21" i="55"/>
  <c r="BC7" i="55"/>
  <c r="BI21" i="55"/>
  <c r="BD7" i="55"/>
  <c r="BJ21" i="55"/>
  <c r="BE7" i="55"/>
  <c r="BK21" i="55"/>
  <c r="BF7" i="55"/>
  <c r="BL21" i="55"/>
  <c r="BG7" i="55"/>
  <c r="BM21" i="55"/>
  <c r="BH7" i="55"/>
  <c r="BN21" i="55"/>
  <c r="AP21" i="55"/>
  <c r="AK8" i="55"/>
  <c r="AQ22" i="55"/>
  <c r="AL8" i="55"/>
  <c r="AR22" i="55"/>
  <c r="AM8" i="55"/>
  <c r="AS22" i="55"/>
  <c r="AN8" i="55"/>
  <c r="AT22" i="55"/>
  <c r="AO8" i="55"/>
  <c r="AU22" i="55"/>
  <c r="AP8" i="55"/>
  <c r="AV22" i="55"/>
  <c r="AQ8" i="55"/>
  <c r="AW22" i="55"/>
  <c r="AR8" i="55"/>
  <c r="AX22" i="55"/>
  <c r="AS8" i="55"/>
  <c r="AY22" i="55"/>
  <c r="AT8" i="55"/>
  <c r="AZ22" i="55"/>
  <c r="AU8" i="55"/>
  <c r="BA22" i="55"/>
  <c r="AV8" i="55"/>
  <c r="BB22" i="55"/>
  <c r="AW8" i="55"/>
  <c r="BC22" i="55"/>
  <c r="AX8" i="55"/>
  <c r="BD22" i="55"/>
  <c r="AY8" i="55"/>
  <c r="BE22" i="55"/>
  <c r="AZ8" i="55"/>
  <c r="BF22" i="55"/>
  <c r="BA8" i="55"/>
  <c r="BG22" i="55"/>
  <c r="BB8" i="55"/>
  <c r="BH22" i="55"/>
  <c r="BC8" i="55"/>
  <c r="BI22" i="55"/>
  <c r="BD8" i="55"/>
  <c r="BJ22" i="55"/>
  <c r="BE8" i="55"/>
  <c r="BK22" i="55"/>
  <c r="BF8" i="55"/>
  <c r="BL22" i="55"/>
  <c r="BG8" i="55"/>
  <c r="BM22" i="55"/>
  <c r="BH8" i="55"/>
  <c r="BN22" i="55"/>
  <c r="AP22" i="55"/>
  <c r="AK9" i="55"/>
  <c r="AQ23" i="55"/>
  <c r="AL9" i="55"/>
  <c r="AR23" i="55"/>
  <c r="AM9" i="55"/>
  <c r="AS23" i="55"/>
  <c r="AN9" i="55"/>
  <c r="AT23" i="55"/>
  <c r="AO9" i="55"/>
  <c r="AU23" i="55"/>
  <c r="AP9" i="55"/>
  <c r="AV23" i="55"/>
  <c r="AQ9" i="55"/>
  <c r="AW23" i="55"/>
  <c r="AR9" i="55"/>
  <c r="AX23" i="55"/>
  <c r="AS9" i="55"/>
  <c r="AY23" i="55"/>
  <c r="AT9" i="55"/>
  <c r="AZ23" i="55"/>
  <c r="AU9" i="55"/>
  <c r="BA23" i="55"/>
  <c r="AV9" i="55"/>
  <c r="BB23" i="55"/>
  <c r="AW9" i="55"/>
  <c r="BC23" i="55"/>
  <c r="AX9" i="55"/>
  <c r="BD23" i="55"/>
  <c r="AY9" i="55"/>
  <c r="BE23" i="55"/>
  <c r="AZ9" i="55"/>
  <c r="BF23" i="55"/>
  <c r="BA9" i="55"/>
  <c r="BG23" i="55"/>
  <c r="BB9" i="55"/>
  <c r="BH23" i="55"/>
  <c r="BC9" i="55"/>
  <c r="BI23" i="55"/>
  <c r="BD9" i="55"/>
  <c r="BJ23" i="55"/>
  <c r="BE9" i="55"/>
  <c r="BK23" i="55"/>
  <c r="BF9" i="55"/>
  <c r="BL23" i="55"/>
  <c r="BG9" i="55"/>
  <c r="BM23" i="55"/>
  <c r="BH9" i="55"/>
  <c r="BN23" i="55"/>
  <c r="AP23" i="55"/>
  <c r="AK10" i="55"/>
  <c r="AQ24" i="55"/>
  <c r="AL10" i="55"/>
  <c r="AR24" i="55"/>
  <c r="AM10" i="55"/>
  <c r="AS24" i="55"/>
  <c r="AN10" i="55"/>
  <c r="AT24" i="55"/>
  <c r="AO10" i="55"/>
  <c r="AU24" i="55"/>
  <c r="AP10" i="55"/>
  <c r="AV24" i="55"/>
  <c r="AQ10" i="55"/>
  <c r="AW24" i="55"/>
  <c r="AR10" i="55"/>
  <c r="AX24" i="55"/>
  <c r="AS10" i="55"/>
  <c r="AY24" i="55"/>
  <c r="AT10" i="55"/>
  <c r="AZ24" i="55"/>
  <c r="AU10" i="55"/>
  <c r="BA24" i="55"/>
  <c r="AV10" i="55"/>
  <c r="BB24" i="55"/>
  <c r="AW10" i="55"/>
  <c r="BC24" i="55"/>
  <c r="AX10" i="55"/>
  <c r="BD24" i="55"/>
  <c r="AY10" i="55"/>
  <c r="BE24" i="55"/>
  <c r="AZ10" i="55"/>
  <c r="BF24" i="55"/>
  <c r="BA10" i="55"/>
  <c r="BG24" i="55"/>
  <c r="BB10" i="55"/>
  <c r="BH24" i="55"/>
  <c r="BC10" i="55"/>
  <c r="BI24" i="55"/>
  <c r="BD10" i="55"/>
  <c r="BJ24" i="55"/>
  <c r="BE10" i="55"/>
  <c r="BK24" i="55"/>
  <c r="BF10" i="55"/>
  <c r="BL24" i="55"/>
  <c r="BG10" i="55"/>
  <c r="BM24" i="55"/>
  <c r="BH10" i="55"/>
  <c r="BN24" i="55"/>
  <c r="AP24" i="55"/>
  <c r="AK11" i="55"/>
  <c r="AQ25" i="55"/>
  <c r="AL11" i="55"/>
  <c r="AR25" i="55"/>
  <c r="AM11" i="55"/>
  <c r="AS25" i="55"/>
  <c r="AN11" i="55"/>
  <c r="AT25" i="55"/>
  <c r="AO11" i="55"/>
  <c r="AU25" i="55"/>
  <c r="AP11" i="55"/>
  <c r="AV25" i="55"/>
  <c r="AQ11" i="55"/>
  <c r="AW25" i="55"/>
  <c r="AR11" i="55"/>
  <c r="AX25" i="55"/>
  <c r="AS11" i="55"/>
  <c r="AY25" i="55"/>
  <c r="AT11" i="55"/>
  <c r="AZ25" i="55"/>
  <c r="AU11" i="55"/>
  <c r="BA25" i="55"/>
  <c r="AV11" i="55"/>
  <c r="BB25" i="55"/>
  <c r="AW11" i="55"/>
  <c r="BC25" i="55"/>
  <c r="AX11" i="55"/>
  <c r="BD25" i="55"/>
  <c r="AY11" i="55"/>
  <c r="BE25" i="55"/>
  <c r="AZ11" i="55"/>
  <c r="BF25" i="55"/>
  <c r="BA11" i="55"/>
  <c r="BG25" i="55"/>
  <c r="BB11" i="55"/>
  <c r="BH25" i="55"/>
  <c r="BC11" i="55"/>
  <c r="BI25" i="55"/>
  <c r="BD11" i="55"/>
  <c r="BJ25" i="55"/>
  <c r="BE11" i="55"/>
  <c r="BK25" i="55"/>
  <c r="BF11" i="55"/>
  <c r="BL25" i="55"/>
  <c r="BG11" i="55"/>
  <c r="BM25" i="55"/>
  <c r="BH11" i="55"/>
  <c r="BN25" i="55"/>
  <c r="AP25" i="55"/>
  <c r="AK12" i="55"/>
  <c r="AQ26" i="55"/>
  <c r="AL12" i="55"/>
  <c r="AR26" i="55"/>
  <c r="AM12" i="55"/>
  <c r="AS26" i="55"/>
  <c r="AN12" i="55"/>
  <c r="AT26" i="55"/>
  <c r="AO12" i="55"/>
  <c r="AU26" i="55"/>
  <c r="AP12" i="55"/>
  <c r="AV26" i="55"/>
  <c r="AQ12" i="55"/>
  <c r="AW26" i="55"/>
  <c r="AR12" i="55"/>
  <c r="AX26" i="55"/>
  <c r="AS12" i="55"/>
  <c r="AY26" i="55"/>
  <c r="AT12" i="55"/>
  <c r="AZ26" i="55"/>
  <c r="AU12" i="55"/>
  <c r="BA26" i="55"/>
  <c r="AV12" i="55"/>
  <c r="BB26" i="55"/>
  <c r="AW12" i="55"/>
  <c r="BC26" i="55"/>
  <c r="AX12" i="55"/>
  <c r="BD26" i="55"/>
  <c r="AY12" i="55"/>
  <c r="BE26" i="55"/>
  <c r="AZ12" i="55"/>
  <c r="BF26" i="55"/>
  <c r="BA12" i="55"/>
  <c r="BG26" i="55"/>
  <c r="BB12" i="55"/>
  <c r="BH26" i="55"/>
  <c r="BC12" i="55"/>
  <c r="BI26" i="55"/>
  <c r="BD12" i="55"/>
  <c r="BJ26" i="55"/>
  <c r="BE12" i="55"/>
  <c r="BK26" i="55"/>
  <c r="BF12" i="55"/>
  <c r="BL26" i="55"/>
  <c r="BG12" i="55"/>
  <c r="BM26" i="55"/>
  <c r="BH12" i="55"/>
  <c r="BN26" i="55"/>
  <c r="AP26" i="55"/>
  <c r="AK13" i="55"/>
  <c r="AQ27" i="55"/>
  <c r="AL13" i="55"/>
  <c r="AR27" i="55"/>
  <c r="AM13" i="55"/>
  <c r="AS27" i="55"/>
  <c r="AN13" i="55"/>
  <c r="AT27" i="55"/>
  <c r="AO13" i="55"/>
  <c r="AU27" i="55"/>
  <c r="AP13" i="55"/>
  <c r="AV27" i="55"/>
  <c r="AQ13" i="55"/>
  <c r="AW27" i="55"/>
  <c r="AR13" i="55"/>
  <c r="AX27" i="55"/>
  <c r="AS13" i="55"/>
  <c r="AY27" i="55"/>
  <c r="AT13" i="55"/>
  <c r="AZ27" i="55"/>
  <c r="AU13" i="55"/>
  <c r="BA27" i="55"/>
  <c r="AV13" i="55"/>
  <c r="BB27" i="55"/>
  <c r="AW13" i="55"/>
  <c r="BC27" i="55"/>
  <c r="AX13" i="55"/>
  <c r="BD27" i="55"/>
  <c r="AY13" i="55"/>
  <c r="BE27" i="55"/>
  <c r="AZ13" i="55"/>
  <c r="BF27" i="55"/>
  <c r="BA13" i="55"/>
  <c r="BG27" i="55"/>
  <c r="BB13" i="55"/>
  <c r="BH27" i="55"/>
  <c r="BC13" i="55"/>
  <c r="BI27" i="55"/>
  <c r="BD13" i="55"/>
  <c r="BJ27" i="55"/>
  <c r="BE13" i="55"/>
  <c r="BK27" i="55"/>
  <c r="BF13" i="55"/>
  <c r="BL27" i="55"/>
  <c r="BG13" i="55"/>
  <c r="BM27" i="55"/>
  <c r="BH13" i="55"/>
  <c r="BN27" i="55"/>
  <c r="AP27" i="55"/>
  <c r="AP28" i="55"/>
  <c r="AN16" i="55"/>
  <c r="AN17" i="55"/>
  <c r="AN18" i="55"/>
  <c r="AN20" i="55"/>
  <c r="AN21" i="55"/>
  <c r="AN22" i="55"/>
  <c r="AN23" i="55"/>
  <c r="AN24" i="55"/>
  <c r="AN25" i="55"/>
  <c r="AN26" i="55"/>
  <c r="AN27" i="55"/>
  <c r="AM16" i="55"/>
  <c r="AM17" i="55"/>
  <c r="AM18" i="55"/>
  <c r="AM20" i="55"/>
  <c r="AM21" i="55"/>
  <c r="AM22" i="55"/>
  <c r="AM23" i="55"/>
  <c r="AM24" i="55"/>
  <c r="AM25" i="55"/>
  <c r="AM26" i="55"/>
  <c r="AM27" i="55"/>
  <c r="AL16" i="55"/>
  <c r="AL17" i="55"/>
  <c r="AL18" i="55"/>
  <c r="AL20" i="55"/>
  <c r="AL21" i="55"/>
  <c r="AL22" i="55"/>
  <c r="AL23" i="55"/>
  <c r="AL24" i="55"/>
  <c r="AL25" i="55"/>
  <c r="AL26" i="55"/>
  <c r="AL27" i="55"/>
  <c r="AK16" i="55"/>
  <c r="AK17" i="55"/>
  <c r="AK18" i="55"/>
  <c r="AK20" i="55"/>
  <c r="AK21" i="55"/>
  <c r="AK22" i="55"/>
  <c r="AK23" i="55"/>
  <c r="AK24" i="55"/>
  <c r="AK25" i="55"/>
  <c r="AK26" i="55"/>
  <c r="AK27" i="55"/>
  <c r="Z2" i="55"/>
  <c r="AA2" i="55"/>
  <c r="AB2" i="55"/>
  <c r="AC2" i="55"/>
  <c r="AA16" i="55"/>
  <c r="Z3" i="55"/>
  <c r="AA3" i="55"/>
  <c r="AB3" i="55"/>
  <c r="AC3" i="55"/>
  <c r="AA17" i="55"/>
  <c r="Z4" i="55"/>
  <c r="AA4" i="55"/>
  <c r="AB4" i="55"/>
  <c r="AC4" i="55"/>
  <c r="AA18" i="55"/>
  <c r="Z5" i="55"/>
  <c r="AA5" i="55"/>
  <c r="AB5" i="55"/>
  <c r="AC5" i="55"/>
  <c r="AA19" i="55"/>
  <c r="Z6" i="55"/>
  <c r="AA6" i="55"/>
  <c r="AB6" i="55"/>
  <c r="AC6" i="55"/>
  <c r="AA20" i="55"/>
  <c r="Z7" i="55"/>
  <c r="AA7" i="55"/>
  <c r="AB7" i="55"/>
  <c r="AC7" i="55"/>
  <c r="AA21" i="55"/>
  <c r="Z8" i="55"/>
  <c r="AA8" i="55"/>
  <c r="AB8" i="55"/>
  <c r="AC8" i="55"/>
  <c r="AA22" i="55"/>
  <c r="Z9" i="55"/>
  <c r="AA9" i="55"/>
  <c r="AB9" i="55"/>
  <c r="AC9" i="55"/>
  <c r="AA23" i="55"/>
  <c r="Z10" i="55"/>
  <c r="AA10" i="55"/>
  <c r="AB10" i="55"/>
  <c r="AC10" i="55"/>
  <c r="AA24" i="55"/>
  <c r="Z11" i="55"/>
  <c r="AA11" i="55"/>
  <c r="AB11" i="55"/>
  <c r="AC11" i="55"/>
  <c r="AA25" i="55"/>
  <c r="Z12" i="55"/>
  <c r="AA12" i="55"/>
  <c r="AB12" i="55"/>
  <c r="AC12" i="55"/>
  <c r="AA26" i="55"/>
  <c r="Z13" i="55"/>
  <c r="AA13" i="55"/>
  <c r="AB13" i="55"/>
  <c r="AC13" i="55"/>
  <c r="AA27" i="55"/>
  <c r="AA28" i="55"/>
  <c r="Z16" i="55"/>
  <c r="Z17" i="55"/>
  <c r="Z18" i="55"/>
  <c r="Z19" i="55"/>
  <c r="Z20" i="55"/>
  <c r="Z21" i="55"/>
  <c r="Z22" i="55"/>
  <c r="Z23" i="55"/>
  <c r="Z24" i="55"/>
  <c r="Z25" i="55"/>
  <c r="Z26" i="55"/>
  <c r="Z27" i="55"/>
  <c r="Z28" i="55"/>
  <c r="S28" i="55"/>
  <c r="R28" i="55"/>
  <c r="Q28" i="55"/>
  <c r="P28" i="55"/>
  <c r="N28" i="55"/>
  <c r="M28" i="55"/>
  <c r="L28" i="55"/>
  <c r="K28" i="55"/>
  <c r="D27" i="55"/>
  <c r="N25" i="55"/>
  <c r="M25" i="55"/>
  <c r="L25" i="55"/>
  <c r="K25" i="55"/>
  <c r="D25" i="55"/>
  <c r="H16" i="55"/>
  <c r="D23" i="55"/>
  <c r="G16" i="55"/>
  <c r="D21" i="55"/>
  <c r="M19" i="55"/>
  <c r="W16" i="55"/>
  <c r="V16" i="55"/>
  <c r="U16" i="55"/>
  <c r="E50" i="54"/>
  <c r="A50" i="54"/>
  <c r="E49" i="54"/>
  <c r="A49" i="54"/>
  <c r="E48" i="54"/>
  <c r="A48" i="54"/>
  <c r="E47" i="54"/>
  <c r="A47" i="54"/>
  <c r="E46" i="54"/>
  <c r="A46" i="54"/>
  <c r="E45" i="54"/>
  <c r="A45" i="54"/>
  <c r="E44" i="54"/>
  <c r="A44" i="54"/>
  <c r="E43" i="54"/>
  <c r="A43" i="54"/>
  <c r="X15" i="54"/>
  <c r="E42" i="54"/>
  <c r="A42" i="54"/>
  <c r="X14" i="54"/>
  <c r="E41" i="54"/>
  <c r="A41" i="54"/>
  <c r="X13" i="54"/>
  <c r="E40" i="54"/>
  <c r="A40" i="54"/>
  <c r="X12" i="54"/>
  <c r="E39" i="54"/>
  <c r="A39" i="54"/>
  <c r="X11" i="54"/>
  <c r="X10" i="54"/>
  <c r="X9" i="54"/>
  <c r="R16" i="54"/>
  <c r="Q16" i="54"/>
  <c r="X8" i="54"/>
  <c r="X7" i="54"/>
  <c r="X4" i="54"/>
  <c r="X5" i="54"/>
  <c r="X6" i="54"/>
  <c r="AE2" i="54"/>
  <c r="AF2" i="54"/>
  <c r="AG2" i="54"/>
  <c r="AH2" i="54"/>
  <c r="AI2" i="54"/>
  <c r="AG16" i="54"/>
  <c r="AE3" i="54"/>
  <c r="AF3" i="54"/>
  <c r="AG3" i="54"/>
  <c r="AH3" i="54"/>
  <c r="AI3" i="54"/>
  <c r="AG17" i="54"/>
  <c r="AE4" i="54"/>
  <c r="AF4" i="54"/>
  <c r="AG4" i="54"/>
  <c r="AH4" i="54"/>
  <c r="AI4" i="54"/>
  <c r="AG18" i="54"/>
  <c r="AE5" i="54"/>
  <c r="AF5" i="54"/>
  <c r="AG5" i="54"/>
  <c r="AH5" i="54"/>
  <c r="AI5" i="54"/>
  <c r="AG19" i="54"/>
  <c r="AE7" i="54"/>
  <c r="AF7" i="54"/>
  <c r="AG7" i="54"/>
  <c r="AH7" i="54"/>
  <c r="AI7" i="54"/>
  <c r="AG21" i="54"/>
  <c r="AE8" i="54"/>
  <c r="AF8" i="54"/>
  <c r="AG8" i="54"/>
  <c r="AH8" i="54"/>
  <c r="AI8" i="54"/>
  <c r="AG22" i="54"/>
  <c r="AE9" i="54"/>
  <c r="AF9" i="54"/>
  <c r="AG9" i="54"/>
  <c r="AH9" i="54"/>
  <c r="AI9" i="54"/>
  <c r="AG23" i="54"/>
  <c r="AE10" i="54"/>
  <c r="AF10" i="54"/>
  <c r="AG10" i="54"/>
  <c r="AH10" i="54"/>
  <c r="AI10" i="54"/>
  <c r="AG24" i="54"/>
  <c r="AE11" i="54"/>
  <c r="AF11" i="54"/>
  <c r="AG11" i="54"/>
  <c r="AH11" i="54"/>
  <c r="AI11" i="54"/>
  <c r="AG25" i="54"/>
  <c r="AE12" i="54"/>
  <c r="AF12" i="54"/>
  <c r="AG12" i="54"/>
  <c r="AH12" i="54"/>
  <c r="AI12" i="54"/>
  <c r="AG26" i="54"/>
  <c r="AE13" i="54"/>
  <c r="AF13" i="54"/>
  <c r="AG13" i="54"/>
  <c r="AH13" i="54"/>
  <c r="AI13" i="54"/>
  <c r="AG27" i="54"/>
  <c r="AF16" i="54"/>
  <c r="AF17" i="54"/>
  <c r="AF18" i="54"/>
  <c r="AF19" i="54"/>
  <c r="AF21" i="54"/>
  <c r="AF22" i="54"/>
  <c r="AF23" i="54"/>
  <c r="AF24" i="54"/>
  <c r="AF25" i="54"/>
  <c r="AF26" i="54"/>
  <c r="AF27" i="54"/>
  <c r="J29" i="54"/>
  <c r="I29" i="54"/>
  <c r="H29" i="54"/>
  <c r="G29" i="54"/>
  <c r="F16" i="54"/>
  <c r="D29" i="54"/>
  <c r="AK2" i="54"/>
  <c r="AQ16" i="54"/>
  <c r="AL2" i="54"/>
  <c r="AR16" i="54"/>
  <c r="AM2" i="54"/>
  <c r="AS16" i="54"/>
  <c r="AN2" i="54"/>
  <c r="AT16" i="54"/>
  <c r="AO2" i="54"/>
  <c r="AU16" i="54"/>
  <c r="AP2" i="54"/>
  <c r="AV16" i="54"/>
  <c r="AQ2" i="54"/>
  <c r="AW16" i="54"/>
  <c r="AR2" i="54"/>
  <c r="AX16" i="54"/>
  <c r="AS2" i="54"/>
  <c r="AY16" i="54"/>
  <c r="AT2" i="54"/>
  <c r="AZ16" i="54"/>
  <c r="AU2" i="54"/>
  <c r="BA16" i="54"/>
  <c r="AV2" i="54"/>
  <c r="BB16" i="54"/>
  <c r="AW2" i="54"/>
  <c r="BC16" i="54"/>
  <c r="AX2" i="54"/>
  <c r="BD16" i="54"/>
  <c r="AY2" i="54"/>
  <c r="BE16" i="54"/>
  <c r="AZ2" i="54"/>
  <c r="BF16" i="54"/>
  <c r="BA2" i="54"/>
  <c r="BG16" i="54"/>
  <c r="BB2" i="54"/>
  <c r="BH16" i="54"/>
  <c r="BC2" i="54"/>
  <c r="BI16" i="54"/>
  <c r="BD2" i="54"/>
  <c r="BJ16" i="54"/>
  <c r="BE2" i="54"/>
  <c r="BK16" i="54"/>
  <c r="BF2" i="54"/>
  <c r="BL16" i="54"/>
  <c r="BG2" i="54"/>
  <c r="BM16" i="54"/>
  <c r="BH2" i="54"/>
  <c r="BN16" i="54"/>
  <c r="AP16" i="54"/>
  <c r="AK3" i="54"/>
  <c r="AQ17" i="54"/>
  <c r="AL3" i="54"/>
  <c r="AR17" i="54"/>
  <c r="AM3" i="54"/>
  <c r="AS17" i="54"/>
  <c r="AN3" i="54"/>
  <c r="AT17" i="54"/>
  <c r="AO3" i="54"/>
  <c r="AU17" i="54"/>
  <c r="AP3" i="54"/>
  <c r="AV17" i="54"/>
  <c r="AQ3" i="54"/>
  <c r="AW17" i="54"/>
  <c r="AR3" i="54"/>
  <c r="AX17" i="54"/>
  <c r="AS3" i="54"/>
  <c r="AY17" i="54"/>
  <c r="AT3" i="54"/>
  <c r="AZ17" i="54"/>
  <c r="AU3" i="54"/>
  <c r="BA17" i="54"/>
  <c r="AV3" i="54"/>
  <c r="BB17" i="54"/>
  <c r="AW3" i="54"/>
  <c r="BC17" i="54"/>
  <c r="AX3" i="54"/>
  <c r="BD17" i="54"/>
  <c r="AY3" i="54"/>
  <c r="BE17" i="54"/>
  <c r="AZ3" i="54"/>
  <c r="BF17" i="54"/>
  <c r="BA3" i="54"/>
  <c r="BG17" i="54"/>
  <c r="BB3" i="54"/>
  <c r="BH17" i="54"/>
  <c r="BC3" i="54"/>
  <c r="BI17" i="54"/>
  <c r="BD3" i="54"/>
  <c r="BJ17" i="54"/>
  <c r="BE3" i="54"/>
  <c r="BK17" i="54"/>
  <c r="BF3" i="54"/>
  <c r="BL17" i="54"/>
  <c r="BG3" i="54"/>
  <c r="BM17" i="54"/>
  <c r="BH3" i="54"/>
  <c r="BN17" i="54"/>
  <c r="AP17" i="54"/>
  <c r="AK4" i="54"/>
  <c r="AQ18" i="54"/>
  <c r="AL4" i="54"/>
  <c r="AR18" i="54"/>
  <c r="AM4" i="54"/>
  <c r="AS18" i="54"/>
  <c r="AN4" i="54"/>
  <c r="AT18" i="54"/>
  <c r="AO4" i="54"/>
  <c r="AU18" i="54"/>
  <c r="AP4" i="54"/>
  <c r="AV18" i="54"/>
  <c r="AQ4" i="54"/>
  <c r="AW18" i="54"/>
  <c r="AR4" i="54"/>
  <c r="AX18" i="54"/>
  <c r="AS4" i="54"/>
  <c r="AY18" i="54"/>
  <c r="AT4" i="54"/>
  <c r="AZ18" i="54"/>
  <c r="AU4" i="54"/>
  <c r="BA18" i="54"/>
  <c r="AV4" i="54"/>
  <c r="BB18" i="54"/>
  <c r="AW4" i="54"/>
  <c r="BC18" i="54"/>
  <c r="AX4" i="54"/>
  <c r="BD18" i="54"/>
  <c r="AY4" i="54"/>
  <c r="BE18" i="54"/>
  <c r="AZ4" i="54"/>
  <c r="BF18" i="54"/>
  <c r="BA4" i="54"/>
  <c r="BG18" i="54"/>
  <c r="BB4" i="54"/>
  <c r="BH18" i="54"/>
  <c r="BC4" i="54"/>
  <c r="BI18" i="54"/>
  <c r="BD4" i="54"/>
  <c r="BJ18" i="54"/>
  <c r="BE4" i="54"/>
  <c r="BK18" i="54"/>
  <c r="BF4" i="54"/>
  <c r="BL18" i="54"/>
  <c r="BG4" i="54"/>
  <c r="BM18" i="54"/>
  <c r="BH4" i="54"/>
  <c r="BN18" i="54"/>
  <c r="AP18" i="54"/>
  <c r="AK5" i="54"/>
  <c r="AQ19" i="54"/>
  <c r="AL5" i="54"/>
  <c r="AR19" i="54"/>
  <c r="AM5" i="54"/>
  <c r="AS19" i="54"/>
  <c r="AN5" i="54"/>
  <c r="AT19" i="54"/>
  <c r="AO5" i="54"/>
  <c r="AU19" i="54"/>
  <c r="AP5" i="54"/>
  <c r="AV19" i="54"/>
  <c r="AQ5" i="54"/>
  <c r="AW19" i="54"/>
  <c r="AR5" i="54"/>
  <c r="AX19" i="54"/>
  <c r="AS5" i="54"/>
  <c r="AY19" i="54"/>
  <c r="AT5" i="54"/>
  <c r="AZ19" i="54"/>
  <c r="AU5" i="54"/>
  <c r="BA19" i="54"/>
  <c r="AV5" i="54"/>
  <c r="BB19" i="54"/>
  <c r="AW5" i="54"/>
  <c r="BC19" i="54"/>
  <c r="AX5" i="54"/>
  <c r="BD19" i="54"/>
  <c r="AY5" i="54"/>
  <c r="BE19" i="54"/>
  <c r="AZ5" i="54"/>
  <c r="BF19" i="54"/>
  <c r="BA5" i="54"/>
  <c r="BG19" i="54"/>
  <c r="BB5" i="54"/>
  <c r="BH19" i="54"/>
  <c r="BC5" i="54"/>
  <c r="BI19" i="54"/>
  <c r="BD5" i="54"/>
  <c r="BJ19" i="54"/>
  <c r="BE5" i="54"/>
  <c r="BK19" i="54"/>
  <c r="BF5" i="54"/>
  <c r="BL19" i="54"/>
  <c r="BG5" i="54"/>
  <c r="BM19" i="54"/>
  <c r="BH5" i="54"/>
  <c r="BN19" i="54"/>
  <c r="AP19" i="54"/>
  <c r="AK6" i="54"/>
  <c r="AQ20" i="54"/>
  <c r="AL6" i="54"/>
  <c r="AR20" i="54"/>
  <c r="AM6" i="54"/>
  <c r="AS20" i="54"/>
  <c r="AN6" i="54"/>
  <c r="AT20" i="54"/>
  <c r="AO6" i="54"/>
  <c r="AU20" i="54"/>
  <c r="AP6" i="54"/>
  <c r="AV20" i="54"/>
  <c r="AQ6" i="54"/>
  <c r="AW20" i="54"/>
  <c r="AR6" i="54"/>
  <c r="AX20" i="54"/>
  <c r="AS6" i="54"/>
  <c r="AY20" i="54"/>
  <c r="AT6" i="54"/>
  <c r="AZ20" i="54"/>
  <c r="AU6" i="54"/>
  <c r="BA20" i="54"/>
  <c r="AV6" i="54"/>
  <c r="BB20" i="54"/>
  <c r="AW6" i="54"/>
  <c r="BC20" i="54"/>
  <c r="AX6" i="54"/>
  <c r="BD20" i="54"/>
  <c r="AY6" i="54"/>
  <c r="BE20" i="54"/>
  <c r="AZ6" i="54"/>
  <c r="BF20" i="54"/>
  <c r="BA6" i="54"/>
  <c r="BG20" i="54"/>
  <c r="BB6" i="54"/>
  <c r="BH20" i="54"/>
  <c r="BC6" i="54"/>
  <c r="BI20" i="54"/>
  <c r="BD6" i="54"/>
  <c r="BJ20" i="54"/>
  <c r="BE6" i="54"/>
  <c r="BK20" i="54"/>
  <c r="BF6" i="54"/>
  <c r="BL20" i="54"/>
  <c r="BG6" i="54"/>
  <c r="BM20" i="54"/>
  <c r="BH6" i="54"/>
  <c r="BN20" i="54"/>
  <c r="AP20" i="54"/>
  <c r="AK7" i="54"/>
  <c r="AQ21" i="54"/>
  <c r="AL7" i="54"/>
  <c r="AR21" i="54"/>
  <c r="AM7" i="54"/>
  <c r="AS21" i="54"/>
  <c r="AN7" i="54"/>
  <c r="AT21" i="54"/>
  <c r="AO7" i="54"/>
  <c r="AU21" i="54"/>
  <c r="AP7" i="54"/>
  <c r="AV21" i="54"/>
  <c r="AQ7" i="54"/>
  <c r="AW21" i="54"/>
  <c r="AR7" i="54"/>
  <c r="AX21" i="54"/>
  <c r="AS7" i="54"/>
  <c r="AY21" i="54"/>
  <c r="AT7" i="54"/>
  <c r="AZ21" i="54"/>
  <c r="AU7" i="54"/>
  <c r="BA21" i="54"/>
  <c r="AV7" i="54"/>
  <c r="BB21" i="54"/>
  <c r="AW7" i="54"/>
  <c r="BC21" i="54"/>
  <c r="AX7" i="54"/>
  <c r="BD21" i="54"/>
  <c r="AY7" i="54"/>
  <c r="BE21" i="54"/>
  <c r="AZ7" i="54"/>
  <c r="BF21" i="54"/>
  <c r="BA7" i="54"/>
  <c r="BG21" i="54"/>
  <c r="BB7" i="54"/>
  <c r="BH21" i="54"/>
  <c r="BC7" i="54"/>
  <c r="BI21" i="54"/>
  <c r="BD7" i="54"/>
  <c r="BJ21" i="54"/>
  <c r="BE7" i="54"/>
  <c r="BK21" i="54"/>
  <c r="BF7" i="54"/>
  <c r="BL21" i="54"/>
  <c r="BG7" i="54"/>
  <c r="BM21" i="54"/>
  <c r="BH7" i="54"/>
  <c r="BN21" i="54"/>
  <c r="AP21" i="54"/>
  <c r="AK8" i="54"/>
  <c r="AQ22" i="54"/>
  <c r="AL8" i="54"/>
  <c r="AR22" i="54"/>
  <c r="AM8" i="54"/>
  <c r="AS22" i="54"/>
  <c r="AN8" i="54"/>
  <c r="AT22" i="54"/>
  <c r="AO8" i="54"/>
  <c r="AU22" i="54"/>
  <c r="AP8" i="54"/>
  <c r="AV22" i="54"/>
  <c r="AQ8" i="54"/>
  <c r="AW22" i="54"/>
  <c r="AR8" i="54"/>
  <c r="AX22" i="54"/>
  <c r="AS8" i="54"/>
  <c r="AY22" i="54"/>
  <c r="AT8" i="54"/>
  <c r="AZ22" i="54"/>
  <c r="AU8" i="54"/>
  <c r="BA22" i="54"/>
  <c r="AV8" i="54"/>
  <c r="BB22" i="54"/>
  <c r="AW8" i="54"/>
  <c r="BC22" i="54"/>
  <c r="AX8" i="54"/>
  <c r="BD22" i="54"/>
  <c r="AY8" i="54"/>
  <c r="BE22" i="54"/>
  <c r="AZ8" i="54"/>
  <c r="BF22" i="54"/>
  <c r="BA8" i="54"/>
  <c r="BG22" i="54"/>
  <c r="BB8" i="54"/>
  <c r="BH22" i="54"/>
  <c r="BC8" i="54"/>
  <c r="BI22" i="54"/>
  <c r="BD8" i="54"/>
  <c r="BJ22" i="54"/>
  <c r="BE8" i="54"/>
  <c r="BK22" i="54"/>
  <c r="BF8" i="54"/>
  <c r="BL22" i="54"/>
  <c r="BG8" i="54"/>
  <c r="BM22" i="54"/>
  <c r="BH8" i="54"/>
  <c r="BN22" i="54"/>
  <c r="AP22" i="54"/>
  <c r="AK9" i="54"/>
  <c r="AQ23" i="54"/>
  <c r="AL9" i="54"/>
  <c r="AR23" i="54"/>
  <c r="AM9" i="54"/>
  <c r="AS23" i="54"/>
  <c r="AN9" i="54"/>
  <c r="AT23" i="54"/>
  <c r="AO9" i="54"/>
  <c r="AU23" i="54"/>
  <c r="AP9" i="54"/>
  <c r="AV23" i="54"/>
  <c r="AQ9" i="54"/>
  <c r="AW23" i="54"/>
  <c r="AR9" i="54"/>
  <c r="AX23" i="54"/>
  <c r="AS9" i="54"/>
  <c r="AY23" i="54"/>
  <c r="AT9" i="54"/>
  <c r="AZ23" i="54"/>
  <c r="AU9" i="54"/>
  <c r="BA23" i="54"/>
  <c r="AV9" i="54"/>
  <c r="BB23" i="54"/>
  <c r="AW9" i="54"/>
  <c r="BC23" i="54"/>
  <c r="AX9" i="54"/>
  <c r="BD23" i="54"/>
  <c r="AY9" i="54"/>
  <c r="BE23" i="54"/>
  <c r="AZ9" i="54"/>
  <c r="BF23" i="54"/>
  <c r="BA9" i="54"/>
  <c r="BG23" i="54"/>
  <c r="BB9" i="54"/>
  <c r="BH23" i="54"/>
  <c r="BC9" i="54"/>
  <c r="BI23" i="54"/>
  <c r="BD9" i="54"/>
  <c r="BJ23" i="54"/>
  <c r="BE9" i="54"/>
  <c r="BK23" i="54"/>
  <c r="BF9" i="54"/>
  <c r="BL23" i="54"/>
  <c r="BG9" i="54"/>
  <c r="BM23" i="54"/>
  <c r="BH9" i="54"/>
  <c r="BN23" i="54"/>
  <c r="AP23" i="54"/>
  <c r="AK10" i="54"/>
  <c r="AQ24" i="54"/>
  <c r="AL10" i="54"/>
  <c r="AR24" i="54"/>
  <c r="AM10" i="54"/>
  <c r="AS24" i="54"/>
  <c r="AN10" i="54"/>
  <c r="AT24" i="54"/>
  <c r="AO10" i="54"/>
  <c r="AU24" i="54"/>
  <c r="AP10" i="54"/>
  <c r="AV24" i="54"/>
  <c r="AQ10" i="54"/>
  <c r="AW24" i="54"/>
  <c r="AR10" i="54"/>
  <c r="AX24" i="54"/>
  <c r="AS10" i="54"/>
  <c r="AY24" i="54"/>
  <c r="AT10" i="54"/>
  <c r="AZ24" i="54"/>
  <c r="AU10" i="54"/>
  <c r="BA24" i="54"/>
  <c r="AV10" i="54"/>
  <c r="BB24" i="54"/>
  <c r="AW10" i="54"/>
  <c r="BC24" i="54"/>
  <c r="AX10" i="54"/>
  <c r="BD24" i="54"/>
  <c r="AY10" i="54"/>
  <c r="BE24" i="54"/>
  <c r="AZ10" i="54"/>
  <c r="BF24" i="54"/>
  <c r="BA10" i="54"/>
  <c r="BG24" i="54"/>
  <c r="BB10" i="54"/>
  <c r="BH24" i="54"/>
  <c r="BC10" i="54"/>
  <c r="BI24" i="54"/>
  <c r="BD10" i="54"/>
  <c r="BJ24" i="54"/>
  <c r="BE10" i="54"/>
  <c r="BK24" i="54"/>
  <c r="BF10" i="54"/>
  <c r="BL24" i="54"/>
  <c r="BG10" i="54"/>
  <c r="BM24" i="54"/>
  <c r="BH10" i="54"/>
  <c r="BN24" i="54"/>
  <c r="AP24" i="54"/>
  <c r="AK11" i="54"/>
  <c r="AQ25" i="54"/>
  <c r="AL11" i="54"/>
  <c r="AR25" i="54"/>
  <c r="AM11" i="54"/>
  <c r="AS25" i="54"/>
  <c r="AN11" i="54"/>
  <c r="AT25" i="54"/>
  <c r="AO11" i="54"/>
  <c r="AU25" i="54"/>
  <c r="AP11" i="54"/>
  <c r="AV25" i="54"/>
  <c r="AQ11" i="54"/>
  <c r="AW25" i="54"/>
  <c r="AR11" i="54"/>
  <c r="AX25" i="54"/>
  <c r="AS11" i="54"/>
  <c r="AY25" i="54"/>
  <c r="AT11" i="54"/>
  <c r="AZ25" i="54"/>
  <c r="AU11" i="54"/>
  <c r="BA25" i="54"/>
  <c r="AV11" i="54"/>
  <c r="BB25" i="54"/>
  <c r="AW11" i="54"/>
  <c r="BC25" i="54"/>
  <c r="AX11" i="54"/>
  <c r="BD25" i="54"/>
  <c r="AY11" i="54"/>
  <c r="BE25" i="54"/>
  <c r="AZ11" i="54"/>
  <c r="BF25" i="54"/>
  <c r="BA11" i="54"/>
  <c r="BG25" i="54"/>
  <c r="BB11" i="54"/>
  <c r="BH25" i="54"/>
  <c r="BC11" i="54"/>
  <c r="BI25" i="54"/>
  <c r="BD11" i="54"/>
  <c r="BJ25" i="54"/>
  <c r="BE11" i="54"/>
  <c r="BK25" i="54"/>
  <c r="BF11" i="54"/>
  <c r="BL25" i="54"/>
  <c r="BG11" i="54"/>
  <c r="BM25" i="54"/>
  <c r="BH11" i="54"/>
  <c r="BN25" i="54"/>
  <c r="AP25" i="54"/>
  <c r="AK12" i="54"/>
  <c r="AQ26" i="54"/>
  <c r="AL12" i="54"/>
  <c r="AR26" i="54"/>
  <c r="AM12" i="54"/>
  <c r="AS26" i="54"/>
  <c r="AN12" i="54"/>
  <c r="AT26" i="54"/>
  <c r="AO12" i="54"/>
  <c r="AU26" i="54"/>
  <c r="AP12" i="54"/>
  <c r="AV26" i="54"/>
  <c r="AQ12" i="54"/>
  <c r="AW26" i="54"/>
  <c r="AR12" i="54"/>
  <c r="AX26" i="54"/>
  <c r="AS12" i="54"/>
  <c r="AY26" i="54"/>
  <c r="AT12" i="54"/>
  <c r="AZ26" i="54"/>
  <c r="AU12" i="54"/>
  <c r="BA26" i="54"/>
  <c r="AV12" i="54"/>
  <c r="BB26" i="54"/>
  <c r="AW12" i="54"/>
  <c r="BC26" i="54"/>
  <c r="AX12" i="54"/>
  <c r="BD26" i="54"/>
  <c r="AY12" i="54"/>
  <c r="BE26" i="54"/>
  <c r="AZ12" i="54"/>
  <c r="BF26" i="54"/>
  <c r="BA12" i="54"/>
  <c r="BG26" i="54"/>
  <c r="BB12" i="54"/>
  <c r="BH26" i="54"/>
  <c r="BC12" i="54"/>
  <c r="BI26" i="54"/>
  <c r="BD12" i="54"/>
  <c r="BJ26" i="54"/>
  <c r="BE12" i="54"/>
  <c r="BK26" i="54"/>
  <c r="BF12" i="54"/>
  <c r="BL26" i="54"/>
  <c r="BG12" i="54"/>
  <c r="BM26" i="54"/>
  <c r="BH12" i="54"/>
  <c r="BN26" i="54"/>
  <c r="AP26" i="54"/>
  <c r="AK13" i="54"/>
  <c r="AQ27" i="54"/>
  <c r="AL13" i="54"/>
  <c r="AR27" i="54"/>
  <c r="AM13" i="54"/>
  <c r="AS27" i="54"/>
  <c r="AN13" i="54"/>
  <c r="AT27" i="54"/>
  <c r="AO13" i="54"/>
  <c r="AU27" i="54"/>
  <c r="AP13" i="54"/>
  <c r="AV27" i="54"/>
  <c r="AQ13" i="54"/>
  <c r="AW27" i="54"/>
  <c r="AR13" i="54"/>
  <c r="AX27" i="54"/>
  <c r="AS13" i="54"/>
  <c r="AY27" i="54"/>
  <c r="AT13" i="54"/>
  <c r="AZ27" i="54"/>
  <c r="AU13" i="54"/>
  <c r="BA27" i="54"/>
  <c r="AV13" i="54"/>
  <c r="BB27" i="54"/>
  <c r="AW13" i="54"/>
  <c r="BC27" i="54"/>
  <c r="AX13" i="54"/>
  <c r="BD27" i="54"/>
  <c r="AY13" i="54"/>
  <c r="BE27" i="54"/>
  <c r="AZ13" i="54"/>
  <c r="BF27" i="54"/>
  <c r="BA13" i="54"/>
  <c r="BG27" i="54"/>
  <c r="BB13" i="54"/>
  <c r="BH27" i="54"/>
  <c r="BC13" i="54"/>
  <c r="BI27" i="54"/>
  <c r="BD13" i="54"/>
  <c r="BJ27" i="54"/>
  <c r="BE13" i="54"/>
  <c r="BK27" i="54"/>
  <c r="BF13" i="54"/>
  <c r="BL27" i="54"/>
  <c r="BG13" i="54"/>
  <c r="BM27" i="54"/>
  <c r="BH13" i="54"/>
  <c r="BN27" i="54"/>
  <c r="AP27" i="54"/>
  <c r="AP28" i="54"/>
  <c r="AN17" i="54"/>
  <c r="AN18" i="54"/>
  <c r="AN19" i="54"/>
  <c r="AN20" i="54"/>
  <c r="AN21" i="54"/>
  <c r="AN22" i="54"/>
  <c r="AN23" i="54"/>
  <c r="AN24" i="54"/>
  <c r="AN25" i="54"/>
  <c r="AN26" i="54"/>
  <c r="AN27" i="54"/>
  <c r="AM17" i="54"/>
  <c r="AM18" i="54"/>
  <c r="AM19" i="54"/>
  <c r="AM20" i="54"/>
  <c r="AM21" i="54"/>
  <c r="AM22" i="54"/>
  <c r="AM23" i="54"/>
  <c r="AM24" i="54"/>
  <c r="AM25" i="54"/>
  <c r="AM26" i="54"/>
  <c r="AM27" i="54"/>
  <c r="AL17" i="54"/>
  <c r="AL18" i="54"/>
  <c r="AL19" i="54"/>
  <c r="AL20" i="54"/>
  <c r="AL21" i="54"/>
  <c r="AL22" i="54"/>
  <c r="AL23" i="54"/>
  <c r="AL24" i="54"/>
  <c r="AL25" i="54"/>
  <c r="AL26" i="54"/>
  <c r="AL27" i="54"/>
  <c r="AK17" i="54"/>
  <c r="AK18" i="54"/>
  <c r="AK19" i="54"/>
  <c r="AK20" i="54"/>
  <c r="AK21" i="54"/>
  <c r="AK22" i="54"/>
  <c r="AK23" i="54"/>
  <c r="AK24" i="54"/>
  <c r="AK25" i="54"/>
  <c r="AK26" i="54"/>
  <c r="AK27" i="54"/>
  <c r="Z2" i="54"/>
  <c r="AA2" i="54"/>
  <c r="AB2" i="54"/>
  <c r="AC2" i="54"/>
  <c r="AA16" i="54"/>
  <c r="Z3" i="54"/>
  <c r="AA3" i="54"/>
  <c r="AB3" i="54"/>
  <c r="AC3" i="54"/>
  <c r="AA17" i="54"/>
  <c r="Z4" i="54"/>
  <c r="AA4" i="54"/>
  <c r="AB4" i="54"/>
  <c r="AC4" i="54"/>
  <c r="AA18" i="54"/>
  <c r="Z5" i="54"/>
  <c r="AA5" i="54"/>
  <c r="AB5" i="54"/>
  <c r="AC5" i="54"/>
  <c r="AA19" i="54"/>
  <c r="Z6" i="54"/>
  <c r="AA6" i="54"/>
  <c r="AB6" i="54"/>
  <c r="AC6" i="54"/>
  <c r="AA20" i="54"/>
  <c r="Z7" i="54"/>
  <c r="AA7" i="54"/>
  <c r="AB7" i="54"/>
  <c r="AC7" i="54"/>
  <c r="AA21" i="54"/>
  <c r="Z8" i="54"/>
  <c r="AA8" i="54"/>
  <c r="AB8" i="54"/>
  <c r="AC8" i="54"/>
  <c r="AA22" i="54"/>
  <c r="Z9" i="54"/>
  <c r="AA9" i="54"/>
  <c r="AB9" i="54"/>
  <c r="AC9" i="54"/>
  <c r="AA23" i="54"/>
  <c r="Z10" i="54"/>
  <c r="AA10" i="54"/>
  <c r="AB10" i="54"/>
  <c r="AC10" i="54"/>
  <c r="AA24" i="54"/>
  <c r="Z11" i="54"/>
  <c r="AA11" i="54"/>
  <c r="AB11" i="54"/>
  <c r="AC11" i="54"/>
  <c r="AA25" i="54"/>
  <c r="Z12" i="54"/>
  <c r="AA12" i="54"/>
  <c r="AB12" i="54"/>
  <c r="AC12" i="54"/>
  <c r="AA26" i="54"/>
  <c r="Z13" i="54"/>
  <c r="AA13" i="54"/>
  <c r="AB13" i="54"/>
  <c r="AC13" i="54"/>
  <c r="AA27" i="54"/>
  <c r="AA28" i="54"/>
  <c r="Z16" i="54"/>
  <c r="Z17" i="54"/>
  <c r="Z18" i="54"/>
  <c r="Z19" i="54"/>
  <c r="Z20" i="54"/>
  <c r="Z21" i="54"/>
  <c r="Z22" i="54"/>
  <c r="Z23" i="54"/>
  <c r="Z24" i="54"/>
  <c r="Z25" i="54"/>
  <c r="Z26" i="54"/>
  <c r="Z27" i="54"/>
  <c r="Z28" i="54"/>
  <c r="S28" i="54"/>
  <c r="R28" i="54"/>
  <c r="Q28" i="54"/>
  <c r="P28" i="54"/>
  <c r="N28" i="54"/>
  <c r="M28" i="54"/>
  <c r="L28" i="54"/>
  <c r="K28" i="54"/>
  <c r="D27" i="54"/>
  <c r="N25" i="54"/>
  <c r="M25" i="54"/>
  <c r="L25" i="54"/>
  <c r="K25" i="54"/>
  <c r="D25" i="54"/>
  <c r="H16" i="54"/>
  <c r="D23" i="54"/>
  <c r="G16" i="54"/>
  <c r="D21" i="54"/>
  <c r="M19" i="54"/>
  <c r="W16" i="54"/>
  <c r="V16" i="54"/>
  <c r="U16" i="54"/>
  <c r="E50" i="53"/>
  <c r="A50" i="53"/>
  <c r="E49" i="53"/>
  <c r="A49" i="53"/>
  <c r="E48" i="53"/>
  <c r="A48" i="53"/>
  <c r="E47" i="53"/>
  <c r="A47" i="53"/>
  <c r="E46" i="53"/>
  <c r="A46" i="53"/>
  <c r="E45" i="53"/>
  <c r="A45" i="53"/>
  <c r="E44" i="53"/>
  <c r="A44" i="53"/>
  <c r="E43" i="53"/>
  <c r="A43" i="53"/>
  <c r="E42" i="53"/>
  <c r="A42" i="53"/>
  <c r="E41" i="53"/>
  <c r="A41" i="53"/>
  <c r="E40" i="53"/>
  <c r="A40" i="53"/>
  <c r="E39" i="53"/>
  <c r="A39" i="53"/>
  <c r="AE2" i="53"/>
  <c r="AF2" i="53"/>
  <c r="AG2" i="53"/>
  <c r="AH2" i="53"/>
  <c r="AI2" i="53"/>
  <c r="AG16" i="53"/>
  <c r="AE3" i="53"/>
  <c r="AF3" i="53"/>
  <c r="AG3" i="53"/>
  <c r="AH3" i="53"/>
  <c r="AI3" i="53"/>
  <c r="AG17" i="53"/>
  <c r="AE4" i="53"/>
  <c r="AF4" i="53"/>
  <c r="AG4" i="53"/>
  <c r="AH4" i="53"/>
  <c r="AI4" i="53"/>
  <c r="AG18" i="53"/>
  <c r="AE6" i="53"/>
  <c r="AF6" i="53"/>
  <c r="AG6" i="53"/>
  <c r="AH6" i="53"/>
  <c r="AI6" i="53"/>
  <c r="AG20" i="53"/>
  <c r="AE7" i="53"/>
  <c r="AF7" i="53"/>
  <c r="AG7" i="53"/>
  <c r="AH7" i="53"/>
  <c r="AI7" i="53"/>
  <c r="AG21" i="53"/>
  <c r="AE9" i="53"/>
  <c r="AF9" i="53"/>
  <c r="AG9" i="53"/>
  <c r="AH9" i="53"/>
  <c r="AI9" i="53"/>
  <c r="AG23" i="53"/>
  <c r="AE10" i="53"/>
  <c r="AF10" i="53"/>
  <c r="AG10" i="53"/>
  <c r="AH10" i="53"/>
  <c r="AI10" i="53"/>
  <c r="AG24" i="53"/>
  <c r="AE11" i="53"/>
  <c r="AF11" i="53"/>
  <c r="AG11" i="53"/>
  <c r="AH11" i="53"/>
  <c r="AI11" i="53"/>
  <c r="AG25" i="53"/>
  <c r="AE12" i="53"/>
  <c r="AF12" i="53"/>
  <c r="AG12" i="53"/>
  <c r="AH12" i="53"/>
  <c r="AI12" i="53"/>
  <c r="AG26" i="53"/>
  <c r="AE13" i="53"/>
  <c r="AF13" i="53"/>
  <c r="AG13" i="53"/>
  <c r="AH13" i="53"/>
  <c r="AI13" i="53"/>
  <c r="AG27" i="53"/>
  <c r="AF16" i="53"/>
  <c r="AF17" i="53"/>
  <c r="AF18" i="53"/>
  <c r="AF20" i="53"/>
  <c r="AF21" i="53"/>
  <c r="AF23" i="53"/>
  <c r="AF24" i="53"/>
  <c r="AF25" i="53"/>
  <c r="AF26" i="53"/>
  <c r="AF27" i="53"/>
  <c r="D31" i="53"/>
  <c r="J29" i="53"/>
  <c r="I29" i="53"/>
  <c r="H29" i="53"/>
  <c r="G29" i="53"/>
  <c r="F16" i="53"/>
  <c r="D29" i="53"/>
  <c r="AK2" i="53"/>
  <c r="AQ16" i="53"/>
  <c r="AL2" i="53"/>
  <c r="AR16" i="53"/>
  <c r="AM2" i="53"/>
  <c r="AS16" i="53"/>
  <c r="AN2" i="53"/>
  <c r="AT16" i="53"/>
  <c r="AO2" i="53"/>
  <c r="AU16" i="53"/>
  <c r="AP2" i="53"/>
  <c r="AV16" i="53"/>
  <c r="AQ2" i="53"/>
  <c r="AW16" i="53"/>
  <c r="AR2" i="53"/>
  <c r="AX16" i="53"/>
  <c r="AS2" i="53"/>
  <c r="AY16" i="53"/>
  <c r="AT2" i="53"/>
  <c r="AZ16" i="53"/>
  <c r="AU2" i="53"/>
  <c r="BA16" i="53"/>
  <c r="AV2" i="53"/>
  <c r="BB16" i="53"/>
  <c r="AW2" i="53"/>
  <c r="BC16" i="53"/>
  <c r="AX2" i="53"/>
  <c r="BD16" i="53"/>
  <c r="AY2" i="53"/>
  <c r="BE16" i="53"/>
  <c r="AZ2" i="53"/>
  <c r="BF16" i="53"/>
  <c r="BA2" i="53"/>
  <c r="BG16" i="53"/>
  <c r="BB2" i="53"/>
  <c r="BH16" i="53"/>
  <c r="BC2" i="53"/>
  <c r="BI16" i="53"/>
  <c r="BD2" i="53"/>
  <c r="BJ16" i="53"/>
  <c r="BE2" i="53"/>
  <c r="BK16" i="53"/>
  <c r="BF2" i="53"/>
  <c r="BL16" i="53"/>
  <c r="BG2" i="53"/>
  <c r="BM16" i="53"/>
  <c r="BH2" i="53"/>
  <c r="BN16" i="53"/>
  <c r="AP16" i="53"/>
  <c r="AK3" i="53"/>
  <c r="AQ17" i="53"/>
  <c r="AL3" i="53"/>
  <c r="AR17" i="53"/>
  <c r="AM3" i="53"/>
  <c r="AS17" i="53"/>
  <c r="AN3" i="53"/>
  <c r="AT17" i="53"/>
  <c r="AO3" i="53"/>
  <c r="AU17" i="53"/>
  <c r="AP3" i="53"/>
  <c r="AV17" i="53"/>
  <c r="AQ3" i="53"/>
  <c r="AW17" i="53"/>
  <c r="AR3" i="53"/>
  <c r="AX17" i="53"/>
  <c r="AS3" i="53"/>
  <c r="AY17" i="53"/>
  <c r="AT3" i="53"/>
  <c r="AZ17" i="53"/>
  <c r="AU3" i="53"/>
  <c r="BA17" i="53"/>
  <c r="AV3" i="53"/>
  <c r="BB17" i="53"/>
  <c r="AW3" i="53"/>
  <c r="BC17" i="53"/>
  <c r="AX3" i="53"/>
  <c r="BD17" i="53"/>
  <c r="AY3" i="53"/>
  <c r="BE17" i="53"/>
  <c r="AZ3" i="53"/>
  <c r="BF17" i="53"/>
  <c r="BA3" i="53"/>
  <c r="BG17" i="53"/>
  <c r="BB3" i="53"/>
  <c r="BH17" i="53"/>
  <c r="BC3" i="53"/>
  <c r="BI17" i="53"/>
  <c r="BD3" i="53"/>
  <c r="BJ17" i="53"/>
  <c r="BE3" i="53"/>
  <c r="BK17" i="53"/>
  <c r="BF3" i="53"/>
  <c r="BL17" i="53"/>
  <c r="BG3" i="53"/>
  <c r="BM17" i="53"/>
  <c r="BH3" i="53"/>
  <c r="BN17" i="53"/>
  <c r="AP17" i="53"/>
  <c r="AK4" i="53"/>
  <c r="AQ18" i="53"/>
  <c r="AL4" i="53"/>
  <c r="AR18" i="53"/>
  <c r="AM4" i="53"/>
  <c r="AS18" i="53"/>
  <c r="AN4" i="53"/>
  <c r="AT18" i="53"/>
  <c r="AO4" i="53"/>
  <c r="AU18" i="53"/>
  <c r="AP4" i="53"/>
  <c r="AV18" i="53"/>
  <c r="AQ4" i="53"/>
  <c r="AW18" i="53"/>
  <c r="AR4" i="53"/>
  <c r="AX18" i="53"/>
  <c r="AS4" i="53"/>
  <c r="AY18" i="53"/>
  <c r="AT4" i="53"/>
  <c r="AZ18" i="53"/>
  <c r="AU4" i="53"/>
  <c r="BA18" i="53"/>
  <c r="AV4" i="53"/>
  <c r="BB18" i="53"/>
  <c r="AW4" i="53"/>
  <c r="BC18" i="53"/>
  <c r="AX4" i="53"/>
  <c r="BD18" i="53"/>
  <c r="AY4" i="53"/>
  <c r="BE18" i="53"/>
  <c r="AZ4" i="53"/>
  <c r="BF18" i="53"/>
  <c r="BA4" i="53"/>
  <c r="BG18" i="53"/>
  <c r="BB4" i="53"/>
  <c r="BH18" i="53"/>
  <c r="BC4" i="53"/>
  <c r="BI18" i="53"/>
  <c r="BD4" i="53"/>
  <c r="BJ18" i="53"/>
  <c r="BE4" i="53"/>
  <c r="BK18" i="53"/>
  <c r="BF4" i="53"/>
  <c r="BL18" i="53"/>
  <c r="BG4" i="53"/>
  <c r="BM18" i="53"/>
  <c r="BH4" i="53"/>
  <c r="BN18" i="53"/>
  <c r="AP18" i="53"/>
  <c r="AK5" i="53"/>
  <c r="AQ19" i="53"/>
  <c r="AL5" i="53"/>
  <c r="AR19" i="53"/>
  <c r="AM5" i="53"/>
  <c r="AS19" i="53"/>
  <c r="AN5" i="53"/>
  <c r="AT19" i="53"/>
  <c r="AO5" i="53"/>
  <c r="AU19" i="53"/>
  <c r="AP5" i="53"/>
  <c r="AV19" i="53"/>
  <c r="AQ5" i="53"/>
  <c r="AW19" i="53"/>
  <c r="AR5" i="53"/>
  <c r="AX19" i="53"/>
  <c r="AS5" i="53"/>
  <c r="AY19" i="53"/>
  <c r="AT5" i="53"/>
  <c r="AZ19" i="53"/>
  <c r="AU5" i="53"/>
  <c r="BA19" i="53"/>
  <c r="AV5" i="53"/>
  <c r="BB19" i="53"/>
  <c r="AW5" i="53"/>
  <c r="BC19" i="53"/>
  <c r="AX5" i="53"/>
  <c r="BD19" i="53"/>
  <c r="AY5" i="53"/>
  <c r="BE19" i="53"/>
  <c r="AZ5" i="53"/>
  <c r="BF19" i="53"/>
  <c r="BA5" i="53"/>
  <c r="BG19" i="53"/>
  <c r="BB5" i="53"/>
  <c r="BH19" i="53"/>
  <c r="BC5" i="53"/>
  <c r="BI19" i="53"/>
  <c r="BD5" i="53"/>
  <c r="BJ19" i="53"/>
  <c r="BE5" i="53"/>
  <c r="BK19" i="53"/>
  <c r="BF5" i="53"/>
  <c r="BL19" i="53"/>
  <c r="BG5" i="53"/>
  <c r="BM19" i="53"/>
  <c r="BH5" i="53"/>
  <c r="BN19" i="53"/>
  <c r="AP19" i="53"/>
  <c r="AK6" i="53"/>
  <c r="AQ20" i="53"/>
  <c r="AL6" i="53"/>
  <c r="AR20" i="53"/>
  <c r="AM6" i="53"/>
  <c r="AS20" i="53"/>
  <c r="AN6" i="53"/>
  <c r="AT20" i="53"/>
  <c r="AO6" i="53"/>
  <c r="AU20" i="53"/>
  <c r="AP6" i="53"/>
  <c r="AV20" i="53"/>
  <c r="AQ6" i="53"/>
  <c r="AW20" i="53"/>
  <c r="AR6" i="53"/>
  <c r="AX20" i="53"/>
  <c r="AS6" i="53"/>
  <c r="AY20" i="53"/>
  <c r="AT6" i="53"/>
  <c r="AZ20" i="53"/>
  <c r="AU6" i="53"/>
  <c r="BA20" i="53"/>
  <c r="AV6" i="53"/>
  <c r="BB20" i="53"/>
  <c r="AW6" i="53"/>
  <c r="BC20" i="53"/>
  <c r="AX6" i="53"/>
  <c r="BD20" i="53"/>
  <c r="AY6" i="53"/>
  <c r="BE20" i="53"/>
  <c r="AZ6" i="53"/>
  <c r="BF20" i="53"/>
  <c r="BA6" i="53"/>
  <c r="BG20" i="53"/>
  <c r="BB6" i="53"/>
  <c r="BH20" i="53"/>
  <c r="BC6" i="53"/>
  <c r="BI20" i="53"/>
  <c r="BD6" i="53"/>
  <c r="BJ20" i="53"/>
  <c r="BE6" i="53"/>
  <c r="BK20" i="53"/>
  <c r="BF6" i="53"/>
  <c r="BL20" i="53"/>
  <c r="BG6" i="53"/>
  <c r="BM20" i="53"/>
  <c r="BH6" i="53"/>
  <c r="BN20" i="53"/>
  <c r="AP20" i="53"/>
  <c r="AK7" i="53"/>
  <c r="AQ21" i="53"/>
  <c r="AL7" i="53"/>
  <c r="AR21" i="53"/>
  <c r="AM7" i="53"/>
  <c r="AS21" i="53"/>
  <c r="AN7" i="53"/>
  <c r="AT21" i="53"/>
  <c r="AO7" i="53"/>
  <c r="AU21" i="53"/>
  <c r="AP7" i="53"/>
  <c r="AV21" i="53"/>
  <c r="AQ7" i="53"/>
  <c r="AW21" i="53"/>
  <c r="AR7" i="53"/>
  <c r="AX21" i="53"/>
  <c r="AS7" i="53"/>
  <c r="AY21" i="53"/>
  <c r="AT7" i="53"/>
  <c r="AZ21" i="53"/>
  <c r="AU7" i="53"/>
  <c r="BA21" i="53"/>
  <c r="AV7" i="53"/>
  <c r="BB21" i="53"/>
  <c r="AW7" i="53"/>
  <c r="BC21" i="53"/>
  <c r="AX7" i="53"/>
  <c r="BD21" i="53"/>
  <c r="AY7" i="53"/>
  <c r="BE21" i="53"/>
  <c r="AZ7" i="53"/>
  <c r="BF21" i="53"/>
  <c r="BA7" i="53"/>
  <c r="BG21" i="53"/>
  <c r="BB7" i="53"/>
  <c r="BH21" i="53"/>
  <c r="BC7" i="53"/>
  <c r="BI21" i="53"/>
  <c r="BD7" i="53"/>
  <c r="BJ21" i="53"/>
  <c r="BE7" i="53"/>
  <c r="BK21" i="53"/>
  <c r="BF7" i="53"/>
  <c r="BL21" i="53"/>
  <c r="BG7" i="53"/>
  <c r="BM21" i="53"/>
  <c r="BH7" i="53"/>
  <c r="BN21" i="53"/>
  <c r="AP21" i="53"/>
  <c r="AK8" i="53"/>
  <c r="AQ22" i="53"/>
  <c r="AL8" i="53"/>
  <c r="AR22" i="53"/>
  <c r="AM8" i="53"/>
  <c r="AS22" i="53"/>
  <c r="AN8" i="53"/>
  <c r="AT22" i="53"/>
  <c r="AO8" i="53"/>
  <c r="AU22" i="53"/>
  <c r="AP8" i="53"/>
  <c r="AV22" i="53"/>
  <c r="AQ8" i="53"/>
  <c r="AW22" i="53"/>
  <c r="AR8" i="53"/>
  <c r="AX22" i="53"/>
  <c r="AS8" i="53"/>
  <c r="AY22" i="53"/>
  <c r="AT8" i="53"/>
  <c r="AZ22" i="53"/>
  <c r="AU8" i="53"/>
  <c r="BA22" i="53"/>
  <c r="AV8" i="53"/>
  <c r="BB22" i="53"/>
  <c r="AW8" i="53"/>
  <c r="BC22" i="53"/>
  <c r="AX8" i="53"/>
  <c r="BD22" i="53"/>
  <c r="AY8" i="53"/>
  <c r="BE22" i="53"/>
  <c r="AZ8" i="53"/>
  <c r="BF22" i="53"/>
  <c r="BA8" i="53"/>
  <c r="BG22" i="53"/>
  <c r="BB8" i="53"/>
  <c r="BH22" i="53"/>
  <c r="BC8" i="53"/>
  <c r="BI22" i="53"/>
  <c r="BD8" i="53"/>
  <c r="BJ22" i="53"/>
  <c r="BE8" i="53"/>
  <c r="BK22" i="53"/>
  <c r="BF8" i="53"/>
  <c r="BL22" i="53"/>
  <c r="BG8" i="53"/>
  <c r="BM22" i="53"/>
  <c r="BH8" i="53"/>
  <c r="BN22" i="53"/>
  <c r="AP22" i="53"/>
  <c r="AK9" i="53"/>
  <c r="AQ23" i="53"/>
  <c r="AL9" i="53"/>
  <c r="AR23" i="53"/>
  <c r="AM9" i="53"/>
  <c r="AS23" i="53"/>
  <c r="AN9" i="53"/>
  <c r="AT23" i="53"/>
  <c r="AO9" i="53"/>
  <c r="AU23" i="53"/>
  <c r="AP9" i="53"/>
  <c r="AV23" i="53"/>
  <c r="AQ9" i="53"/>
  <c r="AW23" i="53"/>
  <c r="AR9" i="53"/>
  <c r="AX23" i="53"/>
  <c r="AS9" i="53"/>
  <c r="AY23" i="53"/>
  <c r="AT9" i="53"/>
  <c r="AZ23" i="53"/>
  <c r="AU9" i="53"/>
  <c r="BA23" i="53"/>
  <c r="AV9" i="53"/>
  <c r="BB23" i="53"/>
  <c r="AW9" i="53"/>
  <c r="BC23" i="53"/>
  <c r="AX9" i="53"/>
  <c r="BD23" i="53"/>
  <c r="AY9" i="53"/>
  <c r="BE23" i="53"/>
  <c r="AZ9" i="53"/>
  <c r="BF23" i="53"/>
  <c r="BA9" i="53"/>
  <c r="BG23" i="53"/>
  <c r="BB9" i="53"/>
  <c r="BH23" i="53"/>
  <c r="BC9" i="53"/>
  <c r="BI23" i="53"/>
  <c r="BD9" i="53"/>
  <c r="BJ23" i="53"/>
  <c r="BE9" i="53"/>
  <c r="BK23" i="53"/>
  <c r="BF9" i="53"/>
  <c r="BL23" i="53"/>
  <c r="BG9" i="53"/>
  <c r="BM23" i="53"/>
  <c r="BH9" i="53"/>
  <c r="BN23" i="53"/>
  <c r="AP23" i="53"/>
  <c r="AK10" i="53"/>
  <c r="AQ24" i="53"/>
  <c r="AL10" i="53"/>
  <c r="AR24" i="53"/>
  <c r="AM10" i="53"/>
  <c r="AS24" i="53"/>
  <c r="AN10" i="53"/>
  <c r="AT24" i="53"/>
  <c r="AO10" i="53"/>
  <c r="AU24" i="53"/>
  <c r="AP10" i="53"/>
  <c r="AV24" i="53"/>
  <c r="AQ10" i="53"/>
  <c r="AW24" i="53"/>
  <c r="AR10" i="53"/>
  <c r="AX24" i="53"/>
  <c r="AS10" i="53"/>
  <c r="AY24" i="53"/>
  <c r="AT10" i="53"/>
  <c r="AZ24" i="53"/>
  <c r="AU10" i="53"/>
  <c r="BA24" i="53"/>
  <c r="AV10" i="53"/>
  <c r="BB24" i="53"/>
  <c r="AW10" i="53"/>
  <c r="BC24" i="53"/>
  <c r="AX10" i="53"/>
  <c r="BD24" i="53"/>
  <c r="AY10" i="53"/>
  <c r="BE24" i="53"/>
  <c r="AZ10" i="53"/>
  <c r="BF24" i="53"/>
  <c r="BA10" i="53"/>
  <c r="BG24" i="53"/>
  <c r="BB10" i="53"/>
  <c r="BH24" i="53"/>
  <c r="BC10" i="53"/>
  <c r="BI24" i="53"/>
  <c r="BD10" i="53"/>
  <c r="BJ24" i="53"/>
  <c r="BE10" i="53"/>
  <c r="BK24" i="53"/>
  <c r="BF10" i="53"/>
  <c r="BL24" i="53"/>
  <c r="BG10" i="53"/>
  <c r="BM24" i="53"/>
  <c r="BH10" i="53"/>
  <c r="BN24" i="53"/>
  <c r="AP24" i="53"/>
  <c r="AK11" i="53"/>
  <c r="AQ25" i="53"/>
  <c r="AL11" i="53"/>
  <c r="AR25" i="53"/>
  <c r="AM11" i="53"/>
  <c r="AS25" i="53"/>
  <c r="AN11" i="53"/>
  <c r="AT25" i="53"/>
  <c r="AO11" i="53"/>
  <c r="AU25" i="53"/>
  <c r="AP11" i="53"/>
  <c r="AV25" i="53"/>
  <c r="AQ11" i="53"/>
  <c r="AW25" i="53"/>
  <c r="AR11" i="53"/>
  <c r="AX25" i="53"/>
  <c r="AS11" i="53"/>
  <c r="AY25" i="53"/>
  <c r="AT11" i="53"/>
  <c r="AZ25" i="53"/>
  <c r="AU11" i="53"/>
  <c r="BA25" i="53"/>
  <c r="AV11" i="53"/>
  <c r="BB25" i="53"/>
  <c r="AW11" i="53"/>
  <c r="BC25" i="53"/>
  <c r="AX11" i="53"/>
  <c r="BD25" i="53"/>
  <c r="AY11" i="53"/>
  <c r="BE25" i="53"/>
  <c r="AZ11" i="53"/>
  <c r="BF25" i="53"/>
  <c r="BA11" i="53"/>
  <c r="BG25" i="53"/>
  <c r="BB11" i="53"/>
  <c r="BH25" i="53"/>
  <c r="BC11" i="53"/>
  <c r="BI25" i="53"/>
  <c r="BD11" i="53"/>
  <c r="BJ25" i="53"/>
  <c r="BE11" i="53"/>
  <c r="BK25" i="53"/>
  <c r="BF11" i="53"/>
  <c r="BL25" i="53"/>
  <c r="BG11" i="53"/>
  <c r="BM25" i="53"/>
  <c r="BH11" i="53"/>
  <c r="BN25" i="53"/>
  <c r="AP25" i="53"/>
  <c r="AK12" i="53"/>
  <c r="AQ26" i="53"/>
  <c r="AL12" i="53"/>
  <c r="AR26" i="53"/>
  <c r="AM12" i="53"/>
  <c r="AS26" i="53"/>
  <c r="AN12" i="53"/>
  <c r="AT26" i="53"/>
  <c r="AO12" i="53"/>
  <c r="AU26" i="53"/>
  <c r="AP12" i="53"/>
  <c r="AV26" i="53"/>
  <c r="AQ12" i="53"/>
  <c r="AW26" i="53"/>
  <c r="AR12" i="53"/>
  <c r="AX26" i="53"/>
  <c r="AS12" i="53"/>
  <c r="AY26" i="53"/>
  <c r="AT12" i="53"/>
  <c r="AZ26" i="53"/>
  <c r="AU12" i="53"/>
  <c r="BA26" i="53"/>
  <c r="AV12" i="53"/>
  <c r="BB26" i="53"/>
  <c r="AW12" i="53"/>
  <c r="BC26" i="53"/>
  <c r="AX12" i="53"/>
  <c r="BD26" i="53"/>
  <c r="AY12" i="53"/>
  <c r="BE26" i="53"/>
  <c r="AZ12" i="53"/>
  <c r="BF26" i="53"/>
  <c r="BA12" i="53"/>
  <c r="BG26" i="53"/>
  <c r="BB12" i="53"/>
  <c r="BH26" i="53"/>
  <c r="BC12" i="53"/>
  <c r="BI26" i="53"/>
  <c r="BD12" i="53"/>
  <c r="BJ26" i="53"/>
  <c r="BE12" i="53"/>
  <c r="BK26" i="53"/>
  <c r="BF12" i="53"/>
  <c r="BL26" i="53"/>
  <c r="BG12" i="53"/>
  <c r="BM26" i="53"/>
  <c r="BH12" i="53"/>
  <c r="BN26" i="53"/>
  <c r="AP26" i="53"/>
  <c r="AK13" i="53"/>
  <c r="AQ27" i="53"/>
  <c r="AL13" i="53"/>
  <c r="AR27" i="53"/>
  <c r="AM13" i="53"/>
  <c r="AS27" i="53"/>
  <c r="AN13" i="53"/>
  <c r="AT27" i="53"/>
  <c r="AO13" i="53"/>
  <c r="AU27" i="53"/>
  <c r="AP13" i="53"/>
  <c r="AV27" i="53"/>
  <c r="AQ13" i="53"/>
  <c r="AW27" i="53"/>
  <c r="AR13" i="53"/>
  <c r="AX27" i="53"/>
  <c r="AS13" i="53"/>
  <c r="AY27" i="53"/>
  <c r="AT13" i="53"/>
  <c r="AZ27" i="53"/>
  <c r="AU13" i="53"/>
  <c r="BA27" i="53"/>
  <c r="AV13" i="53"/>
  <c r="BB27" i="53"/>
  <c r="AW13" i="53"/>
  <c r="BC27" i="53"/>
  <c r="AX13" i="53"/>
  <c r="BD27" i="53"/>
  <c r="AY13" i="53"/>
  <c r="BE27" i="53"/>
  <c r="AZ13" i="53"/>
  <c r="BF27" i="53"/>
  <c r="BA13" i="53"/>
  <c r="BG27" i="53"/>
  <c r="BB13" i="53"/>
  <c r="BH27" i="53"/>
  <c r="BC13" i="53"/>
  <c r="BI27" i="53"/>
  <c r="BD13" i="53"/>
  <c r="BJ27" i="53"/>
  <c r="BE13" i="53"/>
  <c r="BK27" i="53"/>
  <c r="BF13" i="53"/>
  <c r="BL27" i="53"/>
  <c r="BG13" i="53"/>
  <c r="BM27" i="53"/>
  <c r="BH13" i="53"/>
  <c r="BN27" i="53"/>
  <c r="AP27" i="53"/>
  <c r="AP28" i="53"/>
  <c r="AN16" i="53"/>
  <c r="AN17" i="53"/>
  <c r="AN18" i="53"/>
  <c r="AN20" i="53"/>
  <c r="AN21" i="53"/>
  <c r="AN22" i="53"/>
  <c r="AN23" i="53"/>
  <c r="AN24" i="53"/>
  <c r="AN25" i="53"/>
  <c r="AN26" i="53"/>
  <c r="AN27" i="53"/>
  <c r="AM16" i="53"/>
  <c r="AM17" i="53"/>
  <c r="AM18" i="53"/>
  <c r="AM20" i="53"/>
  <c r="AM21" i="53"/>
  <c r="AM22" i="53"/>
  <c r="AM23" i="53"/>
  <c r="AM24" i="53"/>
  <c r="AM25" i="53"/>
  <c r="AM26" i="53"/>
  <c r="AM27" i="53"/>
  <c r="AL16" i="53"/>
  <c r="AL17" i="53"/>
  <c r="AL18" i="53"/>
  <c r="AL20" i="53"/>
  <c r="AL21" i="53"/>
  <c r="AL22" i="53"/>
  <c r="AL23" i="53"/>
  <c r="AL24" i="53"/>
  <c r="AL25" i="53"/>
  <c r="AL26" i="53"/>
  <c r="AL27" i="53"/>
  <c r="AK16" i="53"/>
  <c r="AK17" i="53"/>
  <c r="AK18" i="53"/>
  <c r="AK20" i="53"/>
  <c r="AK21" i="53"/>
  <c r="AK22" i="53"/>
  <c r="AK23" i="53"/>
  <c r="AK24" i="53"/>
  <c r="AK25" i="53"/>
  <c r="AK26" i="53"/>
  <c r="AK27" i="53"/>
  <c r="Z2" i="53"/>
  <c r="AA2" i="53"/>
  <c r="AB2" i="53"/>
  <c r="AC2" i="53"/>
  <c r="AA16" i="53"/>
  <c r="Z3" i="53"/>
  <c r="AA3" i="53"/>
  <c r="AB3" i="53"/>
  <c r="AC3" i="53"/>
  <c r="AA17" i="53"/>
  <c r="Z4" i="53"/>
  <c r="AA4" i="53"/>
  <c r="AB4" i="53"/>
  <c r="AC4" i="53"/>
  <c r="AA18" i="53"/>
  <c r="Z5" i="53"/>
  <c r="AA5" i="53"/>
  <c r="AB5" i="53"/>
  <c r="AC5" i="53"/>
  <c r="AA19" i="53"/>
  <c r="Z6" i="53"/>
  <c r="AA6" i="53"/>
  <c r="AB6" i="53"/>
  <c r="AC6" i="53"/>
  <c r="AA20" i="53"/>
  <c r="Z7" i="53"/>
  <c r="AA7" i="53"/>
  <c r="AB7" i="53"/>
  <c r="AC7" i="53"/>
  <c r="AA21" i="53"/>
  <c r="Z8" i="53"/>
  <c r="AA8" i="53"/>
  <c r="AB8" i="53"/>
  <c r="AC8" i="53"/>
  <c r="AA22" i="53"/>
  <c r="Z9" i="53"/>
  <c r="AA9" i="53"/>
  <c r="AB9" i="53"/>
  <c r="AC9" i="53"/>
  <c r="AA23" i="53"/>
  <c r="Z10" i="53"/>
  <c r="AA10" i="53"/>
  <c r="AB10" i="53"/>
  <c r="AC10" i="53"/>
  <c r="AA24" i="53"/>
  <c r="Z11" i="53"/>
  <c r="AA11" i="53"/>
  <c r="AB11" i="53"/>
  <c r="AC11" i="53"/>
  <c r="AA25" i="53"/>
  <c r="Z12" i="53"/>
  <c r="AA12" i="53"/>
  <c r="AB12" i="53"/>
  <c r="AC12" i="53"/>
  <c r="AA26" i="53"/>
  <c r="Z13" i="53"/>
  <c r="AA13" i="53"/>
  <c r="AB13" i="53"/>
  <c r="AC13" i="53"/>
  <c r="AA27" i="53"/>
  <c r="AA28" i="53"/>
  <c r="Z16" i="53"/>
  <c r="Z17" i="53"/>
  <c r="Z18" i="53"/>
  <c r="Z19" i="53"/>
  <c r="Z20" i="53"/>
  <c r="Z21" i="53"/>
  <c r="Z22" i="53"/>
  <c r="Z23" i="53"/>
  <c r="Z24" i="53"/>
  <c r="Z25" i="53"/>
  <c r="Z26" i="53"/>
  <c r="Z27" i="53"/>
  <c r="Z28" i="53"/>
  <c r="S28" i="53"/>
  <c r="R28" i="53"/>
  <c r="Q28" i="53"/>
  <c r="P28" i="53"/>
  <c r="N28" i="53"/>
  <c r="M28" i="53"/>
  <c r="L28" i="53"/>
  <c r="K28" i="53"/>
  <c r="D27" i="53"/>
  <c r="N25" i="53"/>
  <c r="M25" i="53"/>
  <c r="L25" i="53"/>
  <c r="K25" i="53"/>
  <c r="D25" i="53"/>
  <c r="H16" i="53"/>
  <c r="D23" i="53"/>
  <c r="G16" i="53"/>
  <c r="D21" i="53"/>
  <c r="M19" i="53"/>
  <c r="W16" i="53"/>
  <c r="V16" i="53"/>
  <c r="U16" i="53"/>
  <c r="E50" i="52"/>
  <c r="A50" i="52"/>
  <c r="E49" i="52"/>
  <c r="A49" i="52"/>
  <c r="E48" i="52"/>
  <c r="A48" i="52"/>
  <c r="E47" i="52"/>
  <c r="A47" i="52"/>
  <c r="E46" i="52"/>
  <c r="A46" i="52"/>
  <c r="E45" i="52"/>
  <c r="A45" i="52"/>
  <c r="E44" i="52"/>
  <c r="A44" i="52"/>
  <c r="E43" i="52"/>
  <c r="A43" i="52"/>
  <c r="X15" i="52"/>
  <c r="E42" i="52"/>
  <c r="A42" i="52"/>
  <c r="X14" i="52"/>
  <c r="E41" i="52"/>
  <c r="A41" i="52"/>
  <c r="X13" i="52"/>
  <c r="E40" i="52"/>
  <c r="A40" i="52"/>
  <c r="X12" i="52"/>
  <c r="E39" i="52"/>
  <c r="A39" i="52"/>
  <c r="X11" i="52"/>
  <c r="X10" i="52"/>
  <c r="X9" i="52"/>
  <c r="R16" i="52"/>
  <c r="Q16" i="52"/>
  <c r="X8" i="52"/>
  <c r="X7" i="52"/>
  <c r="X4" i="52"/>
  <c r="X5" i="52"/>
  <c r="X6" i="52"/>
  <c r="AE2" i="52"/>
  <c r="AF2" i="52"/>
  <c r="AG2" i="52"/>
  <c r="AH2" i="52"/>
  <c r="AI2" i="52"/>
  <c r="AG16" i="52"/>
  <c r="AE3" i="52"/>
  <c r="AF3" i="52"/>
  <c r="AG3" i="52"/>
  <c r="AH3" i="52"/>
  <c r="AI3" i="52"/>
  <c r="AG17" i="52"/>
  <c r="AE4" i="52"/>
  <c r="AF4" i="52"/>
  <c r="AG4" i="52"/>
  <c r="AH4" i="52"/>
  <c r="AI4" i="52"/>
  <c r="AG18" i="52"/>
  <c r="AE5" i="52"/>
  <c r="AF5" i="52"/>
  <c r="AG5" i="52"/>
  <c r="AH5" i="52"/>
  <c r="AI5" i="52"/>
  <c r="AG19" i="52"/>
  <c r="AE6" i="52"/>
  <c r="AF6" i="52"/>
  <c r="AG6" i="52"/>
  <c r="AH6" i="52"/>
  <c r="AI6" i="52"/>
  <c r="AG20" i="52"/>
  <c r="AE7" i="52"/>
  <c r="AF7" i="52"/>
  <c r="AG7" i="52"/>
  <c r="AH7" i="52"/>
  <c r="AI7" i="52"/>
  <c r="AG21" i="52"/>
  <c r="AE8" i="52"/>
  <c r="AF8" i="52"/>
  <c r="AG8" i="52"/>
  <c r="AH8" i="52"/>
  <c r="AI8" i="52"/>
  <c r="AG22" i="52"/>
  <c r="AE9" i="52"/>
  <c r="AF9" i="52"/>
  <c r="AG9" i="52"/>
  <c r="AH9" i="52"/>
  <c r="AI9" i="52"/>
  <c r="AG23" i="52"/>
  <c r="AE10" i="52"/>
  <c r="AF10" i="52"/>
  <c r="AG10" i="52"/>
  <c r="AH10" i="52"/>
  <c r="AI10" i="52"/>
  <c r="AG24" i="52"/>
  <c r="AE11" i="52"/>
  <c r="AF11" i="52"/>
  <c r="AG11" i="52"/>
  <c r="AH11" i="52"/>
  <c r="AI11" i="52"/>
  <c r="AG25" i="52"/>
  <c r="AE12" i="52"/>
  <c r="AF12" i="52"/>
  <c r="AG12" i="52"/>
  <c r="AH12" i="52"/>
  <c r="AI12" i="52"/>
  <c r="AG26" i="52"/>
  <c r="AE13" i="52"/>
  <c r="AF13" i="52"/>
  <c r="AG13" i="52"/>
  <c r="AH13" i="52"/>
  <c r="AI13" i="52"/>
  <c r="AG27" i="52"/>
  <c r="AG28" i="52"/>
  <c r="AF16" i="52"/>
  <c r="AF17" i="52"/>
  <c r="AF18" i="52"/>
  <c r="AF19" i="52"/>
  <c r="AF20" i="52"/>
  <c r="AF21" i="52"/>
  <c r="AF22" i="52"/>
  <c r="AF23" i="52"/>
  <c r="AF24" i="52"/>
  <c r="AF25" i="52"/>
  <c r="AF26" i="52"/>
  <c r="AF27" i="52"/>
  <c r="AF28" i="52"/>
  <c r="AE27" i="52"/>
  <c r="D31" i="52"/>
  <c r="J29" i="52"/>
  <c r="I29" i="52"/>
  <c r="H29" i="52"/>
  <c r="G29" i="52"/>
  <c r="F16" i="52"/>
  <c r="D29" i="52"/>
  <c r="AK2" i="52"/>
  <c r="AQ16" i="52"/>
  <c r="AL2" i="52"/>
  <c r="AR16" i="52"/>
  <c r="AM2" i="52"/>
  <c r="AS16" i="52"/>
  <c r="AN2" i="52"/>
  <c r="AT16" i="52"/>
  <c r="AO2" i="52"/>
  <c r="AU16" i="52"/>
  <c r="AP2" i="52"/>
  <c r="AV16" i="52"/>
  <c r="AQ2" i="52"/>
  <c r="AW16" i="52"/>
  <c r="AR2" i="52"/>
  <c r="AX16" i="52"/>
  <c r="AS2" i="52"/>
  <c r="AY16" i="52"/>
  <c r="AT2" i="52"/>
  <c r="AZ16" i="52"/>
  <c r="AU2" i="52"/>
  <c r="BA16" i="52"/>
  <c r="AV2" i="52"/>
  <c r="BB16" i="52"/>
  <c r="AW2" i="52"/>
  <c r="BC16" i="52"/>
  <c r="AX2" i="52"/>
  <c r="BD16" i="52"/>
  <c r="AY2" i="52"/>
  <c r="BE16" i="52"/>
  <c r="AZ2" i="52"/>
  <c r="BF16" i="52"/>
  <c r="BA2" i="52"/>
  <c r="BG16" i="52"/>
  <c r="BB2" i="52"/>
  <c r="BH16" i="52"/>
  <c r="BC2" i="52"/>
  <c r="BI16" i="52"/>
  <c r="BD2" i="52"/>
  <c r="BJ16" i="52"/>
  <c r="BE2" i="52"/>
  <c r="BK16" i="52"/>
  <c r="BF2" i="52"/>
  <c r="BL16" i="52"/>
  <c r="BG2" i="52"/>
  <c r="BM16" i="52"/>
  <c r="BH2" i="52"/>
  <c r="BN16" i="52"/>
  <c r="AP16" i="52"/>
  <c r="AK3" i="52"/>
  <c r="AQ17" i="52"/>
  <c r="AL3" i="52"/>
  <c r="AR17" i="52"/>
  <c r="AM3" i="52"/>
  <c r="AS17" i="52"/>
  <c r="AN3" i="52"/>
  <c r="AT17" i="52"/>
  <c r="AO3" i="52"/>
  <c r="AU17" i="52"/>
  <c r="AP3" i="52"/>
  <c r="AV17" i="52"/>
  <c r="AQ3" i="52"/>
  <c r="AW17" i="52"/>
  <c r="AR3" i="52"/>
  <c r="AX17" i="52"/>
  <c r="AS3" i="52"/>
  <c r="AY17" i="52"/>
  <c r="AT3" i="52"/>
  <c r="AZ17" i="52"/>
  <c r="AU3" i="52"/>
  <c r="BA17" i="52"/>
  <c r="AV3" i="52"/>
  <c r="BB17" i="52"/>
  <c r="AW3" i="52"/>
  <c r="BC17" i="52"/>
  <c r="AX3" i="52"/>
  <c r="BD17" i="52"/>
  <c r="AY3" i="52"/>
  <c r="BE17" i="52"/>
  <c r="AZ3" i="52"/>
  <c r="BF17" i="52"/>
  <c r="BA3" i="52"/>
  <c r="BG17" i="52"/>
  <c r="BB3" i="52"/>
  <c r="BH17" i="52"/>
  <c r="BC3" i="52"/>
  <c r="BI17" i="52"/>
  <c r="BD3" i="52"/>
  <c r="BJ17" i="52"/>
  <c r="BE3" i="52"/>
  <c r="BK17" i="52"/>
  <c r="BF3" i="52"/>
  <c r="BL17" i="52"/>
  <c r="BG3" i="52"/>
  <c r="BM17" i="52"/>
  <c r="BH3" i="52"/>
  <c r="BN17" i="52"/>
  <c r="AP17" i="52"/>
  <c r="AK4" i="52"/>
  <c r="AQ18" i="52"/>
  <c r="AL4" i="52"/>
  <c r="AR18" i="52"/>
  <c r="AM4" i="52"/>
  <c r="AS18" i="52"/>
  <c r="AN4" i="52"/>
  <c r="AT18" i="52"/>
  <c r="AO4" i="52"/>
  <c r="AU18" i="52"/>
  <c r="AP4" i="52"/>
  <c r="AV18" i="52"/>
  <c r="AQ4" i="52"/>
  <c r="AW18" i="52"/>
  <c r="AR4" i="52"/>
  <c r="AX18" i="52"/>
  <c r="AS4" i="52"/>
  <c r="AY18" i="52"/>
  <c r="AT4" i="52"/>
  <c r="AZ18" i="52"/>
  <c r="AU4" i="52"/>
  <c r="BA18" i="52"/>
  <c r="AV4" i="52"/>
  <c r="BB18" i="52"/>
  <c r="AW4" i="52"/>
  <c r="BC18" i="52"/>
  <c r="AX4" i="52"/>
  <c r="BD18" i="52"/>
  <c r="AY4" i="52"/>
  <c r="BE18" i="52"/>
  <c r="AZ4" i="52"/>
  <c r="BF18" i="52"/>
  <c r="BA4" i="52"/>
  <c r="BG18" i="52"/>
  <c r="BB4" i="52"/>
  <c r="BH18" i="52"/>
  <c r="BC4" i="52"/>
  <c r="BI18" i="52"/>
  <c r="BD4" i="52"/>
  <c r="BJ18" i="52"/>
  <c r="BE4" i="52"/>
  <c r="BK18" i="52"/>
  <c r="BF4" i="52"/>
  <c r="BL18" i="52"/>
  <c r="BG4" i="52"/>
  <c r="BM18" i="52"/>
  <c r="BH4" i="52"/>
  <c r="BN18" i="52"/>
  <c r="AP18" i="52"/>
  <c r="AK5" i="52"/>
  <c r="AQ19" i="52"/>
  <c r="AL5" i="52"/>
  <c r="AR19" i="52"/>
  <c r="AM5" i="52"/>
  <c r="AS19" i="52"/>
  <c r="AN5" i="52"/>
  <c r="AT19" i="52"/>
  <c r="AO5" i="52"/>
  <c r="AU19" i="52"/>
  <c r="AP5" i="52"/>
  <c r="AV19" i="52"/>
  <c r="AQ5" i="52"/>
  <c r="AW19" i="52"/>
  <c r="AR5" i="52"/>
  <c r="AX19" i="52"/>
  <c r="AS5" i="52"/>
  <c r="AY19" i="52"/>
  <c r="AT5" i="52"/>
  <c r="AZ19" i="52"/>
  <c r="AU5" i="52"/>
  <c r="BA19" i="52"/>
  <c r="AV5" i="52"/>
  <c r="BB19" i="52"/>
  <c r="AW5" i="52"/>
  <c r="BC19" i="52"/>
  <c r="AX5" i="52"/>
  <c r="BD19" i="52"/>
  <c r="AY5" i="52"/>
  <c r="BE19" i="52"/>
  <c r="AZ5" i="52"/>
  <c r="BF19" i="52"/>
  <c r="BA5" i="52"/>
  <c r="BG19" i="52"/>
  <c r="BB5" i="52"/>
  <c r="BH19" i="52"/>
  <c r="BC5" i="52"/>
  <c r="BI19" i="52"/>
  <c r="BD5" i="52"/>
  <c r="BJ19" i="52"/>
  <c r="BE5" i="52"/>
  <c r="BK19" i="52"/>
  <c r="BF5" i="52"/>
  <c r="BL19" i="52"/>
  <c r="BG5" i="52"/>
  <c r="BM19" i="52"/>
  <c r="BH5" i="52"/>
  <c r="BN19" i="52"/>
  <c r="AP19" i="52"/>
  <c r="AK6" i="52"/>
  <c r="AQ20" i="52"/>
  <c r="AL6" i="52"/>
  <c r="AR20" i="52"/>
  <c r="AM6" i="52"/>
  <c r="AS20" i="52"/>
  <c r="AN6" i="52"/>
  <c r="AT20" i="52"/>
  <c r="AO6" i="52"/>
  <c r="AU20" i="52"/>
  <c r="AP6" i="52"/>
  <c r="AV20" i="52"/>
  <c r="AQ6" i="52"/>
  <c r="AW20" i="52"/>
  <c r="AR6" i="52"/>
  <c r="AX20" i="52"/>
  <c r="AS6" i="52"/>
  <c r="AY20" i="52"/>
  <c r="AT6" i="52"/>
  <c r="AZ20" i="52"/>
  <c r="AU6" i="52"/>
  <c r="BA20" i="52"/>
  <c r="AV6" i="52"/>
  <c r="BB20" i="52"/>
  <c r="AW6" i="52"/>
  <c r="BC20" i="52"/>
  <c r="AX6" i="52"/>
  <c r="BD20" i="52"/>
  <c r="AY6" i="52"/>
  <c r="BE20" i="52"/>
  <c r="AZ6" i="52"/>
  <c r="BF20" i="52"/>
  <c r="BA6" i="52"/>
  <c r="BG20" i="52"/>
  <c r="BB6" i="52"/>
  <c r="BH20" i="52"/>
  <c r="BC6" i="52"/>
  <c r="BI20" i="52"/>
  <c r="BD6" i="52"/>
  <c r="BJ20" i="52"/>
  <c r="BE6" i="52"/>
  <c r="BK20" i="52"/>
  <c r="BF6" i="52"/>
  <c r="BL20" i="52"/>
  <c r="BG6" i="52"/>
  <c r="BM20" i="52"/>
  <c r="BH6" i="52"/>
  <c r="BN20" i="52"/>
  <c r="AP20" i="52"/>
  <c r="AK7" i="52"/>
  <c r="AQ21" i="52"/>
  <c r="AL7" i="52"/>
  <c r="AR21" i="52"/>
  <c r="AM7" i="52"/>
  <c r="AS21" i="52"/>
  <c r="AN7" i="52"/>
  <c r="AT21" i="52"/>
  <c r="AO7" i="52"/>
  <c r="AU21" i="52"/>
  <c r="AP7" i="52"/>
  <c r="AV21" i="52"/>
  <c r="AQ7" i="52"/>
  <c r="AW21" i="52"/>
  <c r="AR7" i="52"/>
  <c r="AX21" i="52"/>
  <c r="AS7" i="52"/>
  <c r="AY21" i="52"/>
  <c r="AT7" i="52"/>
  <c r="AZ21" i="52"/>
  <c r="AU7" i="52"/>
  <c r="BA21" i="52"/>
  <c r="AV7" i="52"/>
  <c r="BB21" i="52"/>
  <c r="AW7" i="52"/>
  <c r="BC21" i="52"/>
  <c r="AX7" i="52"/>
  <c r="BD21" i="52"/>
  <c r="AY7" i="52"/>
  <c r="BE21" i="52"/>
  <c r="AZ7" i="52"/>
  <c r="BF21" i="52"/>
  <c r="BA7" i="52"/>
  <c r="BG21" i="52"/>
  <c r="BB7" i="52"/>
  <c r="BH21" i="52"/>
  <c r="BC7" i="52"/>
  <c r="BI21" i="52"/>
  <c r="BD7" i="52"/>
  <c r="BJ21" i="52"/>
  <c r="BE7" i="52"/>
  <c r="BK21" i="52"/>
  <c r="BF7" i="52"/>
  <c r="BL21" i="52"/>
  <c r="BG7" i="52"/>
  <c r="BM21" i="52"/>
  <c r="BH7" i="52"/>
  <c r="BN21" i="52"/>
  <c r="AP21" i="52"/>
  <c r="AK8" i="52"/>
  <c r="AQ22" i="52"/>
  <c r="AL8" i="52"/>
  <c r="AR22" i="52"/>
  <c r="AM8" i="52"/>
  <c r="AS22" i="52"/>
  <c r="AN8" i="52"/>
  <c r="AT22" i="52"/>
  <c r="AO8" i="52"/>
  <c r="AU22" i="52"/>
  <c r="AP8" i="52"/>
  <c r="AV22" i="52"/>
  <c r="AQ8" i="52"/>
  <c r="AW22" i="52"/>
  <c r="AR8" i="52"/>
  <c r="AX22" i="52"/>
  <c r="AS8" i="52"/>
  <c r="AY22" i="52"/>
  <c r="AT8" i="52"/>
  <c r="AZ22" i="52"/>
  <c r="AU8" i="52"/>
  <c r="BA22" i="52"/>
  <c r="AV8" i="52"/>
  <c r="BB22" i="52"/>
  <c r="AW8" i="52"/>
  <c r="BC22" i="52"/>
  <c r="AX8" i="52"/>
  <c r="BD22" i="52"/>
  <c r="AY8" i="52"/>
  <c r="BE22" i="52"/>
  <c r="AZ8" i="52"/>
  <c r="BF22" i="52"/>
  <c r="BA8" i="52"/>
  <c r="BG22" i="52"/>
  <c r="BB8" i="52"/>
  <c r="BH22" i="52"/>
  <c r="BC8" i="52"/>
  <c r="BI22" i="52"/>
  <c r="BD8" i="52"/>
  <c r="BJ22" i="52"/>
  <c r="BE8" i="52"/>
  <c r="BK22" i="52"/>
  <c r="BF8" i="52"/>
  <c r="BL22" i="52"/>
  <c r="BG8" i="52"/>
  <c r="BM22" i="52"/>
  <c r="BH8" i="52"/>
  <c r="BN22" i="52"/>
  <c r="AP22" i="52"/>
  <c r="AK9" i="52"/>
  <c r="AQ23" i="52"/>
  <c r="AL9" i="52"/>
  <c r="AR23" i="52"/>
  <c r="AM9" i="52"/>
  <c r="AS23" i="52"/>
  <c r="AN9" i="52"/>
  <c r="AT23" i="52"/>
  <c r="AO9" i="52"/>
  <c r="AU23" i="52"/>
  <c r="AP9" i="52"/>
  <c r="AV23" i="52"/>
  <c r="AQ9" i="52"/>
  <c r="AW23" i="52"/>
  <c r="AR9" i="52"/>
  <c r="AX23" i="52"/>
  <c r="AS9" i="52"/>
  <c r="AY23" i="52"/>
  <c r="AT9" i="52"/>
  <c r="AZ23" i="52"/>
  <c r="AU9" i="52"/>
  <c r="BA23" i="52"/>
  <c r="AV9" i="52"/>
  <c r="BB23" i="52"/>
  <c r="AW9" i="52"/>
  <c r="BC23" i="52"/>
  <c r="AX9" i="52"/>
  <c r="BD23" i="52"/>
  <c r="AY9" i="52"/>
  <c r="BE23" i="52"/>
  <c r="AZ9" i="52"/>
  <c r="BF23" i="52"/>
  <c r="BA9" i="52"/>
  <c r="BG23" i="52"/>
  <c r="BB9" i="52"/>
  <c r="BH23" i="52"/>
  <c r="BC9" i="52"/>
  <c r="BI23" i="52"/>
  <c r="BD9" i="52"/>
  <c r="BJ23" i="52"/>
  <c r="BE9" i="52"/>
  <c r="BK23" i="52"/>
  <c r="BF9" i="52"/>
  <c r="BL23" i="52"/>
  <c r="BG9" i="52"/>
  <c r="BM23" i="52"/>
  <c r="BH9" i="52"/>
  <c r="BN23" i="52"/>
  <c r="AP23" i="52"/>
  <c r="AK10" i="52"/>
  <c r="AQ24" i="52"/>
  <c r="AL10" i="52"/>
  <c r="AR24" i="52"/>
  <c r="AM10" i="52"/>
  <c r="AS24" i="52"/>
  <c r="AN10" i="52"/>
  <c r="AT24" i="52"/>
  <c r="AO10" i="52"/>
  <c r="AU24" i="52"/>
  <c r="AP10" i="52"/>
  <c r="AV24" i="52"/>
  <c r="AQ10" i="52"/>
  <c r="AW24" i="52"/>
  <c r="AR10" i="52"/>
  <c r="AX24" i="52"/>
  <c r="AS10" i="52"/>
  <c r="AY24" i="52"/>
  <c r="AT10" i="52"/>
  <c r="AZ24" i="52"/>
  <c r="AU10" i="52"/>
  <c r="BA24" i="52"/>
  <c r="AV10" i="52"/>
  <c r="BB24" i="52"/>
  <c r="AW10" i="52"/>
  <c r="BC24" i="52"/>
  <c r="AX10" i="52"/>
  <c r="BD24" i="52"/>
  <c r="AY10" i="52"/>
  <c r="BE24" i="52"/>
  <c r="AZ10" i="52"/>
  <c r="BF24" i="52"/>
  <c r="BA10" i="52"/>
  <c r="BG24" i="52"/>
  <c r="BB10" i="52"/>
  <c r="BH24" i="52"/>
  <c r="BC10" i="52"/>
  <c r="BI24" i="52"/>
  <c r="BD10" i="52"/>
  <c r="BJ24" i="52"/>
  <c r="BE10" i="52"/>
  <c r="BK24" i="52"/>
  <c r="BF10" i="52"/>
  <c r="BL24" i="52"/>
  <c r="BG10" i="52"/>
  <c r="BM24" i="52"/>
  <c r="BH10" i="52"/>
  <c r="BN24" i="52"/>
  <c r="AP24" i="52"/>
  <c r="AK11" i="52"/>
  <c r="AQ25" i="52"/>
  <c r="AL11" i="52"/>
  <c r="AR25" i="52"/>
  <c r="AM11" i="52"/>
  <c r="AS25" i="52"/>
  <c r="AN11" i="52"/>
  <c r="AT25" i="52"/>
  <c r="AO11" i="52"/>
  <c r="AU25" i="52"/>
  <c r="AP11" i="52"/>
  <c r="AV25" i="52"/>
  <c r="AQ11" i="52"/>
  <c r="AW25" i="52"/>
  <c r="AR11" i="52"/>
  <c r="AX25" i="52"/>
  <c r="AS11" i="52"/>
  <c r="AY25" i="52"/>
  <c r="AT11" i="52"/>
  <c r="AZ25" i="52"/>
  <c r="AU11" i="52"/>
  <c r="BA25" i="52"/>
  <c r="AV11" i="52"/>
  <c r="BB25" i="52"/>
  <c r="AW11" i="52"/>
  <c r="BC25" i="52"/>
  <c r="AX11" i="52"/>
  <c r="BD25" i="52"/>
  <c r="AY11" i="52"/>
  <c r="BE25" i="52"/>
  <c r="AZ11" i="52"/>
  <c r="BF25" i="52"/>
  <c r="BA11" i="52"/>
  <c r="BG25" i="52"/>
  <c r="BB11" i="52"/>
  <c r="BH25" i="52"/>
  <c r="BC11" i="52"/>
  <c r="BI25" i="52"/>
  <c r="BD11" i="52"/>
  <c r="BJ25" i="52"/>
  <c r="BE11" i="52"/>
  <c r="BK25" i="52"/>
  <c r="BF11" i="52"/>
  <c r="BL25" i="52"/>
  <c r="BG11" i="52"/>
  <c r="BM25" i="52"/>
  <c r="BH11" i="52"/>
  <c r="BN25" i="52"/>
  <c r="AP25" i="52"/>
  <c r="AK12" i="52"/>
  <c r="AQ26" i="52"/>
  <c r="AL12" i="52"/>
  <c r="AR26" i="52"/>
  <c r="AM12" i="52"/>
  <c r="AS26" i="52"/>
  <c r="AN12" i="52"/>
  <c r="AT26" i="52"/>
  <c r="AO12" i="52"/>
  <c r="AU26" i="52"/>
  <c r="AP12" i="52"/>
  <c r="AV26" i="52"/>
  <c r="AQ12" i="52"/>
  <c r="AW26" i="52"/>
  <c r="AR12" i="52"/>
  <c r="AX26" i="52"/>
  <c r="AS12" i="52"/>
  <c r="AY26" i="52"/>
  <c r="AT12" i="52"/>
  <c r="AZ26" i="52"/>
  <c r="AU12" i="52"/>
  <c r="BA26" i="52"/>
  <c r="AV12" i="52"/>
  <c r="BB26" i="52"/>
  <c r="AW12" i="52"/>
  <c r="BC26" i="52"/>
  <c r="AX12" i="52"/>
  <c r="BD26" i="52"/>
  <c r="AY12" i="52"/>
  <c r="BE26" i="52"/>
  <c r="AZ12" i="52"/>
  <c r="BF26" i="52"/>
  <c r="BA12" i="52"/>
  <c r="BG26" i="52"/>
  <c r="BB12" i="52"/>
  <c r="BH26" i="52"/>
  <c r="BC12" i="52"/>
  <c r="BI26" i="52"/>
  <c r="BD12" i="52"/>
  <c r="BJ26" i="52"/>
  <c r="BE12" i="52"/>
  <c r="BK26" i="52"/>
  <c r="BF12" i="52"/>
  <c r="BL26" i="52"/>
  <c r="BG12" i="52"/>
  <c r="BM26" i="52"/>
  <c r="BH12" i="52"/>
  <c r="BN26" i="52"/>
  <c r="AP26" i="52"/>
  <c r="AK13" i="52"/>
  <c r="AQ27" i="52"/>
  <c r="AL13" i="52"/>
  <c r="AR27" i="52"/>
  <c r="AM13" i="52"/>
  <c r="AS27" i="52"/>
  <c r="AN13" i="52"/>
  <c r="AT27" i="52"/>
  <c r="AO13" i="52"/>
  <c r="AU27" i="52"/>
  <c r="AP13" i="52"/>
  <c r="AV27" i="52"/>
  <c r="AQ13" i="52"/>
  <c r="AW27" i="52"/>
  <c r="AR13" i="52"/>
  <c r="AX27" i="52"/>
  <c r="AS13" i="52"/>
  <c r="AY27" i="52"/>
  <c r="AT13" i="52"/>
  <c r="AZ27" i="52"/>
  <c r="AU13" i="52"/>
  <c r="BA27" i="52"/>
  <c r="AV13" i="52"/>
  <c r="BB27" i="52"/>
  <c r="AW13" i="52"/>
  <c r="BC27" i="52"/>
  <c r="AX13" i="52"/>
  <c r="BD27" i="52"/>
  <c r="AY13" i="52"/>
  <c r="BE27" i="52"/>
  <c r="AZ13" i="52"/>
  <c r="BF27" i="52"/>
  <c r="BA13" i="52"/>
  <c r="BG27" i="52"/>
  <c r="BB13" i="52"/>
  <c r="BH27" i="52"/>
  <c r="BC13" i="52"/>
  <c r="BI27" i="52"/>
  <c r="BD13" i="52"/>
  <c r="BJ27" i="52"/>
  <c r="BE13" i="52"/>
  <c r="BK27" i="52"/>
  <c r="BF13" i="52"/>
  <c r="BL27" i="52"/>
  <c r="BG13" i="52"/>
  <c r="BM27" i="52"/>
  <c r="BH13" i="52"/>
  <c r="BN27" i="52"/>
  <c r="AP27" i="52"/>
  <c r="AP28" i="52"/>
  <c r="AN16" i="52"/>
  <c r="AN17" i="52"/>
  <c r="AN18" i="52"/>
  <c r="AN19" i="52"/>
  <c r="AN20" i="52"/>
  <c r="AN21" i="52"/>
  <c r="AN22" i="52"/>
  <c r="AN23" i="52"/>
  <c r="AN24" i="52"/>
  <c r="AN25" i="52"/>
  <c r="AN26" i="52"/>
  <c r="AN27" i="52"/>
  <c r="AN28" i="52"/>
  <c r="AM16" i="52"/>
  <c r="AM17" i="52"/>
  <c r="AM18" i="52"/>
  <c r="AM19" i="52"/>
  <c r="AM20" i="52"/>
  <c r="AM21" i="52"/>
  <c r="AM22" i="52"/>
  <c r="AM23" i="52"/>
  <c r="AM24" i="52"/>
  <c r="AM25" i="52"/>
  <c r="AM26" i="52"/>
  <c r="AM27" i="52"/>
  <c r="AM28" i="52"/>
  <c r="AL16" i="52"/>
  <c r="AL17" i="52"/>
  <c r="AL18" i="52"/>
  <c r="AL19" i="52"/>
  <c r="AL20" i="52"/>
  <c r="AL21" i="52"/>
  <c r="AL22" i="52"/>
  <c r="AL23" i="52"/>
  <c r="AL24" i="52"/>
  <c r="AL25" i="52"/>
  <c r="AL26" i="52"/>
  <c r="AL27" i="52"/>
  <c r="AL28" i="52"/>
  <c r="AK16" i="52"/>
  <c r="AK17" i="52"/>
  <c r="AK18" i="52"/>
  <c r="AK19" i="52"/>
  <c r="AK20" i="52"/>
  <c r="AK21" i="52"/>
  <c r="AK22" i="52"/>
  <c r="AK23" i="52"/>
  <c r="AK24" i="52"/>
  <c r="AK25" i="52"/>
  <c r="AK26" i="52"/>
  <c r="AK27" i="52"/>
  <c r="AK28" i="52"/>
  <c r="Z2" i="52"/>
  <c r="AA2" i="52"/>
  <c r="AB2" i="52"/>
  <c r="AC2" i="52"/>
  <c r="AA16" i="52"/>
  <c r="Z3" i="52"/>
  <c r="AA3" i="52"/>
  <c r="AB3" i="52"/>
  <c r="AC3" i="52"/>
  <c r="AA17" i="52"/>
  <c r="Z4" i="52"/>
  <c r="AA4" i="52"/>
  <c r="AB4" i="52"/>
  <c r="AC4" i="52"/>
  <c r="AA18" i="52"/>
  <c r="Z5" i="52"/>
  <c r="AA5" i="52"/>
  <c r="AB5" i="52"/>
  <c r="AC5" i="52"/>
  <c r="AA19" i="52"/>
  <c r="Z6" i="52"/>
  <c r="AA6" i="52"/>
  <c r="AB6" i="52"/>
  <c r="AC6" i="52"/>
  <c r="AA20" i="52"/>
  <c r="Z7" i="52"/>
  <c r="AA7" i="52"/>
  <c r="AB7" i="52"/>
  <c r="AC7" i="52"/>
  <c r="AA21" i="52"/>
  <c r="Z8" i="52"/>
  <c r="AA8" i="52"/>
  <c r="AB8" i="52"/>
  <c r="AC8" i="52"/>
  <c r="AA22" i="52"/>
  <c r="Z9" i="52"/>
  <c r="AA9" i="52"/>
  <c r="AB9" i="52"/>
  <c r="AC9" i="52"/>
  <c r="AA23" i="52"/>
  <c r="Z10" i="52"/>
  <c r="AA10" i="52"/>
  <c r="AB10" i="52"/>
  <c r="AC10" i="52"/>
  <c r="AA24" i="52"/>
  <c r="Z11" i="52"/>
  <c r="AA11" i="52"/>
  <c r="AB11" i="52"/>
  <c r="AC11" i="52"/>
  <c r="AA25" i="52"/>
  <c r="Z12" i="52"/>
  <c r="AA12" i="52"/>
  <c r="AB12" i="52"/>
  <c r="AC12" i="52"/>
  <c r="AA26" i="52"/>
  <c r="Z13" i="52"/>
  <c r="AA13" i="52"/>
  <c r="AB13" i="52"/>
  <c r="AC13" i="52"/>
  <c r="AA27" i="52"/>
  <c r="AA28" i="52"/>
  <c r="Z16" i="52"/>
  <c r="Z17" i="52"/>
  <c r="Z18" i="52"/>
  <c r="Z19" i="52"/>
  <c r="Z20" i="52"/>
  <c r="Z21" i="52"/>
  <c r="Z22" i="52"/>
  <c r="Z23" i="52"/>
  <c r="Z24" i="52"/>
  <c r="Z25" i="52"/>
  <c r="Z26" i="52"/>
  <c r="Z27" i="52"/>
  <c r="Z28" i="52"/>
  <c r="S28" i="52"/>
  <c r="R28" i="52"/>
  <c r="Q28" i="52"/>
  <c r="P28" i="52"/>
  <c r="N28" i="52"/>
  <c r="M28" i="52"/>
  <c r="L28" i="52"/>
  <c r="K28" i="52"/>
  <c r="D27" i="52"/>
  <c r="G26" i="52"/>
  <c r="N25" i="52"/>
  <c r="M25" i="52"/>
  <c r="L25" i="52"/>
  <c r="K25" i="52"/>
  <c r="D25" i="52"/>
  <c r="G24" i="52"/>
  <c r="H16" i="52"/>
  <c r="D23" i="52"/>
  <c r="G22" i="52"/>
  <c r="G16" i="52"/>
  <c r="D21" i="52"/>
  <c r="G20" i="52"/>
  <c r="M19" i="52"/>
  <c r="E16" i="52"/>
  <c r="W16" i="52"/>
  <c r="V16" i="52"/>
  <c r="U16" i="52"/>
  <c r="M16" i="52"/>
  <c r="E50" i="51"/>
  <c r="A50" i="51"/>
  <c r="E49" i="51"/>
  <c r="C49" i="51"/>
  <c r="AE26" i="51"/>
  <c r="A49" i="51"/>
  <c r="E47" i="51"/>
  <c r="A47" i="51"/>
  <c r="E46" i="51"/>
  <c r="A46" i="51"/>
  <c r="E45" i="51"/>
  <c r="A45" i="51"/>
  <c r="E44" i="51"/>
  <c r="A44" i="51"/>
  <c r="E43" i="51"/>
  <c r="A43" i="51"/>
  <c r="E42" i="51"/>
  <c r="A42" i="51"/>
  <c r="E41" i="51"/>
  <c r="A41" i="51"/>
  <c r="E40" i="51"/>
  <c r="A40" i="51"/>
  <c r="E39" i="51"/>
  <c r="A39" i="51"/>
  <c r="J29" i="51"/>
  <c r="I29" i="51"/>
  <c r="H29" i="51"/>
  <c r="G29" i="51"/>
  <c r="F16" i="51"/>
  <c r="AQ16" i="51"/>
  <c r="AL2" i="51"/>
  <c r="AR16" i="51"/>
  <c r="AS16" i="51"/>
  <c r="AT16" i="51"/>
  <c r="AU16" i="51"/>
  <c r="AV16" i="51"/>
  <c r="AW16" i="51"/>
  <c r="AX16" i="51"/>
  <c r="AY16" i="51"/>
  <c r="AZ16" i="51"/>
  <c r="BA16" i="51"/>
  <c r="BB16" i="51"/>
  <c r="BC16" i="51"/>
  <c r="BD16" i="51"/>
  <c r="BE16" i="51"/>
  <c r="BF16" i="51"/>
  <c r="BG16" i="51"/>
  <c r="BH16" i="51"/>
  <c r="BI16" i="51"/>
  <c r="BJ16" i="51"/>
  <c r="BK16" i="51"/>
  <c r="BL16" i="51"/>
  <c r="BM16" i="51"/>
  <c r="BN16" i="51"/>
  <c r="AP16" i="51"/>
  <c r="AK3" i="51"/>
  <c r="AQ17" i="51"/>
  <c r="AL3" i="51"/>
  <c r="AR17" i="51"/>
  <c r="AM3" i="51"/>
  <c r="AS17" i="51"/>
  <c r="AN3" i="51"/>
  <c r="AT17" i="51"/>
  <c r="AO3" i="51"/>
  <c r="AU17" i="51"/>
  <c r="AP3" i="51"/>
  <c r="AV17" i="51"/>
  <c r="AQ3" i="51"/>
  <c r="AW17" i="51"/>
  <c r="AR3" i="51"/>
  <c r="AX17" i="51"/>
  <c r="AS3" i="51"/>
  <c r="AY17" i="51"/>
  <c r="AT3" i="51"/>
  <c r="AZ17" i="51"/>
  <c r="AU3" i="51"/>
  <c r="BA17" i="51"/>
  <c r="AV3" i="51"/>
  <c r="BB17" i="51"/>
  <c r="AW3" i="51"/>
  <c r="BC17" i="51"/>
  <c r="AX3" i="51"/>
  <c r="BD17" i="51"/>
  <c r="AY3" i="51"/>
  <c r="BE17" i="51"/>
  <c r="AZ3" i="51"/>
  <c r="BF17" i="51"/>
  <c r="BA3" i="51"/>
  <c r="BG17" i="51"/>
  <c r="BB3" i="51"/>
  <c r="BH17" i="51"/>
  <c r="BC3" i="51"/>
  <c r="BI17" i="51"/>
  <c r="BD3" i="51"/>
  <c r="BJ17" i="51"/>
  <c r="BE3" i="51"/>
  <c r="BK17" i="51"/>
  <c r="BF3" i="51"/>
  <c r="BL17" i="51"/>
  <c r="BG3" i="51"/>
  <c r="BM17" i="51"/>
  <c r="BH3" i="51"/>
  <c r="BN17" i="51"/>
  <c r="AP17" i="51"/>
  <c r="AK4" i="51"/>
  <c r="AQ18" i="51"/>
  <c r="AL4" i="51"/>
  <c r="AR18" i="51"/>
  <c r="AM4" i="51"/>
  <c r="AS18" i="51"/>
  <c r="AN4" i="51"/>
  <c r="AT18" i="51"/>
  <c r="AO4" i="51"/>
  <c r="AU18" i="51"/>
  <c r="AP4" i="51"/>
  <c r="AV18" i="51"/>
  <c r="AQ4" i="51"/>
  <c r="AW18" i="51"/>
  <c r="AR4" i="51"/>
  <c r="AX18" i="51"/>
  <c r="AS4" i="51"/>
  <c r="AY18" i="51"/>
  <c r="AT4" i="51"/>
  <c r="AZ18" i="51"/>
  <c r="AU4" i="51"/>
  <c r="BA18" i="51"/>
  <c r="AV4" i="51"/>
  <c r="BB18" i="51"/>
  <c r="AW4" i="51"/>
  <c r="BC18" i="51"/>
  <c r="AX4" i="51"/>
  <c r="BD18" i="51"/>
  <c r="AY4" i="51"/>
  <c r="BE18" i="51"/>
  <c r="AZ4" i="51"/>
  <c r="BF18" i="51"/>
  <c r="BA4" i="51"/>
  <c r="BG18" i="51"/>
  <c r="BB4" i="51"/>
  <c r="BH18" i="51"/>
  <c r="BC4" i="51"/>
  <c r="BI18" i="51"/>
  <c r="BD4" i="51"/>
  <c r="BJ18" i="51"/>
  <c r="BE4" i="51"/>
  <c r="BK18" i="51"/>
  <c r="BF4" i="51"/>
  <c r="BL18" i="51"/>
  <c r="BG4" i="51"/>
  <c r="BM18" i="51"/>
  <c r="BH4" i="51"/>
  <c r="BN18" i="51"/>
  <c r="AP18" i="51"/>
  <c r="AK5" i="51"/>
  <c r="AQ19" i="51"/>
  <c r="AL5" i="51"/>
  <c r="AR19" i="51"/>
  <c r="AM5" i="51"/>
  <c r="AS19" i="51"/>
  <c r="AN5" i="51"/>
  <c r="AT19" i="51"/>
  <c r="AO5" i="51"/>
  <c r="AU19" i="51"/>
  <c r="AP5" i="51"/>
  <c r="AV19" i="51"/>
  <c r="AQ5" i="51"/>
  <c r="AW19" i="51"/>
  <c r="AR5" i="51"/>
  <c r="AX19" i="51"/>
  <c r="AS5" i="51"/>
  <c r="AY19" i="51"/>
  <c r="AT5" i="51"/>
  <c r="AZ19" i="51"/>
  <c r="AU5" i="51"/>
  <c r="BA19" i="51"/>
  <c r="AV5" i="51"/>
  <c r="BB19" i="51"/>
  <c r="AW5" i="51"/>
  <c r="BC19" i="51"/>
  <c r="AX5" i="51"/>
  <c r="BD19" i="51"/>
  <c r="AY5" i="51"/>
  <c r="BE19" i="51"/>
  <c r="AZ5" i="51"/>
  <c r="BF19" i="51"/>
  <c r="BA5" i="51"/>
  <c r="BG19" i="51"/>
  <c r="BB5" i="51"/>
  <c r="BH19" i="51"/>
  <c r="BC5" i="51"/>
  <c r="BI19" i="51"/>
  <c r="BD5" i="51"/>
  <c r="BJ19" i="51"/>
  <c r="BE5" i="51"/>
  <c r="BK19" i="51"/>
  <c r="BF5" i="51"/>
  <c r="BL19" i="51"/>
  <c r="BG5" i="51"/>
  <c r="BM19" i="51"/>
  <c r="BH5" i="51"/>
  <c r="BN19" i="51"/>
  <c r="AP19" i="51"/>
  <c r="AK6" i="51"/>
  <c r="AQ20" i="51"/>
  <c r="AL6" i="51"/>
  <c r="AR20" i="51"/>
  <c r="AM6" i="51"/>
  <c r="AS20" i="51"/>
  <c r="AN6" i="51"/>
  <c r="AT20" i="51"/>
  <c r="AO6" i="51"/>
  <c r="AU20" i="51"/>
  <c r="AP6" i="51"/>
  <c r="AV20" i="51"/>
  <c r="AQ6" i="51"/>
  <c r="AW20" i="51"/>
  <c r="AR6" i="51"/>
  <c r="AX20" i="51"/>
  <c r="AS6" i="51"/>
  <c r="AY20" i="51"/>
  <c r="AT6" i="51"/>
  <c r="AZ20" i="51"/>
  <c r="AU6" i="51"/>
  <c r="BA20" i="51"/>
  <c r="AV6" i="51"/>
  <c r="BB20" i="51"/>
  <c r="AW6" i="51"/>
  <c r="BC20" i="51"/>
  <c r="AX6" i="51"/>
  <c r="BD20" i="51"/>
  <c r="AY6" i="51"/>
  <c r="BE20" i="51"/>
  <c r="AZ6" i="51"/>
  <c r="BF20" i="51"/>
  <c r="BA6" i="51"/>
  <c r="BG20" i="51"/>
  <c r="BB6" i="51"/>
  <c r="BH20" i="51"/>
  <c r="BC6" i="51"/>
  <c r="BI20" i="51"/>
  <c r="BD6" i="51"/>
  <c r="BJ20" i="51"/>
  <c r="BE6" i="51"/>
  <c r="BK20" i="51"/>
  <c r="BF6" i="51"/>
  <c r="BL20" i="51"/>
  <c r="BG6" i="51"/>
  <c r="BM20" i="51"/>
  <c r="BH6" i="51"/>
  <c r="BN20" i="51"/>
  <c r="AP20" i="51"/>
  <c r="AK7" i="51"/>
  <c r="AQ21" i="51"/>
  <c r="AL7" i="51"/>
  <c r="AR21" i="51"/>
  <c r="AM7" i="51"/>
  <c r="AS21" i="51"/>
  <c r="AN7" i="51"/>
  <c r="AT21" i="51"/>
  <c r="AO7" i="51"/>
  <c r="AU21" i="51"/>
  <c r="AP7" i="51"/>
  <c r="AV21" i="51"/>
  <c r="AQ7" i="51"/>
  <c r="AW21" i="51"/>
  <c r="AR7" i="51"/>
  <c r="AX21" i="51"/>
  <c r="AS7" i="51"/>
  <c r="AY21" i="51"/>
  <c r="AT7" i="51"/>
  <c r="AZ21" i="51"/>
  <c r="AU7" i="51"/>
  <c r="BA21" i="51"/>
  <c r="AV7" i="51"/>
  <c r="BB21" i="51"/>
  <c r="AW7" i="51"/>
  <c r="BC21" i="51"/>
  <c r="AX7" i="51"/>
  <c r="BD21" i="51"/>
  <c r="AY7" i="51"/>
  <c r="BE21" i="51"/>
  <c r="AZ7" i="51"/>
  <c r="BF21" i="51"/>
  <c r="BA7" i="51"/>
  <c r="BG21" i="51"/>
  <c r="BB7" i="51"/>
  <c r="BH21" i="51"/>
  <c r="BC7" i="51"/>
  <c r="BI21" i="51"/>
  <c r="BD7" i="51"/>
  <c r="BJ21" i="51"/>
  <c r="BE7" i="51"/>
  <c r="BK21" i="51"/>
  <c r="BF7" i="51"/>
  <c r="BL21" i="51"/>
  <c r="BG7" i="51"/>
  <c r="BM21" i="51"/>
  <c r="BH7" i="51"/>
  <c r="BN21" i="51"/>
  <c r="AP21" i="51"/>
  <c r="AK8" i="51"/>
  <c r="AQ22" i="51"/>
  <c r="AL8" i="51"/>
  <c r="AR22" i="51"/>
  <c r="AM8" i="51"/>
  <c r="AS22" i="51"/>
  <c r="AN8" i="51"/>
  <c r="AT22" i="51"/>
  <c r="AO8" i="51"/>
  <c r="AU22" i="51"/>
  <c r="AP8" i="51"/>
  <c r="AV22" i="51"/>
  <c r="AQ8" i="51"/>
  <c r="AW22" i="51"/>
  <c r="AR8" i="51"/>
  <c r="AX22" i="51"/>
  <c r="AS8" i="51"/>
  <c r="AY22" i="51"/>
  <c r="AT8" i="51"/>
  <c r="AZ22" i="51"/>
  <c r="AU8" i="51"/>
  <c r="BA22" i="51"/>
  <c r="AV8" i="51"/>
  <c r="BB22" i="51"/>
  <c r="AW8" i="51"/>
  <c r="BC22" i="51"/>
  <c r="AX8" i="51"/>
  <c r="BD22" i="51"/>
  <c r="AY8" i="51"/>
  <c r="BE22" i="51"/>
  <c r="AZ8" i="51"/>
  <c r="BF22" i="51"/>
  <c r="BA8" i="51"/>
  <c r="BG22" i="51"/>
  <c r="BB8" i="51"/>
  <c r="BH22" i="51"/>
  <c r="BC8" i="51"/>
  <c r="BI22" i="51"/>
  <c r="BD8" i="51"/>
  <c r="BJ22" i="51"/>
  <c r="BE8" i="51"/>
  <c r="BK22" i="51"/>
  <c r="BF8" i="51"/>
  <c r="BL22" i="51"/>
  <c r="BG8" i="51"/>
  <c r="BM22" i="51"/>
  <c r="BH8" i="51"/>
  <c r="BN22" i="51"/>
  <c r="AP22" i="51"/>
  <c r="AK9" i="51"/>
  <c r="AQ23" i="51"/>
  <c r="AL9" i="51"/>
  <c r="AR23" i="51"/>
  <c r="AM9" i="51"/>
  <c r="AS23" i="51"/>
  <c r="AN9" i="51"/>
  <c r="AT23" i="51"/>
  <c r="AO9" i="51"/>
  <c r="AU23" i="51"/>
  <c r="AP9" i="51"/>
  <c r="AV23" i="51"/>
  <c r="AQ9" i="51"/>
  <c r="AW23" i="51"/>
  <c r="AR9" i="51"/>
  <c r="AX23" i="51"/>
  <c r="AS9" i="51"/>
  <c r="AY23" i="51"/>
  <c r="AT9" i="51"/>
  <c r="AZ23" i="51"/>
  <c r="AU9" i="51"/>
  <c r="BA23" i="51"/>
  <c r="AV9" i="51"/>
  <c r="BB23" i="51"/>
  <c r="AW9" i="51"/>
  <c r="BC23" i="51"/>
  <c r="AX9" i="51"/>
  <c r="BD23" i="51"/>
  <c r="AY9" i="51"/>
  <c r="BE23" i="51"/>
  <c r="AZ9" i="51"/>
  <c r="BF23" i="51"/>
  <c r="BA9" i="51"/>
  <c r="BG23" i="51"/>
  <c r="BB9" i="51"/>
  <c r="BH23" i="51"/>
  <c r="BC9" i="51"/>
  <c r="BI23" i="51"/>
  <c r="BD9" i="51"/>
  <c r="BJ23" i="51"/>
  <c r="BE9" i="51"/>
  <c r="BK23" i="51"/>
  <c r="BF9" i="51"/>
  <c r="BL23" i="51"/>
  <c r="BG9" i="51"/>
  <c r="BM23" i="51"/>
  <c r="BH9" i="51"/>
  <c r="BN23" i="51"/>
  <c r="AP23" i="51"/>
  <c r="AK10" i="51"/>
  <c r="AQ24" i="51"/>
  <c r="AL10" i="51"/>
  <c r="AR24" i="51"/>
  <c r="AM10" i="51"/>
  <c r="AS24" i="51"/>
  <c r="AN10" i="51"/>
  <c r="AT24" i="51"/>
  <c r="AO10" i="51"/>
  <c r="AU24" i="51"/>
  <c r="AP10" i="51"/>
  <c r="AV24" i="51"/>
  <c r="AQ10" i="51"/>
  <c r="AW24" i="51"/>
  <c r="AR10" i="51"/>
  <c r="AX24" i="51"/>
  <c r="AS10" i="51"/>
  <c r="AY24" i="51"/>
  <c r="AT10" i="51"/>
  <c r="AZ24" i="51"/>
  <c r="AU10" i="51"/>
  <c r="BA24" i="51"/>
  <c r="AV10" i="51"/>
  <c r="BB24" i="51"/>
  <c r="AW10" i="51"/>
  <c r="BC24" i="51"/>
  <c r="AX10" i="51"/>
  <c r="BD24" i="51"/>
  <c r="AY10" i="51"/>
  <c r="BE24" i="51"/>
  <c r="AZ10" i="51"/>
  <c r="BF24" i="51"/>
  <c r="BA10" i="51"/>
  <c r="BG24" i="51"/>
  <c r="BB10" i="51"/>
  <c r="BH24" i="51"/>
  <c r="BC10" i="51"/>
  <c r="BI24" i="51"/>
  <c r="BD10" i="51"/>
  <c r="BJ24" i="51"/>
  <c r="BE10" i="51"/>
  <c r="BK24" i="51"/>
  <c r="BF10" i="51"/>
  <c r="BL24" i="51"/>
  <c r="BG10" i="51"/>
  <c r="BM24" i="51"/>
  <c r="BH10" i="51"/>
  <c r="BN24" i="51"/>
  <c r="AP24" i="51"/>
  <c r="AQ25" i="51"/>
  <c r="AR25" i="51"/>
  <c r="AS25" i="51"/>
  <c r="AT25" i="51"/>
  <c r="AU25" i="51"/>
  <c r="AV25" i="51"/>
  <c r="AW25" i="51"/>
  <c r="AX25" i="51"/>
  <c r="AY25" i="51"/>
  <c r="AZ25" i="51"/>
  <c r="BA25" i="51"/>
  <c r="BB25" i="51"/>
  <c r="BC25" i="51"/>
  <c r="BD25" i="51"/>
  <c r="BE25" i="51"/>
  <c r="BF25" i="51"/>
  <c r="BG25" i="51"/>
  <c r="BH25" i="51"/>
  <c r="BI25" i="51"/>
  <c r="BJ25" i="51"/>
  <c r="BK25" i="51"/>
  <c r="BL25" i="51"/>
  <c r="BM25" i="51"/>
  <c r="BN25" i="51"/>
  <c r="AP25" i="51"/>
  <c r="AK12" i="51"/>
  <c r="AQ26" i="51"/>
  <c r="AL12" i="51"/>
  <c r="AR26" i="51"/>
  <c r="AM12" i="51"/>
  <c r="AS26" i="51"/>
  <c r="AN12" i="51"/>
  <c r="AT26" i="51"/>
  <c r="AO12" i="51"/>
  <c r="AU26" i="51"/>
  <c r="AP12" i="51"/>
  <c r="AV26" i="51"/>
  <c r="AQ12" i="51"/>
  <c r="AW26" i="51"/>
  <c r="AR12" i="51"/>
  <c r="AX26" i="51"/>
  <c r="AS12" i="51"/>
  <c r="AY26" i="51"/>
  <c r="AT12" i="51"/>
  <c r="AZ26" i="51"/>
  <c r="AU12" i="51"/>
  <c r="BA26" i="51"/>
  <c r="AV12" i="51"/>
  <c r="BB26" i="51"/>
  <c r="AW12" i="51"/>
  <c r="BC26" i="51"/>
  <c r="AX12" i="51"/>
  <c r="BD26" i="51"/>
  <c r="AY12" i="51"/>
  <c r="BE26" i="51"/>
  <c r="AZ12" i="51"/>
  <c r="BF26" i="51"/>
  <c r="BA12" i="51"/>
  <c r="BG26" i="51"/>
  <c r="BB12" i="51"/>
  <c r="BH26" i="51"/>
  <c r="BC12" i="51"/>
  <c r="BI26" i="51"/>
  <c r="BD12" i="51"/>
  <c r="BJ26" i="51"/>
  <c r="BE12" i="51"/>
  <c r="BK26" i="51"/>
  <c r="BF12" i="51"/>
  <c r="BL26" i="51"/>
  <c r="BG12" i="51"/>
  <c r="BM26" i="51"/>
  <c r="BH12" i="51"/>
  <c r="BN26" i="51"/>
  <c r="AP26" i="51"/>
  <c r="AK13" i="51"/>
  <c r="AQ27" i="51"/>
  <c r="AL13" i="51"/>
  <c r="AR27" i="51"/>
  <c r="AM13" i="51"/>
  <c r="AS27" i="51"/>
  <c r="AN13" i="51"/>
  <c r="AT27" i="51"/>
  <c r="AO13" i="51"/>
  <c r="AU27" i="51"/>
  <c r="AP13" i="51"/>
  <c r="AV27" i="51"/>
  <c r="AQ13" i="51"/>
  <c r="AW27" i="51"/>
  <c r="AR13" i="51"/>
  <c r="AX27" i="51"/>
  <c r="AS13" i="51"/>
  <c r="AY27" i="51"/>
  <c r="AT13" i="51"/>
  <c r="AZ27" i="51"/>
  <c r="AU13" i="51"/>
  <c r="BA27" i="51"/>
  <c r="AV13" i="51"/>
  <c r="BB27" i="51"/>
  <c r="AW13" i="51"/>
  <c r="BC27" i="51"/>
  <c r="AX13" i="51"/>
  <c r="BD27" i="51"/>
  <c r="AY13" i="51"/>
  <c r="BE27" i="51"/>
  <c r="AZ13" i="51"/>
  <c r="BF27" i="51"/>
  <c r="BA13" i="51"/>
  <c r="BG27" i="51"/>
  <c r="BB13" i="51"/>
  <c r="BH27" i="51"/>
  <c r="BC13" i="51"/>
  <c r="BI27" i="51"/>
  <c r="BD13" i="51"/>
  <c r="BJ27" i="51"/>
  <c r="BE13" i="51"/>
  <c r="BK27" i="51"/>
  <c r="BF13" i="51"/>
  <c r="BL27" i="51"/>
  <c r="BG13" i="51"/>
  <c r="BM27" i="51"/>
  <c r="BH13" i="51"/>
  <c r="BN27" i="51"/>
  <c r="AP27" i="51"/>
  <c r="AP28" i="51"/>
  <c r="AN18" i="51"/>
  <c r="AN19" i="51"/>
  <c r="AN20" i="51"/>
  <c r="AN21" i="51"/>
  <c r="AN22" i="51"/>
  <c r="AN23" i="51"/>
  <c r="AN24" i="51"/>
  <c r="AN25" i="51"/>
  <c r="AN26" i="51"/>
  <c r="AN27" i="51"/>
  <c r="AM18" i="51"/>
  <c r="AM19" i="51"/>
  <c r="AM20" i="51"/>
  <c r="AM21" i="51"/>
  <c r="AM22" i="51"/>
  <c r="AM23" i="51"/>
  <c r="AM24" i="51"/>
  <c r="AM25" i="51"/>
  <c r="AM26" i="51"/>
  <c r="AM27" i="51"/>
  <c r="AL18" i="51"/>
  <c r="AL19" i="51"/>
  <c r="AL20" i="51"/>
  <c r="AL21" i="51"/>
  <c r="AL22" i="51"/>
  <c r="AL23" i="51"/>
  <c r="AL24" i="51"/>
  <c r="AL25" i="51"/>
  <c r="AL26" i="51"/>
  <c r="AL27" i="51"/>
  <c r="AK18" i="51"/>
  <c r="AK19" i="51"/>
  <c r="AK20" i="51"/>
  <c r="AK21" i="51"/>
  <c r="AK22" i="51"/>
  <c r="AK23" i="51"/>
  <c r="AK24" i="51"/>
  <c r="AK25" i="51"/>
  <c r="AK26" i="51"/>
  <c r="AK27" i="51"/>
  <c r="Z2" i="51"/>
  <c r="AA2" i="51"/>
  <c r="AB2" i="51"/>
  <c r="AC2" i="51"/>
  <c r="AA16" i="51"/>
  <c r="Z3" i="51"/>
  <c r="AA3" i="51"/>
  <c r="AB3" i="51"/>
  <c r="AC3" i="51"/>
  <c r="AA17" i="51"/>
  <c r="Z4" i="51"/>
  <c r="AA4" i="51"/>
  <c r="AB4" i="51"/>
  <c r="AC4" i="51"/>
  <c r="AA18" i="51"/>
  <c r="Z5" i="51"/>
  <c r="AA5" i="51"/>
  <c r="AB5" i="51"/>
  <c r="AC5" i="51"/>
  <c r="AA19" i="51"/>
  <c r="Z6" i="51"/>
  <c r="AA6" i="51"/>
  <c r="AB6" i="51"/>
  <c r="AC6" i="51"/>
  <c r="AA20" i="51"/>
  <c r="Z7" i="51"/>
  <c r="AA7" i="51"/>
  <c r="AB7" i="51"/>
  <c r="AC7" i="51"/>
  <c r="AA21" i="51"/>
  <c r="Z8" i="51"/>
  <c r="AA8" i="51"/>
  <c r="AB8" i="51"/>
  <c r="AC8" i="51"/>
  <c r="AA22" i="51"/>
  <c r="Z9" i="51"/>
  <c r="AA9" i="51"/>
  <c r="AB9" i="51"/>
  <c r="AC9" i="51"/>
  <c r="AA23" i="51"/>
  <c r="Z10" i="51"/>
  <c r="AA10" i="51"/>
  <c r="AB10" i="51"/>
  <c r="AC10" i="51"/>
  <c r="AA24" i="51"/>
  <c r="AA25" i="51"/>
  <c r="Z12" i="51"/>
  <c r="AA12" i="51"/>
  <c r="AB12" i="51"/>
  <c r="AC12" i="51"/>
  <c r="AA26" i="51"/>
  <c r="Z13" i="51"/>
  <c r="AA13" i="51"/>
  <c r="AB13" i="51"/>
  <c r="AC13" i="51"/>
  <c r="AA27" i="51"/>
  <c r="AA28" i="51"/>
  <c r="Z16" i="51"/>
  <c r="Z17" i="51"/>
  <c r="Z18" i="51"/>
  <c r="Z19" i="51"/>
  <c r="Z20" i="51"/>
  <c r="Z21" i="51"/>
  <c r="Z22" i="51"/>
  <c r="Z23" i="51"/>
  <c r="Z24" i="51"/>
  <c r="Z26" i="51"/>
  <c r="Z27" i="51"/>
  <c r="Z28" i="51"/>
  <c r="S28" i="51"/>
  <c r="R28" i="51"/>
  <c r="Q28" i="51"/>
  <c r="P28" i="51"/>
  <c r="N28" i="51"/>
  <c r="M28" i="51"/>
  <c r="L28" i="51"/>
  <c r="K28" i="51"/>
  <c r="D27" i="51"/>
  <c r="N25" i="51"/>
  <c r="M25" i="51"/>
  <c r="L25" i="51"/>
  <c r="K25" i="51"/>
  <c r="D25" i="51"/>
  <c r="H16" i="51"/>
  <c r="D23" i="51"/>
  <c r="G16" i="51"/>
  <c r="D21" i="51"/>
  <c r="M19" i="51"/>
  <c r="W16" i="51"/>
  <c r="V16" i="51"/>
  <c r="U16" i="51"/>
  <c r="E50" i="50"/>
  <c r="A50" i="50"/>
  <c r="E49" i="50"/>
  <c r="A49" i="50"/>
  <c r="E48" i="50"/>
  <c r="A48" i="50"/>
  <c r="E47" i="50"/>
  <c r="A47" i="50"/>
  <c r="E46" i="50"/>
  <c r="A46" i="50"/>
  <c r="E45" i="50"/>
  <c r="A45" i="50"/>
  <c r="E44" i="50"/>
  <c r="A44" i="50"/>
  <c r="E43" i="50"/>
  <c r="A43" i="50"/>
  <c r="X15" i="50"/>
  <c r="E42" i="50"/>
  <c r="A42" i="50"/>
  <c r="X14" i="50"/>
  <c r="E41" i="50"/>
  <c r="A41" i="50"/>
  <c r="X13" i="50"/>
  <c r="E40" i="50"/>
  <c r="A40" i="50"/>
  <c r="X12" i="50"/>
  <c r="E39" i="50"/>
  <c r="A39" i="50"/>
  <c r="X11" i="50"/>
  <c r="X10" i="50"/>
  <c r="X9" i="50"/>
  <c r="R16" i="50"/>
  <c r="Q16" i="50"/>
  <c r="X8" i="50"/>
  <c r="X7" i="50"/>
  <c r="X4" i="50"/>
  <c r="X5" i="50"/>
  <c r="X6" i="50"/>
  <c r="AE2" i="50"/>
  <c r="AF2" i="50"/>
  <c r="AG2" i="50"/>
  <c r="AH2" i="50"/>
  <c r="AI2" i="50"/>
  <c r="AG16" i="50"/>
  <c r="AE3" i="50"/>
  <c r="AF3" i="50"/>
  <c r="AG3" i="50"/>
  <c r="AH3" i="50"/>
  <c r="AI3" i="50"/>
  <c r="AG17" i="50"/>
  <c r="AE5" i="50"/>
  <c r="AF5" i="50"/>
  <c r="AG5" i="50"/>
  <c r="AH5" i="50"/>
  <c r="AI5" i="50"/>
  <c r="AG19" i="50"/>
  <c r="AE6" i="50"/>
  <c r="AF6" i="50"/>
  <c r="AG6" i="50"/>
  <c r="AH6" i="50"/>
  <c r="AI6" i="50"/>
  <c r="AG20" i="50"/>
  <c r="AE7" i="50"/>
  <c r="AF7" i="50"/>
  <c r="AG7" i="50"/>
  <c r="AH7" i="50"/>
  <c r="AI7" i="50"/>
  <c r="AG21" i="50"/>
  <c r="AE8" i="50"/>
  <c r="AF8" i="50"/>
  <c r="AG8" i="50"/>
  <c r="AH8" i="50"/>
  <c r="AI8" i="50"/>
  <c r="AG22" i="50"/>
  <c r="AE9" i="50"/>
  <c r="AF9" i="50"/>
  <c r="AG9" i="50"/>
  <c r="AH9" i="50"/>
  <c r="AI9" i="50"/>
  <c r="AG23" i="50"/>
  <c r="AE10" i="50"/>
  <c r="AF10" i="50"/>
  <c r="AG10" i="50"/>
  <c r="AH10" i="50"/>
  <c r="AI10" i="50"/>
  <c r="AG24" i="50"/>
  <c r="AE11" i="50"/>
  <c r="AF11" i="50"/>
  <c r="AG11" i="50"/>
  <c r="AH11" i="50"/>
  <c r="AI11" i="50"/>
  <c r="AG25" i="50"/>
  <c r="AE12" i="50"/>
  <c r="AF12" i="50"/>
  <c r="AG12" i="50"/>
  <c r="AH12" i="50"/>
  <c r="AI12" i="50"/>
  <c r="AG26" i="50"/>
  <c r="AF16" i="50"/>
  <c r="AF17" i="50"/>
  <c r="AF19" i="50"/>
  <c r="AF20" i="50"/>
  <c r="AF21" i="50"/>
  <c r="AF22" i="50"/>
  <c r="AF23" i="50"/>
  <c r="AF24" i="50"/>
  <c r="AF25" i="50"/>
  <c r="AF26" i="50"/>
  <c r="J29" i="50"/>
  <c r="I29" i="50"/>
  <c r="H29" i="50"/>
  <c r="G29" i="50"/>
  <c r="F16" i="50"/>
  <c r="D29" i="50"/>
  <c r="AK2" i="50"/>
  <c r="AQ16" i="50"/>
  <c r="AL2" i="50"/>
  <c r="AR16" i="50"/>
  <c r="AM2" i="50"/>
  <c r="AS16" i="50"/>
  <c r="AN2" i="50"/>
  <c r="AT16" i="50"/>
  <c r="AO2" i="50"/>
  <c r="AU16" i="50"/>
  <c r="AP2" i="50"/>
  <c r="AV16" i="50"/>
  <c r="AQ2" i="50"/>
  <c r="AW16" i="50"/>
  <c r="AR2" i="50"/>
  <c r="AX16" i="50"/>
  <c r="AS2" i="50"/>
  <c r="AY16" i="50"/>
  <c r="AT2" i="50"/>
  <c r="AZ16" i="50"/>
  <c r="AU2" i="50"/>
  <c r="BA16" i="50"/>
  <c r="AV2" i="50"/>
  <c r="BB16" i="50"/>
  <c r="AW2" i="50"/>
  <c r="BC16" i="50"/>
  <c r="AX2" i="50"/>
  <c r="BD16" i="50"/>
  <c r="AY2" i="50"/>
  <c r="BE16" i="50"/>
  <c r="AZ2" i="50"/>
  <c r="BF16" i="50"/>
  <c r="BA2" i="50"/>
  <c r="BG16" i="50"/>
  <c r="BB2" i="50"/>
  <c r="BH16" i="50"/>
  <c r="BC2" i="50"/>
  <c r="BI16" i="50"/>
  <c r="BD2" i="50"/>
  <c r="BJ16" i="50"/>
  <c r="BE2" i="50"/>
  <c r="BK16" i="50"/>
  <c r="BF2" i="50"/>
  <c r="BL16" i="50"/>
  <c r="BG2" i="50"/>
  <c r="BM16" i="50"/>
  <c r="BH2" i="50"/>
  <c r="BN16" i="50"/>
  <c r="AP16" i="50"/>
  <c r="AK3" i="50"/>
  <c r="AQ17" i="50"/>
  <c r="AL3" i="50"/>
  <c r="AR17" i="50"/>
  <c r="AM3" i="50"/>
  <c r="AS17" i="50"/>
  <c r="AN3" i="50"/>
  <c r="AT17" i="50"/>
  <c r="AO3" i="50"/>
  <c r="AU17" i="50"/>
  <c r="AP3" i="50"/>
  <c r="AV17" i="50"/>
  <c r="AQ3" i="50"/>
  <c r="AW17" i="50"/>
  <c r="AR3" i="50"/>
  <c r="AX17" i="50"/>
  <c r="AS3" i="50"/>
  <c r="AY17" i="50"/>
  <c r="AT3" i="50"/>
  <c r="AZ17" i="50"/>
  <c r="AU3" i="50"/>
  <c r="BA17" i="50"/>
  <c r="AV3" i="50"/>
  <c r="BB17" i="50"/>
  <c r="AW3" i="50"/>
  <c r="BC17" i="50"/>
  <c r="AX3" i="50"/>
  <c r="BD17" i="50"/>
  <c r="AY3" i="50"/>
  <c r="BE17" i="50"/>
  <c r="AZ3" i="50"/>
  <c r="BF17" i="50"/>
  <c r="BA3" i="50"/>
  <c r="BG17" i="50"/>
  <c r="BB3" i="50"/>
  <c r="BH17" i="50"/>
  <c r="BC3" i="50"/>
  <c r="BI17" i="50"/>
  <c r="BD3" i="50"/>
  <c r="BJ17" i="50"/>
  <c r="BE3" i="50"/>
  <c r="BK17" i="50"/>
  <c r="BF3" i="50"/>
  <c r="BL17" i="50"/>
  <c r="BG3" i="50"/>
  <c r="BM17" i="50"/>
  <c r="BH3" i="50"/>
  <c r="BN17" i="50"/>
  <c r="AP17" i="50"/>
  <c r="AK4" i="50"/>
  <c r="AQ18" i="50"/>
  <c r="AL4" i="50"/>
  <c r="AR18" i="50"/>
  <c r="AM4" i="50"/>
  <c r="AS18" i="50"/>
  <c r="AN4" i="50"/>
  <c r="AT18" i="50"/>
  <c r="AO4" i="50"/>
  <c r="AU18" i="50"/>
  <c r="AP4" i="50"/>
  <c r="AV18" i="50"/>
  <c r="AQ4" i="50"/>
  <c r="AW18" i="50"/>
  <c r="AR4" i="50"/>
  <c r="AX18" i="50"/>
  <c r="AS4" i="50"/>
  <c r="AY18" i="50"/>
  <c r="AT4" i="50"/>
  <c r="AZ18" i="50"/>
  <c r="AU4" i="50"/>
  <c r="BA18" i="50"/>
  <c r="AV4" i="50"/>
  <c r="BB18" i="50"/>
  <c r="AW4" i="50"/>
  <c r="BC18" i="50"/>
  <c r="AX4" i="50"/>
  <c r="BD18" i="50"/>
  <c r="AY4" i="50"/>
  <c r="BE18" i="50"/>
  <c r="AZ4" i="50"/>
  <c r="BF18" i="50"/>
  <c r="BA4" i="50"/>
  <c r="BG18" i="50"/>
  <c r="BB4" i="50"/>
  <c r="BH18" i="50"/>
  <c r="BC4" i="50"/>
  <c r="BI18" i="50"/>
  <c r="BD4" i="50"/>
  <c r="BJ18" i="50"/>
  <c r="BE4" i="50"/>
  <c r="BK18" i="50"/>
  <c r="BF4" i="50"/>
  <c r="BL18" i="50"/>
  <c r="BG4" i="50"/>
  <c r="BM18" i="50"/>
  <c r="BH4" i="50"/>
  <c r="BN18" i="50"/>
  <c r="AP18" i="50"/>
  <c r="AK5" i="50"/>
  <c r="AQ19" i="50"/>
  <c r="AL5" i="50"/>
  <c r="AR19" i="50"/>
  <c r="AM5" i="50"/>
  <c r="AS19" i="50"/>
  <c r="AN5" i="50"/>
  <c r="AT19" i="50"/>
  <c r="AO5" i="50"/>
  <c r="AU19" i="50"/>
  <c r="AP5" i="50"/>
  <c r="AV19" i="50"/>
  <c r="AQ5" i="50"/>
  <c r="AW19" i="50"/>
  <c r="AR5" i="50"/>
  <c r="AX19" i="50"/>
  <c r="AS5" i="50"/>
  <c r="AY19" i="50"/>
  <c r="AT5" i="50"/>
  <c r="AZ19" i="50"/>
  <c r="AU5" i="50"/>
  <c r="BA19" i="50"/>
  <c r="AV5" i="50"/>
  <c r="BB19" i="50"/>
  <c r="AW5" i="50"/>
  <c r="BC19" i="50"/>
  <c r="AX5" i="50"/>
  <c r="BD19" i="50"/>
  <c r="AY5" i="50"/>
  <c r="BE19" i="50"/>
  <c r="AZ5" i="50"/>
  <c r="BF19" i="50"/>
  <c r="BA5" i="50"/>
  <c r="BG19" i="50"/>
  <c r="BB5" i="50"/>
  <c r="BH19" i="50"/>
  <c r="BC5" i="50"/>
  <c r="BI19" i="50"/>
  <c r="BD5" i="50"/>
  <c r="BJ19" i="50"/>
  <c r="BE5" i="50"/>
  <c r="BK19" i="50"/>
  <c r="BF5" i="50"/>
  <c r="BL19" i="50"/>
  <c r="BG5" i="50"/>
  <c r="BM19" i="50"/>
  <c r="BH5" i="50"/>
  <c r="BN19" i="50"/>
  <c r="AP19" i="50"/>
  <c r="AK6" i="50"/>
  <c r="AQ20" i="50"/>
  <c r="AL6" i="50"/>
  <c r="AR20" i="50"/>
  <c r="AM6" i="50"/>
  <c r="AS20" i="50"/>
  <c r="AN6" i="50"/>
  <c r="AT20" i="50"/>
  <c r="AO6" i="50"/>
  <c r="AU20" i="50"/>
  <c r="AP6" i="50"/>
  <c r="AV20" i="50"/>
  <c r="AQ6" i="50"/>
  <c r="AW20" i="50"/>
  <c r="AR6" i="50"/>
  <c r="AX20" i="50"/>
  <c r="AS6" i="50"/>
  <c r="AY20" i="50"/>
  <c r="AT6" i="50"/>
  <c r="AZ20" i="50"/>
  <c r="AU6" i="50"/>
  <c r="BA20" i="50"/>
  <c r="AV6" i="50"/>
  <c r="BB20" i="50"/>
  <c r="AW6" i="50"/>
  <c r="BC20" i="50"/>
  <c r="AX6" i="50"/>
  <c r="BD20" i="50"/>
  <c r="AY6" i="50"/>
  <c r="BE20" i="50"/>
  <c r="AZ6" i="50"/>
  <c r="BF20" i="50"/>
  <c r="BA6" i="50"/>
  <c r="BG20" i="50"/>
  <c r="BB6" i="50"/>
  <c r="BH20" i="50"/>
  <c r="BC6" i="50"/>
  <c r="BI20" i="50"/>
  <c r="BD6" i="50"/>
  <c r="BJ20" i="50"/>
  <c r="BE6" i="50"/>
  <c r="BK20" i="50"/>
  <c r="BF6" i="50"/>
  <c r="BL20" i="50"/>
  <c r="BG6" i="50"/>
  <c r="BM20" i="50"/>
  <c r="BH6" i="50"/>
  <c r="BN20" i="50"/>
  <c r="AP20" i="50"/>
  <c r="AK7" i="50"/>
  <c r="AQ21" i="50"/>
  <c r="AL7" i="50"/>
  <c r="AR21" i="50"/>
  <c r="AM7" i="50"/>
  <c r="AS21" i="50"/>
  <c r="AN7" i="50"/>
  <c r="AT21" i="50"/>
  <c r="AO7" i="50"/>
  <c r="AU21" i="50"/>
  <c r="AP7" i="50"/>
  <c r="AV21" i="50"/>
  <c r="AQ7" i="50"/>
  <c r="AW21" i="50"/>
  <c r="AR7" i="50"/>
  <c r="AX21" i="50"/>
  <c r="AS7" i="50"/>
  <c r="AY21" i="50"/>
  <c r="AT7" i="50"/>
  <c r="AZ21" i="50"/>
  <c r="AU7" i="50"/>
  <c r="BA21" i="50"/>
  <c r="AV7" i="50"/>
  <c r="BB21" i="50"/>
  <c r="AW7" i="50"/>
  <c r="BC21" i="50"/>
  <c r="AX7" i="50"/>
  <c r="BD21" i="50"/>
  <c r="AY7" i="50"/>
  <c r="BE21" i="50"/>
  <c r="AZ7" i="50"/>
  <c r="BF21" i="50"/>
  <c r="BA7" i="50"/>
  <c r="BG21" i="50"/>
  <c r="BB7" i="50"/>
  <c r="BH21" i="50"/>
  <c r="BC7" i="50"/>
  <c r="BI21" i="50"/>
  <c r="BD7" i="50"/>
  <c r="BJ21" i="50"/>
  <c r="BE7" i="50"/>
  <c r="BK21" i="50"/>
  <c r="BF7" i="50"/>
  <c r="BL21" i="50"/>
  <c r="BG7" i="50"/>
  <c r="BM21" i="50"/>
  <c r="BH7" i="50"/>
  <c r="BN21" i="50"/>
  <c r="AP21" i="50"/>
  <c r="AK8" i="50"/>
  <c r="AQ22" i="50"/>
  <c r="AL8" i="50"/>
  <c r="AR22" i="50"/>
  <c r="AM8" i="50"/>
  <c r="AS22" i="50"/>
  <c r="AN8" i="50"/>
  <c r="AT22" i="50"/>
  <c r="AO8" i="50"/>
  <c r="AU22" i="50"/>
  <c r="AP8" i="50"/>
  <c r="AV22" i="50"/>
  <c r="AQ8" i="50"/>
  <c r="AW22" i="50"/>
  <c r="AR8" i="50"/>
  <c r="AX22" i="50"/>
  <c r="AS8" i="50"/>
  <c r="AY22" i="50"/>
  <c r="AT8" i="50"/>
  <c r="AZ22" i="50"/>
  <c r="AU8" i="50"/>
  <c r="BA22" i="50"/>
  <c r="AV8" i="50"/>
  <c r="BB22" i="50"/>
  <c r="AW8" i="50"/>
  <c r="BC22" i="50"/>
  <c r="AX8" i="50"/>
  <c r="BD22" i="50"/>
  <c r="AY8" i="50"/>
  <c r="BE22" i="50"/>
  <c r="AZ8" i="50"/>
  <c r="BF22" i="50"/>
  <c r="BA8" i="50"/>
  <c r="BG22" i="50"/>
  <c r="BB8" i="50"/>
  <c r="BH22" i="50"/>
  <c r="BC8" i="50"/>
  <c r="BI22" i="50"/>
  <c r="BD8" i="50"/>
  <c r="BJ22" i="50"/>
  <c r="BE8" i="50"/>
  <c r="BK22" i="50"/>
  <c r="BF8" i="50"/>
  <c r="BL22" i="50"/>
  <c r="BG8" i="50"/>
  <c r="BM22" i="50"/>
  <c r="BH8" i="50"/>
  <c r="BN22" i="50"/>
  <c r="AP22" i="50"/>
  <c r="AK9" i="50"/>
  <c r="AQ23" i="50"/>
  <c r="AL9" i="50"/>
  <c r="AR23" i="50"/>
  <c r="AM9" i="50"/>
  <c r="AS23" i="50"/>
  <c r="AN9" i="50"/>
  <c r="AT23" i="50"/>
  <c r="AO9" i="50"/>
  <c r="AU23" i="50"/>
  <c r="AP9" i="50"/>
  <c r="AV23" i="50"/>
  <c r="AQ9" i="50"/>
  <c r="AW23" i="50"/>
  <c r="AR9" i="50"/>
  <c r="AX23" i="50"/>
  <c r="AS9" i="50"/>
  <c r="AY23" i="50"/>
  <c r="AT9" i="50"/>
  <c r="AZ23" i="50"/>
  <c r="AU9" i="50"/>
  <c r="BA23" i="50"/>
  <c r="AV9" i="50"/>
  <c r="BB23" i="50"/>
  <c r="AW9" i="50"/>
  <c r="BC23" i="50"/>
  <c r="AX9" i="50"/>
  <c r="BD23" i="50"/>
  <c r="AY9" i="50"/>
  <c r="BE23" i="50"/>
  <c r="AZ9" i="50"/>
  <c r="BF23" i="50"/>
  <c r="BA9" i="50"/>
  <c r="BG23" i="50"/>
  <c r="BB9" i="50"/>
  <c r="BH23" i="50"/>
  <c r="BC9" i="50"/>
  <c r="BI23" i="50"/>
  <c r="BD9" i="50"/>
  <c r="BJ23" i="50"/>
  <c r="BE9" i="50"/>
  <c r="BK23" i="50"/>
  <c r="BF9" i="50"/>
  <c r="BL23" i="50"/>
  <c r="BG9" i="50"/>
  <c r="BM23" i="50"/>
  <c r="BH9" i="50"/>
  <c r="BN23" i="50"/>
  <c r="AP23" i="50"/>
  <c r="AK10" i="50"/>
  <c r="AQ24" i="50"/>
  <c r="AL10" i="50"/>
  <c r="AR24" i="50"/>
  <c r="AM10" i="50"/>
  <c r="AS24" i="50"/>
  <c r="AN10" i="50"/>
  <c r="AT24" i="50"/>
  <c r="AO10" i="50"/>
  <c r="AU24" i="50"/>
  <c r="AP10" i="50"/>
  <c r="AV24" i="50"/>
  <c r="AQ10" i="50"/>
  <c r="AW24" i="50"/>
  <c r="AR10" i="50"/>
  <c r="AX24" i="50"/>
  <c r="AS10" i="50"/>
  <c r="AY24" i="50"/>
  <c r="AT10" i="50"/>
  <c r="AZ24" i="50"/>
  <c r="AU10" i="50"/>
  <c r="BA24" i="50"/>
  <c r="AV10" i="50"/>
  <c r="BB24" i="50"/>
  <c r="AW10" i="50"/>
  <c r="BC24" i="50"/>
  <c r="AX10" i="50"/>
  <c r="BD24" i="50"/>
  <c r="AY10" i="50"/>
  <c r="BE24" i="50"/>
  <c r="AZ10" i="50"/>
  <c r="BF24" i="50"/>
  <c r="BA10" i="50"/>
  <c r="BG24" i="50"/>
  <c r="BB10" i="50"/>
  <c r="BH24" i="50"/>
  <c r="BC10" i="50"/>
  <c r="BI24" i="50"/>
  <c r="BD10" i="50"/>
  <c r="BJ24" i="50"/>
  <c r="BE10" i="50"/>
  <c r="BK24" i="50"/>
  <c r="BF10" i="50"/>
  <c r="BL24" i="50"/>
  <c r="BG10" i="50"/>
  <c r="BM24" i="50"/>
  <c r="BH10" i="50"/>
  <c r="BN24" i="50"/>
  <c r="AP24" i="50"/>
  <c r="AK11" i="50"/>
  <c r="AQ25" i="50"/>
  <c r="AL11" i="50"/>
  <c r="AR25" i="50"/>
  <c r="AM11" i="50"/>
  <c r="AS25" i="50"/>
  <c r="AN11" i="50"/>
  <c r="AT25" i="50"/>
  <c r="AO11" i="50"/>
  <c r="AU25" i="50"/>
  <c r="AP11" i="50"/>
  <c r="AV25" i="50"/>
  <c r="AQ11" i="50"/>
  <c r="AW25" i="50"/>
  <c r="AR11" i="50"/>
  <c r="AX25" i="50"/>
  <c r="AS11" i="50"/>
  <c r="AY25" i="50"/>
  <c r="AT11" i="50"/>
  <c r="AZ25" i="50"/>
  <c r="AU11" i="50"/>
  <c r="BA25" i="50"/>
  <c r="AV11" i="50"/>
  <c r="BB25" i="50"/>
  <c r="AW11" i="50"/>
  <c r="BC25" i="50"/>
  <c r="AX11" i="50"/>
  <c r="BD25" i="50"/>
  <c r="AY11" i="50"/>
  <c r="BE25" i="50"/>
  <c r="AZ11" i="50"/>
  <c r="BF25" i="50"/>
  <c r="BA11" i="50"/>
  <c r="BG25" i="50"/>
  <c r="BB11" i="50"/>
  <c r="BH25" i="50"/>
  <c r="BC11" i="50"/>
  <c r="BI25" i="50"/>
  <c r="BD11" i="50"/>
  <c r="BJ25" i="50"/>
  <c r="BE11" i="50"/>
  <c r="BK25" i="50"/>
  <c r="BF11" i="50"/>
  <c r="BL25" i="50"/>
  <c r="BG11" i="50"/>
  <c r="BM25" i="50"/>
  <c r="BH11" i="50"/>
  <c r="BN25" i="50"/>
  <c r="AP25" i="50"/>
  <c r="AK12" i="50"/>
  <c r="AQ26" i="50"/>
  <c r="AL12" i="50"/>
  <c r="AR26" i="50"/>
  <c r="AM12" i="50"/>
  <c r="AS26" i="50"/>
  <c r="AN12" i="50"/>
  <c r="AT26" i="50"/>
  <c r="AO12" i="50"/>
  <c r="AU26" i="50"/>
  <c r="AP12" i="50"/>
  <c r="AV26" i="50"/>
  <c r="AQ12" i="50"/>
  <c r="AW26" i="50"/>
  <c r="AR12" i="50"/>
  <c r="AX26" i="50"/>
  <c r="AS12" i="50"/>
  <c r="AY26" i="50"/>
  <c r="AT12" i="50"/>
  <c r="AZ26" i="50"/>
  <c r="AU12" i="50"/>
  <c r="BA26" i="50"/>
  <c r="AV12" i="50"/>
  <c r="BB26" i="50"/>
  <c r="AW12" i="50"/>
  <c r="BC26" i="50"/>
  <c r="AX12" i="50"/>
  <c r="BD26" i="50"/>
  <c r="AY12" i="50"/>
  <c r="BE26" i="50"/>
  <c r="AZ12" i="50"/>
  <c r="BF26" i="50"/>
  <c r="BA12" i="50"/>
  <c r="BG26" i="50"/>
  <c r="BB12" i="50"/>
  <c r="BH26" i="50"/>
  <c r="BC12" i="50"/>
  <c r="BI26" i="50"/>
  <c r="BD12" i="50"/>
  <c r="BJ26" i="50"/>
  <c r="BE12" i="50"/>
  <c r="BK26" i="50"/>
  <c r="BF12" i="50"/>
  <c r="BL26" i="50"/>
  <c r="BG12" i="50"/>
  <c r="BM26" i="50"/>
  <c r="BH12" i="50"/>
  <c r="BN26" i="50"/>
  <c r="AP26" i="50"/>
  <c r="AK13" i="50"/>
  <c r="AQ27" i="50"/>
  <c r="AL13" i="50"/>
  <c r="AR27" i="50"/>
  <c r="AM13" i="50"/>
  <c r="AS27" i="50"/>
  <c r="AN13" i="50"/>
  <c r="AT27" i="50"/>
  <c r="AO13" i="50"/>
  <c r="AU27" i="50"/>
  <c r="AP13" i="50"/>
  <c r="AV27" i="50"/>
  <c r="AQ13" i="50"/>
  <c r="AW27" i="50"/>
  <c r="AR13" i="50"/>
  <c r="AX27" i="50"/>
  <c r="AS13" i="50"/>
  <c r="AY27" i="50"/>
  <c r="AT13" i="50"/>
  <c r="AZ27" i="50"/>
  <c r="AU13" i="50"/>
  <c r="BA27" i="50"/>
  <c r="AV13" i="50"/>
  <c r="BB27" i="50"/>
  <c r="AW13" i="50"/>
  <c r="BC27" i="50"/>
  <c r="AX13" i="50"/>
  <c r="BD27" i="50"/>
  <c r="AY13" i="50"/>
  <c r="BE27" i="50"/>
  <c r="AZ13" i="50"/>
  <c r="BF27" i="50"/>
  <c r="BA13" i="50"/>
  <c r="BG27" i="50"/>
  <c r="BB13" i="50"/>
  <c r="BH27" i="50"/>
  <c r="BC13" i="50"/>
  <c r="BI27" i="50"/>
  <c r="BD13" i="50"/>
  <c r="BJ27" i="50"/>
  <c r="BE13" i="50"/>
  <c r="BK27" i="50"/>
  <c r="BF13" i="50"/>
  <c r="BL27" i="50"/>
  <c r="BG13" i="50"/>
  <c r="BM27" i="50"/>
  <c r="BH13" i="50"/>
  <c r="BN27" i="50"/>
  <c r="AP27" i="50"/>
  <c r="AP28" i="50"/>
  <c r="AN16" i="50"/>
  <c r="AN17" i="50"/>
  <c r="AN18" i="50"/>
  <c r="AN19" i="50"/>
  <c r="AN20" i="50"/>
  <c r="AN21" i="50"/>
  <c r="AN22" i="50"/>
  <c r="AN23" i="50"/>
  <c r="AN24" i="50"/>
  <c r="AN25" i="50"/>
  <c r="AN26" i="50"/>
  <c r="AN27" i="50"/>
  <c r="AN28" i="50"/>
  <c r="AM16" i="50"/>
  <c r="AM17" i="50"/>
  <c r="AM18" i="50"/>
  <c r="AM19" i="50"/>
  <c r="AM20" i="50"/>
  <c r="AM21" i="50"/>
  <c r="AM22" i="50"/>
  <c r="AM23" i="50"/>
  <c r="AM24" i="50"/>
  <c r="AM25" i="50"/>
  <c r="AM26" i="50"/>
  <c r="AM27" i="50"/>
  <c r="AM28" i="50"/>
  <c r="AL16" i="50"/>
  <c r="AL17" i="50"/>
  <c r="AL18" i="50"/>
  <c r="AL19" i="50"/>
  <c r="AL20" i="50"/>
  <c r="AL21" i="50"/>
  <c r="AL22" i="50"/>
  <c r="AL23" i="50"/>
  <c r="AL24" i="50"/>
  <c r="AL25" i="50"/>
  <c r="AL26" i="50"/>
  <c r="AL27" i="50"/>
  <c r="AL28" i="50"/>
  <c r="AK16" i="50"/>
  <c r="AK17" i="50"/>
  <c r="AK18" i="50"/>
  <c r="AK19" i="50"/>
  <c r="AK20" i="50"/>
  <c r="AK21" i="50"/>
  <c r="AK22" i="50"/>
  <c r="AK23" i="50"/>
  <c r="AK24" i="50"/>
  <c r="AK25" i="50"/>
  <c r="AK26" i="50"/>
  <c r="AK27" i="50"/>
  <c r="AK28" i="50"/>
  <c r="Z2" i="50"/>
  <c r="AA2" i="50"/>
  <c r="AB2" i="50"/>
  <c r="AC2" i="50"/>
  <c r="AA16" i="50"/>
  <c r="Z3" i="50"/>
  <c r="AA3" i="50"/>
  <c r="AB3" i="50"/>
  <c r="AC3" i="50"/>
  <c r="AA17" i="50"/>
  <c r="Z4" i="50"/>
  <c r="AA4" i="50"/>
  <c r="AB4" i="50"/>
  <c r="AC4" i="50"/>
  <c r="AA18" i="50"/>
  <c r="Z5" i="50"/>
  <c r="AA5" i="50"/>
  <c r="AB5" i="50"/>
  <c r="AC5" i="50"/>
  <c r="AA19" i="50"/>
  <c r="Z6" i="50"/>
  <c r="AA6" i="50"/>
  <c r="AB6" i="50"/>
  <c r="AC6" i="50"/>
  <c r="AA20" i="50"/>
  <c r="Z7" i="50"/>
  <c r="AA7" i="50"/>
  <c r="AB7" i="50"/>
  <c r="AC7" i="50"/>
  <c r="AA21" i="50"/>
  <c r="Z8" i="50"/>
  <c r="AA8" i="50"/>
  <c r="AB8" i="50"/>
  <c r="AC8" i="50"/>
  <c r="AA22" i="50"/>
  <c r="Z9" i="50"/>
  <c r="AA9" i="50"/>
  <c r="AB9" i="50"/>
  <c r="AC9" i="50"/>
  <c r="AA23" i="50"/>
  <c r="Z10" i="50"/>
  <c r="AA10" i="50"/>
  <c r="AB10" i="50"/>
  <c r="AC10" i="50"/>
  <c r="AA24" i="50"/>
  <c r="Z11" i="50"/>
  <c r="AA11" i="50"/>
  <c r="AB11" i="50"/>
  <c r="AC11" i="50"/>
  <c r="AA25" i="50"/>
  <c r="Z12" i="50"/>
  <c r="AA12" i="50"/>
  <c r="AB12" i="50"/>
  <c r="AC12" i="50"/>
  <c r="AA26" i="50"/>
  <c r="Z13" i="50"/>
  <c r="AA13" i="50"/>
  <c r="AB13" i="50"/>
  <c r="AC13" i="50"/>
  <c r="AA27" i="50"/>
  <c r="AA28" i="50"/>
  <c r="Z16" i="50"/>
  <c r="Z17" i="50"/>
  <c r="Z18" i="50"/>
  <c r="Z19" i="50"/>
  <c r="Z20" i="50"/>
  <c r="Z21" i="50"/>
  <c r="Z22" i="50"/>
  <c r="Z23" i="50"/>
  <c r="Z24" i="50"/>
  <c r="Z25" i="50"/>
  <c r="Z26" i="50"/>
  <c r="Z27" i="50"/>
  <c r="Z28" i="50"/>
  <c r="S28" i="50"/>
  <c r="R28" i="50"/>
  <c r="Q28" i="50"/>
  <c r="P28" i="50"/>
  <c r="N28" i="50"/>
  <c r="M28" i="50"/>
  <c r="L28" i="50"/>
  <c r="K28" i="50"/>
  <c r="D27" i="50"/>
  <c r="G26" i="50"/>
  <c r="N25" i="50"/>
  <c r="M25" i="50"/>
  <c r="L25" i="50"/>
  <c r="K25" i="50"/>
  <c r="D25" i="50"/>
  <c r="G24" i="50"/>
  <c r="H16" i="50"/>
  <c r="D23" i="50"/>
  <c r="G22" i="50"/>
  <c r="G16" i="50"/>
  <c r="D21" i="50"/>
  <c r="G20" i="50"/>
  <c r="M19" i="50"/>
  <c r="W16" i="50"/>
  <c r="V16" i="50"/>
  <c r="U16" i="50"/>
  <c r="E50" i="49"/>
  <c r="A50" i="49"/>
  <c r="E49" i="49"/>
  <c r="A49" i="49"/>
  <c r="E48" i="49"/>
  <c r="A48" i="49"/>
  <c r="E47" i="49"/>
  <c r="A47" i="49"/>
  <c r="E46" i="49"/>
  <c r="A46" i="49"/>
  <c r="E45" i="49"/>
  <c r="A45" i="49"/>
  <c r="E44" i="49"/>
  <c r="A44" i="49"/>
  <c r="E43" i="49"/>
  <c r="A43" i="49"/>
  <c r="X15" i="49"/>
  <c r="E42" i="49"/>
  <c r="A42" i="49"/>
  <c r="X14" i="49"/>
  <c r="E41" i="49"/>
  <c r="A41" i="49"/>
  <c r="X13" i="49"/>
  <c r="E40" i="49"/>
  <c r="A40" i="49"/>
  <c r="X12" i="49"/>
  <c r="E39" i="49"/>
  <c r="A39" i="49"/>
  <c r="X11" i="49"/>
  <c r="X10" i="49"/>
  <c r="X9" i="49"/>
  <c r="R16" i="49"/>
  <c r="Q16" i="49"/>
  <c r="X8" i="49"/>
  <c r="X7" i="49"/>
  <c r="X4" i="49"/>
  <c r="X5" i="49"/>
  <c r="X6" i="49"/>
  <c r="AE2" i="49"/>
  <c r="AF2" i="49"/>
  <c r="AG2" i="49"/>
  <c r="AH2" i="49"/>
  <c r="AI2" i="49"/>
  <c r="AG16" i="49"/>
  <c r="AE3" i="49"/>
  <c r="AF3" i="49"/>
  <c r="AG3" i="49"/>
  <c r="AH3" i="49"/>
  <c r="AI3" i="49"/>
  <c r="AG17" i="49"/>
  <c r="AE5" i="49"/>
  <c r="AF5" i="49"/>
  <c r="AG5" i="49"/>
  <c r="AH5" i="49"/>
  <c r="AI5" i="49"/>
  <c r="AG19" i="49"/>
  <c r="AE7" i="49"/>
  <c r="AF7" i="49"/>
  <c r="AG7" i="49"/>
  <c r="AH7" i="49"/>
  <c r="AI7" i="49"/>
  <c r="AG21" i="49"/>
  <c r="AE9" i="49"/>
  <c r="AF9" i="49"/>
  <c r="AG9" i="49"/>
  <c r="AH9" i="49"/>
  <c r="AI9" i="49"/>
  <c r="AG23" i="49"/>
  <c r="AE10" i="49"/>
  <c r="AF10" i="49"/>
  <c r="AG10" i="49"/>
  <c r="AH10" i="49"/>
  <c r="AI10" i="49"/>
  <c r="AG24" i="49"/>
  <c r="AE11" i="49"/>
  <c r="AF11" i="49"/>
  <c r="AG11" i="49"/>
  <c r="AH11" i="49"/>
  <c r="AI11" i="49"/>
  <c r="AG25" i="49"/>
  <c r="AE12" i="49"/>
  <c r="AF12" i="49"/>
  <c r="AG12" i="49"/>
  <c r="AH12" i="49"/>
  <c r="AI12" i="49"/>
  <c r="AG26" i="49"/>
  <c r="AE13" i="49"/>
  <c r="AF13" i="49"/>
  <c r="AG13" i="49"/>
  <c r="AH13" i="49"/>
  <c r="AI13" i="49"/>
  <c r="AG27" i="49"/>
  <c r="AF16" i="49"/>
  <c r="AF17" i="49"/>
  <c r="AF19" i="49"/>
  <c r="AF21" i="49"/>
  <c r="AF23" i="49"/>
  <c r="AF24" i="49"/>
  <c r="AF25" i="49"/>
  <c r="AF26" i="49"/>
  <c r="AF27" i="49"/>
  <c r="D31" i="49"/>
  <c r="J29" i="49"/>
  <c r="I29" i="49"/>
  <c r="H29" i="49"/>
  <c r="G29" i="49"/>
  <c r="F16" i="49"/>
  <c r="D29" i="49"/>
  <c r="AK2" i="49"/>
  <c r="AQ16" i="49"/>
  <c r="AL2" i="49"/>
  <c r="AR16" i="49"/>
  <c r="AM2" i="49"/>
  <c r="AS16" i="49"/>
  <c r="AN2" i="49"/>
  <c r="AT16" i="49"/>
  <c r="AO2" i="49"/>
  <c r="AU16" i="49"/>
  <c r="AP2" i="49"/>
  <c r="AV16" i="49"/>
  <c r="AQ2" i="49"/>
  <c r="AW16" i="49"/>
  <c r="AR2" i="49"/>
  <c r="AX16" i="49"/>
  <c r="AS2" i="49"/>
  <c r="AY16" i="49"/>
  <c r="AT2" i="49"/>
  <c r="AZ16" i="49"/>
  <c r="AU2" i="49"/>
  <c r="BA16" i="49"/>
  <c r="AV2" i="49"/>
  <c r="BB16" i="49"/>
  <c r="AW2" i="49"/>
  <c r="BC16" i="49"/>
  <c r="AX2" i="49"/>
  <c r="BD16" i="49"/>
  <c r="AY2" i="49"/>
  <c r="BE16" i="49"/>
  <c r="AZ2" i="49"/>
  <c r="BF16" i="49"/>
  <c r="BA2" i="49"/>
  <c r="BG16" i="49"/>
  <c r="BB2" i="49"/>
  <c r="BH16" i="49"/>
  <c r="BC2" i="49"/>
  <c r="BI16" i="49"/>
  <c r="BD2" i="49"/>
  <c r="BJ16" i="49"/>
  <c r="BE2" i="49"/>
  <c r="BK16" i="49"/>
  <c r="BF2" i="49"/>
  <c r="BL16" i="49"/>
  <c r="BG2" i="49"/>
  <c r="BM16" i="49"/>
  <c r="BH2" i="49"/>
  <c r="BN16" i="49"/>
  <c r="AP16" i="49"/>
  <c r="AK3" i="49"/>
  <c r="AQ17" i="49"/>
  <c r="AL3" i="49"/>
  <c r="AR17" i="49"/>
  <c r="AM3" i="49"/>
  <c r="AS17" i="49"/>
  <c r="AN3" i="49"/>
  <c r="AT17" i="49"/>
  <c r="AO3" i="49"/>
  <c r="AU17" i="49"/>
  <c r="AP3" i="49"/>
  <c r="AV17" i="49"/>
  <c r="AQ3" i="49"/>
  <c r="AW17" i="49"/>
  <c r="AR3" i="49"/>
  <c r="AX17" i="49"/>
  <c r="AS3" i="49"/>
  <c r="AY17" i="49"/>
  <c r="AT3" i="49"/>
  <c r="AZ17" i="49"/>
  <c r="AU3" i="49"/>
  <c r="BA17" i="49"/>
  <c r="AV3" i="49"/>
  <c r="BB17" i="49"/>
  <c r="AW3" i="49"/>
  <c r="BC17" i="49"/>
  <c r="AX3" i="49"/>
  <c r="BD17" i="49"/>
  <c r="AY3" i="49"/>
  <c r="BE17" i="49"/>
  <c r="AZ3" i="49"/>
  <c r="BF17" i="49"/>
  <c r="BA3" i="49"/>
  <c r="BG17" i="49"/>
  <c r="BB3" i="49"/>
  <c r="BH17" i="49"/>
  <c r="BC3" i="49"/>
  <c r="BI17" i="49"/>
  <c r="BD3" i="49"/>
  <c r="BJ17" i="49"/>
  <c r="BE3" i="49"/>
  <c r="BK17" i="49"/>
  <c r="BF3" i="49"/>
  <c r="BL17" i="49"/>
  <c r="BG3" i="49"/>
  <c r="BM17" i="49"/>
  <c r="BH3" i="49"/>
  <c r="BN17" i="49"/>
  <c r="AP17" i="49"/>
  <c r="AK4" i="49"/>
  <c r="AQ18" i="49"/>
  <c r="AL4" i="49"/>
  <c r="AR18" i="49"/>
  <c r="AM4" i="49"/>
  <c r="AS18" i="49"/>
  <c r="AN4" i="49"/>
  <c r="AT18" i="49"/>
  <c r="AO4" i="49"/>
  <c r="AU18" i="49"/>
  <c r="AP4" i="49"/>
  <c r="AV18" i="49"/>
  <c r="AQ4" i="49"/>
  <c r="AW18" i="49"/>
  <c r="AR4" i="49"/>
  <c r="AX18" i="49"/>
  <c r="AS4" i="49"/>
  <c r="AY18" i="49"/>
  <c r="AT4" i="49"/>
  <c r="AZ18" i="49"/>
  <c r="AU4" i="49"/>
  <c r="BA18" i="49"/>
  <c r="AV4" i="49"/>
  <c r="BB18" i="49"/>
  <c r="AW4" i="49"/>
  <c r="BC18" i="49"/>
  <c r="AX4" i="49"/>
  <c r="BD18" i="49"/>
  <c r="AY4" i="49"/>
  <c r="BE18" i="49"/>
  <c r="AZ4" i="49"/>
  <c r="BF18" i="49"/>
  <c r="BA4" i="49"/>
  <c r="BG18" i="49"/>
  <c r="BB4" i="49"/>
  <c r="BH18" i="49"/>
  <c r="BC4" i="49"/>
  <c r="BI18" i="49"/>
  <c r="BD4" i="49"/>
  <c r="BJ18" i="49"/>
  <c r="BE4" i="49"/>
  <c r="BK18" i="49"/>
  <c r="BF4" i="49"/>
  <c r="BL18" i="49"/>
  <c r="BG4" i="49"/>
  <c r="BM18" i="49"/>
  <c r="BH4" i="49"/>
  <c r="BN18" i="49"/>
  <c r="AP18" i="49"/>
  <c r="AK5" i="49"/>
  <c r="AQ19" i="49"/>
  <c r="AL5" i="49"/>
  <c r="AR19" i="49"/>
  <c r="AM5" i="49"/>
  <c r="AS19" i="49"/>
  <c r="AN5" i="49"/>
  <c r="AT19" i="49"/>
  <c r="AO5" i="49"/>
  <c r="AU19" i="49"/>
  <c r="AP5" i="49"/>
  <c r="AV19" i="49"/>
  <c r="AQ5" i="49"/>
  <c r="AW19" i="49"/>
  <c r="AR5" i="49"/>
  <c r="AX19" i="49"/>
  <c r="AS5" i="49"/>
  <c r="AY19" i="49"/>
  <c r="AT5" i="49"/>
  <c r="AZ19" i="49"/>
  <c r="AU5" i="49"/>
  <c r="BA19" i="49"/>
  <c r="AV5" i="49"/>
  <c r="BB19" i="49"/>
  <c r="AW5" i="49"/>
  <c r="BC19" i="49"/>
  <c r="AX5" i="49"/>
  <c r="BD19" i="49"/>
  <c r="AY5" i="49"/>
  <c r="BE19" i="49"/>
  <c r="AZ5" i="49"/>
  <c r="BF19" i="49"/>
  <c r="BA5" i="49"/>
  <c r="BG19" i="49"/>
  <c r="BB5" i="49"/>
  <c r="BH19" i="49"/>
  <c r="BC5" i="49"/>
  <c r="BI19" i="49"/>
  <c r="BD5" i="49"/>
  <c r="BJ19" i="49"/>
  <c r="BE5" i="49"/>
  <c r="BK19" i="49"/>
  <c r="BF5" i="49"/>
  <c r="BL19" i="49"/>
  <c r="BG5" i="49"/>
  <c r="BM19" i="49"/>
  <c r="BH5" i="49"/>
  <c r="BN19" i="49"/>
  <c r="AP19" i="49"/>
  <c r="AK6" i="49"/>
  <c r="AQ20" i="49"/>
  <c r="AL6" i="49"/>
  <c r="AR20" i="49"/>
  <c r="AM6" i="49"/>
  <c r="AS20" i="49"/>
  <c r="AN6" i="49"/>
  <c r="AT20" i="49"/>
  <c r="AO6" i="49"/>
  <c r="AU20" i="49"/>
  <c r="AP6" i="49"/>
  <c r="AV20" i="49"/>
  <c r="AQ6" i="49"/>
  <c r="AW20" i="49"/>
  <c r="AR6" i="49"/>
  <c r="AX20" i="49"/>
  <c r="AS6" i="49"/>
  <c r="AY20" i="49"/>
  <c r="AT6" i="49"/>
  <c r="AZ20" i="49"/>
  <c r="AU6" i="49"/>
  <c r="BA20" i="49"/>
  <c r="AV6" i="49"/>
  <c r="BB20" i="49"/>
  <c r="AW6" i="49"/>
  <c r="BC20" i="49"/>
  <c r="AX6" i="49"/>
  <c r="BD20" i="49"/>
  <c r="AY6" i="49"/>
  <c r="BE20" i="49"/>
  <c r="AZ6" i="49"/>
  <c r="BF20" i="49"/>
  <c r="BA6" i="49"/>
  <c r="BG20" i="49"/>
  <c r="BB6" i="49"/>
  <c r="BH20" i="49"/>
  <c r="BC6" i="49"/>
  <c r="BI20" i="49"/>
  <c r="BD6" i="49"/>
  <c r="BJ20" i="49"/>
  <c r="BE6" i="49"/>
  <c r="BK20" i="49"/>
  <c r="BF6" i="49"/>
  <c r="BL20" i="49"/>
  <c r="BG6" i="49"/>
  <c r="BM20" i="49"/>
  <c r="BH6" i="49"/>
  <c r="BN20" i="49"/>
  <c r="AP20" i="49"/>
  <c r="AK7" i="49"/>
  <c r="AQ21" i="49"/>
  <c r="AL7" i="49"/>
  <c r="AR21" i="49"/>
  <c r="AM7" i="49"/>
  <c r="AS21" i="49"/>
  <c r="AN7" i="49"/>
  <c r="AT21" i="49"/>
  <c r="AO7" i="49"/>
  <c r="AU21" i="49"/>
  <c r="AP7" i="49"/>
  <c r="AV21" i="49"/>
  <c r="AQ7" i="49"/>
  <c r="AW21" i="49"/>
  <c r="AR7" i="49"/>
  <c r="AX21" i="49"/>
  <c r="AS7" i="49"/>
  <c r="AY21" i="49"/>
  <c r="AT7" i="49"/>
  <c r="AZ21" i="49"/>
  <c r="AU7" i="49"/>
  <c r="BA21" i="49"/>
  <c r="AV7" i="49"/>
  <c r="BB21" i="49"/>
  <c r="AW7" i="49"/>
  <c r="BC21" i="49"/>
  <c r="AX7" i="49"/>
  <c r="BD21" i="49"/>
  <c r="AY7" i="49"/>
  <c r="BE21" i="49"/>
  <c r="AZ7" i="49"/>
  <c r="BF21" i="49"/>
  <c r="BA7" i="49"/>
  <c r="BG21" i="49"/>
  <c r="BB7" i="49"/>
  <c r="BH21" i="49"/>
  <c r="BC7" i="49"/>
  <c r="BI21" i="49"/>
  <c r="BD7" i="49"/>
  <c r="BJ21" i="49"/>
  <c r="BE7" i="49"/>
  <c r="BK21" i="49"/>
  <c r="BF7" i="49"/>
  <c r="BL21" i="49"/>
  <c r="BG7" i="49"/>
  <c r="BM21" i="49"/>
  <c r="BH7" i="49"/>
  <c r="BN21" i="49"/>
  <c r="AP21" i="49"/>
  <c r="AK8" i="49"/>
  <c r="AQ22" i="49"/>
  <c r="AL8" i="49"/>
  <c r="AR22" i="49"/>
  <c r="AM8" i="49"/>
  <c r="AS22" i="49"/>
  <c r="AN8" i="49"/>
  <c r="AT22" i="49"/>
  <c r="AO8" i="49"/>
  <c r="AU22" i="49"/>
  <c r="AP8" i="49"/>
  <c r="AV22" i="49"/>
  <c r="AQ8" i="49"/>
  <c r="AW22" i="49"/>
  <c r="AR8" i="49"/>
  <c r="AX22" i="49"/>
  <c r="AS8" i="49"/>
  <c r="AY22" i="49"/>
  <c r="AT8" i="49"/>
  <c r="AZ22" i="49"/>
  <c r="AU8" i="49"/>
  <c r="BA22" i="49"/>
  <c r="AV8" i="49"/>
  <c r="BB22" i="49"/>
  <c r="AW8" i="49"/>
  <c r="BC22" i="49"/>
  <c r="AX8" i="49"/>
  <c r="BD22" i="49"/>
  <c r="AY8" i="49"/>
  <c r="BE22" i="49"/>
  <c r="AZ8" i="49"/>
  <c r="BF22" i="49"/>
  <c r="BA8" i="49"/>
  <c r="BG22" i="49"/>
  <c r="BB8" i="49"/>
  <c r="BH22" i="49"/>
  <c r="BC8" i="49"/>
  <c r="BI22" i="49"/>
  <c r="BD8" i="49"/>
  <c r="BJ22" i="49"/>
  <c r="BE8" i="49"/>
  <c r="BK22" i="49"/>
  <c r="BF8" i="49"/>
  <c r="BL22" i="49"/>
  <c r="BG8" i="49"/>
  <c r="BM22" i="49"/>
  <c r="BH8" i="49"/>
  <c r="BN22" i="49"/>
  <c r="AP22" i="49"/>
  <c r="AK9" i="49"/>
  <c r="AQ23" i="49"/>
  <c r="AL9" i="49"/>
  <c r="AR23" i="49"/>
  <c r="AM9" i="49"/>
  <c r="AS23" i="49"/>
  <c r="AN9" i="49"/>
  <c r="AT23" i="49"/>
  <c r="AO9" i="49"/>
  <c r="AU23" i="49"/>
  <c r="AP9" i="49"/>
  <c r="AV23" i="49"/>
  <c r="AQ9" i="49"/>
  <c r="AW23" i="49"/>
  <c r="AR9" i="49"/>
  <c r="AX23" i="49"/>
  <c r="AS9" i="49"/>
  <c r="AY23" i="49"/>
  <c r="AT9" i="49"/>
  <c r="AZ23" i="49"/>
  <c r="AU9" i="49"/>
  <c r="BA23" i="49"/>
  <c r="AV9" i="49"/>
  <c r="BB23" i="49"/>
  <c r="AW9" i="49"/>
  <c r="BC23" i="49"/>
  <c r="AX9" i="49"/>
  <c r="BD23" i="49"/>
  <c r="AY9" i="49"/>
  <c r="BE23" i="49"/>
  <c r="AZ9" i="49"/>
  <c r="BF23" i="49"/>
  <c r="BA9" i="49"/>
  <c r="BG23" i="49"/>
  <c r="BB9" i="49"/>
  <c r="BH23" i="49"/>
  <c r="BC9" i="49"/>
  <c r="BI23" i="49"/>
  <c r="BD9" i="49"/>
  <c r="BJ23" i="49"/>
  <c r="BE9" i="49"/>
  <c r="BK23" i="49"/>
  <c r="BF9" i="49"/>
  <c r="BL23" i="49"/>
  <c r="BG9" i="49"/>
  <c r="BM23" i="49"/>
  <c r="BH9" i="49"/>
  <c r="BN23" i="49"/>
  <c r="AP23" i="49"/>
  <c r="AK10" i="49"/>
  <c r="AQ24" i="49"/>
  <c r="AL10" i="49"/>
  <c r="AR24" i="49"/>
  <c r="AM10" i="49"/>
  <c r="AS24" i="49"/>
  <c r="AN10" i="49"/>
  <c r="AT24" i="49"/>
  <c r="AO10" i="49"/>
  <c r="AU24" i="49"/>
  <c r="AP10" i="49"/>
  <c r="AV24" i="49"/>
  <c r="AQ10" i="49"/>
  <c r="AW24" i="49"/>
  <c r="AR10" i="49"/>
  <c r="AX24" i="49"/>
  <c r="AS10" i="49"/>
  <c r="AY24" i="49"/>
  <c r="AT10" i="49"/>
  <c r="AZ24" i="49"/>
  <c r="AU10" i="49"/>
  <c r="BA24" i="49"/>
  <c r="AV10" i="49"/>
  <c r="BB24" i="49"/>
  <c r="AW10" i="49"/>
  <c r="BC24" i="49"/>
  <c r="AX10" i="49"/>
  <c r="BD24" i="49"/>
  <c r="AY10" i="49"/>
  <c r="BE24" i="49"/>
  <c r="AZ10" i="49"/>
  <c r="BF24" i="49"/>
  <c r="BA10" i="49"/>
  <c r="BG24" i="49"/>
  <c r="BB10" i="49"/>
  <c r="BH24" i="49"/>
  <c r="BC10" i="49"/>
  <c r="BI24" i="49"/>
  <c r="BD10" i="49"/>
  <c r="BJ24" i="49"/>
  <c r="BE10" i="49"/>
  <c r="BK24" i="49"/>
  <c r="BF10" i="49"/>
  <c r="BL24" i="49"/>
  <c r="BG10" i="49"/>
  <c r="BM24" i="49"/>
  <c r="BH10" i="49"/>
  <c r="BN24" i="49"/>
  <c r="AP24" i="49"/>
  <c r="AK11" i="49"/>
  <c r="AQ25" i="49"/>
  <c r="AL11" i="49"/>
  <c r="AR25" i="49"/>
  <c r="AM11" i="49"/>
  <c r="AS25" i="49"/>
  <c r="AN11" i="49"/>
  <c r="AT25" i="49"/>
  <c r="AO11" i="49"/>
  <c r="AU25" i="49"/>
  <c r="AP11" i="49"/>
  <c r="AV25" i="49"/>
  <c r="AQ11" i="49"/>
  <c r="AW25" i="49"/>
  <c r="AR11" i="49"/>
  <c r="AX25" i="49"/>
  <c r="AS11" i="49"/>
  <c r="AY25" i="49"/>
  <c r="AT11" i="49"/>
  <c r="AZ25" i="49"/>
  <c r="AU11" i="49"/>
  <c r="BA25" i="49"/>
  <c r="AV11" i="49"/>
  <c r="BB25" i="49"/>
  <c r="AW11" i="49"/>
  <c r="BC25" i="49"/>
  <c r="AX11" i="49"/>
  <c r="BD25" i="49"/>
  <c r="AY11" i="49"/>
  <c r="BE25" i="49"/>
  <c r="AZ11" i="49"/>
  <c r="BF25" i="49"/>
  <c r="BA11" i="49"/>
  <c r="BG25" i="49"/>
  <c r="BB11" i="49"/>
  <c r="BH25" i="49"/>
  <c r="BC11" i="49"/>
  <c r="BI25" i="49"/>
  <c r="BD11" i="49"/>
  <c r="BJ25" i="49"/>
  <c r="BE11" i="49"/>
  <c r="BK25" i="49"/>
  <c r="BF11" i="49"/>
  <c r="BL25" i="49"/>
  <c r="BG11" i="49"/>
  <c r="BM25" i="49"/>
  <c r="BH11" i="49"/>
  <c r="BN25" i="49"/>
  <c r="AP25" i="49"/>
  <c r="AK12" i="49"/>
  <c r="AQ26" i="49"/>
  <c r="AL12" i="49"/>
  <c r="AR26" i="49"/>
  <c r="AM12" i="49"/>
  <c r="AS26" i="49"/>
  <c r="AN12" i="49"/>
  <c r="AT26" i="49"/>
  <c r="AO12" i="49"/>
  <c r="AU26" i="49"/>
  <c r="AP12" i="49"/>
  <c r="AV26" i="49"/>
  <c r="AQ12" i="49"/>
  <c r="AW26" i="49"/>
  <c r="AR12" i="49"/>
  <c r="AX26" i="49"/>
  <c r="AS12" i="49"/>
  <c r="AY26" i="49"/>
  <c r="AT12" i="49"/>
  <c r="AZ26" i="49"/>
  <c r="AU12" i="49"/>
  <c r="BA26" i="49"/>
  <c r="AV12" i="49"/>
  <c r="BB26" i="49"/>
  <c r="AW12" i="49"/>
  <c r="BC26" i="49"/>
  <c r="AX12" i="49"/>
  <c r="BD26" i="49"/>
  <c r="AY12" i="49"/>
  <c r="BE26" i="49"/>
  <c r="AZ12" i="49"/>
  <c r="BF26" i="49"/>
  <c r="BA12" i="49"/>
  <c r="BG26" i="49"/>
  <c r="BB12" i="49"/>
  <c r="BH26" i="49"/>
  <c r="BC12" i="49"/>
  <c r="BI26" i="49"/>
  <c r="BD12" i="49"/>
  <c r="BJ26" i="49"/>
  <c r="BE12" i="49"/>
  <c r="BK26" i="49"/>
  <c r="BF12" i="49"/>
  <c r="BL26" i="49"/>
  <c r="BG12" i="49"/>
  <c r="BM26" i="49"/>
  <c r="BH12" i="49"/>
  <c r="BN26" i="49"/>
  <c r="AP26" i="49"/>
  <c r="AK13" i="49"/>
  <c r="AQ27" i="49"/>
  <c r="AL13" i="49"/>
  <c r="AR27" i="49"/>
  <c r="AM13" i="49"/>
  <c r="AS27" i="49"/>
  <c r="AN13" i="49"/>
  <c r="AT27" i="49"/>
  <c r="AO13" i="49"/>
  <c r="AU27" i="49"/>
  <c r="AP13" i="49"/>
  <c r="AV27" i="49"/>
  <c r="AQ13" i="49"/>
  <c r="AW27" i="49"/>
  <c r="AR13" i="49"/>
  <c r="AX27" i="49"/>
  <c r="AS13" i="49"/>
  <c r="AY27" i="49"/>
  <c r="AT13" i="49"/>
  <c r="AZ27" i="49"/>
  <c r="AU13" i="49"/>
  <c r="BA27" i="49"/>
  <c r="AV13" i="49"/>
  <c r="BB27" i="49"/>
  <c r="AW13" i="49"/>
  <c r="BC27" i="49"/>
  <c r="AX13" i="49"/>
  <c r="BD27" i="49"/>
  <c r="AY13" i="49"/>
  <c r="BE27" i="49"/>
  <c r="AZ13" i="49"/>
  <c r="BF27" i="49"/>
  <c r="BA13" i="49"/>
  <c r="BG27" i="49"/>
  <c r="BB13" i="49"/>
  <c r="BH27" i="49"/>
  <c r="BC13" i="49"/>
  <c r="BI27" i="49"/>
  <c r="BD13" i="49"/>
  <c r="BJ27" i="49"/>
  <c r="BE13" i="49"/>
  <c r="BK27" i="49"/>
  <c r="BF13" i="49"/>
  <c r="BL27" i="49"/>
  <c r="BG13" i="49"/>
  <c r="BM27" i="49"/>
  <c r="BH13" i="49"/>
  <c r="BN27" i="49"/>
  <c r="AP27" i="49"/>
  <c r="AP28" i="49"/>
  <c r="AN16" i="49"/>
  <c r="AN17" i="49"/>
  <c r="AN18" i="49"/>
  <c r="AN19" i="49"/>
  <c r="AN20" i="49"/>
  <c r="AN21" i="49"/>
  <c r="AN22" i="49"/>
  <c r="AN23" i="49"/>
  <c r="AN24" i="49"/>
  <c r="AN25" i="49"/>
  <c r="AN26" i="49"/>
  <c r="AN27" i="49"/>
  <c r="AN28" i="49"/>
  <c r="AM16" i="49"/>
  <c r="AM17" i="49"/>
  <c r="AM18" i="49"/>
  <c r="AM19" i="49"/>
  <c r="AM20" i="49"/>
  <c r="AM21" i="49"/>
  <c r="AM22" i="49"/>
  <c r="AM23" i="49"/>
  <c r="AM24" i="49"/>
  <c r="AM25" i="49"/>
  <c r="AM26" i="49"/>
  <c r="AM27" i="49"/>
  <c r="AM28" i="49"/>
  <c r="AL16" i="49"/>
  <c r="AL17" i="49"/>
  <c r="AL18" i="49"/>
  <c r="AL19" i="49"/>
  <c r="AL20" i="49"/>
  <c r="AL21" i="49"/>
  <c r="AL22" i="49"/>
  <c r="AL23" i="49"/>
  <c r="AL24" i="49"/>
  <c r="AL25" i="49"/>
  <c r="AL26" i="49"/>
  <c r="AL27" i="49"/>
  <c r="AL28" i="49"/>
  <c r="AK16" i="49"/>
  <c r="AK17" i="49"/>
  <c r="AK18" i="49"/>
  <c r="AK19" i="49"/>
  <c r="AK20" i="49"/>
  <c r="AK21" i="49"/>
  <c r="AK22" i="49"/>
  <c r="AK23" i="49"/>
  <c r="AK24" i="49"/>
  <c r="AK25" i="49"/>
  <c r="AK26" i="49"/>
  <c r="AK27" i="49"/>
  <c r="AK28" i="49"/>
  <c r="Z2" i="49"/>
  <c r="AA2" i="49"/>
  <c r="AB2" i="49"/>
  <c r="AC2" i="49"/>
  <c r="AA16" i="49"/>
  <c r="Z3" i="49"/>
  <c r="AA3" i="49"/>
  <c r="AB3" i="49"/>
  <c r="AC3" i="49"/>
  <c r="AA17" i="49"/>
  <c r="Z4" i="49"/>
  <c r="AA4" i="49"/>
  <c r="AB4" i="49"/>
  <c r="AC4" i="49"/>
  <c r="AA18" i="49"/>
  <c r="Z5" i="49"/>
  <c r="AA5" i="49"/>
  <c r="AB5" i="49"/>
  <c r="AC5" i="49"/>
  <c r="AA19" i="49"/>
  <c r="Z6" i="49"/>
  <c r="AA6" i="49"/>
  <c r="AB6" i="49"/>
  <c r="AC6" i="49"/>
  <c r="AA20" i="49"/>
  <c r="Z7" i="49"/>
  <c r="AA7" i="49"/>
  <c r="AB7" i="49"/>
  <c r="AC7" i="49"/>
  <c r="AA21" i="49"/>
  <c r="Z8" i="49"/>
  <c r="AA8" i="49"/>
  <c r="AB8" i="49"/>
  <c r="AC8" i="49"/>
  <c r="AA22" i="49"/>
  <c r="Z9" i="49"/>
  <c r="AA9" i="49"/>
  <c r="AB9" i="49"/>
  <c r="AC9" i="49"/>
  <c r="AA23" i="49"/>
  <c r="Z10" i="49"/>
  <c r="AA10" i="49"/>
  <c r="AB10" i="49"/>
  <c r="AC10" i="49"/>
  <c r="AA24" i="49"/>
  <c r="Z11" i="49"/>
  <c r="AA11" i="49"/>
  <c r="AB11" i="49"/>
  <c r="AC11" i="49"/>
  <c r="AA25" i="49"/>
  <c r="Z12" i="49"/>
  <c r="AA12" i="49"/>
  <c r="AB12" i="49"/>
  <c r="AC12" i="49"/>
  <c r="AA26" i="49"/>
  <c r="Z13" i="49"/>
  <c r="AA13" i="49"/>
  <c r="AB13" i="49"/>
  <c r="AC13" i="49"/>
  <c r="AA27" i="49"/>
  <c r="AA28" i="49"/>
  <c r="Z16" i="49"/>
  <c r="Z17" i="49"/>
  <c r="Z18" i="49"/>
  <c r="Z19" i="49"/>
  <c r="Z20" i="49"/>
  <c r="Z21" i="49"/>
  <c r="Z22" i="49"/>
  <c r="Z23" i="49"/>
  <c r="Z24" i="49"/>
  <c r="Z25" i="49"/>
  <c r="Z26" i="49"/>
  <c r="Z27" i="49"/>
  <c r="Z28" i="49"/>
  <c r="S28" i="49"/>
  <c r="R28" i="49"/>
  <c r="Q28" i="49"/>
  <c r="P28" i="49"/>
  <c r="N28" i="49"/>
  <c r="M28" i="49"/>
  <c r="L28" i="49"/>
  <c r="K28" i="49"/>
  <c r="D27" i="49"/>
  <c r="G26" i="49"/>
  <c r="N25" i="49"/>
  <c r="M25" i="49"/>
  <c r="L25" i="49"/>
  <c r="K25" i="49"/>
  <c r="D25" i="49"/>
  <c r="G24" i="49"/>
  <c r="H16" i="49"/>
  <c r="D23" i="49"/>
  <c r="G22" i="49"/>
  <c r="G16" i="49"/>
  <c r="D21" i="49"/>
  <c r="G20" i="49"/>
  <c r="M19" i="49"/>
  <c r="E16" i="49"/>
  <c r="W16" i="49"/>
  <c r="V16" i="49"/>
  <c r="U16" i="49"/>
  <c r="M16" i="49"/>
  <c r="E50" i="48"/>
  <c r="A50" i="48"/>
  <c r="E49" i="48"/>
  <c r="A49" i="48"/>
  <c r="E48" i="48"/>
  <c r="A48" i="48"/>
  <c r="E47" i="48"/>
  <c r="A47" i="48"/>
  <c r="E46" i="48"/>
  <c r="A46" i="48"/>
  <c r="E45" i="48"/>
  <c r="A45" i="48"/>
  <c r="E44" i="48"/>
  <c r="A44" i="48"/>
  <c r="E43" i="48"/>
  <c r="A43" i="48"/>
  <c r="E42" i="48"/>
  <c r="A42" i="48"/>
  <c r="E41" i="48"/>
  <c r="A41" i="48"/>
  <c r="E40" i="48"/>
  <c r="A40" i="48"/>
  <c r="X12" i="48"/>
  <c r="E39" i="48"/>
  <c r="A39" i="48"/>
  <c r="X5" i="48"/>
  <c r="X6" i="48"/>
  <c r="AE3" i="48"/>
  <c r="AF3" i="48"/>
  <c r="AG3" i="48"/>
  <c r="AH3" i="48"/>
  <c r="AI3" i="48"/>
  <c r="AG17" i="48"/>
  <c r="AE4" i="48"/>
  <c r="AF4" i="48"/>
  <c r="AG4" i="48"/>
  <c r="AH4" i="48"/>
  <c r="AI4" i="48"/>
  <c r="AG18" i="48"/>
  <c r="AE6" i="48"/>
  <c r="AF6" i="48"/>
  <c r="AG6" i="48"/>
  <c r="AH6" i="48"/>
  <c r="AI6" i="48"/>
  <c r="AG20" i="48"/>
  <c r="AE7" i="48"/>
  <c r="AF7" i="48"/>
  <c r="AG7" i="48"/>
  <c r="AH7" i="48"/>
  <c r="AI7" i="48"/>
  <c r="AG21" i="48"/>
  <c r="AE8" i="48"/>
  <c r="AF8" i="48"/>
  <c r="AG8" i="48"/>
  <c r="AH8" i="48"/>
  <c r="AI8" i="48"/>
  <c r="AG22" i="48"/>
  <c r="AE9" i="48"/>
  <c r="AF9" i="48"/>
  <c r="AG9" i="48"/>
  <c r="AH9" i="48"/>
  <c r="AI9" i="48"/>
  <c r="AG23" i="48"/>
  <c r="AE13" i="48"/>
  <c r="AF13" i="48"/>
  <c r="AG13" i="48"/>
  <c r="AH13" i="48"/>
  <c r="AI13" i="48"/>
  <c r="AG27" i="48"/>
  <c r="AF17" i="48"/>
  <c r="AF18" i="48"/>
  <c r="AF20" i="48"/>
  <c r="AF21" i="48"/>
  <c r="AF22" i="48"/>
  <c r="AF23" i="48"/>
  <c r="AF27" i="48"/>
  <c r="D31" i="48"/>
  <c r="J29" i="48"/>
  <c r="I29" i="48"/>
  <c r="H29" i="48"/>
  <c r="G29" i="48"/>
  <c r="F16" i="48"/>
  <c r="D29" i="48"/>
  <c r="AK2" i="48"/>
  <c r="AQ16" i="48"/>
  <c r="AL2" i="48"/>
  <c r="AR16" i="48"/>
  <c r="AM2" i="48"/>
  <c r="AS16" i="48"/>
  <c r="AN2" i="48"/>
  <c r="AT16" i="48"/>
  <c r="AO2" i="48"/>
  <c r="AU16" i="48"/>
  <c r="AP2" i="48"/>
  <c r="AV16" i="48"/>
  <c r="AQ2" i="48"/>
  <c r="AW16" i="48"/>
  <c r="AR2" i="48"/>
  <c r="AX16" i="48"/>
  <c r="AS2" i="48"/>
  <c r="AY16" i="48"/>
  <c r="AT2" i="48"/>
  <c r="AZ16" i="48"/>
  <c r="AU2" i="48"/>
  <c r="BA16" i="48"/>
  <c r="AV2" i="48"/>
  <c r="BB16" i="48"/>
  <c r="AW2" i="48"/>
  <c r="BC16" i="48"/>
  <c r="AX2" i="48"/>
  <c r="BD16" i="48"/>
  <c r="AY2" i="48"/>
  <c r="BE16" i="48"/>
  <c r="AZ2" i="48"/>
  <c r="BF16" i="48"/>
  <c r="BA2" i="48"/>
  <c r="BG16" i="48"/>
  <c r="BB2" i="48"/>
  <c r="BH16" i="48"/>
  <c r="BC2" i="48"/>
  <c r="BI16" i="48"/>
  <c r="BD2" i="48"/>
  <c r="BJ16" i="48"/>
  <c r="BE2" i="48"/>
  <c r="BK16" i="48"/>
  <c r="BF2" i="48"/>
  <c r="BL16" i="48"/>
  <c r="BG2" i="48"/>
  <c r="BM16" i="48"/>
  <c r="BH2" i="48"/>
  <c r="BN16" i="48"/>
  <c r="AP16" i="48"/>
  <c r="AK3" i="48"/>
  <c r="AQ17" i="48"/>
  <c r="AL3" i="48"/>
  <c r="AR17" i="48"/>
  <c r="AM3" i="48"/>
  <c r="AS17" i="48"/>
  <c r="AN3" i="48"/>
  <c r="AT17" i="48"/>
  <c r="AO3" i="48"/>
  <c r="AU17" i="48"/>
  <c r="AP3" i="48"/>
  <c r="AV17" i="48"/>
  <c r="AQ3" i="48"/>
  <c r="AW17" i="48"/>
  <c r="AR3" i="48"/>
  <c r="AX17" i="48"/>
  <c r="AS3" i="48"/>
  <c r="AY17" i="48"/>
  <c r="AT3" i="48"/>
  <c r="AZ17" i="48"/>
  <c r="AU3" i="48"/>
  <c r="BA17" i="48"/>
  <c r="AV3" i="48"/>
  <c r="BB17" i="48"/>
  <c r="AW3" i="48"/>
  <c r="BC17" i="48"/>
  <c r="AX3" i="48"/>
  <c r="BD17" i="48"/>
  <c r="AY3" i="48"/>
  <c r="BE17" i="48"/>
  <c r="AZ3" i="48"/>
  <c r="BF17" i="48"/>
  <c r="BA3" i="48"/>
  <c r="BG17" i="48"/>
  <c r="BB3" i="48"/>
  <c r="BH17" i="48"/>
  <c r="BC3" i="48"/>
  <c r="BI17" i="48"/>
  <c r="BD3" i="48"/>
  <c r="BJ17" i="48"/>
  <c r="BE3" i="48"/>
  <c r="BK17" i="48"/>
  <c r="BF3" i="48"/>
  <c r="BL17" i="48"/>
  <c r="BG3" i="48"/>
  <c r="BM17" i="48"/>
  <c r="BH3" i="48"/>
  <c r="BN17" i="48"/>
  <c r="AP17" i="48"/>
  <c r="AK4" i="48"/>
  <c r="AQ18" i="48"/>
  <c r="AL4" i="48"/>
  <c r="AR18" i="48"/>
  <c r="AM4" i="48"/>
  <c r="AS18" i="48"/>
  <c r="AN4" i="48"/>
  <c r="AT18" i="48"/>
  <c r="AO4" i="48"/>
  <c r="AU18" i="48"/>
  <c r="AP4" i="48"/>
  <c r="AV18" i="48"/>
  <c r="AQ4" i="48"/>
  <c r="AW18" i="48"/>
  <c r="AR4" i="48"/>
  <c r="AX18" i="48"/>
  <c r="AS4" i="48"/>
  <c r="AY18" i="48"/>
  <c r="AT4" i="48"/>
  <c r="AZ18" i="48"/>
  <c r="AU4" i="48"/>
  <c r="BA18" i="48"/>
  <c r="AV4" i="48"/>
  <c r="BB18" i="48"/>
  <c r="AW4" i="48"/>
  <c r="BC18" i="48"/>
  <c r="AX4" i="48"/>
  <c r="BD18" i="48"/>
  <c r="AY4" i="48"/>
  <c r="BE18" i="48"/>
  <c r="AZ4" i="48"/>
  <c r="BF18" i="48"/>
  <c r="BA4" i="48"/>
  <c r="BG18" i="48"/>
  <c r="BB4" i="48"/>
  <c r="BH18" i="48"/>
  <c r="BC4" i="48"/>
  <c r="BI18" i="48"/>
  <c r="BD4" i="48"/>
  <c r="BJ18" i="48"/>
  <c r="BE4" i="48"/>
  <c r="BK18" i="48"/>
  <c r="BF4" i="48"/>
  <c r="BL18" i="48"/>
  <c r="BG4" i="48"/>
  <c r="BM18" i="48"/>
  <c r="BH4" i="48"/>
  <c r="BN18" i="48"/>
  <c r="AP18" i="48"/>
  <c r="AK5" i="48"/>
  <c r="AQ19" i="48"/>
  <c r="AL5" i="48"/>
  <c r="AR19" i="48"/>
  <c r="AM5" i="48"/>
  <c r="AS19" i="48"/>
  <c r="AN5" i="48"/>
  <c r="AT19" i="48"/>
  <c r="AO5" i="48"/>
  <c r="AU19" i="48"/>
  <c r="AP5" i="48"/>
  <c r="AV19" i="48"/>
  <c r="AQ5" i="48"/>
  <c r="AW19" i="48"/>
  <c r="AR5" i="48"/>
  <c r="AX19" i="48"/>
  <c r="AS5" i="48"/>
  <c r="AY19" i="48"/>
  <c r="AT5" i="48"/>
  <c r="AZ19" i="48"/>
  <c r="AU5" i="48"/>
  <c r="BA19" i="48"/>
  <c r="AV5" i="48"/>
  <c r="BB19" i="48"/>
  <c r="AW5" i="48"/>
  <c r="BC19" i="48"/>
  <c r="AX5" i="48"/>
  <c r="BD19" i="48"/>
  <c r="AY5" i="48"/>
  <c r="BE19" i="48"/>
  <c r="AZ5" i="48"/>
  <c r="BF19" i="48"/>
  <c r="BA5" i="48"/>
  <c r="BG19" i="48"/>
  <c r="BB5" i="48"/>
  <c r="BH19" i="48"/>
  <c r="BC5" i="48"/>
  <c r="BI19" i="48"/>
  <c r="BD5" i="48"/>
  <c r="BJ19" i="48"/>
  <c r="BE5" i="48"/>
  <c r="BK19" i="48"/>
  <c r="BF5" i="48"/>
  <c r="BL19" i="48"/>
  <c r="BG5" i="48"/>
  <c r="BM19" i="48"/>
  <c r="BH5" i="48"/>
  <c r="BN19" i="48"/>
  <c r="AP19" i="48"/>
  <c r="AK6" i="48"/>
  <c r="AQ20" i="48"/>
  <c r="AL6" i="48"/>
  <c r="AR20" i="48"/>
  <c r="AM6" i="48"/>
  <c r="AS20" i="48"/>
  <c r="AN6" i="48"/>
  <c r="AT20" i="48"/>
  <c r="AO6" i="48"/>
  <c r="AU20" i="48"/>
  <c r="AP6" i="48"/>
  <c r="AV20" i="48"/>
  <c r="AQ6" i="48"/>
  <c r="AW20" i="48"/>
  <c r="AR6" i="48"/>
  <c r="AX20" i="48"/>
  <c r="AS6" i="48"/>
  <c r="AY20" i="48"/>
  <c r="AT6" i="48"/>
  <c r="AZ20" i="48"/>
  <c r="AU6" i="48"/>
  <c r="BA20" i="48"/>
  <c r="AV6" i="48"/>
  <c r="BB20" i="48"/>
  <c r="AW6" i="48"/>
  <c r="BC20" i="48"/>
  <c r="AX6" i="48"/>
  <c r="BD20" i="48"/>
  <c r="AY6" i="48"/>
  <c r="BE20" i="48"/>
  <c r="AZ6" i="48"/>
  <c r="BF20" i="48"/>
  <c r="BA6" i="48"/>
  <c r="BG20" i="48"/>
  <c r="BB6" i="48"/>
  <c r="BH20" i="48"/>
  <c r="BC6" i="48"/>
  <c r="BI20" i="48"/>
  <c r="BD6" i="48"/>
  <c r="BJ20" i="48"/>
  <c r="BE6" i="48"/>
  <c r="BK20" i="48"/>
  <c r="BF6" i="48"/>
  <c r="BL20" i="48"/>
  <c r="BG6" i="48"/>
  <c r="BM20" i="48"/>
  <c r="BH6" i="48"/>
  <c r="BN20" i="48"/>
  <c r="AP20" i="48"/>
  <c r="AK7" i="48"/>
  <c r="AQ21" i="48"/>
  <c r="AL7" i="48"/>
  <c r="AR21" i="48"/>
  <c r="AM7" i="48"/>
  <c r="AS21" i="48"/>
  <c r="AN7" i="48"/>
  <c r="AT21" i="48"/>
  <c r="AO7" i="48"/>
  <c r="AU21" i="48"/>
  <c r="AP7" i="48"/>
  <c r="AV21" i="48"/>
  <c r="AQ7" i="48"/>
  <c r="AW21" i="48"/>
  <c r="AR7" i="48"/>
  <c r="AX21" i="48"/>
  <c r="AS7" i="48"/>
  <c r="AY21" i="48"/>
  <c r="AT7" i="48"/>
  <c r="AZ21" i="48"/>
  <c r="AU7" i="48"/>
  <c r="BA21" i="48"/>
  <c r="AV7" i="48"/>
  <c r="BB21" i="48"/>
  <c r="AW7" i="48"/>
  <c r="BC21" i="48"/>
  <c r="AX7" i="48"/>
  <c r="BD21" i="48"/>
  <c r="AY7" i="48"/>
  <c r="BE21" i="48"/>
  <c r="AZ7" i="48"/>
  <c r="BF21" i="48"/>
  <c r="BA7" i="48"/>
  <c r="BG21" i="48"/>
  <c r="BB7" i="48"/>
  <c r="BH21" i="48"/>
  <c r="BC7" i="48"/>
  <c r="BI21" i="48"/>
  <c r="BD7" i="48"/>
  <c r="BJ21" i="48"/>
  <c r="BE7" i="48"/>
  <c r="BK21" i="48"/>
  <c r="BF7" i="48"/>
  <c r="BL21" i="48"/>
  <c r="BG7" i="48"/>
  <c r="BM21" i="48"/>
  <c r="BH7" i="48"/>
  <c r="BN21" i="48"/>
  <c r="AP21" i="48"/>
  <c r="AK8" i="48"/>
  <c r="AQ22" i="48"/>
  <c r="AL8" i="48"/>
  <c r="AR22" i="48"/>
  <c r="AM8" i="48"/>
  <c r="AS22" i="48"/>
  <c r="AN8" i="48"/>
  <c r="AT22" i="48"/>
  <c r="AO8" i="48"/>
  <c r="AU22" i="48"/>
  <c r="AP8" i="48"/>
  <c r="AV22" i="48"/>
  <c r="AQ8" i="48"/>
  <c r="AW22" i="48"/>
  <c r="AR8" i="48"/>
  <c r="AX22" i="48"/>
  <c r="AS8" i="48"/>
  <c r="AY22" i="48"/>
  <c r="AT8" i="48"/>
  <c r="AZ22" i="48"/>
  <c r="AU8" i="48"/>
  <c r="BA22" i="48"/>
  <c r="AV8" i="48"/>
  <c r="BB22" i="48"/>
  <c r="AW8" i="48"/>
  <c r="BC22" i="48"/>
  <c r="AX8" i="48"/>
  <c r="BD22" i="48"/>
  <c r="AY8" i="48"/>
  <c r="BE22" i="48"/>
  <c r="AZ8" i="48"/>
  <c r="BF22" i="48"/>
  <c r="BA8" i="48"/>
  <c r="BG22" i="48"/>
  <c r="BB8" i="48"/>
  <c r="BH22" i="48"/>
  <c r="BC8" i="48"/>
  <c r="BI22" i="48"/>
  <c r="BD8" i="48"/>
  <c r="BJ22" i="48"/>
  <c r="BE8" i="48"/>
  <c r="BK22" i="48"/>
  <c r="BF8" i="48"/>
  <c r="BL22" i="48"/>
  <c r="BG8" i="48"/>
  <c r="BM22" i="48"/>
  <c r="BH8" i="48"/>
  <c r="BN22" i="48"/>
  <c r="AP22" i="48"/>
  <c r="AK9" i="48"/>
  <c r="AQ23" i="48"/>
  <c r="AL9" i="48"/>
  <c r="AR23" i="48"/>
  <c r="AM9" i="48"/>
  <c r="AS23" i="48"/>
  <c r="AN9" i="48"/>
  <c r="AT23" i="48"/>
  <c r="AO9" i="48"/>
  <c r="AU23" i="48"/>
  <c r="AP9" i="48"/>
  <c r="AV23" i="48"/>
  <c r="AQ9" i="48"/>
  <c r="AW23" i="48"/>
  <c r="AR9" i="48"/>
  <c r="AX23" i="48"/>
  <c r="AS9" i="48"/>
  <c r="AY23" i="48"/>
  <c r="AT9" i="48"/>
  <c r="AZ23" i="48"/>
  <c r="AU9" i="48"/>
  <c r="BA23" i="48"/>
  <c r="AV9" i="48"/>
  <c r="BB23" i="48"/>
  <c r="AW9" i="48"/>
  <c r="BC23" i="48"/>
  <c r="AX9" i="48"/>
  <c r="BD23" i="48"/>
  <c r="AY9" i="48"/>
  <c r="BE23" i="48"/>
  <c r="AZ9" i="48"/>
  <c r="BF23" i="48"/>
  <c r="BA9" i="48"/>
  <c r="BG23" i="48"/>
  <c r="BB9" i="48"/>
  <c r="BH23" i="48"/>
  <c r="BC9" i="48"/>
  <c r="BI23" i="48"/>
  <c r="BD9" i="48"/>
  <c r="BJ23" i="48"/>
  <c r="BE9" i="48"/>
  <c r="BK23" i="48"/>
  <c r="BF9" i="48"/>
  <c r="BL23" i="48"/>
  <c r="BG9" i="48"/>
  <c r="BM23" i="48"/>
  <c r="BH9" i="48"/>
  <c r="BN23" i="48"/>
  <c r="AP23" i="48"/>
  <c r="AK10" i="48"/>
  <c r="AQ24" i="48"/>
  <c r="AL10" i="48"/>
  <c r="AR24" i="48"/>
  <c r="AM10" i="48"/>
  <c r="AS24" i="48"/>
  <c r="AN10" i="48"/>
  <c r="AT24" i="48"/>
  <c r="AO10" i="48"/>
  <c r="AU24" i="48"/>
  <c r="AP10" i="48"/>
  <c r="AV24" i="48"/>
  <c r="AQ10" i="48"/>
  <c r="AW24" i="48"/>
  <c r="AR10" i="48"/>
  <c r="AX24" i="48"/>
  <c r="AS10" i="48"/>
  <c r="AY24" i="48"/>
  <c r="AT10" i="48"/>
  <c r="AZ24" i="48"/>
  <c r="AU10" i="48"/>
  <c r="BA24" i="48"/>
  <c r="AV10" i="48"/>
  <c r="BB24" i="48"/>
  <c r="AW10" i="48"/>
  <c r="BC24" i="48"/>
  <c r="AX10" i="48"/>
  <c r="BD24" i="48"/>
  <c r="AY10" i="48"/>
  <c r="BE24" i="48"/>
  <c r="AZ10" i="48"/>
  <c r="BF24" i="48"/>
  <c r="BA10" i="48"/>
  <c r="BG24" i="48"/>
  <c r="BB10" i="48"/>
  <c r="BH24" i="48"/>
  <c r="BC10" i="48"/>
  <c r="BI24" i="48"/>
  <c r="BD10" i="48"/>
  <c r="BJ24" i="48"/>
  <c r="BE10" i="48"/>
  <c r="BK24" i="48"/>
  <c r="BF10" i="48"/>
  <c r="BL24" i="48"/>
  <c r="BG10" i="48"/>
  <c r="BM24" i="48"/>
  <c r="BH10" i="48"/>
  <c r="BN24" i="48"/>
  <c r="AP24" i="48"/>
  <c r="AK11" i="48"/>
  <c r="AQ25" i="48"/>
  <c r="AL11" i="48"/>
  <c r="AR25" i="48"/>
  <c r="AM11" i="48"/>
  <c r="AS25" i="48"/>
  <c r="AN11" i="48"/>
  <c r="AT25" i="48"/>
  <c r="AO11" i="48"/>
  <c r="AU25" i="48"/>
  <c r="AP11" i="48"/>
  <c r="AV25" i="48"/>
  <c r="AQ11" i="48"/>
  <c r="AW25" i="48"/>
  <c r="AR11" i="48"/>
  <c r="AX25" i="48"/>
  <c r="AS11" i="48"/>
  <c r="AY25" i="48"/>
  <c r="AT11" i="48"/>
  <c r="AZ25" i="48"/>
  <c r="AU11" i="48"/>
  <c r="BA25" i="48"/>
  <c r="AV11" i="48"/>
  <c r="BB25" i="48"/>
  <c r="AW11" i="48"/>
  <c r="BC25" i="48"/>
  <c r="AX11" i="48"/>
  <c r="BD25" i="48"/>
  <c r="AY11" i="48"/>
  <c r="BE25" i="48"/>
  <c r="AZ11" i="48"/>
  <c r="BF25" i="48"/>
  <c r="BA11" i="48"/>
  <c r="BG25" i="48"/>
  <c r="BB11" i="48"/>
  <c r="BH25" i="48"/>
  <c r="BC11" i="48"/>
  <c r="BI25" i="48"/>
  <c r="BD11" i="48"/>
  <c r="BJ25" i="48"/>
  <c r="BE11" i="48"/>
  <c r="BK25" i="48"/>
  <c r="BF11" i="48"/>
  <c r="BL25" i="48"/>
  <c r="BG11" i="48"/>
  <c r="BM25" i="48"/>
  <c r="BH11" i="48"/>
  <c r="BN25" i="48"/>
  <c r="AP25" i="48"/>
  <c r="AK12" i="48"/>
  <c r="AQ26" i="48"/>
  <c r="AL12" i="48"/>
  <c r="AR26" i="48"/>
  <c r="AM12" i="48"/>
  <c r="AS26" i="48"/>
  <c r="AN12" i="48"/>
  <c r="AT26" i="48"/>
  <c r="AO12" i="48"/>
  <c r="AU26" i="48"/>
  <c r="AP12" i="48"/>
  <c r="AV26" i="48"/>
  <c r="AQ12" i="48"/>
  <c r="AW26" i="48"/>
  <c r="AR12" i="48"/>
  <c r="AX26" i="48"/>
  <c r="AS12" i="48"/>
  <c r="AY26" i="48"/>
  <c r="AT12" i="48"/>
  <c r="AZ26" i="48"/>
  <c r="AU12" i="48"/>
  <c r="BA26" i="48"/>
  <c r="AV12" i="48"/>
  <c r="BB26" i="48"/>
  <c r="AW12" i="48"/>
  <c r="BC26" i="48"/>
  <c r="AX12" i="48"/>
  <c r="BD26" i="48"/>
  <c r="AY12" i="48"/>
  <c r="BE26" i="48"/>
  <c r="AZ12" i="48"/>
  <c r="BF26" i="48"/>
  <c r="BA12" i="48"/>
  <c r="BG26" i="48"/>
  <c r="BB12" i="48"/>
  <c r="BH26" i="48"/>
  <c r="BC12" i="48"/>
  <c r="BI26" i="48"/>
  <c r="BD12" i="48"/>
  <c r="BJ26" i="48"/>
  <c r="BE12" i="48"/>
  <c r="BK26" i="48"/>
  <c r="BF12" i="48"/>
  <c r="BL26" i="48"/>
  <c r="BG12" i="48"/>
  <c r="BM26" i="48"/>
  <c r="BH12" i="48"/>
  <c r="BN26" i="48"/>
  <c r="AP26" i="48"/>
  <c r="AK13" i="48"/>
  <c r="AQ27" i="48"/>
  <c r="AL13" i="48"/>
  <c r="AR27" i="48"/>
  <c r="AM13" i="48"/>
  <c r="AS27" i="48"/>
  <c r="AN13" i="48"/>
  <c r="AT27" i="48"/>
  <c r="AO13" i="48"/>
  <c r="AU27" i="48"/>
  <c r="AP13" i="48"/>
  <c r="AV27" i="48"/>
  <c r="AQ13" i="48"/>
  <c r="AW27" i="48"/>
  <c r="AR13" i="48"/>
  <c r="AX27" i="48"/>
  <c r="AS13" i="48"/>
  <c r="AY27" i="48"/>
  <c r="AT13" i="48"/>
  <c r="AZ27" i="48"/>
  <c r="AU13" i="48"/>
  <c r="BA27" i="48"/>
  <c r="AV13" i="48"/>
  <c r="BB27" i="48"/>
  <c r="AW13" i="48"/>
  <c r="BC27" i="48"/>
  <c r="AX13" i="48"/>
  <c r="BD27" i="48"/>
  <c r="AY13" i="48"/>
  <c r="BE27" i="48"/>
  <c r="AZ13" i="48"/>
  <c r="BF27" i="48"/>
  <c r="BA13" i="48"/>
  <c r="BG27" i="48"/>
  <c r="BB13" i="48"/>
  <c r="BH27" i="48"/>
  <c r="BC13" i="48"/>
  <c r="BI27" i="48"/>
  <c r="BD13" i="48"/>
  <c r="BJ27" i="48"/>
  <c r="BE13" i="48"/>
  <c r="BK27" i="48"/>
  <c r="BF13" i="48"/>
  <c r="BL27" i="48"/>
  <c r="BG13" i="48"/>
  <c r="BM27" i="48"/>
  <c r="BH13" i="48"/>
  <c r="BN27" i="48"/>
  <c r="AP27" i="48"/>
  <c r="AP28" i="48"/>
  <c r="AN16" i="48"/>
  <c r="AN17" i="48"/>
  <c r="AN18" i="48"/>
  <c r="AN20" i="48"/>
  <c r="AN21" i="48"/>
  <c r="AN22" i="48"/>
  <c r="AN23" i="48"/>
  <c r="AN24" i="48"/>
  <c r="AN25" i="48"/>
  <c r="AN26" i="48"/>
  <c r="AN27" i="48"/>
  <c r="AM16" i="48"/>
  <c r="AM17" i="48"/>
  <c r="AM18" i="48"/>
  <c r="AM20" i="48"/>
  <c r="AM21" i="48"/>
  <c r="AM22" i="48"/>
  <c r="AM23" i="48"/>
  <c r="AM24" i="48"/>
  <c r="AM25" i="48"/>
  <c r="AM26" i="48"/>
  <c r="AM27" i="48"/>
  <c r="AL16" i="48"/>
  <c r="AL17" i="48"/>
  <c r="AL18" i="48"/>
  <c r="AL20" i="48"/>
  <c r="AL21" i="48"/>
  <c r="AL22" i="48"/>
  <c r="AL23" i="48"/>
  <c r="AL24" i="48"/>
  <c r="AL25" i="48"/>
  <c r="AL26" i="48"/>
  <c r="AL27" i="48"/>
  <c r="AK16" i="48"/>
  <c r="AK17" i="48"/>
  <c r="AK18" i="48"/>
  <c r="AK20" i="48"/>
  <c r="AK21" i="48"/>
  <c r="AK22" i="48"/>
  <c r="AK23" i="48"/>
  <c r="AK24" i="48"/>
  <c r="AK25" i="48"/>
  <c r="AK26" i="48"/>
  <c r="AK27" i="48"/>
  <c r="Z2" i="48"/>
  <c r="AA2" i="48"/>
  <c r="AB2" i="48"/>
  <c r="AC2" i="48"/>
  <c r="AA16" i="48"/>
  <c r="Z3" i="48"/>
  <c r="AA3" i="48"/>
  <c r="AB3" i="48"/>
  <c r="AC3" i="48"/>
  <c r="AA17" i="48"/>
  <c r="Z4" i="48"/>
  <c r="AA4" i="48"/>
  <c r="AB4" i="48"/>
  <c r="AC4" i="48"/>
  <c r="AA18" i="48"/>
  <c r="Z5" i="48"/>
  <c r="AA5" i="48"/>
  <c r="AB5" i="48"/>
  <c r="AC5" i="48"/>
  <c r="AA19" i="48"/>
  <c r="Z6" i="48"/>
  <c r="AA6" i="48"/>
  <c r="AB6" i="48"/>
  <c r="AC6" i="48"/>
  <c r="AA20" i="48"/>
  <c r="Z7" i="48"/>
  <c r="AA7" i="48"/>
  <c r="AB7" i="48"/>
  <c r="AC7" i="48"/>
  <c r="AA21" i="48"/>
  <c r="Z8" i="48"/>
  <c r="AA8" i="48"/>
  <c r="AB8" i="48"/>
  <c r="AC8" i="48"/>
  <c r="AA22" i="48"/>
  <c r="Z9" i="48"/>
  <c r="AA9" i="48"/>
  <c r="AB9" i="48"/>
  <c r="AC9" i="48"/>
  <c r="AA23" i="48"/>
  <c r="Z10" i="48"/>
  <c r="AA10" i="48"/>
  <c r="AB10" i="48"/>
  <c r="AC10" i="48"/>
  <c r="AA24" i="48"/>
  <c r="Z11" i="48"/>
  <c r="AA11" i="48"/>
  <c r="AB11" i="48"/>
  <c r="AC11" i="48"/>
  <c r="AA25" i="48"/>
  <c r="Z12" i="48"/>
  <c r="AA12" i="48"/>
  <c r="AB12" i="48"/>
  <c r="AC12" i="48"/>
  <c r="AA26" i="48"/>
  <c r="Z13" i="48"/>
  <c r="AA13" i="48"/>
  <c r="AB13" i="48"/>
  <c r="AC13" i="48"/>
  <c r="AA27" i="48"/>
  <c r="AA28" i="48"/>
  <c r="Z16" i="48"/>
  <c r="Z17" i="48"/>
  <c r="Z18" i="48"/>
  <c r="Z19" i="48"/>
  <c r="Z20" i="48"/>
  <c r="Z21" i="48"/>
  <c r="Z22" i="48"/>
  <c r="Z23" i="48"/>
  <c r="Z24" i="48"/>
  <c r="Z25" i="48"/>
  <c r="Z26" i="48"/>
  <c r="Z27" i="48"/>
  <c r="Z28" i="48"/>
  <c r="S28" i="48"/>
  <c r="R28" i="48"/>
  <c r="Q28" i="48"/>
  <c r="P28" i="48"/>
  <c r="N28" i="48"/>
  <c r="M28" i="48"/>
  <c r="L28" i="48"/>
  <c r="K28" i="48"/>
  <c r="D27" i="48"/>
  <c r="N25" i="48"/>
  <c r="M25" i="48"/>
  <c r="L25" i="48"/>
  <c r="K25" i="48"/>
  <c r="D25" i="48"/>
  <c r="H16" i="48"/>
  <c r="D23" i="48"/>
  <c r="G16" i="48"/>
  <c r="D21" i="48"/>
  <c r="M19" i="48"/>
  <c r="W16" i="48"/>
  <c r="V16" i="48"/>
  <c r="U16" i="48"/>
  <c r="E50" i="47"/>
  <c r="A50" i="47"/>
  <c r="E49" i="47"/>
  <c r="A49" i="47"/>
  <c r="E48" i="47"/>
  <c r="A48" i="47"/>
  <c r="E47" i="47"/>
  <c r="A47" i="47"/>
  <c r="E46" i="47"/>
  <c r="A46" i="47"/>
  <c r="E45" i="47"/>
  <c r="A45" i="47"/>
  <c r="E44" i="47"/>
  <c r="A44" i="47"/>
  <c r="E43" i="47"/>
  <c r="A43" i="47"/>
  <c r="X15" i="47"/>
  <c r="E42" i="47"/>
  <c r="A42" i="47"/>
  <c r="E41" i="47"/>
  <c r="A41" i="47"/>
  <c r="E40" i="47"/>
  <c r="A40" i="47"/>
  <c r="X12" i="47"/>
  <c r="E39" i="47"/>
  <c r="A39" i="47"/>
  <c r="X9" i="47"/>
  <c r="R16" i="47"/>
  <c r="Q16" i="47"/>
  <c r="X7" i="47"/>
  <c r="X4" i="47"/>
  <c r="X5" i="47"/>
  <c r="AE2" i="47"/>
  <c r="AF2" i="47"/>
  <c r="AG2" i="47"/>
  <c r="AH2" i="47"/>
  <c r="AI2" i="47"/>
  <c r="AG16" i="47"/>
  <c r="AE4" i="47"/>
  <c r="AF4" i="47"/>
  <c r="AG4" i="47"/>
  <c r="AH4" i="47"/>
  <c r="AI4" i="47"/>
  <c r="AG18" i="47"/>
  <c r="AE5" i="47"/>
  <c r="AF5" i="47"/>
  <c r="AG5" i="47"/>
  <c r="AH5" i="47"/>
  <c r="AI5" i="47"/>
  <c r="AG19" i="47"/>
  <c r="AE6" i="47"/>
  <c r="AF6" i="47"/>
  <c r="AG6" i="47"/>
  <c r="AH6" i="47"/>
  <c r="AI6" i="47"/>
  <c r="AG20" i="47"/>
  <c r="AE7" i="47"/>
  <c r="AF7" i="47"/>
  <c r="AG7" i="47"/>
  <c r="AH7" i="47"/>
  <c r="AI7" i="47"/>
  <c r="AG21" i="47"/>
  <c r="AE8" i="47"/>
  <c r="AF8" i="47"/>
  <c r="AG8" i="47"/>
  <c r="AH8" i="47"/>
  <c r="AI8" i="47"/>
  <c r="AG22" i="47"/>
  <c r="AE9" i="47"/>
  <c r="AF9" i="47"/>
  <c r="AG9" i="47"/>
  <c r="AH9" i="47"/>
  <c r="AI9" i="47"/>
  <c r="AG23" i="47"/>
  <c r="AE12" i="47"/>
  <c r="AF12" i="47"/>
  <c r="AG12" i="47"/>
  <c r="AH12" i="47"/>
  <c r="AI12" i="47"/>
  <c r="AG26" i="47"/>
  <c r="AE13" i="47"/>
  <c r="AF13" i="47"/>
  <c r="AG13" i="47"/>
  <c r="AH13" i="47"/>
  <c r="AI13" i="47"/>
  <c r="AG27" i="47"/>
  <c r="AF16" i="47"/>
  <c r="AF18" i="47"/>
  <c r="AF19" i="47"/>
  <c r="AF20" i="47"/>
  <c r="AF21" i="47"/>
  <c r="AF22" i="47"/>
  <c r="AF23" i="47"/>
  <c r="AF26" i="47"/>
  <c r="AF27" i="47"/>
  <c r="J29" i="47"/>
  <c r="I29" i="47"/>
  <c r="H29" i="47"/>
  <c r="G29" i="47"/>
  <c r="AK2" i="47"/>
  <c r="AQ16" i="47"/>
  <c r="AL2" i="47"/>
  <c r="AR16" i="47"/>
  <c r="AM2" i="47"/>
  <c r="AS16" i="47"/>
  <c r="AN2" i="47"/>
  <c r="AT16" i="47"/>
  <c r="AO2" i="47"/>
  <c r="AU16" i="47"/>
  <c r="AP2" i="47"/>
  <c r="AV16" i="47"/>
  <c r="AQ2" i="47"/>
  <c r="AW16" i="47"/>
  <c r="AR2" i="47"/>
  <c r="AX16" i="47"/>
  <c r="AS2" i="47"/>
  <c r="AY16" i="47"/>
  <c r="AT2" i="47"/>
  <c r="AZ16" i="47"/>
  <c r="AU2" i="47"/>
  <c r="BA16" i="47"/>
  <c r="AV2" i="47"/>
  <c r="BB16" i="47"/>
  <c r="AW2" i="47"/>
  <c r="BC16" i="47"/>
  <c r="AX2" i="47"/>
  <c r="BD16" i="47"/>
  <c r="AY2" i="47"/>
  <c r="BE16" i="47"/>
  <c r="AZ2" i="47"/>
  <c r="BF16" i="47"/>
  <c r="BA2" i="47"/>
  <c r="BG16" i="47"/>
  <c r="BB2" i="47"/>
  <c r="BH16" i="47"/>
  <c r="BC2" i="47"/>
  <c r="BI16" i="47"/>
  <c r="BD2" i="47"/>
  <c r="BJ16" i="47"/>
  <c r="BE2" i="47"/>
  <c r="BK16" i="47"/>
  <c r="BF2" i="47"/>
  <c r="BL16" i="47"/>
  <c r="BG2" i="47"/>
  <c r="BM16" i="47"/>
  <c r="BH2" i="47"/>
  <c r="BN16" i="47"/>
  <c r="AP16" i="47"/>
  <c r="AK3" i="47"/>
  <c r="AQ17" i="47"/>
  <c r="AL3" i="47"/>
  <c r="AR17" i="47"/>
  <c r="AM3" i="47"/>
  <c r="AS17" i="47"/>
  <c r="AN3" i="47"/>
  <c r="AT17" i="47"/>
  <c r="AO3" i="47"/>
  <c r="AU17" i="47"/>
  <c r="AP3" i="47"/>
  <c r="AV17" i="47"/>
  <c r="AQ3" i="47"/>
  <c r="AW17" i="47"/>
  <c r="AR3" i="47"/>
  <c r="AX17" i="47"/>
  <c r="AS3" i="47"/>
  <c r="AY17" i="47"/>
  <c r="AT3" i="47"/>
  <c r="AZ17" i="47"/>
  <c r="AU3" i="47"/>
  <c r="BA17" i="47"/>
  <c r="AV3" i="47"/>
  <c r="BB17" i="47"/>
  <c r="AW3" i="47"/>
  <c r="BC17" i="47"/>
  <c r="AX3" i="47"/>
  <c r="BD17" i="47"/>
  <c r="AY3" i="47"/>
  <c r="BE17" i="47"/>
  <c r="AZ3" i="47"/>
  <c r="BF17" i="47"/>
  <c r="BA3" i="47"/>
  <c r="BG17" i="47"/>
  <c r="BB3" i="47"/>
  <c r="BH17" i="47"/>
  <c r="BC3" i="47"/>
  <c r="BI17" i="47"/>
  <c r="BD3" i="47"/>
  <c r="BJ17" i="47"/>
  <c r="BE3" i="47"/>
  <c r="BK17" i="47"/>
  <c r="BF3" i="47"/>
  <c r="BL17" i="47"/>
  <c r="BG3" i="47"/>
  <c r="BM17" i="47"/>
  <c r="BH3" i="47"/>
  <c r="BN17" i="47"/>
  <c r="AP17" i="47"/>
  <c r="AK4" i="47"/>
  <c r="AQ18" i="47"/>
  <c r="AL4" i="47"/>
  <c r="AR18" i="47"/>
  <c r="AM4" i="47"/>
  <c r="AS18" i="47"/>
  <c r="AN4" i="47"/>
  <c r="AT18" i="47"/>
  <c r="AO4" i="47"/>
  <c r="AU18" i="47"/>
  <c r="AP4" i="47"/>
  <c r="AV18" i="47"/>
  <c r="AQ4" i="47"/>
  <c r="AW18" i="47"/>
  <c r="AR4" i="47"/>
  <c r="AX18" i="47"/>
  <c r="AS4" i="47"/>
  <c r="AY18" i="47"/>
  <c r="AT4" i="47"/>
  <c r="AZ18" i="47"/>
  <c r="AU4" i="47"/>
  <c r="BA18" i="47"/>
  <c r="AV4" i="47"/>
  <c r="BB18" i="47"/>
  <c r="AW4" i="47"/>
  <c r="BC18" i="47"/>
  <c r="AX4" i="47"/>
  <c r="BD18" i="47"/>
  <c r="AY4" i="47"/>
  <c r="BE18" i="47"/>
  <c r="AZ4" i="47"/>
  <c r="BF18" i="47"/>
  <c r="BA4" i="47"/>
  <c r="BG18" i="47"/>
  <c r="BB4" i="47"/>
  <c r="BH18" i="47"/>
  <c r="BC4" i="47"/>
  <c r="BI18" i="47"/>
  <c r="BD4" i="47"/>
  <c r="BJ18" i="47"/>
  <c r="BE4" i="47"/>
  <c r="BK18" i="47"/>
  <c r="BF4" i="47"/>
  <c r="BL18" i="47"/>
  <c r="BG4" i="47"/>
  <c r="BM18" i="47"/>
  <c r="BH4" i="47"/>
  <c r="BN18" i="47"/>
  <c r="AP18" i="47"/>
  <c r="AK5" i="47"/>
  <c r="AQ19" i="47"/>
  <c r="AL5" i="47"/>
  <c r="AR19" i="47"/>
  <c r="AM5" i="47"/>
  <c r="AS19" i="47"/>
  <c r="AN5" i="47"/>
  <c r="AT19" i="47"/>
  <c r="AO5" i="47"/>
  <c r="AU19" i="47"/>
  <c r="AP5" i="47"/>
  <c r="AV19" i="47"/>
  <c r="AQ5" i="47"/>
  <c r="AW19" i="47"/>
  <c r="AR5" i="47"/>
  <c r="AX19" i="47"/>
  <c r="AS5" i="47"/>
  <c r="AY19" i="47"/>
  <c r="AT5" i="47"/>
  <c r="AZ19" i="47"/>
  <c r="AU5" i="47"/>
  <c r="BA19" i="47"/>
  <c r="AV5" i="47"/>
  <c r="BB19" i="47"/>
  <c r="AW5" i="47"/>
  <c r="BC19" i="47"/>
  <c r="AX5" i="47"/>
  <c r="BD19" i="47"/>
  <c r="AY5" i="47"/>
  <c r="BE19" i="47"/>
  <c r="AZ5" i="47"/>
  <c r="BF19" i="47"/>
  <c r="BA5" i="47"/>
  <c r="BG19" i="47"/>
  <c r="BB5" i="47"/>
  <c r="BH19" i="47"/>
  <c r="BC5" i="47"/>
  <c r="BI19" i="47"/>
  <c r="BD5" i="47"/>
  <c r="BJ19" i="47"/>
  <c r="BE5" i="47"/>
  <c r="BK19" i="47"/>
  <c r="BF5" i="47"/>
  <c r="BL19" i="47"/>
  <c r="BG5" i="47"/>
  <c r="BM19" i="47"/>
  <c r="BH5" i="47"/>
  <c r="BN19" i="47"/>
  <c r="AP19" i="47"/>
  <c r="AK6" i="47"/>
  <c r="AQ20" i="47"/>
  <c r="AL6" i="47"/>
  <c r="AR20" i="47"/>
  <c r="AM6" i="47"/>
  <c r="AS20" i="47"/>
  <c r="AN6" i="47"/>
  <c r="AT20" i="47"/>
  <c r="AO6" i="47"/>
  <c r="AU20" i="47"/>
  <c r="AP6" i="47"/>
  <c r="AV20" i="47"/>
  <c r="AQ6" i="47"/>
  <c r="AW20" i="47"/>
  <c r="AR6" i="47"/>
  <c r="AX20" i="47"/>
  <c r="AS6" i="47"/>
  <c r="AY20" i="47"/>
  <c r="AT6" i="47"/>
  <c r="AZ20" i="47"/>
  <c r="AU6" i="47"/>
  <c r="BA20" i="47"/>
  <c r="AV6" i="47"/>
  <c r="BB20" i="47"/>
  <c r="AW6" i="47"/>
  <c r="BC20" i="47"/>
  <c r="AX6" i="47"/>
  <c r="BD20" i="47"/>
  <c r="AY6" i="47"/>
  <c r="BE20" i="47"/>
  <c r="AZ6" i="47"/>
  <c r="BF20" i="47"/>
  <c r="BA6" i="47"/>
  <c r="BG20" i="47"/>
  <c r="BB6" i="47"/>
  <c r="BH20" i="47"/>
  <c r="BC6" i="47"/>
  <c r="BI20" i="47"/>
  <c r="BD6" i="47"/>
  <c r="BJ20" i="47"/>
  <c r="BE6" i="47"/>
  <c r="BK20" i="47"/>
  <c r="BF6" i="47"/>
  <c r="BL20" i="47"/>
  <c r="BG6" i="47"/>
  <c r="BM20" i="47"/>
  <c r="BH6" i="47"/>
  <c r="BN20" i="47"/>
  <c r="AP20" i="47"/>
  <c r="AK7" i="47"/>
  <c r="AQ21" i="47"/>
  <c r="AL7" i="47"/>
  <c r="AR21" i="47"/>
  <c r="AM7" i="47"/>
  <c r="AS21" i="47"/>
  <c r="AN7" i="47"/>
  <c r="AT21" i="47"/>
  <c r="AO7" i="47"/>
  <c r="AU21" i="47"/>
  <c r="AP7" i="47"/>
  <c r="AV21" i="47"/>
  <c r="AQ7" i="47"/>
  <c r="AW21" i="47"/>
  <c r="AR7" i="47"/>
  <c r="AX21" i="47"/>
  <c r="AS7" i="47"/>
  <c r="AY21" i="47"/>
  <c r="AT7" i="47"/>
  <c r="AZ21" i="47"/>
  <c r="AU7" i="47"/>
  <c r="BA21" i="47"/>
  <c r="AV7" i="47"/>
  <c r="BB21" i="47"/>
  <c r="AW7" i="47"/>
  <c r="BC21" i="47"/>
  <c r="AX7" i="47"/>
  <c r="BD21" i="47"/>
  <c r="AY7" i="47"/>
  <c r="BE21" i="47"/>
  <c r="AZ7" i="47"/>
  <c r="BF21" i="47"/>
  <c r="BA7" i="47"/>
  <c r="BG21" i="47"/>
  <c r="BB7" i="47"/>
  <c r="BH21" i="47"/>
  <c r="BC7" i="47"/>
  <c r="BI21" i="47"/>
  <c r="BD7" i="47"/>
  <c r="BJ21" i="47"/>
  <c r="BE7" i="47"/>
  <c r="BK21" i="47"/>
  <c r="BF7" i="47"/>
  <c r="BL21" i="47"/>
  <c r="BG7" i="47"/>
  <c r="BM21" i="47"/>
  <c r="BH7" i="47"/>
  <c r="BN21" i="47"/>
  <c r="AP21" i="47"/>
  <c r="AK8" i="47"/>
  <c r="AQ22" i="47"/>
  <c r="AL8" i="47"/>
  <c r="AR22" i="47"/>
  <c r="AM8" i="47"/>
  <c r="AS22" i="47"/>
  <c r="AN8" i="47"/>
  <c r="AT22" i="47"/>
  <c r="AO8" i="47"/>
  <c r="AU22" i="47"/>
  <c r="AP8" i="47"/>
  <c r="AV22" i="47"/>
  <c r="AQ8" i="47"/>
  <c r="AW22" i="47"/>
  <c r="AR8" i="47"/>
  <c r="AX22" i="47"/>
  <c r="AS8" i="47"/>
  <c r="AY22" i="47"/>
  <c r="AT8" i="47"/>
  <c r="AZ22" i="47"/>
  <c r="AU8" i="47"/>
  <c r="BA22" i="47"/>
  <c r="AV8" i="47"/>
  <c r="BB22" i="47"/>
  <c r="AW8" i="47"/>
  <c r="BC22" i="47"/>
  <c r="AX8" i="47"/>
  <c r="BD22" i="47"/>
  <c r="AY8" i="47"/>
  <c r="BE22" i="47"/>
  <c r="AZ8" i="47"/>
  <c r="BF22" i="47"/>
  <c r="BA8" i="47"/>
  <c r="BG22" i="47"/>
  <c r="BB8" i="47"/>
  <c r="BH22" i="47"/>
  <c r="BC8" i="47"/>
  <c r="BI22" i="47"/>
  <c r="BD8" i="47"/>
  <c r="BJ22" i="47"/>
  <c r="BE8" i="47"/>
  <c r="BK22" i="47"/>
  <c r="BF8" i="47"/>
  <c r="BL22" i="47"/>
  <c r="BG8" i="47"/>
  <c r="BM22" i="47"/>
  <c r="BH8" i="47"/>
  <c r="BN22" i="47"/>
  <c r="AP22" i="47"/>
  <c r="AK9" i="47"/>
  <c r="AQ23" i="47"/>
  <c r="AL9" i="47"/>
  <c r="AR23" i="47"/>
  <c r="AM9" i="47"/>
  <c r="AS23" i="47"/>
  <c r="AN9" i="47"/>
  <c r="AT23" i="47"/>
  <c r="AO9" i="47"/>
  <c r="AU23" i="47"/>
  <c r="AP9" i="47"/>
  <c r="AV23" i="47"/>
  <c r="AQ9" i="47"/>
  <c r="AW23" i="47"/>
  <c r="AR9" i="47"/>
  <c r="AX23" i="47"/>
  <c r="AS9" i="47"/>
  <c r="AY23" i="47"/>
  <c r="AT9" i="47"/>
  <c r="AZ23" i="47"/>
  <c r="AU9" i="47"/>
  <c r="BA23" i="47"/>
  <c r="AV9" i="47"/>
  <c r="BB23" i="47"/>
  <c r="AW9" i="47"/>
  <c r="BC23" i="47"/>
  <c r="AX9" i="47"/>
  <c r="BD23" i="47"/>
  <c r="AY9" i="47"/>
  <c r="BE23" i="47"/>
  <c r="AZ9" i="47"/>
  <c r="BF23" i="47"/>
  <c r="BA9" i="47"/>
  <c r="BG23" i="47"/>
  <c r="BB9" i="47"/>
  <c r="BH23" i="47"/>
  <c r="BC9" i="47"/>
  <c r="BI23" i="47"/>
  <c r="BD9" i="47"/>
  <c r="BJ23" i="47"/>
  <c r="BE9" i="47"/>
  <c r="BK23" i="47"/>
  <c r="BF9" i="47"/>
  <c r="BL23" i="47"/>
  <c r="BG9" i="47"/>
  <c r="BM23" i="47"/>
  <c r="BH9" i="47"/>
  <c r="BN23" i="47"/>
  <c r="AP23" i="47"/>
  <c r="AK10" i="47"/>
  <c r="AQ24" i="47"/>
  <c r="AL10" i="47"/>
  <c r="AR24" i="47"/>
  <c r="AM10" i="47"/>
  <c r="AS24" i="47"/>
  <c r="AN10" i="47"/>
  <c r="AT24" i="47"/>
  <c r="AO10" i="47"/>
  <c r="AU24" i="47"/>
  <c r="AP10" i="47"/>
  <c r="AV24" i="47"/>
  <c r="AQ10" i="47"/>
  <c r="AW24" i="47"/>
  <c r="AR10" i="47"/>
  <c r="AX24" i="47"/>
  <c r="AS10" i="47"/>
  <c r="AY24" i="47"/>
  <c r="AT10" i="47"/>
  <c r="AZ24" i="47"/>
  <c r="AU10" i="47"/>
  <c r="BA24" i="47"/>
  <c r="AV10" i="47"/>
  <c r="BB24" i="47"/>
  <c r="AW10" i="47"/>
  <c r="BC24" i="47"/>
  <c r="AX10" i="47"/>
  <c r="BD24" i="47"/>
  <c r="AY10" i="47"/>
  <c r="BE24" i="47"/>
  <c r="AZ10" i="47"/>
  <c r="BF24" i="47"/>
  <c r="BA10" i="47"/>
  <c r="BG24" i="47"/>
  <c r="BB10" i="47"/>
  <c r="BH24" i="47"/>
  <c r="BC10" i="47"/>
  <c r="BI24" i="47"/>
  <c r="BD10" i="47"/>
  <c r="BJ24" i="47"/>
  <c r="BE10" i="47"/>
  <c r="BK24" i="47"/>
  <c r="BF10" i="47"/>
  <c r="BL24" i="47"/>
  <c r="BG10" i="47"/>
  <c r="BM24" i="47"/>
  <c r="BH10" i="47"/>
  <c r="BN24" i="47"/>
  <c r="AP24" i="47"/>
  <c r="AK11" i="47"/>
  <c r="AQ25" i="47"/>
  <c r="AL11" i="47"/>
  <c r="AR25" i="47"/>
  <c r="AM11" i="47"/>
  <c r="AS25" i="47"/>
  <c r="AN11" i="47"/>
  <c r="AT25" i="47"/>
  <c r="AO11" i="47"/>
  <c r="AU25" i="47"/>
  <c r="AP11" i="47"/>
  <c r="AV25" i="47"/>
  <c r="AQ11" i="47"/>
  <c r="AW25" i="47"/>
  <c r="AR11" i="47"/>
  <c r="AX25" i="47"/>
  <c r="AS11" i="47"/>
  <c r="AY25" i="47"/>
  <c r="AT11" i="47"/>
  <c r="AZ25" i="47"/>
  <c r="AU11" i="47"/>
  <c r="BA25" i="47"/>
  <c r="AV11" i="47"/>
  <c r="BB25" i="47"/>
  <c r="AW11" i="47"/>
  <c r="BC25" i="47"/>
  <c r="AX11" i="47"/>
  <c r="BD25" i="47"/>
  <c r="AY11" i="47"/>
  <c r="BE25" i="47"/>
  <c r="AZ11" i="47"/>
  <c r="BF25" i="47"/>
  <c r="BA11" i="47"/>
  <c r="BG25" i="47"/>
  <c r="BB11" i="47"/>
  <c r="BH25" i="47"/>
  <c r="BC11" i="47"/>
  <c r="BI25" i="47"/>
  <c r="BD11" i="47"/>
  <c r="BJ25" i="47"/>
  <c r="BE11" i="47"/>
  <c r="BK25" i="47"/>
  <c r="BF11" i="47"/>
  <c r="BL25" i="47"/>
  <c r="BG11" i="47"/>
  <c r="BM25" i="47"/>
  <c r="BH11" i="47"/>
  <c r="BN25" i="47"/>
  <c r="AP25" i="47"/>
  <c r="AK12" i="47"/>
  <c r="AQ26" i="47"/>
  <c r="AL12" i="47"/>
  <c r="AR26" i="47"/>
  <c r="AM12" i="47"/>
  <c r="AS26" i="47"/>
  <c r="AN12" i="47"/>
  <c r="AT26" i="47"/>
  <c r="AO12" i="47"/>
  <c r="AU26" i="47"/>
  <c r="AP12" i="47"/>
  <c r="AV26" i="47"/>
  <c r="AQ12" i="47"/>
  <c r="AW26" i="47"/>
  <c r="AR12" i="47"/>
  <c r="AX26" i="47"/>
  <c r="AS12" i="47"/>
  <c r="AY26" i="47"/>
  <c r="AT12" i="47"/>
  <c r="AZ26" i="47"/>
  <c r="AU12" i="47"/>
  <c r="BA26" i="47"/>
  <c r="AV12" i="47"/>
  <c r="BB26" i="47"/>
  <c r="AW12" i="47"/>
  <c r="BC26" i="47"/>
  <c r="AX12" i="47"/>
  <c r="BD26" i="47"/>
  <c r="AY12" i="47"/>
  <c r="BE26" i="47"/>
  <c r="AZ12" i="47"/>
  <c r="BF26" i="47"/>
  <c r="BA12" i="47"/>
  <c r="BG26" i="47"/>
  <c r="BB12" i="47"/>
  <c r="BH26" i="47"/>
  <c r="BC12" i="47"/>
  <c r="BI26" i="47"/>
  <c r="BD12" i="47"/>
  <c r="BJ26" i="47"/>
  <c r="BE12" i="47"/>
  <c r="BK26" i="47"/>
  <c r="BF12" i="47"/>
  <c r="BL26" i="47"/>
  <c r="BG12" i="47"/>
  <c r="BM26" i="47"/>
  <c r="BH12" i="47"/>
  <c r="BN26" i="47"/>
  <c r="AP26" i="47"/>
  <c r="AK13" i="47"/>
  <c r="AQ27" i="47"/>
  <c r="AL13" i="47"/>
  <c r="AR27" i="47"/>
  <c r="AM13" i="47"/>
  <c r="AS27" i="47"/>
  <c r="AN13" i="47"/>
  <c r="AT27" i="47"/>
  <c r="AO13" i="47"/>
  <c r="AU27" i="47"/>
  <c r="AP13" i="47"/>
  <c r="AV27" i="47"/>
  <c r="AQ13" i="47"/>
  <c r="AW27" i="47"/>
  <c r="AR13" i="47"/>
  <c r="AX27" i="47"/>
  <c r="AS13" i="47"/>
  <c r="AY27" i="47"/>
  <c r="AT13" i="47"/>
  <c r="AZ27" i="47"/>
  <c r="AU13" i="47"/>
  <c r="BA27" i="47"/>
  <c r="AV13" i="47"/>
  <c r="BB27" i="47"/>
  <c r="AW13" i="47"/>
  <c r="BC27" i="47"/>
  <c r="AX13" i="47"/>
  <c r="BD27" i="47"/>
  <c r="AY13" i="47"/>
  <c r="BE27" i="47"/>
  <c r="AZ13" i="47"/>
  <c r="BF27" i="47"/>
  <c r="BA13" i="47"/>
  <c r="BG27" i="47"/>
  <c r="BB13" i="47"/>
  <c r="BH27" i="47"/>
  <c r="BC13" i="47"/>
  <c r="BI27" i="47"/>
  <c r="BD13" i="47"/>
  <c r="BJ27" i="47"/>
  <c r="BE13" i="47"/>
  <c r="BK27" i="47"/>
  <c r="BF13" i="47"/>
  <c r="BL27" i="47"/>
  <c r="BG13" i="47"/>
  <c r="BM27" i="47"/>
  <c r="BH13" i="47"/>
  <c r="BN27" i="47"/>
  <c r="AP27" i="47"/>
  <c r="AP28" i="47"/>
  <c r="AN16" i="47"/>
  <c r="AN17" i="47"/>
  <c r="AN18" i="47"/>
  <c r="AN19" i="47"/>
  <c r="AN20" i="47"/>
  <c r="AN21" i="47"/>
  <c r="AN23" i="47"/>
  <c r="AN24" i="47"/>
  <c r="AN25" i="47"/>
  <c r="AN26" i="47"/>
  <c r="AN27" i="47"/>
  <c r="AM16" i="47"/>
  <c r="AM17" i="47"/>
  <c r="AM18" i="47"/>
  <c r="AM19" i="47"/>
  <c r="AM20" i="47"/>
  <c r="AM21" i="47"/>
  <c r="AM23" i="47"/>
  <c r="AM24" i="47"/>
  <c r="AM25" i="47"/>
  <c r="AM26" i="47"/>
  <c r="AM27" i="47"/>
  <c r="AL16" i="47"/>
  <c r="AL17" i="47"/>
  <c r="AL18" i="47"/>
  <c r="AL19" i="47"/>
  <c r="AL20" i="47"/>
  <c r="AL21" i="47"/>
  <c r="AL23" i="47"/>
  <c r="AL24" i="47"/>
  <c r="AL25" i="47"/>
  <c r="AL26" i="47"/>
  <c r="AL27" i="47"/>
  <c r="AK16" i="47"/>
  <c r="AK17" i="47"/>
  <c r="AK18" i="47"/>
  <c r="AK19" i="47"/>
  <c r="AK20" i="47"/>
  <c r="AK21" i="47"/>
  <c r="AK23" i="47"/>
  <c r="AK24" i="47"/>
  <c r="AK25" i="47"/>
  <c r="AK26" i="47"/>
  <c r="AK27" i="47"/>
  <c r="Z2" i="47"/>
  <c r="AA2" i="47"/>
  <c r="AB2" i="47"/>
  <c r="AC2" i="47"/>
  <c r="AA16" i="47"/>
  <c r="Z3" i="47"/>
  <c r="AA3" i="47"/>
  <c r="AB3" i="47"/>
  <c r="AC3" i="47"/>
  <c r="AA17" i="47"/>
  <c r="Z4" i="47"/>
  <c r="AA4" i="47"/>
  <c r="AB4" i="47"/>
  <c r="AC4" i="47"/>
  <c r="AA18" i="47"/>
  <c r="Z5" i="47"/>
  <c r="AA5" i="47"/>
  <c r="AB5" i="47"/>
  <c r="AC5" i="47"/>
  <c r="AA19" i="47"/>
  <c r="Z6" i="47"/>
  <c r="AA6" i="47"/>
  <c r="AB6" i="47"/>
  <c r="AC6" i="47"/>
  <c r="AA20" i="47"/>
  <c r="Z7" i="47"/>
  <c r="AA7" i="47"/>
  <c r="AB7" i="47"/>
  <c r="AC7" i="47"/>
  <c r="AA21" i="47"/>
  <c r="Z8" i="47"/>
  <c r="AA8" i="47"/>
  <c r="AB8" i="47"/>
  <c r="AC8" i="47"/>
  <c r="AA22" i="47"/>
  <c r="Z9" i="47"/>
  <c r="AA9" i="47"/>
  <c r="AB9" i="47"/>
  <c r="AC9" i="47"/>
  <c r="AA23" i="47"/>
  <c r="Z10" i="47"/>
  <c r="AA10" i="47"/>
  <c r="AB10" i="47"/>
  <c r="AC10" i="47"/>
  <c r="AA24" i="47"/>
  <c r="Z11" i="47"/>
  <c r="AA11" i="47"/>
  <c r="AB11" i="47"/>
  <c r="AC11" i="47"/>
  <c r="AA25" i="47"/>
  <c r="Z12" i="47"/>
  <c r="AA12" i="47"/>
  <c r="AB12" i="47"/>
  <c r="AC12" i="47"/>
  <c r="AA26" i="47"/>
  <c r="Z13" i="47"/>
  <c r="AA13" i="47"/>
  <c r="AB13" i="47"/>
  <c r="AC13" i="47"/>
  <c r="AA27" i="47"/>
  <c r="AA28" i="47"/>
  <c r="Z16" i="47"/>
  <c r="Z17" i="47"/>
  <c r="Z18" i="47"/>
  <c r="Z19" i="47"/>
  <c r="Z20" i="47"/>
  <c r="Z21" i="47"/>
  <c r="Z22" i="47"/>
  <c r="Z23" i="47"/>
  <c r="Z24" i="47"/>
  <c r="Z25" i="47"/>
  <c r="Z26" i="47"/>
  <c r="Z27" i="47"/>
  <c r="Z28" i="47"/>
  <c r="S28" i="47"/>
  <c r="R28" i="47"/>
  <c r="Q28" i="47"/>
  <c r="P28" i="47"/>
  <c r="N28" i="47"/>
  <c r="M28" i="47"/>
  <c r="L28" i="47"/>
  <c r="K28" i="47"/>
  <c r="D27" i="47"/>
  <c r="N25" i="47"/>
  <c r="M25" i="47"/>
  <c r="L25" i="47"/>
  <c r="K25" i="47"/>
  <c r="D25" i="47"/>
  <c r="H16" i="47"/>
  <c r="D23" i="47"/>
  <c r="G16" i="47"/>
  <c r="D21" i="47"/>
  <c r="M19" i="47"/>
  <c r="W16" i="47"/>
  <c r="V16" i="47"/>
  <c r="U16" i="47"/>
  <c r="M16" i="47"/>
  <c r="E50" i="46"/>
  <c r="A50" i="46"/>
  <c r="E49" i="46"/>
  <c r="A49" i="46"/>
  <c r="E48" i="46"/>
  <c r="A48" i="46"/>
  <c r="E47" i="46"/>
  <c r="A47" i="46"/>
  <c r="E46" i="46"/>
  <c r="A46" i="46"/>
  <c r="E45" i="46"/>
  <c r="A45" i="46"/>
  <c r="E44" i="46"/>
  <c r="A44" i="46"/>
  <c r="E43" i="46"/>
  <c r="A43" i="46"/>
  <c r="X15" i="46"/>
  <c r="E42" i="46"/>
  <c r="A42" i="46"/>
  <c r="X14" i="46"/>
  <c r="E41" i="46"/>
  <c r="A41" i="46"/>
  <c r="X13" i="46"/>
  <c r="E40" i="46"/>
  <c r="A40" i="46"/>
  <c r="X12" i="46"/>
  <c r="E39" i="46"/>
  <c r="A39" i="46"/>
  <c r="X11" i="46"/>
  <c r="X10" i="46"/>
  <c r="X9" i="46"/>
  <c r="R16" i="46"/>
  <c r="Q16" i="46"/>
  <c r="X8" i="46"/>
  <c r="X7" i="46"/>
  <c r="X4" i="46"/>
  <c r="X5" i="46"/>
  <c r="X6" i="46"/>
  <c r="AE3" i="46"/>
  <c r="AF3" i="46"/>
  <c r="AG3" i="46"/>
  <c r="AH3" i="46"/>
  <c r="AI3" i="46"/>
  <c r="AG17" i="46"/>
  <c r="AE4" i="46"/>
  <c r="AF4" i="46"/>
  <c r="AG4" i="46"/>
  <c r="AH4" i="46"/>
  <c r="AI4" i="46"/>
  <c r="AG18" i="46"/>
  <c r="AE5" i="46"/>
  <c r="AF5" i="46"/>
  <c r="AG5" i="46"/>
  <c r="AH5" i="46"/>
  <c r="AI5" i="46"/>
  <c r="AG19" i="46"/>
  <c r="AE6" i="46"/>
  <c r="AF6" i="46"/>
  <c r="AG6" i="46"/>
  <c r="AH6" i="46"/>
  <c r="AI6" i="46"/>
  <c r="AG20" i="46"/>
  <c r="AE9" i="46"/>
  <c r="AF9" i="46"/>
  <c r="AG9" i="46"/>
  <c r="AH9" i="46"/>
  <c r="AI9" i="46"/>
  <c r="AG23" i="46"/>
  <c r="AE10" i="46"/>
  <c r="AF10" i="46"/>
  <c r="AG10" i="46"/>
  <c r="AH10" i="46"/>
  <c r="AI10" i="46"/>
  <c r="AG24" i="46"/>
  <c r="AE11" i="46"/>
  <c r="AF11" i="46"/>
  <c r="AG11" i="46"/>
  <c r="AH11" i="46"/>
  <c r="AI11" i="46"/>
  <c r="AG25" i="46"/>
  <c r="AE12" i="46"/>
  <c r="AF12" i="46"/>
  <c r="AG12" i="46"/>
  <c r="AH12" i="46"/>
  <c r="AI12" i="46"/>
  <c r="AG26" i="46"/>
  <c r="AE13" i="46"/>
  <c r="AF13" i="46"/>
  <c r="AG13" i="46"/>
  <c r="AH13" i="46"/>
  <c r="AI13" i="46"/>
  <c r="AG27" i="46"/>
  <c r="AF17" i="46"/>
  <c r="AF18" i="46"/>
  <c r="AF19" i="46"/>
  <c r="AF20" i="46"/>
  <c r="AF23" i="46"/>
  <c r="AF24" i="46"/>
  <c r="AF25" i="46"/>
  <c r="AF26" i="46"/>
  <c r="AF27" i="46"/>
  <c r="D31" i="46"/>
  <c r="J29" i="46"/>
  <c r="I29" i="46"/>
  <c r="H29" i="46"/>
  <c r="G29" i="46"/>
  <c r="F16" i="46"/>
  <c r="D29" i="46"/>
  <c r="AK2" i="46"/>
  <c r="AQ16" i="46"/>
  <c r="AL2" i="46"/>
  <c r="AR16" i="46"/>
  <c r="AM2" i="46"/>
  <c r="AS16" i="46"/>
  <c r="AN2" i="46"/>
  <c r="AT16" i="46"/>
  <c r="AO2" i="46"/>
  <c r="AU16" i="46"/>
  <c r="AP2" i="46"/>
  <c r="AV16" i="46"/>
  <c r="AQ2" i="46"/>
  <c r="AW16" i="46"/>
  <c r="AR2" i="46"/>
  <c r="AX16" i="46"/>
  <c r="AS2" i="46"/>
  <c r="AY16" i="46"/>
  <c r="AT2" i="46"/>
  <c r="AZ16" i="46"/>
  <c r="AU2" i="46"/>
  <c r="BA16" i="46"/>
  <c r="AV2" i="46"/>
  <c r="BB16" i="46"/>
  <c r="AW2" i="46"/>
  <c r="BC16" i="46"/>
  <c r="AX2" i="46"/>
  <c r="BD16" i="46"/>
  <c r="AY2" i="46"/>
  <c r="BE16" i="46"/>
  <c r="AZ2" i="46"/>
  <c r="BF16" i="46"/>
  <c r="BA2" i="46"/>
  <c r="BG16" i="46"/>
  <c r="BB2" i="46"/>
  <c r="BH16" i="46"/>
  <c r="BC2" i="46"/>
  <c r="BI16" i="46"/>
  <c r="BD2" i="46"/>
  <c r="BJ16" i="46"/>
  <c r="BE2" i="46"/>
  <c r="BK16" i="46"/>
  <c r="BF2" i="46"/>
  <c r="BL16" i="46"/>
  <c r="BG2" i="46"/>
  <c r="BM16" i="46"/>
  <c r="BH2" i="46"/>
  <c r="BN16" i="46"/>
  <c r="AP16" i="46"/>
  <c r="AK3" i="46"/>
  <c r="AQ17" i="46"/>
  <c r="AL3" i="46"/>
  <c r="AR17" i="46"/>
  <c r="AM3" i="46"/>
  <c r="AS17" i="46"/>
  <c r="AN3" i="46"/>
  <c r="AT17" i="46"/>
  <c r="AO3" i="46"/>
  <c r="AU17" i="46"/>
  <c r="AP3" i="46"/>
  <c r="AV17" i="46"/>
  <c r="AQ3" i="46"/>
  <c r="AW17" i="46"/>
  <c r="AR3" i="46"/>
  <c r="AX17" i="46"/>
  <c r="AS3" i="46"/>
  <c r="AY17" i="46"/>
  <c r="AT3" i="46"/>
  <c r="AZ17" i="46"/>
  <c r="AU3" i="46"/>
  <c r="BA17" i="46"/>
  <c r="AV3" i="46"/>
  <c r="BB17" i="46"/>
  <c r="AW3" i="46"/>
  <c r="BC17" i="46"/>
  <c r="AX3" i="46"/>
  <c r="BD17" i="46"/>
  <c r="AY3" i="46"/>
  <c r="BE17" i="46"/>
  <c r="AZ3" i="46"/>
  <c r="BF17" i="46"/>
  <c r="BA3" i="46"/>
  <c r="BG17" i="46"/>
  <c r="BB3" i="46"/>
  <c r="BH17" i="46"/>
  <c r="BC3" i="46"/>
  <c r="BI17" i="46"/>
  <c r="BD3" i="46"/>
  <c r="BJ17" i="46"/>
  <c r="BE3" i="46"/>
  <c r="BK17" i="46"/>
  <c r="BF3" i="46"/>
  <c r="BL17" i="46"/>
  <c r="BG3" i="46"/>
  <c r="BM17" i="46"/>
  <c r="BH3" i="46"/>
  <c r="BN17" i="46"/>
  <c r="AP17" i="46"/>
  <c r="AK4" i="46"/>
  <c r="AQ18" i="46"/>
  <c r="AL4" i="46"/>
  <c r="AR18" i="46"/>
  <c r="AM4" i="46"/>
  <c r="AS18" i="46"/>
  <c r="AN4" i="46"/>
  <c r="AT18" i="46"/>
  <c r="AO4" i="46"/>
  <c r="AU18" i="46"/>
  <c r="AP4" i="46"/>
  <c r="AV18" i="46"/>
  <c r="AQ4" i="46"/>
  <c r="AW18" i="46"/>
  <c r="AR4" i="46"/>
  <c r="AX18" i="46"/>
  <c r="AS4" i="46"/>
  <c r="AY18" i="46"/>
  <c r="AT4" i="46"/>
  <c r="AZ18" i="46"/>
  <c r="AU4" i="46"/>
  <c r="BA18" i="46"/>
  <c r="AV4" i="46"/>
  <c r="BB18" i="46"/>
  <c r="AW4" i="46"/>
  <c r="BC18" i="46"/>
  <c r="AX4" i="46"/>
  <c r="BD18" i="46"/>
  <c r="AY4" i="46"/>
  <c r="BE18" i="46"/>
  <c r="AZ4" i="46"/>
  <c r="BF18" i="46"/>
  <c r="BA4" i="46"/>
  <c r="BG18" i="46"/>
  <c r="BB4" i="46"/>
  <c r="BH18" i="46"/>
  <c r="BC4" i="46"/>
  <c r="BI18" i="46"/>
  <c r="BD4" i="46"/>
  <c r="BJ18" i="46"/>
  <c r="BE4" i="46"/>
  <c r="BK18" i="46"/>
  <c r="BF4" i="46"/>
  <c r="BL18" i="46"/>
  <c r="BG4" i="46"/>
  <c r="BM18" i="46"/>
  <c r="BH4" i="46"/>
  <c r="BN18" i="46"/>
  <c r="AP18" i="46"/>
  <c r="AK5" i="46"/>
  <c r="AQ19" i="46"/>
  <c r="AL5" i="46"/>
  <c r="AR19" i="46"/>
  <c r="AM5" i="46"/>
  <c r="AS19" i="46"/>
  <c r="AN5" i="46"/>
  <c r="AT19" i="46"/>
  <c r="AO5" i="46"/>
  <c r="AU19" i="46"/>
  <c r="AP5" i="46"/>
  <c r="AV19" i="46"/>
  <c r="AQ5" i="46"/>
  <c r="AW19" i="46"/>
  <c r="AR5" i="46"/>
  <c r="AX19" i="46"/>
  <c r="AS5" i="46"/>
  <c r="AY19" i="46"/>
  <c r="AT5" i="46"/>
  <c r="AZ19" i="46"/>
  <c r="AU5" i="46"/>
  <c r="BA19" i="46"/>
  <c r="AV5" i="46"/>
  <c r="BB19" i="46"/>
  <c r="AW5" i="46"/>
  <c r="BC19" i="46"/>
  <c r="AX5" i="46"/>
  <c r="BD19" i="46"/>
  <c r="AY5" i="46"/>
  <c r="BE19" i="46"/>
  <c r="AZ5" i="46"/>
  <c r="BF19" i="46"/>
  <c r="BA5" i="46"/>
  <c r="BG19" i="46"/>
  <c r="BB5" i="46"/>
  <c r="BH19" i="46"/>
  <c r="BC5" i="46"/>
  <c r="BI19" i="46"/>
  <c r="BD5" i="46"/>
  <c r="BJ19" i="46"/>
  <c r="BE5" i="46"/>
  <c r="BK19" i="46"/>
  <c r="BF5" i="46"/>
  <c r="BL19" i="46"/>
  <c r="BG5" i="46"/>
  <c r="BM19" i="46"/>
  <c r="BH5" i="46"/>
  <c r="BN19" i="46"/>
  <c r="AP19" i="46"/>
  <c r="AK6" i="46"/>
  <c r="AQ20" i="46"/>
  <c r="AL6" i="46"/>
  <c r="AR20" i="46"/>
  <c r="AM6" i="46"/>
  <c r="AS20" i="46"/>
  <c r="AN6" i="46"/>
  <c r="AT20" i="46"/>
  <c r="AO6" i="46"/>
  <c r="AU20" i="46"/>
  <c r="AP6" i="46"/>
  <c r="AV20" i="46"/>
  <c r="AQ6" i="46"/>
  <c r="AW20" i="46"/>
  <c r="AR6" i="46"/>
  <c r="AX20" i="46"/>
  <c r="AS6" i="46"/>
  <c r="AY20" i="46"/>
  <c r="AT6" i="46"/>
  <c r="AZ20" i="46"/>
  <c r="AU6" i="46"/>
  <c r="BA20" i="46"/>
  <c r="AV6" i="46"/>
  <c r="BB20" i="46"/>
  <c r="AW6" i="46"/>
  <c r="BC20" i="46"/>
  <c r="AX6" i="46"/>
  <c r="BD20" i="46"/>
  <c r="AY6" i="46"/>
  <c r="BE20" i="46"/>
  <c r="AZ6" i="46"/>
  <c r="BF20" i="46"/>
  <c r="BA6" i="46"/>
  <c r="BG20" i="46"/>
  <c r="BB6" i="46"/>
  <c r="BH20" i="46"/>
  <c r="BC6" i="46"/>
  <c r="BI20" i="46"/>
  <c r="BD6" i="46"/>
  <c r="BJ20" i="46"/>
  <c r="BE6" i="46"/>
  <c r="BK20" i="46"/>
  <c r="BF6" i="46"/>
  <c r="BL20" i="46"/>
  <c r="BG6" i="46"/>
  <c r="BM20" i="46"/>
  <c r="BH6" i="46"/>
  <c r="BN20" i="46"/>
  <c r="AP20" i="46"/>
  <c r="AK7" i="46"/>
  <c r="AQ21" i="46"/>
  <c r="AL7" i="46"/>
  <c r="AR21" i="46"/>
  <c r="AM7" i="46"/>
  <c r="AS21" i="46"/>
  <c r="AN7" i="46"/>
  <c r="AT21" i="46"/>
  <c r="AO7" i="46"/>
  <c r="AU21" i="46"/>
  <c r="AP7" i="46"/>
  <c r="AV21" i="46"/>
  <c r="AQ7" i="46"/>
  <c r="AW21" i="46"/>
  <c r="AR7" i="46"/>
  <c r="AX21" i="46"/>
  <c r="AS7" i="46"/>
  <c r="AY21" i="46"/>
  <c r="AT7" i="46"/>
  <c r="AZ21" i="46"/>
  <c r="AU7" i="46"/>
  <c r="BA21" i="46"/>
  <c r="AV7" i="46"/>
  <c r="BB21" i="46"/>
  <c r="AW7" i="46"/>
  <c r="BC21" i="46"/>
  <c r="AX7" i="46"/>
  <c r="BD21" i="46"/>
  <c r="AY7" i="46"/>
  <c r="BE21" i="46"/>
  <c r="AZ7" i="46"/>
  <c r="BF21" i="46"/>
  <c r="BA7" i="46"/>
  <c r="BG21" i="46"/>
  <c r="BB7" i="46"/>
  <c r="BH21" i="46"/>
  <c r="BC7" i="46"/>
  <c r="BI21" i="46"/>
  <c r="BD7" i="46"/>
  <c r="BJ21" i="46"/>
  <c r="BE7" i="46"/>
  <c r="BK21" i="46"/>
  <c r="BF7" i="46"/>
  <c r="BL21" i="46"/>
  <c r="BG7" i="46"/>
  <c r="BM21" i="46"/>
  <c r="BH7" i="46"/>
  <c r="BN21" i="46"/>
  <c r="AP21" i="46"/>
  <c r="AK8" i="46"/>
  <c r="AQ22" i="46"/>
  <c r="AL8" i="46"/>
  <c r="AR22" i="46"/>
  <c r="AM8" i="46"/>
  <c r="AS22" i="46"/>
  <c r="AN8" i="46"/>
  <c r="AT22" i="46"/>
  <c r="AO8" i="46"/>
  <c r="AU22" i="46"/>
  <c r="AP8" i="46"/>
  <c r="AV22" i="46"/>
  <c r="AQ8" i="46"/>
  <c r="AW22" i="46"/>
  <c r="AR8" i="46"/>
  <c r="AX22" i="46"/>
  <c r="AS8" i="46"/>
  <c r="AY22" i="46"/>
  <c r="AT8" i="46"/>
  <c r="AZ22" i="46"/>
  <c r="AU8" i="46"/>
  <c r="BA22" i="46"/>
  <c r="AV8" i="46"/>
  <c r="BB22" i="46"/>
  <c r="AW8" i="46"/>
  <c r="BC22" i="46"/>
  <c r="AX8" i="46"/>
  <c r="BD22" i="46"/>
  <c r="AY8" i="46"/>
  <c r="BE22" i="46"/>
  <c r="AZ8" i="46"/>
  <c r="BF22" i="46"/>
  <c r="BA8" i="46"/>
  <c r="BG22" i="46"/>
  <c r="BB8" i="46"/>
  <c r="BH22" i="46"/>
  <c r="BC8" i="46"/>
  <c r="BI22" i="46"/>
  <c r="BD8" i="46"/>
  <c r="BJ22" i="46"/>
  <c r="BE8" i="46"/>
  <c r="BK22" i="46"/>
  <c r="BF8" i="46"/>
  <c r="BL22" i="46"/>
  <c r="BG8" i="46"/>
  <c r="BM22" i="46"/>
  <c r="BH8" i="46"/>
  <c r="BN22" i="46"/>
  <c r="AP22" i="46"/>
  <c r="AK9" i="46"/>
  <c r="AQ23" i="46"/>
  <c r="AL9" i="46"/>
  <c r="AR23" i="46"/>
  <c r="AM9" i="46"/>
  <c r="AS23" i="46"/>
  <c r="AN9" i="46"/>
  <c r="AT23" i="46"/>
  <c r="AO9" i="46"/>
  <c r="AU23" i="46"/>
  <c r="AP9" i="46"/>
  <c r="AV23" i="46"/>
  <c r="AQ9" i="46"/>
  <c r="AW23" i="46"/>
  <c r="AR9" i="46"/>
  <c r="AX23" i="46"/>
  <c r="AS9" i="46"/>
  <c r="AY23" i="46"/>
  <c r="AT9" i="46"/>
  <c r="AZ23" i="46"/>
  <c r="AU9" i="46"/>
  <c r="BA23" i="46"/>
  <c r="AV9" i="46"/>
  <c r="BB23" i="46"/>
  <c r="AW9" i="46"/>
  <c r="BC23" i="46"/>
  <c r="AX9" i="46"/>
  <c r="BD23" i="46"/>
  <c r="AY9" i="46"/>
  <c r="BE23" i="46"/>
  <c r="AZ9" i="46"/>
  <c r="BF23" i="46"/>
  <c r="BA9" i="46"/>
  <c r="BG23" i="46"/>
  <c r="BB9" i="46"/>
  <c r="BH23" i="46"/>
  <c r="BC9" i="46"/>
  <c r="BI23" i="46"/>
  <c r="BD9" i="46"/>
  <c r="BJ23" i="46"/>
  <c r="BE9" i="46"/>
  <c r="BK23" i="46"/>
  <c r="BF9" i="46"/>
  <c r="BL23" i="46"/>
  <c r="BG9" i="46"/>
  <c r="BM23" i="46"/>
  <c r="BH9" i="46"/>
  <c r="BN23" i="46"/>
  <c r="AP23" i="46"/>
  <c r="AK10" i="46"/>
  <c r="AQ24" i="46"/>
  <c r="AL10" i="46"/>
  <c r="AR24" i="46"/>
  <c r="AM10" i="46"/>
  <c r="AS24" i="46"/>
  <c r="AN10" i="46"/>
  <c r="AT24" i="46"/>
  <c r="AO10" i="46"/>
  <c r="AU24" i="46"/>
  <c r="AP10" i="46"/>
  <c r="AV24" i="46"/>
  <c r="AQ10" i="46"/>
  <c r="AW24" i="46"/>
  <c r="AR10" i="46"/>
  <c r="AX24" i="46"/>
  <c r="AS10" i="46"/>
  <c r="AY24" i="46"/>
  <c r="AT10" i="46"/>
  <c r="AZ24" i="46"/>
  <c r="AU10" i="46"/>
  <c r="BA24" i="46"/>
  <c r="AV10" i="46"/>
  <c r="BB24" i="46"/>
  <c r="AW10" i="46"/>
  <c r="BC24" i="46"/>
  <c r="AX10" i="46"/>
  <c r="BD24" i="46"/>
  <c r="AY10" i="46"/>
  <c r="BE24" i="46"/>
  <c r="AZ10" i="46"/>
  <c r="BF24" i="46"/>
  <c r="BA10" i="46"/>
  <c r="BG24" i="46"/>
  <c r="BB10" i="46"/>
  <c r="BH24" i="46"/>
  <c r="BC10" i="46"/>
  <c r="BI24" i="46"/>
  <c r="BD10" i="46"/>
  <c r="BJ24" i="46"/>
  <c r="BE10" i="46"/>
  <c r="BK24" i="46"/>
  <c r="BF10" i="46"/>
  <c r="BL24" i="46"/>
  <c r="BG10" i="46"/>
  <c r="BM24" i="46"/>
  <c r="BH10" i="46"/>
  <c r="BN24" i="46"/>
  <c r="AP24" i="46"/>
  <c r="AK11" i="46"/>
  <c r="AQ25" i="46"/>
  <c r="AL11" i="46"/>
  <c r="AR25" i="46"/>
  <c r="AM11" i="46"/>
  <c r="AS25" i="46"/>
  <c r="AN11" i="46"/>
  <c r="AT25" i="46"/>
  <c r="AO11" i="46"/>
  <c r="AU25" i="46"/>
  <c r="AP11" i="46"/>
  <c r="AV25" i="46"/>
  <c r="AQ11" i="46"/>
  <c r="AW25" i="46"/>
  <c r="AR11" i="46"/>
  <c r="AX25" i="46"/>
  <c r="AS11" i="46"/>
  <c r="AY25" i="46"/>
  <c r="AT11" i="46"/>
  <c r="AZ25" i="46"/>
  <c r="AU11" i="46"/>
  <c r="BA25" i="46"/>
  <c r="AV11" i="46"/>
  <c r="BB25" i="46"/>
  <c r="AW11" i="46"/>
  <c r="BC25" i="46"/>
  <c r="AX11" i="46"/>
  <c r="BD25" i="46"/>
  <c r="AY11" i="46"/>
  <c r="BE25" i="46"/>
  <c r="AZ11" i="46"/>
  <c r="BF25" i="46"/>
  <c r="BA11" i="46"/>
  <c r="BG25" i="46"/>
  <c r="BB11" i="46"/>
  <c r="BH25" i="46"/>
  <c r="BC11" i="46"/>
  <c r="BI25" i="46"/>
  <c r="BD11" i="46"/>
  <c r="BJ25" i="46"/>
  <c r="BE11" i="46"/>
  <c r="BK25" i="46"/>
  <c r="BF11" i="46"/>
  <c r="BL25" i="46"/>
  <c r="BG11" i="46"/>
  <c r="BM25" i="46"/>
  <c r="BH11" i="46"/>
  <c r="BN25" i="46"/>
  <c r="AP25" i="46"/>
  <c r="AK12" i="46"/>
  <c r="AQ26" i="46"/>
  <c r="AL12" i="46"/>
  <c r="AR26" i="46"/>
  <c r="AM12" i="46"/>
  <c r="AS26" i="46"/>
  <c r="AN12" i="46"/>
  <c r="AT26" i="46"/>
  <c r="AO12" i="46"/>
  <c r="AU26" i="46"/>
  <c r="AP12" i="46"/>
  <c r="AV26" i="46"/>
  <c r="AQ12" i="46"/>
  <c r="AW26" i="46"/>
  <c r="AR12" i="46"/>
  <c r="AX26" i="46"/>
  <c r="AS12" i="46"/>
  <c r="AY26" i="46"/>
  <c r="AT12" i="46"/>
  <c r="AZ26" i="46"/>
  <c r="AU12" i="46"/>
  <c r="BA26" i="46"/>
  <c r="AV12" i="46"/>
  <c r="BB26" i="46"/>
  <c r="AW12" i="46"/>
  <c r="BC26" i="46"/>
  <c r="AX12" i="46"/>
  <c r="BD26" i="46"/>
  <c r="AY12" i="46"/>
  <c r="BE26" i="46"/>
  <c r="AZ12" i="46"/>
  <c r="BF26" i="46"/>
  <c r="BA12" i="46"/>
  <c r="BG26" i="46"/>
  <c r="BB12" i="46"/>
  <c r="BH26" i="46"/>
  <c r="BC12" i="46"/>
  <c r="BI26" i="46"/>
  <c r="BD12" i="46"/>
  <c r="BJ26" i="46"/>
  <c r="BE12" i="46"/>
  <c r="BK26" i="46"/>
  <c r="BF12" i="46"/>
  <c r="BL26" i="46"/>
  <c r="BG12" i="46"/>
  <c r="BM26" i="46"/>
  <c r="BH12" i="46"/>
  <c r="BN26" i="46"/>
  <c r="AP26" i="46"/>
  <c r="AK13" i="46"/>
  <c r="AQ27" i="46"/>
  <c r="AL13" i="46"/>
  <c r="AR27" i="46"/>
  <c r="AM13" i="46"/>
  <c r="AS27" i="46"/>
  <c r="AN13" i="46"/>
  <c r="AT27" i="46"/>
  <c r="AO13" i="46"/>
  <c r="AU27" i="46"/>
  <c r="AP13" i="46"/>
  <c r="AV27" i="46"/>
  <c r="AQ13" i="46"/>
  <c r="AW27" i="46"/>
  <c r="AR13" i="46"/>
  <c r="AX27" i="46"/>
  <c r="AS13" i="46"/>
  <c r="AY27" i="46"/>
  <c r="AT13" i="46"/>
  <c r="AZ27" i="46"/>
  <c r="AU13" i="46"/>
  <c r="BA27" i="46"/>
  <c r="AV13" i="46"/>
  <c r="BB27" i="46"/>
  <c r="AW13" i="46"/>
  <c r="BC27" i="46"/>
  <c r="AX13" i="46"/>
  <c r="BD27" i="46"/>
  <c r="AY13" i="46"/>
  <c r="BE27" i="46"/>
  <c r="AZ13" i="46"/>
  <c r="BF27" i="46"/>
  <c r="BA13" i="46"/>
  <c r="BG27" i="46"/>
  <c r="BB13" i="46"/>
  <c r="BH27" i="46"/>
  <c r="BC13" i="46"/>
  <c r="BI27" i="46"/>
  <c r="BD13" i="46"/>
  <c r="BJ27" i="46"/>
  <c r="BE13" i="46"/>
  <c r="BK27" i="46"/>
  <c r="BF13" i="46"/>
  <c r="BL27" i="46"/>
  <c r="BG13" i="46"/>
  <c r="BM27" i="46"/>
  <c r="BH13" i="46"/>
  <c r="BN27" i="46"/>
  <c r="AP27" i="46"/>
  <c r="AP28" i="46"/>
  <c r="AN16" i="46"/>
  <c r="AN17" i="46"/>
  <c r="AN18" i="46"/>
  <c r="AN19" i="46"/>
  <c r="AN20" i="46"/>
  <c r="AN21" i="46"/>
  <c r="AN22" i="46"/>
  <c r="AN23" i="46"/>
  <c r="AN24" i="46"/>
  <c r="AN25" i="46"/>
  <c r="AN26" i="46"/>
  <c r="AN27" i="46"/>
  <c r="AN28" i="46"/>
  <c r="AM16" i="46"/>
  <c r="AM17" i="46"/>
  <c r="AM18" i="46"/>
  <c r="AM19" i="46"/>
  <c r="AM20" i="46"/>
  <c r="AM21" i="46"/>
  <c r="AM22" i="46"/>
  <c r="AM23" i="46"/>
  <c r="AM24" i="46"/>
  <c r="AM25" i="46"/>
  <c r="AM26" i="46"/>
  <c r="AM27" i="46"/>
  <c r="AM28" i="46"/>
  <c r="AL16" i="46"/>
  <c r="AL17" i="46"/>
  <c r="AL18" i="46"/>
  <c r="AL19" i="46"/>
  <c r="AL20" i="46"/>
  <c r="AL21" i="46"/>
  <c r="AL22" i="46"/>
  <c r="AL23" i="46"/>
  <c r="AL24" i="46"/>
  <c r="AL25" i="46"/>
  <c r="AL26" i="46"/>
  <c r="AL27" i="46"/>
  <c r="AL28" i="46"/>
  <c r="AK16" i="46"/>
  <c r="AK17" i="46"/>
  <c r="AK18" i="46"/>
  <c r="AK19" i="46"/>
  <c r="AK20" i="46"/>
  <c r="AK21" i="46"/>
  <c r="AK22" i="46"/>
  <c r="AK23" i="46"/>
  <c r="AK24" i="46"/>
  <c r="AK25" i="46"/>
  <c r="AK26" i="46"/>
  <c r="AK27" i="46"/>
  <c r="AK28" i="46"/>
  <c r="Z2" i="46"/>
  <c r="AA2" i="46"/>
  <c r="AB2" i="46"/>
  <c r="AC2" i="46"/>
  <c r="AA16" i="46"/>
  <c r="Z3" i="46"/>
  <c r="AA3" i="46"/>
  <c r="AB3" i="46"/>
  <c r="AC3" i="46"/>
  <c r="AA17" i="46"/>
  <c r="Z4" i="46"/>
  <c r="AA4" i="46"/>
  <c r="AB4" i="46"/>
  <c r="AC4" i="46"/>
  <c r="AA18" i="46"/>
  <c r="Z5" i="46"/>
  <c r="AA5" i="46"/>
  <c r="AB5" i="46"/>
  <c r="AC5" i="46"/>
  <c r="AA19" i="46"/>
  <c r="Z6" i="46"/>
  <c r="AA6" i="46"/>
  <c r="AB6" i="46"/>
  <c r="AC6" i="46"/>
  <c r="AA20" i="46"/>
  <c r="Z7" i="46"/>
  <c r="AA7" i="46"/>
  <c r="AB7" i="46"/>
  <c r="AC7" i="46"/>
  <c r="AA21" i="46"/>
  <c r="Z8" i="46"/>
  <c r="AA8" i="46"/>
  <c r="AB8" i="46"/>
  <c r="AC8" i="46"/>
  <c r="AA22" i="46"/>
  <c r="Z9" i="46"/>
  <c r="AA9" i="46"/>
  <c r="AB9" i="46"/>
  <c r="AC9" i="46"/>
  <c r="AA23" i="46"/>
  <c r="Z10" i="46"/>
  <c r="AA10" i="46"/>
  <c r="AB10" i="46"/>
  <c r="AC10" i="46"/>
  <c r="AA24" i="46"/>
  <c r="Z11" i="46"/>
  <c r="AA11" i="46"/>
  <c r="AB11" i="46"/>
  <c r="AC11" i="46"/>
  <c r="AA25" i="46"/>
  <c r="Z12" i="46"/>
  <c r="AA12" i="46"/>
  <c r="AB12" i="46"/>
  <c r="AC12" i="46"/>
  <c r="AA26" i="46"/>
  <c r="Z13" i="46"/>
  <c r="AA13" i="46"/>
  <c r="AB13" i="46"/>
  <c r="AC13" i="46"/>
  <c r="AA27" i="46"/>
  <c r="AA28" i="46"/>
  <c r="Z16" i="46"/>
  <c r="Z17" i="46"/>
  <c r="Z18" i="46"/>
  <c r="Z19" i="46"/>
  <c r="Z20" i="46"/>
  <c r="Z21" i="46"/>
  <c r="Z22" i="46"/>
  <c r="Z23" i="46"/>
  <c r="Z24" i="46"/>
  <c r="Z25" i="46"/>
  <c r="Z26" i="46"/>
  <c r="Z27" i="46"/>
  <c r="Z28" i="46"/>
  <c r="S28" i="46"/>
  <c r="R28" i="46"/>
  <c r="Q28" i="46"/>
  <c r="P28" i="46"/>
  <c r="N28" i="46"/>
  <c r="M28" i="46"/>
  <c r="L28" i="46"/>
  <c r="K28" i="46"/>
  <c r="D27" i="46"/>
  <c r="G26" i="46"/>
  <c r="N25" i="46"/>
  <c r="M25" i="46"/>
  <c r="L25" i="46"/>
  <c r="K25" i="46"/>
  <c r="D25" i="46"/>
  <c r="G24" i="46"/>
  <c r="H16" i="46"/>
  <c r="D23" i="46"/>
  <c r="G22" i="46"/>
  <c r="G16" i="46"/>
  <c r="D21" i="46"/>
  <c r="G20" i="46"/>
  <c r="M19" i="46"/>
  <c r="W16" i="46"/>
  <c r="V16" i="46"/>
  <c r="U16" i="46"/>
  <c r="E50" i="45"/>
  <c r="A50" i="45"/>
  <c r="E49" i="45"/>
  <c r="A49" i="45"/>
  <c r="E48" i="45"/>
  <c r="A48" i="45"/>
  <c r="E47" i="45"/>
  <c r="A47" i="45"/>
  <c r="E46" i="45"/>
  <c r="A46" i="45"/>
  <c r="E45" i="45"/>
  <c r="A45" i="45"/>
  <c r="E44" i="45"/>
  <c r="A44" i="45"/>
  <c r="E43" i="45"/>
  <c r="A43" i="45"/>
  <c r="X15" i="45"/>
  <c r="E42" i="45"/>
  <c r="A42" i="45"/>
  <c r="X14" i="45"/>
  <c r="E41" i="45"/>
  <c r="A41" i="45"/>
  <c r="X13" i="45"/>
  <c r="E40" i="45"/>
  <c r="A40" i="45"/>
  <c r="X12" i="45"/>
  <c r="E39" i="45"/>
  <c r="A39" i="45"/>
  <c r="X11" i="45"/>
  <c r="X10" i="45"/>
  <c r="X9" i="45"/>
  <c r="R16" i="45"/>
  <c r="Q16" i="45"/>
  <c r="X8" i="45"/>
  <c r="X7" i="45"/>
  <c r="X4" i="45"/>
  <c r="X5" i="45"/>
  <c r="X6" i="45"/>
  <c r="AE2" i="45"/>
  <c r="AF2" i="45"/>
  <c r="AG2" i="45"/>
  <c r="AH2" i="45"/>
  <c r="AI2" i="45"/>
  <c r="AG16" i="45"/>
  <c r="AE3" i="45"/>
  <c r="AF3" i="45"/>
  <c r="AG3" i="45"/>
  <c r="AH3" i="45"/>
  <c r="AI3" i="45"/>
  <c r="AG17" i="45"/>
  <c r="AE4" i="45"/>
  <c r="AF4" i="45"/>
  <c r="AG4" i="45"/>
  <c r="AH4" i="45"/>
  <c r="AI4" i="45"/>
  <c r="AG18" i="45"/>
  <c r="AE5" i="45"/>
  <c r="AF5" i="45"/>
  <c r="AG5" i="45"/>
  <c r="AH5" i="45"/>
  <c r="AI5" i="45"/>
  <c r="AG19" i="45"/>
  <c r="AE6" i="45"/>
  <c r="AF6" i="45"/>
  <c r="AG6" i="45"/>
  <c r="AH6" i="45"/>
  <c r="AI6" i="45"/>
  <c r="AG20" i="45"/>
  <c r="AE7" i="45"/>
  <c r="AF7" i="45"/>
  <c r="AG7" i="45"/>
  <c r="AH7" i="45"/>
  <c r="AI7" i="45"/>
  <c r="AG21" i="45"/>
  <c r="AE9" i="45"/>
  <c r="AF9" i="45"/>
  <c r="AG9" i="45"/>
  <c r="AH9" i="45"/>
  <c r="AI9" i="45"/>
  <c r="AG23" i="45"/>
  <c r="AE10" i="45"/>
  <c r="AF10" i="45"/>
  <c r="AG10" i="45"/>
  <c r="AH10" i="45"/>
  <c r="AI10" i="45"/>
  <c r="AG24" i="45"/>
  <c r="AE11" i="45"/>
  <c r="AF11" i="45"/>
  <c r="AG11" i="45"/>
  <c r="AH11" i="45"/>
  <c r="AI11" i="45"/>
  <c r="AG25" i="45"/>
  <c r="AE12" i="45"/>
  <c r="AF12" i="45"/>
  <c r="AG12" i="45"/>
  <c r="AH12" i="45"/>
  <c r="AI12" i="45"/>
  <c r="AG26" i="45"/>
  <c r="AF16" i="45"/>
  <c r="AF17" i="45"/>
  <c r="AF18" i="45"/>
  <c r="AF19" i="45"/>
  <c r="AF20" i="45"/>
  <c r="AF21" i="45"/>
  <c r="AF23" i="45"/>
  <c r="AF24" i="45"/>
  <c r="AF25" i="45"/>
  <c r="AF26" i="45"/>
  <c r="D31" i="45"/>
  <c r="J29" i="45"/>
  <c r="I29" i="45"/>
  <c r="H29" i="45"/>
  <c r="G29" i="45"/>
  <c r="F16" i="45"/>
  <c r="D29" i="45"/>
  <c r="AK2" i="45"/>
  <c r="AQ16" i="45"/>
  <c r="AL2" i="45"/>
  <c r="AR16" i="45"/>
  <c r="AM2" i="45"/>
  <c r="AS16" i="45"/>
  <c r="AN2" i="45"/>
  <c r="AT16" i="45"/>
  <c r="AO2" i="45"/>
  <c r="AU16" i="45"/>
  <c r="AP2" i="45"/>
  <c r="AV16" i="45"/>
  <c r="AQ2" i="45"/>
  <c r="AW16" i="45"/>
  <c r="AR2" i="45"/>
  <c r="AX16" i="45"/>
  <c r="AS2" i="45"/>
  <c r="AY16" i="45"/>
  <c r="AT2" i="45"/>
  <c r="AZ16" i="45"/>
  <c r="AU2" i="45"/>
  <c r="BA16" i="45"/>
  <c r="AV2" i="45"/>
  <c r="BB16" i="45"/>
  <c r="AW2" i="45"/>
  <c r="BC16" i="45"/>
  <c r="AX2" i="45"/>
  <c r="BD16" i="45"/>
  <c r="AY2" i="45"/>
  <c r="BE16" i="45"/>
  <c r="AZ2" i="45"/>
  <c r="BF16" i="45"/>
  <c r="BA2" i="45"/>
  <c r="BG16" i="45"/>
  <c r="BB2" i="45"/>
  <c r="BH16" i="45"/>
  <c r="BC2" i="45"/>
  <c r="BI16" i="45"/>
  <c r="BD2" i="45"/>
  <c r="BJ16" i="45"/>
  <c r="BE2" i="45"/>
  <c r="BK16" i="45"/>
  <c r="BF2" i="45"/>
  <c r="BL16" i="45"/>
  <c r="BG2" i="45"/>
  <c r="BM16" i="45"/>
  <c r="BH2" i="45"/>
  <c r="BN16" i="45"/>
  <c r="AP16" i="45"/>
  <c r="AK3" i="45"/>
  <c r="AQ17" i="45"/>
  <c r="AL3" i="45"/>
  <c r="AR17" i="45"/>
  <c r="AM3" i="45"/>
  <c r="AS17" i="45"/>
  <c r="AN3" i="45"/>
  <c r="AT17" i="45"/>
  <c r="AO3" i="45"/>
  <c r="AU17" i="45"/>
  <c r="AP3" i="45"/>
  <c r="AV17" i="45"/>
  <c r="AQ3" i="45"/>
  <c r="AW17" i="45"/>
  <c r="AR3" i="45"/>
  <c r="AX17" i="45"/>
  <c r="AS3" i="45"/>
  <c r="AY17" i="45"/>
  <c r="AT3" i="45"/>
  <c r="AZ17" i="45"/>
  <c r="AU3" i="45"/>
  <c r="BA17" i="45"/>
  <c r="AV3" i="45"/>
  <c r="BB17" i="45"/>
  <c r="AW3" i="45"/>
  <c r="BC17" i="45"/>
  <c r="AX3" i="45"/>
  <c r="BD17" i="45"/>
  <c r="AY3" i="45"/>
  <c r="BE17" i="45"/>
  <c r="AZ3" i="45"/>
  <c r="BF17" i="45"/>
  <c r="BA3" i="45"/>
  <c r="BG17" i="45"/>
  <c r="BB3" i="45"/>
  <c r="BH17" i="45"/>
  <c r="BC3" i="45"/>
  <c r="BI17" i="45"/>
  <c r="BD3" i="45"/>
  <c r="BJ17" i="45"/>
  <c r="BE3" i="45"/>
  <c r="BK17" i="45"/>
  <c r="BF3" i="45"/>
  <c r="BL17" i="45"/>
  <c r="BG3" i="45"/>
  <c r="BM17" i="45"/>
  <c r="BH3" i="45"/>
  <c r="BN17" i="45"/>
  <c r="AP17" i="45"/>
  <c r="AK4" i="45"/>
  <c r="AQ18" i="45"/>
  <c r="AL4" i="45"/>
  <c r="AR18" i="45"/>
  <c r="AM4" i="45"/>
  <c r="AS18" i="45"/>
  <c r="AN4" i="45"/>
  <c r="AT18" i="45"/>
  <c r="AO4" i="45"/>
  <c r="AU18" i="45"/>
  <c r="AP4" i="45"/>
  <c r="AV18" i="45"/>
  <c r="AQ4" i="45"/>
  <c r="AW18" i="45"/>
  <c r="AR4" i="45"/>
  <c r="AX18" i="45"/>
  <c r="AS4" i="45"/>
  <c r="AY18" i="45"/>
  <c r="AT4" i="45"/>
  <c r="AZ18" i="45"/>
  <c r="AU4" i="45"/>
  <c r="BA18" i="45"/>
  <c r="AV4" i="45"/>
  <c r="BB18" i="45"/>
  <c r="AW4" i="45"/>
  <c r="BC18" i="45"/>
  <c r="AX4" i="45"/>
  <c r="BD18" i="45"/>
  <c r="AY4" i="45"/>
  <c r="BE18" i="45"/>
  <c r="AZ4" i="45"/>
  <c r="BF18" i="45"/>
  <c r="BA4" i="45"/>
  <c r="BG18" i="45"/>
  <c r="BB4" i="45"/>
  <c r="BH18" i="45"/>
  <c r="BC4" i="45"/>
  <c r="BI18" i="45"/>
  <c r="BD4" i="45"/>
  <c r="BJ18" i="45"/>
  <c r="BE4" i="45"/>
  <c r="BK18" i="45"/>
  <c r="BF4" i="45"/>
  <c r="BL18" i="45"/>
  <c r="BG4" i="45"/>
  <c r="BM18" i="45"/>
  <c r="BH4" i="45"/>
  <c r="BN18" i="45"/>
  <c r="AP18" i="45"/>
  <c r="AK5" i="45"/>
  <c r="AQ19" i="45"/>
  <c r="AL5" i="45"/>
  <c r="AR19" i="45"/>
  <c r="AM5" i="45"/>
  <c r="AS19" i="45"/>
  <c r="AN5" i="45"/>
  <c r="AT19" i="45"/>
  <c r="AO5" i="45"/>
  <c r="AU19" i="45"/>
  <c r="AP5" i="45"/>
  <c r="AV19" i="45"/>
  <c r="AQ5" i="45"/>
  <c r="AW19" i="45"/>
  <c r="AR5" i="45"/>
  <c r="AX19" i="45"/>
  <c r="AS5" i="45"/>
  <c r="AY19" i="45"/>
  <c r="AT5" i="45"/>
  <c r="AZ19" i="45"/>
  <c r="AU5" i="45"/>
  <c r="BA19" i="45"/>
  <c r="AV5" i="45"/>
  <c r="BB19" i="45"/>
  <c r="AW5" i="45"/>
  <c r="BC19" i="45"/>
  <c r="AX5" i="45"/>
  <c r="BD19" i="45"/>
  <c r="AY5" i="45"/>
  <c r="BE19" i="45"/>
  <c r="AZ5" i="45"/>
  <c r="BF19" i="45"/>
  <c r="BA5" i="45"/>
  <c r="BG19" i="45"/>
  <c r="BB5" i="45"/>
  <c r="BH19" i="45"/>
  <c r="BC5" i="45"/>
  <c r="BI19" i="45"/>
  <c r="BD5" i="45"/>
  <c r="BJ19" i="45"/>
  <c r="BE5" i="45"/>
  <c r="BK19" i="45"/>
  <c r="BF5" i="45"/>
  <c r="BL19" i="45"/>
  <c r="BG5" i="45"/>
  <c r="BM19" i="45"/>
  <c r="BH5" i="45"/>
  <c r="BN19" i="45"/>
  <c r="AP19" i="45"/>
  <c r="AK6" i="45"/>
  <c r="AQ20" i="45"/>
  <c r="AL6" i="45"/>
  <c r="AR20" i="45"/>
  <c r="AM6" i="45"/>
  <c r="AS20" i="45"/>
  <c r="AN6" i="45"/>
  <c r="AT20" i="45"/>
  <c r="AO6" i="45"/>
  <c r="AU20" i="45"/>
  <c r="AP6" i="45"/>
  <c r="AV20" i="45"/>
  <c r="AQ6" i="45"/>
  <c r="AW20" i="45"/>
  <c r="AR6" i="45"/>
  <c r="AX20" i="45"/>
  <c r="AS6" i="45"/>
  <c r="AY20" i="45"/>
  <c r="AT6" i="45"/>
  <c r="AZ20" i="45"/>
  <c r="AU6" i="45"/>
  <c r="BA20" i="45"/>
  <c r="AV6" i="45"/>
  <c r="BB20" i="45"/>
  <c r="AW6" i="45"/>
  <c r="BC20" i="45"/>
  <c r="AX6" i="45"/>
  <c r="BD20" i="45"/>
  <c r="AY6" i="45"/>
  <c r="BE20" i="45"/>
  <c r="AZ6" i="45"/>
  <c r="BF20" i="45"/>
  <c r="BA6" i="45"/>
  <c r="BG20" i="45"/>
  <c r="BB6" i="45"/>
  <c r="BH20" i="45"/>
  <c r="BC6" i="45"/>
  <c r="BI20" i="45"/>
  <c r="BD6" i="45"/>
  <c r="BJ20" i="45"/>
  <c r="BE6" i="45"/>
  <c r="BK20" i="45"/>
  <c r="BF6" i="45"/>
  <c r="BL20" i="45"/>
  <c r="BG6" i="45"/>
  <c r="BM20" i="45"/>
  <c r="BH6" i="45"/>
  <c r="BN20" i="45"/>
  <c r="AP20" i="45"/>
  <c r="AK7" i="45"/>
  <c r="AQ21" i="45"/>
  <c r="AL7" i="45"/>
  <c r="AR21" i="45"/>
  <c r="AM7" i="45"/>
  <c r="AS21" i="45"/>
  <c r="AN7" i="45"/>
  <c r="AT21" i="45"/>
  <c r="AO7" i="45"/>
  <c r="AU21" i="45"/>
  <c r="AP7" i="45"/>
  <c r="AV21" i="45"/>
  <c r="AQ7" i="45"/>
  <c r="AW21" i="45"/>
  <c r="AR7" i="45"/>
  <c r="AX21" i="45"/>
  <c r="AS7" i="45"/>
  <c r="AY21" i="45"/>
  <c r="AT7" i="45"/>
  <c r="AZ21" i="45"/>
  <c r="AU7" i="45"/>
  <c r="BA21" i="45"/>
  <c r="AV7" i="45"/>
  <c r="BB21" i="45"/>
  <c r="AW7" i="45"/>
  <c r="BC21" i="45"/>
  <c r="AX7" i="45"/>
  <c r="BD21" i="45"/>
  <c r="AY7" i="45"/>
  <c r="BE21" i="45"/>
  <c r="AZ7" i="45"/>
  <c r="BF21" i="45"/>
  <c r="BA7" i="45"/>
  <c r="BG21" i="45"/>
  <c r="BB7" i="45"/>
  <c r="BH21" i="45"/>
  <c r="BC7" i="45"/>
  <c r="BI21" i="45"/>
  <c r="BD7" i="45"/>
  <c r="BJ21" i="45"/>
  <c r="BE7" i="45"/>
  <c r="BK21" i="45"/>
  <c r="BF7" i="45"/>
  <c r="BL21" i="45"/>
  <c r="BG7" i="45"/>
  <c r="BM21" i="45"/>
  <c r="BH7" i="45"/>
  <c r="BN21" i="45"/>
  <c r="AP21" i="45"/>
  <c r="AK8" i="45"/>
  <c r="AQ22" i="45"/>
  <c r="AL8" i="45"/>
  <c r="AR22" i="45"/>
  <c r="AM8" i="45"/>
  <c r="AS22" i="45"/>
  <c r="AN8" i="45"/>
  <c r="AT22" i="45"/>
  <c r="AO8" i="45"/>
  <c r="AU22" i="45"/>
  <c r="AP8" i="45"/>
  <c r="AV22" i="45"/>
  <c r="AQ8" i="45"/>
  <c r="AW22" i="45"/>
  <c r="AR8" i="45"/>
  <c r="AX22" i="45"/>
  <c r="AS8" i="45"/>
  <c r="AY22" i="45"/>
  <c r="AT8" i="45"/>
  <c r="AZ22" i="45"/>
  <c r="AU8" i="45"/>
  <c r="BA22" i="45"/>
  <c r="AV8" i="45"/>
  <c r="BB22" i="45"/>
  <c r="AW8" i="45"/>
  <c r="BC22" i="45"/>
  <c r="AX8" i="45"/>
  <c r="BD22" i="45"/>
  <c r="AY8" i="45"/>
  <c r="BE22" i="45"/>
  <c r="AZ8" i="45"/>
  <c r="BF22" i="45"/>
  <c r="BA8" i="45"/>
  <c r="BG22" i="45"/>
  <c r="BB8" i="45"/>
  <c r="BH22" i="45"/>
  <c r="BC8" i="45"/>
  <c r="BI22" i="45"/>
  <c r="BD8" i="45"/>
  <c r="BJ22" i="45"/>
  <c r="BE8" i="45"/>
  <c r="BK22" i="45"/>
  <c r="BF8" i="45"/>
  <c r="BL22" i="45"/>
  <c r="BG8" i="45"/>
  <c r="BM22" i="45"/>
  <c r="BH8" i="45"/>
  <c r="BN22" i="45"/>
  <c r="AP22" i="45"/>
  <c r="AK9" i="45"/>
  <c r="AQ23" i="45"/>
  <c r="AL9" i="45"/>
  <c r="AR23" i="45"/>
  <c r="AM9" i="45"/>
  <c r="AS23" i="45"/>
  <c r="AN9" i="45"/>
  <c r="AT23" i="45"/>
  <c r="AO9" i="45"/>
  <c r="AU23" i="45"/>
  <c r="AP9" i="45"/>
  <c r="AV23" i="45"/>
  <c r="AQ9" i="45"/>
  <c r="AW23" i="45"/>
  <c r="AR9" i="45"/>
  <c r="AX23" i="45"/>
  <c r="AS9" i="45"/>
  <c r="AY23" i="45"/>
  <c r="AT9" i="45"/>
  <c r="AZ23" i="45"/>
  <c r="AU9" i="45"/>
  <c r="BA23" i="45"/>
  <c r="AV9" i="45"/>
  <c r="BB23" i="45"/>
  <c r="AW9" i="45"/>
  <c r="BC23" i="45"/>
  <c r="AX9" i="45"/>
  <c r="BD23" i="45"/>
  <c r="AY9" i="45"/>
  <c r="BE23" i="45"/>
  <c r="AZ9" i="45"/>
  <c r="BF23" i="45"/>
  <c r="BA9" i="45"/>
  <c r="BG23" i="45"/>
  <c r="BB9" i="45"/>
  <c r="BH23" i="45"/>
  <c r="BC9" i="45"/>
  <c r="BI23" i="45"/>
  <c r="BD9" i="45"/>
  <c r="BJ23" i="45"/>
  <c r="BE9" i="45"/>
  <c r="BK23" i="45"/>
  <c r="BF9" i="45"/>
  <c r="BL23" i="45"/>
  <c r="BG9" i="45"/>
  <c r="BM23" i="45"/>
  <c r="BH9" i="45"/>
  <c r="BN23" i="45"/>
  <c r="AP23" i="45"/>
  <c r="AK10" i="45"/>
  <c r="AQ24" i="45"/>
  <c r="AL10" i="45"/>
  <c r="AR24" i="45"/>
  <c r="AM10" i="45"/>
  <c r="AS24" i="45"/>
  <c r="AN10" i="45"/>
  <c r="AT24" i="45"/>
  <c r="AO10" i="45"/>
  <c r="AU24" i="45"/>
  <c r="AP10" i="45"/>
  <c r="AV24" i="45"/>
  <c r="AQ10" i="45"/>
  <c r="AW24" i="45"/>
  <c r="AR10" i="45"/>
  <c r="AX24" i="45"/>
  <c r="AS10" i="45"/>
  <c r="AY24" i="45"/>
  <c r="AT10" i="45"/>
  <c r="AZ24" i="45"/>
  <c r="AU10" i="45"/>
  <c r="BA24" i="45"/>
  <c r="AV10" i="45"/>
  <c r="BB24" i="45"/>
  <c r="AW10" i="45"/>
  <c r="BC24" i="45"/>
  <c r="AX10" i="45"/>
  <c r="BD24" i="45"/>
  <c r="AY10" i="45"/>
  <c r="BE24" i="45"/>
  <c r="AZ10" i="45"/>
  <c r="BF24" i="45"/>
  <c r="BA10" i="45"/>
  <c r="BG24" i="45"/>
  <c r="BB10" i="45"/>
  <c r="BH24" i="45"/>
  <c r="BC10" i="45"/>
  <c r="BI24" i="45"/>
  <c r="BD10" i="45"/>
  <c r="BJ24" i="45"/>
  <c r="BE10" i="45"/>
  <c r="BK24" i="45"/>
  <c r="BF10" i="45"/>
  <c r="BL24" i="45"/>
  <c r="BG10" i="45"/>
  <c r="BM24" i="45"/>
  <c r="BH10" i="45"/>
  <c r="BN24" i="45"/>
  <c r="AP24" i="45"/>
  <c r="AK11" i="45"/>
  <c r="AQ25" i="45"/>
  <c r="AL11" i="45"/>
  <c r="AR25" i="45"/>
  <c r="AM11" i="45"/>
  <c r="AS25" i="45"/>
  <c r="AN11" i="45"/>
  <c r="AT25" i="45"/>
  <c r="AO11" i="45"/>
  <c r="AU25" i="45"/>
  <c r="AP11" i="45"/>
  <c r="AV25" i="45"/>
  <c r="AQ11" i="45"/>
  <c r="AW25" i="45"/>
  <c r="AR11" i="45"/>
  <c r="AX25" i="45"/>
  <c r="AS11" i="45"/>
  <c r="AY25" i="45"/>
  <c r="AT11" i="45"/>
  <c r="AZ25" i="45"/>
  <c r="AU11" i="45"/>
  <c r="BA25" i="45"/>
  <c r="AV11" i="45"/>
  <c r="BB25" i="45"/>
  <c r="AW11" i="45"/>
  <c r="BC25" i="45"/>
  <c r="AX11" i="45"/>
  <c r="BD25" i="45"/>
  <c r="AY11" i="45"/>
  <c r="BE25" i="45"/>
  <c r="AZ11" i="45"/>
  <c r="BF25" i="45"/>
  <c r="BA11" i="45"/>
  <c r="BG25" i="45"/>
  <c r="BB11" i="45"/>
  <c r="BH25" i="45"/>
  <c r="BC11" i="45"/>
  <c r="BI25" i="45"/>
  <c r="BD11" i="45"/>
  <c r="BJ25" i="45"/>
  <c r="BE11" i="45"/>
  <c r="BK25" i="45"/>
  <c r="BF11" i="45"/>
  <c r="BL25" i="45"/>
  <c r="BG11" i="45"/>
  <c r="BM25" i="45"/>
  <c r="BH11" i="45"/>
  <c r="BN25" i="45"/>
  <c r="AP25" i="45"/>
  <c r="AK12" i="45"/>
  <c r="AQ26" i="45"/>
  <c r="AL12" i="45"/>
  <c r="AR26" i="45"/>
  <c r="AM12" i="45"/>
  <c r="AS26" i="45"/>
  <c r="AN12" i="45"/>
  <c r="AT26" i="45"/>
  <c r="AO12" i="45"/>
  <c r="AU26" i="45"/>
  <c r="AP12" i="45"/>
  <c r="AV26" i="45"/>
  <c r="AQ12" i="45"/>
  <c r="AW26" i="45"/>
  <c r="AR12" i="45"/>
  <c r="AX26" i="45"/>
  <c r="AS12" i="45"/>
  <c r="AY26" i="45"/>
  <c r="AT12" i="45"/>
  <c r="AZ26" i="45"/>
  <c r="AU12" i="45"/>
  <c r="BA26" i="45"/>
  <c r="AV12" i="45"/>
  <c r="BB26" i="45"/>
  <c r="AW12" i="45"/>
  <c r="BC26" i="45"/>
  <c r="AX12" i="45"/>
  <c r="BD26" i="45"/>
  <c r="AY12" i="45"/>
  <c r="BE26" i="45"/>
  <c r="AZ12" i="45"/>
  <c r="BF26" i="45"/>
  <c r="BA12" i="45"/>
  <c r="BG26" i="45"/>
  <c r="BB12" i="45"/>
  <c r="BH26" i="45"/>
  <c r="BC12" i="45"/>
  <c r="BI26" i="45"/>
  <c r="BD12" i="45"/>
  <c r="BJ26" i="45"/>
  <c r="BE12" i="45"/>
  <c r="BK26" i="45"/>
  <c r="BF12" i="45"/>
  <c r="BL26" i="45"/>
  <c r="BG12" i="45"/>
  <c r="BM26" i="45"/>
  <c r="BH12" i="45"/>
  <c r="BN26" i="45"/>
  <c r="AP26" i="45"/>
  <c r="AK13" i="45"/>
  <c r="AQ27" i="45"/>
  <c r="AL13" i="45"/>
  <c r="AR27" i="45"/>
  <c r="AM13" i="45"/>
  <c r="AS27" i="45"/>
  <c r="AN13" i="45"/>
  <c r="AT27" i="45"/>
  <c r="AO13" i="45"/>
  <c r="AU27" i="45"/>
  <c r="AP13" i="45"/>
  <c r="AV27" i="45"/>
  <c r="AQ13" i="45"/>
  <c r="AW27" i="45"/>
  <c r="AR13" i="45"/>
  <c r="AX27" i="45"/>
  <c r="AS13" i="45"/>
  <c r="AY27" i="45"/>
  <c r="AT13" i="45"/>
  <c r="AZ27" i="45"/>
  <c r="AU13" i="45"/>
  <c r="BA27" i="45"/>
  <c r="AV13" i="45"/>
  <c r="BB27" i="45"/>
  <c r="AW13" i="45"/>
  <c r="BC27" i="45"/>
  <c r="AX13" i="45"/>
  <c r="BD27" i="45"/>
  <c r="AY13" i="45"/>
  <c r="BE27" i="45"/>
  <c r="AZ13" i="45"/>
  <c r="BF27" i="45"/>
  <c r="BA13" i="45"/>
  <c r="BG27" i="45"/>
  <c r="BB13" i="45"/>
  <c r="BH27" i="45"/>
  <c r="BC13" i="45"/>
  <c r="BI27" i="45"/>
  <c r="BD13" i="45"/>
  <c r="BJ27" i="45"/>
  <c r="BE13" i="45"/>
  <c r="BK27" i="45"/>
  <c r="BF13" i="45"/>
  <c r="BL27" i="45"/>
  <c r="BG13" i="45"/>
  <c r="BM27" i="45"/>
  <c r="BH13" i="45"/>
  <c r="BN27" i="45"/>
  <c r="AP27" i="45"/>
  <c r="AP28" i="45"/>
  <c r="AN16" i="45"/>
  <c r="AN17" i="45"/>
  <c r="AN18" i="45"/>
  <c r="AN19" i="45"/>
  <c r="AN20" i="45"/>
  <c r="AN21" i="45"/>
  <c r="AN22" i="45"/>
  <c r="AN23" i="45"/>
  <c r="AN24" i="45"/>
  <c r="AN25" i="45"/>
  <c r="AN26" i="45"/>
  <c r="AN27" i="45"/>
  <c r="AN28" i="45"/>
  <c r="AM16" i="45"/>
  <c r="AM17" i="45"/>
  <c r="AM18" i="45"/>
  <c r="AM19" i="45"/>
  <c r="AM20" i="45"/>
  <c r="AM21" i="45"/>
  <c r="AM22" i="45"/>
  <c r="AM23" i="45"/>
  <c r="AM24" i="45"/>
  <c r="AM25" i="45"/>
  <c r="AM26" i="45"/>
  <c r="AM27" i="45"/>
  <c r="AM28" i="45"/>
  <c r="AL16" i="45"/>
  <c r="AL17" i="45"/>
  <c r="AL18" i="45"/>
  <c r="AL19" i="45"/>
  <c r="AL20" i="45"/>
  <c r="AL21" i="45"/>
  <c r="AL22" i="45"/>
  <c r="AL23" i="45"/>
  <c r="AL24" i="45"/>
  <c r="AL25" i="45"/>
  <c r="AL26" i="45"/>
  <c r="AL27" i="45"/>
  <c r="AL28" i="45"/>
  <c r="AK16" i="45"/>
  <c r="AK17" i="45"/>
  <c r="AK18" i="45"/>
  <c r="AK19" i="45"/>
  <c r="AK20" i="45"/>
  <c r="AK21" i="45"/>
  <c r="AK22" i="45"/>
  <c r="AK23" i="45"/>
  <c r="AK24" i="45"/>
  <c r="AK25" i="45"/>
  <c r="AK26" i="45"/>
  <c r="AK27" i="45"/>
  <c r="AK28" i="45"/>
  <c r="Z2" i="45"/>
  <c r="AA2" i="45"/>
  <c r="AB2" i="45"/>
  <c r="AC2" i="45"/>
  <c r="AA16" i="45"/>
  <c r="Z3" i="45"/>
  <c r="AA3" i="45"/>
  <c r="AB3" i="45"/>
  <c r="AC3" i="45"/>
  <c r="AA17" i="45"/>
  <c r="Z4" i="45"/>
  <c r="AA4" i="45"/>
  <c r="AB4" i="45"/>
  <c r="AC4" i="45"/>
  <c r="AA18" i="45"/>
  <c r="Z5" i="45"/>
  <c r="AA5" i="45"/>
  <c r="AB5" i="45"/>
  <c r="AC5" i="45"/>
  <c r="AA19" i="45"/>
  <c r="Z6" i="45"/>
  <c r="AA6" i="45"/>
  <c r="AB6" i="45"/>
  <c r="AC6" i="45"/>
  <c r="AA20" i="45"/>
  <c r="Z7" i="45"/>
  <c r="AA7" i="45"/>
  <c r="AB7" i="45"/>
  <c r="AC7" i="45"/>
  <c r="AA21" i="45"/>
  <c r="Z8" i="45"/>
  <c r="AA8" i="45"/>
  <c r="AB8" i="45"/>
  <c r="AC8" i="45"/>
  <c r="AA22" i="45"/>
  <c r="Z9" i="45"/>
  <c r="AA9" i="45"/>
  <c r="AB9" i="45"/>
  <c r="AC9" i="45"/>
  <c r="AA23" i="45"/>
  <c r="Z10" i="45"/>
  <c r="AA10" i="45"/>
  <c r="AB10" i="45"/>
  <c r="AC10" i="45"/>
  <c r="AA24" i="45"/>
  <c r="Z11" i="45"/>
  <c r="AA11" i="45"/>
  <c r="AB11" i="45"/>
  <c r="AC11" i="45"/>
  <c r="AA25" i="45"/>
  <c r="Z12" i="45"/>
  <c r="AA12" i="45"/>
  <c r="AB12" i="45"/>
  <c r="AC12" i="45"/>
  <c r="AA26" i="45"/>
  <c r="Z13" i="45"/>
  <c r="AA13" i="45"/>
  <c r="AB13" i="45"/>
  <c r="AC13" i="45"/>
  <c r="AA27" i="45"/>
  <c r="AA28" i="45"/>
  <c r="Z16" i="45"/>
  <c r="Z17" i="45"/>
  <c r="Z18" i="45"/>
  <c r="Z19" i="45"/>
  <c r="Z20" i="45"/>
  <c r="Z21" i="45"/>
  <c r="Z22" i="45"/>
  <c r="Z23" i="45"/>
  <c r="Z24" i="45"/>
  <c r="Z25" i="45"/>
  <c r="Z26" i="45"/>
  <c r="Z27" i="45"/>
  <c r="Z28" i="45"/>
  <c r="S28" i="45"/>
  <c r="R28" i="45"/>
  <c r="Q28" i="45"/>
  <c r="P28" i="45"/>
  <c r="N28" i="45"/>
  <c r="M28" i="45"/>
  <c r="L28" i="45"/>
  <c r="K28" i="45"/>
  <c r="D27" i="45"/>
  <c r="G26" i="45"/>
  <c r="N25" i="45"/>
  <c r="M25" i="45"/>
  <c r="L25" i="45"/>
  <c r="K25" i="45"/>
  <c r="D25" i="45"/>
  <c r="G24" i="45"/>
  <c r="H16" i="45"/>
  <c r="D23" i="45"/>
  <c r="G22" i="45"/>
  <c r="G16" i="45"/>
  <c r="D21" i="45"/>
  <c r="G20" i="45"/>
  <c r="M19" i="45"/>
  <c r="W16" i="45"/>
  <c r="V16" i="45"/>
  <c r="U16" i="45"/>
  <c r="M16" i="45"/>
  <c r="E50" i="43"/>
  <c r="A50" i="43"/>
  <c r="E49" i="43"/>
  <c r="A49" i="43"/>
  <c r="E48" i="43"/>
  <c r="A48" i="43"/>
  <c r="E47" i="43"/>
  <c r="A47" i="43"/>
  <c r="E46" i="43"/>
  <c r="A46" i="43"/>
  <c r="E45" i="43"/>
  <c r="A45" i="43"/>
  <c r="E44" i="43"/>
  <c r="A44" i="43"/>
  <c r="E43" i="43"/>
  <c r="A43" i="43"/>
  <c r="X15" i="43"/>
  <c r="E42" i="43"/>
  <c r="A42" i="43"/>
  <c r="X14" i="43"/>
  <c r="E41" i="43"/>
  <c r="AE18" i="43"/>
  <c r="A41" i="43"/>
  <c r="X13" i="43"/>
  <c r="E40" i="43"/>
  <c r="AE17" i="43"/>
  <c r="A40" i="43"/>
  <c r="X12" i="43"/>
  <c r="E39" i="43"/>
  <c r="AE16" i="43"/>
  <c r="A39" i="43"/>
  <c r="X11" i="43"/>
  <c r="X10" i="43"/>
  <c r="X9" i="43"/>
  <c r="R16" i="43"/>
  <c r="Q16" i="43"/>
  <c r="X8" i="43"/>
  <c r="X7" i="43"/>
  <c r="X4" i="43"/>
  <c r="X5" i="43"/>
  <c r="X6" i="43"/>
  <c r="AE2" i="43"/>
  <c r="AF2" i="43"/>
  <c r="AG2" i="43"/>
  <c r="AH2" i="43"/>
  <c r="AI2" i="43"/>
  <c r="AG16" i="43"/>
  <c r="AE3" i="43"/>
  <c r="AF3" i="43"/>
  <c r="AG3" i="43"/>
  <c r="AH3" i="43"/>
  <c r="AI3" i="43"/>
  <c r="AG17" i="43"/>
  <c r="AE4" i="43"/>
  <c r="AF4" i="43"/>
  <c r="AG4" i="43"/>
  <c r="AH4" i="43"/>
  <c r="AI4" i="43"/>
  <c r="AG18" i="43"/>
  <c r="AE5" i="43"/>
  <c r="AF5" i="43"/>
  <c r="AG5" i="43"/>
  <c r="AH5" i="43"/>
  <c r="AI5" i="43"/>
  <c r="AG19" i="43"/>
  <c r="AE6" i="43"/>
  <c r="AF6" i="43"/>
  <c r="AG6" i="43"/>
  <c r="AH6" i="43"/>
  <c r="AI6" i="43"/>
  <c r="AG20" i="43"/>
  <c r="AE7" i="43"/>
  <c r="AF7" i="43"/>
  <c r="AG7" i="43"/>
  <c r="AH7" i="43"/>
  <c r="AI7" i="43"/>
  <c r="AG21" i="43"/>
  <c r="AE8" i="43"/>
  <c r="AF8" i="43"/>
  <c r="AG8" i="43"/>
  <c r="AH8" i="43"/>
  <c r="AI8" i="43"/>
  <c r="AG22" i="43"/>
  <c r="AE9" i="43"/>
  <c r="AF9" i="43"/>
  <c r="AG9" i="43"/>
  <c r="AH9" i="43"/>
  <c r="AI9" i="43"/>
  <c r="AG23" i="43"/>
  <c r="AE10" i="43"/>
  <c r="AF10" i="43"/>
  <c r="AG10" i="43"/>
  <c r="AH10" i="43"/>
  <c r="AI10" i="43"/>
  <c r="AG24" i="43"/>
  <c r="AE11" i="43"/>
  <c r="AF11" i="43"/>
  <c r="AG11" i="43"/>
  <c r="AH11" i="43"/>
  <c r="AI11" i="43"/>
  <c r="AG25" i="43"/>
  <c r="AE13" i="43"/>
  <c r="AF13" i="43"/>
  <c r="AG13" i="43"/>
  <c r="AH13" i="43"/>
  <c r="AI13" i="43"/>
  <c r="AG27" i="43"/>
  <c r="AF16" i="43"/>
  <c r="AF17" i="43"/>
  <c r="AF18" i="43"/>
  <c r="AF19" i="43"/>
  <c r="AF20" i="43"/>
  <c r="AF21" i="43"/>
  <c r="AF22" i="43"/>
  <c r="AF23" i="43"/>
  <c r="AF24" i="43"/>
  <c r="AF25" i="43"/>
  <c r="AF27" i="43"/>
  <c r="D31" i="43"/>
  <c r="J29" i="43"/>
  <c r="I29" i="43"/>
  <c r="H29" i="43"/>
  <c r="G29" i="43"/>
  <c r="F16" i="43"/>
  <c r="D29" i="43"/>
  <c r="AK2" i="43"/>
  <c r="AQ16" i="43"/>
  <c r="AL2" i="43"/>
  <c r="AR16" i="43"/>
  <c r="AM2" i="43"/>
  <c r="AS16" i="43"/>
  <c r="AN2" i="43"/>
  <c r="AT16" i="43"/>
  <c r="AO2" i="43"/>
  <c r="AU16" i="43"/>
  <c r="AP2" i="43"/>
  <c r="AV16" i="43"/>
  <c r="AQ2" i="43"/>
  <c r="AW16" i="43"/>
  <c r="AR2" i="43"/>
  <c r="AX16" i="43"/>
  <c r="AS2" i="43"/>
  <c r="AY16" i="43"/>
  <c r="AT2" i="43"/>
  <c r="AZ16" i="43"/>
  <c r="AU2" i="43"/>
  <c r="BA16" i="43"/>
  <c r="AV2" i="43"/>
  <c r="BB16" i="43"/>
  <c r="AW2" i="43"/>
  <c r="BC16" i="43"/>
  <c r="AX2" i="43"/>
  <c r="BD16" i="43"/>
  <c r="AY2" i="43"/>
  <c r="BE16" i="43"/>
  <c r="AZ2" i="43"/>
  <c r="BF16" i="43"/>
  <c r="BA2" i="43"/>
  <c r="BG16" i="43"/>
  <c r="BB2" i="43"/>
  <c r="BH16" i="43"/>
  <c r="BC2" i="43"/>
  <c r="BI16" i="43"/>
  <c r="BD2" i="43"/>
  <c r="BJ16" i="43"/>
  <c r="BE2" i="43"/>
  <c r="BK16" i="43"/>
  <c r="BF2" i="43"/>
  <c r="BL16" i="43"/>
  <c r="BG2" i="43"/>
  <c r="BM16" i="43"/>
  <c r="BH2" i="43"/>
  <c r="BN16" i="43"/>
  <c r="AP16" i="43"/>
  <c r="AK3" i="43"/>
  <c r="AQ17" i="43"/>
  <c r="AL3" i="43"/>
  <c r="AR17" i="43"/>
  <c r="AM3" i="43"/>
  <c r="AS17" i="43"/>
  <c r="AN3" i="43"/>
  <c r="AT17" i="43"/>
  <c r="AO3" i="43"/>
  <c r="AU17" i="43"/>
  <c r="AP3" i="43"/>
  <c r="AV17" i="43"/>
  <c r="AQ3" i="43"/>
  <c r="AW17" i="43"/>
  <c r="AR3" i="43"/>
  <c r="AX17" i="43"/>
  <c r="AS3" i="43"/>
  <c r="AY17" i="43"/>
  <c r="AT3" i="43"/>
  <c r="AZ17" i="43"/>
  <c r="AU3" i="43"/>
  <c r="BA17" i="43"/>
  <c r="AV3" i="43"/>
  <c r="BB17" i="43"/>
  <c r="AW3" i="43"/>
  <c r="BC17" i="43"/>
  <c r="AX3" i="43"/>
  <c r="BD17" i="43"/>
  <c r="AY3" i="43"/>
  <c r="BE17" i="43"/>
  <c r="AZ3" i="43"/>
  <c r="BF17" i="43"/>
  <c r="BA3" i="43"/>
  <c r="BG17" i="43"/>
  <c r="BB3" i="43"/>
  <c r="BH17" i="43"/>
  <c r="BC3" i="43"/>
  <c r="BI17" i="43"/>
  <c r="BD3" i="43"/>
  <c r="BJ17" i="43"/>
  <c r="BE3" i="43"/>
  <c r="BK17" i="43"/>
  <c r="BF3" i="43"/>
  <c r="BL17" i="43"/>
  <c r="BG3" i="43"/>
  <c r="BM17" i="43"/>
  <c r="BH3" i="43"/>
  <c r="BN17" i="43"/>
  <c r="AP17" i="43"/>
  <c r="AK4" i="43"/>
  <c r="AQ18" i="43"/>
  <c r="AL4" i="43"/>
  <c r="AR18" i="43"/>
  <c r="AM4" i="43"/>
  <c r="AS18" i="43"/>
  <c r="AN4" i="43"/>
  <c r="AT18" i="43"/>
  <c r="AO4" i="43"/>
  <c r="AU18" i="43"/>
  <c r="AP4" i="43"/>
  <c r="AV18" i="43"/>
  <c r="AQ4" i="43"/>
  <c r="AW18" i="43"/>
  <c r="AR4" i="43"/>
  <c r="AX18" i="43"/>
  <c r="AS4" i="43"/>
  <c r="AY18" i="43"/>
  <c r="AT4" i="43"/>
  <c r="AZ18" i="43"/>
  <c r="AU4" i="43"/>
  <c r="BA18" i="43"/>
  <c r="AV4" i="43"/>
  <c r="BB18" i="43"/>
  <c r="AW4" i="43"/>
  <c r="BC18" i="43"/>
  <c r="AX4" i="43"/>
  <c r="BD18" i="43"/>
  <c r="AY4" i="43"/>
  <c r="BE18" i="43"/>
  <c r="AZ4" i="43"/>
  <c r="BF18" i="43"/>
  <c r="BA4" i="43"/>
  <c r="BG18" i="43"/>
  <c r="BB4" i="43"/>
  <c r="BH18" i="43"/>
  <c r="BC4" i="43"/>
  <c r="BI18" i="43"/>
  <c r="BD4" i="43"/>
  <c r="BJ18" i="43"/>
  <c r="BE4" i="43"/>
  <c r="BK18" i="43"/>
  <c r="BF4" i="43"/>
  <c r="BL18" i="43"/>
  <c r="BG4" i="43"/>
  <c r="BM18" i="43"/>
  <c r="BH4" i="43"/>
  <c r="BN18" i="43"/>
  <c r="AP18" i="43"/>
  <c r="AK5" i="43"/>
  <c r="AQ19" i="43"/>
  <c r="AL5" i="43"/>
  <c r="AR19" i="43"/>
  <c r="AM5" i="43"/>
  <c r="AS19" i="43"/>
  <c r="AN5" i="43"/>
  <c r="AT19" i="43"/>
  <c r="AO5" i="43"/>
  <c r="AU19" i="43"/>
  <c r="AP5" i="43"/>
  <c r="AV19" i="43"/>
  <c r="AQ5" i="43"/>
  <c r="AW19" i="43"/>
  <c r="AR5" i="43"/>
  <c r="AX19" i="43"/>
  <c r="AS5" i="43"/>
  <c r="AY19" i="43"/>
  <c r="AT5" i="43"/>
  <c r="AZ19" i="43"/>
  <c r="AU5" i="43"/>
  <c r="BA19" i="43"/>
  <c r="AV5" i="43"/>
  <c r="BB19" i="43"/>
  <c r="AW5" i="43"/>
  <c r="BC19" i="43"/>
  <c r="AX5" i="43"/>
  <c r="BD19" i="43"/>
  <c r="AY5" i="43"/>
  <c r="BE19" i="43"/>
  <c r="AZ5" i="43"/>
  <c r="BF19" i="43"/>
  <c r="BA5" i="43"/>
  <c r="BG19" i="43"/>
  <c r="BB5" i="43"/>
  <c r="BH19" i="43"/>
  <c r="BC5" i="43"/>
  <c r="BI19" i="43"/>
  <c r="BD5" i="43"/>
  <c r="BJ19" i="43"/>
  <c r="BE5" i="43"/>
  <c r="BK19" i="43"/>
  <c r="BF5" i="43"/>
  <c r="BL19" i="43"/>
  <c r="BG5" i="43"/>
  <c r="BM19" i="43"/>
  <c r="BH5" i="43"/>
  <c r="BN19" i="43"/>
  <c r="AP19" i="43"/>
  <c r="AK6" i="43"/>
  <c r="AQ20" i="43"/>
  <c r="AL6" i="43"/>
  <c r="AR20" i="43"/>
  <c r="AM6" i="43"/>
  <c r="AS20" i="43"/>
  <c r="AN6" i="43"/>
  <c r="AT20" i="43"/>
  <c r="AO6" i="43"/>
  <c r="AU20" i="43"/>
  <c r="AP6" i="43"/>
  <c r="AV20" i="43"/>
  <c r="AQ6" i="43"/>
  <c r="AW20" i="43"/>
  <c r="AR6" i="43"/>
  <c r="AX20" i="43"/>
  <c r="AS6" i="43"/>
  <c r="AY20" i="43"/>
  <c r="AT6" i="43"/>
  <c r="AZ20" i="43"/>
  <c r="AU6" i="43"/>
  <c r="BA20" i="43"/>
  <c r="AV6" i="43"/>
  <c r="BB20" i="43"/>
  <c r="AW6" i="43"/>
  <c r="BC20" i="43"/>
  <c r="AX6" i="43"/>
  <c r="BD20" i="43"/>
  <c r="AY6" i="43"/>
  <c r="BE20" i="43"/>
  <c r="AZ6" i="43"/>
  <c r="BF20" i="43"/>
  <c r="BA6" i="43"/>
  <c r="BG20" i="43"/>
  <c r="BB6" i="43"/>
  <c r="BH20" i="43"/>
  <c r="BC6" i="43"/>
  <c r="BI20" i="43"/>
  <c r="BD6" i="43"/>
  <c r="BJ20" i="43"/>
  <c r="BE6" i="43"/>
  <c r="BK20" i="43"/>
  <c r="BF6" i="43"/>
  <c r="BL20" i="43"/>
  <c r="BG6" i="43"/>
  <c r="BM20" i="43"/>
  <c r="BH6" i="43"/>
  <c r="BN20" i="43"/>
  <c r="AP20" i="43"/>
  <c r="AK7" i="43"/>
  <c r="AQ21" i="43"/>
  <c r="AL7" i="43"/>
  <c r="AR21" i="43"/>
  <c r="AM7" i="43"/>
  <c r="AS21" i="43"/>
  <c r="AN7" i="43"/>
  <c r="AT21" i="43"/>
  <c r="AO7" i="43"/>
  <c r="AU21" i="43"/>
  <c r="AP7" i="43"/>
  <c r="AV21" i="43"/>
  <c r="AQ7" i="43"/>
  <c r="AW21" i="43"/>
  <c r="AR7" i="43"/>
  <c r="AX21" i="43"/>
  <c r="AS7" i="43"/>
  <c r="AY21" i="43"/>
  <c r="AT7" i="43"/>
  <c r="AZ21" i="43"/>
  <c r="AU7" i="43"/>
  <c r="BA21" i="43"/>
  <c r="AV7" i="43"/>
  <c r="BB21" i="43"/>
  <c r="AW7" i="43"/>
  <c r="BC21" i="43"/>
  <c r="AX7" i="43"/>
  <c r="BD21" i="43"/>
  <c r="AY7" i="43"/>
  <c r="BE21" i="43"/>
  <c r="AZ7" i="43"/>
  <c r="BF21" i="43"/>
  <c r="BA7" i="43"/>
  <c r="BG21" i="43"/>
  <c r="BB7" i="43"/>
  <c r="BH21" i="43"/>
  <c r="BC7" i="43"/>
  <c r="BI21" i="43"/>
  <c r="BD7" i="43"/>
  <c r="BJ21" i="43"/>
  <c r="BE7" i="43"/>
  <c r="BK21" i="43"/>
  <c r="BF7" i="43"/>
  <c r="BL21" i="43"/>
  <c r="BG7" i="43"/>
  <c r="BM21" i="43"/>
  <c r="BH7" i="43"/>
  <c r="BN21" i="43"/>
  <c r="AP21" i="43"/>
  <c r="AK8" i="43"/>
  <c r="AQ22" i="43"/>
  <c r="AL8" i="43"/>
  <c r="AR22" i="43"/>
  <c r="AM8" i="43"/>
  <c r="AS22" i="43"/>
  <c r="AN8" i="43"/>
  <c r="AT22" i="43"/>
  <c r="AO8" i="43"/>
  <c r="AU22" i="43"/>
  <c r="AP8" i="43"/>
  <c r="AV22" i="43"/>
  <c r="AQ8" i="43"/>
  <c r="AW22" i="43"/>
  <c r="AR8" i="43"/>
  <c r="AX22" i="43"/>
  <c r="AS8" i="43"/>
  <c r="AY22" i="43"/>
  <c r="AT8" i="43"/>
  <c r="AZ22" i="43"/>
  <c r="AU8" i="43"/>
  <c r="BA22" i="43"/>
  <c r="AV8" i="43"/>
  <c r="BB22" i="43"/>
  <c r="AW8" i="43"/>
  <c r="BC22" i="43"/>
  <c r="AX8" i="43"/>
  <c r="BD22" i="43"/>
  <c r="AY8" i="43"/>
  <c r="BE22" i="43"/>
  <c r="AZ8" i="43"/>
  <c r="BF22" i="43"/>
  <c r="BA8" i="43"/>
  <c r="BG22" i="43"/>
  <c r="BB8" i="43"/>
  <c r="BH22" i="43"/>
  <c r="BC8" i="43"/>
  <c r="BI22" i="43"/>
  <c r="BD8" i="43"/>
  <c r="BJ22" i="43"/>
  <c r="BE8" i="43"/>
  <c r="BK22" i="43"/>
  <c r="BF8" i="43"/>
  <c r="BL22" i="43"/>
  <c r="BG8" i="43"/>
  <c r="BM22" i="43"/>
  <c r="BH8" i="43"/>
  <c r="BN22" i="43"/>
  <c r="AP22" i="43"/>
  <c r="AK9" i="43"/>
  <c r="AQ23" i="43"/>
  <c r="AL9" i="43"/>
  <c r="AR23" i="43"/>
  <c r="AM9" i="43"/>
  <c r="AS23" i="43"/>
  <c r="AN9" i="43"/>
  <c r="AT23" i="43"/>
  <c r="AO9" i="43"/>
  <c r="AU23" i="43"/>
  <c r="AP9" i="43"/>
  <c r="AV23" i="43"/>
  <c r="AQ9" i="43"/>
  <c r="AW23" i="43"/>
  <c r="AR9" i="43"/>
  <c r="AX23" i="43"/>
  <c r="AS9" i="43"/>
  <c r="AY23" i="43"/>
  <c r="AT9" i="43"/>
  <c r="AZ23" i="43"/>
  <c r="AU9" i="43"/>
  <c r="BA23" i="43"/>
  <c r="AV9" i="43"/>
  <c r="BB23" i="43"/>
  <c r="AW9" i="43"/>
  <c r="BC23" i="43"/>
  <c r="AX9" i="43"/>
  <c r="BD23" i="43"/>
  <c r="AY9" i="43"/>
  <c r="BE23" i="43"/>
  <c r="AZ9" i="43"/>
  <c r="BF23" i="43"/>
  <c r="BA9" i="43"/>
  <c r="BG23" i="43"/>
  <c r="BB9" i="43"/>
  <c r="BH23" i="43"/>
  <c r="BC9" i="43"/>
  <c r="BI23" i="43"/>
  <c r="BD9" i="43"/>
  <c r="BJ23" i="43"/>
  <c r="BE9" i="43"/>
  <c r="BK23" i="43"/>
  <c r="BF9" i="43"/>
  <c r="BL23" i="43"/>
  <c r="BG9" i="43"/>
  <c r="BM23" i="43"/>
  <c r="BH9" i="43"/>
  <c r="BN23" i="43"/>
  <c r="AP23" i="43"/>
  <c r="AK10" i="43"/>
  <c r="AQ24" i="43"/>
  <c r="AL10" i="43"/>
  <c r="AR24" i="43"/>
  <c r="AM10" i="43"/>
  <c r="AS24" i="43"/>
  <c r="AN10" i="43"/>
  <c r="AT24" i="43"/>
  <c r="AO10" i="43"/>
  <c r="AU24" i="43"/>
  <c r="AP10" i="43"/>
  <c r="AV24" i="43"/>
  <c r="AQ10" i="43"/>
  <c r="AW24" i="43"/>
  <c r="AR10" i="43"/>
  <c r="AX24" i="43"/>
  <c r="AS10" i="43"/>
  <c r="AY24" i="43"/>
  <c r="AT10" i="43"/>
  <c r="AZ24" i="43"/>
  <c r="AU10" i="43"/>
  <c r="BA24" i="43"/>
  <c r="AV10" i="43"/>
  <c r="BB24" i="43"/>
  <c r="AW10" i="43"/>
  <c r="BC24" i="43"/>
  <c r="AX10" i="43"/>
  <c r="BD24" i="43"/>
  <c r="AY10" i="43"/>
  <c r="BE24" i="43"/>
  <c r="AZ10" i="43"/>
  <c r="BF24" i="43"/>
  <c r="BA10" i="43"/>
  <c r="BG24" i="43"/>
  <c r="BB10" i="43"/>
  <c r="BH24" i="43"/>
  <c r="BC10" i="43"/>
  <c r="BI24" i="43"/>
  <c r="BD10" i="43"/>
  <c r="BJ24" i="43"/>
  <c r="BE10" i="43"/>
  <c r="BK24" i="43"/>
  <c r="BF10" i="43"/>
  <c r="BL24" i="43"/>
  <c r="BG10" i="43"/>
  <c r="BM24" i="43"/>
  <c r="BH10" i="43"/>
  <c r="BN24" i="43"/>
  <c r="AP24" i="43"/>
  <c r="AK11" i="43"/>
  <c r="AQ25" i="43"/>
  <c r="AL11" i="43"/>
  <c r="AR25" i="43"/>
  <c r="AM11" i="43"/>
  <c r="AS25" i="43"/>
  <c r="AN11" i="43"/>
  <c r="AT25" i="43"/>
  <c r="AO11" i="43"/>
  <c r="AU25" i="43"/>
  <c r="AP11" i="43"/>
  <c r="AV25" i="43"/>
  <c r="AQ11" i="43"/>
  <c r="AW25" i="43"/>
  <c r="AR11" i="43"/>
  <c r="AX25" i="43"/>
  <c r="AS11" i="43"/>
  <c r="AY25" i="43"/>
  <c r="AT11" i="43"/>
  <c r="AZ25" i="43"/>
  <c r="AU11" i="43"/>
  <c r="BA25" i="43"/>
  <c r="AV11" i="43"/>
  <c r="BB25" i="43"/>
  <c r="AW11" i="43"/>
  <c r="BC25" i="43"/>
  <c r="AX11" i="43"/>
  <c r="BD25" i="43"/>
  <c r="AY11" i="43"/>
  <c r="BE25" i="43"/>
  <c r="AZ11" i="43"/>
  <c r="BF25" i="43"/>
  <c r="BA11" i="43"/>
  <c r="BG25" i="43"/>
  <c r="BB11" i="43"/>
  <c r="BH25" i="43"/>
  <c r="BC11" i="43"/>
  <c r="BI25" i="43"/>
  <c r="BD11" i="43"/>
  <c r="BJ25" i="43"/>
  <c r="BE11" i="43"/>
  <c r="BK25" i="43"/>
  <c r="BF11" i="43"/>
  <c r="BL25" i="43"/>
  <c r="BG11" i="43"/>
  <c r="BM25" i="43"/>
  <c r="BH11" i="43"/>
  <c r="BN25" i="43"/>
  <c r="AP25" i="43"/>
  <c r="AK12" i="43"/>
  <c r="AQ26" i="43"/>
  <c r="AL12" i="43"/>
  <c r="AR26" i="43"/>
  <c r="AM12" i="43"/>
  <c r="AS26" i="43"/>
  <c r="AN12" i="43"/>
  <c r="AT26" i="43"/>
  <c r="AO12" i="43"/>
  <c r="AU26" i="43"/>
  <c r="AP12" i="43"/>
  <c r="AV26" i="43"/>
  <c r="AQ12" i="43"/>
  <c r="AW26" i="43"/>
  <c r="AR12" i="43"/>
  <c r="AX26" i="43"/>
  <c r="AS12" i="43"/>
  <c r="AY26" i="43"/>
  <c r="AT12" i="43"/>
  <c r="AZ26" i="43"/>
  <c r="AU12" i="43"/>
  <c r="BA26" i="43"/>
  <c r="AV12" i="43"/>
  <c r="BB26" i="43"/>
  <c r="AW12" i="43"/>
  <c r="BC26" i="43"/>
  <c r="AX12" i="43"/>
  <c r="BD26" i="43"/>
  <c r="AY12" i="43"/>
  <c r="BE26" i="43"/>
  <c r="AZ12" i="43"/>
  <c r="BF26" i="43"/>
  <c r="BA12" i="43"/>
  <c r="BG26" i="43"/>
  <c r="BB12" i="43"/>
  <c r="BH26" i="43"/>
  <c r="BC12" i="43"/>
  <c r="BI26" i="43"/>
  <c r="BD12" i="43"/>
  <c r="BJ26" i="43"/>
  <c r="BE12" i="43"/>
  <c r="BK26" i="43"/>
  <c r="BF12" i="43"/>
  <c r="BL26" i="43"/>
  <c r="BG12" i="43"/>
  <c r="BM26" i="43"/>
  <c r="BH12" i="43"/>
  <c r="BN26" i="43"/>
  <c r="AP26" i="43"/>
  <c r="AK13" i="43"/>
  <c r="AQ27" i="43"/>
  <c r="AL13" i="43"/>
  <c r="AR27" i="43"/>
  <c r="AM13" i="43"/>
  <c r="AS27" i="43"/>
  <c r="AN13" i="43"/>
  <c r="AT27" i="43"/>
  <c r="AO13" i="43"/>
  <c r="AU27" i="43"/>
  <c r="AP13" i="43"/>
  <c r="AV27" i="43"/>
  <c r="AQ13" i="43"/>
  <c r="AW27" i="43"/>
  <c r="AR13" i="43"/>
  <c r="AX27" i="43"/>
  <c r="AS13" i="43"/>
  <c r="AY27" i="43"/>
  <c r="AT13" i="43"/>
  <c r="AZ27" i="43"/>
  <c r="AU13" i="43"/>
  <c r="BA27" i="43"/>
  <c r="AV13" i="43"/>
  <c r="BB27" i="43"/>
  <c r="AW13" i="43"/>
  <c r="BC27" i="43"/>
  <c r="AX13" i="43"/>
  <c r="BD27" i="43"/>
  <c r="AY13" i="43"/>
  <c r="BE27" i="43"/>
  <c r="AZ13" i="43"/>
  <c r="BF27" i="43"/>
  <c r="BA13" i="43"/>
  <c r="BG27" i="43"/>
  <c r="BB13" i="43"/>
  <c r="BH27" i="43"/>
  <c r="BC13" i="43"/>
  <c r="BI27" i="43"/>
  <c r="BD13" i="43"/>
  <c r="BJ27" i="43"/>
  <c r="BE13" i="43"/>
  <c r="BK27" i="43"/>
  <c r="BF13" i="43"/>
  <c r="BL27" i="43"/>
  <c r="BG13" i="43"/>
  <c r="BM27" i="43"/>
  <c r="BH13" i="43"/>
  <c r="BN27" i="43"/>
  <c r="AP27" i="43"/>
  <c r="AP28" i="43"/>
  <c r="AN16" i="43"/>
  <c r="AN17" i="43"/>
  <c r="AN18" i="43"/>
  <c r="AN19" i="43"/>
  <c r="AN20" i="43"/>
  <c r="AN21" i="43"/>
  <c r="AN22" i="43"/>
  <c r="AN23" i="43"/>
  <c r="AN24" i="43"/>
  <c r="AN25" i="43"/>
  <c r="AN26" i="43"/>
  <c r="AN27" i="43"/>
  <c r="AN28" i="43"/>
  <c r="AM16" i="43"/>
  <c r="AM17" i="43"/>
  <c r="AM18" i="43"/>
  <c r="AM19" i="43"/>
  <c r="AM20" i="43"/>
  <c r="AM21" i="43"/>
  <c r="AM22" i="43"/>
  <c r="AM23" i="43"/>
  <c r="AM24" i="43"/>
  <c r="AM25" i="43"/>
  <c r="AM26" i="43"/>
  <c r="AM27" i="43"/>
  <c r="AM28" i="43"/>
  <c r="AL16" i="43"/>
  <c r="AL17" i="43"/>
  <c r="AL18" i="43"/>
  <c r="AL19" i="43"/>
  <c r="AL20" i="43"/>
  <c r="AL21" i="43"/>
  <c r="AL22" i="43"/>
  <c r="AL23" i="43"/>
  <c r="AL24" i="43"/>
  <c r="AL25" i="43"/>
  <c r="AL26" i="43"/>
  <c r="AL27" i="43"/>
  <c r="AL28" i="43"/>
  <c r="AK16" i="43"/>
  <c r="AK17" i="43"/>
  <c r="AK18" i="43"/>
  <c r="AK19" i="43"/>
  <c r="AK20" i="43"/>
  <c r="AK21" i="43"/>
  <c r="AK22" i="43"/>
  <c r="AK23" i="43"/>
  <c r="AK24" i="43"/>
  <c r="AK25" i="43"/>
  <c r="AK26" i="43"/>
  <c r="AK27" i="43"/>
  <c r="AK28" i="43"/>
  <c r="Z2" i="43"/>
  <c r="AA2" i="43"/>
  <c r="AB2" i="43"/>
  <c r="AC2" i="43"/>
  <c r="AA16" i="43"/>
  <c r="Z3" i="43"/>
  <c r="AA3" i="43"/>
  <c r="AB3" i="43"/>
  <c r="AC3" i="43"/>
  <c r="AA17" i="43"/>
  <c r="Z4" i="43"/>
  <c r="AA4" i="43"/>
  <c r="AB4" i="43"/>
  <c r="AC4" i="43"/>
  <c r="AA18" i="43"/>
  <c r="Z5" i="43"/>
  <c r="AA5" i="43"/>
  <c r="AB5" i="43"/>
  <c r="AC5" i="43"/>
  <c r="AA19" i="43"/>
  <c r="Z6" i="43"/>
  <c r="AA6" i="43"/>
  <c r="AB6" i="43"/>
  <c r="AC6" i="43"/>
  <c r="AA20" i="43"/>
  <c r="Z7" i="43"/>
  <c r="AA7" i="43"/>
  <c r="AB7" i="43"/>
  <c r="AC7" i="43"/>
  <c r="AA21" i="43"/>
  <c r="Z8" i="43"/>
  <c r="AA8" i="43"/>
  <c r="AB8" i="43"/>
  <c r="AC8" i="43"/>
  <c r="AA22" i="43"/>
  <c r="Z9" i="43"/>
  <c r="AA9" i="43"/>
  <c r="AB9" i="43"/>
  <c r="AC9" i="43"/>
  <c r="AA23" i="43"/>
  <c r="Z10" i="43"/>
  <c r="AA10" i="43"/>
  <c r="AB10" i="43"/>
  <c r="AC10" i="43"/>
  <c r="AA24" i="43"/>
  <c r="Z11" i="43"/>
  <c r="AA11" i="43"/>
  <c r="AB11" i="43"/>
  <c r="AC11" i="43"/>
  <c r="AA25" i="43"/>
  <c r="Z12" i="43"/>
  <c r="AA12" i="43"/>
  <c r="AB12" i="43"/>
  <c r="AC12" i="43"/>
  <c r="AA26" i="43"/>
  <c r="Z13" i="43"/>
  <c r="AA13" i="43"/>
  <c r="AB13" i="43"/>
  <c r="AC13" i="43"/>
  <c r="AA27" i="43"/>
  <c r="AA28" i="43"/>
  <c r="Z16" i="43"/>
  <c r="Z17" i="43"/>
  <c r="Z18" i="43"/>
  <c r="Z19" i="43"/>
  <c r="Z20" i="43"/>
  <c r="Z21" i="43"/>
  <c r="Z22" i="43"/>
  <c r="Z23" i="43"/>
  <c r="Z24" i="43"/>
  <c r="Z25" i="43"/>
  <c r="Z26" i="43"/>
  <c r="Z27" i="43"/>
  <c r="Z28" i="43"/>
  <c r="S28" i="43"/>
  <c r="R28" i="43"/>
  <c r="Q28" i="43"/>
  <c r="P28" i="43"/>
  <c r="N28" i="43"/>
  <c r="M28" i="43"/>
  <c r="L28" i="43"/>
  <c r="K28" i="43"/>
  <c r="D27" i="43"/>
  <c r="G26" i="43"/>
  <c r="N25" i="43"/>
  <c r="M25" i="43"/>
  <c r="L25" i="43"/>
  <c r="K25" i="43"/>
  <c r="D25" i="43"/>
  <c r="G24" i="43"/>
  <c r="H16" i="43"/>
  <c r="D23" i="43"/>
  <c r="G22" i="43"/>
  <c r="G16" i="43"/>
  <c r="D21" i="43"/>
  <c r="G20" i="43"/>
  <c r="M19" i="43"/>
  <c r="W16" i="43"/>
  <c r="V16" i="43"/>
  <c r="U16" i="43"/>
  <c r="M16" i="43"/>
  <c r="E50" i="42"/>
  <c r="C50" i="42"/>
  <c r="A50" i="42"/>
  <c r="E49" i="42"/>
  <c r="A49" i="42"/>
  <c r="E48" i="42"/>
  <c r="A48" i="42"/>
  <c r="E47" i="42"/>
  <c r="A47" i="42"/>
  <c r="E46" i="42"/>
  <c r="A46" i="42"/>
  <c r="E45" i="42"/>
  <c r="A45" i="42"/>
  <c r="E44" i="42"/>
  <c r="A44" i="42"/>
  <c r="E43" i="42"/>
  <c r="A43" i="42"/>
  <c r="E42" i="42"/>
  <c r="A42" i="42"/>
  <c r="X14" i="42"/>
  <c r="E41" i="42"/>
  <c r="AE4" i="42"/>
  <c r="AF4" i="42"/>
  <c r="AG4" i="42"/>
  <c r="AH4" i="42"/>
  <c r="AI4" i="42"/>
  <c r="AE18" i="42"/>
  <c r="AF18" i="42"/>
  <c r="AG18" i="42"/>
  <c r="A41" i="42"/>
  <c r="X13" i="42"/>
  <c r="E40" i="42"/>
  <c r="AE17" i="42"/>
  <c r="A40" i="42"/>
  <c r="X12" i="42"/>
  <c r="E39" i="42"/>
  <c r="AE16" i="42"/>
  <c r="A39" i="42"/>
  <c r="X11" i="42"/>
  <c r="X10" i="42"/>
  <c r="X9" i="42"/>
  <c r="R16" i="42"/>
  <c r="Q16" i="42"/>
  <c r="X8" i="42"/>
  <c r="X7" i="42"/>
  <c r="X4" i="42"/>
  <c r="X5" i="42"/>
  <c r="X6" i="42"/>
  <c r="AE2" i="42"/>
  <c r="AF2" i="42"/>
  <c r="AG2" i="42"/>
  <c r="AH2" i="42"/>
  <c r="AI2" i="42"/>
  <c r="AG16" i="42"/>
  <c r="AE3" i="42"/>
  <c r="AF3" i="42"/>
  <c r="AG3" i="42"/>
  <c r="AH3" i="42"/>
  <c r="AI3" i="42"/>
  <c r="AG17" i="42"/>
  <c r="AE5" i="42"/>
  <c r="AF5" i="42"/>
  <c r="AG5" i="42"/>
  <c r="AH5" i="42"/>
  <c r="AI5" i="42"/>
  <c r="AG19" i="42"/>
  <c r="AE6" i="42"/>
  <c r="AF6" i="42"/>
  <c r="AG6" i="42"/>
  <c r="AH6" i="42"/>
  <c r="AI6" i="42"/>
  <c r="AG20" i="42"/>
  <c r="AE7" i="42"/>
  <c r="AF7" i="42"/>
  <c r="AG7" i="42"/>
  <c r="AH7" i="42"/>
  <c r="AI7" i="42"/>
  <c r="AG21" i="42"/>
  <c r="AE8" i="42"/>
  <c r="AF8" i="42"/>
  <c r="AG8" i="42"/>
  <c r="AH8" i="42"/>
  <c r="AI8" i="42"/>
  <c r="AG22" i="42"/>
  <c r="AE9" i="42"/>
  <c r="AF9" i="42"/>
  <c r="AG9" i="42"/>
  <c r="AH9" i="42"/>
  <c r="AI9" i="42"/>
  <c r="AG23" i="42"/>
  <c r="AE10" i="42"/>
  <c r="AF10" i="42"/>
  <c r="AG10" i="42"/>
  <c r="AH10" i="42"/>
  <c r="AI10" i="42"/>
  <c r="AG24" i="42"/>
  <c r="AE11" i="42"/>
  <c r="AF11" i="42"/>
  <c r="AG11" i="42"/>
  <c r="AH11" i="42"/>
  <c r="AI11" i="42"/>
  <c r="AG25" i="42"/>
  <c r="AE12" i="42"/>
  <c r="AF12" i="42"/>
  <c r="AG12" i="42"/>
  <c r="AH12" i="42"/>
  <c r="AI12" i="42"/>
  <c r="AG26" i="42"/>
  <c r="AE13" i="42"/>
  <c r="AF13" i="42"/>
  <c r="AG13" i="42"/>
  <c r="AH13" i="42"/>
  <c r="AI13" i="42"/>
  <c r="AG27" i="42"/>
  <c r="AG28" i="42"/>
  <c r="AF16" i="42"/>
  <c r="AF17" i="42"/>
  <c r="AF19" i="42"/>
  <c r="AF20" i="42"/>
  <c r="AF21" i="42"/>
  <c r="AF22" i="42"/>
  <c r="AF23" i="42"/>
  <c r="AF24" i="42"/>
  <c r="AF25" i="42"/>
  <c r="AF26" i="42"/>
  <c r="AF27" i="42"/>
  <c r="AF28" i="42"/>
  <c r="AE27" i="42"/>
  <c r="D31" i="42"/>
  <c r="J29" i="42"/>
  <c r="I29" i="42"/>
  <c r="H29" i="42"/>
  <c r="G29" i="42"/>
  <c r="F16" i="42"/>
  <c r="D29" i="42"/>
  <c r="AK2" i="42"/>
  <c r="AQ16" i="42"/>
  <c r="AL2" i="42"/>
  <c r="AR16" i="42"/>
  <c r="AM2" i="42"/>
  <c r="AS16" i="42"/>
  <c r="AN2" i="42"/>
  <c r="AT16" i="42"/>
  <c r="AO2" i="42"/>
  <c r="AU16" i="42"/>
  <c r="AP2" i="42"/>
  <c r="AV16" i="42"/>
  <c r="AQ2" i="42"/>
  <c r="AW16" i="42"/>
  <c r="AR2" i="42"/>
  <c r="AX16" i="42"/>
  <c r="AS2" i="42"/>
  <c r="AY16" i="42"/>
  <c r="AT2" i="42"/>
  <c r="AZ16" i="42"/>
  <c r="AU2" i="42"/>
  <c r="BA16" i="42"/>
  <c r="AV2" i="42"/>
  <c r="BB16" i="42"/>
  <c r="AW2" i="42"/>
  <c r="BC16" i="42"/>
  <c r="AX2" i="42"/>
  <c r="BD16" i="42"/>
  <c r="AY2" i="42"/>
  <c r="BE16" i="42"/>
  <c r="AZ2" i="42"/>
  <c r="BF16" i="42"/>
  <c r="BA2" i="42"/>
  <c r="BG16" i="42"/>
  <c r="BB2" i="42"/>
  <c r="BH16" i="42"/>
  <c r="BC2" i="42"/>
  <c r="BI16" i="42"/>
  <c r="BD2" i="42"/>
  <c r="BJ16" i="42"/>
  <c r="BE2" i="42"/>
  <c r="BK16" i="42"/>
  <c r="BF2" i="42"/>
  <c r="BL16" i="42"/>
  <c r="BG2" i="42"/>
  <c r="BM16" i="42"/>
  <c r="BH2" i="42"/>
  <c r="BN16" i="42"/>
  <c r="AP16" i="42"/>
  <c r="AK3" i="42"/>
  <c r="AQ17" i="42"/>
  <c r="AL3" i="42"/>
  <c r="AR17" i="42"/>
  <c r="AM3" i="42"/>
  <c r="AS17" i="42"/>
  <c r="AN3" i="42"/>
  <c r="AT17" i="42"/>
  <c r="AO3" i="42"/>
  <c r="AU17" i="42"/>
  <c r="AP3" i="42"/>
  <c r="AV17" i="42"/>
  <c r="AQ3" i="42"/>
  <c r="AW17" i="42"/>
  <c r="AR3" i="42"/>
  <c r="AX17" i="42"/>
  <c r="AS3" i="42"/>
  <c r="AY17" i="42"/>
  <c r="AT3" i="42"/>
  <c r="AZ17" i="42"/>
  <c r="AU3" i="42"/>
  <c r="BA17" i="42"/>
  <c r="AV3" i="42"/>
  <c r="BB17" i="42"/>
  <c r="AW3" i="42"/>
  <c r="BC17" i="42"/>
  <c r="AX3" i="42"/>
  <c r="BD17" i="42"/>
  <c r="AY3" i="42"/>
  <c r="BE17" i="42"/>
  <c r="AZ3" i="42"/>
  <c r="BF17" i="42"/>
  <c r="BA3" i="42"/>
  <c r="BG17" i="42"/>
  <c r="BB3" i="42"/>
  <c r="BH17" i="42"/>
  <c r="BC3" i="42"/>
  <c r="BI17" i="42"/>
  <c r="BD3" i="42"/>
  <c r="BJ17" i="42"/>
  <c r="BE3" i="42"/>
  <c r="BK17" i="42"/>
  <c r="BF3" i="42"/>
  <c r="BL17" i="42"/>
  <c r="BG3" i="42"/>
  <c r="BM17" i="42"/>
  <c r="BH3" i="42"/>
  <c r="BN17" i="42"/>
  <c r="AP17" i="42"/>
  <c r="AK4" i="42"/>
  <c r="AQ18" i="42"/>
  <c r="AL4" i="42"/>
  <c r="AR18" i="42"/>
  <c r="AM4" i="42"/>
  <c r="AS18" i="42"/>
  <c r="AN4" i="42"/>
  <c r="AT18" i="42"/>
  <c r="AO4" i="42"/>
  <c r="AU18" i="42"/>
  <c r="AP4" i="42"/>
  <c r="AV18" i="42"/>
  <c r="AQ4" i="42"/>
  <c r="AW18" i="42"/>
  <c r="AR4" i="42"/>
  <c r="AX18" i="42"/>
  <c r="AS4" i="42"/>
  <c r="AY18" i="42"/>
  <c r="AT4" i="42"/>
  <c r="AZ18" i="42"/>
  <c r="AU4" i="42"/>
  <c r="BA18" i="42"/>
  <c r="AV4" i="42"/>
  <c r="BB18" i="42"/>
  <c r="AW4" i="42"/>
  <c r="BC18" i="42"/>
  <c r="AX4" i="42"/>
  <c r="BD18" i="42"/>
  <c r="AY4" i="42"/>
  <c r="BE18" i="42"/>
  <c r="AZ4" i="42"/>
  <c r="BF18" i="42"/>
  <c r="BA4" i="42"/>
  <c r="BG18" i="42"/>
  <c r="BB4" i="42"/>
  <c r="BH18" i="42"/>
  <c r="BC4" i="42"/>
  <c r="BI18" i="42"/>
  <c r="BD4" i="42"/>
  <c r="BJ18" i="42"/>
  <c r="BE4" i="42"/>
  <c r="BK18" i="42"/>
  <c r="BF4" i="42"/>
  <c r="BL18" i="42"/>
  <c r="BG4" i="42"/>
  <c r="BM18" i="42"/>
  <c r="BH4" i="42"/>
  <c r="BN18" i="42"/>
  <c r="AP18" i="42"/>
  <c r="AK5" i="42"/>
  <c r="AQ19" i="42"/>
  <c r="AL5" i="42"/>
  <c r="AR19" i="42"/>
  <c r="AM5" i="42"/>
  <c r="AS19" i="42"/>
  <c r="AN5" i="42"/>
  <c r="AT19" i="42"/>
  <c r="AO5" i="42"/>
  <c r="AU19" i="42"/>
  <c r="AP5" i="42"/>
  <c r="AV19" i="42"/>
  <c r="AQ5" i="42"/>
  <c r="AW19" i="42"/>
  <c r="AR5" i="42"/>
  <c r="AX19" i="42"/>
  <c r="AS5" i="42"/>
  <c r="AY19" i="42"/>
  <c r="AT5" i="42"/>
  <c r="AZ19" i="42"/>
  <c r="AU5" i="42"/>
  <c r="BA19" i="42"/>
  <c r="AV5" i="42"/>
  <c r="BB19" i="42"/>
  <c r="AW5" i="42"/>
  <c r="BC19" i="42"/>
  <c r="AX5" i="42"/>
  <c r="BD19" i="42"/>
  <c r="AY5" i="42"/>
  <c r="BE19" i="42"/>
  <c r="AZ5" i="42"/>
  <c r="BF19" i="42"/>
  <c r="BA5" i="42"/>
  <c r="BG19" i="42"/>
  <c r="BB5" i="42"/>
  <c r="BH19" i="42"/>
  <c r="BC5" i="42"/>
  <c r="BI19" i="42"/>
  <c r="BD5" i="42"/>
  <c r="BJ19" i="42"/>
  <c r="BE5" i="42"/>
  <c r="BK19" i="42"/>
  <c r="BF5" i="42"/>
  <c r="BL19" i="42"/>
  <c r="BG5" i="42"/>
  <c r="BM19" i="42"/>
  <c r="BH5" i="42"/>
  <c r="BN19" i="42"/>
  <c r="AP19" i="42"/>
  <c r="AK6" i="42"/>
  <c r="AQ20" i="42"/>
  <c r="AL6" i="42"/>
  <c r="AR20" i="42"/>
  <c r="AM6" i="42"/>
  <c r="AS20" i="42"/>
  <c r="AN6" i="42"/>
  <c r="AT20" i="42"/>
  <c r="AO6" i="42"/>
  <c r="AU20" i="42"/>
  <c r="AP6" i="42"/>
  <c r="AV20" i="42"/>
  <c r="AQ6" i="42"/>
  <c r="AW20" i="42"/>
  <c r="AR6" i="42"/>
  <c r="AX20" i="42"/>
  <c r="AS6" i="42"/>
  <c r="AY20" i="42"/>
  <c r="AT6" i="42"/>
  <c r="AZ20" i="42"/>
  <c r="AU6" i="42"/>
  <c r="BA20" i="42"/>
  <c r="AV6" i="42"/>
  <c r="BB20" i="42"/>
  <c r="AW6" i="42"/>
  <c r="BC20" i="42"/>
  <c r="AX6" i="42"/>
  <c r="BD20" i="42"/>
  <c r="AY6" i="42"/>
  <c r="BE20" i="42"/>
  <c r="AZ6" i="42"/>
  <c r="BF20" i="42"/>
  <c r="BA6" i="42"/>
  <c r="BG20" i="42"/>
  <c r="BB6" i="42"/>
  <c r="BH20" i="42"/>
  <c r="BC6" i="42"/>
  <c r="BI20" i="42"/>
  <c r="BD6" i="42"/>
  <c r="BJ20" i="42"/>
  <c r="BE6" i="42"/>
  <c r="BK20" i="42"/>
  <c r="BF6" i="42"/>
  <c r="BL20" i="42"/>
  <c r="BG6" i="42"/>
  <c r="BM20" i="42"/>
  <c r="BH6" i="42"/>
  <c r="BN20" i="42"/>
  <c r="AP20" i="42"/>
  <c r="AK7" i="42"/>
  <c r="AQ21" i="42"/>
  <c r="AL7" i="42"/>
  <c r="AR21" i="42"/>
  <c r="AM7" i="42"/>
  <c r="AS21" i="42"/>
  <c r="AN7" i="42"/>
  <c r="AT21" i="42"/>
  <c r="AO7" i="42"/>
  <c r="AU21" i="42"/>
  <c r="AP7" i="42"/>
  <c r="AV21" i="42"/>
  <c r="AQ7" i="42"/>
  <c r="AW21" i="42"/>
  <c r="AR7" i="42"/>
  <c r="AX21" i="42"/>
  <c r="AS7" i="42"/>
  <c r="AY21" i="42"/>
  <c r="AT7" i="42"/>
  <c r="AZ21" i="42"/>
  <c r="AU7" i="42"/>
  <c r="BA21" i="42"/>
  <c r="AV7" i="42"/>
  <c r="BB21" i="42"/>
  <c r="AW7" i="42"/>
  <c r="BC21" i="42"/>
  <c r="AX7" i="42"/>
  <c r="BD21" i="42"/>
  <c r="AY7" i="42"/>
  <c r="BE21" i="42"/>
  <c r="AZ7" i="42"/>
  <c r="BF21" i="42"/>
  <c r="BA7" i="42"/>
  <c r="BG21" i="42"/>
  <c r="BB7" i="42"/>
  <c r="BH21" i="42"/>
  <c r="BC7" i="42"/>
  <c r="BI21" i="42"/>
  <c r="BD7" i="42"/>
  <c r="BJ21" i="42"/>
  <c r="BE7" i="42"/>
  <c r="BK21" i="42"/>
  <c r="BF7" i="42"/>
  <c r="BL21" i="42"/>
  <c r="BG7" i="42"/>
  <c r="BM21" i="42"/>
  <c r="BH7" i="42"/>
  <c r="BN21" i="42"/>
  <c r="AP21" i="42"/>
  <c r="AK8" i="42"/>
  <c r="AQ22" i="42"/>
  <c r="AL8" i="42"/>
  <c r="AR22" i="42"/>
  <c r="AM8" i="42"/>
  <c r="AS22" i="42"/>
  <c r="AN8" i="42"/>
  <c r="AT22" i="42"/>
  <c r="AO8" i="42"/>
  <c r="AU22" i="42"/>
  <c r="AP8" i="42"/>
  <c r="AV22" i="42"/>
  <c r="AQ8" i="42"/>
  <c r="AW22" i="42"/>
  <c r="AR8" i="42"/>
  <c r="AX22" i="42"/>
  <c r="AS8" i="42"/>
  <c r="AY22" i="42"/>
  <c r="AT8" i="42"/>
  <c r="AZ22" i="42"/>
  <c r="AU8" i="42"/>
  <c r="BA22" i="42"/>
  <c r="AV8" i="42"/>
  <c r="BB22" i="42"/>
  <c r="AW8" i="42"/>
  <c r="BC22" i="42"/>
  <c r="AX8" i="42"/>
  <c r="BD22" i="42"/>
  <c r="AY8" i="42"/>
  <c r="BE22" i="42"/>
  <c r="AZ8" i="42"/>
  <c r="BF22" i="42"/>
  <c r="BA8" i="42"/>
  <c r="BG22" i="42"/>
  <c r="BB8" i="42"/>
  <c r="BH22" i="42"/>
  <c r="BC8" i="42"/>
  <c r="BI22" i="42"/>
  <c r="BD8" i="42"/>
  <c r="BJ22" i="42"/>
  <c r="BE8" i="42"/>
  <c r="BK22" i="42"/>
  <c r="BF8" i="42"/>
  <c r="BL22" i="42"/>
  <c r="BG8" i="42"/>
  <c r="BM22" i="42"/>
  <c r="BH8" i="42"/>
  <c r="BN22" i="42"/>
  <c r="AP22" i="42"/>
  <c r="AK9" i="42"/>
  <c r="AQ23" i="42"/>
  <c r="AL9" i="42"/>
  <c r="AR23" i="42"/>
  <c r="AM9" i="42"/>
  <c r="AS23" i="42"/>
  <c r="AN9" i="42"/>
  <c r="AT23" i="42"/>
  <c r="AO9" i="42"/>
  <c r="AU23" i="42"/>
  <c r="AP9" i="42"/>
  <c r="AV23" i="42"/>
  <c r="AQ9" i="42"/>
  <c r="AW23" i="42"/>
  <c r="AR9" i="42"/>
  <c r="AX23" i="42"/>
  <c r="AS9" i="42"/>
  <c r="AY23" i="42"/>
  <c r="AT9" i="42"/>
  <c r="AZ23" i="42"/>
  <c r="AU9" i="42"/>
  <c r="BA23" i="42"/>
  <c r="AV9" i="42"/>
  <c r="BB23" i="42"/>
  <c r="AW9" i="42"/>
  <c r="BC23" i="42"/>
  <c r="AX9" i="42"/>
  <c r="BD23" i="42"/>
  <c r="AY9" i="42"/>
  <c r="BE23" i="42"/>
  <c r="AZ9" i="42"/>
  <c r="BF23" i="42"/>
  <c r="BA9" i="42"/>
  <c r="BG23" i="42"/>
  <c r="BB9" i="42"/>
  <c r="BH23" i="42"/>
  <c r="BC9" i="42"/>
  <c r="BI23" i="42"/>
  <c r="BD9" i="42"/>
  <c r="BJ23" i="42"/>
  <c r="BE9" i="42"/>
  <c r="BK23" i="42"/>
  <c r="BF9" i="42"/>
  <c r="BL23" i="42"/>
  <c r="BG9" i="42"/>
  <c r="BM23" i="42"/>
  <c r="BH9" i="42"/>
  <c r="BN23" i="42"/>
  <c r="AP23" i="42"/>
  <c r="AK10" i="42"/>
  <c r="AQ24" i="42"/>
  <c r="AL10" i="42"/>
  <c r="AR24" i="42"/>
  <c r="AM10" i="42"/>
  <c r="AS24" i="42"/>
  <c r="AN10" i="42"/>
  <c r="AT24" i="42"/>
  <c r="AO10" i="42"/>
  <c r="AU24" i="42"/>
  <c r="AP10" i="42"/>
  <c r="AV24" i="42"/>
  <c r="AQ10" i="42"/>
  <c r="AW24" i="42"/>
  <c r="AR10" i="42"/>
  <c r="AX24" i="42"/>
  <c r="AS10" i="42"/>
  <c r="AY24" i="42"/>
  <c r="AT10" i="42"/>
  <c r="AZ24" i="42"/>
  <c r="AU10" i="42"/>
  <c r="BA24" i="42"/>
  <c r="AV10" i="42"/>
  <c r="BB24" i="42"/>
  <c r="AW10" i="42"/>
  <c r="BC24" i="42"/>
  <c r="AX10" i="42"/>
  <c r="BD24" i="42"/>
  <c r="AY10" i="42"/>
  <c r="BE24" i="42"/>
  <c r="AZ10" i="42"/>
  <c r="BF24" i="42"/>
  <c r="BA10" i="42"/>
  <c r="BG24" i="42"/>
  <c r="BB10" i="42"/>
  <c r="BH24" i="42"/>
  <c r="BC10" i="42"/>
  <c r="BI24" i="42"/>
  <c r="BD10" i="42"/>
  <c r="BJ24" i="42"/>
  <c r="BE10" i="42"/>
  <c r="BK24" i="42"/>
  <c r="BF10" i="42"/>
  <c r="BL24" i="42"/>
  <c r="BG10" i="42"/>
  <c r="BM24" i="42"/>
  <c r="BH10" i="42"/>
  <c r="BN24" i="42"/>
  <c r="AP24" i="42"/>
  <c r="AK11" i="42"/>
  <c r="AQ25" i="42"/>
  <c r="AL11" i="42"/>
  <c r="AR25" i="42"/>
  <c r="AM11" i="42"/>
  <c r="AS25" i="42"/>
  <c r="AN11" i="42"/>
  <c r="AT25" i="42"/>
  <c r="AO11" i="42"/>
  <c r="AU25" i="42"/>
  <c r="AP11" i="42"/>
  <c r="AV25" i="42"/>
  <c r="AQ11" i="42"/>
  <c r="AW25" i="42"/>
  <c r="AR11" i="42"/>
  <c r="AX25" i="42"/>
  <c r="AS11" i="42"/>
  <c r="AY25" i="42"/>
  <c r="AT11" i="42"/>
  <c r="AZ25" i="42"/>
  <c r="AU11" i="42"/>
  <c r="BA25" i="42"/>
  <c r="AV11" i="42"/>
  <c r="BB25" i="42"/>
  <c r="AW11" i="42"/>
  <c r="BC25" i="42"/>
  <c r="AX11" i="42"/>
  <c r="BD25" i="42"/>
  <c r="AY11" i="42"/>
  <c r="BE25" i="42"/>
  <c r="AZ11" i="42"/>
  <c r="BF25" i="42"/>
  <c r="BA11" i="42"/>
  <c r="BG25" i="42"/>
  <c r="BB11" i="42"/>
  <c r="BH25" i="42"/>
  <c r="BC11" i="42"/>
  <c r="BI25" i="42"/>
  <c r="BD11" i="42"/>
  <c r="BJ25" i="42"/>
  <c r="BE11" i="42"/>
  <c r="BK25" i="42"/>
  <c r="BF11" i="42"/>
  <c r="BL25" i="42"/>
  <c r="BG11" i="42"/>
  <c r="BM25" i="42"/>
  <c r="BH11" i="42"/>
  <c r="BN25" i="42"/>
  <c r="AP25" i="42"/>
  <c r="AK12" i="42"/>
  <c r="AQ26" i="42"/>
  <c r="AL12" i="42"/>
  <c r="AR26" i="42"/>
  <c r="AM12" i="42"/>
  <c r="AS26" i="42"/>
  <c r="AN12" i="42"/>
  <c r="AT26" i="42"/>
  <c r="AO12" i="42"/>
  <c r="AU26" i="42"/>
  <c r="AP12" i="42"/>
  <c r="AV26" i="42"/>
  <c r="AQ12" i="42"/>
  <c r="AW26" i="42"/>
  <c r="AR12" i="42"/>
  <c r="AX26" i="42"/>
  <c r="AS12" i="42"/>
  <c r="AY26" i="42"/>
  <c r="AT12" i="42"/>
  <c r="AZ26" i="42"/>
  <c r="AU12" i="42"/>
  <c r="BA26" i="42"/>
  <c r="AV12" i="42"/>
  <c r="BB26" i="42"/>
  <c r="AW12" i="42"/>
  <c r="BC26" i="42"/>
  <c r="AX12" i="42"/>
  <c r="BD26" i="42"/>
  <c r="AY12" i="42"/>
  <c r="BE26" i="42"/>
  <c r="AZ12" i="42"/>
  <c r="BF26" i="42"/>
  <c r="BA12" i="42"/>
  <c r="BG26" i="42"/>
  <c r="BB12" i="42"/>
  <c r="BH26" i="42"/>
  <c r="BC12" i="42"/>
  <c r="BI26" i="42"/>
  <c r="BD12" i="42"/>
  <c r="BJ26" i="42"/>
  <c r="BE12" i="42"/>
  <c r="BK26" i="42"/>
  <c r="BF12" i="42"/>
  <c r="BL26" i="42"/>
  <c r="BG12" i="42"/>
  <c r="BM26" i="42"/>
  <c r="BH12" i="42"/>
  <c r="BN26" i="42"/>
  <c r="AP26" i="42"/>
  <c r="AK13" i="42"/>
  <c r="AQ27" i="42"/>
  <c r="AL13" i="42"/>
  <c r="AR27" i="42"/>
  <c r="AM13" i="42"/>
  <c r="AS27" i="42"/>
  <c r="AN13" i="42"/>
  <c r="AT27" i="42"/>
  <c r="AO13" i="42"/>
  <c r="AU27" i="42"/>
  <c r="AP13" i="42"/>
  <c r="AV27" i="42"/>
  <c r="AQ13" i="42"/>
  <c r="AW27" i="42"/>
  <c r="AR13" i="42"/>
  <c r="AX27" i="42"/>
  <c r="AS13" i="42"/>
  <c r="AY27" i="42"/>
  <c r="AT13" i="42"/>
  <c r="AZ27" i="42"/>
  <c r="AU13" i="42"/>
  <c r="BA27" i="42"/>
  <c r="AV13" i="42"/>
  <c r="BB27" i="42"/>
  <c r="AW13" i="42"/>
  <c r="BC27" i="42"/>
  <c r="AX13" i="42"/>
  <c r="BD27" i="42"/>
  <c r="AY13" i="42"/>
  <c r="BE27" i="42"/>
  <c r="AZ13" i="42"/>
  <c r="BF27" i="42"/>
  <c r="BA13" i="42"/>
  <c r="BG27" i="42"/>
  <c r="BB13" i="42"/>
  <c r="BH27" i="42"/>
  <c r="BC13" i="42"/>
  <c r="BI27" i="42"/>
  <c r="BD13" i="42"/>
  <c r="BJ27" i="42"/>
  <c r="BE13" i="42"/>
  <c r="BK27" i="42"/>
  <c r="BF13" i="42"/>
  <c r="BL27" i="42"/>
  <c r="BG13" i="42"/>
  <c r="BM27" i="42"/>
  <c r="BH13" i="42"/>
  <c r="BN27" i="42"/>
  <c r="AP27" i="42"/>
  <c r="AP28" i="42"/>
  <c r="AN16" i="42"/>
  <c r="AN17" i="42"/>
  <c r="AN18" i="42"/>
  <c r="AN19" i="42"/>
  <c r="AN20" i="42"/>
  <c r="AN21" i="42"/>
  <c r="AN22" i="42"/>
  <c r="AN23" i="42"/>
  <c r="AN24" i="42"/>
  <c r="AN25" i="42"/>
  <c r="AN26" i="42"/>
  <c r="AN27" i="42"/>
  <c r="AN28" i="42"/>
  <c r="AM16" i="42"/>
  <c r="AM17" i="42"/>
  <c r="AM18" i="42"/>
  <c r="AM19" i="42"/>
  <c r="AM20" i="42"/>
  <c r="AM21" i="42"/>
  <c r="AM22" i="42"/>
  <c r="AM23" i="42"/>
  <c r="AM24" i="42"/>
  <c r="AM25" i="42"/>
  <c r="AM26" i="42"/>
  <c r="AM27" i="42"/>
  <c r="AM28" i="42"/>
  <c r="AL16" i="42"/>
  <c r="AL17" i="42"/>
  <c r="AL18" i="42"/>
  <c r="AL19" i="42"/>
  <c r="AL20" i="42"/>
  <c r="AL21" i="42"/>
  <c r="AL22" i="42"/>
  <c r="AL23" i="42"/>
  <c r="AL24" i="42"/>
  <c r="AL25" i="42"/>
  <c r="AL26" i="42"/>
  <c r="AL27" i="42"/>
  <c r="AL28" i="42"/>
  <c r="AK16" i="42"/>
  <c r="AK17" i="42"/>
  <c r="AK18" i="42"/>
  <c r="AK19" i="42"/>
  <c r="AK20" i="42"/>
  <c r="AK21" i="42"/>
  <c r="AK22" i="42"/>
  <c r="AK23" i="42"/>
  <c r="AK24" i="42"/>
  <c r="AK25" i="42"/>
  <c r="AK26" i="42"/>
  <c r="AK27" i="42"/>
  <c r="AK28" i="42"/>
  <c r="Z2" i="42"/>
  <c r="AA2" i="42"/>
  <c r="AB2" i="42"/>
  <c r="AC2" i="42"/>
  <c r="AA16" i="42"/>
  <c r="Z3" i="42"/>
  <c r="AA3" i="42"/>
  <c r="AB3" i="42"/>
  <c r="AC3" i="42"/>
  <c r="AA17" i="42"/>
  <c r="Z4" i="42"/>
  <c r="AA4" i="42"/>
  <c r="AB4" i="42"/>
  <c r="AC4" i="42"/>
  <c r="AA18" i="42"/>
  <c r="Z5" i="42"/>
  <c r="AA5" i="42"/>
  <c r="AB5" i="42"/>
  <c r="AC5" i="42"/>
  <c r="AA19" i="42"/>
  <c r="Z6" i="42"/>
  <c r="AA6" i="42"/>
  <c r="AB6" i="42"/>
  <c r="AC6" i="42"/>
  <c r="AA20" i="42"/>
  <c r="Z7" i="42"/>
  <c r="AA7" i="42"/>
  <c r="AB7" i="42"/>
  <c r="AC7" i="42"/>
  <c r="AA21" i="42"/>
  <c r="Z8" i="42"/>
  <c r="AA8" i="42"/>
  <c r="AB8" i="42"/>
  <c r="AC8" i="42"/>
  <c r="AA22" i="42"/>
  <c r="Z9" i="42"/>
  <c r="AA9" i="42"/>
  <c r="AB9" i="42"/>
  <c r="AC9" i="42"/>
  <c r="AA23" i="42"/>
  <c r="Z10" i="42"/>
  <c r="AA10" i="42"/>
  <c r="AB10" i="42"/>
  <c r="AC10" i="42"/>
  <c r="AA24" i="42"/>
  <c r="Z11" i="42"/>
  <c r="AA11" i="42"/>
  <c r="AB11" i="42"/>
  <c r="AC11" i="42"/>
  <c r="AA25" i="42"/>
  <c r="Z12" i="42"/>
  <c r="AA12" i="42"/>
  <c r="AB12" i="42"/>
  <c r="AC12" i="42"/>
  <c r="AA26" i="42"/>
  <c r="Z13" i="42"/>
  <c r="AA13" i="42"/>
  <c r="AB13" i="42"/>
  <c r="AC13" i="42"/>
  <c r="AA27" i="42"/>
  <c r="AA28" i="42"/>
  <c r="Z16" i="42"/>
  <c r="Z17" i="42"/>
  <c r="Z18" i="42"/>
  <c r="Z19" i="42"/>
  <c r="Z20" i="42"/>
  <c r="Z21" i="42"/>
  <c r="Z22" i="42"/>
  <c r="Z23" i="42"/>
  <c r="Z24" i="42"/>
  <c r="Z25" i="42"/>
  <c r="Z26" i="42"/>
  <c r="Z27" i="42"/>
  <c r="Z28" i="42"/>
  <c r="S28" i="42"/>
  <c r="R28" i="42"/>
  <c r="Q28" i="42"/>
  <c r="P28" i="42"/>
  <c r="N28" i="42"/>
  <c r="M28" i="42"/>
  <c r="L28" i="42"/>
  <c r="K28" i="42"/>
  <c r="D27" i="42"/>
  <c r="G26" i="42"/>
  <c r="N25" i="42"/>
  <c r="M25" i="42"/>
  <c r="L25" i="42"/>
  <c r="K25" i="42"/>
  <c r="D25" i="42"/>
  <c r="G24" i="42"/>
  <c r="H16" i="42"/>
  <c r="D23" i="42"/>
  <c r="G22" i="42"/>
  <c r="G16" i="42"/>
  <c r="D21" i="42"/>
  <c r="G20" i="42"/>
  <c r="M19" i="42"/>
  <c r="W16" i="42"/>
  <c r="V16" i="42"/>
  <c r="U16" i="42"/>
  <c r="M16" i="42"/>
  <c r="E50" i="41"/>
  <c r="A50" i="41"/>
  <c r="E49" i="41"/>
  <c r="A49" i="41"/>
  <c r="E48" i="41"/>
  <c r="A48" i="41"/>
  <c r="E47" i="41"/>
  <c r="A47" i="41"/>
  <c r="E46" i="41"/>
  <c r="A46" i="41"/>
  <c r="E45" i="41"/>
  <c r="A45" i="41"/>
  <c r="E44" i="41"/>
  <c r="A44" i="41"/>
  <c r="E43" i="41"/>
  <c r="A43" i="41"/>
  <c r="X15" i="41"/>
  <c r="E42" i="41"/>
  <c r="A42" i="41"/>
  <c r="X14" i="41"/>
  <c r="E41" i="41"/>
  <c r="A41" i="41"/>
  <c r="X13" i="41"/>
  <c r="E40" i="41"/>
  <c r="A40" i="41"/>
  <c r="X12" i="41"/>
  <c r="E39" i="41"/>
  <c r="AE16" i="41"/>
  <c r="A39" i="41"/>
  <c r="X11" i="41"/>
  <c r="X10" i="41"/>
  <c r="X9" i="41"/>
  <c r="R16" i="41"/>
  <c r="Q16" i="41"/>
  <c r="X8" i="41"/>
  <c r="X7" i="41"/>
  <c r="X4" i="41"/>
  <c r="X5" i="41"/>
  <c r="X6" i="41"/>
  <c r="AE2" i="41"/>
  <c r="AF2" i="41"/>
  <c r="AG2" i="41"/>
  <c r="AH2" i="41"/>
  <c r="AI2" i="41"/>
  <c r="AG16" i="41"/>
  <c r="AE4" i="41"/>
  <c r="AF4" i="41"/>
  <c r="AG4" i="41"/>
  <c r="AH4" i="41"/>
  <c r="AI4" i="41"/>
  <c r="AG18" i="41"/>
  <c r="AE5" i="41"/>
  <c r="AF5" i="41"/>
  <c r="AG5" i="41"/>
  <c r="AH5" i="41"/>
  <c r="AI5" i="41"/>
  <c r="AG19" i="41"/>
  <c r="AE6" i="41"/>
  <c r="AF6" i="41"/>
  <c r="AG6" i="41"/>
  <c r="AH6" i="41"/>
  <c r="AI6" i="41"/>
  <c r="AG20" i="41"/>
  <c r="AE7" i="41"/>
  <c r="AF7" i="41"/>
  <c r="AG7" i="41"/>
  <c r="AH7" i="41"/>
  <c r="AI7" i="41"/>
  <c r="AG21" i="41"/>
  <c r="AE8" i="41"/>
  <c r="AF8" i="41"/>
  <c r="AG8" i="41"/>
  <c r="AH8" i="41"/>
  <c r="AI8" i="41"/>
  <c r="AG22" i="41"/>
  <c r="AE9" i="41"/>
  <c r="AF9" i="41"/>
  <c r="AG9" i="41"/>
  <c r="AH9" i="41"/>
  <c r="AI9" i="41"/>
  <c r="AG23" i="41"/>
  <c r="AE10" i="41"/>
  <c r="AF10" i="41"/>
  <c r="AG10" i="41"/>
  <c r="AH10" i="41"/>
  <c r="AI10" i="41"/>
  <c r="AG24" i="41"/>
  <c r="AE11" i="41"/>
  <c r="AF11" i="41"/>
  <c r="AG11" i="41"/>
  <c r="AH11" i="41"/>
  <c r="AI11" i="41"/>
  <c r="AG25" i="41"/>
  <c r="AE12" i="41"/>
  <c r="AF12" i="41"/>
  <c r="AG12" i="41"/>
  <c r="AH12" i="41"/>
  <c r="AI12" i="41"/>
  <c r="AG26" i="41"/>
  <c r="AE13" i="41"/>
  <c r="AF13" i="41"/>
  <c r="AG13" i="41"/>
  <c r="AH13" i="41"/>
  <c r="AI13" i="41"/>
  <c r="AG27" i="41"/>
  <c r="AF16" i="41"/>
  <c r="AF18" i="41"/>
  <c r="AF19" i="41"/>
  <c r="AF20" i="41"/>
  <c r="AF21" i="41"/>
  <c r="AF22" i="41"/>
  <c r="AF23" i="41"/>
  <c r="AF24" i="41"/>
  <c r="AF25" i="41"/>
  <c r="AF26" i="41"/>
  <c r="AF27" i="41"/>
  <c r="D31" i="41"/>
  <c r="J29" i="41"/>
  <c r="I29" i="41"/>
  <c r="H29" i="41"/>
  <c r="G29" i="41"/>
  <c r="F16" i="41"/>
  <c r="D29" i="41"/>
  <c r="AK2" i="41"/>
  <c r="AQ16" i="41"/>
  <c r="AL2" i="41"/>
  <c r="AR16" i="41"/>
  <c r="AM2" i="41"/>
  <c r="AS16" i="41"/>
  <c r="AN2" i="41"/>
  <c r="AT16" i="41"/>
  <c r="AO2" i="41"/>
  <c r="AU16" i="41"/>
  <c r="AP2" i="41"/>
  <c r="AV16" i="41"/>
  <c r="AQ2" i="41"/>
  <c r="AW16" i="41"/>
  <c r="AR2" i="41"/>
  <c r="AX16" i="41"/>
  <c r="AS2" i="41"/>
  <c r="AY16" i="41"/>
  <c r="AT2" i="41"/>
  <c r="AZ16" i="41"/>
  <c r="AU2" i="41"/>
  <c r="BA16" i="41"/>
  <c r="AV2" i="41"/>
  <c r="BB16" i="41"/>
  <c r="AW2" i="41"/>
  <c r="BC16" i="41"/>
  <c r="AX2" i="41"/>
  <c r="BD16" i="41"/>
  <c r="AY2" i="41"/>
  <c r="BE16" i="41"/>
  <c r="AZ2" i="41"/>
  <c r="BF16" i="41"/>
  <c r="BA2" i="41"/>
  <c r="BG16" i="41"/>
  <c r="BB2" i="41"/>
  <c r="BH16" i="41"/>
  <c r="BC2" i="41"/>
  <c r="BI16" i="41"/>
  <c r="BD2" i="41"/>
  <c r="BJ16" i="41"/>
  <c r="BE2" i="41"/>
  <c r="BK16" i="41"/>
  <c r="BF2" i="41"/>
  <c r="BL16" i="41"/>
  <c r="BG2" i="41"/>
  <c r="BM16" i="41"/>
  <c r="BH2" i="41"/>
  <c r="BN16" i="41"/>
  <c r="AP16" i="41"/>
  <c r="AK3" i="41"/>
  <c r="AQ17" i="41"/>
  <c r="AL3" i="41"/>
  <c r="AR17" i="41"/>
  <c r="AM3" i="41"/>
  <c r="AS17" i="41"/>
  <c r="AN3" i="41"/>
  <c r="AT17" i="41"/>
  <c r="AO3" i="41"/>
  <c r="AU17" i="41"/>
  <c r="AP3" i="41"/>
  <c r="AV17" i="41"/>
  <c r="AQ3" i="41"/>
  <c r="AW17" i="41"/>
  <c r="AR3" i="41"/>
  <c r="AX17" i="41"/>
  <c r="AS3" i="41"/>
  <c r="AY17" i="41"/>
  <c r="AT3" i="41"/>
  <c r="AZ17" i="41"/>
  <c r="AU3" i="41"/>
  <c r="BA17" i="41"/>
  <c r="AV3" i="41"/>
  <c r="BB17" i="41"/>
  <c r="AW3" i="41"/>
  <c r="BC17" i="41"/>
  <c r="AX3" i="41"/>
  <c r="BD17" i="41"/>
  <c r="AY3" i="41"/>
  <c r="BE17" i="41"/>
  <c r="AZ3" i="41"/>
  <c r="BF17" i="41"/>
  <c r="BA3" i="41"/>
  <c r="BG17" i="41"/>
  <c r="BB3" i="41"/>
  <c r="BH17" i="41"/>
  <c r="BC3" i="41"/>
  <c r="BI17" i="41"/>
  <c r="BD3" i="41"/>
  <c r="BJ17" i="41"/>
  <c r="BE3" i="41"/>
  <c r="BK17" i="41"/>
  <c r="BF3" i="41"/>
  <c r="BL17" i="41"/>
  <c r="BG3" i="41"/>
  <c r="BM17" i="41"/>
  <c r="BH3" i="41"/>
  <c r="BN17" i="41"/>
  <c r="AP17" i="41"/>
  <c r="AK4" i="41"/>
  <c r="AQ18" i="41"/>
  <c r="AL4" i="41"/>
  <c r="AR18" i="41"/>
  <c r="AM4" i="41"/>
  <c r="AS18" i="41"/>
  <c r="AN4" i="41"/>
  <c r="AT18" i="41"/>
  <c r="AO4" i="41"/>
  <c r="AU18" i="41"/>
  <c r="AP4" i="41"/>
  <c r="AV18" i="41"/>
  <c r="AQ4" i="41"/>
  <c r="AW18" i="41"/>
  <c r="AR4" i="41"/>
  <c r="AX18" i="41"/>
  <c r="AS4" i="41"/>
  <c r="AY18" i="41"/>
  <c r="AT4" i="41"/>
  <c r="AZ18" i="41"/>
  <c r="AU4" i="41"/>
  <c r="BA18" i="41"/>
  <c r="AV4" i="41"/>
  <c r="BB18" i="41"/>
  <c r="AW4" i="41"/>
  <c r="BC18" i="41"/>
  <c r="AX4" i="41"/>
  <c r="BD18" i="41"/>
  <c r="AY4" i="41"/>
  <c r="BE18" i="41"/>
  <c r="AZ4" i="41"/>
  <c r="BF18" i="41"/>
  <c r="BA4" i="41"/>
  <c r="BG18" i="41"/>
  <c r="BB4" i="41"/>
  <c r="BH18" i="41"/>
  <c r="BC4" i="41"/>
  <c r="BI18" i="41"/>
  <c r="BD4" i="41"/>
  <c r="BJ18" i="41"/>
  <c r="BE4" i="41"/>
  <c r="BK18" i="41"/>
  <c r="BF4" i="41"/>
  <c r="BL18" i="41"/>
  <c r="BG4" i="41"/>
  <c r="BM18" i="41"/>
  <c r="BH4" i="41"/>
  <c r="BN18" i="41"/>
  <c r="AP18" i="41"/>
  <c r="AK5" i="41"/>
  <c r="AQ19" i="41"/>
  <c r="AL5" i="41"/>
  <c r="AR19" i="41"/>
  <c r="AM5" i="41"/>
  <c r="AS19" i="41"/>
  <c r="AN5" i="41"/>
  <c r="AT19" i="41"/>
  <c r="AO5" i="41"/>
  <c r="AU19" i="41"/>
  <c r="AP5" i="41"/>
  <c r="AV19" i="41"/>
  <c r="AQ5" i="41"/>
  <c r="AW19" i="41"/>
  <c r="AR5" i="41"/>
  <c r="AX19" i="41"/>
  <c r="AS5" i="41"/>
  <c r="AY19" i="41"/>
  <c r="AT5" i="41"/>
  <c r="AZ19" i="41"/>
  <c r="AU5" i="41"/>
  <c r="BA19" i="41"/>
  <c r="AV5" i="41"/>
  <c r="BB19" i="41"/>
  <c r="AW5" i="41"/>
  <c r="BC19" i="41"/>
  <c r="AX5" i="41"/>
  <c r="BD19" i="41"/>
  <c r="AY5" i="41"/>
  <c r="BE19" i="41"/>
  <c r="AZ5" i="41"/>
  <c r="BF19" i="41"/>
  <c r="BA5" i="41"/>
  <c r="BG19" i="41"/>
  <c r="BB5" i="41"/>
  <c r="BH19" i="41"/>
  <c r="BC5" i="41"/>
  <c r="BI19" i="41"/>
  <c r="BD5" i="41"/>
  <c r="BJ19" i="41"/>
  <c r="BE5" i="41"/>
  <c r="BK19" i="41"/>
  <c r="BF5" i="41"/>
  <c r="BL19" i="41"/>
  <c r="BG5" i="41"/>
  <c r="BM19" i="41"/>
  <c r="BH5" i="41"/>
  <c r="BN19" i="41"/>
  <c r="AP19" i="41"/>
  <c r="AK6" i="41"/>
  <c r="AQ20" i="41"/>
  <c r="AL6" i="41"/>
  <c r="AR20" i="41"/>
  <c r="AM6" i="41"/>
  <c r="AS20" i="41"/>
  <c r="AN6" i="41"/>
  <c r="AT20" i="41"/>
  <c r="AO6" i="41"/>
  <c r="AU20" i="41"/>
  <c r="AP6" i="41"/>
  <c r="AV20" i="41"/>
  <c r="AQ6" i="41"/>
  <c r="AW20" i="41"/>
  <c r="AR6" i="41"/>
  <c r="AX20" i="41"/>
  <c r="AS6" i="41"/>
  <c r="AY20" i="41"/>
  <c r="AT6" i="41"/>
  <c r="AZ20" i="41"/>
  <c r="AU6" i="41"/>
  <c r="BA20" i="41"/>
  <c r="AV6" i="41"/>
  <c r="BB20" i="41"/>
  <c r="AW6" i="41"/>
  <c r="BC20" i="41"/>
  <c r="AX6" i="41"/>
  <c r="BD20" i="41"/>
  <c r="AY6" i="41"/>
  <c r="BE20" i="41"/>
  <c r="AZ6" i="41"/>
  <c r="BF20" i="41"/>
  <c r="BA6" i="41"/>
  <c r="BG20" i="41"/>
  <c r="BB6" i="41"/>
  <c r="BH20" i="41"/>
  <c r="BC6" i="41"/>
  <c r="BI20" i="41"/>
  <c r="BD6" i="41"/>
  <c r="BJ20" i="41"/>
  <c r="BE6" i="41"/>
  <c r="BK20" i="41"/>
  <c r="BF6" i="41"/>
  <c r="BL20" i="41"/>
  <c r="BG6" i="41"/>
  <c r="BM20" i="41"/>
  <c r="BH6" i="41"/>
  <c r="BN20" i="41"/>
  <c r="AP20" i="41"/>
  <c r="AK7" i="41"/>
  <c r="AQ21" i="41"/>
  <c r="AL7" i="41"/>
  <c r="AR21" i="41"/>
  <c r="AM7" i="41"/>
  <c r="AS21" i="41"/>
  <c r="AN7" i="41"/>
  <c r="AT21" i="41"/>
  <c r="AO7" i="41"/>
  <c r="AU21" i="41"/>
  <c r="AP7" i="41"/>
  <c r="AV21" i="41"/>
  <c r="AQ7" i="41"/>
  <c r="AW21" i="41"/>
  <c r="AR7" i="41"/>
  <c r="AX21" i="41"/>
  <c r="AS7" i="41"/>
  <c r="AY21" i="41"/>
  <c r="AT7" i="41"/>
  <c r="AZ21" i="41"/>
  <c r="AU7" i="41"/>
  <c r="BA21" i="41"/>
  <c r="AV7" i="41"/>
  <c r="BB21" i="41"/>
  <c r="AW7" i="41"/>
  <c r="BC21" i="41"/>
  <c r="AX7" i="41"/>
  <c r="BD21" i="41"/>
  <c r="AY7" i="41"/>
  <c r="BE21" i="41"/>
  <c r="AZ7" i="41"/>
  <c r="BF21" i="41"/>
  <c r="BA7" i="41"/>
  <c r="BG21" i="41"/>
  <c r="BB7" i="41"/>
  <c r="BH21" i="41"/>
  <c r="BC7" i="41"/>
  <c r="BI21" i="41"/>
  <c r="BD7" i="41"/>
  <c r="BJ21" i="41"/>
  <c r="BE7" i="41"/>
  <c r="BK21" i="41"/>
  <c r="BF7" i="41"/>
  <c r="BL21" i="41"/>
  <c r="BG7" i="41"/>
  <c r="BM21" i="41"/>
  <c r="BH7" i="41"/>
  <c r="BN21" i="41"/>
  <c r="AP21" i="41"/>
  <c r="AK8" i="41"/>
  <c r="AQ22" i="41"/>
  <c r="AL8" i="41"/>
  <c r="AR22" i="41"/>
  <c r="AM8" i="41"/>
  <c r="AS22" i="41"/>
  <c r="AN8" i="41"/>
  <c r="AT22" i="41"/>
  <c r="AO8" i="41"/>
  <c r="AU22" i="41"/>
  <c r="AP8" i="41"/>
  <c r="AV22" i="41"/>
  <c r="AQ8" i="41"/>
  <c r="AW22" i="41"/>
  <c r="AR8" i="41"/>
  <c r="AX22" i="41"/>
  <c r="AS8" i="41"/>
  <c r="AY22" i="41"/>
  <c r="AT8" i="41"/>
  <c r="AZ22" i="41"/>
  <c r="AU8" i="41"/>
  <c r="BA22" i="41"/>
  <c r="AV8" i="41"/>
  <c r="BB22" i="41"/>
  <c r="AW8" i="41"/>
  <c r="BC22" i="41"/>
  <c r="AX8" i="41"/>
  <c r="BD22" i="41"/>
  <c r="AY8" i="41"/>
  <c r="BE22" i="41"/>
  <c r="AZ8" i="41"/>
  <c r="BF22" i="41"/>
  <c r="BA8" i="41"/>
  <c r="BG22" i="41"/>
  <c r="BB8" i="41"/>
  <c r="BH22" i="41"/>
  <c r="BC8" i="41"/>
  <c r="BI22" i="41"/>
  <c r="BD8" i="41"/>
  <c r="BJ22" i="41"/>
  <c r="BE8" i="41"/>
  <c r="BK22" i="41"/>
  <c r="BF8" i="41"/>
  <c r="BL22" i="41"/>
  <c r="BG8" i="41"/>
  <c r="BM22" i="41"/>
  <c r="BH8" i="41"/>
  <c r="BN22" i="41"/>
  <c r="AP22" i="41"/>
  <c r="AK9" i="41"/>
  <c r="AQ23" i="41"/>
  <c r="AL9" i="41"/>
  <c r="AR23" i="41"/>
  <c r="AM9" i="41"/>
  <c r="AS23" i="41"/>
  <c r="AN9" i="41"/>
  <c r="AT23" i="41"/>
  <c r="AO9" i="41"/>
  <c r="AU23" i="41"/>
  <c r="AP9" i="41"/>
  <c r="AV23" i="41"/>
  <c r="AQ9" i="41"/>
  <c r="AW23" i="41"/>
  <c r="AR9" i="41"/>
  <c r="AX23" i="41"/>
  <c r="AS9" i="41"/>
  <c r="AY23" i="41"/>
  <c r="AT9" i="41"/>
  <c r="AZ23" i="41"/>
  <c r="AU9" i="41"/>
  <c r="BA23" i="41"/>
  <c r="AV9" i="41"/>
  <c r="BB23" i="41"/>
  <c r="AW9" i="41"/>
  <c r="BC23" i="41"/>
  <c r="AX9" i="41"/>
  <c r="BD23" i="41"/>
  <c r="AY9" i="41"/>
  <c r="BE23" i="41"/>
  <c r="AZ9" i="41"/>
  <c r="BF23" i="41"/>
  <c r="BA9" i="41"/>
  <c r="BG23" i="41"/>
  <c r="BB9" i="41"/>
  <c r="BH23" i="41"/>
  <c r="BC9" i="41"/>
  <c r="BI23" i="41"/>
  <c r="BD9" i="41"/>
  <c r="BJ23" i="41"/>
  <c r="BE9" i="41"/>
  <c r="BK23" i="41"/>
  <c r="BF9" i="41"/>
  <c r="BL23" i="41"/>
  <c r="BG9" i="41"/>
  <c r="BM23" i="41"/>
  <c r="BH9" i="41"/>
  <c r="BN23" i="41"/>
  <c r="AP23" i="41"/>
  <c r="AK10" i="41"/>
  <c r="AQ24" i="41"/>
  <c r="AL10" i="41"/>
  <c r="AR24" i="41"/>
  <c r="AM10" i="41"/>
  <c r="AS24" i="41"/>
  <c r="AN10" i="41"/>
  <c r="AT24" i="41"/>
  <c r="AO10" i="41"/>
  <c r="AU24" i="41"/>
  <c r="AP10" i="41"/>
  <c r="AV24" i="41"/>
  <c r="AQ10" i="41"/>
  <c r="AW24" i="41"/>
  <c r="AR10" i="41"/>
  <c r="AX24" i="41"/>
  <c r="AS10" i="41"/>
  <c r="AY24" i="41"/>
  <c r="AT10" i="41"/>
  <c r="AZ24" i="41"/>
  <c r="AU10" i="41"/>
  <c r="BA24" i="41"/>
  <c r="AV10" i="41"/>
  <c r="BB24" i="41"/>
  <c r="AW10" i="41"/>
  <c r="BC24" i="41"/>
  <c r="AX10" i="41"/>
  <c r="BD24" i="41"/>
  <c r="AY10" i="41"/>
  <c r="BE24" i="41"/>
  <c r="AZ10" i="41"/>
  <c r="BF24" i="41"/>
  <c r="BA10" i="41"/>
  <c r="BG24" i="41"/>
  <c r="BB10" i="41"/>
  <c r="BH24" i="41"/>
  <c r="BC10" i="41"/>
  <c r="BI24" i="41"/>
  <c r="BD10" i="41"/>
  <c r="BJ24" i="41"/>
  <c r="BE10" i="41"/>
  <c r="BK24" i="41"/>
  <c r="BF10" i="41"/>
  <c r="BL24" i="41"/>
  <c r="BG10" i="41"/>
  <c r="BM24" i="41"/>
  <c r="BH10" i="41"/>
  <c r="BN24" i="41"/>
  <c r="AP24" i="41"/>
  <c r="AK11" i="41"/>
  <c r="AQ25" i="41"/>
  <c r="AL11" i="41"/>
  <c r="AR25" i="41"/>
  <c r="AM11" i="41"/>
  <c r="AS25" i="41"/>
  <c r="AN11" i="41"/>
  <c r="AT25" i="41"/>
  <c r="AO11" i="41"/>
  <c r="AU25" i="41"/>
  <c r="AP11" i="41"/>
  <c r="AV25" i="41"/>
  <c r="AQ11" i="41"/>
  <c r="AW25" i="41"/>
  <c r="AR11" i="41"/>
  <c r="AX25" i="41"/>
  <c r="AS11" i="41"/>
  <c r="AY25" i="41"/>
  <c r="AT11" i="41"/>
  <c r="AZ25" i="41"/>
  <c r="AU11" i="41"/>
  <c r="BA25" i="41"/>
  <c r="AV11" i="41"/>
  <c r="BB25" i="41"/>
  <c r="AW11" i="41"/>
  <c r="BC25" i="41"/>
  <c r="AX11" i="41"/>
  <c r="BD25" i="41"/>
  <c r="AY11" i="41"/>
  <c r="BE25" i="41"/>
  <c r="AZ11" i="41"/>
  <c r="BF25" i="41"/>
  <c r="BA11" i="41"/>
  <c r="BG25" i="41"/>
  <c r="BB11" i="41"/>
  <c r="BH25" i="41"/>
  <c r="BC11" i="41"/>
  <c r="BI25" i="41"/>
  <c r="BD11" i="41"/>
  <c r="BJ25" i="41"/>
  <c r="BE11" i="41"/>
  <c r="BK25" i="41"/>
  <c r="BF11" i="41"/>
  <c r="BL25" i="41"/>
  <c r="BG11" i="41"/>
  <c r="BM25" i="41"/>
  <c r="BH11" i="41"/>
  <c r="BN25" i="41"/>
  <c r="AP25" i="41"/>
  <c r="AK12" i="41"/>
  <c r="AQ26" i="41"/>
  <c r="AL12" i="41"/>
  <c r="AR26" i="41"/>
  <c r="AM12" i="41"/>
  <c r="AS26" i="41"/>
  <c r="AN12" i="41"/>
  <c r="AT26" i="41"/>
  <c r="AO12" i="41"/>
  <c r="AU26" i="41"/>
  <c r="AP12" i="41"/>
  <c r="AV26" i="41"/>
  <c r="AQ12" i="41"/>
  <c r="AW26" i="41"/>
  <c r="AR12" i="41"/>
  <c r="AX26" i="41"/>
  <c r="AS12" i="41"/>
  <c r="AY26" i="41"/>
  <c r="AT12" i="41"/>
  <c r="AZ26" i="41"/>
  <c r="AU12" i="41"/>
  <c r="BA26" i="41"/>
  <c r="AV12" i="41"/>
  <c r="BB26" i="41"/>
  <c r="AW12" i="41"/>
  <c r="BC26" i="41"/>
  <c r="AX12" i="41"/>
  <c r="BD26" i="41"/>
  <c r="AY12" i="41"/>
  <c r="BE26" i="41"/>
  <c r="AZ12" i="41"/>
  <c r="BF26" i="41"/>
  <c r="BA12" i="41"/>
  <c r="BG26" i="41"/>
  <c r="BB12" i="41"/>
  <c r="BH26" i="41"/>
  <c r="BC12" i="41"/>
  <c r="BI26" i="41"/>
  <c r="BD12" i="41"/>
  <c r="BJ26" i="41"/>
  <c r="BE12" i="41"/>
  <c r="BK26" i="41"/>
  <c r="BF12" i="41"/>
  <c r="BL26" i="41"/>
  <c r="BG12" i="41"/>
  <c r="BM26" i="41"/>
  <c r="BH12" i="41"/>
  <c r="BN26" i="41"/>
  <c r="AP26" i="41"/>
  <c r="AK13" i="41"/>
  <c r="AQ27" i="41"/>
  <c r="AL13" i="41"/>
  <c r="AR27" i="41"/>
  <c r="AM13" i="41"/>
  <c r="AS27" i="41"/>
  <c r="AN13" i="41"/>
  <c r="AT27" i="41"/>
  <c r="AO13" i="41"/>
  <c r="AU27" i="41"/>
  <c r="AP13" i="41"/>
  <c r="AV27" i="41"/>
  <c r="AQ13" i="41"/>
  <c r="AW27" i="41"/>
  <c r="AR13" i="41"/>
  <c r="AX27" i="41"/>
  <c r="AS13" i="41"/>
  <c r="AY27" i="41"/>
  <c r="AT13" i="41"/>
  <c r="AZ27" i="41"/>
  <c r="AU13" i="41"/>
  <c r="BA27" i="41"/>
  <c r="AV13" i="41"/>
  <c r="BB27" i="41"/>
  <c r="AW13" i="41"/>
  <c r="BC27" i="41"/>
  <c r="AX13" i="41"/>
  <c r="BD27" i="41"/>
  <c r="AY13" i="41"/>
  <c r="BE27" i="41"/>
  <c r="AZ13" i="41"/>
  <c r="BF27" i="41"/>
  <c r="BA13" i="41"/>
  <c r="BG27" i="41"/>
  <c r="BB13" i="41"/>
  <c r="BH27" i="41"/>
  <c r="BC13" i="41"/>
  <c r="BI27" i="41"/>
  <c r="BD13" i="41"/>
  <c r="BJ27" i="41"/>
  <c r="BE13" i="41"/>
  <c r="BK27" i="41"/>
  <c r="BF13" i="41"/>
  <c r="BL27" i="41"/>
  <c r="BG13" i="41"/>
  <c r="BM27" i="41"/>
  <c r="BH13" i="41"/>
  <c r="BN27" i="41"/>
  <c r="AP27" i="41"/>
  <c r="AP28" i="41"/>
  <c r="AN16" i="41"/>
  <c r="AN17" i="41"/>
  <c r="AN18" i="41"/>
  <c r="AN19" i="41"/>
  <c r="AN20" i="41"/>
  <c r="AN21" i="41"/>
  <c r="AN22" i="41"/>
  <c r="AN23" i="41"/>
  <c r="AN24" i="41"/>
  <c r="AN25" i="41"/>
  <c r="AN26" i="41"/>
  <c r="AN27" i="41"/>
  <c r="AN28" i="41"/>
  <c r="AM16" i="41"/>
  <c r="AM17" i="41"/>
  <c r="AM18" i="41"/>
  <c r="AM19" i="41"/>
  <c r="AM20" i="41"/>
  <c r="AM21" i="41"/>
  <c r="AM22" i="41"/>
  <c r="AM23" i="41"/>
  <c r="AM24" i="41"/>
  <c r="AM25" i="41"/>
  <c r="AM26" i="41"/>
  <c r="AM27" i="41"/>
  <c r="AM28" i="41"/>
  <c r="AL16" i="41"/>
  <c r="AL17" i="41"/>
  <c r="AL18" i="41"/>
  <c r="AL19" i="41"/>
  <c r="AL20" i="41"/>
  <c r="AL21" i="41"/>
  <c r="AL22" i="41"/>
  <c r="AL23" i="41"/>
  <c r="AL24" i="41"/>
  <c r="AL25" i="41"/>
  <c r="AL26" i="41"/>
  <c r="AL27" i="41"/>
  <c r="AL28" i="41"/>
  <c r="AK16" i="41"/>
  <c r="AK17" i="41"/>
  <c r="AK18" i="41"/>
  <c r="AK19" i="41"/>
  <c r="AK20" i="41"/>
  <c r="AK21" i="41"/>
  <c r="AK22" i="41"/>
  <c r="AK23" i="41"/>
  <c r="AK24" i="41"/>
  <c r="AK25" i="41"/>
  <c r="AK26" i="41"/>
  <c r="AK27" i="41"/>
  <c r="AK28" i="41"/>
  <c r="Z2" i="41"/>
  <c r="AA2" i="41"/>
  <c r="AB2" i="41"/>
  <c r="AC2" i="41"/>
  <c r="AA16" i="41"/>
  <c r="Z3" i="41"/>
  <c r="AA3" i="41"/>
  <c r="AB3" i="41"/>
  <c r="AC3" i="41"/>
  <c r="AA17" i="41"/>
  <c r="Z4" i="41"/>
  <c r="AA4" i="41"/>
  <c r="AB4" i="41"/>
  <c r="AC4" i="41"/>
  <c r="AA18" i="41"/>
  <c r="Z5" i="41"/>
  <c r="AA5" i="41"/>
  <c r="AB5" i="41"/>
  <c r="AC5" i="41"/>
  <c r="AA19" i="41"/>
  <c r="Z6" i="41"/>
  <c r="AA6" i="41"/>
  <c r="AB6" i="41"/>
  <c r="AC6" i="41"/>
  <c r="AA20" i="41"/>
  <c r="Z7" i="41"/>
  <c r="AA7" i="41"/>
  <c r="AB7" i="41"/>
  <c r="AC7" i="41"/>
  <c r="AA21" i="41"/>
  <c r="Z8" i="41"/>
  <c r="AA8" i="41"/>
  <c r="AB8" i="41"/>
  <c r="AC8" i="41"/>
  <c r="AA22" i="41"/>
  <c r="Z9" i="41"/>
  <c r="AA9" i="41"/>
  <c r="AB9" i="41"/>
  <c r="AC9" i="41"/>
  <c r="AA23" i="41"/>
  <c r="Z10" i="41"/>
  <c r="AA10" i="41"/>
  <c r="AB10" i="41"/>
  <c r="AC10" i="41"/>
  <c r="AA24" i="41"/>
  <c r="Z11" i="41"/>
  <c r="AA11" i="41"/>
  <c r="AB11" i="41"/>
  <c r="AC11" i="41"/>
  <c r="AA25" i="41"/>
  <c r="Z12" i="41"/>
  <c r="AA12" i="41"/>
  <c r="AB12" i="41"/>
  <c r="AC12" i="41"/>
  <c r="AA26" i="41"/>
  <c r="Z13" i="41"/>
  <c r="AA13" i="41"/>
  <c r="AB13" i="41"/>
  <c r="AC13" i="41"/>
  <c r="AA27" i="41"/>
  <c r="AA28" i="41"/>
  <c r="Z16" i="41"/>
  <c r="Z17" i="41"/>
  <c r="Z18" i="41"/>
  <c r="Z19" i="41"/>
  <c r="Z20" i="41"/>
  <c r="Z21" i="41"/>
  <c r="Z22" i="41"/>
  <c r="Z23" i="41"/>
  <c r="Z24" i="41"/>
  <c r="Z25" i="41"/>
  <c r="Z26" i="41"/>
  <c r="Z27" i="41"/>
  <c r="Z28" i="41"/>
  <c r="S28" i="41"/>
  <c r="R28" i="41"/>
  <c r="Q28" i="41"/>
  <c r="P28" i="41"/>
  <c r="N28" i="41"/>
  <c r="M28" i="41"/>
  <c r="L28" i="41"/>
  <c r="K28" i="41"/>
  <c r="D27" i="41"/>
  <c r="G26" i="41"/>
  <c r="N25" i="41"/>
  <c r="M25" i="41"/>
  <c r="L25" i="41"/>
  <c r="K25" i="41"/>
  <c r="D25" i="41"/>
  <c r="G24" i="41"/>
  <c r="H16" i="41"/>
  <c r="D23" i="41"/>
  <c r="G22" i="41"/>
  <c r="G16" i="41"/>
  <c r="D21" i="41"/>
  <c r="G20" i="41"/>
  <c r="M19" i="41"/>
  <c r="W16" i="41"/>
  <c r="V16" i="41"/>
  <c r="U16" i="41"/>
  <c r="E50" i="40"/>
  <c r="A50" i="40"/>
  <c r="E49" i="40"/>
  <c r="A49" i="40"/>
  <c r="E48" i="40"/>
  <c r="A48" i="40"/>
  <c r="E47" i="40"/>
  <c r="A47" i="40"/>
  <c r="E46" i="40"/>
  <c r="A46" i="40"/>
  <c r="E45" i="40"/>
  <c r="A45" i="40"/>
  <c r="E44" i="40"/>
  <c r="A44" i="40"/>
  <c r="E43" i="40"/>
  <c r="A43" i="40"/>
  <c r="X15" i="40"/>
  <c r="E42" i="40"/>
  <c r="A42" i="40"/>
  <c r="E41" i="40"/>
  <c r="AE18" i="40"/>
  <c r="A41" i="40"/>
  <c r="X13" i="40"/>
  <c r="E40" i="40"/>
  <c r="AE17" i="40"/>
  <c r="A40" i="40"/>
  <c r="X12" i="40"/>
  <c r="E39" i="40"/>
  <c r="AE16" i="40"/>
  <c r="A39" i="40"/>
  <c r="X11" i="40"/>
  <c r="X10" i="40"/>
  <c r="X9" i="40"/>
  <c r="X4" i="40"/>
  <c r="X5" i="40"/>
  <c r="X6" i="40"/>
  <c r="AE2" i="40"/>
  <c r="AF2" i="40"/>
  <c r="AG2" i="40"/>
  <c r="AH2" i="40"/>
  <c r="AI2" i="40"/>
  <c r="AG16" i="40"/>
  <c r="AE3" i="40"/>
  <c r="AF3" i="40"/>
  <c r="AG3" i="40"/>
  <c r="AH3" i="40"/>
  <c r="AI3" i="40"/>
  <c r="AG17" i="40"/>
  <c r="AE4" i="40"/>
  <c r="AF4" i="40"/>
  <c r="AG4" i="40"/>
  <c r="AH4" i="40"/>
  <c r="AI4" i="40"/>
  <c r="AG18" i="40"/>
  <c r="AE6" i="40"/>
  <c r="AF6" i="40"/>
  <c r="AG6" i="40"/>
  <c r="AH6" i="40"/>
  <c r="AI6" i="40"/>
  <c r="AG20" i="40"/>
  <c r="AE7" i="40"/>
  <c r="AF7" i="40"/>
  <c r="AG7" i="40"/>
  <c r="AH7" i="40"/>
  <c r="AI7" i="40"/>
  <c r="AG21" i="40"/>
  <c r="AE9" i="40"/>
  <c r="AF9" i="40"/>
  <c r="AG9" i="40"/>
  <c r="AH9" i="40"/>
  <c r="AI9" i="40"/>
  <c r="AG23" i="40"/>
  <c r="AE10" i="40"/>
  <c r="AF10" i="40"/>
  <c r="AG10" i="40"/>
  <c r="AH10" i="40"/>
  <c r="AI10" i="40"/>
  <c r="AG24" i="40"/>
  <c r="AE12" i="40"/>
  <c r="AF12" i="40"/>
  <c r="AG12" i="40"/>
  <c r="AH12" i="40"/>
  <c r="AI12" i="40"/>
  <c r="AG26" i="40"/>
  <c r="AE13" i="40"/>
  <c r="AF13" i="40"/>
  <c r="AG13" i="40"/>
  <c r="AH13" i="40"/>
  <c r="AI13" i="40"/>
  <c r="AG27" i="40"/>
  <c r="AF16" i="40"/>
  <c r="AF17" i="40"/>
  <c r="AF18" i="40"/>
  <c r="AF20" i="40"/>
  <c r="AF21" i="40"/>
  <c r="AF23" i="40"/>
  <c r="AF24" i="40"/>
  <c r="AF26" i="40"/>
  <c r="AF27" i="40"/>
  <c r="J29" i="40"/>
  <c r="I29" i="40"/>
  <c r="H29" i="40"/>
  <c r="G29" i="40"/>
  <c r="AK2" i="40"/>
  <c r="AQ16" i="40"/>
  <c r="AL2" i="40"/>
  <c r="AR16" i="40"/>
  <c r="AM2" i="40"/>
  <c r="AS16" i="40"/>
  <c r="AN2" i="40"/>
  <c r="AT16" i="40"/>
  <c r="AO2" i="40"/>
  <c r="AU16" i="40"/>
  <c r="AP2" i="40"/>
  <c r="AV16" i="40"/>
  <c r="AQ2" i="40"/>
  <c r="AW16" i="40"/>
  <c r="AR2" i="40"/>
  <c r="AX16" i="40"/>
  <c r="AS2" i="40"/>
  <c r="AY16" i="40"/>
  <c r="AT2" i="40"/>
  <c r="AZ16" i="40"/>
  <c r="AU2" i="40"/>
  <c r="BA16" i="40"/>
  <c r="AV2" i="40"/>
  <c r="BB16" i="40"/>
  <c r="AW2" i="40"/>
  <c r="BC16" i="40"/>
  <c r="AX2" i="40"/>
  <c r="BD16" i="40"/>
  <c r="AY2" i="40"/>
  <c r="BE16" i="40"/>
  <c r="AZ2" i="40"/>
  <c r="BF16" i="40"/>
  <c r="BA2" i="40"/>
  <c r="BG16" i="40"/>
  <c r="BB2" i="40"/>
  <c r="BH16" i="40"/>
  <c r="BC2" i="40"/>
  <c r="BI16" i="40"/>
  <c r="BD2" i="40"/>
  <c r="BJ16" i="40"/>
  <c r="BE2" i="40"/>
  <c r="BK16" i="40"/>
  <c r="BF2" i="40"/>
  <c r="BL16" i="40"/>
  <c r="BG2" i="40"/>
  <c r="BM16" i="40"/>
  <c r="BH2" i="40"/>
  <c r="BN16" i="40"/>
  <c r="AP16" i="40"/>
  <c r="AK3" i="40"/>
  <c r="AQ17" i="40"/>
  <c r="AL3" i="40"/>
  <c r="AR17" i="40"/>
  <c r="AM3" i="40"/>
  <c r="AS17" i="40"/>
  <c r="AN3" i="40"/>
  <c r="AT17" i="40"/>
  <c r="AO3" i="40"/>
  <c r="AU17" i="40"/>
  <c r="AP3" i="40"/>
  <c r="AV17" i="40"/>
  <c r="AQ3" i="40"/>
  <c r="AW17" i="40"/>
  <c r="AR3" i="40"/>
  <c r="AX17" i="40"/>
  <c r="AS3" i="40"/>
  <c r="AY17" i="40"/>
  <c r="AT3" i="40"/>
  <c r="AZ17" i="40"/>
  <c r="AU3" i="40"/>
  <c r="BA17" i="40"/>
  <c r="AV3" i="40"/>
  <c r="BB17" i="40"/>
  <c r="AW3" i="40"/>
  <c r="BC17" i="40"/>
  <c r="AX3" i="40"/>
  <c r="BD17" i="40"/>
  <c r="AY3" i="40"/>
  <c r="BE17" i="40"/>
  <c r="AZ3" i="40"/>
  <c r="BF17" i="40"/>
  <c r="BA3" i="40"/>
  <c r="BG17" i="40"/>
  <c r="BB3" i="40"/>
  <c r="BH17" i="40"/>
  <c r="BC3" i="40"/>
  <c r="BI17" i="40"/>
  <c r="BD3" i="40"/>
  <c r="BJ17" i="40"/>
  <c r="BE3" i="40"/>
  <c r="BK17" i="40"/>
  <c r="BF3" i="40"/>
  <c r="BL17" i="40"/>
  <c r="BG3" i="40"/>
  <c r="BM17" i="40"/>
  <c r="BH3" i="40"/>
  <c r="BN17" i="40"/>
  <c r="AP17" i="40"/>
  <c r="AK4" i="40"/>
  <c r="AQ18" i="40"/>
  <c r="AL4" i="40"/>
  <c r="AR18" i="40"/>
  <c r="AM4" i="40"/>
  <c r="AS18" i="40"/>
  <c r="AN4" i="40"/>
  <c r="AT18" i="40"/>
  <c r="AO4" i="40"/>
  <c r="AU18" i="40"/>
  <c r="AP4" i="40"/>
  <c r="AV18" i="40"/>
  <c r="AQ4" i="40"/>
  <c r="AW18" i="40"/>
  <c r="AR4" i="40"/>
  <c r="AX18" i="40"/>
  <c r="AS4" i="40"/>
  <c r="AY18" i="40"/>
  <c r="AT4" i="40"/>
  <c r="AZ18" i="40"/>
  <c r="AU4" i="40"/>
  <c r="BA18" i="40"/>
  <c r="AV4" i="40"/>
  <c r="BB18" i="40"/>
  <c r="AW4" i="40"/>
  <c r="BC18" i="40"/>
  <c r="AX4" i="40"/>
  <c r="BD18" i="40"/>
  <c r="AY4" i="40"/>
  <c r="BE18" i="40"/>
  <c r="AZ4" i="40"/>
  <c r="BF18" i="40"/>
  <c r="BA4" i="40"/>
  <c r="BG18" i="40"/>
  <c r="BB4" i="40"/>
  <c r="BH18" i="40"/>
  <c r="BC4" i="40"/>
  <c r="BI18" i="40"/>
  <c r="BD4" i="40"/>
  <c r="BJ18" i="40"/>
  <c r="BE4" i="40"/>
  <c r="BK18" i="40"/>
  <c r="BF4" i="40"/>
  <c r="BL18" i="40"/>
  <c r="BG4" i="40"/>
  <c r="BM18" i="40"/>
  <c r="BH4" i="40"/>
  <c r="BN18" i="40"/>
  <c r="AP18" i="40"/>
  <c r="AK5" i="40"/>
  <c r="AQ19" i="40"/>
  <c r="AL5" i="40"/>
  <c r="AR19" i="40"/>
  <c r="AM5" i="40"/>
  <c r="AS19" i="40"/>
  <c r="AN5" i="40"/>
  <c r="AT19" i="40"/>
  <c r="AO5" i="40"/>
  <c r="AU19" i="40"/>
  <c r="AP5" i="40"/>
  <c r="AV19" i="40"/>
  <c r="AQ5" i="40"/>
  <c r="AW19" i="40"/>
  <c r="AR5" i="40"/>
  <c r="AX19" i="40"/>
  <c r="AS5" i="40"/>
  <c r="AY19" i="40"/>
  <c r="AT5" i="40"/>
  <c r="AZ19" i="40"/>
  <c r="AU5" i="40"/>
  <c r="BA19" i="40"/>
  <c r="AV5" i="40"/>
  <c r="BB19" i="40"/>
  <c r="AW5" i="40"/>
  <c r="BC19" i="40"/>
  <c r="AX5" i="40"/>
  <c r="BD19" i="40"/>
  <c r="AY5" i="40"/>
  <c r="BE19" i="40"/>
  <c r="AZ5" i="40"/>
  <c r="BF19" i="40"/>
  <c r="BA5" i="40"/>
  <c r="BG19" i="40"/>
  <c r="BB5" i="40"/>
  <c r="BH19" i="40"/>
  <c r="BC5" i="40"/>
  <c r="BI19" i="40"/>
  <c r="BD5" i="40"/>
  <c r="BJ19" i="40"/>
  <c r="BE5" i="40"/>
  <c r="BK19" i="40"/>
  <c r="BF5" i="40"/>
  <c r="BL19" i="40"/>
  <c r="BG5" i="40"/>
  <c r="BM19" i="40"/>
  <c r="BH5" i="40"/>
  <c r="BN19" i="40"/>
  <c r="AP19" i="40"/>
  <c r="AK6" i="40"/>
  <c r="AQ20" i="40"/>
  <c r="AL6" i="40"/>
  <c r="AR20" i="40"/>
  <c r="AM6" i="40"/>
  <c r="AS20" i="40"/>
  <c r="AN6" i="40"/>
  <c r="AT20" i="40"/>
  <c r="AO6" i="40"/>
  <c r="AU20" i="40"/>
  <c r="AP6" i="40"/>
  <c r="AV20" i="40"/>
  <c r="AQ6" i="40"/>
  <c r="AW20" i="40"/>
  <c r="AR6" i="40"/>
  <c r="AX20" i="40"/>
  <c r="AS6" i="40"/>
  <c r="AY20" i="40"/>
  <c r="AT6" i="40"/>
  <c r="AZ20" i="40"/>
  <c r="AU6" i="40"/>
  <c r="BA20" i="40"/>
  <c r="AV6" i="40"/>
  <c r="BB20" i="40"/>
  <c r="AW6" i="40"/>
  <c r="BC20" i="40"/>
  <c r="AX6" i="40"/>
  <c r="BD20" i="40"/>
  <c r="AY6" i="40"/>
  <c r="BE20" i="40"/>
  <c r="AZ6" i="40"/>
  <c r="BF20" i="40"/>
  <c r="BA6" i="40"/>
  <c r="BG20" i="40"/>
  <c r="BB6" i="40"/>
  <c r="BH20" i="40"/>
  <c r="BC6" i="40"/>
  <c r="BI20" i="40"/>
  <c r="BD6" i="40"/>
  <c r="BJ20" i="40"/>
  <c r="BE6" i="40"/>
  <c r="BK20" i="40"/>
  <c r="BF6" i="40"/>
  <c r="BL20" i="40"/>
  <c r="BG6" i="40"/>
  <c r="BM20" i="40"/>
  <c r="BH6" i="40"/>
  <c r="BN20" i="40"/>
  <c r="AP20" i="40"/>
  <c r="AK7" i="40"/>
  <c r="AQ21" i="40"/>
  <c r="AL7" i="40"/>
  <c r="AR21" i="40"/>
  <c r="AM7" i="40"/>
  <c r="AS21" i="40"/>
  <c r="AN7" i="40"/>
  <c r="AT21" i="40"/>
  <c r="AO7" i="40"/>
  <c r="AU21" i="40"/>
  <c r="AP7" i="40"/>
  <c r="AV21" i="40"/>
  <c r="AQ7" i="40"/>
  <c r="AW21" i="40"/>
  <c r="AR7" i="40"/>
  <c r="AX21" i="40"/>
  <c r="AS7" i="40"/>
  <c r="AY21" i="40"/>
  <c r="AT7" i="40"/>
  <c r="AZ21" i="40"/>
  <c r="AU7" i="40"/>
  <c r="BA21" i="40"/>
  <c r="AV7" i="40"/>
  <c r="BB21" i="40"/>
  <c r="AW7" i="40"/>
  <c r="BC21" i="40"/>
  <c r="AX7" i="40"/>
  <c r="BD21" i="40"/>
  <c r="AY7" i="40"/>
  <c r="BE21" i="40"/>
  <c r="AZ7" i="40"/>
  <c r="BF21" i="40"/>
  <c r="BA7" i="40"/>
  <c r="BG21" i="40"/>
  <c r="BB7" i="40"/>
  <c r="BH21" i="40"/>
  <c r="BC7" i="40"/>
  <c r="BI21" i="40"/>
  <c r="BD7" i="40"/>
  <c r="BJ21" i="40"/>
  <c r="BE7" i="40"/>
  <c r="BK21" i="40"/>
  <c r="BF7" i="40"/>
  <c r="BL21" i="40"/>
  <c r="BG7" i="40"/>
  <c r="BM21" i="40"/>
  <c r="BH7" i="40"/>
  <c r="BN21" i="40"/>
  <c r="AP21" i="40"/>
  <c r="AK8" i="40"/>
  <c r="AQ22" i="40"/>
  <c r="AL8" i="40"/>
  <c r="AR22" i="40"/>
  <c r="AM8" i="40"/>
  <c r="AS22" i="40"/>
  <c r="AN8" i="40"/>
  <c r="AT22" i="40"/>
  <c r="AO8" i="40"/>
  <c r="AU22" i="40"/>
  <c r="AP8" i="40"/>
  <c r="AV22" i="40"/>
  <c r="AQ8" i="40"/>
  <c r="AW22" i="40"/>
  <c r="AR8" i="40"/>
  <c r="AX22" i="40"/>
  <c r="AS8" i="40"/>
  <c r="AY22" i="40"/>
  <c r="AT8" i="40"/>
  <c r="AZ22" i="40"/>
  <c r="AU8" i="40"/>
  <c r="BA22" i="40"/>
  <c r="AV8" i="40"/>
  <c r="BB22" i="40"/>
  <c r="AW8" i="40"/>
  <c r="BC22" i="40"/>
  <c r="AX8" i="40"/>
  <c r="BD22" i="40"/>
  <c r="AY8" i="40"/>
  <c r="BE22" i="40"/>
  <c r="AZ8" i="40"/>
  <c r="BF22" i="40"/>
  <c r="BA8" i="40"/>
  <c r="BG22" i="40"/>
  <c r="BB8" i="40"/>
  <c r="BH22" i="40"/>
  <c r="BC8" i="40"/>
  <c r="BI22" i="40"/>
  <c r="BD8" i="40"/>
  <c r="BJ22" i="40"/>
  <c r="BE8" i="40"/>
  <c r="BK22" i="40"/>
  <c r="BF8" i="40"/>
  <c r="BL22" i="40"/>
  <c r="BG8" i="40"/>
  <c r="BM22" i="40"/>
  <c r="BH8" i="40"/>
  <c r="BN22" i="40"/>
  <c r="AP22" i="40"/>
  <c r="AK9" i="40"/>
  <c r="AQ23" i="40"/>
  <c r="AL9" i="40"/>
  <c r="AR23" i="40"/>
  <c r="AM9" i="40"/>
  <c r="AS23" i="40"/>
  <c r="AN9" i="40"/>
  <c r="AT23" i="40"/>
  <c r="AO9" i="40"/>
  <c r="AU23" i="40"/>
  <c r="AP9" i="40"/>
  <c r="AV23" i="40"/>
  <c r="AQ9" i="40"/>
  <c r="AW23" i="40"/>
  <c r="AR9" i="40"/>
  <c r="AX23" i="40"/>
  <c r="AS9" i="40"/>
  <c r="AY23" i="40"/>
  <c r="AT9" i="40"/>
  <c r="AZ23" i="40"/>
  <c r="AU9" i="40"/>
  <c r="BA23" i="40"/>
  <c r="AV9" i="40"/>
  <c r="BB23" i="40"/>
  <c r="AW9" i="40"/>
  <c r="BC23" i="40"/>
  <c r="AX9" i="40"/>
  <c r="BD23" i="40"/>
  <c r="AY9" i="40"/>
  <c r="BE23" i="40"/>
  <c r="AZ9" i="40"/>
  <c r="BF23" i="40"/>
  <c r="BA9" i="40"/>
  <c r="BG23" i="40"/>
  <c r="BB9" i="40"/>
  <c r="BH23" i="40"/>
  <c r="BC9" i="40"/>
  <c r="BI23" i="40"/>
  <c r="BD9" i="40"/>
  <c r="BJ23" i="40"/>
  <c r="BE9" i="40"/>
  <c r="BK23" i="40"/>
  <c r="BF9" i="40"/>
  <c r="BL23" i="40"/>
  <c r="BG9" i="40"/>
  <c r="BM23" i="40"/>
  <c r="BH9" i="40"/>
  <c r="BN23" i="40"/>
  <c r="AP23" i="40"/>
  <c r="AK10" i="40"/>
  <c r="AQ24" i="40"/>
  <c r="AL10" i="40"/>
  <c r="AR24" i="40"/>
  <c r="AM10" i="40"/>
  <c r="AS24" i="40"/>
  <c r="AN10" i="40"/>
  <c r="AT24" i="40"/>
  <c r="AO10" i="40"/>
  <c r="AU24" i="40"/>
  <c r="AP10" i="40"/>
  <c r="AV24" i="40"/>
  <c r="AQ10" i="40"/>
  <c r="AW24" i="40"/>
  <c r="AR10" i="40"/>
  <c r="AX24" i="40"/>
  <c r="AS10" i="40"/>
  <c r="AY24" i="40"/>
  <c r="AT10" i="40"/>
  <c r="AZ24" i="40"/>
  <c r="AU10" i="40"/>
  <c r="BA24" i="40"/>
  <c r="AV10" i="40"/>
  <c r="BB24" i="40"/>
  <c r="AW10" i="40"/>
  <c r="BC24" i="40"/>
  <c r="AX10" i="40"/>
  <c r="BD24" i="40"/>
  <c r="AY10" i="40"/>
  <c r="BE24" i="40"/>
  <c r="AZ10" i="40"/>
  <c r="BF24" i="40"/>
  <c r="BA10" i="40"/>
  <c r="BG24" i="40"/>
  <c r="BB10" i="40"/>
  <c r="BH24" i="40"/>
  <c r="BC10" i="40"/>
  <c r="BI24" i="40"/>
  <c r="BD10" i="40"/>
  <c r="BJ24" i="40"/>
  <c r="BE10" i="40"/>
  <c r="BK24" i="40"/>
  <c r="BF10" i="40"/>
  <c r="BL24" i="40"/>
  <c r="BG10" i="40"/>
  <c r="BM24" i="40"/>
  <c r="BH10" i="40"/>
  <c r="BN24" i="40"/>
  <c r="AP24" i="40"/>
  <c r="AK11" i="40"/>
  <c r="AQ25" i="40"/>
  <c r="AL11" i="40"/>
  <c r="AR25" i="40"/>
  <c r="AM11" i="40"/>
  <c r="AS25" i="40"/>
  <c r="AN11" i="40"/>
  <c r="AT25" i="40"/>
  <c r="AO11" i="40"/>
  <c r="AU25" i="40"/>
  <c r="AP11" i="40"/>
  <c r="AV25" i="40"/>
  <c r="AQ11" i="40"/>
  <c r="AW25" i="40"/>
  <c r="AR11" i="40"/>
  <c r="AX25" i="40"/>
  <c r="AS11" i="40"/>
  <c r="AY25" i="40"/>
  <c r="AT11" i="40"/>
  <c r="AZ25" i="40"/>
  <c r="AU11" i="40"/>
  <c r="BA25" i="40"/>
  <c r="AV11" i="40"/>
  <c r="BB25" i="40"/>
  <c r="AW11" i="40"/>
  <c r="BC25" i="40"/>
  <c r="AX11" i="40"/>
  <c r="BD25" i="40"/>
  <c r="AY11" i="40"/>
  <c r="BE25" i="40"/>
  <c r="AZ11" i="40"/>
  <c r="BF25" i="40"/>
  <c r="BA11" i="40"/>
  <c r="BG25" i="40"/>
  <c r="BB11" i="40"/>
  <c r="BH25" i="40"/>
  <c r="BC11" i="40"/>
  <c r="BI25" i="40"/>
  <c r="BD11" i="40"/>
  <c r="BJ25" i="40"/>
  <c r="BE11" i="40"/>
  <c r="BK25" i="40"/>
  <c r="BF11" i="40"/>
  <c r="BL25" i="40"/>
  <c r="BG11" i="40"/>
  <c r="BM25" i="40"/>
  <c r="BH11" i="40"/>
  <c r="BN25" i="40"/>
  <c r="AP25" i="40"/>
  <c r="AK12" i="40"/>
  <c r="AQ26" i="40"/>
  <c r="AL12" i="40"/>
  <c r="AR26" i="40"/>
  <c r="AM12" i="40"/>
  <c r="AS26" i="40"/>
  <c r="AN12" i="40"/>
  <c r="AT26" i="40"/>
  <c r="AO12" i="40"/>
  <c r="AU26" i="40"/>
  <c r="AP12" i="40"/>
  <c r="AV26" i="40"/>
  <c r="AQ12" i="40"/>
  <c r="AW26" i="40"/>
  <c r="AR12" i="40"/>
  <c r="AX26" i="40"/>
  <c r="AS12" i="40"/>
  <c r="AY26" i="40"/>
  <c r="AT12" i="40"/>
  <c r="AZ26" i="40"/>
  <c r="AU12" i="40"/>
  <c r="BA26" i="40"/>
  <c r="AV12" i="40"/>
  <c r="BB26" i="40"/>
  <c r="AW12" i="40"/>
  <c r="BC26" i="40"/>
  <c r="AX12" i="40"/>
  <c r="BD26" i="40"/>
  <c r="AY12" i="40"/>
  <c r="BE26" i="40"/>
  <c r="AZ12" i="40"/>
  <c r="BF26" i="40"/>
  <c r="BA12" i="40"/>
  <c r="BG26" i="40"/>
  <c r="BB12" i="40"/>
  <c r="BH26" i="40"/>
  <c r="BC12" i="40"/>
  <c r="BI26" i="40"/>
  <c r="BD12" i="40"/>
  <c r="BJ26" i="40"/>
  <c r="BE12" i="40"/>
  <c r="BK26" i="40"/>
  <c r="BF12" i="40"/>
  <c r="BL26" i="40"/>
  <c r="BG12" i="40"/>
  <c r="BM26" i="40"/>
  <c r="BH12" i="40"/>
  <c r="BN26" i="40"/>
  <c r="AP26" i="40"/>
  <c r="AK13" i="40"/>
  <c r="AQ27" i="40"/>
  <c r="AL13" i="40"/>
  <c r="AR27" i="40"/>
  <c r="AM13" i="40"/>
  <c r="AS27" i="40"/>
  <c r="AN13" i="40"/>
  <c r="AT27" i="40"/>
  <c r="AO13" i="40"/>
  <c r="AU27" i="40"/>
  <c r="AP13" i="40"/>
  <c r="AV27" i="40"/>
  <c r="AQ13" i="40"/>
  <c r="AW27" i="40"/>
  <c r="AR13" i="40"/>
  <c r="AX27" i="40"/>
  <c r="AS13" i="40"/>
  <c r="AY27" i="40"/>
  <c r="AT13" i="40"/>
  <c r="AZ27" i="40"/>
  <c r="AU13" i="40"/>
  <c r="BA27" i="40"/>
  <c r="AV13" i="40"/>
  <c r="BB27" i="40"/>
  <c r="AW13" i="40"/>
  <c r="BC27" i="40"/>
  <c r="AX13" i="40"/>
  <c r="BD27" i="40"/>
  <c r="AY13" i="40"/>
  <c r="BE27" i="40"/>
  <c r="AZ13" i="40"/>
  <c r="BF27" i="40"/>
  <c r="BA13" i="40"/>
  <c r="BG27" i="40"/>
  <c r="BB13" i="40"/>
  <c r="BH27" i="40"/>
  <c r="BC13" i="40"/>
  <c r="BI27" i="40"/>
  <c r="BD13" i="40"/>
  <c r="BJ27" i="40"/>
  <c r="BE13" i="40"/>
  <c r="BK27" i="40"/>
  <c r="BF13" i="40"/>
  <c r="BL27" i="40"/>
  <c r="BG13" i="40"/>
  <c r="BM27" i="40"/>
  <c r="BH13" i="40"/>
  <c r="BN27" i="40"/>
  <c r="AP27" i="40"/>
  <c r="AP28" i="40"/>
  <c r="AN16" i="40"/>
  <c r="AN17" i="40"/>
  <c r="AN18" i="40"/>
  <c r="AN19" i="40"/>
  <c r="AN20" i="40"/>
  <c r="AN21" i="40"/>
  <c r="AN22" i="40"/>
  <c r="AN23" i="40"/>
  <c r="AN24" i="40"/>
  <c r="AN25" i="40"/>
  <c r="AN26" i="40"/>
  <c r="AN27" i="40"/>
  <c r="AN28" i="40"/>
  <c r="AM16" i="40"/>
  <c r="AM17" i="40"/>
  <c r="AM18" i="40"/>
  <c r="AM19" i="40"/>
  <c r="AM20" i="40"/>
  <c r="AM21" i="40"/>
  <c r="AM22" i="40"/>
  <c r="AM23" i="40"/>
  <c r="AM24" i="40"/>
  <c r="AM25" i="40"/>
  <c r="AM26" i="40"/>
  <c r="AM27" i="40"/>
  <c r="AM28" i="40"/>
  <c r="AL16" i="40"/>
  <c r="AL17" i="40"/>
  <c r="AL18" i="40"/>
  <c r="AL19" i="40"/>
  <c r="AL20" i="40"/>
  <c r="AL21" i="40"/>
  <c r="AL22" i="40"/>
  <c r="AL23" i="40"/>
  <c r="AL24" i="40"/>
  <c r="AL25" i="40"/>
  <c r="AL26" i="40"/>
  <c r="AL27" i="40"/>
  <c r="AL28" i="40"/>
  <c r="AK16" i="40"/>
  <c r="AK17" i="40"/>
  <c r="AK18" i="40"/>
  <c r="AK19" i="40"/>
  <c r="AK20" i="40"/>
  <c r="AK21" i="40"/>
  <c r="AK22" i="40"/>
  <c r="AK23" i="40"/>
  <c r="AK24" i="40"/>
  <c r="AK25" i="40"/>
  <c r="AK26" i="40"/>
  <c r="AK27" i="40"/>
  <c r="AK28" i="40"/>
  <c r="Z2" i="40"/>
  <c r="AA2" i="40"/>
  <c r="AB2" i="40"/>
  <c r="AC2" i="40"/>
  <c r="AA16" i="40"/>
  <c r="Z3" i="40"/>
  <c r="AA3" i="40"/>
  <c r="AB3" i="40"/>
  <c r="AC3" i="40"/>
  <c r="AA17" i="40"/>
  <c r="Z4" i="40"/>
  <c r="AA4" i="40"/>
  <c r="AB4" i="40"/>
  <c r="AC4" i="40"/>
  <c r="AA18" i="40"/>
  <c r="Z5" i="40"/>
  <c r="AA5" i="40"/>
  <c r="AB5" i="40"/>
  <c r="AC5" i="40"/>
  <c r="AA19" i="40"/>
  <c r="Z6" i="40"/>
  <c r="AA6" i="40"/>
  <c r="AB6" i="40"/>
  <c r="AC6" i="40"/>
  <c r="AA20" i="40"/>
  <c r="Z7" i="40"/>
  <c r="AA7" i="40"/>
  <c r="AB7" i="40"/>
  <c r="AC7" i="40"/>
  <c r="AA21" i="40"/>
  <c r="Z8" i="40"/>
  <c r="AA8" i="40"/>
  <c r="AB8" i="40"/>
  <c r="AC8" i="40"/>
  <c r="AA22" i="40"/>
  <c r="Z9" i="40"/>
  <c r="AA9" i="40"/>
  <c r="AB9" i="40"/>
  <c r="AC9" i="40"/>
  <c r="AA23" i="40"/>
  <c r="Z10" i="40"/>
  <c r="AA10" i="40"/>
  <c r="AB10" i="40"/>
  <c r="AC10" i="40"/>
  <c r="AA24" i="40"/>
  <c r="Z11" i="40"/>
  <c r="AA11" i="40"/>
  <c r="AB11" i="40"/>
  <c r="AC11" i="40"/>
  <c r="AA25" i="40"/>
  <c r="Z12" i="40"/>
  <c r="AA12" i="40"/>
  <c r="AB12" i="40"/>
  <c r="AC12" i="40"/>
  <c r="AA26" i="40"/>
  <c r="Z13" i="40"/>
  <c r="AA13" i="40"/>
  <c r="AB13" i="40"/>
  <c r="AC13" i="40"/>
  <c r="AA27" i="40"/>
  <c r="AA28" i="40"/>
  <c r="Z16" i="40"/>
  <c r="Z17" i="40"/>
  <c r="Z18" i="40"/>
  <c r="Z19" i="40"/>
  <c r="Z20" i="40"/>
  <c r="Z21" i="40"/>
  <c r="Z22" i="40"/>
  <c r="Z23" i="40"/>
  <c r="Z24" i="40"/>
  <c r="Z25" i="40"/>
  <c r="Z26" i="40"/>
  <c r="Z27" i="40"/>
  <c r="Z28" i="40"/>
  <c r="S28" i="40"/>
  <c r="R28" i="40"/>
  <c r="Q28" i="40"/>
  <c r="P28" i="40"/>
  <c r="N28" i="40"/>
  <c r="M28" i="40"/>
  <c r="L28" i="40"/>
  <c r="K28" i="40"/>
  <c r="D27" i="40"/>
  <c r="G26" i="40"/>
  <c r="N25" i="40"/>
  <c r="M25" i="40"/>
  <c r="L25" i="40"/>
  <c r="K25" i="40"/>
  <c r="D25" i="40"/>
  <c r="G24" i="40"/>
  <c r="H16" i="40"/>
  <c r="D23" i="40"/>
  <c r="G22" i="40"/>
  <c r="G16" i="40"/>
  <c r="D21" i="40"/>
  <c r="G20" i="40"/>
  <c r="M19" i="40"/>
  <c r="W16" i="40"/>
  <c r="V16" i="40"/>
  <c r="U16" i="40"/>
  <c r="E50" i="39"/>
  <c r="A50" i="39"/>
  <c r="E49" i="39"/>
  <c r="A49" i="39"/>
  <c r="E48" i="39"/>
  <c r="A48" i="39"/>
  <c r="E47" i="39"/>
  <c r="A47" i="39"/>
  <c r="E46" i="39"/>
  <c r="A46" i="39"/>
  <c r="E45" i="39"/>
  <c r="A45" i="39"/>
  <c r="E44" i="39"/>
  <c r="A44" i="39"/>
  <c r="E43" i="39"/>
  <c r="A43" i="39"/>
  <c r="E42" i="39"/>
  <c r="AE5" i="39"/>
  <c r="AF5" i="39"/>
  <c r="AG5" i="39"/>
  <c r="AH5" i="39"/>
  <c r="AI5" i="39"/>
  <c r="AE19" i="39"/>
  <c r="AF19" i="39"/>
  <c r="AG19" i="39"/>
  <c r="A42" i="39"/>
  <c r="X14" i="39"/>
  <c r="E41" i="39"/>
  <c r="AE18" i="39"/>
  <c r="A41" i="39"/>
  <c r="E40" i="39"/>
  <c r="AE3" i="39"/>
  <c r="AF3" i="39"/>
  <c r="AG3" i="39"/>
  <c r="AH3" i="39"/>
  <c r="AI3" i="39"/>
  <c r="AE17" i="39"/>
  <c r="AF17" i="39"/>
  <c r="AG17" i="39"/>
  <c r="A40" i="39"/>
  <c r="X12" i="39"/>
  <c r="E39" i="39"/>
  <c r="AE16" i="39"/>
  <c r="A39" i="39"/>
  <c r="X10" i="39"/>
  <c r="Q16" i="39"/>
  <c r="X7" i="39"/>
  <c r="X4" i="39"/>
  <c r="X5" i="39"/>
  <c r="X6" i="39"/>
  <c r="AE2" i="39"/>
  <c r="AF2" i="39"/>
  <c r="AG2" i="39"/>
  <c r="AH2" i="39"/>
  <c r="AI2" i="39"/>
  <c r="AG16" i="39"/>
  <c r="AE4" i="39"/>
  <c r="AF4" i="39"/>
  <c r="AG4" i="39"/>
  <c r="AH4" i="39"/>
  <c r="AI4" i="39"/>
  <c r="AG18" i="39"/>
  <c r="AE6" i="39"/>
  <c r="AF6" i="39"/>
  <c r="AG6" i="39"/>
  <c r="AH6" i="39"/>
  <c r="AI6" i="39"/>
  <c r="AG20" i="39"/>
  <c r="AE8" i="39"/>
  <c r="AF8" i="39"/>
  <c r="AG8" i="39"/>
  <c r="AH8" i="39"/>
  <c r="AI8" i="39"/>
  <c r="AG22" i="39"/>
  <c r="AE10" i="39"/>
  <c r="AF10" i="39"/>
  <c r="AG10" i="39"/>
  <c r="AH10" i="39"/>
  <c r="AI10" i="39"/>
  <c r="AG24" i="39"/>
  <c r="AE12" i="39"/>
  <c r="AF12" i="39"/>
  <c r="AG12" i="39"/>
  <c r="AH12" i="39"/>
  <c r="AI12" i="39"/>
  <c r="AG26" i="39"/>
  <c r="AE13" i="39"/>
  <c r="AF13" i="39"/>
  <c r="AG13" i="39"/>
  <c r="AH13" i="39"/>
  <c r="AI13" i="39"/>
  <c r="AG27" i="39"/>
  <c r="AF16" i="39"/>
  <c r="AF18" i="39"/>
  <c r="AF20" i="39"/>
  <c r="AF22" i="39"/>
  <c r="AF24" i="39"/>
  <c r="AF26" i="39"/>
  <c r="AF27" i="39"/>
  <c r="D31" i="39"/>
  <c r="J29" i="39"/>
  <c r="I29" i="39"/>
  <c r="H29" i="39"/>
  <c r="G29" i="39"/>
  <c r="F16" i="39"/>
  <c r="D29" i="39"/>
  <c r="AK2" i="39"/>
  <c r="AQ16" i="39"/>
  <c r="AL2" i="39"/>
  <c r="AR16" i="39"/>
  <c r="AM2" i="39"/>
  <c r="AS16" i="39"/>
  <c r="AN2" i="39"/>
  <c r="AT16" i="39"/>
  <c r="AO2" i="39"/>
  <c r="AU16" i="39"/>
  <c r="AP2" i="39"/>
  <c r="AV16" i="39"/>
  <c r="AQ2" i="39"/>
  <c r="AW16" i="39"/>
  <c r="AR2" i="39"/>
  <c r="AX16" i="39"/>
  <c r="AS2" i="39"/>
  <c r="AY16" i="39"/>
  <c r="AT2" i="39"/>
  <c r="AZ16" i="39"/>
  <c r="AU2" i="39"/>
  <c r="BA16" i="39"/>
  <c r="AV2" i="39"/>
  <c r="BB16" i="39"/>
  <c r="AW2" i="39"/>
  <c r="BC16" i="39"/>
  <c r="AX2" i="39"/>
  <c r="BD16" i="39"/>
  <c r="AY2" i="39"/>
  <c r="BE16" i="39"/>
  <c r="AZ2" i="39"/>
  <c r="BF16" i="39"/>
  <c r="BA2" i="39"/>
  <c r="BG16" i="39"/>
  <c r="BB2" i="39"/>
  <c r="BH16" i="39"/>
  <c r="BC2" i="39"/>
  <c r="BI16" i="39"/>
  <c r="BD2" i="39"/>
  <c r="BJ16" i="39"/>
  <c r="BE2" i="39"/>
  <c r="BK16" i="39"/>
  <c r="BF2" i="39"/>
  <c r="BL16" i="39"/>
  <c r="BG2" i="39"/>
  <c r="BM16" i="39"/>
  <c r="BH2" i="39"/>
  <c r="BN16" i="39"/>
  <c r="AP16" i="39"/>
  <c r="AK3" i="39"/>
  <c r="AQ17" i="39"/>
  <c r="AL3" i="39"/>
  <c r="AR17" i="39"/>
  <c r="AM3" i="39"/>
  <c r="AS17" i="39"/>
  <c r="AN3" i="39"/>
  <c r="AT17" i="39"/>
  <c r="AO3" i="39"/>
  <c r="AU17" i="39"/>
  <c r="AP3" i="39"/>
  <c r="AV17" i="39"/>
  <c r="AQ3" i="39"/>
  <c r="AW17" i="39"/>
  <c r="AR3" i="39"/>
  <c r="AX17" i="39"/>
  <c r="AS3" i="39"/>
  <c r="AY17" i="39"/>
  <c r="AT3" i="39"/>
  <c r="AZ17" i="39"/>
  <c r="AU3" i="39"/>
  <c r="BA17" i="39"/>
  <c r="AV3" i="39"/>
  <c r="BB17" i="39"/>
  <c r="AW3" i="39"/>
  <c r="BC17" i="39"/>
  <c r="AX3" i="39"/>
  <c r="BD17" i="39"/>
  <c r="AY3" i="39"/>
  <c r="BE17" i="39"/>
  <c r="AZ3" i="39"/>
  <c r="BF17" i="39"/>
  <c r="BA3" i="39"/>
  <c r="BG17" i="39"/>
  <c r="BB3" i="39"/>
  <c r="BH17" i="39"/>
  <c r="BC3" i="39"/>
  <c r="BI17" i="39"/>
  <c r="BD3" i="39"/>
  <c r="BJ17" i="39"/>
  <c r="BE3" i="39"/>
  <c r="BK17" i="39"/>
  <c r="BF3" i="39"/>
  <c r="BL17" i="39"/>
  <c r="BG3" i="39"/>
  <c r="BM17" i="39"/>
  <c r="BH3" i="39"/>
  <c r="BN17" i="39"/>
  <c r="AP17" i="39"/>
  <c r="AK4" i="39"/>
  <c r="AQ18" i="39"/>
  <c r="AL4" i="39"/>
  <c r="AR18" i="39"/>
  <c r="AM4" i="39"/>
  <c r="AS18" i="39"/>
  <c r="AN4" i="39"/>
  <c r="AT18" i="39"/>
  <c r="AO4" i="39"/>
  <c r="AU18" i="39"/>
  <c r="AP4" i="39"/>
  <c r="AV18" i="39"/>
  <c r="AQ4" i="39"/>
  <c r="AW18" i="39"/>
  <c r="AR4" i="39"/>
  <c r="AX18" i="39"/>
  <c r="AS4" i="39"/>
  <c r="AY18" i="39"/>
  <c r="AT4" i="39"/>
  <c r="AZ18" i="39"/>
  <c r="AU4" i="39"/>
  <c r="BA18" i="39"/>
  <c r="AV4" i="39"/>
  <c r="BB18" i="39"/>
  <c r="AW4" i="39"/>
  <c r="BC18" i="39"/>
  <c r="AX4" i="39"/>
  <c r="BD18" i="39"/>
  <c r="AY4" i="39"/>
  <c r="BE18" i="39"/>
  <c r="AZ4" i="39"/>
  <c r="BF18" i="39"/>
  <c r="BA4" i="39"/>
  <c r="BG18" i="39"/>
  <c r="BB4" i="39"/>
  <c r="BH18" i="39"/>
  <c r="BC4" i="39"/>
  <c r="BI18" i="39"/>
  <c r="BD4" i="39"/>
  <c r="BJ18" i="39"/>
  <c r="BE4" i="39"/>
  <c r="BK18" i="39"/>
  <c r="BF4" i="39"/>
  <c r="BL18" i="39"/>
  <c r="BG4" i="39"/>
  <c r="BM18" i="39"/>
  <c r="BH4" i="39"/>
  <c r="BN18" i="39"/>
  <c r="AP18" i="39"/>
  <c r="AK5" i="39"/>
  <c r="AQ19" i="39"/>
  <c r="AL5" i="39"/>
  <c r="AR19" i="39"/>
  <c r="AM5" i="39"/>
  <c r="AS19" i="39"/>
  <c r="AN5" i="39"/>
  <c r="AT19" i="39"/>
  <c r="AO5" i="39"/>
  <c r="AU19" i="39"/>
  <c r="AP5" i="39"/>
  <c r="AV19" i="39"/>
  <c r="AQ5" i="39"/>
  <c r="AW19" i="39"/>
  <c r="AR5" i="39"/>
  <c r="AX19" i="39"/>
  <c r="AS5" i="39"/>
  <c r="AY19" i="39"/>
  <c r="AT5" i="39"/>
  <c r="AZ19" i="39"/>
  <c r="AU5" i="39"/>
  <c r="BA19" i="39"/>
  <c r="AV5" i="39"/>
  <c r="BB19" i="39"/>
  <c r="AW5" i="39"/>
  <c r="BC19" i="39"/>
  <c r="AX5" i="39"/>
  <c r="BD19" i="39"/>
  <c r="AY5" i="39"/>
  <c r="BE19" i="39"/>
  <c r="AZ5" i="39"/>
  <c r="BF19" i="39"/>
  <c r="BA5" i="39"/>
  <c r="BG19" i="39"/>
  <c r="BB5" i="39"/>
  <c r="BH19" i="39"/>
  <c r="BC5" i="39"/>
  <c r="BI19" i="39"/>
  <c r="BD5" i="39"/>
  <c r="BJ19" i="39"/>
  <c r="BE5" i="39"/>
  <c r="BK19" i="39"/>
  <c r="BF5" i="39"/>
  <c r="BL19" i="39"/>
  <c r="BG5" i="39"/>
  <c r="BM19" i="39"/>
  <c r="BH5" i="39"/>
  <c r="BN19" i="39"/>
  <c r="AP19" i="39"/>
  <c r="AK6" i="39"/>
  <c r="AQ20" i="39"/>
  <c r="AL6" i="39"/>
  <c r="AR20" i="39"/>
  <c r="AM6" i="39"/>
  <c r="AS20" i="39"/>
  <c r="AN6" i="39"/>
  <c r="AT20" i="39"/>
  <c r="AO6" i="39"/>
  <c r="AU20" i="39"/>
  <c r="AP6" i="39"/>
  <c r="AV20" i="39"/>
  <c r="AQ6" i="39"/>
  <c r="AW20" i="39"/>
  <c r="AR6" i="39"/>
  <c r="AX20" i="39"/>
  <c r="AS6" i="39"/>
  <c r="AY20" i="39"/>
  <c r="AT6" i="39"/>
  <c r="AZ20" i="39"/>
  <c r="AU6" i="39"/>
  <c r="BA20" i="39"/>
  <c r="AV6" i="39"/>
  <c r="BB20" i="39"/>
  <c r="AW6" i="39"/>
  <c r="BC20" i="39"/>
  <c r="AX6" i="39"/>
  <c r="BD20" i="39"/>
  <c r="AY6" i="39"/>
  <c r="BE20" i="39"/>
  <c r="AZ6" i="39"/>
  <c r="BF20" i="39"/>
  <c r="BA6" i="39"/>
  <c r="BG20" i="39"/>
  <c r="BB6" i="39"/>
  <c r="BH20" i="39"/>
  <c r="BC6" i="39"/>
  <c r="BI20" i="39"/>
  <c r="BD6" i="39"/>
  <c r="BJ20" i="39"/>
  <c r="BE6" i="39"/>
  <c r="BK20" i="39"/>
  <c r="BF6" i="39"/>
  <c r="BL20" i="39"/>
  <c r="BG6" i="39"/>
  <c r="BM20" i="39"/>
  <c r="BH6" i="39"/>
  <c r="BN20" i="39"/>
  <c r="AP20" i="39"/>
  <c r="AK7" i="39"/>
  <c r="AQ21" i="39"/>
  <c r="AL7" i="39"/>
  <c r="AR21" i="39"/>
  <c r="AM7" i="39"/>
  <c r="AS21" i="39"/>
  <c r="AN7" i="39"/>
  <c r="AT21" i="39"/>
  <c r="AO7" i="39"/>
  <c r="AU21" i="39"/>
  <c r="AP7" i="39"/>
  <c r="AV21" i="39"/>
  <c r="AQ7" i="39"/>
  <c r="AW21" i="39"/>
  <c r="AR7" i="39"/>
  <c r="AX21" i="39"/>
  <c r="AS7" i="39"/>
  <c r="AY21" i="39"/>
  <c r="AT7" i="39"/>
  <c r="AZ21" i="39"/>
  <c r="AU7" i="39"/>
  <c r="BA21" i="39"/>
  <c r="AV7" i="39"/>
  <c r="BB21" i="39"/>
  <c r="AW7" i="39"/>
  <c r="BC21" i="39"/>
  <c r="AX7" i="39"/>
  <c r="BD21" i="39"/>
  <c r="AY7" i="39"/>
  <c r="BE21" i="39"/>
  <c r="AZ7" i="39"/>
  <c r="BF21" i="39"/>
  <c r="BA7" i="39"/>
  <c r="BG21" i="39"/>
  <c r="BB7" i="39"/>
  <c r="BH21" i="39"/>
  <c r="BC7" i="39"/>
  <c r="BI21" i="39"/>
  <c r="BD7" i="39"/>
  <c r="BJ21" i="39"/>
  <c r="BE7" i="39"/>
  <c r="BK21" i="39"/>
  <c r="BF7" i="39"/>
  <c r="BL21" i="39"/>
  <c r="BG7" i="39"/>
  <c r="BM21" i="39"/>
  <c r="BH7" i="39"/>
  <c r="BN21" i="39"/>
  <c r="AP21" i="39"/>
  <c r="AK8" i="39"/>
  <c r="AQ22" i="39"/>
  <c r="AL8" i="39"/>
  <c r="AR22" i="39"/>
  <c r="AM8" i="39"/>
  <c r="AS22" i="39"/>
  <c r="AN8" i="39"/>
  <c r="AT22" i="39"/>
  <c r="AO8" i="39"/>
  <c r="AU22" i="39"/>
  <c r="AP8" i="39"/>
  <c r="AV22" i="39"/>
  <c r="AQ8" i="39"/>
  <c r="AW22" i="39"/>
  <c r="AR8" i="39"/>
  <c r="AX22" i="39"/>
  <c r="AS8" i="39"/>
  <c r="AY22" i="39"/>
  <c r="AT8" i="39"/>
  <c r="AZ22" i="39"/>
  <c r="AU8" i="39"/>
  <c r="BA22" i="39"/>
  <c r="AV8" i="39"/>
  <c r="BB22" i="39"/>
  <c r="AW8" i="39"/>
  <c r="BC22" i="39"/>
  <c r="AX8" i="39"/>
  <c r="BD22" i="39"/>
  <c r="AY8" i="39"/>
  <c r="BE22" i="39"/>
  <c r="AZ8" i="39"/>
  <c r="BF22" i="39"/>
  <c r="BA8" i="39"/>
  <c r="BG22" i="39"/>
  <c r="BB8" i="39"/>
  <c r="BH22" i="39"/>
  <c r="BC8" i="39"/>
  <c r="BI22" i="39"/>
  <c r="BD8" i="39"/>
  <c r="BJ22" i="39"/>
  <c r="BE8" i="39"/>
  <c r="BK22" i="39"/>
  <c r="BF8" i="39"/>
  <c r="BL22" i="39"/>
  <c r="BG8" i="39"/>
  <c r="BM22" i="39"/>
  <c r="BH8" i="39"/>
  <c r="BN22" i="39"/>
  <c r="AP22" i="39"/>
  <c r="AK9" i="39"/>
  <c r="AQ23" i="39"/>
  <c r="AL9" i="39"/>
  <c r="AR23" i="39"/>
  <c r="AM9" i="39"/>
  <c r="AS23" i="39"/>
  <c r="AN9" i="39"/>
  <c r="AT23" i="39"/>
  <c r="AO9" i="39"/>
  <c r="AU23" i="39"/>
  <c r="AP9" i="39"/>
  <c r="AV23" i="39"/>
  <c r="AQ9" i="39"/>
  <c r="AW23" i="39"/>
  <c r="AR9" i="39"/>
  <c r="AX23" i="39"/>
  <c r="AS9" i="39"/>
  <c r="AY23" i="39"/>
  <c r="AT9" i="39"/>
  <c r="AZ23" i="39"/>
  <c r="AU9" i="39"/>
  <c r="BA23" i="39"/>
  <c r="AV9" i="39"/>
  <c r="BB23" i="39"/>
  <c r="AW9" i="39"/>
  <c r="BC23" i="39"/>
  <c r="AX9" i="39"/>
  <c r="BD23" i="39"/>
  <c r="AY9" i="39"/>
  <c r="BE23" i="39"/>
  <c r="AZ9" i="39"/>
  <c r="BF23" i="39"/>
  <c r="BA9" i="39"/>
  <c r="BG23" i="39"/>
  <c r="BB9" i="39"/>
  <c r="BH23" i="39"/>
  <c r="BC9" i="39"/>
  <c r="BI23" i="39"/>
  <c r="BD9" i="39"/>
  <c r="BJ23" i="39"/>
  <c r="BE9" i="39"/>
  <c r="BK23" i="39"/>
  <c r="BF9" i="39"/>
  <c r="BL23" i="39"/>
  <c r="BG9" i="39"/>
  <c r="BM23" i="39"/>
  <c r="BH9" i="39"/>
  <c r="BN23" i="39"/>
  <c r="AP23" i="39"/>
  <c r="AK10" i="39"/>
  <c r="AQ24" i="39"/>
  <c r="AL10" i="39"/>
  <c r="AR24" i="39"/>
  <c r="AM10" i="39"/>
  <c r="AS24" i="39"/>
  <c r="AN10" i="39"/>
  <c r="AT24" i="39"/>
  <c r="AO10" i="39"/>
  <c r="AU24" i="39"/>
  <c r="AP10" i="39"/>
  <c r="AV24" i="39"/>
  <c r="AQ10" i="39"/>
  <c r="AW24" i="39"/>
  <c r="AR10" i="39"/>
  <c r="AX24" i="39"/>
  <c r="AS10" i="39"/>
  <c r="AY24" i="39"/>
  <c r="AT10" i="39"/>
  <c r="AZ24" i="39"/>
  <c r="AU10" i="39"/>
  <c r="BA24" i="39"/>
  <c r="AV10" i="39"/>
  <c r="BB24" i="39"/>
  <c r="AW10" i="39"/>
  <c r="BC24" i="39"/>
  <c r="AX10" i="39"/>
  <c r="BD24" i="39"/>
  <c r="AY10" i="39"/>
  <c r="BE24" i="39"/>
  <c r="AZ10" i="39"/>
  <c r="BF24" i="39"/>
  <c r="BA10" i="39"/>
  <c r="BG24" i="39"/>
  <c r="BB10" i="39"/>
  <c r="BH24" i="39"/>
  <c r="BC10" i="39"/>
  <c r="BI24" i="39"/>
  <c r="BD10" i="39"/>
  <c r="BJ24" i="39"/>
  <c r="BE10" i="39"/>
  <c r="BK24" i="39"/>
  <c r="BF10" i="39"/>
  <c r="BL24" i="39"/>
  <c r="BG10" i="39"/>
  <c r="BM24" i="39"/>
  <c r="BH10" i="39"/>
  <c r="BN24" i="39"/>
  <c r="AP24" i="39"/>
  <c r="AK11" i="39"/>
  <c r="AQ25" i="39"/>
  <c r="AL11" i="39"/>
  <c r="AR25" i="39"/>
  <c r="AM11" i="39"/>
  <c r="AS25" i="39"/>
  <c r="AN11" i="39"/>
  <c r="AT25" i="39"/>
  <c r="AO11" i="39"/>
  <c r="AU25" i="39"/>
  <c r="AP11" i="39"/>
  <c r="AV25" i="39"/>
  <c r="AQ11" i="39"/>
  <c r="AW25" i="39"/>
  <c r="AR11" i="39"/>
  <c r="AX25" i="39"/>
  <c r="AS11" i="39"/>
  <c r="AY25" i="39"/>
  <c r="AT11" i="39"/>
  <c r="AZ25" i="39"/>
  <c r="AU11" i="39"/>
  <c r="BA25" i="39"/>
  <c r="AV11" i="39"/>
  <c r="BB25" i="39"/>
  <c r="AW11" i="39"/>
  <c r="BC25" i="39"/>
  <c r="AX11" i="39"/>
  <c r="BD25" i="39"/>
  <c r="AY11" i="39"/>
  <c r="BE25" i="39"/>
  <c r="AZ11" i="39"/>
  <c r="BF25" i="39"/>
  <c r="BA11" i="39"/>
  <c r="BG25" i="39"/>
  <c r="BB11" i="39"/>
  <c r="BH25" i="39"/>
  <c r="BC11" i="39"/>
  <c r="BI25" i="39"/>
  <c r="BD11" i="39"/>
  <c r="BJ25" i="39"/>
  <c r="BE11" i="39"/>
  <c r="BK25" i="39"/>
  <c r="BF11" i="39"/>
  <c r="BL25" i="39"/>
  <c r="BG11" i="39"/>
  <c r="BM25" i="39"/>
  <c r="BH11" i="39"/>
  <c r="BN25" i="39"/>
  <c r="AP25" i="39"/>
  <c r="AK12" i="39"/>
  <c r="AQ26" i="39"/>
  <c r="AL12" i="39"/>
  <c r="AR26" i="39"/>
  <c r="AM12" i="39"/>
  <c r="AS26" i="39"/>
  <c r="AN12" i="39"/>
  <c r="AT26" i="39"/>
  <c r="AO12" i="39"/>
  <c r="AU26" i="39"/>
  <c r="AP12" i="39"/>
  <c r="AV26" i="39"/>
  <c r="AQ12" i="39"/>
  <c r="AW26" i="39"/>
  <c r="AR12" i="39"/>
  <c r="AX26" i="39"/>
  <c r="AS12" i="39"/>
  <c r="AY26" i="39"/>
  <c r="AT12" i="39"/>
  <c r="AZ26" i="39"/>
  <c r="AU12" i="39"/>
  <c r="BA26" i="39"/>
  <c r="AV12" i="39"/>
  <c r="BB26" i="39"/>
  <c r="AW12" i="39"/>
  <c r="BC26" i="39"/>
  <c r="AX12" i="39"/>
  <c r="BD26" i="39"/>
  <c r="AY12" i="39"/>
  <c r="BE26" i="39"/>
  <c r="AZ12" i="39"/>
  <c r="BF26" i="39"/>
  <c r="BA12" i="39"/>
  <c r="BG26" i="39"/>
  <c r="BB12" i="39"/>
  <c r="BH26" i="39"/>
  <c r="BC12" i="39"/>
  <c r="BI26" i="39"/>
  <c r="BD12" i="39"/>
  <c r="BJ26" i="39"/>
  <c r="BE12" i="39"/>
  <c r="BK26" i="39"/>
  <c r="BF12" i="39"/>
  <c r="BL26" i="39"/>
  <c r="BG12" i="39"/>
  <c r="BM26" i="39"/>
  <c r="BH12" i="39"/>
  <c r="BN26" i="39"/>
  <c r="AP26" i="39"/>
  <c r="AK13" i="39"/>
  <c r="AQ27" i="39"/>
  <c r="AL13" i="39"/>
  <c r="AR27" i="39"/>
  <c r="AM13" i="39"/>
  <c r="AS27" i="39"/>
  <c r="AN13" i="39"/>
  <c r="AT27" i="39"/>
  <c r="AO13" i="39"/>
  <c r="AU27" i="39"/>
  <c r="AP13" i="39"/>
  <c r="AV27" i="39"/>
  <c r="AQ13" i="39"/>
  <c r="AW27" i="39"/>
  <c r="AR13" i="39"/>
  <c r="AX27" i="39"/>
  <c r="AS13" i="39"/>
  <c r="AY27" i="39"/>
  <c r="AT13" i="39"/>
  <c r="AZ27" i="39"/>
  <c r="AU13" i="39"/>
  <c r="BA27" i="39"/>
  <c r="AV13" i="39"/>
  <c r="BB27" i="39"/>
  <c r="AW13" i="39"/>
  <c r="BC27" i="39"/>
  <c r="AX13" i="39"/>
  <c r="BD27" i="39"/>
  <c r="AY13" i="39"/>
  <c r="BE27" i="39"/>
  <c r="AZ13" i="39"/>
  <c r="BF27" i="39"/>
  <c r="BA13" i="39"/>
  <c r="BG27" i="39"/>
  <c r="BB13" i="39"/>
  <c r="BH27" i="39"/>
  <c r="BC13" i="39"/>
  <c r="BI27" i="39"/>
  <c r="BD13" i="39"/>
  <c r="BJ27" i="39"/>
  <c r="BE13" i="39"/>
  <c r="BK27" i="39"/>
  <c r="BF13" i="39"/>
  <c r="BL27" i="39"/>
  <c r="BG13" i="39"/>
  <c r="BM27" i="39"/>
  <c r="BH13" i="39"/>
  <c r="BN27" i="39"/>
  <c r="AP27" i="39"/>
  <c r="AP28" i="39"/>
  <c r="AN16" i="39"/>
  <c r="AN17" i="39"/>
  <c r="AN18" i="39"/>
  <c r="AN19" i="39"/>
  <c r="AN20" i="39"/>
  <c r="AN21" i="39"/>
  <c r="AN22" i="39"/>
  <c r="AN23" i="39"/>
  <c r="AN24" i="39"/>
  <c r="AN26" i="39"/>
  <c r="AN27" i="39"/>
  <c r="AM16" i="39"/>
  <c r="AM17" i="39"/>
  <c r="AM18" i="39"/>
  <c r="AM19" i="39"/>
  <c r="AM20" i="39"/>
  <c r="AM21" i="39"/>
  <c r="AM22" i="39"/>
  <c r="AM23" i="39"/>
  <c r="AM24" i="39"/>
  <c r="AM26" i="39"/>
  <c r="AM27" i="39"/>
  <c r="AL16" i="39"/>
  <c r="AL17" i="39"/>
  <c r="AL18" i="39"/>
  <c r="AL19" i="39"/>
  <c r="AL20" i="39"/>
  <c r="AL21" i="39"/>
  <c r="AL22" i="39"/>
  <c r="AL23" i="39"/>
  <c r="AL24" i="39"/>
  <c r="AL26" i="39"/>
  <c r="AL27" i="39"/>
  <c r="AK16" i="39"/>
  <c r="AK17" i="39"/>
  <c r="AK18" i="39"/>
  <c r="AK19" i="39"/>
  <c r="AK20" i="39"/>
  <c r="AK21" i="39"/>
  <c r="AK22" i="39"/>
  <c r="AK23" i="39"/>
  <c r="AK24" i="39"/>
  <c r="AK26" i="39"/>
  <c r="AK27" i="39"/>
  <c r="Z2" i="39"/>
  <c r="AA2" i="39"/>
  <c r="AB2" i="39"/>
  <c r="AC2" i="39"/>
  <c r="AA16" i="39"/>
  <c r="Z3" i="39"/>
  <c r="AA3" i="39"/>
  <c r="AB3" i="39"/>
  <c r="AC3" i="39"/>
  <c r="AA17" i="39"/>
  <c r="Z4" i="39"/>
  <c r="AA4" i="39"/>
  <c r="AB4" i="39"/>
  <c r="AC4" i="39"/>
  <c r="AA18" i="39"/>
  <c r="Z5" i="39"/>
  <c r="AA5" i="39"/>
  <c r="AB5" i="39"/>
  <c r="AC5" i="39"/>
  <c r="AA19" i="39"/>
  <c r="Z6" i="39"/>
  <c r="AA6" i="39"/>
  <c r="AB6" i="39"/>
  <c r="AC6" i="39"/>
  <c r="AA20" i="39"/>
  <c r="Z7" i="39"/>
  <c r="AA7" i="39"/>
  <c r="AB7" i="39"/>
  <c r="AC7" i="39"/>
  <c r="AA21" i="39"/>
  <c r="Z8" i="39"/>
  <c r="AA8" i="39"/>
  <c r="AB8" i="39"/>
  <c r="AC8" i="39"/>
  <c r="AA22" i="39"/>
  <c r="Z9" i="39"/>
  <c r="AA9" i="39"/>
  <c r="AB9" i="39"/>
  <c r="AC9" i="39"/>
  <c r="AA23" i="39"/>
  <c r="Z10" i="39"/>
  <c r="AA10" i="39"/>
  <c r="AB10" i="39"/>
  <c r="AC10" i="39"/>
  <c r="AA24" i="39"/>
  <c r="Z11" i="39"/>
  <c r="AA11" i="39"/>
  <c r="AB11" i="39"/>
  <c r="AC11" i="39"/>
  <c r="AA25" i="39"/>
  <c r="Z12" i="39"/>
  <c r="AA12" i="39"/>
  <c r="AB12" i="39"/>
  <c r="AC12" i="39"/>
  <c r="AA26" i="39"/>
  <c r="Z13" i="39"/>
  <c r="AA13" i="39"/>
  <c r="AB13" i="39"/>
  <c r="AC13" i="39"/>
  <c r="AA27" i="39"/>
  <c r="AA28" i="39"/>
  <c r="Z16" i="39"/>
  <c r="Z17" i="39"/>
  <c r="Z18" i="39"/>
  <c r="Z19" i="39"/>
  <c r="Z20" i="39"/>
  <c r="Z21" i="39"/>
  <c r="Z22" i="39"/>
  <c r="Z23" i="39"/>
  <c r="Z24" i="39"/>
  <c r="Z25" i="39"/>
  <c r="Z26" i="39"/>
  <c r="Z27" i="39"/>
  <c r="Z28" i="39"/>
  <c r="S28" i="39"/>
  <c r="R28" i="39"/>
  <c r="Q28" i="39"/>
  <c r="P28" i="39"/>
  <c r="N28" i="39"/>
  <c r="M28" i="39"/>
  <c r="L28" i="39"/>
  <c r="K28" i="39"/>
  <c r="D27" i="39"/>
  <c r="N25" i="39"/>
  <c r="M25" i="39"/>
  <c r="L25" i="39"/>
  <c r="K25" i="39"/>
  <c r="D25" i="39"/>
  <c r="H16" i="39"/>
  <c r="D23" i="39"/>
  <c r="G16" i="39"/>
  <c r="D21" i="39"/>
  <c r="M19" i="39"/>
  <c r="W16" i="39"/>
  <c r="V16" i="39"/>
  <c r="U16" i="39"/>
  <c r="M16" i="39"/>
  <c r="E50" i="38"/>
  <c r="A50" i="38"/>
  <c r="E49" i="38"/>
  <c r="A49" i="38"/>
  <c r="E48" i="38"/>
  <c r="A48" i="38"/>
  <c r="E47" i="38"/>
  <c r="A47" i="38"/>
  <c r="E46" i="38"/>
  <c r="A46" i="38"/>
  <c r="E45" i="38"/>
  <c r="A45" i="38"/>
  <c r="E44" i="38"/>
  <c r="A44" i="38"/>
  <c r="E43" i="38"/>
  <c r="A43" i="38"/>
  <c r="X15" i="38"/>
  <c r="E42" i="38"/>
  <c r="A42" i="38"/>
  <c r="X14" i="38"/>
  <c r="E41" i="38"/>
  <c r="AE18" i="38"/>
  <c r="A41" i="38"/>
  <c r="X13" i="38"/>
  <c r="E40" i="38"/>
  <c r="AE17" i="38"/>
  <c r="A40" i="38"/>
  <c r="X12" i="38"/>
  <c r="E39" i="38"/>
  <c r="AE16" i="38"/>
  <c r="A39" i="38"/>
  <c r="X11" i="38"/>
  <c r="X10" i="38"/>
  <c r="X9" i="38"/>
  <c r="R16" i="38"/>
  <c r="Q16" i="38"/>
  <c r="X8" i="38"/>
  <c r="X7" i="38"/>
  <c r="X4" i="38"/>
  <c r="X5" i="38"/>
  <c r="X6" i="38"/>
  <c r="AE2" i="38"/>
  <c r="AF2" i="38"/>
  <c r="AG2" i="38"/>
  <c r="AH2" i="38"/>
  <c r="AI2" i="38"/>
  <c r="AG16" i="38"/>
  <c r="AE3" i="38"/>
  <c r="AF3" i="38"/>
  <c r="AG3" i="38"/>
  <c r="AH3" i="38"/>
  <c r="AI3" i="38"/>
  <c r="AG17" i="38"/>
  <c r="AE4" i="38"/>
  <c r="AF4" i="38"/>
  <c r="AG4" i="38"/>
  <c r="AH4" i="38"/>
  <c r="AI4" i="38"/>
  <c r="AG18" i="38"/>
  <c r="AE5" i="38"/>
  <c r="AF5" i="38"/>
  <c r="AG5" i="38"/>
  <c r="AH5" i="38"/>
  <c r="AI5" i="38"/>
  <c r="AG19" i="38"/>
  <c r="AE6" i="38"/>
  <c r="AF6" i="38"/>
  <c r="AG6" i="38"/>
  <c r="AH6" i="38"/>
  <c r="AI6" i="38"/>
  <c r="AG20" i="38"/>
  <c r="AE7" i="38"/>
  <c r="AF7" i="38"/>
  <c r="AG7" i="38"/>
  <c r="AH7" i="38"/>
  <c r="AI7" i="38"/>
  <c r="AG21" i="38"/>
  <c r="AE8" i="38"/>
  <c r="AF8" i="38"/>
  <c r="AG8" i="38"/>
  <c r="AH8" i="38"/>
  <c r="AI8" i="38"/>
  <c r="AG22" i="38"/>
  <c r="AE10" i="38"/>
  <c r="AF10" i="38"/>
  <c r="AG10" i="38"/>
  <c r="AH10" i="38"/>
  <c r="AI10" i="38"/>
  <c r="AG24" i="38"/>
  <c r="AE11" i="38"/>
  <c r="AF11" i="38"/>
  <c r="AG11" i="38"/>
  <c r="AH11" i="38"/>
  <c r="AI11" i="38"/>
  <c r="AG25" i="38"/>
  <c r="AE12" i="38"/>
  <c r="AF12" i="38"/>
  <c r="AG12" i="38"/>
  <c r="AH12" i="38"/>
  <c r="AI12" i="38"/>
  <c r="AG26" i="38"/>
  <c r="AE13" i="38"/>
  <c r="AF13" i="38"/>
  <c r="AG13" i="38"/>
  <c r="AH13" i="38"/>
  <c r="AI13" i="38"/>
  <c r="AG27" i="38"/>
  <c r="AF16" i="38"/>
  <c r="AF17" i="38"/>
  <c r="AF18" i="38"/>
  <c r="AF19" i="38"/>
  <c r="AF20" i="38"/>
  <c r="AF21" i="38"/>
  <c r="AF22" i="38"/>
  <c r="AF24" i="38"/>
  <c r="AF25" i="38"/>
  <c r="AF26" i="38"/>
  <c r="AF27" i="38"/>
  <c r="J29" i="38"/>
  <c r="I29" i="38"/>
  <c r="H29" i="38"/>
  <c r="G29" i="38"/>
  <c r="F16" i="38"/>
  <c r="AK2" i="38"/>
  <c r="AQ16" i="38"/>
  <c r="AL2" i="38"/>
  <c r="AR16" i="38"/>
  <c r="AM2" i="38"/>
  <c r="AS16" i="38"/>
  <c r="AN2" i="38"/>
  <c r="AT16" i="38"/>
  <c r="AO2" i="38"/>
  <c r="AU16" i="38"/>
  <c r="AP2" i="38"/>
  <c r="AV16" i="38"/>
  <c r="AQ2" i="38"/>
  <c r="AW16" i="38"/>
  <c r="AR2" i="38"/>
  <c r="AX16" i="38"/>
  <c r="AS2" i="38"/>
  <c r="AY16" i="38"/>
  <c r="AT2" i="38"/>
  <c r="AZ16" i="38"/>
  <c r="AU2" i="38"/>
  <c r="BA16" i="38"/>
  <c r="AV2" i="38"/>
  <c r="BB16" i="38"/>
  <c r="AW2" i="38"/>
  <c r="BC16" i="38"/>
  <c r="AX2" i="38"/>
  <c r="BD16" i="38"/>
  <c r="AY2" i="38"/>
  <c r="BE16" i="38"/>
  <c r="AZ2" i="38"/>
  <c r="BF16" i="38"/>
  <c r="BA2" i="38"/>
  <c r="BG16" i="38"/>
  <c r="BB2" i="38"/>
  <c r="BH16" i="38"/>
  <c r="BC2" i="38"/>
  <c r="BI16" i="38"/>
  <c r="BD2" i="38"/>
  <c r="BJ16" i="38"/>
  <c r="BE2" i="38"/>
  <c r="BK16" i="38"/>
  <c r="BF2" i="38"/>
  <c r="BL16" i="38"/>
  <c r="BG2" i="38"/>
  <c r="BM16" i="38"/>
  <c r="BH2" i="38"/>
  <c r="BN16" i="38"/>
  <c r="AP16" i="38"/>
  <c r="AK3" i="38"/>
  <c r="AQ17" i="38"/>
  <c r="AL3" i="38"/>
  <c r="AR17" i="38"/>
  <c r="AM3" i="38"/>
  <c r="AS17" i="38"/>
  <c r="AN3" i="38"/>
  <c r="AT17" i="38"/>
  <c r="AO3" i="38"/>
  <c r="AU17" i="38"/>
  <c r="AP3" i="38"/>
  <c r="AV17" i="38"/>
  <c r="AQ3" i="38"/>
  <c r="AW17" i="38"/>
  <c r="AR3" i="38"/>
  <c r="AX17" i="38"/>
  <c r="AS3" i="38"/>
  <c r="AY17" i="38"/>
  <c r="AT3" i="38"/>
  <c r="AZ17" i="38"/>
  <c r="AU3" i="38"/>
  <c r="BA17" i="38"/>
  <c r="AV3" i="38"/>
  <c r="BB17" i="38"/>
  <c r="AW3" i="38"/>
  <c r="BC17" i="38"/>
  <c r="AX3" i="38"/>
  <c r="BD17" i="38"/>
  <c r="AY3" i="38"/>
  <c r="BE17" i="38"/>
  <c r="AZ3" i="38"/>
  <c r="BF17" i="38"/>
  <c r="BA3" i="38"/>
  <c r="BG17" i="38"/>
  <c r="BB3" i="38"/>
  <c r="BH17" i="38"/>
  <c r="BC3" i="38"/>
  <c r="BI17" i="38"/>
  <c r="BD3" i="38"/>
  <c r="BJ17" i="38"/>
  <c r="BE3" i="38"/>
  <c r="BK17" i="38"/>
  <c r="BF3" i="38"/>
  <c r="BL17" i="38"/>
  <c r="BG3" i="38"/>
  <c r="BM17" i="38"/>
  <c r="BH3" i="38"/>
  <c r="BN17" i="38"/>
  <c r="AP17" i="38"/>
  <c r="AK4" i="38"/>
  <c r="AQ18" i="38"/>
  <c r="AL4" i="38"/>
  <c r="AR18" i="38"/>
  <c r="AM4" i="38"/>
  <c r="AS18" i="38"/>
  <c r="AN4" i="38"/>
  <c r="AT18" i="38"/>
  <c r="AO4" i="38"/>
  <c r="AU18" i="38"/>
  <c r="AP4" i="38"/>
  <c r="AV18" i="38"/>
  <c r="AQ4" i="38"/>
  <c r="AW18" i="38"/>
  <c r="AR4" i="38"/>
  <c r="AX18" i="38"/>
  <c r="AS4" i="38"/>
  <c r="AY18" i="38"/>
  <c r="AT4" i="38"/>
  <c r="AZ18" i="38"/>
  <c r="AU4" i="38"/>
  <c r="BA18" i="38"/>
  <c r="AV4" i="38"/>
  <c r="BB18" i="38"/>
  <c r="AW4" i="38"/>
  <c r="BC18" i="38"/>
  <c r="AX4" i="38"/>
  <c r="BD18" i="38"/>
  <c r="AY4" i="38"/>
  <c r="BE18" i="38"/>
  <c r="AZ4" i="38"/>
  <c r="BF18" i="38"/>
  <c r="BA4" i="38"/>
  <c r="BG18" i="38"/>
  <c r="BB4" i="38"/>
  <c r="BH18" i="38"/>
  <c r="BC4" i="38"/>
  <c r="BI18" i="38"/>
  <c r="BD4" i="38"/>
  <c r="BJ18" i="38"/>
  <c r="BE4" i="38"/>
  <c r="BK18" i="38"/>
  <c r="BF4" i="38"/>
  <c r="BL18" i="38"/>
  <c r="BG4" i="38"/>
  <c r="BM18" i="38"/>
  <c r="BH4" i="38"/>
  <c r="BN18" i="38"/>
  <c r="AP18" i="38"/>
  <c r="AK5" i="38"/>
  <c r="AQ19" i="38"/>
  <c r="AL5" i="38"/>
  <c r="AR19" i="38"/>
  <c r="AM5" i="38"/>
  <c r="AS19" i="38"/>
  <c r="AN5" i="38"/>
  <c r="AT19" i="38"/>
  <c r="AO5" i="38"/>
  <c r="AU19" i="38"/>
  <c r="AP5" i="38"/>
  <c r="AV19" i="38"/>
  <c r="AQ5" i="38"/>
  <c r="AW19" i="38"/>
  <c r="AR5" i="38"/>
  <c r="AX19" i="38"/>
  <c r="AS5" i="38"/>
  <c r="AY19" i="38"/>
  <c r="AT5" i="38"/>
  <c r="AZ19" i="38"/>
  <c r="AU5" i="38"/>
  <c r="BA19" i="38"/>
  <c r="AV5" i="38"/>
  <c r="BB19" i="38"/>
  <c r="AW5" i="38"/>
  <c r="BC19" i="38"/>
  <c r="AX5" i="38"/>
  <c r="BD19" i="38"/>
  <c r="AY5" i="38"/>
  <c r="BE19" i="38"/>
  <c r="AZ5" i="38"/>
  <c r="BF19" i="38"/>
  <c r="BA5" i="38"/>
  <c r="BG19" i="38"/>
  <c r="BB5" i="38"/>
  <c r="BH19" i="38"/>
  <c r="BC5" i="38"/>
  <c r="BI19" i="38"/>
  <c r="BD5" i="38"/>
  <c r="BJ19" i="38"/>
  <c r="BE5" i="38"/>
  <c r="BK19" i="38"/>
  <c r="BF5" i="38"/>
  <c r="BL19" i="38"/>
  <c r="BG5" i="38"/>
  <c r="BM19" i="38"/>
  <c r="BH5" i="38"/>
  <c r="BN19" i="38"/>
  <c r="AP19" i="38"/>
  <c r="AK6" i="38"/>
  <c r="AQ20" i="38"/>
  <c r="AL6" i="38"/>
  <c r="AR20" i="38"/>
  <c r="AM6" i="38"/>
  <c r="AS20" i="38"/>
  <c r="AN6" i="38"/>
  <c r="AT20" i="38"/>
  <c r="AO6" i="38"/>
  <c r="AU20" i="38"/>
  <c r="AP6" i="38"/>
  <c r="AV20" i="38"/>
  <c r="AQ6" i="38"/>
  <c r="AW20" i="38"/>
  <c r="AR6" i="38"/>
  <c r="AX20" i="38"/>
  <c r="AS6" i="38"/>
  <c r="AY20" i="38"/>
  <c r="AT6" i="38"/>
  <c r="AZ20" i="38"/>
  <c r="AU6" i="38"/>
  <c r="BA20" i="38"/>
  <c r="AV6" i="38"/>
  <c r="BB20" i="38"/>
  <c r="AW6" i="38"/>
  <c r="BC20" i="38"/>
  <c r="AX6" i="38"/>
  <c r="BD20" i="38"/>
  <c r="AY6" i="38"/>
  <c r="BE20" i="38"/>
  <c r="AZ6" i="38"/>
  <c r="BF20" i="38"/>
  <c r="BA6" i="38"/>
  <c r="BG20" i="38"/>
  <c r="BB6" i="38"/>
  <c r="BH20" i="38"/>
  <c r="BC6" i="38"/>
  <c r="BI20" i="38"/>
  <c r="BD6" i="38"/>
  <c r="BJ20" i="38"/>
  <c r="BE6" i="38"/>
  <c r="BK20" i="38"/>
  <c r="BF6" i="38"/>
  <c r="BL20" i="38"/>
  <c r="BG6" i="38"/>
  <c r="BM20" i="38"/>
  <c r="BH6" i="38"/>
  <c r="BN20" i="38"/>
  <c r="AP20" i="38"/>
  <c r="AK7" i="38"/>
  <c r="AQ21" i="38"/>
  <c r="AL7" i="38"/>
  <c r="AR21" i="38"/>
  <c r="AM7" i="38"/>
  <c r="AS21" i="38"/>
  <c r="AN7" i="38"/>
  <c r="AT21" i="38"/>
  <c r="AO7" i="38"/>
  <c r="AU21" i="38"/>
  <c r="AP7" i="38"/>
  <c r="AV21" i="38"/>
  <c r="AQ7" i="38"/>
  <c r="AW21" i="38"/>
  <c r="AR7" i="38"/>
  <c r="AX21" i="38"/>
  <c r="AS7" i="38"/>
  <c r="AY21" i="38"/>
  <c r="AT7" i="38"/>
  <c r="AZ21" i="38"/>
  <c r="AU7" i="38"/>
  <c r="BA21" i="38"/>
  <c r="AV7" i="38"/>
  <c r="BB21" i="38"/>
  <c r="AW7" i="38"/>
  <c r="BC21" i="38"/>
  <c r="AX7" i="38"/>
  <c r="BD21" i="38"/>
  <c r="AY7" i="38"/>
  <c r="BE21" i="38"/>
  <c r="AZ7" i="38"/>
  <c r="BF21" i="38"/>
  <c r="BA7" i="38"/>
  <c r="BG21" i="38"/>
  <c r="BB7" i="38"/>
  <c r="BH21" i="38"/>
  <c r="BC7" i="38"/>
  <c r="BI21" i="38"/>
  <c r="BD7" i="38"/>
  <c r="BJ21" i="38"/>
  <c r="BE7" i="38"/>
  <c r="BK21" i="38"/>
  <c r="BF7" i="38"/>
  <c r="BL21" i="38"/>
  <c r="BG7" i="38"/>
  <c r="BM21" i="38"/>
  <c r="BH7" i="38"/>
  <c r="BN21" i="38"/>
  <c r="AP21" i="38"/>
  <c r="AK8" i="38"/>
  <c r="AQ22" i="38"/>
  <c r="AL8" i="38"/>
  <c r="AR22" i="38"/>
  <c r="AM8" i="38"/>
  <c r="AS22" i="38"/>
  <c r="AN8" i="38"/>
  <c r="AT22" i="38"/>
  <c r="AO8" i="38"/>
  <c r="AU22" i="38"/>
  <c r="AP8" i="38"/>
  <c r="AV22" i="38"/>
  <c r="AQ8" i="38"/>
  <c r="AW22" i="38"/>
  <c r="AR8" i="38"/>
  <c r="AX22" i="38"/>
  <c r="AS8" i="38"/>
  <c r="AY22" i="38"/>
  <c r="AT8" i="38"/>
  <c r="AZ22" i="38"/>
  <c r="AU8" i="38"/>
  <c r="BA22" i="38"/>
  <c r="AV8" i="38"/>
  <c r="BB22" i="38"/>
  <c r="AW8" i="38"/>
  <c r="BC22" i="38"/>
  <c r="AX8" i="38"/>
  <c r="BD22" i="38"/>
  <c r="AY8" i="38"/>
  <c r="BE22" i="38"/>
  <c r="AZ8" i="38"/>
  <c r="BF22" i="38"/>
  <c r="BA8" i="38"/>
  <c r="BG22" i="38"/>
  <c r="BB8" i="38"/>
  <c r="BH22" i="38"/>
  <c r="BC8" i="38"/>
  <c r="BI22" i="38"/>
  <c r="BD8" i="38"/>
  <c r="BJ22" i="38"/>
  <c r="BE8" i="38"/>
  <c r="BK22" i="38"/>
  <c r="BF8" i="38"/>
  <c r="BL22" i="38"/>
  <c r="BG8" i="38"/>
  <c r="BM22" i="38"/>
  <c r="BH8" i="38"/>
  <c r="BN22" i="38"/>
  <c r="AP22" i="38"/>
  <c r="AK9" i="38"/>
  <c r="AQ23" i="38"/>
  <c r="AL9" i="38"/>
  <c r="AR23" i="38"/>
  <c r="AM9" i="38"/>
  <c r="AS23" i="38"/>
  <c r="AN9" i="38"/>
  <c r="AT23" i="38"/>
  <c r="AO9" i="38"/>
  <c r="AU23" i="38"/>
  <c r="AP9" i="38"/>
  <c r="AV23" i="38"/>
  <c r="AQ9" i="38"/>
  <c r="AW23" i="38"/>
  <c r="AR9" i="38"/>
  <c r="AX23" i="38"/>
  <c r="AS9" i="38"/>
  <c r="AY23" i="38"/>
  <c r="AT9" i="38"/>
  <c r="AZ23" i="38"/>
  <c r="AU9" i="38"/>
  <c r="BA23" i="38"/>
  <c r="AV9" i="38"/>
  <c r="BB23" i="38"/>
  <c r="AW9" i="38"/>
  <c r="BC23" i="38"/>
  <c r="AX9" i="38"/>
  <c r="BD23" i="38"/>
  <c r="AY9" i="38"/>
  <c r="BE23" i="38"/>
  <c r="AZ9" i="38"/>
  <c r="BF23" i="38"/>
  <c r="BA9" i="38"/>
  <c r="BG23" i="38"/>
  <c r="BB9" i="38"/>
  <c r="BH23" i="38"/>
  <c r="BC9" i="38"/>
  <c r="BI23" i="38"/>
  <c r="BD9" i="38"/>
  <c r="BJ23" i="38"/>
  <c r="BE9" i="38"/>
  <c r="BK23" i="38"/>
  <c r="BF9" i="38"/>
  <c r="BL23" i="38"/>
  <c r="BG9" i="38"/>
  <c r="BM23" i="38"/>
  <c r="BH9" i="38"/>
  <c r="BN23" i="38"/>
  <c r="AP23" i="38"/>
  <c r="AK10" i="38"/>
  <c r="AQ24" i="38"/>
  <c r="AL10" i="38"/>
  <c r="AR24" i="38"/>
  <c r="AM10" i="38"/>
  <c r="AS24" i="38"/>
  <c r="AN10" i="38"/>
  <c r="AT24" i="38"/>
  <c r="AO10" i="38"/>
  <c r="AU24" i="38"/>
  <c r="AP10" i="38"/>
  <c r="AV24" i="38"/>
  <c r="AQ10" i="38"/>
  <c r="AW24" i="38"/>
  <c r="AR10" i="38"/>
  <c r="AX24" i="38"/>
  <c r="AS10" i="38"/>
  <c r="AY24" i="38"/>
  <c r="AT10" i="38"/>
  <c r="AZ24" i="38"/>
  <c r="AU10" i="38"/>
  <c r="BA24" i="38"/>
  <c r="AV10" i="38"/>
  <c r="BB24" i="38"/>
  <c r="AW10" i="38"/>
  <c r="BC24" i="38"/>
  <c r="AX10" i="38"/>
  <c r="BD24" i="38"/>
  <c r="AY10" i="38"/>
  <c r="BE24" i="38"/>
  <c r="AZ10" i="38"/>
  <c r="BF24" i="38"/>
  <c r="BA10" i="38"/>
  <c r="BG24" i="38"/>
  <c r="BB10" i="38"/>
  <c r="BH24" i="38"/>
  <c r="BC10" i="38"/>
  <c r="BI24" i="38"/>
  <c r="BD10" i="38"/>
  <c r="BJ24" i="38"/>
  <c r="BE10" i="38"/>
  <c r="BK24" i="38"/>
  <c r="BF10" i="38"/>
  <c r="BL24" i="38"/>
  <c r="BG10" i="38"/>
  <c r="BM24" i="38"/>
  <c r="BH10" i="38"/>
  <c r="BN24" i="38"/>
  <c r="AP24" i="38"/>
  <c r="AK11" i="38"/>
  <c r="AQ25" i="38"/>
  <c r="AL11" i="38"/>
  <c r="AR25" i="38"/>
  <c r="AM11" i="38"/>
  <c r="AS25" i="38"/>
  <c r="AN11" i="38"/>
  <c r="AT25" i="38"/>
  <c r="AO11" i="38"/>
  <c r="AU25" i="38"/>
  <c r="AP11" i="38"/>
  <c r="AV25" i="38"/>
  <c r="AQ11" i="38"/>
  <c r="AW25" i="38"/>
  <c r="AR11" i="38"/>
  <c r="AX25" i="38"/>
  <c r="AS11" i="38"/>
  <c r="AY25" i="38"/>
  <c r="AT11" i="38"/>
  <c r="AZ25" i="38"/>
  <c r="AU11" i="38"/>
  <c r="BA25" i="38"/>
  <c r="AV11" i="38"/>
  <c r="BB25" i="38"/>
  <c r="AW11" i="38"/>
  <c r="BC25" i="38"/>
  <c r="AX11" i="38"/>
  <c r="BD25" i="38"/>
  <c r="AY11" i="38"/>
  <c r="BE25" i="38"/>
  <c r="AZ11" i="38"/>
  <c r="BF25" i="38"/>
  <c r="BA11" i="38"/>
  <c r="BG25" i="38"/>
  <c r="BB11" i="38"/>
  <c r="BH25" i="38"/>
  <c r="BC11" i="38"/>
  <c r="BI25" i="38"/>
  <c r="BD11" i="38"/>
  <c r="BJ25" i="38"/>
  <c r="BE11" i="38"/>
  <c r="BK25" i="38"/>
  <c r="BF11" i="38"/>
  <c r="BL25" i="38"/>
  <c r="BG11" i="38"/>
  <c r="BM25" i="38"/>
  <c r="BH11" i="38"/>
  <c r="BN25" i="38"/>
  <c r="AP25" i="38"/>
  <c r="AK12" i="38"/>
  <c r="AQ26" i="38"/>
  <c r="AL12" i="38"/>
  <c r="AR26" i="38"/>
  <c r="AM12" i="38"/>
  <c r="AS26" i="38"/>
  <c r="AN12" i="38"/>
  <c r="AT26" i="38"/>
  <c r="AO12" i="38"/>
  <c r="AU26" i="38"/>
  <c r="AP12" i="38"/>
  <c r="AV26" i="38"/>
  <c r="AQ12" i="38"/>
  <c r="AW26" i="38"/>
  <c r="AR12" i="38"/>
  <c r="AX26" i="38"/>
  <c r="AS12" i="38"/>
  <c r="AY26" i="38"/>
  <c r="AT12" i="38"/>
  <c r="AZ26" i="38"/>
  <c r="AU12" i="38"/>
  <c r="BA26" i="38"/>
  <c r="AV12" i="38"/>
  <c r="BB26" i="38"/>
  <c r="AW12" i="38"/>
  <c r="BC26" i="38"/>
  <c r="AX12" i="38"/>
  <c r="BD26" i="38"/>
  <c r="AY12" i="38"/>
  <c r="BE26" i="38"/>
  <c r="AZ12" i="38"/>
  <c r="BF26" i="38"/>
  <c r="BA12" i="38"/>
  <c r="BG26" i="38"/>
  <c r="BB12" i="38"/>
  <c r="BH26" i="38"/>
  <c r="BC12" i="38"/>
  <c r="BI26" i="38"/>
  <c r="BD12" i="38"/>
  <c r="BJ26" i="38"/>
  <c r="BE12" i="38"/>
  <c r="BK26" i="38"/>
  <c r="BF12" i="38"/>
  <c r="BL26" i="38"/>
  <c r="BG12" i="38"/>
  <c r="BM26" i="38"/>
  <c r="BH12" i="38"/>
  <c r="BN26" i="38"/>
  <c r="AP26" i="38"/>
  <c r="AK13" i="38"/>
  <c r="AQ27" i="38"/>
  <c r="AL13" i="38"/>
  <c r="AR27" i="38"/>
  <c r="AM13" i="38"/>
  <c r="AS27" i="38"/>
  <c r="AN13" i="38"/>
  <c r="AT27" i="38"/>
  <c r="AO13" i="38"/>
  <c r="AU27" i="38"/>
  <c r="AP13" i="38"/>
  <c r="AV27" i="38"/>
  <c r="AQ13" i="38"/>
  <c r="AW27" i="38"/>
  <c r="AR13" i="38"/>
  <c r="AX27" i="38"/>
  <c r="AS13" i="38"/>
  <c r="AY27" i="38"/>
  <c r="AT13" i="38"/>
  <c r="AZ27" i="38"/>
  <c r="AU13" i="38"/>
  <c r="BA27" i="38"/>
  <c r="AV13" i="38"/>
  <c r="BB27" i="38"/>
  <c r="AW13" i="38"/>
  <c r="BC27" i="38"/>
  <c r="AX13" i="38"/>
  <c r="BD27" i="38"/>
  <c r="AY13" i="38"/>
  <c r="BE27" i="38"/>
  <c r="AZ13" i="38"/>
  <c r="BF27" i="38"/>
  <c r="BA13" i="38"/>
  <c r="BG27" i="38"/>
  <c r="BB13" i="38"/>
  <c r="BH27" i="38"/>
  <c r="BC13" i="38"/>
  <c r="BI27" i="38"/>
  <c r="BD13" i="38"/>
  <c r="BJ27" i="38"/>
  <c r="BE13" i="38"/>
  <c r="BK27" i="38"/>
  <c r="BF13" i="38"/>
  <c r="BL27" i="38"/>
  <c r="BG13" i="38"/>
  <c r="BM27" i="38"/>
  <c r="BH13" i="38"/>
  <c r="BN27" i="38"/>
  <c r="AP27" i="38"/>
  <c r="AP28" i="38"/>
  <c r="AN16" i="38"/>
  <c r="AN17" i="38"/>
  <c r="AN18" i="38"/>
  <c r="AN19" i="38"/>
  <c r="AN20" i="38"/>
  <c r="AN21" i="38"/>
  <c r="AN22" i="38"/>
  <c r="AN23" i="38"/>
  <c r="AN24" i="38"/>
  <c r="AN25" i="38"/>
  <c r="AN26" i="38"/>
  <c r="AN27" i="38"/>
  <c r="AN28" i="38"/>
  <c r="AM16" i="38"/>
  <c r="AM17" i="38"/>
  <c r="AM18" i="38"/>
  <c r="AM19" i="38"/>
  <c r="AM20" i="38"/>
  <c r="AM21" i="38"/>
  <c r="AM22" i="38"/>
  <c r="AM23" i="38"/>
  <c r="AM24" i="38"/>
  <c r="AM25" i="38"/>
  <c r="AM26" i="38"/>
  <c r="AM27" i="38"/>
  <c r="AM28" i="38"/>
  <c r="AL16" i="38"/>
  <c r="AL17" i="38"/>
  <c r="AL18" i="38"/>
  <c r="AL19" i="38"/>
  <c r="AL20" i="38"/>
  <c r="AL21" i="38"/>
  <c r="AL22" i="38"/>
  <c r="AL23" i="38"/>
  <c r="AL24" i="38"/>
  <c r="AL25" i="38"/>
  <c r="AL26" i="38"/>
  <c r="AL27" i="38"/>
  <c r="AL28" i="38"/>
  <c r="AK16" i="38"/>
  <c r="AK17" i="38"/>
  <c r="AK18" i="38"/>
  <c r="AK19" i="38"/>
  <c r="AK20" i="38"/>
  <c r="AK21" i="38"/>
  <c r="AK22" i="38"/>
  <c r="AK23" i="38"/>
  <c r="AK24" i="38"/>
  <c r="AK25" i="38"/>
  <c r="AK26" i="38"/>
  <c r="AK27" i="38"/>
  <c r="AK28" i="38"/>
  <c r="Z2" i="38"/>
  <c r="AA2" i="38"/>
  <c r="AB2" i="38"/>
  <c r="AC2" i="38"/>
  <c r="AA16" i="38"/>
  <c r="Z3" i="38"/>
  <c r="AA3" i="38"/>
  <c r="AB3" i="38"/>
  <c r="AC3" i="38"/>
  <c r="AA17" i="38"/>
  <c r="Z4" i="38"/>
  <c r="AA4" i="38"/>
  <c r="AB4" i="38"/>
  <c r="AC4" i="38"/>
  <c r="AA18" i="38"/>
  <c r="Z5" i="38"/>
  <c r="AA5" i="38"/>
  <c r="AB5" i="38"/>
  <c r="AC5" i="38"/>
  <c r="AA19" i="38"/>
  <c r="Z6" i="38"/>
  <c r="AA6" i="38"/>
  <c r="AB6" i="38"/>
  <c r="AC6" i="38"/>
  <c r="AA20" i="38"/>
  <c r="Z7" i="38"/>
  <c r="AA7" i="38"/>
  <c r="AB7" i="38"/>
  <c r="AC7" i="38"/>
  <c r="AA21" i="38"/>
  <c r="Z8" i="38"/>
  <c r="AA8" i="38"/>
  <c r="AB8" i="38"/>
  <c r="AC8" i="38"/>
  <c r="AA22" i="38"/>
  <c r="Z9" i="38"/>
  <c r="AA9" i="38"/>
  <c r="AB9" i="38"/>
  <c r="AC9" i="38"/>
  <c r="AA23" i="38"/>
  <c r="Z10" i="38"/>
  <c r="AA10" i="38"/>
  <c r="AB10" i="38"/>
  <c r="AC10" i="38"/>
  <c r="AA24" i="38"/>
  <c r="Z11" i="38"/>
  <c r="AA11" i="38"/>
  <c r="AB11" i="38"/>
  <c r="AC11" i="38"/>
  <c r="AA25" i="38"/>
  <c r="Z12" i="38"/>
  <c r="AA12" i="38"/>
  <c r="AB12" i="38"/>
  <c r="AC12" i="38"/>
  <c r="AA26" i="38"/>
  <c r="Z13" i="38"/>
  <c r="AA13" i="38"/>
  <c r="AB13" i="38"/>
  <c r="AC13" i="38"/>
  <c r="AA27" i="38"/>
  <c r="AA28" i="38"/>
  <c r="Z16" i="38"/>
  <c r="Z17" i="38"/>
  <c r="Z18" i="38"/>
  <c r="Z19" i="38"/>
  <c r="Z20" i="38"/>
  <c r="Z21" i="38"/>
  <c r="Z22" i="38"/>
  <c r="Z23" i="38"/>
  <c r="Z24" i="38"/>
  <c r="Z25" i="38"/>
  <c r="Z26" i="38"/>
  <c r="Z27" i="38"/>
  <c r="Z28" i="38"/>
  <c r="S28" i="38"/>
  <c r="R28" i="38"/>
  <c r="Q28" i="38"/>
  <c r="P28" i="38"/>
  <c r="N28" i="38"/>
  <c r="M28" i="38"/>
  <c r="L28" i="38"/>
  <c r="K28" i="38"/>
  <c r="D27" i="38"/>
  <c r="G26" i="38"/>
  <c r="N25" i="38"/>
  <c r="M25" i="38"/>
  <c r="L25" i="38"/>
  <c r="K25" i="38"/>
  <c r="D25" i="38"/>
  <c r="G24" i="38"/>
  <c r="H16" i="38"/>
  <c r="D23" i="38"/>
  <c r="G22" i="38"/>
  <c r="G16" i="38"/>
  <c r="D21" i="38"/>
  <c r="G20" i="38"/>
  <c r="M19" i="38"/>
  <c r="W16" i="38"/>
  <c r="V16" i="38"/>
  <c r="U16" i="38"/>
  <c r="M16" i="38"/>
  <c r="E50" i="37"/>
  <c r="A50" i="37"/>
  <c r="E49" i="37"/>
  <c r="A49" i="37"/>
  <c r="E48" i="37"/>
  <c r="A48" i="37"/>
  <c r="E47" i="37"/>
  <c r="A47" i="37"/>
  <c r="E46" i="37"/>
  <c r="A46" i="37"/>
  <c r="E45" i="37"/>
  <c r="A45" i="37"/>
  <c r="E44" i="37"/>
  <c r="A44" i="37"/>
  <c r="E43" i="37"/>
  <c r="A43" i="37"/>
  <c r="X15" i="37"/>
  <c r="E42" i="37"/>
  <c r="A42" i="37"/>
  <c r="X14" i="37"/>
  <c r="E41" i="37"/>
  <c r="AE18" i="37"/>
  <c r="A41" i="37"/>
  <c r="E40" i="37"/>
  <c r="AE17" i="37"/>
  <c r="A40" i="37"/>
  <c r="X12" i="37"/>
  <c r="E39" i="37"/>
  <c r="AE16" i="37"/>
  <c r="A39" i="37"/>
  <c r="X11" i="37"/>
  <c r="X10" i="37"/>
  <c r="X9" i="37"/>
  <c r="X8" i="37"/>
  <c r="X4" i="37"/>
  <c r="X5" i="37"/>
  <c r="X6" i="37"/>
  <c r="AE2" i="37"/>
  <c r="AF2" i="37"/>
  <c r="AG2" i="37"/>
  <c r="AH2" i="37"/>
  <c r="AI2" i="37"/>
  <c r="AG16" i="37"/>
  <c r="AE3" i="37"/>
  <c r="AF3" i="37"/>
  <c r="AG3" i="37"/>
  <c r="AH3" i="37"/>
  <c r="AI3" i="37"/>
  <c r="AG17" i="37"/>
  <c r="AE4" i="37"/>
  <c r="AF4" i="37"/>
  <c r="AG4" i="37"/>
  <c r="AH4" i="37"/>
  <c r="AI4" i="37"/>
  <c r="AG18" i="37"/>
  <c r="AE6" i="37"/>
  <c r="AF6" i="37"/>
  <c r="AG6" i="37"/>
  <c r="AH6" i="37"/>
  <c r="AI6" i="37"/>
  <c r="AG20" i="37"/>
  <c r="AE7" i="37"/>
  <c r="AF7" i="37"/>
  <c r="AG7" i="37"/>
  <c r="AH7" i="37"/>
  <c r="AI7" i="37"/>
  <c r="AG21" i="37"/>
  <c r="AE8" i="37"/>
  <c r="AF8" i="37"/>
  <c r="AG8" i="37"/>
  <c r="AH8" i="37"/>
  <c r="AI8" i="37"/>
  <c r="AG22" i="37"/>
  <c r="AE9" i="37"/>
  <c r="AF9" i="37"/>
  <c r="AG9" i="37"/>
  <c r="AH9" i="37"/>
  <c r="AI9" i="37"/>
  <c r="AG23" i="37"/>
  <c r="AE10" i="37"/>
  <c r="AF10" i="37"/>
  <c r="AG10" i="37"/>
  <c r="AH10" i="37"/>
  <c r="AI10" i="37"/>
  <c r="AG24" i="37"/>
  <c r="AE11" i="37"/>
  <c r="AF11" i="37"/>
  <c r="AG11" i="37"/>
  <c r="AH11" i="37"/>
  <c r="AI11" i="37"/>
  <c r="AG25" i="37"/>
  <c r="AE12" i="37"/>
  <c r="AF12" i="37"/>
  <c r="AG12" i="37"/>
  <c r="AH12" i="37"/>
  <c r="AI12" i="37"/>
  <c r="AG26" i="37"/>
  <c r="AE13" i="37"/>
  <c r="AF13" i="37"/>
  <c r="AG13" i="37"/>
  <c r="AH13" i="37"/>
  <c r="AI13" i="37"/>
  <c r="AG27" i="37"/>
  <c r="AF16" i="37"/>
  <c r="AF17" i="37"/>
  <c r="AF18" i="37"/>
  <c r="AF20" i="37"/>
  <c r="AF21" i="37"/>
  <c r="AF22" i="37"/>
  <c r="AF23" i="37"/>
  <c r="AF24" i="37"/>
  <c r="AF25" i="37"/>
  <c r="AF26" i="37"/>
  <c r="AF27" i="37"/>
  <c r="D31" i="37"/>
  <c r="J29" i="37"/>
  <c r="I29" i="37"/>
  <c r="H29" i="37"/>
  <c r="G29" i="37"/>
  <c r="F16" i="37"/>
  <c r="D29" i="37"/>
  <c r="AK2" i="37"/>
  <c r="AQ16" i="37"/>
  <c r="AL2" i="37"/>
  <c r="AR16" i="37"/>
  <c r="AM2" i="37"/>
  <c r="AS16" i="37"/>
  <c r="AN2" i="37"/>
  <c r="AT16" i="37"/>
  <c r="AO2" i="37"/>
  <c r="AU16" i="37"/>
  <c r="AP2" i="37"/>
  <c r="AV16" i="37"/>
  <c r="AQ2" i="37"/>
  <c r="AW16" i="37"/>
  <c r="AR2" i="37"/>
  <c r="AX16" i="37"/>
  <c r="AS2" i="37"/>
  <c r="AY16" i="37"/>
  <c r="AT2" i="37"/>
  <c r="AZ16" i="37"/>
  <c r="AU2" i="37"/>
  <c r="BA16" i="37"/>
  <c r="AV2" i="37"/>
  <c r="BB16" i="37"/>
  <c r="AW2" i="37"/>
  <c r="BC16" i="37"/>
  <c r="AX2" i="37"/>
  <c r="BD16" i="37"/>
  <c r="AY2" i="37"/>
  <c r="BE16" i="37"/>
  <c r="AZ2" i="37"/>
  <c r="BF16" i="37"/>
  <c r="BA2" i="37"/>
  <c r="BG16" i="37"/>
  <c r="BB2" i="37"/>
  <c r="BH16" i="37"/>
  <c r="BC2" i="37"/>
  <c r="BI16" i="37"/>
  <c r="BD2" i="37"/>
  <c r="BJ16" i="37"/>
  <c r="BE2" i="37"/>
  <c r="BK16" i="37"/>
  <c r="BF2" i="37"/>
  <c r="BL16" i="37"/>
  <c r="BG2" i="37"/>
  <c r="BM16" i="37"/>
  <c r="BH2" i="37"/>
  <c r="BN16" i="37"/>
  <c r="AP16" i="37"/>
  <c r="AK3" i="37"/>
  <c r="AQ17" i="37"/>
  <c r="AL3" i="37"/>
  <c r="AR17" i="37"/>
  <c r="AM3" i="37"/>
  <c r="AS17" i="37"/>
  <c r="AN3" i="37"/>
  <c r="AT17" i="37"/>
  <c r="AO3" i="37"/>
  <c r="AU17" i="37"/>
  <c r="AP3" i="37"/>
  <c r="AV17" i="37"/>
  <c r="AQ3" i="37"/>
  <c r="AW17" i="37"/>
  <c r="AR3" i="37"/>
  <c r="AX17" i="37"/>
  <c r="AS3" i="37"/>
  <c r="AY17" i="37"/>
  <c r="AT3" i="37"/>
  <c r="AZ17" i="37"/>
  <c r="AU3" i="37"/>
  <c r="BA17" i="37"/>
  <c r="AV3" i="37"/>
  <c r="BB17" i="37"/>
  <c r="AW3" i="37"/>
  <c r="BC17" i="37"/>
  <c r="AX3" i="37"/>
  <c r="BD17" i="37"/>
  <c r="AY3" i="37"/>
  <c r="BE17" i="37"/>
  <c r="AZ3" i="37"/>
  <c r="BF17" i="37"/>
  <c r="BA3" i="37"/>
  <c r="BG17" i="37"/>
  <c r="BB3" i="37"/>
  <c r="BH17" i="37"/>
  <c r="BC3" i="37"/>
  <c r="BI17" i="37"/>
  <c r="BD3" i="37"/>
  <c r="BJ17" i="37"/>
  <c r="BE3" i="37"/>
  <c r="BK17" i="37"/>
  <c r="BF3" i="37"/>
  <c r="BL17" i="37"/>
  <c r="BG3" i="37"/>
  <c r="BM17" i="37"/>
  <c r="BH3" i="37"/>
  <c r="BN17" i="37"/>
  <c r="AP17" i="37"/>
  <c r="AK4" i="37"/>
  <c r="AQ18" i="37"/>
  <c r="AL4" i="37"/>
  <c r="AR18" i="37"/>
  <c r="AM4" i="37"/>
  <c r="AS18" i="37"/>
  <c r="AN4" i="37"/>
  <c r="AT18" i="37"/>
  <c r="AO4" i="37"/>
  <c r="AU18" i="37"/>
  <c r="AP4" i="37"/>
  <c r="AV18" i="37"/>
  <c r="AQ4" i="37"/>
  <c r="AW18" i="37"/>
  <c r="AR4" i="37"/>
  <c r="AX18" i="37"/>
  <c r="AS4" i="37"/>
  <c r="AY18" i="37"/>
  <c r="AT4" i="37"/>
  <c r="AZ18" i="37"/>
  <c r="AU4" i="37"/>
  <c r="BA18" i="37"/>
  <c r="AV4" i="37"/>
  <c r="BB18" i="37"/>
  <c r="AW4" i="37"/>
  <c r="BC18" i="37"/>
  <c r="AX4" i="37"/>
  <c r="BD18" i="37"/>
  <c r="AY4" i="37"/>
  <c r="BE18" i="37"/>
  <c r="AZ4" i="37"/>
  <c r="BF18" i="37"/>
  <c r="BA4" i="37"/>
  <c r="BG18" i="37"/>
  <c r="BB4" i="37"/>
  <c r="BH18" i="37"/>
  <c r="BC4" i="37"/>
  <c r="BI18" i="37"/>
  <c r="BD4" i="37"/>
  <c r="BJ18" i="37"/>
  <c r="BE4" i="37"/>
  <c r="BK18" i="37"/>
  <c r="BF4" i="37"/>
  <c r="BL18" i="37"/>
  <c r="BG4" i="37"/>
  <c r="BM18" i="37"/>
  <c r="BH4" i="37"/>
  <c r="BN18" i="37"/>
  <c r="AP18" i="37"/>
  <c r="AK5" i="37"/>
  <c r="AQ19" i="37"/>
  <c r="AL5" i="37"/>
  <c r="AR19" i="37"/>
  <c r="AM5" i="37"/>
  <c r="AS19" i="37"/>
  <c r="AN5" i="37"/>
  <c r="AT19" i="37"/>
  <c r="AO5" i="37"/>
  <c r="AU19" i="37"/>
  <c r="AP5" i="37"/>
  <c r="AV19" i="37"/>
  <c r="AQ5" i="37"/>
  <c r="AW19" i="37"/>
  <c r="AR5" i="37"/>
  <c r="AX19" i="37"/>
  <c r="AS5" i="37"/>
  <c r="AY19" i="37"/>
  <c r="AT5" i="37"/>
  <c r="AZ19" i="37"/>
  <c r="AU5" i="37"/>
  <c r="BA19" i="37"/>
  <c r="AV5" i="37"/>
  <c r="BB19" i="37"/>
  <c r="AW5" i="37"/>
  <c r="BC19" i="37"/>
  <c r="AX5" i="37"/>
  <c r="BD19" i="37"/>
  <c r="AY5" i="37"/>
  <c r="BE19" i="37"/>
  <c r="AZ5" i="37"/>
  <c r="BF19" i="37"/>
  <c r="BA5" i="37"/>
  <c r="BG19" i="37"/>
  <c r="BB5" i="37"/>
  <c r="BH19" i="37"/>
  <c r="BC5" i="37"/>
  <c r="BI19" i="37"/>
  <c r="BD5" i="37"/>
  <c r="BJ19" i="37"/>
  <c r="BE5" i="37"/>
  <c r="BK19" i="37"/>
  <c r="BF5" i="37"/>
  <c r="BL19" i="37"/>
  <c r="BG5" i="37"/>
  <c r="BM19" i="37"/>
  <c r="BH5" i="37"/>
  <c r="BN19" i="37"/>
  <c r="AP19" i="37"/>
  <c r="AK6" i="37"/>
  <c r="AQ20" i="37"/>
  <c r="AL6" i="37"/>
  <c r="AR20" i="37"/>
  <c r="AM6" i="37"/>
  <c r="AS20" i="37"/>
  <c r="AN6" i="37"/>
  <c r="AT20" i="37"/>
  <c r="AO6" i="37"/>
  <c r="AU20" i="37"/>
  <c r="AP6" i="37"/>
  <c r="AV20" i="37"/>
  <c r="AQ6" i="37"/>
  <c r="AW20" i="37"/>
  <c r="AR6" i="37"/>
  <c r="AX20" i="37"/>
  <c r="AS6" i="37"/>
  <c r="AY20" i="37"/>
  <c r="AT6" i="37"/>
  <c r="AZ20" i="37"/>
  <c r="AU6" i="37"/>
  <c r="BA20" i="37"/>
  <c r="AV6" i="37"/>
  <c r="BB20" i="37"/>
  <c r="AW6" i="37"/>
  <c r="BC20" i="37"/>
  <c r="AX6" i="37"/>
  <c r="BD20" i="37"/>
  <c r="AY6" i="37"/>
  <c r="BE20" i="37"/>
  <c r="AZ6" i="37"/>
  <c r="BF20" i="37"/>
  <c r="BA6" i="37"/>
  <c r="BG20" i="37"/>
  <c r="BB6" i="37"/>
  <c r="BH20" i="37"/>
  <c r="BC6" i="37"/>
  <c r="BI20" i="37"/>
  <c r="BD6" i="37"/>
  <c r="BJ20" i="37"/>
  <c r="BE6" i="37"/>
  <c r="BK20" i="37"/>
  <c r="BF6" i="37"/>
  <c r="BL20" i="37"/>
  <c r="BG6" i="37"/>
  <c r="BM20" i="37"/>
  <c r="BH6" i="37"/>
  <c r="BN20" i="37"/>
  <c r="AP20" i="37"/>
  <c r="AK7" i="37"/>
  <c r="AQ21" i="37"/>
  <c r="AL7" i="37"/>
  <c r="AR21" i="37"/>
  <c r="AM7" i="37"/>
  <c r="AS21" i="37"/>
  <c r="AN7" i="37"/>
  <c r="AT21" i="37"/>
  <c r="AO7" i="37"/>
  <c r="AU21" i="37"/>
  <c r="AP7" i="37"/>
  <c r="AV21" i="37"/>
  <c r="AQ7" i="37"/>
  <c r="AW21" i="37"/>
  <c r="AR7" i="37"/>
  <c r="AX21" i="37"/>
  <c r="AS7" i="37"/>
  <c r="AY21" i="37"/>
  <c r="AT7" i="37"/>
  <c r="AZ21" i="37"/>
  <c r="AU7" i="37"/>
  <c r="BA21" i="37"/>
  <c r="AV7" i="37"/>
  <c r="BB21" i="37"/>
  <c r="AW7" i="37"/>
  <c r="BC21" i="37"/>
  <c r="AX7" i="37"/>
  <c r="BD21" i="37"/>
  <c r="AY7" i="37"/>
  <c r="BE21" i="37"/>
  <c r="AZ7" i="37"/>
  <c r="BF21" i="37"/>
  <c r="BA7" i="37"/>
  <c r="BG21" i="37"/>
  <c r="BB7" i="37"/>
  <c r="BH21" i="37"/>
  <c r="BC7" i="37"/>
  <c r="BI21" i="37"/>
  <c r="BD7" i="37"/>
  <c r="BJ21" i="37"/>
  <c r="BE7" i="37"/>
  <c r="BK21" i="37"/>
  <c r="BF7" i="37"/>
  <c r="BL21" i="37"/>
  <c r="BG7" i="37"/>
  <c r="BM21" i="37"/>
  <c r="BH7" i="37"/>
  <c r="BN21" i="37"/>
  <c r="AP21" i="37"/>
  <c r="AK8" i="37"/>
  <c r="AQ22" i="37"/>
  <c r="AL8" i="37"/>
  <c r="AR22" i="37"/>
  <c r="AM8" i="37"/>
  <c r="AS22" i="37"/>
  <c r="AN8" i="37"/>
  <c r="AT22" i="37"/>
  <c r="AO8" i="37"/>
  <c r="AU22" i="37"/>
  <c r="AP8" i="37"/>
  <c r="AV22" i="37"/>
  <c r="AQ8" i="37"/>
  <c r="AW22" i="37"/>
  <c r="AR8" i="37"/>
  <c r="AX22" i="37"/>
  <c r="AS8" i="37"/>
  <c r="AY22" i="37"/>
  <c r="AT8" i="37"/>
  <c r="AZ22" i="37"/>
  <c r="AU8" i="37"/>
  <c r="BA22" i="37"/>
  <c r="AV8" i="37"/>
  <c r="BB22" i="37"/>
  <c r="AW8" i="37"/>
  <c r="BC22" i="37"/>
  <c r="AX8" i="37"/>
  <c r="BD22" i="37"/>
  <c r="AY8" i="37"/>
  <c r="BE22" i="37"/>
  <c r="AZ8" i="37"/>
  <c r="BF22" i="37"/>
  <c r="BA8" i="37"/>
  <c r="BG22" i="37"/>
  <c r="BB8" i="37"/>
  <c r="BH22" i="37"/>
  <c r="BC8" i="37"/>
  <c r="BI22" i="37"/>
  <c r="BD8" i="37"/>
  <c r="BJ22" i="37"/>
  <c r="BE8" i="37"/>
  <c r="BK22" i="37"/>
  <c r="BF8" i="37"/>
  <c r="BL22" i="37"/>
  <c r="BG8" i="37"/>
  <c r="BM22" i="37"/>
  <c r="BH8" i="37"/>
  <c r="BN22" i="37"/>
  <c r="AP22" i="37"/>
  <c r="AK9" i="37"/>
  <c r="AQ23" i="37"/>
  <c r="AL9" i="37"/>
  <c r="AR23" i="37"/>
  <c r="AM9" i="37"/>
  <c r="AS23" i="37"/>
  <c r="AN9" i="37"/>
  <c r="AT23" i="37"/>
  <c r="AO9" i="37"/>
  <c r="AU23" i="37"/>
  <c r="AP9" i="37"/>
  <c r="AV23" i="37"/>
  <c r="AQ9" i="37"/>
  <c r="AW23" i="37"/>
  <c r="AR9" i="37"/>
  <c r="AX23" i="37"/>
  <c r="AS9" i="37"/>
  <c r="AY23" i="37"/>
  <c r="AT9" i="37"/>
  <c r="AZ23" i="37"/>
  <c r="AU9" i="37"/>
  <c r="BA23" i="37"/>
  <c r="AV9" i="37"/>
  <c r="BB23" i="37"/>
  <c r="AW9" i="37"/>
  <c r="BC23" i="37"/>
  <c r="AX9" i="37"/>
  <c r="BD23" i="37"/>
  <c r="AY9" i="37"/>
  <c r="BE23" i="37"/>
  <c r="AZ9" i="37"/>
  <c r="BF23" i="37"/>
  <c r="BA9" i="37"/>
  <c r="BG23" i="37"/>
  <c r="BB9" i="37"/>
  <c r="BH23" i="37"/>
  <c r="BC9" i="37"/>
  <c r="BI23" i="37"/>
  <c r="BD9" i="37"/>
  <c r="BJ23" i="37"/>
  <c r="BE9" i="37"/>
  <c r="BK23" i="37"/>
  <c r="BF9" i="37"/>
  <c r="BL23" i="37"/>
  <c r="BG9" i="37"/>
  <c r="BM23" i="37"/>
  <c r="BH9" i="37"/>
  <c r="BN23" i="37"/>
  <c r="AP23" i="37"/>
  <c r="AK10" i="37"/>
  <c r="AQ24" i="37"/>
  <c r="AL10" i="37"/>
  <c r="AR24" i="37"/>
  <c r="AM10" i="37"/>
  <c r="AS24" i="37"/>
  <c r="AN10" i="37"/>
  <c r="AT24" i="37"/>
  <c r="AO10" i="37"/>
  <c r="AU24" i="37"/>
  <c r="AP10" i="37"/>
  <c r="AV24" i="37"/>
  <c r="AQ10" i="37"/>
  <c r="AW24" i="37"/>
  <c r="AR10" i="37"/>
  <c r="AX24" i="37"/>
  <c r="AS10" i="37"/>
  <c r="AY24" i="37"/>
  <c r="AT10" i="37"/>
  <c r="AZ24" i="37"/>
  <c r="AU10" i="37"/>
  <c r="BA24" i="37"/>
  <c r="AV10" i="37"/>
  <c r="BB24" i="37"/>
  <c r="AW10" i="37"/>
  <c r="BC24" i="37"/>
  <c r="AX10" i="37"/>
  <c r="BD24" i="37"/>
  <c r="AY10" i="37"/>
  <c r="BE24" i="37"/>
  <c r="AZ10" i="37"/>
  <c r="BF24" i="37"/>
  <c r="BA10" i="37"/>
  <c r="BG24" i="37"/>
  <c r="BB10" i="37"/>
  <c r="BH24" i="37"/>
  <c r="BC10" i="37"/>
  <c r="BI24" i="37"/>
  <c r="BD10" i="37"/>
  <c r="BJ24" i="37"/>
  <c r="BE10" i="37"/>
  <c r="BK24" i="37"/>
  <c r="BF10" i="37"/>
  <c r="BL24" i="37"/>
  <c r="BG10" i="37"/>
  <c r="BM24" i="37"/>
  <c r="BH10" i="37"/>
  <c r="BN24" i="37"/>
  <c r="AP24" i="37"/>
  <c r="AK11" i="37"/>
  <c r="AQ25" i="37"/>
  <c r="AL11" i="37"/>
  <c r="AR25" i="37"/>
  <c r="AM11" i="37"/>
  <c r="AS25" i="37"/>
  <c r="AN11" i="37"/>
  <c r="AT25" i="37"/>
  <c r="AO11" i="37"/>
  <c r="AU25" i="37"/>
  <c r="AP11" i="37"/>
  <c r="AV25" i="37"/>
  <c r="AQ11" i="37"/>
  <c r="AW25" i="37"/>
  <c r="AR11" i="37"/>
  <c r="AX25" i="37"/>
  <c r="AS11" i="37"/>
  <c r="AY25" i="37"/>
  <c r="AT11" i="37"/>
  <c r="AZ25" i="37"/>
  <c r="AU11" i="37"/>
  <c r="BA25" i="37"/>
  <c r="AV11" i="37"/>
  <c r="BB25" i="37"/>
  <c r="AW11" i="37"/>
  <c r="BC25" i="37"/>
  <c r="AX11" i="37"/>
  <c r="BD25" i="37"/>
  <c r="AY11" i="37"/>
  <c r="BE25" i="37"/>
  <c r="AZ11" i="37"/>
  <c r="BF25" i="37"/>
  <c r="BA11" i="37"/>
  <c r="BG25" i="37"/>
  <c r="BB11" i="37"/>
  <c r="BH25" i="37"/>
  <c r="BC11" i="37"/>
  <c r="BI25" i="37"/>
  <c r="BD11" i="37"/>
  <c r="BJ25" i="37"/>
  <c r="BE11" i="37"/>
  <c r="BK25" i="37"/>
  <c r="BF11" i="37"/>
  <c r="BL25" i="37"/>
  <c r="BG11" i="37"/>
  <c r="BM25" i="37"/>
  <c r="BH11" i="37"/>
  <c r="BN25" i="37"/>
  <c r="AP25" i="37"/>
  <c r="AK12" i="37"/>
  <c r="AQ26" i="37"/>
  <c r="AL12" i="37"/>
  <c r="AR26" i="37"/>
  <c r="AM12" i="37"/>
  <c r="AS26" i="37"/>
  <c r="AN12" i="37"/>
  <c r="AT26" i="37"/>
  <c r="AO12" i="37"/>
  <c r="AU26" i="37"/>
  <c r="AP12" i="37"/>
  <c r="AV26" i="37"/>
  <c r="AQ12" i="37"/>
  <c r="AW26" i="37"/>
  <c r="AR12" i="37"/>
  <c r="AX26" i="37"/>
  <c r="AS12" i="37"/>
  <c r="AY26" i="37"/>
  <c r="AT12" i="37"/>
  <c r="AZ26" i="37"/>
  <c r="AU12" i="37"/>
  <c r="BA26" i="37"/>
  <c r="AV12" i="37"/>
  <c r="BB26" i="37"/>
  <c r="AW12" i="37"/>
  <c r="BC26" i="37"/>
  <c r="AX12" i="37"/>
  <c r="BD26" i="37"/>
  <c r="AY12" i="37"/>
  <c r="BE26" i="37"/>
  <c r="AZ12" i="37"/>
  <c r="BF26" i="37"/>
  <c r="BA12" i="37"/>
  <c r="BG26" i="37"/>
  <c r="BB12" i="37"/>
  <c r="BH26" i="37"/>
  <c r="BC12" i="37"/>
  <c r="BI26" i="37"/>
  <c r="BD12" i="37"/>
  <c r="BJ26" i="37"/>
  <c r="BE12" i="37"/>
  <c r="BK26" i="37"/>
  <c r="BF12" i="37"/>
  <c r="BL26" i="37"/>
  <c r="BG12" i="37"/>
  <c r="BM26" i="37"/>
  <c r="BH12" i="37"/>
  <c r="BN26" i="37"/>
  <c r="AP26" i="37"/>
  <c r="AK13" i="37"/>
  <c r="AQ27" i="37"/>
  <c r="AL13" i="37"/>
  <c r="AR27" i="37"/>
  <c r="AM13" i="37"/>
  <c r="AS27" i="37"/>
  <c r="AN13" i="37"/>
  <c r="AT27" i="37"/>
  <c r="AO13" i="37"/>
  <c r="AU27" i="37"/>
  <c r="AP13" i="37"/>
  <c r="AV27" i="37"/>
  <c r="AQ13" i="37"/>
  <c r="AW27" i="37"/>
  <c r="AR13" i="37"/>
  <c r="AX27" i="37"/>
  <c r="AS13" i="37"/>
  <c r="AY27" i="37"/>
  <c r="AT13" i="37"/>
  <c r="AZ27" i="37"/>
  <c r="AU13" i="37"/>
  <c r="BA27" i="37"/>
  <c r="AV13" i="37"/>
  <c r="BB27" i="37"/>
  <c r="AW13" i="37"/>
  <c r="BC27" i="37"/>
  <c r="AX13" i="37"/>
  <c r="BD27" i="37"/>
  <c r="AY13" i="37"/>
  <c r="BE27" i="37"/>
  <c r="AZ13" i="37"/>
  <c r="BF27" i="37"/>
  <c r="BA13" i="37"/>
  <c r="BG27" i="37"/>
  <c r="BB13" i="37"/>
  <c r="BH27" i="37"/>
  <c r="BC13" i="37"/>
  <c r="BI27" i="37"/>
  <c r="BD13" i="37"/>
  <c r="BJ27" i="37"/>
  <c r="BE13" i="37"/>
  <c r="BK27" i="37"/>
  <c r="BF13" i="37"/>
  <c r="BL27" i="37"/>
  <c r="BG13" i="37"/>
  <c r="BM27" i="37"/>
  <c r="BH13" i="37"/>
  <c r="BN27" i="37"/>
  <c r="AP27" i="37"/>
  <c r="AP28" i="37"/>
  <c r="AN16" i="37"/>
  <c r="AN17" i="37"/>
  <c r="AN18" i="37"/>
  <c r="AN19" i="37"/>
  <c r="AN20" i="37"/>
  <c r="AN21" i="37"/>
  <c r="AN22" i="37"/>
  <c r="AN23" i="37"/>
  <c r="AN24" i="37"/>
  <c r="AN25" i="37"/>
  <c r="AN26" i="37"/>
  <c r="AN27" i="37"/>
  <c r="AN28" i="37"/>
  <c r="AM16" i="37"/>
  <c r="AM17" i="37"/>
  <c r="AM18" i="37"/>
  <c r="AM19" i="37"/>
  <c r="AM20" i="37"/>
  <c r="AM21" i="37"/>
  <c r="AM22" i="37"/>
  <c r="AM23" i="37"/>
  <c r="AM24" i="37"/>
  <c r="AM25" i="37"/>
  <c r="AM26" i="37"/>
  <c r="AM27" i="37"/>
  <c r="AM28" i="37"/>
  <c r="AL16" i="37"/>
  <c r="AL17" i="37"/>
  <c r="AL18" i="37"/>
  <c r="AL19" i="37"/>
  <c r="AL20" i="37"/>
  <c r="AL21" i="37"/>
  <c r="AL22" i="37"/>
  <c r="AL23" i="37"/>
  <c r="AL24" i="37"/>
  <c r="AL25" i="37"/>
  <c r="AL26" i="37"/>
  <c r="AL27" i="37"/>
  <c r="AL28" i="37"/>
  <c r="AK16" i="37"/>
  <c r="AK17" i="37"/>
  <c r="AK18" i="37"/>
  <c r="AK19" i="37"/>
  <c r="AK20" i="37"/>
  <c r="AK21" i="37"/>
  <c r="AK22" i="37"/>
  <c r="AK23" i="37"/>
  <c r="AK24" i="37"/>
  <c r="AK25" i="37"/>
  <c r="AK26" i="37"/>
  <c r="AK27" i="37"/>
  <c r="AK28" i="37"/>
  <c r="Z2" i="37"/>
  <c r="AA2" i="37"/>
  <c r="AB2" i="37"/>
  <c r="AC2" i="37"/>
  <c r="AA16" i="37"/>
  <c r="Z3" i="37"/>
  <c r="AA3" i="37"/>
  <c r="AB3" i="37"/>
  <c r="AC3" i="37"/>
  <c r="AA17" i="37"/>
  <c r="Z4" i="37"/>
  <c r="AA4" i="37"/>
  <c r="AB4" i="37"/>
  <c r="AC4" i="37"/>
  <c r="AA18" i="37"/>
  <c r="Z5" i="37"/>
  <c r="AA5" i="37"/>
  <c r="AB5" i="37"/>
  <c r="AC5" i="37"/>
  <c r="AA19" i="37"/>
  <c r="Z6" i="37"/>
  <c r="AA6" i="37"/>
  <c r="AB6" i="37"/>
  <c r="AC6" i="37"/>
  <c r="AA20" i="37"/>
  <c r="Z7" i="37"/>
  <c r="AA7" i="37"/>
  <c r="AB7" i="37"/>
  <c r="AC7" i="37"/>
  <c r="AA21" i="37"/>
  <c r="Z8" i="37"/>
  <c r="AA8" i="37"/>
  <c r="AB8" i="37"/>
  <c r="AC8" i="37"/>
  <c r="AA22" i="37"/>
  <c r="Z9" i="37"/>
  <c r="AA9" i="37"/>
  <c r="AB9" i="37"/>
  <c r="AC9" i="37"/>
  <c r="AA23" i="37"/>
  <c r="Z10" i="37"/>
  <c r="AA10" i="37"/>
  <c r="AB10" i="37"/>
  <c r="AC10" i="37"/>
  <c r="AA24" i="37"/>
  <c r="Z11" i="37"/>
  <c r="AA11" i="37"/>
  <c r="AB11" i="37"/>
  <c r="AC11" i="37"/>
  <c r="AA25" i="37"/>
  <c r="Z12" i="37"/>
  <c r="AA12" i="37"/>
  <c r="AB12" i="37"/>
  <c r="AC12" i="37"/>
  <c r="AA26" i="37"/>
  <c r="Z13" i="37"/>
  <c r="AA13" i="37"/>
  <c r="AB13" i="37"/>
  <c r="AC13" i="37"/>
  <c r="AA27" i="37"/>
  <c r="AA28" i="37"/>
  <c r="Z16" i="37"/>
  <c r="Z17" i="37"/>
  <c r="Z18" i="37"/>
  <c r="Z19" i="37"/>
  <c r="Z20" i="37"/>
  <c r="Z21" i="37"/>
  <c r="Z22" i="37"/>
  <c r="Z23" i="37"/>
  <c r="Z24" i="37"/>
  <c r="Z25" i="37"/>
  <c r="Z26" i="37"/>
  <c r="Z27" i="37"/>
  <c r="Z28" i="37"/>
  <c r="S28" i="37"/>
  <c r="R28" i="37"/>
  <c r="Q28" i="37"/>
  <c r="P28" i="37"/>
  <c r="N28" i="37"/>
  <c r="M28" i="37"/>
  <c r="L28" i="37"/>
  <c r="K28" i="37"/>
  <c r="D27" i="37"/>
  <c r="G26" i="37"/>
  <c r="N25" i="37"/>
  <c r="M25" i="37"/>
  <c r="L25" i="37"/>
  <c r="K25" i="37"/>
  <c r="D25" i="37"/>
  <c r="G24" i="37"/>
  <c r="H16" i="37"/>
  <c r="D23" i="37"/>
  <c r="G22" i="37"/>
  <c r="G16" i="37"/>
  <c r="D21" i="37"/>
  <c r="G20" i="37"/>
  <c r="M19" i="37"/>
  <c r="W16" i="37"/>
  <c r="V16" i="37"/>
  <c r="U16" i="37"/>
  <c r="E50" i="36"/>
  <c r="A50" i="36"/>
  <c r="E49" i="36"/>
  <c r="A49" i="36"/>
  <c r="E48" i="36"/>
  <c r="A48" i="36"/>
  <c r="E47" i="36"/>
  <c r="A47" i="36"/>
  <c r="E46" i="36"/>
  <c r="A46" i="36"/>
  <c r="E45" i="36"/>
  <c r="A45" i="36"/>
  <c r="E44" i="36"/>
  <c r="A44" i="36"/>
  <c r="E43" i="36"/>
  <c r="A43" i="36"/>
  <c r="E42" i="36"/>
  <c r="A42" i="36"/>
  <c r="E41" i="36"/>
  <c r="AE18" i="36"/>
  <c r="A41" i="36"/>
  <c r="X13" i="36"/>
  <c r="E40" i="36"/>
  <c r="AE17" i="36"/>
  <c r="A40" i="36"/>
  <c r="X12" i="36"/>
  <c r="E39" i="36"/>
  <c r="AE16" i="36"/>
  <c r="A39" i="36"/>
  <c r="X10" i="36"/>
  <c r="X9" i="36"/>
  <c r="X8" i="36"/>
  <c r="X4" i="36"/>
  <c r="X5" i="36"/>
  <c r="X6" i="36"/>
  <c r="AE2" i="36"/>
  <c r="AF2" i="36"/>
  <c r="AG2" i="36"/>
  <c r="AH2" i="36"/>
  <c r="AI2" i="36"/>
  <c r="AG16" i="36"/>
  <c r="AE3" i="36"/>
  <c r="AF3" i="36"/>
  <c r="AG3" i="36"/>
  <c r="AH3" i="36"/>
  <c r="AI3" i="36"/>
  <c r="AG17" i="36"/>
  <c r="AE4" i="36"/>
  <c r="AF4" i="36"/>
  <c r="AG4" i="36"/>
  <c r="AH4" i="36"/>
  <c r="AI4" i="36"/>
  <c r="AG18" i="36"/>
  <c r="AE6" i="36"/>
  <c r="AF6" i="36"/>
  <c r="AG6" i="36"/>
  <c r="AH6" i="36"/>
  <c r="AI6" i="36"/>
  <c r="AG20" i="36"/>
  <c r="AE7" i="36"/>
  <c r="AF7" i="36"/>
  <c r="AG7" i="36"/>
  <c r="AH7" i="36"/>
  <c r="AI7" i="36"/>
  <c r="AG21" i="36"/>
  <c r="AE9" i="36"/>
  <c r="AF9" i="36"/>
  <c r="AG9" i="36"/>
  <c r="AH9" i="36"/>
  <c r="AI9" i="36"/>
  <c r="AG23" i="36"/>
  <c r="AE10" i="36"/>
  <c r="AF10" i="36"/>
  <c r="AG10" i="36"/>
  <c r="AH10" i="36"/>
  <c r="AI10" i="36"/>
  <c r="AG24" i="36"/>
  <c r="AE11" i="36"/>
  <c r="AF11" i="36"/>
  <c r="AG11" i="36"/>
  <c r="AH11" i="36"/>
  <c r="AI11" i="36"/>
  <c r="AG25" i="36"/>
  <c r="AE12" i="36"/>
  <c r="AF12" i="36"/>
  <c r="AG12" i="36"/>
  <c r="AH12" i="36"/>
  <c r="AI12" i="36"/>
  <c r="AG26" i="36"/>
  <c r="AE13" i="36"/>
  <c r="AF13" i="36"/>
  <c r="AG13" i="36"/>
  <c r="AH13" i="36"/>
  <c r="AI13" i="36"/>
  <c r="AG27" i="36"/>
  <c r="AF16" i="36"/>
  <c r="AF17" i="36"/>
  <c r="AF18" i="36"/>
  <c r="AF20" i="36"/>
  <c r="AF21" i="36"/>
  <c r="AF23" i="36"/>
  <c r="AF24" i="36"/>
  <c r="AF25" i="36"/>
  <c r="AF26" i="36"/>
  <c r="AF27" i="36"/>
  <c r="D31" i="36"/>
  <c r="J29" i="36"/>
  <c r="I29" i="36"/>
  <c r="H29" i="36"/>
  <c r="G29" i="36"/>
  <c r="F16" i="36"/>
  <c r="D29" i="36"/>
  <c r="AK2" i="36"/>
  <c r="AQ16" i="36"/>
  <c r="AL2" i="36"/>
  <c r="AR16" i="36"/>
  <c r="AM2" i="36"/>
  <c r="AS16" i="36"/>
  <c r="AN2" i="36"/>
  <c r="AT16" i="36"/>
  <c r="AO2" i="36"/>
  <c r="AU16" i="36"/>
  <c r="AP2" i="36"/>
  <c r="AV16" i="36"/>
  <c r="AQ2" i="36"/>
  <c r="AW16" i="36"/>
  <c r="AR2" i="36"/>
  <c r="AX16" i="36"/>
  <c r="AS2" i="36"/>
  <c r="AY16" i="36"/>
  <c r="AT2" i="36"/>
  <c r="AZ16" i="36"/>
  <c r="AU2" i="36"/>
  <c r="BA16" i="36"/>
  <c r="AV2" i="36"/>
  <c r="BB16" i="36"/>
  <c r="AW2" i="36"/>
  <c r="BC16" i="36"/>
  <c r="AX2" i="36"/>
  <c r="BD16" i="36"/>
  <c r="AY2" i="36"/>
  <c r="BE16" i="36"/>
  <c r="AZ2" i="36"/>
  <c r="BF16" i="36"/>
  <c r="BA2" i="36"/>
  <c r="BG16" i="36"/>
  <c r="BB2" i="36"/>
  <c r="BH16" i="36"/>
  <c r="BC2" i="36"/>
  <c r="BI16" i="36"/>
  <c r="BD2" i="36"/>
  <c r="BJ16" i="36"/>
  <c r="BE2" i="36"/>
  <c r="BK16" i="36"/>
  <c r="BF2" i="36"/>
  <c r="BL16" i="36"/>
  <c r="BG2" i="36"/>
  <c r="BM16" i="36"/>
  <c r="BH2" i="36"/>
  <c r="BN16" i="36"/>
  <c r="AP16" i="36"/>
  <c r="AK3" i="36"/>
  <c r="AQ17" i="36"/>
  <c r="AL3" i="36"/>
  <c r="AR17" i="36"/>
  <c r="AM3" i="36"/>
  <c r="AS17" i="36"/>
  <c r="AN3" i="36"/>
  <c r="AT17" i="36"/>
  <c r="AO3" i="36"/>
  <c r="AU17" i="36"/>
  <c r="AP3" i="36"/>
  <c r="AV17" i="36"/>
  <c r="AQ3" i="36"/>
  <c r="AW17" i="36"/>
  <c r="AR3" i="36"/>
  <c r="AX17" i="36"/>
  <c r="AS3" i="36"/>
  <c r="AY17" i="36"/>
  <c r="AT3" i="36"/>
  <c r="AZ17" i="36"/>
  <c r="AU3" i="36"/>
  <c r="BA17" i="36"/>
  <c r="AV3" i="36"/>
  <c r="BB17" i="36"/>
  <c r="AW3" i="36"/>
  <c r="BC17" i="36"/>
  <c r="AX3" i="36"/>
  <c r="BD17" i="36"/>
  <c r="AY3" i="36"/>
  <c r="BE17" i="36"/>
  <c r="AZ3" i="36"/>
  <c r="BF17" i="36"/>
  <c r="BA3" i="36"/>
  <c r="BG17" i="36"/>
  <c r="BB3" i="36"/>
  <c r="BH17" i="36"/>
  <c r="BC3" i="36"/>
  <c r="BI17" i="36"/>
  <c r="BD3" i="36"/>
  <c r="BJ17" i="36"/>
  <c r="BE3" i="36"/>
  <c r="BK17" i="36"/>
  <c r="BF3" i="36"/>
  <c r="BL17" i="36"/>
  <c r="BG3" i="36"/>
  <c r="BM17" i="36"/>
  <c r="BH3" i="36"/>
  <c r="BN17" i="36"/>
  <c r="AP17" i="36"/>
  <c r="AK4" i="36"/>
  <c r="AQ18" i="36"/>
  <c r="AL4" i="36"/>
  <c r="AR18" i="36"/>
  <c r="AM4" i="36"/>
  <c r="AS18" i="36"/>
  <c r="AN4" i="36"/>
  <c r="AT18" i="36"/>
  <c r="AO4" i="36"/>
  <c r="AU18" i="36"/>
  <c r="AP4" i="36"/>
  <c r="AV18" i="36"/>
  <c r="AQ4" i="36"/>
  <c r="AW18" i="36"/>
  <c r="AR4" i="36"/>
  <c r="AX18" i="36"/>
  <c r="AS4" i="36"/>
  <c r="AY18" i="36"/>
  <c r="AT4" i="36"/>
  <c r="AZ18" i="36"/>
  <c r="AU4" i="36"/>
  <c r="BA18" i="36"/>
  <c r="AV4" i="36"/>
  <c r="BB18" i="36"/>
  <c r="AW4" i="36"/>
  <c r="BC18" i="36"/>
  <c r="AX4" i="36"/>
  <c r="BD18" i="36"/>
  <c r="AY4" i="36"/>
  <c r="BE18" i="36"/>
  <c r="AZ4" i="36"/>
  <c r="BF18" i="36"/>
  <c r="BA4" i="36"/>
  <c r="BG18" i="36"/>
  <c r="BB4" i="36"/>
  <c r="BH18" i="36"/>
  <c r="BC4" i="36"/>
  <c r="BI18" i="36"/>
  <c r="BD4" i="36"/>
  <c r="BJ18" i="36"/>
  <c r="BE4" i="36"/>
  <c r="BK18" i="36"/>
  <c r="BF4" i="36"/>
  <c r="BL18" i="36"/>
  <c r="BG4" i="36"/>
  <c r="BM18" i="36"/>
  <c r="BH4" i="36"/>
  <c r="BN18" i="36"/>
  <c r="AP18" i="36"/>
  <c r="AK5" i="36"/>
  <c r="AQ19" i="36"/>
  <c r="AL5" i="36"/>
  <c r="AR19" i="36"/>
  <c r="AM5" i="36"/>
  <c r="AS19" i="36"/>
  <c r="AN5" i="36"/>
  <c r="AT19" i="36"/>
  <c r="AO5" i="36"/>
  <c r="AU19" i="36"/>
  <c r="AP5" i="36"/>
  <c r="AV19" i="36"/>
  <c r="AQ5" i="36"/>
  <c r="AW19" i="36"/>
  <c r="AR5" i="36"/>
  <c r="AX19" i="36"/>
  <c r="AS5" i="36"/>
  <c r="AY19" i="36"/>
  <c r="AT5" i="36"/>
  <c r="AZ19" i="36"/>
  <c r="AU5" i="36"/>
  <c r="BA19" i="36"/>
  <c r="AV5" i="36"/>
  <c r="BB19" i="36"/>
  <c r="AW5" i="36"/>
  <c r="BC19" i="36"/>
  <c r="AX5" i="36"/>
  <c r="BD19" i="36"/>
  <c r="AY5" i="36"/>
  <c r="BE19" i="36"/>
  <c r="AZ5" i="36"/>
  <c r="BF19" i="36"/>
  <c r="BA5" i="36"/>
  <c r="BG19" i="36"/>
  <c r="BB5" i="36"/>
  <c r="BH19" i="36"/>
  <c r="BC5" i="36"/>
  <c r="BI19" i="36"/>
  <c r="BD5" i="36"/>
  <c r="BJ19" i="36"/>
  <c r="BE5" i="36"/>
  <c r="BK19" i="36"/>
  <c r="BF5" i="36"/>
  <c r="BL19" i="36"/>
  <c r="BG5" i="36"/>
  <c r="BM19" i="36"/>
  <c r="BH5" i="36"/>
  <c r="BN19" i="36"/>
  <c r="AP19" i="36"/>
  <c r="AK6" i="36"/>
  <c r="AQ20" i="36"/>
  <c r="AL6" i="36"/>
  <c r="AR20" i="36"/>
  <c r="AM6" i="36"/>
  <c r="AS20" i="36"/>
  <c r="AN6" i="36"/>
  <c r="AT20" i="36"/>
  <c r="AO6" i="36"/>
  <c r="AU20" i="36"/>
  <c r="AP6" i="36"/>
  <c r="AV20" i="36"/>
  <c r="AQ6" i="36"/>
  <c r="AW20" i="36"/>
  <c r="AR6" i="36"/>
  <c r="AX20" i="36"/>
  <c r="AS6" i="36"/>
  <c r="AY20" i="36"/>
  <c r="AT6" i="36"/>
  <c r="AZ20" i="36"/>
  <c r="AU6" i="36"/>
  <c r="BA20" i="36"/>
  <c r="AV6" i="36"/>
  <c r="BB20" i="36"/>
  <c r="AW6" i="36"/>
  <c r="BC20" i="36"/>
  <c r="AX6" i="36"/>
  <c r="BD20" i="36"/>
  <c r="AY6" i="36"/>
  <c r="BE20" i="36"/>
  <c r="AZ6" i="36"/>
  <c r="BF20" i="36"/>
  <c r="BA6" i="36"/>
  <c r="BG20" i="36"/>
  <c r="BB6" i="36"/>
  <c r="BH20" i="36"/>
  <c r="BC6" i="36"/>
  <c r="BI20" i="36"/>
  <c r="BD6" i="36"/>
  <c r="BJ20" i="36"/>
  <c r="BE6" i="36"/>
  <c r="BK20" i="36"/>
  <c r="BF6" i="36"/>
  <c r="BL20" i="36"/>
  <c r="BG6" i="36"/>
  <c r="BM20" i="36"/>
  <c r="BH6" i="36"/>
  <c r="BN20" i="36"/>
  <c r="AP20" i="36"/>
  <c r="AK7" i="36"/>
  <c r="AQ21" i="36"/>
  <c r="AL7" i="36"/>
  <c r="AR21" i="36"/>
  <c r="AM7" i="36"/>
  <c r="AS21" i="36"/>
  <c r="AN7" i="36"/>
  <c r="AT21" i="36"/>
  <c r="AO7" i="36"/>
  <c r="AU21" i="36"/>
  <c r="AP7" i="36"/>
  <c r="AV21" i="36"/>
  <c r="AQ7" i="36"/>
  <c r="AW21" i="36"/>
  <c r="AR7" i="36"/>
  <c r="AX21" i="36"/>
  <c r="AS7" i="36"/>
  <c r="AY21" i="36"/>
  <c r="AT7" i="36"/>
  <c r="AZ21" i="36"/>
  <c r="AU7" i="36"/>
  <c r="BA21" i="36"/>
  <c r="AV7" i="36"/>
  <c r="BB21" i="36"/>
  <c r="AW7" i="36"/>
  <c r="BC21" i="36"/>
  <c r="AX7" i="36"/>
  <c r="BD21" i="36"/>
  <c r="AY7" i="36"/>
  <c r="BE21" i="36"/>
  <c r="AZ7" i="36"/>
  <c r="BF21" i="36"/>
  <c r="BA7" i="36"/>
  <c r="BG21" i="36"/>
  <c r="BB7" i="36"/>
  <c r="BH21" i="36"/>
  <c r="BC7" i="36"/>
  <c r="BI21" i="36"/>
  <c r="BD7" i="36"/>
  <c r="BJ21" i="36"/>
  <c r="BE7" i="36"/>
  <c r="BK21" i="36"/>
  <c r="BF7" i="36"/>
  <c r="BL21" i="36"/>
  <c r="BG7" i="36"/>
  <c r="BM21" i="36"/>
  <c r="BH7" i="36"/>
  <c r="BN21" i="36"/>
  <c r="AP21" i="36"/>
  <c r="AK8" i="36"/>
  <c r="AQ22" i="36"/>
  <c r="AL8" i="36"/>
  <c r="AR22" i="36"/>
  <c r="AM8" i="36"/>
  <c r="AS22" i="36"/>
  <c r="AN8" i="36"/>
  <c r="AT22" i="36"/>
  <c r="AO8" i="36"/>
  <c r="AU22" i="36"/>
  <c r="AP8" i="36"/>
  <c r="AV22" i="36"/>
  <c r="AQ8" i="36"/>
  <c r="AW22" i="36"/>
  <c r="AR8" i="36"/>
  <c r="AX22" i="36"/>
  <c r="AS8" i="36"/>
  <c r="AY22" i="36"/>
  <c r="AT8" i="36"/>
  <c r="AZ22" i="36"/>
  <c r="AU8" i="36"/>
  <c r="BA22" i="36"/>
  <c r="AV8" i="36"/>
  <c r="BB22" i="36"/>
  <c r="AW8" i="36"/>
  <c r="BC22" i="36"/>
  <c r="AX8" i="36"/>
  <c r="BD22" i="36"/>
  <c r="AY8" i="36"/>
  <c r="BE22" i="36"/>
  <c r="AZ8" i="36"/>
  <c r="BF22" i="36"/>
  <c r="BA8" i="36"/>
  <c r="BG22" i="36"/>
  <c r="BB8" i="36"/>
  <c r="BH22" i="36"/>
  <c r="BC8" i="36"/>
  <c r="BI22" i="36"/>
  <c r="BD8" i="36"/>
  <c r="BJ22" i="36"/>
  <c r="BE8" i="36"/>
  <c r="BK22" i="36"/>
  <c r="BF8" i="36"/>
  <c r="BL22" i="36"/>
  <c r="BG8" i="36"/>
  <c r="BM22" i="36"/>
  <c r="BH8" i="36"/>
  <c r="BN22" i="36"/>
  <c r="AP22" i="36"/>
  <c r="AK9" i="36"/>
  <c r="AQ23" i="36"/>
  <c r="AL9" i="36"/>
  <c r="AR23" i="36"/>
  <c r="AM9" i="36"/>
  <c r="AS23" i="36"/>
  <c r="AN9" i="36"/>
  <c r="AT23" i="36"/>
  <c r="AO9" i="36"/>
  <c r="AU23" i="36"/>
  <c r="AP9" i="36"/>
  <c r="AV23" i="36"/>
  <c r="AQ9" i="36"/>
  <c r="AW23" i="36"/>
  <c r="AR9" i="36"/>
  <c r="AX23" i="36"/>
  <c r="AS9" i="36"/>
  <c r="AY23" i="36"/>
  <c r="AT9" i="36"/>
  <c r="AZ23" i="36"/>
  <c r="AU9" i="36"/>
  <c r="BA23" i="36"/>
  <c r="AV9" i="36"/>
  <c r="BB23" i="36"/>
  <c r="AW9" i="36"/>
  <c r="BC23" i="36"/>
  <c r="AX9" i="36"/>
  <c r="BD23" i="36"/>
  <c r="AY9" i="36"/>
  <c r="BE23" i="36"/>
  <c r="AZ9" i="36"/>
  <c r="BF23" i="36"/>
  <c r="BA9" i="36"/>
  <c r="BG23" i="36"/>
  <c r="BB9" i="36"/>
  <c r="BH23" i="36"/>
  <c r="BC9" i="36"/>
  <c r="BI23" i="36"/>
  <c r="BD9" i="36"/>
  <c r="BJ23" i="36"/>
  <c r="BE9" i="36"/>
  <c r="BK23" i="36"/>
  <c r="BF9" i="36"/>
  <c r="BL23" i="36"/>
  <c r="BG9" i="36"/>
  <c r="BM23" i="36"/>
  <c r="BH9" i="36"/>
  <c r="BN23" i="36"/>
  <c r="AP23" i="36"/>
  <c r="AK10" i="36"/>
  <c r="AQ24" i="36"/>
  <c r="AL10" i="36"/>
  <c r="AR24" i="36"/>
  <c r="AM10" i="36"/>
  <c r="AS24" i="36"/>
  <c r="AN10" i="36"/>
  <c r="AT24" i="36"/>
  <c r="AO10" i="36"/>
  <c r="AU24" i="36"/>
  <c r="AP10" i="36"/>
  <c r="AV24" i="36"/>
  <c r="AQ10" i="36"/>
  <c r="AW24" i="36"/>
  <c r="AR10" i="36"/>
  <c r="AX24" i="36"/>
  <c r="AS10" i="36"/>
  <c r="AY24" i="36"/>
  <c r="AT10" i="36"/>
  <c r="AZ24" i="36"/>
  <c r="AU10" i="36"/>
  <c r="BA24" i="36"/>
  <c r="AV10" i="36"/>
  <c r="BB24" i="36"/>
  <c r="AW10" i="36"/>
  <c r="BC24" i="36"/>
  <c r="AX10" i="36"/>
  <c r="BD24" i="36"/>
  <c r="AY10" i="36"/>
  <c r="BE24" i="36"/>
  <c r="AZ10" i="36"/>
  <c r="BF24" i="36"/>
  <c r="BA10" i="36"/>
  <c r="BG24" i="36"/>
  <c r="BB10" i="36"/>
  <c r="BH24" i="36"/>
  <c r="BC10" i="36"/>
  <c r="BI24" i="36"/>
  <c r="BD10" i="36"/>
  <c r="BJ24" i="36"/>
  <c r="BE10" i="36"/>
  <c r="BK24" i="36"/>
  <c r="BF10" i="36"/>
  <c r="BL24" i="36"/>
  <c r="BG10" i="36"/>
  <c r="BM24" i="36"/>
  <c r="BH10" i="36"/>
  <c r="BN24" i="36"/>
  <c r="AP24" i="36"/>
  <c r="AK11" i="36"/>
  <c r="AQ25" i="36"/>
  <c r="AL11" i="36"/>
  <c r="AR25" i="36"/>
  <c r="AM11" i="36"/>
  <c r="AS25" i="36"/>
  <c r="AN11" i="36"/>
  <c r="AT25" i="36"/>
  <c r="AO11" i="36"/>
  <c r="AU25" i="36"/>
  <c r="AP11" i="36"/>
  <c r="AV25" i="36"/>
  <c r="AQ11" i="36"/>
  <c r="AW25" i="36"/>
  <c r="AR11" i="36"/>
  <c r="AX25" i="36"/>
  <c r="AS11" i="36"/>
  <c r="AY25" i="36"/>
  <c r="AT11" i="36"/>
  <c r="AZ25" i="36"/>
  <c r="AU11" i="36"/>
  <c r="BA25" i="36"/>
  <c r="AV11" i="36"/>
  <c r="BB25" i="36"/>
  <c r="AW11" i="36"/>
  <c r="BC25" i="36"/>
  <c r="AX11" i="36"/>
  <c r="BD25" i="36"/>
  <c r="AY11" i="36"/>
  <c r="BE25" i="36"/>
  <c r="AZ11" i="36"/>
  <c r="BF25" i="36"/>
  <c r="BA11" i="36"/>
  <c r="BG25" i="36"/>
  <c r="BB11" i="36"/>
  <c r="BH25" i="36"/>
  <c r="BC11" i="36"/>
  <c r="BI25" i="36"/>
  <c r="BD11" i="36"/>
  <c r="BJ25" i="36"/>
  <c r="BE11" i="36"/>
  <c r="BK25" i="36"/>
  <c r="BF11" i="36"/>
  <c r="BL25" i="36"/>
  <c r="BG11" i="36"/>
  <c r="BM25" i="36"/>
  <c r="BH11" i="36"/>
  <c r="BN25" i="36"/>
  <c r="AP25" i="36"/>
  <c r="AK12" i="36"/>
  <c r="AQ26" i="36"/>
  <c r="AL12" i="36"/>
  <c r="AR26" i="36"/>
  <c r="AM12" i="36"/>
  <c r="AS26" i="36"/>
  <c r="AN12" i="36"/>
  <c r="AT26" i="36"/>
  <c r="AO12" i="36"/>
  <c r="AU26" i="36"/>
  <c r="AP12" i="36"/>
  <c r="AV26" i="36"/>
  <c r="AQ12" i="36"/>
  <c r="AW26" i="36"/>
  <c r="AR12" i="36"/>
  <c r="AX26" i="36"/>
  <c r="AS12" i="36"/>
  <c r="AY26" i="36"/>
  <c r="AT12" i="36"/>
  <c r="AZ26" i="36"/>
  <c r="AU12" i="36"/>
  <c r="BA26" i="36"/>
  <c r="AV12" i="36"/>
  <c r="BB26" i="36"/>
  <c r="AW12" i="36"/>
  <c r="BC26" i="36"/>
  <c r="AX12" i="36"/>
  <c r="BD26" i="36"/>
  <c r="AY12" i="36"/>
  <c r="BE26" i="36"/>
  <c r="AZ12" i="36"/>
  <c r="BF26" i="36"/>
  <c r="BA12" i="36"/>
  <c r="BG26" i="36"/>
  <c r="BB12" i="36"/>
  <c r="BH26" i="36"/>
  <c r="BC12" i="36"/>
  <c r="BI26" i="36"/>
  <c r="BD12" i="36"/>
  <c r="BJ26" i="36"/>
  <c r="BE12" i="36"/>
  <c r="BK26" i="36"/>
  <c r="BF12" i="36"/>
  <c r="BL26" i="36"/>
  <c r="BG12" i="36"/>
  <c r="BM26" i="36"/>
  <c r="BH12" i="36"/>
  <c r="BN26" i="36"/>
  <c r="AP26" i="36"/>
  <c r="AK13" i="36"/>
  <c r="AQ27" i="36"/>
  <c r="AL13" i="36"/>
  <c r="AR27" i="36"/>
  <c r="AM13" i="36"/>
  <c r="AS27" i="36"/>
  <c r="AN13" i="36"/>
  <c r="AT27" i="36"/>
  <c r="AO13" i="36"/>
  <c r="AU27" i="36"/>
  <c r="AP13" i="36"/>
  <c r="AV27" i="36"/>
  <c r="AQ13" i="36"/>
  <c r="AW27" i="36"/>
  <c r="AR13" i="36"/>
  <c r="AX27" i="36"/>
  <c r="AS13" i="36"/>
  <c r="AY27" i="36"/>
  <c r="AT13" i="36"/>
  <c r="AZ27" i="36"/>
  <c r="AU13" i="36"/>
  <c r="BA27" i="36"/>
  <c r="AV13" i="36"/>
  <c r="BB27" i="36"/>
  <c r="AW13" i="36"/>
  <c r="BC27" i="36"/>
  <c r="AX13" i="36"/>
  <c r="BD27" i="36"/>
  <c r="AY13" i="36"/>
  <c r="BE27" i="36"/>
  <c r="AZ13" i="36"/>
  <c r="BF27" i="36"/>
  <c r="BA13" i="36"/>
  <c r="BG27" i="36"/>
  <c r="BB13" i="36"/>
  <c r="BH27" i="36"/>
  <c r="BC13" i="36"/>
  <c r="BI27" i="36"/>
  <c r="BD13" i="36"/>
  <c r="BJ27" i="36"/>
  <c r="BE13" i="36"/>
  <c r="BK27" i="36"/>
  <c r="BF13" i="36"/>
  <c r="BL27" i="36"/>
  <c r="BG13" i="36"/>
  <c r="BM27" i="36"/>
  <c r="BH13" i="36"/>
  <c r="BN27" i="36"/>
  <c r="AP27" i="36"/>
  <c r="AP28" i="36"/>
  <c r="AN16" i="36"/>
  <c r="AN17" i="36"/>
  <c r="AN18" i="36"/>
  <c r="AN20" i="36"/>
  <c r="AN21" i="36"/>
  <c r="AN22" i="36"/>
  <c r="AN23" i="36"/>
  <c r="AN24" i="36"/>
  <c r="AN25" i="36"/>
  <c r="AN26" i="36"/>
  <c r="AN27" i="36"/>
  <c r="AM16" i="36"/>
  <c r="AM17" i="36"/>
  <c r="AM18" i="36"/>
  <c r="AM20" i="36"/>
  <c r="AM21" i="36"/>
  <c r="AM22" i="36"/>
  <c r="AM23" i="36"/>
  <c r="AM24" i="36"/>
  <c r="AM25" i="36"/>
  <c r="AM26" i="36"/>
  <c r="AM27" i="36"/>
  <c r="AL16" i="36"/>
  <c r="AL17" i="36"/>
  <c r="AL18" i="36"/>
  <c r="AL20" i="36"/>
  <c r="AL21" i="36"/>
  <c r="AL22" i="36"/>
  <c r="AL23" i="36"/>
  <c r="AL24" i="36"/>
  <c r="AL25" i="36"/>
  <c r="AL26" i="36"/>
  <c r="AL27" i="36"/>
  <c r="AK16" i="36"/>
  <c r="AK17" i="36"/>
  <c r="AK18" i="36"/>
  <c r="AK20" i="36"/>
  <c r="AK21" i="36"/>
  <c r="AK22" i="36"/>
  <c r="AK23" i="36"/>
  <c r="AK24" i="36"/>
  <c r="AK25" i="36"/>
  <c r="AK26" i="36"/>
  <c r="AK27" i="36"/>
  <c r="Z2" i="36"/>
  <c r="AA2" i="36"/>
  <c r="AB2" i="36"/>
  <c r="AC2" i="36"/>
  <c r="AA16" i="36"/>
  <c r="Z3" i="36"/>
  <c r="AA3" i="36"/>
  <c r="AB3" i="36"/>
  <c r="AC3" i="36"/>
  <c r="AA17" i="36"/>
  <c r="Z4" i="36"/>
  <c r="AA4" i="36"/>
  <c r="AB4" i="36"/>
  <c r="AC4" i="36"/>
  <c r="AA18" i="36"/>
  <c r="Z5" i="36"/>
  <c r="AA5" i="36"/>
  <c r="AB5" i="36"/>
  <c r="AC5" i="36"/>
  <c r="AA19" i="36"/>
  <c r="Z6" i="36"/>
  <c r="AA6" i="36"/>
  <c r="AB6" i="36"/>
  <c r="AC6" i="36"/>
  <c r="AA20" i="36"/>
  <c r="Z7" i="36"/>
  <c r="AA7" i="36"/>
  <c r="AB7" i="36"/>
  <c r="AC7" i="36"/>
  <c r="AA21" i="36"/>
  <c r="Z8" i="36"/>
  <c r="AA8" i="36"/>
  <c r="AB8" i="36"/>
  <c r="AC8" i="36"/>
  <c r="AA22" i="36"/>
  <c r="Z9" i="36"/>
  <c r="AA9" i="36"/>
  <c r="AB9" i="36"/>
  <c r="AC9" i="36"/>
  <c r="AA23" i="36"/>
  <c r="Z10" i="36"/>
  <c r="AA10" i="36"/>
  <c r="AB10" i="36"/>
  <c r="AC10" i="36"/>
  <c r="AA24" i="36"/>
  <c r="Z11" i="36"/>
  <c r="AA11" i="36"/>
  <c r="AB11" i="36"/>
  <c r="AC11" i="36"/>
  <c r="AA25" i="36"/>
  <c r="Z12" i="36"/>
  <c r="AA12" i="36"/>
  <c r="AB12" i="36"/>
  <c r="AC12" i="36"/>
  <c r="AA26" i="36"/>
  <c r="Z13" i="36"/>
  <c r="AA13" i="36"/>
  <c r="AB13" i="36"/>
  <c r="AC13" i="36"/>
  <c r="AA27" i="36"/>
  <c r="AA28" i="36"/>
  <c r="Z16" i="36"/>
  <c r="Z17" i="36"/>
  <c r="Z18" i="36"/>
  <c r="Z19" i="36"/>
  <c r="Z20" i="36"/>
  <c r="Z21" i="36"/>
  <c r="Z22" i="36"/>
  <c r="Z23" i="36"/>
  <c r="Z24" i="36"/>
  <c r="Z25" i="36"/>
  <c r="Z26" i="36"/>
  <c r="Z27" i="36"/>
  <c r="Z28" i="36"/>
  <c r="S28" i="36"/>
  <c r="R28" i="36"/>
  <c r="Q28" i="36"/>
  <c r="P28" i="36"/>
  <c r="N28" i="36"/>
  <c r="M28" i="36"/>
  <c r="L28" i="36"/>
  <c r="K28" i="36"/>
  <c r="D27" i="36"/>
  <c r="N25" i="36"/>
  <c r="M25" i="36"/>
  <c r="L25" i="36"/>
  <c r="K25" i="36"/>
  <c r="D25" i="36"/>
  <c r="H16" i="36"/>
  <c r="D23" i="36"/>
  <c r="G16" i="36"/>
  <c r="D21" i="36"/>
  <c r="M19" i="36"/>
  <c r="W16" i="36"/>
  <c r="V16" i="36"/>
  <c r="U16" i="36"/>
  <c r="E50" i="35"/>
  <c r="A50" i="35"/>
  <c r="E49" i="35"/>
  <c r="A49" i="35"/>
  <c r="E48" i="35"/>
  <c r="A48" i="35"/>
  <c r="E47" i="35"/>
  <c r="A47" i="35"/>
  <c r="E46" i="35"/>
  <c r="A46" i="35"/>
  <c r="E45" i="35"/>
  <c r="A45" i="35"/>
  <c r="E44" i="35"/>
  <c r="A44" i="35"/>
  <c r="E43" i="35"/>
  <c r="A43" i="35"/>
  <c r="X15" i="35"/>
  <c r="E42" i="35"/>
  <c r="A42" i="35"/>
  <c r="E41" i="35"/>
  <c r="AE18" i="35"/>
  <c r="A41" i="35"/>
  <c r="E40" i="35"/>
  <c r="AE17" i="35"/>
  <c r="A40" i="35"/>
  <c r="X12" i="35"/>
  <c r="E39" i="35"/>
  <c r="AE16" i="35"/>
  <c r="A39" i="35"/>
  <c r="X10" i="35"/>
  <c r="X9" i="35"/>
  <c r="X8" i="35"/>
  <c r="X4" i="35"/>
  <c r="X5" i="35"/>
  <c r="X6" i="35"/>
  <c r="AE2" i="35"/>
  <c r="AF2" i="35"/>
  <c r="AG2" i="35"/>
  <c r="AH2" i="35"/>
  <c r="AI2" i="35"/>
  <c r="AG16" i="35"/>
  <c r="AE3" i="35"/>
  <c r="AF3" i="35"/>
  <c r="AG3" i="35"/>
  <c r="AH3" i="35"/>
  <c r="AI3" i="35"/>
  <c r="AG17" i="35"/>
  <c r="AE4" i="35"/>
  <c r="AF4" i="35"/>
  <c r="AG4" i="35"/>
  <c r="AH4" i="35"/>
  <c r="AI4" i="35"/>
  <c r="AG18" i="35"/>
  <c r="AE7" i="35"/>
  <c r="AF7" i="35"/>
  <c r="AG7" i="35"/>
  <c r="AH7" i="35"/>
  <c r="AI7" i="35"/>
  <c r="AG21" i="35"/>
  <c r="AE8" i="35"/>
  <c r="AF8" i="35"/>
  <c r="AG8" i="35"/>
  <c r="AH8" i="35"/>
  <c r="AI8" i="35"/>
  <c r="AG22" i="35"/>
  <c r="AE9" i="35"/>
  <c r="AF9" i="35"/>
  <c r="AG9" i="35"/>
  <c r="AH9" i="35"/>
  <c r="AI9" i="35"/>
  <c r="AG23" i="35"/>
  <c r="AE10" i="35"/>
  <c r="AF10" i="35"/>
  <c r="AG10" i="35"/>
  <c r="AH10" i="35"/>
  <c r="AI10" i="35"/>
  <c r="AG24" i="35"/>
  <c r="AE11" i="35"/>
  <c r="AF11" i="35"/>
  <c r="AG11" i="35"/>
  <c r="AH11" i="35"/>
  <c r="AI11" i="35"/>
  <c r="AG25" i="35"/>
  <c r="AE12" i="35"/>
  <c r="AF12" i="35"/>
  <c r="AG12" i="35"/>
  <c r="AH12" i="35"/>
  <c r="AI12" i="35"/>
  <c r="AG26" i="35"/>
  <c r="AE13" i="35"/>
  <c r="AF13" i="35"/>
  <c r="AG13" i="35"/>
  <c r="AH13" i="35"/>
  <c r="AI13" i="35"/>
  <c r="AG27" i="35"/>
  <c r="AF16" i="35"/>
  <c r="AF17" i="35"/>
  <c r="AF18" i="35"/>
  <c r="AF21" i="35"/>
  <c r="AF22" i="35"/>
  <c r="AF23" i="35"/>
  <c r="AF24" i="35"/>
  <c r="AF25" i="35"/>
  <c r="AF26" i="35"/>
  <c r="AF27" i="35"/>
  <c r="D31" i="35"/>
  <c r="J29" i="35"/>
  <c r="I29" i="35"/>
  <c r="H29" i="35"/>
  <c r="G29" i="35"/>
  <c r="F16" i="35"/>
  <c r="D29" i="35"/>
  <c r="AK2" i="35"/>
  <c r="AQ16" i="35"/>
  <c r="AL2" i="35"/>
  <c r="AR16" i="35"/>
  <c r="AM2" i="35"/>
  <c r="AS16" i="35"/>
  <c r="AN2" i="35"/>
  <c r="AT16" i="35"/>
  <c r="AO2" i="35"/>
  <c r="AU16" i="35"/>
  <c r="AP2" i="35"/>
  <c r="AV16" i="35"/>
  <c r="AQ2" i="35"/>
  <c r="AW16" i="35"/>
  <c r="AR2" i="35"/>
  <c r="AX16" i="35"/>
  <c r="AS2" i="35"/>
  <c r="AY16" i="35"/>
  <c r="AT2" i="35"/>
  <c r="AZ16" i="35"/>
  <c r="AU2" i="35"/>
  <c r="BA16" i="35"/>
  <c r="AV2" i="35"/>
  <c r="BB16" i="35"/>
  <c r="AW2" i="35"/>
  <c r="BC16" i="35"/>
  <c r="AX2" i="35"/>
  <c r="BD16" i="35"/>
  <c r="AY2" i="35"/>
  <c r="BE16" i="35"/>
  <c r="AZ2" i="35"/>
  <c r="BF16" i="35"/>
  <c r="BA2" i="35"/>
  <c r="BG16" i="35"/>
  <c r="BB2" i="35"/>
  <c r="BH16" i="35"/>
  <c r="BC2" i="35"/>
  <c r="BI16" i="35"/>
  <c r="BD2" i="35"/>
  <c r="BJ16" i="35"/>
  <c r="BE2" i="35"/>
  <c r="BK16" i="35"/>
  <c r="BF2" i="35"/>
  <c r="BL16" i="35"/>
  <c r="BG2" i="35"/>
  <c r="BM16" i="35"/>
  <c r="BH2" i="35"/>
  <c r="BN16" i="35"/>
  <c r="AP16" i="35"/>
  <c r="AK3" i="35"/>
  <c r="AQ17" i="35"/>
  <c r="AL3" i="35"/>
  <c r="AR17" i="35"/>
  <c r="AM3" i="35"/>
  <c r="AS17" i="35"/>
  <c r="AN3" i="35"/>
  <c r="AT17" i="35"/>
  <c r="AO3" i="35"/>
  <c r="AU17" i="35"/>
  <c r="AP3" i="35"/>
  <c r="AV17" i="35"/>
  <c r="AQ3" i="35"/>
  <c r="AW17" i="35"/>
  <c r="AR3" i="35"/>
  <c r="AX17" i="35"/>
  <c r="AS3" i="35"/>
  <c r="AY17" i="35"/>
  <c r="AT3" i="35"/>
  <c r="AZ17" i="35"/>
  <c r="AU3" i="35"/>
  <c r="BA17" i="35"/>
  <c r="AV3" i="35"/>
  <c r="BB17" i="35"/>
  <c r="AW3" i="35"/>
  <c r="BC17" i="35"/>
  <c r="AX3" i="35"/>
  <c r="BD17" i="35"/>
  <c r="AY3" i="35"/>
  <c r="BE17" i="35"/>
  <c r="AZ3" i="35"/>
  <c r="BF17" i="35"/>
  <c r="BA3" i="35"/>
  <c r="BG17" i="35"/>
  <c r="BB3" i="35"/>
  <c r="BH17" i="35"/>
  <c r="BC3" i="35"/>
  <c r="BI17" i="35"/>
  <c r="BD3" i="35"/>
  <c r="BJ17" i="35"/>
  <c r="BE3" i="35"/>
  <c r="BK17" i="35"/>
  <c r="BF3" i="35"/>
  <c r="BL17" i="35"/>
  <c r="BG3" i="35"/>
  <c r="BM17" i="35"/>
  <c r="BH3" i="35"/>
  <c r="BN17" i="35"/>
  <c r="AP17" i="35"/>
  <c r="AK4" i="35"/>
  <c r="AQ18" i="35"/>
  <c r="AL4" i="35"/>
  <c r="AR18" i="35"/>
  <c r="AM4" i="35"/>
  <c r="AS18" i="35"/>
  <c r="AN4" i="35"/>
  <c r="AT18" i="35"/>
  <c r="AO4" i="35"/>
  <c r="AU18" i="35"/>
  <c r="AP4" i="35"/>
  <c r="AV18" i="35"/>
  <c r="AQ4" i="35"/>
  <c r="AW18" i="35"/>
  <c r="AR4" i="35"/>
  <c r="AX18" i="35"/>
  <c r="AS4" i="35"/>
  <c r="AY18" i="35"/>
  <c r="AT4" i="35"/>
  <c r="AZ18" i="35"/>
  <c r="AU4" i="35"/>
  <c r="BA18" i="35"/>
  <c r="AV4" i="35"/>
  <c r="BB18" i="35"/>
  <c r="AW4" i="35"/>
  <c r="BC18" i="35"/>
  <c r="AX4" i="35"/>
  <c r="BD18" i="35"/>
  <c r="AY4" i="35"/>
  <c r="BE18" i="35"/>
  <c r="AZ4" i="35"/>
  <c r="BF18" i="35"/>
  <c r="BA4" i="35"/>
  <c r="BG18" i="35"/>
  <c r="BB4" i="35"/>
  <c r="BH18" i="35"/>
  <c r="BC4" i="35"/>
  <c r="BI18" i="35"/>
  <c r="BD4" i="35"/>
  <c r="BJ18" i="35"/>
  <c r="BE4" i="35"/>
  <c r="BK18" i="35"/>
  <c r="BF4" i="35"/>
  <c r="BL18" i="35"/>
  <c r="BG4" i="35"/>
  <c r="BM18" i="35"/>
  <c r="BH4" i="35"/>
  <c r="BN18" i="35"/>
  <c r="AP18" i="35"/>
  <c r="AK5" i="35"/>
  <c r="AQ19" i="35"/>
  <c r="AL5" i="35"/>
  <c r="AR19" i="35"/>
  <c r="AM5" i="35"/>
  <c r="AS19" i="35"/>
  <c r="AN5" i="35"/>
  <c r="AT19" i="35"/>
  <c r="AO5" i="35"/>
  <c r="AU19" i="35"/>
  <c r="AP5" i="35"/>
  <c r="AV19" i="35"/>
  <c r="AQ5" i="35"/>
  <c r="AW19" i="35"/>
  <c r="AR5" i="35"/>
  <c r="AX19" i="35"/>
  <c r="AS5" i="35"/>
  <c r="AY19" i="35"/>
  <c r="AT5" i="35"/>
  <c r="AZ19" i="35"/>
  <c r="AU5" i="35"/>
  <c r="BA19" i="35"/>
  <c r="AV5" i="35"/>
  <c r="BB19" i="35"/>
  <c r="AW5" i="35"/>
  <c r="BC19" i="35"/>
  <c r="AX5" i="35"/>
  <c r="BD19" i="35"/>
  <c r="AY5" i="35"/>
  <c r="BE19" i="35"/>
  <c r="AZ5" i="35"/>
  <c r="BF19" i="35"/>
  <c r="BA5" i="35"/>
  <c r="BG19" i="35"/>
  <c r="BB5" i="35"/>
  <c r="BH19" i="35"/>
  <c r="BC5" i="35"/>
  <c r="BI19" i="35"/>
  <c r="BD5" i="35"/>
  <c r="BJ19" i="35"/>
  <c r="BE5" i="35"/>
  <c r="BK19" i="35"/>
  <c r="BF5" i="35"/>
  <c r="BL19" i="35"/>
  <c r="BG5" i="35"/>
  <c r="BM19" i="35"/>
  <c r="BH5" i="35"/>
  <c r="BN19" i="35"/>
  <c r="AP19" i="35"/>
  <c r="AK6" i="35"/>
  <c r="AQ20" i="35"/>
  <c r="AL6" i="35"/>
  <c r="AR20" i="35"/>
  <c r="AM6" i="35"/>
  <c r="AS20" i="35"/>
  <c r="AN6" i="35"/>
  <c r="AT20" i="35"/>
  <c r="AO6" i="35"/>
  <c r="AU20" i="35"/>
  <c r="AP6" i="35"/>
  <c r="AV20" i="35"/>
  <c r="AQ6" i="35"/>
  <c r="AW20" i="35"/>
  <c r="AR6" i="35"/>
  <c r="AX20" i="35"/>
  <c r="AS6" i="35"/>
  <c r="AY20" i="35"/>
  <c r="AT6" i="35"/>
  <c r="AZ20" i="35"/>
  <c r="AU6" i="35"/>
  <c r="BA20" i="35"/>
  <c r="AV6" i="35"/>
  <c r="BB20" i="35"/>
  <c r="AW6" i="35"/>
  <c r="BC20" i="35"/>
  <c r="AX6" i="35"/>
  <c r="BD20" i="35"/>
  <c r="AY6" i="35"/>
  <c r="BE20" i="35"/>
  <c r="AZ6" i="35"/>
  <c r="BF20" i="35"/>
  <c r="BA6" i="35"/>
  <c r="BG20" i="35"/>
  <c r="BB6" i="35"/>
  <c r="BH20" i="35"/>
  <c r="BC6" i="35"/>
  <c r="BI20" i="35"/>
  <c r="BD6" i="35"/>
  <c r="BJ20" i="35"/>
  <c r="BE6" i="35"/>
  <c r="BK20" i="35"/>
  <c r="BF6" i="35"/>
  <c r="BL20" i="35"/>
  <c r="BG6" i="35"/>
  <c r="BM20" i="35"/>
  <c r="BH6" i="35"/>
  <c r="BN20" i="35"/>
  <c r="AP20" i="35"/>
  <c r="AK7" i="35"/>
  <c r="AQ21" i="35"/>
  <c r="AL7" i="35"/>
  <c r="AR21" i="35"/>
  <c r="AM7" i="35"/>
  <c r="AS21" i="35"/>
  <c r="AN7" i="35"/>
  <c r="AT21" i="35"/>
  <c r="AO7" i="35"/>
  <c r="AU21" i="35"/>
  <c r="AP7" i="35"/>
  <c r="AV21" i="35"/>
  <c r="AQ7" i="35"/>
  <c r="AW21" i="35"/>
  <c r="AR7" i="35"/>
  <c r="AX21" i="35"/>
  <c r="AS7" i="35"/>
  <c r="AY21" i="35"/>
  <c r="AT7" i="35"/>
  <c r="AZ21" i="35"/>
  <c r="AU7" i="35"/>
  <c r="BA21" i="35"/>
  <c r="AV7" i="35"/>
  <c r="BB21" i="35"/>
  <c r="AW7" i="35"/>
  <c r="BC21" i="35"/>
  <c r="AX7" i="35"/>
  <c r="BD21" i="35"/>
  <c r="AY7" i="35"/>
  <c r="BE21" i="35"/>
  <c r="AZ7" i="35"/>
  <c r="BF21" i="35"/>
  <c r="BA7" i="35"/>
  <c r="BG21" i="35"/>
  <c r="BB7" i="35"/>
  <c r="BH21" i="35"/>
  <c r="BC7" i="35"/>
  <c r="BI21" i="35"/>
  <c r="BD7" i="35"/>
  <c r="BJ21" i="35"/>
  <c r="BE7" i="35"/>
  <c r="BK21" i="35"/>
  <c r="BF7" i="35"/>
  <c r="BL21" i="35"/>
  <c r="BG7" i="35"/>
  <c r="BM21" i="35"/>
  <c r="BH7" i="35"/>
  <c r="BN21" i="35"/>
  <c r="AP21" i="35"/>
  <c r="AK8" i="35"/>
  <c r="AQ22" i="35"/>
  <c r="AL8" i="35"/>
  <c r="AR22" i="35"/>
  <c r="AM8" i="35"/>
  <c r="AS22" i="35"/>
  <c r="AN8" i="35"/>
  <c r="AT22" i="35"/>
  <c r="AO8" i="35"/>
  <c r="AU22" i="35"/>
  <c r="AP8" i="35"/>
  <c r="AV22" i="35"/>
  <c r="AQ8" i="35"/>
  <c r="AW22" i="35"/>
  <c r="AR8" i="35"/>
  <c r="AX22" i="35"/>
  <c r="AS8" i="35"/>
  <c r="AY22" i="35"/>
  <c r="AT8" i="35"/>
  <c r="AZ22" i="35"/>
  <c r="AU8" i="35"/>
  <c r="BA22" i="35"/>
  <c r="AV8" i="35"/>
  <c r="BB22" i="35"/>
  <c r="AW8" i="35"/>
  <c r="BC22" i="35"/>
  <c r="AX8" i="35"/>
  <c r="BD22" i="35"/>
  <c r="AY8" i="35"/>
  <c r="BE22" i="35"/>
  <c r="AZ8" i="35"/>
  <c r="BF22" i="35"/>
  <c r="BA8" i="35"/>
  <c r="BG22" i="35"/>
  <c r="BB8" i="35"/>
  <c r="BH22" i="35"/>
  <c r="BC8" i="35"/>
  <c r="BI22" i="35"/>
  <c r="BD8" i="35"/>
  <c r="BJ22" i="35"/>
  <c r="BE8" i="35"/>
  <c r="BK22" i="35"/>
  <c r="BF8" i="35"/>
  <c r="BL22" i="35"/>
  <c r="BG8" i="35"/>
  <c r="BM22" i="35"/>
  <c r="BH8" i="35"/>
  <c r="BN22" i="35"/>
  <c r="AP22" i="35"/>
  <c r="AK9" i="35"/>
  <c r="AQ23" i="35"/>
  <c r="AL9" i="35"/>
  <c r="AR23" i="35"/>
  <c r="AM9" i="35"/>
  <c r="AS23" i="35"/>
  <c r="AN9" i="35"/>
  <c r="AT23" i="35"/>
  <c r="AO9" i="35"/>
  <c r="AU23" i="35"/>
  <c r="AP9" i="35"/>
  <c r="AV23" i="35"/>
  <c r="AQ9" i="35"/>
  <c r="AW23" i="35"/>
  <c r="AR9" i="35"/>
  <c r="AX23" i="35"/>
  <c r="AS9" i="35"/>
  <c r="AY23" i="35"/>
  <c r="AT9" i="35"/>
  <c r="AZ23" i="35"/>
  <c r="AU9" i="35"/>
  <c r="BA23" i="35"/>
  <c r="AV9" i="35"/>
  <c r="BB23" i="35"/>
  <c r="AW9" i="35"/>
  <c r="BC23" i="35"/>
  <c r="AX9" i="35"/>
  <c r="BD23" i="35"/>
  <c r="AY9" i="35"/>
  <c r="BE23" i="35"/>
  <c r="AZ9" i="35"/>
  <c r="BF23" i="35"/>
  <c r="BA9" i="35"/>
  <c r="BG23" i="35"/>
  <c r="BB9" i="35"/>
  <c r="BH23" i="35"/>
  <c r="BC9" i="35"/>
  <c r="BI23" i="35"/>
  <c r="BD9" i="35"/>
  <c r="BJ23" i="35"/>
  <c r="BE9" i="35"/>
  <c r="BK23" i="35"/>
  <c r="BF9" i="35"/>
  <c r="BL23" i="35"/>
  <c r="BG9" i="35"/>
  <c r="BM23" i="35"/>
  <c r="BH9" i="35"/>
  <c r="BN23" i="35"/>
  <c r="AP23" i="35"/>
  <c r="AK10" i="35"/>
  <c r="AQ24" i="35"/>
  <c r="AL10" i="35"/>
  <c r="AR24" i="35"/>
  <c r="AM10" i="35"/>
  <c r="AS24" i="35"/>
  <c r="AN10" i="35"/>
  <c r="AT24" i="35"/>
  <c r="AO10" i="35"/>
  <c r="AU24" i="35"/>
  <c r="AP10" i="35"/>
  <c r="AV24" i="35"/>
  <c r="AQ10" i="35"/>
  <c r="AW24" i="35"/>
  <c r="AR10" i="35"/>
  <c r="AX24" i="35"/>
  <c r="AS10" i="35"/>
  <c r="AY24" i="35"/>
  <c r="AT10" i="35"/>
  <c r="AZ24" i="35"/>
  <c r="AU10" i="35"/>
  <c r="BA24" i="35"/>
  <c r="AV10" i="35"/>
  <c r="BB24" i="35"/>
  <c r="AW10" i="35"/>
  <c r="BC24" i="35"/>
  <c r="AX10" i="35"/>
  <c r="BD24" i="35"/>
  <c r="AY10" i="35"/>
  <c r="BE24" i="35"/>
  <c r="AZ10" i="35"/>
  <c r="BF24" i="35"/>
  <c r="BA10" i="35"/>
  <c r="BG24" i="35"/>
  <c r="BB10" i="35"/>
  <c r="BH24" i="35"/>
  <c r="BC10" i="35"/>
  <c r="BI24" i="35"/>
  <c r="BD10" i="35"/>
  <c r="BJ24" i="35"/>
  <c r="BE10" i="35"/>
  <c r="BK24" i="35"/>
  <c r="BF10" i="35"/>
  <c r="BL24" i="35"/>
  <c r="BG10" i="35"/>
  <c r="BM24" i="35"/>
  <c r="BH10" i="35"/>
  <c r="BN24" i="35"/>
  <c r="AP24" i="35"/>
  <c r="AK11" i="35"/>
  <c r="AQ25" i="35"/>
  <c r="AL11" i="35"/>
  <c r="AR25" i="35"/>
  <c r="AM11" i="35"/>
  <c r="AS25" i="35"/>
  <c r="AN11" i="35"/>
  <c r="AT25" i="35"/>
  <c r="AO11" i="35"/>
  <c r="AU25" i="35"/>
  <c r="AP11" i="35"/>
  <c r="AV25" i="35"/>
  <c r="AQ11" i="35"/>
  <c r="AW25" i="35"/>
  <c r="AR11" i="35"/>
  <c r="AX25" i="35"/>
  <c r="AS11" i="35"/>
  <c r="AY25" i="35"/>
  <c r="AT11" i="35"/>
  <c r="AZ25" i="35"/>
  <c r="AU11" i="35"/>
  <c r="BA25" i="35"/>
  <c r="AV11" i="35"/>
  <c r="BB25" i="35"/>
  <c r="AW11" i="35"/>
  <c r="BC25" i="35"/>
  <c r="AX11" i="35"/>
  <c r="BD25" i="35"/>
  <c r="AY11" i="35"/>
  <c r="BE25" i="35"/>
  <c r="AZ11" i="35"/>
  <c r="BF25" i="35"/>
  <c r="BA11" i="35"/>
  <c r="BG25" i="35"/>
  <c r="BB11" i="35"/>
  <c r="BH25" i="35"/>
  <c r="BC11" i="35"/>
  <c r="BI25" i="35"/>
  <c r="BD11" i="35"/>
  <c r="BJ25" i="35"/>
  <c r="BE11" i="35"/>
  <c r="BK25" i="35"/>
  <c r="BF11" i="35"/>
  <c r="BL25" i="35"/>
  <c r="BG11" i="35"/>
  <c r="BM25" i="35"/>
  <c r="BH11" i="35"/>
  <c r="BN25" i="35"/>
  <c r="AP25" i="35"/>
  <c r="AK12" i="35"/>
  <c r="AQ26" i="35"/>
  <c r="AL12" i="35"/>
  <c r="AR26" i="35"/>
  <c r="AM12" i="35"/>
  <c r="AS26" i="35"/>
  <c r="AN12" i="35"/>
  <c r="AT26" i="35"/>
  <c r="AO12" i="35"/>
  <c r="AU26" i="35"/>
  <c r="AP12" i="35"/>
  <c r="AV26" i="35"/>
  <c r="AQ12" i="35"/>
  <c r="AW26" i="35"/>
  <c r="AR12" i="35"/>
  <c r="AX26" i="35"/>
  <c r="AS12" i="35"/>
  <c r="AY26" i="35"/>
  <c r="AT12" i="35"/>
  <c r="AZ26" i="35"/>
  <c r="AU12" i="35"/>
  <c r="BA26" i="35"/>
  <c r="AV12" i="35"/>
  <c r="BB26" i="35"/>
  <c r="AW12" i="35"/>
  <c r="BC26" i="35"/>
  <c r="AX12" i="35"/>
  <c r="BD26" i="35"/>
  <c r="AY12" i="35"/>
  <c r="BE26" i="35"/>
  <c r="AZ12" i="35"/>
  <c r="BF26" i="35"/>
  <c r="BA12" i="35"/>
  <c r="BG26" i="35"/>
  <c r="BB12" i="35"/>
  <c r="BH26" i="35"/>
  <c r="BC12" i="35"/>
  <c r="BI26" i="35"/>
  <c r="BD12" i="35"/>
  <c r="BJ26" i="35"/>
  <c r="BE12" i="35"/>
  <c r="BK26" i="35"/>
  <c r="BF12" i="35"/>
  <c r="BL26" i="35"/>
  <c r="BG12" i="35"/>
  <c r="BM26" i="35"/>
  <c r="BH12" i="35"/>
  <c r="BN26" i="35"/>
  <c r="AP26" i="35"/>
  <c r="AK13" i="35"/>
  <c r="AQ27" i="35"/>
  <c r="AL13" i="35"/>
  <c r="AR27" i="35"/>
  <c r="AM13" i="35"/>
  <c r="AS27" i="35"/>
  <c r="AN13" i="35"/>
  <c r="AT27" i="35"/>
  <c r="AO13" i="35"/>
  <c r="AU27" i="35"/>
  <c r="AP13" i="35"/>
  <c r="AV27" i="35"/>
  <c r="AQ13" i="35"/>
  <c r="AW27" i="35"/>
  <c r="AR13" i="35"/>
  <c r="AX27" i="35"/>
  <c r="AS13" i="35"/>
  <c r="AY27" i="35"/>
  <c r="AT13" i="35"/>
  <c r="AZ27" i="35"/>
  <c r="AU13" i="35"/>
  <c r="BA27" i="35"/>
  <c r="AV13" i="35"/>
  <c r="BB27" i="35"/>
  <c r="AW13" i="35"/>
  <c r="BC27" i="35"/>
  <c r="AX13" i="35"/>
  <c r="BD27" i="35"/>
  <c r="AY13" i="35"/>
  <c r="BE27" i="35"/>
  <c r="AZ13" i="35"/>
  <c r="BF27" i="35"/>
  <c r="BA13" i="35"/>
  <c r="BG27" i="35"/>
  <c r="BB13" i="35"/>
  <c r="BH27" i="35"/>
  <c r="BC13" i="35"/>
  <c r="BI27" i="35"/>
  <c r="BD13" i="35"/>
  <c r="BJ27" i="35"/>
  <c r="BE13" i="35"/>
  <c r="BK27" i="35"/>
  <c r="BF13" i="35"/>
  <c r="BL27" i="35"/>
  <c r="BG13" i="35"/>
  <c r="BM27" i="35"/>
  <c r="BH13" i="35"/>
  <c r="BN27" i="35"/>
  <c r="AP27" i="35"/>
  <c r="AP28" i="35"/>
  <c r="AN16" i="35"/>
  <c r="AN17" i="35"/>
  <c r="AN18" i="35"/>
  <c r="AN19" i="35"/>
  <c r="AN20" i="35"/>
  <c r="AN21" i="35"/>
  <c r="AN22" i="35"/>
  <c r="AN23" i="35"/>
  <c r="AN24" i="35"/>
  <c r="AN25" i="35"/>
  <c r="AN26" i="35"/>
  <c r="AN27" i="35"/>
  <c r="AN28" i="35"/>
  <c r="AM16" i="35"/>
  <c r="AM17" i="35"/>
  <c r="AM18" i="35"/>
  <c r="AM19" i="35"/>
  <c r="AM20" i="35"/>
  <c r="AM21" i="35"/>
  <c r="AM22" i="35"/>
  <c r="AM23" i="35"/>
  <c r="AM24" i="35"/>
  <c r="AM25" i="35"/>
  <c r="AM26" i="35"/>
  <c r="AM27" i="35"/>
  <c r="AM28" i="35"/>
  <c r="AL16" i="35"/>
  <c r="AL17" i="35"/>
  <c r="AL18" i="35"/>
  <c r="AL19" i="35"/>
  <c r="AL20" i="35"/>
  <c r="AL21" i="35"/>
  <c r="AL22" i="35"/>
  <c r="AL23" i="35"/>
  <c r="AL24" i="35"/>
  <c r="AL25" i="35"/>
  <c r="AL26" i="35"/>
  <c r="AL27" i="35"/>
  <c r="AL28" i="35"/>
  <c r="AK16" i="35"/>
  <c r="AK17" i="35"/>
  <c r="AK18" i="35"/>
  <c r="AK19" i="35"/>
  <c r="AK20" i="35"/>
  <c r="AK21" i="35"/>
  <c r="AK22" i="35"/>
  <c r="AK23" i="35"/>
  <c r="AK24" i="35"/>
  <c r="AK25" i="35"/>
  <c r="AK26" i="35"/>
  <c r="AK27" i="35"/>
  <c r="AK28" i="35"/>
  <c r="Z2" i="35"/>
  <c r="AA2" i="35"/>
  <c r="AB2" i="35"/>
  <c r="AC2" i="35"/>
  <c r="AA16" i="35"/>
  <c r="Z3" i="35"/>
  <c r="AA3" i="35"/>
  <c r="AB3" i="35"/>
  <c r="AC3" i="35"/>
  <c r="AA17" i="35"/>
  <c r="Z4" i="35"/>
  <c r="AA4" i="35"/>
  <c r="AB4" i="35"/>
  <c r="AC4" i="35"/>
  <c r="AA18" i="35"/>
  <c r="Z5" i="35"/>
  <c r="AA5" i="35"/>
  <c r="AB5" i="35"/>
  <c r="AC5" i="35"/>
  <c r="AA19" i="35"/>
  <c r="Z6" i="35"/>
  <c r="AA6" i="35"/>
  <c r="AB6" i="35"/>
  <c r="AC6" i="35"/>
  <c r="AA20" i="35"/>
  <c r="Z7" i="35"/>
  <c r="AA7" i="35"/>
  <c r="AB7" i="35"/>
  <c r="AC7" i="35"/>
  <c r="AA21" i="35"/>
  <c r="Z8" i="35"/>
  <c r="AA8" i="35"/>
  <c r="AB8" i="35"/>
  <c r="AC8" i="35"/>
  <c r="AA22" i="35"/>
  <c r="Z9" i="35"/>
  <c r="AA9" i="35"/>
  <c r="AB9" i="35"/>
  <c r="AC9" i="35"/>
  <c r="AA23" i="35"/>
  <c r="Z10" i="35"/>
  <c r="AA10" i="35"/>
  <c r="AB10" i="35"/>
  <c r="AC10" i="35"/>
  <c r="AA24" i="35"/>
  <c r="Z11" i="35"/>
  <c r="AA11" i="35"/>
  <c r="AB11" i="35"/>
  <c r="AC11" i="35"/>
  <c r="AA25" i="35"/>
  <c r="Z12" i="35"/>
  <c r="AA12" i="35"/>
  <c r="AB12" i="35"/>
  <c r="AC12" i="35"/>
  <c r="AA26" i="35"/>
  <c r="Z13" i="35"/>
  <c r="AA13" i="35"/>
  <c r="AB13" i="35"/>
  <c r="AC13" i="35"/>
  <c r="AA27" i="35"/>
  <c r="AA28" i="35"/>
  <c r="Z16" i="35"/>
  <c r="Z17" i="35"/>
  <c r="Z18" i="35"/>
  <c r="Z19" i="35"/>
  <c r="Z20" i="35"/>
  <c r="Z21" i="35"/>
  <c r="Z22" i="35"/>
  <c r="Z23" i="35"/>
  <c r="Z24" i="35"/>
  <c r="Z25" i="35"/>
  <c r="Z26" i="35"/>
  <c r="Z27" i="35"/>
  <c r="Z28" i="35"/>
  <c r="S28" i="35"/>
  <c r="R28" i="35"/>
  <c r="Q28" i="35"/>
  <c r="P28" i="35"/>
  <c r="N28" i="35"/>
  <c r="M28" i="35"/>
  <c r="L28" i="35"/>
  <c r="K28" i="35"/>
  <c r="D27" i="35"/>
  <c r="G26" i="35"/>
  <c r="N25" i="35"/>
  <c r="M25" i="35"/>
  <c r="L25" i="35"/>
  <c r="K25" i="35"/>
  <c r="D25" i="35"/>
  <c r="G24" i="35"/>
  <c r="H16" i="35"/>
  <c r="D23" i="35"/>
  <c r="G22" i="35"/>
  <c r="G16" i="35"/>
  <c r="D21" i="35"/>
  <c r="G20" i="35"/>
  <c r="M19" i="35"/>
  <c r="W16" i="35"/>
  <c r="V16" i="35"/>
  <c r="U16" i="35"/>
  <c r="E50" i="34"/>
  <c r="A50" i="34"/>
  <c r="E49" i="34"/>
  <c r="A49" i="34"/>
  <c r="E48" i="34"/>
  <c r="A48" i="34"/>
  <c r="E47" i="34"/>
  <c r="A47" i="34"/>
  <c r="E46" i="34"/>
  <c r="A46" i="34"/>
  <c r="E45" i="34"/>
  <c r="A45" i="34"/>
  <c r="E44" i="34"/>
  <c r="A44" i="34"/>
  <c r="E43" i="34"/>
  <c r="A43" i="34"/>
  <c r="E42" i="34"/>
  <c r="A42" i="34"/>
  <c r="E41" i="34"/>
  <c r="A41" i="34"/>
  <c r="E40" i="34"/>
  <c r="A40" i="34"/>
  <c r="E39" i="34"/>
  <c r="A39" i="34"/>
  <c r="D31" i="34"/>
  <c r="J29" i="34"/>
  <c r="I29" i="34"/>
  <c r="H29" i="34"/>
  <c r="G29" i="34"/>
  <c r="F16" i="34"/>
  <c r="D29" i="34"/>
  <c r="AK2" i="34"/>
  <c r="AQ16" i="34"/>
  <c r="AL2" i="34"/>
  <c r="AR16" i="34"/>
  <c r="AM2" i="34"/>
  <c r="AS16" i="34"/>
  <c r="AN2" i="34"/>
  <c r="AT16" i="34"/>
  <c r="AO2" i="34"/>
  <c r="AU16" i="34"/>
  <c r="AP2" i="34"/>
  <c r="AV16" i="34"/>
  <c r="AQ2" i="34"/>
  <c r="AW16" i="34"/>
  <c r="AR2" i="34"/>
  <c r="AX16" i="34"/>
  <c r="AS2" i="34"/>
  <c r="AY16" i="34"/>
  <c r="AT2" i="34"/>
  <c r="AZ16" i="34"/>
  <c r="AU2" i="34"/>
  <c r="BA16" i="34"/>
  <c r="AV2" i="34"/>
  <c r="BB16" i="34"/>
  <c r="AW2" i="34"/>
  <c r="BC16" i="34"/>
  <c r="AX2" i="34"/>
  <c r="BD16" i="34"/>
  <c r="AY2" i="34"/>
  <c r="BE16" i="34"/>
  <c r="AZ2" i="34"/>
  <c r="BF16" i="34"/>
  <c r="BA2" i="34"/>
  <c r="BG16" i="34"/>
  <c r="BB2" i="34"/>
  <c r="BH16" i="34"/>
  <c r="BC2" i="34"/>
  <c r="BI16" i="34"/>
  <c r="BD2" i="34"/>
  <c r="BJ16" i="34"/>
  <c r="BE2" i="34"/>
  <c r="BK16" i="34"/>
  <c r="BF2" i="34"/>
  <c r="BL16" i="34"/>
  <c r="BG2" i="34"/>
  <c r="BM16" i="34"/>
  <c r="BH2" i="34"/>
  <c r="BN16" i="34"/>
  <c r="AP16" i="34"/>
  <c r="AK3" i="34"/>
  <c r="AQ17" i="34"/>
  <c r="AL3" i="34"/>
  <c r="AR17" i="34"/>
  <c r="AM3" i="34"/>
  <c r="AS17" i="34"/>
  <c r="AN3" i="34"/>
  <c r="AT17" i="34"/>
  <c r="AO3" i="34"/>
  <c r="AU17" i="34"/>
  <c r="AP3" i="34"/>
  <c r="AV17" i="34"/>
  <c r="AQ3" i="34"/>
  <c r="AW17" i="34"/>
  <c r="AR3" i="34"/>
  <c r="AX17" i="34"/>
  <c r="AS3" i="34"/>
  <c r="AY17" i="34"/>
  <c r="AT3" i="34"/>
  <c r="AZ17" i="34"/>
  <c r="AU3" i="34"/>
  <c r="BA17" i="34"/>
  <c r="AV3" i="34"/>
  <c r="BB17" i="34"/>
  <c r="AW3" i="34"/>
  <c r="BC17" i="34"/>
  <c r="AX3" i="34"/>
  <c r="BD17" i="34"/>
  <c r="AY3" i="34"/>
  <c r="BE17" i="34"/>
  <c r="AZ3" i="34"/>
  <c r="BF17" i="34"/>
  <c r="BA3" i="34"/>
  <c r="BG17" i="34"/>
  <c r="BB3" i="34"/>
  <c r="BH17" i="34"/>
  <c r="BC3" i="34"/>
  <c r="BI17" i="34"/>
  <c r="BD3" i="34"/>
  <c r="BJ17" i="34"/>
  <c r="BE3" i="34"/>
  <c r="BK17" i="34"/>
  <c r="BF3" i="34"/>
  <c r="BL17" i="34"/>
  <c r="BG3" i="34"/>
  <c r="BM17" i="34"/>
  <c r="BH3" i="34"/>
  <c r="BN17" i="34"/>
  <c r="AP17" i="34"/>
  <c r="AK4" i="34"/>
  <c r="AQ18" i="34"/>
  <c r="AL4" i="34"/>
  <c r="AR18" i="34"/>
  <c r="AM4" i="34"/>
  <c r="AS18" i="34"/>
  <c r="AN4" i="34"/>
  <c r="AT18" i="34"/>
  <c r="AO4" i="34"/>
  <c r="AU18" i="34"/>
  <c r="AP4" i="34"/>
  <c r="AV18" i="34"/>
  <c r="AQ4" i="34"/>
  <c r="AW18" i="34"/>
  <c r="AR4" i="34"/>
  <c r="AX18" i="34"/>
  <c r="AS4" i="34"/>
  <c r="AY18" i="34"/>
  <c r="AT4" i="34"/>
  <c r="AZ18" i="34"/>
  <c r="AU4" i="34"/>
  <c r="BA18" i="34"/>
  <c r="AV4" i="34"/>
  <c r="BB18" i="34"/>
  <c r="AW4" i="34"/>
  <c r="BC18" i="34"/>
  <c r="AX4" i="34"/>
  <c r="BD18" i="34"/>
  <c r="AY4" i="34"/>
  <c r="BE18" i="34"/>
  <c r="AZ4" i="34"/>
  <c r="BF18" i="34"/>
  <c r="BA4" i="34"/>
  <c r="BG18" i="34"/>
  <c r="BB4" i="34"/>
  <c r="BH18" i="34"/>
  <c r="BC4" i="34"/>
  <c r="BI18" i="34"/>
  <c r="BD4" i="34"/>
  <c r="BJ18" i="34"/>
  <c r="BE4" i="34"/>
  <c r="BK18" i="34"/>
  <c r="BF4" i="34"/>
  <c r="BL18" i="34"/>
  <c r="BG4" i="34"/>
  <c r="BM18" i="34"/>
  <c r="BH4" i="34"/>
  <c r="BN18" i="34"/>
  <c r="AP18" i="34"/>
  <c r="AK5" i="34"/>
  <c r="AQ19" i="34"/>
  <c r="AL5" i="34"/>
  <c r="AR19" i="34"/>
  <c r="AM5" i="34"/>
  <c r="AS19" i="34"/>
  <c r="AN5" i="34"/>
  <c r="AT19" i="34"/>
  <c r="AO5" i="34"/>
  <c r="AU19" i="34"/>
  <c r="AP5" i="34"/>
  <c r="AV19" i="34"/>
  <c r="AQ5" i="34"/>
  <c r="AW19" i="34"/>
  <c r="AR5" i="34"/>
  <c r="AX19" i="34"/>
  <c r="AS5" i="34"/>
  <c r="AY19" i="34"/>
  <c r="AT5" i="34"/>
  <c r="AZ19" i="34"/>
  <c r="AU5" i="34"/>
  <c r="BA19" i="34"/>
  <c r="AV5" i="34"/>
  <c r="BB19" i="34"/>
  <c r="AW5" i="34"/>
  <c r="BC19" i="34"/>
  <c r="AX5" i="34"/>
  <c r="BD19" i="34"/>
  <c r="AY5" i="34"/>
  <c r="BE19" i="34"/>
  <c r="AZ5" i="34"/>
  <c r="BF19" i="34"/>
  <c r="BA5" i="34"/>
  <c r="BG19" i="34"/>
  <c r="BB5" i="34"/>
  <c r="BH19" i="34"/>
  <c r="BC5" i="34"/>
  <c r="BI19" i="34"/>
  <c r="BD5" i="34"/>
  <c r="BJ19" i="34"/>
  <c r="BE5" i="34"/>
  <c r="BK19" i="34"/>
  <c r="BF5" i="34"/>
  <c r="BL19" i="34"/>
  <c r="BG5" i="34"/>
  <c r="BM19" i="34"/>
  <c r="BH5" i="34"/>
  <c r="BN19" i="34"/>
  <c r="AP19" i="34"/>
  <c r="AK6" i="34"/>
  <c r="AQ20" i="34"/>
  <c r="AL6" i="34"/>
  <c r="AR20" i="34"/>
  <c r="AM6" i="34"/>
  <c r="AS20" i="34"/>
  <c r="AN6" i="34"/>
  <c r="AT20" i="34"/>
  <c r="AO6" i="34"/>
  <c r="AU20" i="34"/>
  <c r="AP6" i="34"/>
  <c r="AV20" i="34"/>
  <c r="AQ6" i="34"/>
  <c r="AW20" i="34"/>
  <c r="AR6" i="34"/>
  <c r="AX20" i="34"/>
  <c r="AS6" i="34"/>
  <c r="AY20" i="34"/>
  <c r="AT6" i="34"/>
  <c r="AZ20" i="34"/>
  <c r="AU6" i="34"/>
  <c r="BA20" i="34"/>
  <c r="AV6" i="34"/>
  <c r="BB20" i="34"/>
  <c r="AW6" i="34"/>
  <c r="BC20" i="34"/>
  <c r="AX6" i="34"/>
  <c r="BD20" i="34"/>
  <c r="AY6" i="34"/>
  <c r="BE20" i="34"/>
  <c r="AZ6" i="34"/>
  <c r="BF20" i="34"/>
  <c r="BA6" i="34"/>
  <c r="BG20" i="34"/>
  <c r="BB6" i="34"/>
  <c r="BH20" i="34"/>
  <c r="BC6" i="34"/>
  <c r="BI20" i="34"/>
  <c r="BD6" i="34"/>
  <c r="BJ20" i="34"/>
  <c r="BE6" i="34"/>
  <c r="BK20" i="34"/>
  <c r="BF6" i="34"/>
  <c r="BL20" i="34"/>
  <c r="BG6" i="34"/>
  <c r="BM20" i="34"/>
  <c r="BH6" i="34"/>
  <c r="BN20" i="34"/>
  <c r="AP20" i="34"/>
  <c r="AK7" i="34"/>
  <c r="AQ21" i="34"/>
  <c r="AL7" i="34"/>
  <c r="AR21" i="34"/>
  <c r="AM7" i="34"/>
  <c r="AS21" i="34"/>
  <c r="AN7" i="34"/>
  <c r="AT21" i="34"/>
  <c r="AO7" i="34"/>
  <c r="AU21" i="34"/>
  <c r="AP7" i="34"/>
  <c r="AV21" i="34"/>
  <c r="AQ7" i="34"/>
  <c r="AW21" i="34"/>
  <c r="AR7" i="34"/>
  <c r="AX21" i="34"/>
  <c r="AS7" i="34"/>
  <c r="AY21" i="34"/>
  <c r="AT7" i="34"/>
  <c r="AZ21" i="34"/>
  <c r="AU7" i="34"/>
  <c r="BA21" i="34"/>
  <c r="AV7" i="34"/>
  <c r="BB21" i="34"/>
  <c r="AW7" i="34"/>
  <c r="BC21" i="34"/>
  <c r="AX7" i="34"/>
  <c r="BD21" i="34"/>
  <c r="AY7" i="34"/>
  <c r="BE21" i="34"/>
  <c r="AZ7" i="34"/>
  <c r="BF21" i="34"/>
  <c r="BA7" i="34"/>
  <c r="BG21" i="34"/>
  <c r="BB7" i="34"/>
  <c r="BH21" i="34"/>
  <c r="BC7" i="34"/>
  <c r="BI21" i="34"/>
  <c r="BD7" i="34"/>
  <c r="BJ21" i="34"/>
  <c r="BE7" i="34"/>
  <c r="BK21" i="34"/>
  <c r="BF7" i="34"/>
  <c r="BL21" i="34"/>
  <c r="BG7" i="34"/>
  <c r="BM21" i="34"/>
  <c r="BH7" i="34"/>
  <c r="BN21" i="34"/>
  <c r="AP21" i="34"/>
  <c r="AK8" i="34"/>
  <c r="AQ22" i="34"/>
  <c r="AL8" i="34"/>
  <c r="AR22" i="34"/>
  <c r="AM8" i="34"/>
  <c r="AS22" i="34"/>
  <c r="AN8" i="34"/>
  <c r="AT22" i="34"/>
  <c r="AO8" i="34"/>
  <c r="AU22" i="34"/>
  <c r="AP8" i="34"/>
  <c r="AV22" i="34"/>
  <c r="AQ8" i="34"/>
  <c r="AW22" i="34"/>
  <c r="AR8" i="34"/>
  <c r="AX22" i="34"/>
  <c r="AS8" i="34"/>
  <c r="AY22" i="34"/>
  <c r="AT8" i="34"/>
  <c r="AZ22" i="34"/>
  <c r="AU8" i="34"/>
  <c r="BA22" i="34"/>
  <c r="AV8" i="34"/>
  <c r="BB22" i="34"/>
  <c r="AW8" i="34"/>
  <c r="BC22" i="34"/>
  <c r="AX8" i="34"/>
  <c r="BD22" i="34"/>
  <c r="AY8" i="34"/>
  <c r="BE22" i="34"/>
  <c r="AZ8" i="34"/>
  <c r="BF22" i="34"/>
  <c r="BA8" i="34"/>
  <c r="BG22" i="34"/>
  <c r="BB8" i="34"/>
  <c r="BH22" i="34"/>
  <c r="BC8" i="34"/>
  <c r="BI22" i="34"/>
  <c r="BD8" i="34"/>
  <c r="BJ22" i="34"/>
  <c r="BE8" i="34"/>
  <c r="BK22" i="34"/>
  <c r="BF8" i="34"/>
  <c r="BL22" i="34"/>
  <c r="BG8" i="34"/>
  <c r="BM22" i="34"/>
  <c r="BH8" i="34"/>
  <c r="BN22" i="34"/>
  <c r="AP22" i="34"/>
  <c r="AK9" i="34"/>
  <c r="AQ23" i="34"/>
  <c r="AL9" i="34"/>
  <c r="AR23" i="34"/>
  <c r="AM9" i="34"/>
  <c r="AS23" i="34"/>
  <c r="AN9" i="34"/>
  <c r="AT23" i="34"/>
  <c r="AO9" i="34"/>
  <c r="AU23" i="34"/>
  <c r="AP9" i="34"/>
  <c r="AV23" i="34"/>
  <c r="AQ9" i="34"/>
  <c r="AW23" i="34"/>
  <c r="AR9" i="34"/>
  <c r="AX23" i="34"/>
  <c r="AS9" i="34"/>
  <c r="AY23" i="34"/>
  <c r="AT9" i="34"/>
  <c r="AZ23" i="34"/>
  <c r="AU9" i="34"/>
  <c r="BA23" i="34"/>
  <c r="AV9" i="34"/>
  <c r="BB23" i="34"/>
  <c r="AW9" i="34"/>
  <c r="BC23" i="34"/>
  <c r="AX9" i="34"/>
  <c r="BD23" i="34"/>
  <c r="AY9" i="34"/>
  <c r="BE23" i="34"/>
  <c r="AZ9" i="34"/>
  <c r="BF23" i="34"/>
  <c r="BA9" i="34"/>
  <c r="BG23" i="34"/>
  <c r="BB9" i="34"/>
  <c r="BH23" i="34"/>
  <c r="BC9" i="34"/>
  <c r="BI23" i="34"/>
  <c r="BD9" i="34"/>
  <c r="BJ23" i="34"/>
  <c r="BE9" i="34"/>
  <c r="BK23" i="34"/>
  <c r="BF9" i="34"/>
  <c r="BL23" i="34"/>
  <c r="BG9" i="34"/>
  <c r="BM23" i="34"/>
  <c r="BH9" i="34"/>
  <c r="BN23" i="34"/>
  <c r="AP23" i="34"/>
  <c r="AK10" i="34"/>
  <c r="AQ24" i="34"/>
  <c r="AL10" i="34"/>
  <c r="AR24" i="34"/>
  <c r="AM10" i="34"/>
  <c r="AS24" i="34"/>
  <c r="AN10" i="34"/>
  <c r="AT24" i="34"/>
  <c r="AO10" i="34"/>
  <c r="AU24" i="34"/>
  <c r="AP10" i="34"/>
  <c r="AV24" i="34"/>
  <c r="AQ10" i="34"/>
  <c r="AW24" i="34"/>
  <c r="AR10" i="34"/>
  <c r="AX24" i="34"/>
  <c r="AS10" i="34"/>
  <c r="AY24" i="34"/>
  <c r="AT10" i="34"/>
  <c r="AZ24" i="34"/>
  <c r="AU10" i="34"/>
  <c r="BA24" i="34"/>
  <c r="AV10" i="34"/>
  <c r="BB24" i="34"/>
  <c r="AW10" i="34"/>
  <c r="BC24" i="34"/>
  <c r="AX10" i="34"/>
  <c r="BD24" i="34"/>
  <c r="AY10" i="34"/>
  <c r="BE24" i="34"/>
  <c r="AZ10" i="34"/>
  <c r="BF24" i="34"/>
  <c r="BA10" i="34"/>
  <c r="BG24" i="34"/>
  <c r="BB10" i="34"/>
  <c r="BH24" i="34"/>
  <c r="BC10" i="34"/>
  <c r="BI24" i="34"/>
  <c r="BD10" i="34"/>
  <c r="BJ24" i="34"/>
  <c r="BE10" i="34"/>
  <c r="BK24" i="34"/>
  <c r="BF10" i="34"/>
  <c r="BL24" i="34"/>
  <c r="BG10" i="34"/>
  <c r="BM24" i="34"/>
  <c r="BH10" i="34"/>
  <c r="BN24" i="34"/>
  <c r="AP24" i="34"/>
  <c r="AK11" i="34"/>
  <c r="AQ25" i="34"/>
  <c r="AL11" i="34"/>
  <c r="AR25" i="34"/>
  <c r="AM11" i="34"/>
  <c r="AS25" i="34"/>
  <c r="AN11" i="34"/>
  <c r="AT25" i="34"/>
  <c r="AO11" i="34"/>
  <c r="AU25" i="34"/>
  <c r="AP11" i="34"/>
  <c r="AV25" i="34"/>
  <c r="AQ11" i="34"/>
  <c r="AW25" i="34"/>
  <c r="AR11" i="34"/>
  <c r="AX25" i="34"/>
  <c r="AS11" i="34"/>
  <c r="AY25" i="34"/>
  <c r="AT11" i="34"/>
  <c r="AZ25" i="34"/>
  <c r="AU11" i="34"/>
  <c r="BA25" i="34"/>
  <c r="AV11" i="34"/>
  <c r="BB25" i="34"/>
  <c r="AW11" i="34"/>
  <c r="BC25" i="34"/>
  <c r="AX11" i="34"/>
  <c r="BD25" i="34"/>
  <c r="AY11" i="34"/>
  <c r="BE25" i="34"/>
  <c r="AZ11" i="34"/>
  <c r="BF25" i="34"/>
  <c r="BA11" i="34"/>
  <c r="BG25" i="34"/>
  <c r="BB11" i="34"/>
  <c r="BH25" i="34"/>
  <c r="BC11" i="34"/>
  <c r="BI25" i="34"/>
  <c r="BD11" i="34"/>
  <c r="BJ25" i="34"/>
  <c r="BE11" i="34"/>
  <c r="BK25" i="34"/>
  <c r="BF11" i="34"/>
  <c r="BL25" i="34"/>
  <c r="BG11" i="34"/>
  <c r="BM25" i="34"/>
  <c r="BH11" i="34"/>
  <c r="BN25" i="34"/>
  <c r="AP25" i="34"/>
  <c r="AK12" i="34"/>
  <c r="AQ26" i="34"/>
  <c r="AL12" i="34"/>
  <c r="AR26" i="34"/>
  <c r="AM12" i="34"/>
  <c r="AS26" i="34"/>
  <c r="AN12" i="34"/>
  <c r="AT26" i="34"/>
  <c r="AO12" i="34"/>
  <c r="AU26" i="34"/>
  <c r="AP12" i="34"/>
  <c r="AV26" i="34"/>
  <c r="AQ12" i="34"/>
  <c r="AW26" i="34"/>
  <c r="AR12" i="34"/>
  <c r="AX26" i="34"/>
  <c r="AS12" i="34"/>
  <c r="AY26" i="34"/>
  <c r="AT12" i="34"/>
  <c r="AZ26" i="34"/>
  <c r="AU12" i="34"/>
  <c r="BA26" i="34"/>
  <c r="AV12" i="34"/>
  <c r="BB26" i="34"/>
  <c r="AW12" i="34"/>
  <c r="BC26" i="34"/>
  <c r="AX12" i="34"/>
  <c r="BD26" i="34"/>
  <c r="AY12" i="34"/>
  <c r="BE26" i="34"/>
  <c r="AZ12" i="34"/>
  <c r="BF26" i="34"/>
  <c r="BA12" i="34"/>
  <c r="BG26" i="34"/>
  <c r="BB12" i="34"/>
  <c r="BH26" i="34"/>
  <c r="BC12" i="34"/>
  <c r="BI26" i="34"/>
  <c r="BD12" i="34"/>
  <c r="BJ26" i="34"/>
  <c r="BE12" i="34"/>
  <c r="BK26" i="34"/>
  <c r="BF12" i="34"/>
  <c r="BL26" i="34"/>
  <c r="BG12" i="34"/>
  <c r="BM26" i="34"/>
  <c r="BH12" i="34"/>
  <c r="BN26" i="34"/>
  <c r="AP26" i="34"/>
  <c r="AK13" i="34"/>
  <c r="AQ27" i="34"/>
  <c r="AL13" i="34"/>
  <c r="AR27" i="34"/>
  <c r="AM13" i="34"/>
  <c r="AS27" i="34"/>
  <c r="AN13" i="34"/>
  <c r="AT27" i="34"/>
  <c r="AO13" i="34"/>
  <c r="AU27" i="34"/>
  <c r="AP13" i="34"/>
  <c r="AV27" i="34"/>
  <c r="AQ13" i="34"/>
  <c r="AW27" i="34"/>
  <c r="AR13" i="34"/>
  <c r="AX27" i="34"/>
  <c r="AS13" i="34"/>
  <c r="AY27" i="34"/>
  <c r="AT13" i="34"/>
  <c r="AZ27" i="34"/>
  <c r="AU13" i="34"/>
  <c r="BA27" i="34"/>
  <c r="AV13" i="34"/>
  <c r="BB27" i="34"/>
  <c r="AW13" i="34"/>
  <c r="BC27" i="34"/>
  <c r="AX13" i="34"/>
  <c r="BD27" i="34"/>
  <c r="AY13" i="34"/>
  <c r="BE27" i="34"/>
  <c r="AZ13" i="34"/>
  <c r="BF27" i="34"/>
  <c r="BA13" i="34"/>
  <c r="BG27" i="34"/>
  <c r="BB13" i="34"/>
  <c r="BH27" i="34"/>
  <c r="BC13" i="34"/>
  <c r="BI27" i="34"/>
  <c r="BD13" i="34"/>
  <c r="BJ27" i="34"/>
  <c r="BE13" i="34"/>
  <c r="BK27" i="34"/>
  <c r="BF13" i="34"/>
  <c r="BL27" i="34"/>
  <c r="BG13" i="34"/>
  <c r="BM27" i="34"/>
  <c r="BH13" i="34"/>
  <c r="BN27" i="34"/>
  <c r="AP27" i="34"/>
  <c r="AP28" i="34"/>
  <c r="AN16" i="34"/>
  <c r="AN17" i="34"/>
  <c r="AN18" i="34"/>
  <c r="AN19" i="34"/>
  <c r="AN20" i="34"/>
  <c r="AN21" i="34"/>
  <c r="AN22" i="34"/>
  <c r="AN23" i="34"/>
  <c r="AN24" i="34"/>
  <c r="AN25" i="34"/>
  <c r="AN26" i="34"/>
  <c r="AN27" i="34"/>
  <c r="AN28" i="34"/>
  <c r="AM16" i="34"/>
  <c r="AM17" i="34"/>
  <c r="AM18" i="34"/>
  <c r="AM19" i="34"/>
  <c r="AM20" i="34"/>
  <c r="AM21" i="34"/>
  <c r="AM22" i="34"/>
  <c r="AM23" i="34"/>
  <c r="AM24" i="34"/>
  <c r="AM25" i="34"/>
  <c r="AM26" i="34"/>
  <c r="AM27" i="34"/>
  <c r="AM28" i="34"/>
  <c r="AL16" i="34"/>
  <c r="AL17" i="34"/>
  <c r="AL18" i="34"/>
  <c r="AL19" i="34"/>
  <c r="AL20" i="34"/>
  <c r="AL21" i="34"/>
  <c r="AL22" i="34"/>
  <c r="AL23" i="34"/>
  <c r="AL24" i="34"/>
  <c r="AL25" i="34"/>
  <c r="AL26" i="34"/>
  <c r="AL27" i="34"/>
  <c r="AL28" i="34"/>
  <c r="AK16" i="34"/>
  <c r="AK17" i="34"/>
  <c r="AK18" i="34"/>
  <c r="AK19" i="34"/>
  <c r="AK20" i="34"/>
  <c r="AK21" i="34"/>
  <c r="AK22" i="34"/>
  <c r="AK23" i="34"/>
  <c r="AK24" i="34"/>
  <c r="AK25" i="34"/>
  <c r="AK26" i="34"/>
  <c r="AK27" i="34"/>
  <c r="AK28" i="34"/>
  <c r="Z2" i="34"/>
  <c r="AA2" i="34"/>
  <c r="AB2" i="34"/>
  <c r="AC2" i="34"/>
  <c r="AA16" i="34"/>
  <c r="Z3" i="34"/>
  <c r="AA3" i="34"/>
  <c r="AB3" i="34"/>
  <c r="AC3" i="34"/>
  <c r="AA17" i="34"/>
  <c r="Z4" i="34"/>
  <c r="AA4" i="34"/>
  <c r="AB4" i="34"/>
  <c r="AC4" i="34"/>
  <c r="AA18" i="34"/>
  <c r="Z5" i="34"/>
  <c r="AA5" i="34"/>
  <c r="AB5" i="34"/>
  <c r="AC5" i="34"/>
  <c r="AA19" i="34"/>
  <c r="Z6" i="34"/>
  <c r="AA6" i="34"/>
  <c r="AB6" i="34"/>
  <c r="AC6" i="34"/>
  <c r="AA20" i="34"/>
  <c r="Z7" i="34"/>
  <c r="AA7" i="34"/>
  <c r="AB7" i="34"/>
  <c r="AC7" i="34"/>
  <c r="AA21" i="34"/>
  <c r="Z8" i="34"/>
  <c r="AA8" i="34"/>
  <c r="AB8" i="34"/>
  <c r="AC8" i="34"/>
  <c r="AA22" i="34"/>
  <c r="Z9" i="34"/>
  <c r="AA9" i="34"/>
  <c r="AB9" i="34"/>
  <c r="AC9" i="34"/>
  <c r="AA23" i="34"/>
  <c r="Z10" i="34"/>
  <c r="AA10" i="34"/>
  <c r="AB10" i="34"/>
  <c r="AC10" i="34"/>
  <c r="AA24" i="34"/>
  <c r="Z11" i="34"/>
  <c r="AA11" i="34"/>
  <c r="AB11" i="34"/>
  <c r="AC11" i="34"/>
  <c r="AA25" i="34"/>
  <c r="Z12" i="34"/>
  <c r="AA12" i="34"/>
  <c r="AB12" i="34"/>
  <c r="AC12" i="34"/>
  <c r="AA26" i="34"/>
  <c r="Z13" i="34"/>
  <c r="AA13" i="34"/>
  <c r="AB13" i="34"/>
  <c r="AC13" i="34"/>
  <c r="AA27" i="34"/>
  <c r="AA28" i="34"/>
  <c r="Z16" i="34"/>
  <c r="Z17" i="34"/>
  <c r="Z18" i="34"/>
  <c r="Z19" i="34"/>
  <c r="Z20" i="34"/>
  <c r="Z21" i="34"/>
  <c r="Z22" i="34"/>
  <c r="Z23" i="34"/>
  <c r="Z24" i="34"/>
  <c r="Z25" i="34"/>
  <c r="Z26" i="34"/>
  <c r="Z27" i="34"/>
  <c r="Z28" i="34"/>
  <c r="S28" i="34"/>
  <c r="R28" i="34"/>
  <c r="Q28" i="34"/>
  <c r="P28" i="34"/>
  <c r="N28" i="34"/>
  <c r="M28" i="34"/>
  <c r="L28" i="34"/>
  <c r="K28" i="34"/>
  <c r="D27" i="34"/>
  <c r="G26" i="34"/>
  <c r="N25" i="34"/>
  <c r="M25" i="34"/>
  <c r="L25" i="34"/>
  <c r="K25" i="34"/>
  <c r="D25" i="34"/>
  <c r="G24" i="34"/>
  <c r="H16" i="34"/>
  <c r="D23" i="34"/>
  <c r="G22" i="34"/>
  <c r="G16" i="34"/>
  <c r="D21" i="34"/>
  <c r="G20" i="34"/>
  <c r="M19" i="34"/>
  <c r="W16" i="34"/>
  <c r="V16" i="34"/>
  <c r="U16" i="34"/>
  <c r="E50" i="33"/>
  <c r="C50" i="33"/>
  <c r="A50" i="33"/>
  <c r="E49" i="33"/>
  <c r="A49" i="33"/>
  <c r="E48" i="33"/>
  <c r="A48" i="33"/>
  <c r="E47" i="33"/>
  <c r="A47" i="33"/>
  <c r="E46" i="33"/>
  <c r="A46" i="33"/>
  <c r="E45" i="33"/>
  <c r="A45" i="33"/>
  <c r="E44" i="33"/>
  <c r="A44" i="33"/>
  <c r="E43" i="33"/>
  <c r="A43" i="33"/>
  <c r="X15" i="33"/>
  <c r="E42" i="33"/>
  <c r="A42" i="33"/>
  <c r="X14" i="33"/>
  <c r="E41" i="33"/>
  <c r="A41" i="33"/>
  <c r="X13" i="33"/>
  <c r="E40" i="33"/>
  <c r="AE17" i="33"/>
  <c r="A40" i="33"/>
  <c r="X12" i="33"/>
  <c r="E39" i="33"/>
  <c r="AE16" i="33"/>
  <c r="A39" i="33"/>
  <c r="X11" i="33"/>
  <c r="X10" i="33"/>
  <c r="X9" i="33"/>
  <c r="R16" i="33"/>
  <c r="Q16" i="33"/>
  <c r="X8" i="33"/>
  <c r="X7" i="33"/>
  <c r="X4" i="33"/>
  <c r="X5" i="33"/>
  <c r="X6" i="33"/>
  <c r="AE2" i="33"/>
  <c r="AF2" i="33"/>
  <c r="AG2" i="33"/>
  <c r="AH2" i="33"/>
  <c r="AI2" i="33"/>
  <c r="AG16" i="33"/>
  <c r="AE3" i="33"/>
  <c r="AF3" i="33"/>
  <c r="AG3" i="33"/>
  <c r="AH3" i="33"/>
  <c r="AI3" i="33"/>
  <c r="AG17" i="33"/>
  <c r="AE4" i="33"/>
  <c r="AF4" i="33"/>
  <c r="AG4" i="33"/>
  <c r="AH4" i="33"/>
  <c r="AI4" i="33"/>
  <c r="AG18" i="33"/>
  <c r="AE5" i="33"/>
  <c r="AF5" i="33"/>
  <c r="AG5" i="33"/>
  <c r="AH5" i="33"/>
  <c r="AI5" i="33"/>
  <c r="AG19" i="33"/>
  <c r="AE6" i="33"/>
  <c r="AF6" i="33"/>
  <c r="AG6" i="33"/>
  <c r="AH6" i="33"/>
  <c r="AI6" i="33"/>
  <c r="AG20" i="33"/>
  <c r="AE7" i="33"/>
  <c r="AF7" i="33"/>
  <c r="AG7" i="33"/>
  <c r="AH7" i="33"/>
  <c r="AI7" i="33"/>
  <c r="AG21" i="33"/>
  <c r="AE8" i="33"/>
  <c r="AF8" i="33"/>
  <c r="AG8" i="33"/>
  <c r="AH8" i="33"/>
  <c r="AI8" i="33"/>
  <c r="AG22" i="33"/>
  <c r="AE9" i="33"/>
  <c r="AF9" i="33"/>
  <c r="AG9" i="33"/>
  <c r="AH9" i="33"/>
  <c r="AI9" i="33"/>
  <c r="AG23" i="33"/>
  <c r="AE10" i="33"/>
  <c r="AF10" i="33"/>
  <c r="AG10" i="33"/>
  <c r="AH10" i="33"/>
  <c r="AI10" i="33"/>
  <c r="AG24" i="33"/>
  <c r="AE11" i="33"/>
  <c r="AF11" i="33"/>
  <c r="AG11" i="33"/>
  <c r="AH11" i="33"/>
  <c r="AI11" i="33"/>
  <c r="AG25" i="33"/>
  <c r="AE12" i="33"/>
  <c r="AF12" i="33"/>
  <c r="AG12" i="33"/>
  <c r="AH12" i="33"/>
  <c r="AI12" i="33"/>
  <c r="AG26" i="33"/>
  <c r="AE13" i="33"/>
  <c r="AF13" i="33"/>
  <c r="AG13" i="33"/>
  <c r="AH13" i="33"/>
  <c r="AI13" i="33"/>
  <c r="AG27" i="33"/>
  <c r="AG28" i="33"/>
  <c r="AF16" i="33"/>
  <c r="AF17" i="33"/>
  <c r="AF18" i="33"/>
  <c r="AF19" i="33"/>
  <c r="AF20" i="33"/>
  <c r="AF21" i="33"/>
  <c r="AF22" i="33"/>
  <c r="AF23" i="33"/>
  <c r="AF24" i="33"/>
  <c r="AF25" i="33"/>
  <c r="AF26" i="33"/>
  <c r="AF27" i="33"/>
  <c r="AF28" i="33"/>
  <c r="AE27" i="33"/>
  <c r="J29" i="33"/>
  <c r="I29" i="33"/>
  <c r="H29" i="33"/>
  <c r="G29" i="33"/>
  <c r="AK2" i="33"/>
  <c r="AQ16" i="33"/>
  <c r="AL2" i="33"/>
  <c r="AR16" i="33"/>
  <c r="AM2" i="33"/>
  <c r="AS16" i="33"/>
  <c r="AN2" i="33"/>
  <c r="AT16" i="33"/>
  <c r="AO2" i="33"/>
  <c r="AU16" i="33"/>
  <c r="AP2" i="33"/>
  <c r="AV16" i="33"/>
  <c r="AQ2" i="33"/>
  <c r="AW16" i="33"/>
  <c r="AR2" i="33"/>
  <c r="AX16" i="33"/>
  <c r="AS2" i="33"/>
  <c r="AY16" i="33"/>
  <c r="AT2" i="33"/>
  <c r="AZ16" i="33"/>
  <c r="AU2" i="33"/>
  <c r="BA16" i="33"/>
  <c r="AV2" i="33"/>
  <c r="BB16" i="33"/>
  <c r="AW2" i="33"/>
  <c r="BC16" i="33"/>
  <c r="AX2" i="33"/>
  <c r="BD16" i="33"/>
  <c r="AY2" i="33"/>
  <c r="BE16" i="33"/>
  <c r="AZ2" i="33"/>
  <c r="BF16" i="33"/>
  <c r="BA2" i="33"/>
  <c r="BG16" i="33"/>
  <c r="BB2" i="33"/>
  <c r="BH16" i="33"/>
  <c r="BC2" i="33"/>
  <c r="BI16" i="33"/>
  <c r="BD2" i="33"/>
  <c r="BJ16" i="33"/>
  <c r="BE2" i="33"/>
  <c r="BK16" i="33"/>
  <c r="BF2" i="33"/>
  <c r="BL16" i="33"/>
  <c r="BG2" i="33"/>
  <c r="BM16" i="33"/>
  <c r="BH2" i="33"/>
  <c r="BN16" i="33"/>
  <c r="AP16" i="33"/>
  <c r="AK3" i="33"/>
  <c r="AQ17" i="33"/>
  <c r="AL3" i="33"/>
  <c r="AR17" i="33"/>
  <c r="AM3" i="33"/>
  <c r="AS17" i="33"/>
  <c r="AN3" i="33"/>
  <c r="AT17" i="33"/>
  <c r="AO3" i="33"/>
  <c r="AU17" i="33"/>
  <c r="AP3" i="33"/>
  <c r="AV17" i="33"/>
  <c r="AQ3" i="33"/>
  <c r="AW17" i="33"/>
  <c r="AR3" i="33"/>
  <c r="AX17" i="33"/>
  <c r="AS3" i="33"/>
  <c r="AY17" i="33"/>
  <c r="AT3" i="33"/>
  <c r="AZ17" i="33"/>
  <c r="AU3" i="33"/>
  <c r="BA17" i="33"/>
  <c r="AV3" i="33"/>
  <c r="BB17" i="33"/>
  <c r="AW3" i="33"/>
  <c r="BC17" i="33"/>
  <c r="AX3" i="33"/>
  <c r="BD17" i="33"/>
  <c r="AY3" i="33"/>
  <c r="BE17" i="33"/>
  <c r="AZ3" i="33"/>
  <c r="BF17" i="33"/>
  <c r="BA3" i="33"/>
  <c r="BG17" i="33"/>
  <c r="BB3" i="33"/>
  <c r="BH17" i="33"/>
  <c r="BC3" i="33"/>
  <c r="BI17" i="33"/>
  <c r="BD3" i="33"/>
  <c r="BJ17" i="33"/>
  <c r="BE3" i="33"/>
  <c r="BK17" i="33"/>
  <c r="BF3" i="33"/>
  <c r="BL17" i="33"/>
  <c r="BG3" i="33"/>
  <c r="BM17" i="33"/>
  <c r="BH3" i="33"/>
  <c r="BN17" i="33"/>
  <c r="AP17" i="33"/>
  <c r="AK4" i="33"/>
  <c r="AQ18" i="33"/>
  <c r="AL4" i="33"/>
  <c r="AR18" i="33"/>
  <c r="AM4" i="33"/>
  <c r="AS18" i="33"/>
  <c r="AN4" i="33"/>
  <c r="AT18" i="33"/>
  <c r="AO4" i="33"/>
  <c r="AU18" i="33"/>
  <c r="AP4" i="33"/>
  <c r="AV18" i="33"/>
  <c r="AQ4" i="33"/>
  <c r="AW18" i="33"/>
  <c r="AR4" i="33"/>
  <c r="AX18" i="33"/>
  <c r="AS4" i="33"/>
  <c r="AY18" i="33"/>
  <c r="AT4" i="33"/>
  <c r="AZ18" i="33"/>
  <c r="AU4" i="33"/>
  <c r="BA18" i="33"/>
  <c r="AV4" i="33"/>
  <c r="BB18" i="33"/>
  <c r="AW4" i="33"/>
  <c r="BC18" i="33"/>
  <c r="AX4" i="33"/>
  <c r="BD18" i="33"/>
  <c r="AY4" i="33"/>
  <c r="BE18" i="33"/>
  <c r="AZ4" i="33"/>
  <c r="BF18" i="33"/>
  <c r="BA4" i="33"/>
  <c r="BG18" i="33"/>
  <c r="BB4" i="33"/>
  <c r="BH18" i="33"/>
  <c r="BC4" i="33"/>
  <c r="BI18" i="33"/>
  <c r="BD4" i="33"/>
  <c r="BJ18" i="33"/>
  <c r="BE4" i="33"/>
  <c r="BK18" i="33"/>
  <c r="BF4" i="33"/>
  <c r="BL18" i="33"/>
  <c r="BG4" i="33"/>
  <c r="BM18" i="33"/>
  <c r="BH4" i="33"/>
  <c r="BN18" i="33"/>
  <c r="AP18" i="33"/>
  <c r="AK5" i="33"/>
  <c r="AQ19" i="33"/>
  <c r="AL5" i="33"/>
  <c r="AR19" i="33"/>
  <c r="AM5" i="33"/>
  <c r="AS19" i="33"/>
  <c r="AN5" i="33"/>
  <c r="AT19" i="33"/>
  <c r="AO5" i="33"/>
  <c r="AU19" i="33"/>
  <c r="AP5" i="33"/>
  <c r="AV19" i="33"/>
  <c r="AQ5" i="33"/>
  <c r="AW19" i="33"/>
  <c r="AR5" i="33"/>
  <c r="AX19" i="33"/>
  <c r="AS5" i="33"/>
  <c r="AY19" i="33"/>
  <c r="AT5" i="33"/>
  <c r="AZ19" i="33"/>
  <c r="AU5" i="33"/>
  <c r="BA19" i="33"/>
  <c r="AV5" i="33"/>
  <c r="BB19" i="33"/>
  <c r="AW5" i="33"/>
  <c r="BC19" i="33"/>
  <c r="AX5" i="33"/>
  <c r="BD19" i="33"/>
  <c r="AY5" i="33"/>
  <c r="BE19" i="33"/>
  <c r="AZ5" i="33"/>
  <c r="BF19" i="33"/>
  <c r="BA5" i="33"/>
  <c r="BG19" i="33"/>
  <c r="BB5" i="33"/>
  <c r="BH19" i="33"/>
  <c r="BC5" i="33"/>
  <c r="BI19" i="33"/>
  <c r="BD5" i="33"/>
  <c r="BJ19" i="33"/>
  <c r="BE5" i="33"/>
  <c r="BK19" i="33"/>
  <c r="BF5" i="33"/>
  <c r="BL19" i="33"/>
  <c r="BG5" i="33"/>
  <c r="BM19" i="33"/>
  <c r="BH5" i="33"/>
  <c r="BN19" i="33"/>
  <c r="AP19" i="33"/>
  <c r="AK6" i="33"/>
  <c r="AQ20" i="33"/>
  <c r="AL6" i="33"/>
  <c r="AR20" i="33"/>
  <c r="AM6" i="33"/>
  <c r="AS20" i="33"/>
  <c r="AN6" i="33"/>
  <c r="AT20" i="33"/>
  <c r="AO6" i="33"/>
  <c r="AU20" i="33"/>
  <c r="AP6" i="33"/>
  <c r="AV20" i="33"/>
  <c r="AQ6" i="33"/>
  <c r="AW20" i="33"/>
  <c r="AR6" i="33"/>
  <c r="AX20" i="33"/>
  <c r="AS6" i="33"/>
  <c r="AY20" i="33"/>
  <c r="AT6" i="33"/>
  <c r="AZ20" i="33"/>
  <c r="AU6" i="33"/>
  <c r="BA20" i="33"/>
  <c r="AV6" i="33"/>
  <c r="BB20" i="33"/>
  <c r="AW6" i="33"/>
  <c r="BC20" i="33"/>
  <c r="AX6" i="33"/>
  <c r="BD20" i="33"/>
  <c r="AY6" i="33"/>
  <c r="BE20" i="33"/>
  <c r="AZ6" i="33"/>
  <c r="BF20" i="33"/>
  <c r="BA6" i="33"/>
  <c r="BG20" i="33"/>
  <c r="BB6" i="33"/>
  <c r="BH20" i="33"/>
  <c r="BC6" i="33"/>
  <c r="BI20" i="33"/>
  <c r="BD6" i="33"/>
  <c r="BJ20" i="33"/>
  <c r="BE6" i="33"/>
  <c r="BK20" i="33"/>
  <c r="BF6" i="33"/>
  <c r="BL20" i="33"/>
  <c r="BG6" i="33"/>
  <c r="BM20" i="33"/>
  <c r="BH6" i="33"/>
  <c r="BN20" i="33"/>
  <c r="AP20" i="33"/>
  <c r="AK7" i="33"/>
  <c r="AQ21" i="33"/>
  <c r="AL7" i="33"/>
  <c r="AR21" i="33"/>
  <c r="AM7" i="33"/>
  <c r="AS21" i="33"/>
  <c r="AN7" i="33"/>
  <c r="AT21" i="33"/>
  <c r="AO7" i="33"/>
  <c r="AU21" i="33"/>
  <c r="AP7" i="33"/>
  <c r="AV21" i="33"/>
  <c r="AQ7" i="33"/>
  <c r="AW21" i="33"/>
  <c r="AR7" i="33"/>
  <c r="AX21" i="33"/>
  <c r="AS7" i="33"/>
  <c r="AY21" i="33"/>
  <c r="AT7" i="33"/>
  <c r="AZ21" i="33"/>
  <c r="AU7" i="33"/>
  <c r="BA21" i="33"/>
  <c r="AV7" i="33"/>
  <c r="BB21" i="33"/>
  <c r="AW7" i="33"/>
  <c r="BC21" i="33"/>
  <c r="AX7" i="33"/>
  <c r="BD21" i="33"/>
  <c r="AY7" i="33"/>
  <c r="BE21" i="33"/>
  <c r="AZ7" i="33"/>
  <c r="BF21" i="33"/>
  <c r="BA7" i="33"/>
  <c r="BG21" i="33"/>
  <c r="BB7" i="33"/>
  <c r="BH21" i="33"/>
  <c r="BC7" i="33"/>
  <c r="BI21" i="33"/>
  <c r="BD7" i="33"/>
  <c r="BJ21" i="33"/>
  <c r="BE7" i="33"/>
  <c r="BK21" i="33"/>
  <c r="BF7" i="33"/>
  <c r="BL21" i="33"/>
  <c r="BG7" i="33"/>
  <c r="BM21" i="33"/>
  <c r="BH7" i="33"/>
  <c r="BN21" i="33"/>
  <c r="AP21" i="33"/>
  <c r="AK8" i="33"/>
  <c r="AQ22" i="33"/>
  <c r="AL8" i="33"/>
  <c r="AR22" i="33"/>
  <c r="AM8" i="33"/>
  <c r="AS22" i="33"/>
  <c r="AN8" i="33"/>
  <c r="AT22" i="33"/>
  <c r="AO8" i="33"/>
  <c r="AU22" i="33"/>
  <c r="AP8" i="33"/>
  <c r="AV22" i="33"/>
  <c r="AQ8" i="33"/>
  <c r="AW22" i="33"/>
  <c r="AR8" i="33"/>
  <c r="AX22" i="33"/>
  <c r="AS8" i="33"/>
  <c r="AY22" i="33"/>
  <c r="AT8" i="33"/>
  <c r="AZ22" i="33"/>
  <c r="AU8" i="33"/>
  <c r="BA22" i="33"/>
  <c r="AV8" i="33"/>
  <c r="BB22" i="33"/>
  <c r="AW8" i="33"/>
  <c r="BC22" i="33"/>
  <c r="AX8" i="33"/>
  <c r="BD22" i="33"/>
  <c r="AY8" i="33"/>
  <c r="BE22" i="33"/>
  <c r="AZ8" i="33"/>
  <c r="BF22" i="33"/>
  <c r="BA8" i="33"/>
  <c r="BG22" i="33"/>
  <c r="BB8" i="33"/>
  <c r="BH22" i="33"/>
  <c r="BC8" i="33"/>
  <c r="BI22" i="33"/>
  <c r="BD8" i="33"/>
  <c r="BJ22" i="33"/>
  <c r="BE8" i="33"/>
  <c r="BK22" i="33"/>
  <c r="BF8" i="33"/>
  <c r="BL22" i="33"/>
  <c r="BG8" i="33"/>
  <c r="BM22" i="33"/>
  <c r="BH8" i="33"/>
  <c r="BN22" i="33"/>
  <c r="AP22" i="33"/>
  <c r="AK9" i="33"/>
  <c r="AQ23" i="33"/>
  <c r="AL9" i="33"/>
  <c r="AR23" i="33"/>
  <c r="AM9" i="33"/>
  <c r="AS23" i="33"/>
  <c r="AN9" i="33"/>
  <c r="AT23" i="33"/>
  <c r="AO9" i="33"/>
  <c r="AU23" i="33"/>
  <c r="AP9" i="33"/>
  <c r="AV23" i="33"/>
  <c r="AQ9" i="33"/>
  <c r="AW23" i="33"/>
  <c r="AR9" i="33"/>
  <c r="AX23" i="33"/>
  <c r="AS9" i="33"/>
  <c r="AY23" i="33"/>
  <c r="AT9" i="33"/>
  <c r="AZ23" i="33"/>
  <c r="AU9" i="33"/>
  <c r="BA23" i="33"/>
  <c r="AV9" i="33"/>
  <c r="BB23" i="33"/>
  <c r="AW9" i="33"/>
  <c r="BC23" i="33"/>
  <c r="AX9" i="33"/>
  <c r="BD23" i="33"/>
  <c r="AY9" i="33"/>
  <c r="BE23" i="33"/>
  <c r="AZ9" i="33"/>
  <c r="BF23" i="33"/>
  <c r="BA9" i="33"/>
  <c r="BG23" i="33"/>
  <c r="BB9" i="33"/>
  <c r="BH23" i="33"/>
  <c r="BC9" i="33"/>
  <c r="BI23" i="33"/>
  <c r="BD9" i="33"/>
  <c r="BJ23" i="33"/>
  <c r="BE9" i="33"/>
  <c r="BK23" i="33"/>
  <c r="BF9" i="33"/>
  <c r="BL23" i="33"/>
  <c r="BG9" i="33"/>
  <c r="BM23" i="33"/>
  <c r="BH9" i="33"/>
  <c r="BN23" i="33"/>
  <c r="AP23" i="33"/>
  <c r="AK10" i="33"/>
  <c r="AQ24" i="33"/>
  <c r="AL10" i="33"/>
  <c r="AR24" i="33"/>
  <c r="AM10" i="33"/>
  <c r="AS24" i="33"/>
  <c r="AN10" i="33"/>
  <c r="AT24" i="33"/>
  <c r="AO10" i="33"/>
  <c r="AU24" i="33"/>
  <c r="AP10" i="33"/>
  <c r="AV24" i="33"/>
  <c r="AQ10" i="33"/>
  <c r="AW24" i="33"/>
  <c r="AR10" i="33"/>
  <c r="AX24" i="33"/>
  <c r="AS10" i="33"/>
  <c r="AY24" i="33"/>
  <c r="AT10" i="33"/>
  <c r="AZ24" i="33"/>
  <c r="AU10" i="33"/>
  <c r="BA24" i="33"/>
  <c r="AV10" i="33"/>
  <c r="BB24" i="33"/>
  <c r="AW10" i="33"/>
  <c r="BC24" i="33"/>
  <c r="AX10" i="33"/>
  <c r="BD24" i="33"/>
  <c r="AY10" i="33"/>
  <c r="BE24" i="33"/>
  <c r="AZ10" i="33"/>
  <c r="BF24" i="33"/>
  <c r="BA10" i="33"/>
  <c r="BG24" i="33"/>
  <c r="BB10" i="33"/>
  <c r="BH24" i="33"/>
  <c r="BC10" i="33"/>
  <c r="BI24" i="33"/>
  <c r="BD10" i="33"/>
  <c r="BJ24" i="33"/>
  <c r="BE10" i="33"/>
  <c r="BK24" i="33"/>
  <c r="BF10" i="33"/>
  <c r="BL24" i="33"/>
  <c r="BG10" i="33"/>
  <c r="BM24" i="33"/>
  <c r="BH10" i="33"/>
  <c r="BN24" i="33"/>
  <c r="AP24" i="33"/>
  <c r="AK11" i="33"/>
  <c r="AQ25" i="33"/>
  <c r="AL11" i="33"/>
  <c r="AR25" i="33"/>
  <c r="AM11" i="33"/>
  <c r="AS25" i="33"/>
  <c r="AN11" i="33"/>
  <c r="AT25" i="33"/>
  <c r="AO11" i="33"/>
  <c r="AU25" i="33"/>
  <c r="AP11" i="33"/>
  <c r="AV25" i="33"/>
  <c r="AQ11" i="33"/>
  <c r="AW25" i="33"/>
  <c r="AR11" i="33"/>
  <c r="AX25" i="33"/>
  <c r="AS11" i="33"/>
  <c r="AY25" i="33"/>
  <c r="AT11" i="33"/>
  <c r="AZ25" i="33"/>
  <c r="AU11" i="33"/>
  <c r="BA25" i="33"/>
  <c r="AV11" i="33"/>
  <c r="BB25" i="33"/>
  <c r="AW11" i="33"/>
  <c r="BC25" i="33"/>
  <c r="AX11" i="33"/>
  <c r="BD25" i="33"/>
  <c r="AY11" i="33"/>
  <c r="BE25" i="33"/>
  <c r="AZ11" i="33"/>
  <c r="BF25" i="33"/>
  <c r="BA11" i="33"/>
  <c r="BG25" i="33"/>
  <c r="BB11" i="33"/>
  <c r="BH25" i="33"/>
  <c r="BC11" i="33"/>
  <c r="BI25" i="33"/>
  <c r="BD11" i="33"/>
  <c r="BJ25" i="33"/>
  <c r="BE11" i="33"/>
  <c r="BK25" i="33"/>
  <c r="BF11" i="33"/>
  <c r="BL25" i="33"/>
  <c r="BG11" i="33"/>
  <c r="BM25" i="33"/>
  <c r="BH11" i="33"/>
  <c r="BN25" i="33"/>
  <c r="AP25" i="33"/>
  <c r="AK12" i="33"/>
  <c r="AQ26" i="33"/>
  <c r="AL12" i="33"/>
  <c r="AR26" i="33"/>
  <c r="AM12" i="33"/>
  <c r="AS26" i="33"/>
  <c r="AN12" i="33"/>
  <c r="AT26" i="33"/>
  <c r="AO12" i="33"/>
  <c r="AU26" i="33"/>
  <c r="AP12" i="33"/>
  <c r="AV26" i="33"/>
  <c r="AQ12" i="33"/>
  <c r="AW26" i="33"/>
  <c r="AR12" i="33"/>
  <c r="AX26" i="33"/>
  <c r="AS12" i="33"/>
  <c r="AY26" i="33"/>
  <c r="AT12" i="33"/>
  <c r="AZ26" i="33"/>
  <c r="AU12" i="33"/>
  <c r="BA26" i="33"/>
  <c r="AV12" i="33"/>
  <c r="BB26" i="33"/>
  <c r="AW12" i="33"/>
  <c r="BC26" i="33"/>
  <c r="AX12" i="33"/>
  <c r="BD26" i="33"/>
  <c r="AY12" i="33"/>
  <c r="BE26" i="33"/>
  <c r="AZ12" i="33"/>
  <c r="BF26" i="33"/>
  <c r="BA12" i="33"/>
  <c r="BG26" i="33"/>
  <c r="BB12" i="33"/>
  <c r="BH26" i="33"/>
  <c r="BC12" i="33"/>
  <c r="BI26" i="33"/>
  <c r="BD12" i="33"/>
  <c r="BJ26" i="33"/>
  <c r="BE12" i="33"/>
  <c r="BK26" i="33"/>
  <c r="BF12" i="33"/>
  <c r="BL26" i="33"/>
  <c r="BG12" i="33"/>
  <c r="BM26" i="33"/>
  <c r="BH12" i="33"/>
  <c r="BN26" i="33"/>
  <c r="AP26" i="33"/>
  <c r="AK13" i="33"/>
  <c r="AQ27" i="33"/>
  <c r="AL13" i="33"/>
  <c r="AR27" i="33"/>
  <c r="AM13" i="33"/>
  <c r="AS27" i="33"/>
  <c r="AN13" i="33"/>
  <c r="AT27" i="33"/>
  <c r="AO13" i="33"/>
  <c r="AU27" i="33"/>
  <c r="AP13" i="33"/>
  <c r="AV27" i="33"/>
  <c r="AQ13" i="33"/>
  <c r="AW27" i="33"/>
  <c r="AR13" i="33"/>
  <c r="AX27" i="33"/>
  <c r="AS13" i="33"/>
  <c r="AY27" i="33"/>
  <c r="AT13" i="33"/>
  <c r="AZ27" i="33"/>
  <c r="AU13" i="33"/>
  <c r="BA27" i="33"/>
  <c r="AV13" i="33"/>
  <c r="BB27" i="33"/>
  <c r="AW13" i="33"/>
  <c r="BC27" i="33"/>
  <c r="AX13" i="33"/>
  <c r="BD27" i="33"/>
  <c r="AY13" i="33"/>
  <c r="BE27" i="33"/>
  <c r="AZ13" i="33"/>
  <c r="BF27" i="33"/>
  <c r="BA13" i="33"/>
  <c r="BG27" i="33"/>
  <c r="BB13" i="33"/>
  <c r="BH27" i="33"/>
  <c r="BC13" i="33"/>
  <c r="BI27" i="33"/>
  <c r="BD13" i="33"/>
  <c r="BJ27" i="33"/>
  <c r="BE13" i="33"/>
  <c r="BK27" i="33"/>
  <c r="BF13" i="33"/>
  <c r="BL27" i="33"/>
  <c r="BG13" i="33"/>
  <c r="BM27" i="33"/>
  <c r="BH13" i="33"/>
  <c r="BN27" i="33"/>
  <c r="AP27" i="33"/>
  <c r="AP28" i="33"/>
  <c r="AN16" i="33"/>
  <c r="AN17" i="33"/>
  <c r="AN18" i="33"/>
  <c r="AN19" i="33"/>
  <c r="AN20" i="33"/>
  <c r="AN21" i="33"/>
  <c r="AN22" i="33"/>
  <c r="AN23" i="33"/>
  <c r="AN24" i="33"/>
  <c r="AN25" i="33"/>
  <c r="AN26" i="33"/>
  <c r="AN27" i="33"/>
  <c r="AN28" i="33"/>
  <c r="AM16" i="33"/>
  <c r="AM17" i="33"/>
  <c r="AM18" i="33"/>
  <c r="AM19" i="33"/>
  <c r="AM20" i="33"/>
  <c r="AM21" i="33"/>
  <c r="AM22" i="33"/>
  <c r="AM23" i="33"/>
  <c r="AM24" i="33"/>
  <c r="AM25" i="33"/>
  <c r="AM26" i="33"/>
  <c r="AM27" i="33"/>
  <c r="AM28" i="33"/>
  <c r="AL16" i="33"/>
  <c r="AL17" i="33"/>
  <c r="AL18" i="33"/>
  <c r="AL19" i="33"/>
  <c r="AL20" i="33"/>
  <c r="AL21" i="33"/>
  <c r="AL22" i="33"/>
  <c r="AL23" i="33"/>
  <c r="AL24" i="33"/>
  <c r="AL25" i="33"/>
  <c r="AL26" i="33"/>
  <c r="AL27" i="33"/>
  <c r="AL28" i="33"/>
  <c r="AK16" i="33"/>
  <c r="AK17" i="33"/>
  <c r="AK18" i="33"/>
  <c r="AK19" i="33"/>
  <c r="AK20" i="33"/>
  <c r="AK21" i="33"/>
  <c r="AK22" i="33"/>
  <c r="AK23" i="33"/>
  <c r="AK24" i="33"/>
  <c r="AK25" i="33"/>
  <c r="AK26" i="33"/>
  <c r="AK27" i="33"/>
  <c r="AK28" i="33"/>
  <c r="Z2" i="33"/>
  <c r="AA2" i="33"/>
  <c r="AB2" i="33"/>
  <c r="AC2" i="33"/>
  <c r="AA16" i="33"/>
  <c r="Z3" i="33"/>
  <c r="AA3" i="33"/>
  <c r="AB3" i="33"/>
  <c r="AC3" i="33"/>
  <c r="AA17" i="33"/>
  <c r="Z4" i="33"/>
  <c r="AA4" i="33"/>
  <c r="AB4" i="33"/>
  <c r="AC4" i="33"/>
  <c r="AA18" i="33"/>
  <c r="Z5" i="33"/>
  <c r="AA5" i="33"/>
  <c r="AB5" i="33"/>
  <c r="AC5" i="33"/>
  <c r="AA19" i="33"/>
  <c r="Z6" i="33"/>
  <c r="AA6" i="33"/>
  <c r="AB6" i="33"/>
  <c r="AC6" i="33"/>
  <c r="AA20" i="33"/>
  <c r="Z7" i="33"/>
  <c r="AA7" i="33"/>
  <c r="AB7" i="33"/>
  <c r="AC7" i="33"/>
  <c r="AA21" i="33"/>
  <c r="Z8" i="33"/>
  <c r="AA8" i="33"/>
  <c r="AB8" i="33"/>
  <c r="AC8" i="33"/>
  <c r="AA22" i="33"/>
  <c r="Z9" i="33"/>
  <c r="AA9" i="33"/>
  <c r="AB9" i="33"/>
  <c r="AC9" i="33"/>
  <c r="AA23" i="33"/>
  <c r="Z10" i="33"/>
  <c r="AA10" i="33"/>
  <c r="AB10" i="33"/>
  <c r="AC10" i="33"/>
  <c r="AA24" i="33"/>
  <c r="Z11" i="33"/>
  <c r="AA11" i="33"/>
  <c r="AB11" i="33"/>
  <c r="AC11" i="33"/>
  <c r="AA25" i="33"/>
  <c r="Z12" i="33"/>
  <c r="AA12" i="33"/>
  <c r="AB12" i="33"/>
  <c r="AC12" i="33"/>
  <c r="AA26" i="33"/>
  <c r="Z13" i="33"/>
  <c r="AA13" i="33"/>
  <c r="AB13" i="33"/>
  <c r="AC13" i="33"/>
  <c r="AA27" i="33"/>
  <c r="AA28" i="33"/>
  <c r="Z16" i="33"/>
  <c r="Z17" i="33"/>
  <c r="Z18" i="33"/>
  <c r="Z19" i="33"/>
  <c r="Z20" i="33"/>
  <c r="Z21" i="33"/>
  <c r="Z22" i="33"/>
  <c r="Z23" i="33"/>
  <c r="Z24" i="33"/>
  <c r="Z25" i="33"/>
  <c r="Z26" i="33"/>
  <c r="Z27" i="33"/>
  <c r="Z28" i="33"/>
  <c r="S28" i="33"/>
  <c r="R28" i="33"/>
  <c r="Q28" i="33"/>
  <c r="P28" i="33"/>
  <c r="N28" i="33"/>
  <c r="M28" i="33"/>
  <c r="L28" i="33"/>
  <c r="K28" i="33"/>
  <c r="D27" i="33"/>
  <c r="G26" i="33"/>
  <c r="N25" i="33"/>
  <c r="M25" i="33"/>
  <c r="L25" i="33"/>
  <c r="K25" i="33"/>
  <c r="D25" i="33"/>
  <c r="G24" i="33"/>
  <c r="H16" i="33"/>
  <c r="D23" i="33"/>
  <c r="G22" i="33"/>
  <c r="G16" i="33"/>
  <c r="D21" i="33"/>
  <c r="G20" i="33"/>
  <c r="M19" i="33"/>
  <c r="W16" i="33"/>
  <c r="V16" i="33"/>
  <c r="U16" i="33"/>
  <c r="M16" i="33"/>
  <c r="E50" i="32"/>
  <c r="A50" i="32"/>
  <c r="E49" i="32"/>
  <c r="A49" i="32"/>
  <c r="E48" i="32"/>
  <c r="A48" i="32"/>
  <c r="E47" i="32"/>
  <c r="A47" i="32"/>
  <c r="E46" i="32"/>
  <c r="A46" i="32"/>
  <c r="E45" i="32"/>
  <c r="A45" i="32"/>
  <c r="E44" i="32"/>
  <c r="A44" i="32"/>
  <c r="E43" i="32"/>
  <c r="A43" i="32"/>
  <c r="E42" i="32"/>
  <c r="AE5" i="32"/>
  <c r="AF5" i="32"/>
  <c r="AG5" i="32"/>
  <c r="AH5" i="32"/>
  <c r="AI5" i="32"/>
  <c r="AE19" i="32"/>
  <c r="AF19" i="32"/>
  <c r="AG19" i="32"/>
  <c r="A42" i="32"/>
  <c r="E41" i="32"/>
  <c r="AE18" i="32"/>
  <c r="A41" i="32"/>
  <c r="X13" i="32"/>
  <c r="E40" i="32"/>
  <c r="AE3" i="32"/>
  <c r="AF3" i="32"/>
  <c r="AG3" i="32"/>
  <c r="AH3" i="32"/>
  <c r="AI3" i="32"/>
  <c r="AE17" i="32"/>
  <c r="AF17" i="32"/>
  <c r="AG17" i="32"/>
  <c r="A40" i="32"/>
  <c r="E39" i="32"/>
  <c r="AE16" i="32"/>
  <c r="A39" i="32"/>
  <c r="X10" i="32"/>
  <c r="X9" i="32"/>
  <c r="Q16" i="32"/>
  <c r="X8" i="32"/>
  <c r="X7" i="32"/>
  <c r="X4" i="32"/>
  <c r="X5" i="32"/>
  <c r="X6" i="32"/>
  <c r="AE2" i="32"/>
  <c r="AF2" i="32"/>
  <c r="AG2" i="32"/>
  <c r="AH2" i="32"/>
  <c r="AI2" i="32"/>
  <c r="AG16" i="32"/>
  <c r="AE4" i="32"/>
  <c r="AF4" i="32"/>
  <c r="AG4" i="32"/>
  <c r="AH4" i="32"/>
  <c r="AI4" i="32"/>
  <c r="AG18" i="32"/>
  <c r="AE6" i="32"/>
  <c r="AF6" i="32"/>
  <c r="AG6" i="32"/>
  <c r="AH6" i="32"/>
  <c r="AI6" i="32"/>
  <c r="AG20" i="32"/>
  <c r="AE7" i="32"/>
  <c r="AF7" i="32"/>
  <c r="AG7" i="32"/>
  <c r="AH7" i="32"/>
  <c r="AI7" i="32"/>
  <c r="AG21" i="32"/>
  <c r="AE8" i="32"/>
  <c r="AF8" i="32"/>
  <c r="AG8" i="32"/>
  <c r="AH8" i="32"/>
  <c r="AI8" i="32"/>
  <c r="AG22" i="32"/>
  <c r="AE10" i="32"/>
  <c r="AF10" i="32"/>
  <c r="AG10" i="32"/>
  <c r="AH10" i="32"/>
  <c r="AI10" i="32"/>
  <c r="AG24" i="32"/>
  <c r="AE11" i="32"/>
  <c r="AF11" i="32"/>
  <c r="AG11" i="32"/>
  <c r="AH11" i="32"/>
  <c r="AI11" i="32"/>
  <c r="AG25" i="32"/>
  <c r="AE13" i="32"/>
  <c r="AF13" i="32"/>
  <c r="AG13" i="32"/>
  <c r="AH13" i="32"/>
  <c r="AI13" i="32"/>
  <c r="AG27" i="32"/>
  <c r="AF16" i="32"/>
  <c r="AF18" i="32"/>
  <c r="AF20" i="32"/>
  <c r="AF21" i="32"/>
  <c r="AF22" i="32"/>
  <c r="AF24" i="32"/>
  <c r="AF25" i="32"/>
  <c r="AF27" i="32"/>
  <c r="D31" i="32"/>
  <c r="J29" i="32"/>
  <c r="I29" i="32"/>
  <c r="H29" i="32"/>
  <c r="G29" i="32"/>
  <c r="F16" i="32"/>
  <c r="D29" i="32"/>
  <c r="AK2" i="32"/>
  <c r="AQ16" i="32"/>
  <c r="AL2" i="32"/>
  <c r="AR16" i="32"/>
  <c r="AM2" i="32"/>
  <c r="AS16" i="32"/>
  <c r="AN2" i="32"/>
  <c r="AT16" i="32"/>
  <c r="AO2" i="32"/>
  <c r="AU16" i="32"/>
  <c r="AP2" i="32"/>
  <c r="AV16" i="32"/>
  <c r="AQ2" i="32"/>
  <c r="AW16" i="32"/>
  <c r="AR2" i="32"/>
  <c r="AX16" i="32"/>
  <c r="AS2" i="32"/>
  <c r="AY16" i="32"/>
  <c r="AT2" i="32"/>
  <c r="AZ16" i="32"/>
  <c r="AU2" i="32"/>
  <c r="BA16" i="32"/>
  <c r="AV2" i="32"/>
  <c r="BB16" i="32"/>
  <c r="AW2" i="32"/>
  <c r="BC16" i="32"/>
  <c r="AX2" i="32"/>
  <c r="BD16" i="32"/>
  <c r="AY2" i="32"/>
  <c r="BE16" i="32"/>
  <c r="AZ2" i="32"/>
  <c r="BF16" i="32"/>
  <c r="BA2" i="32"/>
  <c r="BG16" i="32"/>
  <c r="BB2" i="32"/>
  <c r="BH16" i="32"/>
  <c r="BC2" i="32"/>
  <c r="BI16" i="32"/>
  <c r="BD2" i="32"/>
  <c r="BJ16" i="32"/>
  <c r="BE2" i="32"/>
  <c r="BK16" i="32"/>
  <c r="BF2" i="32"/>
  <c r="BL16" i="32"/>
  <c r="BG2" i="32"/>
  <c r="BM16" i="32"/>
  <c r="BH2" i="32"/>
  <c r="BN16" i="32"/>
  <c r="AP16" i="32"/>
  <c r="AK3" i="32"/>
  <c r="AQ17" i="32"/>
  <c r="AL3" i="32"/>
  <c r="AR17" i="32"/>
  <c r="AM3" i="32"/>
  <c r="AS17" i="32"/>
  <c r="AN3" i="32"/>
  <c r="AT17" i="32"/>
  <c r="AO3" i="32"/>
  <c r="AU17" i="32"/>
  <c r="AP3" i="32"/>
  <c r="AV17" i="32"/>
  <c r="AQ3" i="32"/>
  <c r="AW17" i="32"/>
  <c r="AR3" i="32"/>
  <c r="AX17" i="32"/>
  <c r="AS3" i="32"/>
  <c r="AY17" i="32"/>
  <c r="AT3" i="32"/>
  <c r="AZ17" i="32"/>
  <c r="AU3" i="32"/>
  <c r="BA17" i="32"/>
  <c r="AV3" i="32"/>
  <c r="BB17" i="32"/>
  <c r="AW3" i="32"/>
  <c r="BC17" i="32"/>
  <c r="AX3" i="32"/>
  <c r="BD17" i="32"/>
  <c r="AY3" i="32"/>
  <c r="BE17" i="32"/>
  <c r="AZ3" i="32"/>
  <c r="BF17" i="32"/>
  <c r="BA3" i="32"/>
  <c r="BG17" i="32"/>
  <c r="BB3" i="32"/>
  <c r="BH17" i="32"/>
  <c r="BC3" i="32"/>
  <c r="BI17" i="32"/>
  <c r="BD3" i="32"/>
  <c r="BJ17" i="32"/>
  <c r="BE3" i="32"/>
  <c r="BK17" i="32"/>
  <c r="BF3" i="32"/>
  <c r="BL17" i="32"/>
  <c r="BG3" i="32"/>
  <c r="BM17" i="32"/>
  <c r="BH3" i="32"/>
  <c r="BN17" i="32"/>
  <c r="AP17" i="32"/>
  <c r="AK4" i="32"/>
  <c r="AQ18" i="32"/>
  <c r="AL4" i="32"/>
  <c r="AR18" i="32"/>
  <c r="AM4" i="32"/>
  <c r="AS18" i="32"/>
  <c r="AN4" i="32"/>
  <c r="AT18" i="32"/>
  <c r="AO4" i="32"/>
  <c r="AU18" i="32"/>
  <c r="AP4" i="32"/>
  <c r="AV18" i="32"/>
  <c r="AQ4" i="32"/>
  <c r="AW18" i="32"/>
  <c r="AR4" i="32"/>
  <c r="AX18" i="32"/>
  <c r="AS4" i="32"/>
  <c r="AY18" i="32"/>
  <c r="AT4" i="32"/>
  <c r="AZ18" i="32"/>
  <c r="AU4" i="32"/>
  <c r="BA18" i="32"/>
  <c r="AV4" i="32"/>
  <c r="BB18" i="32"/>
  <c r="AW4" i="32"/>
  <c r="BC18" i="32"/>
  <c r="AX4" i="32"/>
  <c r="BD18" i="32"/>
  <c r="AY4" i="32"/>
  <c r="BE18" i="32"/>
  <c r="AZ4" i="32"/>
  <c r="BF18" i="32"/>
  <c r="BA4" i="32"/>
  <c r="BG18" i="32"/>
  <c r="BB4" i="32"/>
  <c r="BH18" i="32"/>
  <c r="BC4" i="32"/>
  <c r="BI18" i="32"/>
  <c r="BD4" i="32"/>
  <c r="BJ18" i="32"/>
  <c r="BE4" i="32"/>
  <c r="BK18" i="32"/>
  <c r="BF4" i="32"/>
  <c r="BL18" i="32"/>
  <c r="BG4" i="32"/>
  <c r="BM18" i="32"/>
  <c r="BH4" i="32"/>
  <c r="BN18" i="32"/>
  <c r="AP18" i="32"/>
  <c r="AK5" i="32"/>
  <c r="AQ19" i="32"/>
  <c r="AL5" i="32"/>
  <c r="AR19" i="32"/>
  <c r="AM5" i="32"/>
  <c r="AS19" i="32"/>
  <c r="AN5" i="32"/>
  <c r="AT19" i="32"/>
  <c r="AO5" i="32"/>
  <c r="AU19" i="32"/>
  <c r="AP5" i="32"/>
  <c r="AV19" i="32"/>
  <c r="AQ5" i="32"/>
  <c r="AW19" i="32"/>
  <c r="AR5" i="32"/>
  <c r="AX19" i="32"/>
  <c r="AS5" i="32"/>
  <c r="AY19" i="32"/>
  <c r="AT5" i="32"/>
  <c r="AZ19" i="32"/>
  <c r="AU5" i="32"/>
  <c r="BA19" i="32"/>
  <c r="AV5" i="32"/>
  <c r="BB19" i="32"/>
  <c r="AW5" i="32"/>
  <c r="BC19" i="32"/>
  <c r="AX5" i="32"/>
  <c r="BD19" i="32"/>
  <c r="AY5" i="32"/>
  <c r="BE19" i="32"/>
  <c r="AZ5" i="32"/>
  <c r="BF19" i="32"/>
  <c r="BA5" i="32"/>
  <c r="BG19" i="32"/>
  <c r="BB5" i="32"/>
  <c r="BH19" i="32"/>
  <c r="BC5" i="32"/>
  <c r="BI19" i="32"/>
  <c r="BD5" i="32"/>
  <c r="BJ19" i="32"/>
  <c r="BE5" i="32"/>
  <c r="BK19" i="32"/>
  <c r="BF5" i="32"/>
  <c r="BL19" i="32"/>
  <c r="BG5" i="32"/>
  <c r="BM19" i="32"/>
  <c r="BH5" i="32"/>
  <c r="BN19" i="32"/>
  <c r="AP19" i="32"/>
  <c r="AK6" i="32"/>
  <c r="AQ20" i="32"/>
  <c r="AL6" i="32"/>
  <c r="AR20" i="32"/>
  <c r="AM6" i="32"/>
  <c r="AS20" i="32"/>
  <c r="AN6" i="32"/>
  <c r="AT20" i="32"/>
  <c r="AO6" i="32"/>
  <c r="AU20" i="32"/>
  <c r="AP6" i="32"/>
  <c r="AV20" i="32"/>
  <c r="AQ6" i="32"/>
  <c r="AW20" i="32"/>
  <c r="AR6" i="32"/>
  <c r="AX20" i="32"/>
  <c r="AS6" i="32"/>
  <c r="AY20" i="32"/>
  <c r="AT6" i="32"/>
  <c r="AZ20" i="32"/>
  <c r="AU6" i="32"/>
  <c r="BA20" i="32"/>
  <c r="AV6" i="32"/>
  <c r="BB20" i="32"/>
  <c r="AW6" i="32"/>
  <c r="BC20" i="32"/>
  <c r="AX6" i="32"/>
  <c r="BD20" i="32"/>
  <c r="AY6" i="32"/>
  <c r="BE20" i="32"/>
  <c r="AZ6" i="32"/>
  <c r="BF20" i="32"/>
  <c r="BA6" i="32"/>
  <c r="BG20" i="32"/>
  <c r="BB6" i="32"/>
  <c r="BH20" i="32"/>
  <c r="BC6" i="32"/>
  <c r="BI20" i="32"/>
  <c r="BD6" i="32"/>
  <c r="BJ20" i="32"/>
  <c r="BE6" i="32"/>
  <c r="BK20" i="32"/>
  <c r="BF6" i="32"/>
  <c r="BL20" i="32"/>
  <c r="BG6" i="32"/>
  <c r="BM20" i="32"/>
  <c r="BH6" i="32"/>
  <c r="BN20" i="32"/>
  <c r="AP20" i="32"/>
  <c r="AK7" i="32"/>
  <c r="AQ21" i="32"/>
  <c r="AL7" i="32"/>
  <c r="AR21" i="32"/>
  <c r="AM7" i="32"/>
  <c r="AS21" i="32"/>
  <c r="AN7" i="32"/>
  <c r="AT21" i="32"/>
  <c r="AO7" i="32"/>
  <c r="AU21" i="32"/>
  <c r="AP7" i="32"/>
  <c r="AV21" i="32"/>
  <c r="AQ7" i="32"/>
  <c r="AW21" i="32"/>
  <c r="AR7" i="32"/>
  <c r="AX21" i="32"/>
  <c r="AS7" i="32"/>
  <c r="AY21" i="32"/>
  <c r="AT7" i="32"/>
  <c r="AZ21" i="32"/>
  <c r="AU7" i="32"/>
  <c r="BA21" i="32"/>
  <c r="AV7" i="32"/>
  <c r="BB21" i="32"/>
  <c r="AW7" i="32"/>
  <c r="BC21" i="32"/>
  <c r="AX7" i="32"/>
  <c r="BD21" i="32"/>
  <c r="AY7" i="32"/>
  <c r="BE21" i="32"/>
  <c r="AZ7" i="32"/>
  <c r="BF21" i="32"/>
  <c r="BA7" i="32"/>
  <c r="BG21" i="32"/>
  <c r="BB7" i="32"/>
  <c r="BH21" i="32"/>
  <c r="BC7" i="32"/>
  <c r="BI21" i="32"/>
  <c r="BD7" i="32"/>
  <c r="BJ21" i="32"/>
  <c r="BE7" i="32"/>
  <c r="BK21" i="32"/>
  <c r="BF7" i="32"/>
  <c r="BL21" i="32"/>
  <c r="BG7" i="32"/>
  <c r="BM21" i="32"/>
  <c r="BH7" i="32"/>
  <c r="BN21" i="32"/>
  <c r="AP21" i="32"/>
  <c r="AK8" i="32"/>
  <c r="AQ22" i="32"/>
  <c r="AL8" i="32"/>
  <c r="AR22" i="32"/>
  <c r="AM8" i="32"/>
  <c r="AS22" i="32"/>
  <c r="AN8" i="32"/>
  <c r="AT22" i="32"/>
  <c r="AO8" i="32"/>
  <c r="AU22" i="32"/>
  <c r="AP8" i="32"/>
  <c r="AV22" i="32"/>
  <c r="AQ8" i="32"/>
  <c r="AW22" i="32"/>
  <c r="AR8" i="32"/>
  <c r="AX22" i="32"/>
  <c r="AS8" i="32"/>
  <c r="AY22" i="32"/>
  <c r="AT8" i="32"/>
  <c r="AZ22" i="32"/>
  <c r="AU8" i="32"/>
  <c r="BA22" i="32"/>
  <c r="AV8" i="32"/>
  <c r="BB22" i="32"/>
  <c r="AW8" i="32"/>
  <c r="BC22" i="32"/>
  <c r="AX8" i="32"/>
  <c r="BD22" i="32"/>
  <c r="AY8" i="32"/>
  <c r="BE22" i="32"/>
  <c r="AZ8" i="32"/>
  <c r="BF22" i="32"/>
  <c r="BA8" i="32"/>
  <c r="BG22" i="32"/>
  <c r="BB8" i="32"/>
  <c r="BH22" i="32"/>
  <c r="BC8" i="32"/>
  <c r="BI22" i="32"/>
  <c r="BD8" i="32"/>
  <c r="BJ22" i="32"/>
  <c r="BE8" i="32"/>
  <c r="BK22" i="32"/>
  <c r="BF8" i="32"/>
  <c r="BL22" i="32"/>
  <c r="BG8" i="32"/>
  <c r="BM22" i="32"/>
  <c r="BH8" i="32"/>
  <c r="BN22" i="32"/>
  <c r="AP22" i="32"/>
  <c r="AK9" i="32"/>
  <c r="AQ23" i="32"/>
  <c r="AL9" i="32"/>
  <c r="AR23" i="32"/>
  <c r="AM9" i="32"/>
  <c r="AS23" i="32"/>
  <c r="AN9" i="32"/>
  <c r="AT23" i="32"/>
  <c r="AO9" i="32"/>
  <c r="AU23" i="32"/>
  <c r="AP9" i="32"/>
  <c r="AV23" i="32"/>
  <c r="AQ9" i="32"/>
  <c r="AW23" i="32"/>
  <c r="AR9" i="32"/>
  <c r="AX23" i="32"/>
  <c r="AS9" i="32"/>
  <c r="AY23" i="32"/>
  <c r="AT9" i="32"/>
  <c r="AZ23" i="32"/>
  <c r="AU9" i="32"/>
  <c r="BA23" i="32"/>
  <c r="AV9" i="32"/>
  <c r="BB23" i="32"/>
  <c r="AW9" i="32"/>
  <c r="BC23" i="32"/>
  <c r="AX9" i="32"/>
  <c r="BD23" i="32"/>
  <c r="AY9" i="32"/>
  <c r="BE23" i="32"/>
  <c r="AZ9" i="32"/>
  <c r="BF23" i="32"/>
  <c r="BA9" i="32"/>
  <c r="BG23" i="32"/>
  <c r="BB9" i="32"/>
  <c r="BH23" i="32"/>
  <c r="BC9" i="32"/>
  <c r="BI23" i="32"/>
  <c r="BD9" i="32"/>
  <c r="BJ23" i="32"/>
  <c r="BE9" i="32"/>
  <c r="BK23" i="32"/>
  <c r="BF9" i="32"/>
  <c r="BL23" i="32"/>
  <c r="BG9" i="32"/>
  <c r="BM23" i="32"/>
  <c r="BH9" i="32"/>
  <c r="BN23" i="32"/>
  <c r="AP23" i="32"/>
  <c r="AK10" i="32"/>
  <c r="AQ24" i="32"/>
  <c r="AL10" i="32"/>
  <c r="AR24" i="32"/>
  <c r="AM10" i="32"/>
  <c r="AS24" i="32"/>
  <c r="AN10" i="32"/>
  <c r="AT24" i="32"/>
  <c r="AO10" i="32"/>
  <c r="AU24" i="32"/>
  <c r="AP10" i="32"/>
  <c r="AV24" i="32"/>
  <c r="AQ10" i="32"/>
  <c r="AW24" i="32"/>
  <c r="AR10" i="32"/>
  <c r="AX24" i="32"/>
  <c r="AS10" i="32"/>
  <c r="AY24" i="32"/>
  <c r="AT10" i="32"/>
  <c r="AZ24" i="32"/>
  <c r="AU10" i="32"/>
  <c r="BA24" i="32"/>
  <c r="AV10" i="32"/>
  <c r="BB24" i="32"/>
  <c r="AW10" i="32"/>
  <c r="BC24" i="32"/>
  <c r="AX10" i="32"/>
  <c r="BD24" i="32"/>
  <c r="AY10" i="32"/>
  <c r="BE24" i="32"/>
  <c r="AZ10" i="32"/>
  <c r="BF24" i="32"/>
  <c r="BA10" i="32"/>
  <c r="BG24" i="32"/>
  <c r="BB10" i="32"/>
  <c r="BH24" i="32"/>
  <c r="BC10" i="32"/>
  <c r="BI24" i="32"/>
  <c r="BD10" i="32"/>
  <c r="BJ24" i="32"/>
  <c r="BE10" i="32"/>
  <c r="BK24" i="32"/>
  <c r="BF10" i="32"/>
  <c r="BL24" i="32"/>
  <c r="BG10" i="32"/>
  <c r="BM24" i="32"/>
  <c r="BH10" i="32"/>
  <c r="BN24" i="32"/>
  <c r="AP24" i="32"/>
  <c r="AK11" i="32"/>
  <c r="AQ25" i="32"/>
  <c r="AL11" i="32"/>
  <c r="AR25" i="32"/>
  <c r="AM11" i="32"/>
  <c r="AS25" i="32"/>
  <c r="AN11" i="32"/>
  <c r="AT25" i="32"/>
  <c r="AO11" i="32"/>
  <c r="AU25" i="32"/>
  <c r="AP11" i="32"/>
  <c r="AV25" i="32"/>
  <c r="AQ11" i="32"/>
  <c r="AW25" i="32"/>
  <c r="AR11" i="32"/>
  <c r="AX25" i="32"/>
  <c r="AS11" i="32"/>
  <c r="AY25" i="32"/>
  <c r="AT11" i="32"/>
  <c r="AZ25" i="32"/>
  <c r="AU11" i="32"/>
  <c r="BA25" i="32"/>
  <c r="AV11" i="32"/>
  <c r="BB25" i="32"/>
  <c r="AW11" i="32"/>
  <c r="BC25" i="32"/>
  <c r="AX11" i="32"/>
  <c r="BD25" i="32"/>
  <c r="AY11" i="32"/>
  <c r="BE25" i="32"/>
  <c r="AZ11" i="32"/>
  <c r="BF25" i="32"/>
  <c r="BA11" i="32"/>
  <c r="BG25" i="32"/>
  <c r="BB11" i="32"/>
  <c r="BH25" i="32"/>
  <c r="BC11" i="32"/>
  <c r="BI25" i="32"/>
  <c r="BD11" i="32"/>
  <c r="BJ25" i="32"/>
  <c r="BE11" i="32"/>
  <c r="BK25" i="32"/>
  <c r="BF11" i="32"/>
  <c r="BL25" i="32"/>
  <c r="BG11" i="32"/>
  <c r="BM25" i="32"/>
  <c r="BH11" i="32"/>
  <c r="BN25" i="32"/>
  <c r="AP25" i="32"/>
  <c r="AK12" i="32"/>
  <c r="AQ26" i="32"/>
  <c r="AL12" i="32"/>
  <c r="AR26" i="32"/>
  <c r="AM12" i="32"/>
  <c r="AS26" i="32"/>
  <c r="AN12" i="32"/>
  <c r="AT26" i="32"/>
  <c r="AO12" i="32"/>
  <c r="AU26" i="32"/>
  <c r="AP12" i="32"/>
  <c r="AV26" i="32"/>
  <c r="AQ12" i="32"/>
  <c r="AW26" i="32"/>
  <c r="AR12" i="32"/>
  <c r="AX26" i="32"/>
  <c r="AS12" i="32"/>
  <c r="AY26" i="32"/>
  <c r="AT12" i="32"/>
  <c r="AZ26" i="32"/>
  <c r="AU12" i="32"/>
  <c r="BA26" i="32"/>
  <c r="AV12" i="32"/>
  <c r="BB26" i="32"/>
  <c r="AW12" i="32"/>
  <c r="BC26" i="32"/>
  <c r="AX12" i="32"/>
  <c r="BD26" i="32"/>
  <c r="AY12" i="32"/>
  <c r="BE26" i="32"/>
  <c r="AZ12" i="32"/>
  <c r="BF26" i="32"/>
  <c r="BA12" i="32"/>
  <c r="BG26" i="32"/>
  <c r="BB12" i="32"/>
  <c r="BH26" i="32"/>
  <c r="BC12" i="32"/>
  <c r="BI26" i="32"/>
  <c r="BD12" i="32"/>
  <c r="BJ26" i="32"/>
  <c r="BE12" i="32"/>
  <c r="BK26" i="32"/>
  <c r="BF12" i="32"/>
  <c r="BL26" i="32"/>
  <c r="BG12" i="32"/>
  <c r="BM26" i="32"/>
  <c r="BH12" i="32"/>
  <c r="BN26" i="32"/>
  <c r="AP26" i="32"/>
  <c r="AK13" i="32"/>
  <c r="AQ27" i="32"/>
  <c r="AL13" i="32"/>
  <c r="AR27" i="32"/>
  <c r="AM13" i="32"/>
  <c r="AS27" i="32"/>
  <c r="AN13" i="32"/>
  <c r="AT27" i="32"/>
  <c r="AO13" i="32"/>
  <c r="AU27" i="32"/>
  <c r="AP13" i="32"/>
  <c r="AV27" i="32"/>
  <c r="AQ13" i="32"/>
  <c r="AW27" i="32"/>
  <c r="AR13" i="32"/>
  <c r="AX27" i="32"/>
  <c r="AS13" i="32"/>
  <c r="AY27" i="32"/>
  <c r="AT13" i="32"/>
  <c r="AZ27" i="32"/>
  <c r="AU13" i="32"/>
  <c r="BA27" i="32"/>
  <c r="AV13" i="32"/>
  <c r="BB27" i="32"/>
  <c r="AW13" i="32"/>
  <c r="BC27" i="32"/>
  <c r="AX13" i="32"/>
  <c r="BD27" i="32"/>
  <c r="AY13" i="32"/>
  <c r="BE27" i="32"/>
  <c r="AZ13" i="32"/>
  <c r="BF27" i="32"/>
  <c r="BA13" i="32"/>
  <c r="BG27" i="32"/>
  <c r="BB13" i="32"/>
  <c r="BH27" i="32"/>
  <c r="BC13" i="32"/>
  <c r="BI27" i="32"/>
  <c r="BD13" i="32"/>
  <c r="BJ27" i="32"/>
  <c r="BE13" i="32"/>
  <c r="BK27" i="32"/>
  <c r="BF13" i="32"/>
  <c r="BL27" i="32"/>
  <c r="BG13" i="32"/>
  <c r="BM27" i="32"/>
  <c r="BH13" i="32"/>
  <c r="BN27" i="32"/>
  <c r="AP27" i="32"/>
  <c r="AP28" i="32"/>
  <c r="AN16" i="32"/>
  <c r="AN17" i="32"/>
  <c r="AN18" i="32"/>
  <c r="AN19" i="32"/>
  <c r="AN20" i="32"/>
  <c r="AN21" i="32"/>
  <c r="AN22" i="32"/>
  <c r="AN23" i="32"/>
  <c r="AN24" i="32"/>
  <c r="AN25" i="32"/>
  <c r="AN26" i="32"/>
  <c r="AN27" i="32"/>
  <c r="AN28" i="32"/>
  <c r="AM16" i="32"/>
  <c r="AM17" i="32"/>
  <c r="AM18" i="32"/>
  <c r="AM19" i="32"/>
  <c r="AM20" i="32"/>
  <c r="AM21" i="32"/>
  <c r="AM22" i="32"/>
  <c r="AM23" i="32"/>
  <c r="AM24" i="32"/>
  <c r="AM25" i="32"/>
  <c r="AM26" i="32"/>
  <c r="AM27" i="32"/>
  <c r="AM28" i="32"/>
  <c r="AL16" i="32"/>
  <c r="AL17" i="32"/>
  <c r="AL18" i="32"/>
  <c r="AL19" i="32"/>
  <c r="AL20" i="32"/>
  <c r="AL21" i="32"/>
  <c r="AL22" i="32"/>
  <c r="AL23" i="32"/>
  <c r="AL24" i="32"/>
  <c r="AL25" i="32"/>
  <c r="AL26" i="32"/>
  <c r="AL27" i="32"/>
  <c r="AL28" i="32"/>
  <c r="AK16" i="32"/>
  <c r="AK17" i="32"/>
  <c r="AK18" i="32"/>
  <c r="AK19" i="32"/>
  <c r="AK20" i="32"/>
  <c r="AK21" i="32"/>
  <c r="AK22" i="32"/>
  <c r="AK23" i="32"/>
  <c r="AK24" i="32"/>
  <c r="AK25" i="32"/>
  <c r="AK26" i="32"/>
  <c r="AK27" i="32"/>
  <c r="AK28" i="32"/>
  <c r="Z2" i="32"/>
  <c r="AA2" i="32"/>
  <c r="AB2" i="32"/>
  <c r="AC2" i="32"/>
  <c r="AA16" i="32"/>
  <c r="Z3" i="32"/>
  <c r="AA3" i="32"/>
  <c r="AB3" i="32"/>
  <c r="AC3" i="32"/>
  <c r="AA17" i="32"/>
  <c r="Z4" i="32"/>
  <c r="AA4" i="32"/>
  <c r="AB4" i="32"/>
  <c r="AC4" i="32"/>
  <c r="AA18" i="32"/>
  <c r="Z5" i="32"/>
  <c r="AA5" i="32"/>
  <c r="AB5" i="32"/>
  <c r="AC5" i="32"/>
  <c r="AA19" i="32"/>
  <c r="Z6" i="32"/>
  <c r="AA6" i="32"/>
  <c r="AB6" i="32"/>
  <c r="AC6" i="32"/>
  <c r="AA20" i="32"/>
  <c r="Z7" i="32"/>
  <c r="AA7" i="32"/>
  <c r="AB7" i="32"/>
  <c r="AC7" i="32"/>
  <c r="AA21" i="32"/>
  <c r="Z8" i="32"/>
  <c r="AA8" i="32"/>
  <c r="AB8" i="32"/>
  <c r="AC8" i="32"/>
  <c r="AA22" i="32"/>
  <c r="Z9" i="32"/>
  <c r="AA9" i="32"/>
  <c r="AB9" i="32"/>
  <c r="AC9" i="32"/>
  <c r="AA23" i="32"/>
  <c r="Z10" i="32"/>
  <c r="AA10" i="32"/>
  <c r="AB10" i="32"/>
  <c r="AC10" i="32"/>
  <c r="AA24" i="32"/>
  <c r="Z11" i="32"/>
  <c r="AA11" i="32"/>
  <c r="AB11" i="32"/>
  <c r="AC11" i="32"/>
  <c r="AA25" i="32"/>
  <c r="Z12" i="32"/>
  <c r="AA12" i="32"/>
  <c r="AB12" i="32"/>
  <c r="AC12" i="32"/>
  <c r="AA26" i="32"/>
  <c r="Z13" i="32"/>
  <c r="AA13" i="32"/>
  <c r="AB13" i="32"/>
  <c r="AC13" i="32"/>
  <c r="AA27" i="32"/>
  <c r="AA28" i="32"/>
  <c r="Z16" i="32"/>
  <c r="Z17" i="32"/>
  <c r="Z18" i="32"/>
  <c r="Z19" i="32"/>
  <c r="Z20" i="32"/>
  <c r="Z21" i="32"/>
  <c r="Z22" i="32"/>
  <c r="Z23" i="32"/>
  <c r="Z24" i="32"/>
  <c r="Z25" i="32"/>
  <c r="Z26" i="32"/>
  <c r="Z27" i="32"/>
  <c r="Z28" i="32"/>
  <c r="S28" i="32"/>
  <c r="R28" i="32"/>
  <c r="Q28" i="32"/>
  <c r="P28" i="32"/>
  <c r="N28" i="32"/>
  <c r="M28" i="32"/>
  <c r="L28" i="32"/>
  <c r="K28" i="32"/>
  <c r="D27" i="32"/>
  <c r="G26" i="32"/>
  <c r="N25" i="32"/>
  <c r="M25" i="32"/>
  <c r="L25" i="32"/>
  <c r="K25" i="32"/>
  <c r="D25" i="32"/>
  <c r="G24" i="32"/>
  <c r="H16" i="32"/>
  <c r="D23" i="32"/>
  <c r="G22" i="32"/>
  <c r="G16" i="32"/>
  <c r="D21" i="32"/>
  <c r="G20" i="32"/>
  <c r="M19" i="32"/>
  <c r="E16" i="32"/>
  <c r="W16" i="32"/>
  <c r="V16" i="32"/>
  <c r="U16" i="32"/>
  <c r="L16" i="32"/>
  <c r="E50" i="31"/>
  <c r="A50" i="31"/>
  <c r="E49" i="31"/>
  <c r="A49" i="31"/>
  <c r="E48" i="31"/>
  <c r="A48" i="31"/>
  <c r="E47" i="31"/>
  <c r="A47" i="31"/>
  <c r="E46" i="31"/>
  <c r="A46" i="31"/>
  <c r="E45" i="31"/>
  <c r="A45" i="31"/>
  <c r="E44" i="31"/>
  <c r="A44" i="31"/>
  <c r="E43" i="31"/>
  <c r="A43" i="31"/>
  <c r="X15" i="31"/>
  <c r="E42" i="31"/>
  <c r="A42" i="31"/>
  <c r="X14" i="31"/>
  <c r="E41" i="31"/>
  <c r="AE18" i="31"/>
  <c r="A41" i="31"/>
  <c r="X13" i="31"/>
  <c r="E40" i="31"/>
  <c r="AE3" i="31"/>
  <c r="AF3" i="31"/>
  <c r="AG3" i="31"/>
  <c r="AH3" i="31"/>
  <c r="AI3" i="31"/>
  <c r="AE17" i="31"/>
  <c r="AF17" i="31"/>
  <c r="AG17" i="31"/>
  <c r="A40" i="31"/>
  <c r="X12" i="31"/>
  <c r="E39" i="31"/>
  <c r="AE16" i="31"/>
  <c r="A39" i="31"/>
  <c r="X11" i="31"/>
  <c r="X10" i="31"/>
  <c r="X9" i="31"/>
  <c r="R16" i="31"/>
  <c r="Q16" i="31"/>
  <c r="X8" i="31"/>
  <c r="X7" i="31"/>
  <c r="X4" i="31"/>
  <c r="X5" i="31"/>
  <c r="X6" i="31"/>
  <c r="AE2" i="31"/>
  <c r="AF2" i="31"/>
  <c r="AG2" i="31"/>
  <c r="AH2" i="31"/>
  <c r="AI2" i="31"/>
  <c r="AG16" i="31"/>
  <c r="AE4" i="31"/>
  <c r="AF4" i="31"/>
  <c r="AG4" i="31"/>
  <c r="AH4" i="31"/>
  <c r="AI4" i="31"/>
  <c r="AG18" i="31"/>
  <c r="AE5" i="31"/>
  <c r="AF5" i="31"/>
  <c r="AG5" i="31"/>
  <c r="AH5" i="31"/>
  <c r="AI5" i="31"/>
  <c r="AG19" i="31"/>
  <c r="AE6" i="31"/>
  <c r="AF6" i="31"/>
  <c r="AG6" i="31"/>
  <c r="AH6" i="31"/>
  <c r="AI6" i="31"/>
  <c r="AG20" i="31"/>
  <c r="AE8" i="31"/>
  <c r="AF8" i="31"/>
  <c r="AG8" i="31"/>
  <c r="AH8" i="31"/>
  <c r="AI8" i="31"/>
  <c r="AG22" i="31"/>
  <c r="AE9" i="31"/>
  <c r="AF9" i="31"/>
  <c r="AG9" i="31"/>
  <c r="AH9" i="31"/>
  <c r="AI9" i="31"/>
  <c r="AG23" i="31"/>
  <c r="AE10" i="31"/>
  <c r="AF10" i="31"/>
  <c r="AG10" i="31"/>
  <c r="AH10" i="31"/>
  <c r="AI10" i="31"/>
  <c r="AG24" i="31"/>
  <c r="AE11" i="31"/>
  <c r="AF11" i="31"/>
  <c r="AG11" i="31"/>
  <c r="AH11" i="31"/>
  <c r="AI11" i="31"/>
  <c r="AG25" i="31"/>
  <c r="AF16" i="31"/>
  <c r="AF18" i="31"/>
  <c r="AF19" i="31"/>
  <c r="AF20" i="31"/>
  <c r="AF22" i="31"/>
  <c r="AF23" i="31"/>
  <c r="AF24" i="31"/>
  <c r="AF25" i="31"/>
  <c r="J29" i="31"/>
  <c r="I29" i="31"/>
  <c r="H29" i="31"/>
  <c r="G29" i="31"/>
  <c r="AK2" i="31"/>
  <c r="AQ16" i="31"/>
  <c r="AL2" i="31"/>
  <c r="AR16" i="31"/>
  <c r="AM2" i="31"/>
  <c r="AS16" i="31"/>
  <c r="AN2" i="31"/>
  <c r="AT16" i="31"/>
  <c r="AO2" i="31"/>
  <c r="AU16" i="31"/>
  <c r="AP2" i="31"/>
  <c r="AV16" i="31"/>
  <c r="AQ2" i="31"/>
  <c r="AW16" i="31"/>
  <c r="AR2" i="31"/>
  <c r="AX16" i="31"/>
  <c r="AS2" i="31"/>
  <c r="AY16" i="31"/>
  <c r="AT2" i="31"/>
  <c r="AZ16" i="31"/>
  <c r="AU2" i="31"/>
  <c r="BA16" i="31"/>
  <c r="AV2" i="31"/>
  <c r="BB16" i="31"/>
  <c r="AW2" i="31"/>
  <c r="BC16" i="31"/>
  <c r="AX2" i="31"/>
  <c r="BD16" i="31"/>
  <c r="AY2" i="31"/>
  <c r="BE16" i="31"/>
  <c r="AZ2" i="31"/>
  <c r="BF16" i="31"/>
  <c r="BA2" i="31"/>
  <c r="BG16" i="31"/>
  <c r="BB2" i="31"/>
  <c r="BH16" i="31"/>
  <c r="BC2" i="31"/>
  <c r="BI16" i="31"/>
  <c r="BD2" i="31"/>
  <c r="BJ16" i="31"/>
  <c r="BE2" i="31"/>
  <c r="BK16" i="31"/>
  <c r="BF2" i="31"/>
  <c r="BL16" i="31"/>
  <c r="BG2" i="31"/>
  <c r="BM16" i="31"/>
  <c r="BH2" i="31"/>
  <c r="BN16" i="31"/>
  <c r="AP16" i="31"/>
  <c r="AK3" i="31"/>
  <c r="AQ17" i="31"/>
  <c r="AL3" i="31"/>
  <c r="AR17" i="31"/>
  <c r="AM3" i="31"/>
  <c r="AS17" i="31"/>
  <c r="AN3" i="31"/>
  <c r="AT17" i="31"/>
  <c r="AO3" i="31"/>
  <c r="AU17" i="31"/>
  <c r="AP3" i="31"/>
  <c r="AV17" i="31"/>
  <c r="AQ3" i="31"/>
  <c r="AW17" i="31"/>
  <c r="AR3" i="31"/>
  <c r="AX17" i="31"/>
  <c r="AS3" i="31"/>
  <c r="AY17" i="31"/>
  <c r="AT3" i="31"/>
  <c r="AZ17" i="31"/>
  <c r="AU3" i="31"/>
  <c r="BA17" i="31"/>
  <c r="AV3" i="31"/>
  <c r="BB17" i="31"/>
  <c r="AW3" i="31"/>
  <c r="BC17" i="31"/>
  <c r="AX3" i="31"/>
  <c r="BD17" i="31"/>
  <c r="AY3" i="31"/>
  <c r="BE17" i="31"/>
  <c r="AZ3" i="31"/>
  <c r="BF17" i="31"/>
  <c r="BA3" i="31"/>
  <c r="BG17" i="31"/>
  <c r="BB3" i="31"/>
  <c r="BH17" i="31"/>
  <c r="BC3" i="31"/>
  <c r="BI17" i="31"/>
  <c r="BD3" i="31"/>
  <c r="BJ17" i="31"/>
  <c r="BE3" i="31"/>
  <c r="BK17" i="31"/>
  <c r="BF3" i="31"/>
  <c r="BL17" i="31"/>
  <c r="BG3" i="31"/>
  <c r="BM17" i="31"/>
  <c r="BH3" i="31"/>
  <c r="BN17" i="31"/>
  <c r="AP17" i="31"/>
  <c r="AK4" i="31"/>
  <c r="AQ18" i="31"/>
  <c r="AL4" i="31"/>
  <c r="AR18" i="31"/>
  <c r="AM4" i="31"/>
  <c r="AS18" i="31"/>
  <c r="AN4" i="31"/>
  <c r="AT18" i="31"/>
  <c r="AO4" i="31"/>
  <c r="AU18" i="31"/>
  <c r="AP4" i="31"/>
  <c r="AV18" i="31"/>
  <c r="AQ4" i="31"/>
  <c r="AW18" i="31"/>
  <c r="AR4" i="31"/>
  <c r="AX18" i="31"/>
  <c r="AS4" i="31"/>
  <c r="AY18" i="31"/>
  <c r="AT4" i="31"/>
  <c r="AZ18" i="31"/>
  <c r="AU4" i="31"/>
  <c r="BA18" i="31"/>
  <c r="AV4" i="31"/>
  <c r="BB18" i="31"/>
  <c r="AW4" i="31"/>
  <c r="BC18" i="31"/>
  <c r="AX4" i="31"/>
  <c r="BD18" i="31"/>
  <c r="AY4" i="31"/>
  <c r="BE18" i="31"/>
  <c r="AZ4" i="31"/>
  <c r="BF18" i="31"/>
  <c r="BA4" i="31"/>
  <c r="BG18" i="31"/>
  <c r="BB4" i="31"/>
  <c r="BH18" i="31"/>
  <c r="BC4" i="31"/>
  <c r="BI18" i="31"/>
  <c r="BD4" i="31"/>
  <c r="BJ18" i="31"/>
  <c r="BE4" i="31"/>
  <c r="BK18" i="31"/>
  <c r="BF4" i="31"/>
  <c r="BL18" i="31"/>
  <c r="BG4" i="31"/>
  <c r="BM18" i="31"/>
  <c r="BH4" i="31"/>
  <c r="BN18" i="31"/>
  <c r="AP18" i="31"/>
  <c r="AK5" i="31"/>
  <c r="AQ19" i="31"/>
  <c r="AL5" i="31"/>
  <c r="AR19" i="31"/>
  <c r="AM5" i="31"/>
  <c r="AS19" i="31"/>
  <c r="AN5" i="31"/>
  <c r="AT19" i="31"/>
  <c r="AO5" i="31"/>
  <c r="AU19" i="31"/>
  <c r="AP5" i="31"/>
  <c r="AV19" i="31"/>
  <c r="AQ5" i="31"/>
  <c r="AW19" i="31"/>
  <c r="AR5" i="31"/>
  <c r="AX19" i="31"/>
  <c r="AS5" i="31"/>
  <c r="AY19" i="31"/>
  <c r="AT5" i="31"/>
  <c r="AZ19" i="31"/>
  <c r="AU5" i="31"/>
  <c r="BA19" i="31"/>
  <c r="AV5" i="31"/>
  <c r="BB19" i="31"/>
  <c r="AW5" i="31"/>
  <c r="BC19" i="31"/>
  <c r="AX5" i="31"/>
  <c r="BD19" i="31"/>
  <c r="AY5" i="31"/>
  <c r="BE19" i="31"/>
  <c r="AZ5" i="31"/>
  <c r="BF19" i="31"/>
  <c r="BA5" i="31"/>
  <c r="BG19" i="31"/>
  <c r="BB5" i="31"/>
  <c r="BH19" i="31"/>
  <c r="BC5" i="31"/>
  <c r="BI19" i="31"/>
  <c r="BD5" i="31"/>
  <c r="BJ19" i="31"/>
  <c r="BE5" i="31"/>
  <c r="BK19" i="31"/>
  <c r="BF5" i="31"/>
  <c r="BL19" i="31"/>
  <c r="BG5" i="31"/>
  <c r="BM19" i="31"/>
  <c r="BH5" i="31"/>
  <c r="BN19" i="31"/>
  <c r="AP19" i="31"/>
  <c r="AK6" i="31"/>
  <c r="AQ20" i="31"/>
  <c r="AL6" i="31"/>
  <c r="AR20" i="31"/>
  <c r="AM6" i="31"/>
  <c r="AS20" i="31"/>
  <c r="AN6" i="31"/>
  <c r="AT20" i="31"/>
  <c r="AO6" i="31"/>
  <c r="AU20" i="31"/>
  <c r="AP6" i="31"/>
  <c r="AV20" i="31"/>
  <c r="AQ6" i="31"/>
  <c r="AW20" i="31"/>
  <c r="AR6" i="31"/>
  <c r="AX20" i="31"/>
  <c r="AS6" i="31"/>
  <c r="AY20" i="31"/>
  <c r="AT6" i="31"/>
  <c r="AZ20" i="31"/>
  <c r="AU6" i="31"/>
  <c r="BA20" i="31"/>
  <c r="AV6" i="31"/>
  <c r="BB20" i="31"/>
  <c r="AW6" i="31"/>
  <c r="BC20" i="31"/>
  <c r="AX6" i="31"/>
  <c r="BD20" i="31"/>
  <c r="AY6" i="31"/>
  <c r="BE20" i="31"/>
  <c r="AZ6" i="31"/>
  <c r="BF20" i="31"/>
  <c r="BA6" i="31"/>
  <c r="BG20" i="31"/>
  <c r="BB6" i="31"/>
  <c r="BH20" i="31"/>
  <c r="BC6" i="31"/>
  <c r="BI20" i="31"/>
  <c r="BD6" i="31"/>
  <c r="BJ20" i="31"/>
  <c r="BE6" i="31"/>
  <c r="BK20" i="31"/>
  <c r="BF6" i="31"/>
  <c r="BL20" i="31"/>
  <c r="BG6" i="31"/>
  <c r="BM20" i="31"/>
  <c r="BH6" i="31"/>
  <c r="BN20" i="31"/>
  <c r="AP20" i="31"/>
  <c r="AK7" i="31"/>
  <c r="AQ21" i="31"/>
  <c r="AL7" i="31"/>
  <c r="AR21" i="31"/>
  <c r="AM7" i="31"/>
  <c r="AS21" i="31"/>
  <c r="AN7" i="31"/>
  <c r="AT21" i="31"/>
  <c r="AO7" i="31"/>
  <c r="AU21" i="31"/>
  <c r="AP7" i="31"/>
  <c r="AV21" i="31"/>
  <c r="AQ7" i="31"/>
  <c r="AW21" i="31"/>
  <c r="AR7" i="31"/>
  <c r="AX21" i="31"/>
  <c r="AS7" i="31"/>
  <c r="AY21" i="31"/>
  <c r="AT7" i="31"/>
  <c r="AZ21" i="31"/>
  <c r="AU7" i="31"/>
  <c r="BA21" i="31"/>
  <c r="AV7" i="31"/>
  <c r="BB21" i="31"/>
  <c r="AW7" i="31"/>
  <c r="BC21" i="31"/>
  <c r="AX7" i="31"/>
  <c r="BD21" i="31"/>
  <c r="AY7" i="31"/>
  <c r="BE21" i="31"/>
  <c r="AZ7" i="31"/>
  <c r="BF21" i="31"/>
  <c r="BA7" i="31"/>
  <c r="BG21" i="31"/>
  <c r="BB7" i="31"/>
  <c r="BH21" i="31"/>
  <c r="BC7" i="31"/>
  <c r="BI21" i="31"/>
  <c r="BD7" i="31"/>
  <c r="BJ21" i="31"/>
  <c r="BE7" i="31"/>
  <c r="BK21" i="31"/>
  <c r="BF7" i="31"/>
  <c r="BL21" i="31"/>
  <c r="BG7" i="31"/>
  <c r="BM21" i="31"/>
  <c r="BH7" i="31"/>
  <c r="BN21" i="31"/>
  <c r="AP21" i="31"/>
  <c r="AK8" i="31"/>
  <c r="AQ22" i="31"/>
  <c r="AL8" i="31"/>
  <c r="AR22" i="31"/>
  <c r="AM8" i="31"/>
  <c r="AS22" i="31"/>
  <c r="AN8" i="31"/>
  <c r="AT22" i="31"/>
  <c r="AO8" i="31"/>
  <c r="AU22" i="31"/>
  <c r="AP8" i="31"/>
  <c r="AV22" i="31"/>
  <c r="AQ8" i="31"/>
  <c r="AW22" i="31"/>
  <c r="AR8" i="31"/>
  <c r="AX22" i="31"/>
  <c r="AS8" i="31"/>
  <c r="AY22" i="31"/>
  <c r="AT8" i="31"/>
  <c r="AZ22" i="31"/>
  <c r="AU8" i="31"/>
  <c r="BA22" i="31"/>
  <c r="AV8" i="31"/>
  <c r="BB22" i="31"/>
  <c r="AW8" i="31"/>
  <c r="BC22" i="31"/>
  <c r="AX8" i="31"/>
  <c r="BD22" i="31"/>
  <c r="AY8" i="31"/>
  <c r="BE22" i="31"/>
  <c r="AZ8" i="31"/>
  <c r="BF22" i="31"/>
  <c r="BA8" i="31"/>
  <c r="BG22" i="31"/>
  <c r="BB8" i="31"/>
  <c r="BH22" i="31"/>
  <c r="BC8" i="31"/>
  <c r="BI22" i="31"/>
  <c r="BD8" i="31"/>
  <c r="BJ22" i="31"/>
  <c r="BE8" i="31"/>
  <c r="BK22" i="31"/>
  <c r="BF8" i="31"/>
  <c r="BL22" i="31"/>
  <c r="BG8" i="31"/>
  <c r="BM22" i="31"/>
  <c r="BH8" i="31"/>
  <c r="BN22" i="31"/>
  <c r="AP22" i="31"/>
  <c r="AK9" i="31"/>
  <c r="AQ23" i="31"/>
  <c r="AL9" i="31"/>
  <c r="AR23" i="31"/>
  <c r="AM9" i="31"/>
  <c r="AS23" i="31"/>
  <c r="AN9" i="31"/>
  <c r="AT23" i="31"/>
  <c r="AO9" i="31"/>
  <c r="AU23" i="31"/>
  <c r="AP9" i="31"/>
  <c r="AV23" i="31"/>
  <c r="AQ9" i="31"/>
  <c r="AW23" i="31"/>
  <c r="AR9" i="31"/>
  <c r="AX23" i="31"/>
  <c r="AS9" i="31"/>
  <c r="AY23" i="31"/>
  <c r="AT9" i="31"/>
  <c r="AZ23" i="31"/>
  <c r="AU9" i="31"/>
  <c r="BA23" i="31"/>
  <c r="AV9" i="31"/>
  <c r="BB23" i="31"/>
  <c r="AW9" i="31"/>
  <c r="BC23" i="31"/>
  <c r="AX9" i="31"/>
  <c r="BD23" i="31"/>
  <c r="AY9" i="31"/>
  <c r="BE23" i="31"/>
  <c r="AZ9" i="31"/>
  <c r="BF23" i="31"/>
  <c r="BA9" i="31"/>
  <c r="BG23" i="31"/>
  <c r="BB9" i="31"/>
  <c r="BH23" i="31"/>
  <c r="BC9" i="31"/>
  <c r="BI23" i="31"/>
  <c r="BD9" i="31"/>
  <c r="BJ23" i="31"/>
  <c r="BE9" i="31"/>
  <c r="BK23" i="31"/>
  <c r="BF9" i="31"/>
  <c r="BL23" i="31"/>
  <c r="BG9" i="31"/>
  <c r="BM23" i="31"/>
  <c r="BH9" i="31"/>
  <c r="BN23" i="31"/>
  <c r="AP23" i="31"/>
  <c r="AK10" i="31"/>
  <c r="AQ24" i="31"/>
  <c r="AL10" i="31"/>
  <c r="AR24" i="31"/>
  <c r="AM10" i="31"/>
  <c r="AS24" i="31"/>
  <c r="AN10" i="31"/>
  <c r="AT24" i="31"/>
  <c r="AO10" i="31"/>
  <c r="AU24" i="31"/>
  <c r="AP10" i="31"/>
  <c r="AV24" i="31"/>
  <c r="AQ10" i="31"/>
  <c r="AW24" i="31"/>
  <c r="AR10" i="31"/>
  <c r="AX24" i="31"/>
  <c r="AS10" i="31"/>
  <c r="AY24" i="31"/>
  <c r="AT10" i="31"/>
  <c r="AZ24" i="31"/>
  <c r="AU10" i="31"/>
  <c r="BA24" i="31"/>
  <c r="AV10" i="31"/>
  <c r="BB24" i="31"/>
  <c r="AW10" i="31"/>
  <c r="BC24" i="31"/>
  <c r="AX10" i="31"/>
  <c r="BD24" i="31"/>
  <c r="AY10" i="31"/>
  <c r="BE24" i="31"/>
  <c r="AZ10" i="31"/>
  <c r="BF24" i="31"/>
  <c r="BA10" i="31"/>
  <c r="BG24" i="31"/>
  <c r="BB10" i="31"/>
  <c r="BH24" i="31"/>
  <c r="BC10" i="31"/>
  <c r="BI24" i="31"/>
  <c r="BD10" i="31"/>
  <c r="BJ24" i="31"/>
  <c r="BE10" i="31"/>
  <c r="BK24" i="31"/>
  <c r="BF10" i="31"/>
  <c r="BL24" i="31"/>
  <c r="BG10" i="31"/>
  <c r="BM24" i="31"/>
  <c r="BH10" i="31"/>
  <c r="BN24" i="31"/>
  <c r="AP24" i="31"/>
  <c r="AK11" i="31"/>
  <c r="AQ25" i="31"/>
  <c r="AL11" i="31"/>
  <c r="AR25" i="31"/>
  <c r="AM11" i="31"/>
  <c r="AS25" i="31"/>
  <c r="AN11" i="31"/>
  <c r="AT25" i="31"/>
  <c r="AO11" i="31"/>
  <c r="AU25" i="31"/>
  <c r="AP11" i="31"/>
  <c r="AV25" i="31"/>
  <c r="AQ11" i="31"/>
  <c r="AW25" i="31"/>
  <c r="AR11" i="31"/>
  <c r="AX25" i="31"/>
  <c r="AS11" i="31"/>
  <c r="AY25" i="31"/>
  <c r="AT11" i="31"/>
  <c r="AZ25" i="31"/>
  <c r="AU11" i="31"/>
  <c r="BA25" i="31"/>
  <c r="AV11" i="31"/>
  <c r="BB25" i="31"/>
  <c r="AW11" i="31"/>
  <c r="BC25" i="31"/>
  <c r="AX11" i="31"/>
  <c r="BD25" i="31"/>
  <c r="AY11" i="31"/>
  <c r="BE25" i="31"/>
  <c r="AZ11" i="31"/>
  <c r="BF25" i="31"/>
  <c r="BA11" i="31"/>
  <c r="BG25" i="31"/>
  <c r="BB11" i="31"/>
  <c r="BH25" i="31"/>
  <c r="BC11" i="31"/>
  <c r="BI25" i="31"/>
  <c r="BD11" i="31"/>
  <c r="BJ25" i="31"/>
  <c r="BE11" i="31"/>
  <c r="BK25" i="31"/>
  <c r="BF11" i="31"/>
  <c r="BL25" i="31"/>
  <c r="BG11" i="31"/>
  <c r="BM25" i="31"/>
  <c r="BH11" i="31"/>
  <c r="BN25" i="31"/>
  <c r="AP25" i="31"/>
  <c r="AK12" i="31"/>
  <c r="AQ26" i="31"/>
  <c r="AL12" i="31"/>
  <c r="AR26" i="31"/>
  <c r="AM12" i="31"/>
  <c r="AS26" i="31"/>
  <c r="AN12" i="31"/>
  <c r="AT26" i="31"/>
  <c r="AO12" i="31"/>
  <c r="AU26" i="31"/>
  <c r="AP12" i="31"/>
  <c r="AV26" i="31"/>
  <c r="AQ12" i="31"/>
  <c r="AW26" i="31"/>
  <c r="AR12" i="31"/>
  <c r="AX26" i="31"/>
  <c r="AS12" i="31"/>
  <c r="AY26" i="31"/>
  <c r="AT12" i="31"/>
  <c r="AZ26" i="31"/>
  <c r="AU12" i="31"/>
  <c r="BA26" i="31"/>
  <c r="AV12" i="31"/>
  <c r="BB26" i="31"/>
  <c r="AW12" i="31"/>
  <c r="BC26" i="31"/>
  <c r="AX12" i="31"/>
  <c r="BD26" i="31"/>
  <c r="AY12" i="31"/>
  <c r="BE26" i="31"/>
  <c r="AZ12" i="31"/>
  <c r="BF26" i="31"/>
  <c r="BA12" i="31"/>
  <c r="BG26" i="31"/>
  <c r="BB12" i="31"/>
  <c r="BH26" i="31"/>
  <c r="BC12" i="31"/>
  <c r="BI26" i="31"/>
  <c r="BD12" i="31"/>
  <c r="BJ26" i="31"/>
  <c r="BE12" i="31"/>
  <c r="BK26" i="31"/>
  <c r="BF12" i="31"/>
  <c r="BL26" i="31"/>
  <c r="BG12" i="31"/>
  <c r="BM26" i="31"/>
  <c r="BH12" i="31"/>
  <c r="BN26" i="31"/>
  <c r="AP26" i="31"/>
  <c r="AK13" i="31"/>
  <c r="AQ27" i="31"/>
  <c r="AL13" i="31"/>
  <c r="AR27" i="31"/>
  <c r="AM13" i="31"/>
  <c r="AS27" i="31"/>
  <c r="AN13" i="31"/>
  <c r="AT27" i="31"/>
  <c r="AO13" i="31"/>
  <c r="AU27" i="31"/>
  <c r="AP13" i="31"/>
  <c r="AV27" i="31"/>
  <c r="AQ13" i="31"/>
  <c r="AW27" i="31"/>
  <c r="AR13" i="31"/>
  <c r="AX27" i="31"/>
  <c r="AS13" i="31"/>
  <c r="AY27" i="31"/>
  <c r="AT13" i="31"/>
  <c r="AZ27" i="31"/>
  <c r="AU13" i="31"/>
  <c r="BA27" i="31"/>
  <c r="AV13" i="31"/>
  <c r="BB27" i="31"/>
  <c r="AW13" i="31"/>
  <c r="BC27" i="31"/>
  <c r="AX13" i="31"/>
  <c r="BD27" i="31"/>
  <c r="AY13" i="31"/>
  <c r="BE27" i="31"/>
  <c r="AZ13" i="31"/>
  <c r="BF27" i="31"/>
  <c r="BA13" i="31"/>
  <c r="BG27" i="31"/>
  <c r="BB13" i="31"/>
  <c r="BH27" i="31"/>
  <c r="BC13" i="31"/>
  <c r="BI27" i="31"/>
  <c r="BD13" i="31"/>
  <c r="BJ27" i="31"/>
  <c r="BE13" i="31"/>
  <c r="BK27" i="31"/>
  <c r="BF13" i="31"/>
  <c r="BL27" i="31"/>
  <c r="BG13" i="31"/>
  <c r="BM27" i="31"/>
  <c r="BH13" i="31"/>
  <c r="BN27" i="31"/>
  <c r="AP27" i="31"/>
  <c r="AP28" i="31"/>
  <c r="AN16" i="31"/>
  <c r="AN17" i="31"/>
  <c r="AN18" i="31"/>
  <c r="AN19" i="31"/>
  <c r="AN20" i="31"/>
  <c r="AN21" i="31"/>
  <c r="AN22" i="31"/>
  <c r="AN23" i="31"/>
  <c r="AN24" i="31"/>
  <c r="AN25" i="31"/>
  <c r="AN26" i="31"/>
  <c r="AN27" i="31"/>
  <c r="AN28" i="31"/>
  <c r="AM16" i="31"/>
  <c r="AM17" i="31"/>
  <c r="AM18" i="31"/>
  <c r="AM19" i="31"/>
  <c r="AM20" i="31"/>
  <c r="AM21" i="31"/>
  <c r="AM22" i="31"/>
  <c r="AM23" i="31"/>
  <c r="AM24" i="31"/>
  <c r="AM25" i="31"/>
  <c r="AM26" i="31"/>
  <c r="AM27" i="31"/>
  <c r="AM28" i="31"/>
  <c r="AL16" i="31"/>
  <c r="AL17" i="31"/>
  <c r="AL18" i="31"/>
  <c r="AL19" i="31"/>
  <c r="AL20" i="31"/>
  <c r="AL21" i="31"/>
  <c r="AL22" i="31"/>
  <c r="AL23" i="31"/>
  <c r="AL24" i="31"/>
  <c r="AL25" i="31"/>
  <c r="AL26" i="31"/>
  <c r="AL27" i="31"/>
  <c r="AL28" i="31"/>
  <c r="AK16" i="31"/>
  <c r="AK17" i="31"/>
  <c r="AK18" i="31"/>
  <c r="AK19" i="31"/>
  <c r="AK20" i="31"/>
  <c r="AK21" i="31"/>
  <c r="AK22" i="31"/>
  <c r="AK23" i="31"/>
  <c r="AK24" i="31"/>
  <c r="AK25" i="31"/>
  <c r="AK26" i="31"/>
  <c r="AK27" i="31"/>
  <c r="AK28" i="31"/>
  <c r="Z2" i="31"/>
  <c r="AA2" i="31"/>
  <c r="AB2" i="31"/>
  <c r="AC2" i="31"/>
  <c r="AA16" i="31"/>
  <c r="Z3" i="31"/>
  <c r="AA3" i="31"/>
  <c r="AB3" i="31"/>
  <c r="AC3" i="31"/>
  <c r="AA17" i="31"/>
  <c r="Z4" i="31"/>
  <c r="AA4" i="31"/>
  <c r="AB4" i="31"/>
  <c r="AC4" i="31"/>
  <c r="AA18" i="31"/>
  <c r="Z5" i="31"/>
  <c r="AA5" i="31"/>
  <c r="AB5" i="31"/>
  <c r="AC5" i="31"/>
  <c r="AA19" i="31"/>
  <c r="Z6" i="31"/>
  <c r="AA6" i="31"/>
  <c r="AB6" i="31"/>
  <c r="AC6" i="31"/>
  <c r="AA20" i="31"/>
  <c r="Z7" i="31"/>
  <c r="AA7" i="31"/>
  <c r="AB7" i="31"/>
  <c r="AC7" i="31"/>
  <c r="AA21" i="31"/>
  <c r="Z8" i="31"/>
  <c r="AA8" i="31"/>
  <c r="AB8" i="31"/>
  <c r="AC8" i="31"/>
  <c r="AA22" i="31"/>
  <c r="Z9" i="31"/>
  <c r="AA9" i="31"/>
  <c r="AB9" i="31"/>
  <c r="AC9" i="31"/>
  <c r="AA23" i="31"/>
  <c r="Z10" i="31"/>
  <c r="AA10" i="31"/>
  <c r="AB10" i="31"/>
  <c r="AC10" i="31"/>
  <c r="AA24" i="31"/>
  <c r="Z11" i="31"/>
  <c r="AA11" i="31"/>
  <c r="AB11" i="31"/>
  <c r="AC11" i="31"/>
  <c r="AA25" i="31"/>
  <c r="Z12" i="31"/>
  <c r="AA12" i="31"/>
  <c r="AB12" i="31"/>
  <c r="AC12" i="31"/>
  <c r="AA26" i="31"/>
  <c r="Z13" i="31"/>
  <c r="AA13" i="31"/>
  <c r="AB13" i="31"/>
  <c r="AC13" i="31"/>
  <c r="AA27" i="31"/>
  <c r="AA28" i="31"/>
  <c r="Z16" i="31"/>
  <c r="Z17" i="31"/>
  <c r="Z18" i="31"/>
  <c r="Z19" i="31"/>
  <c r="Z20" i="31"/>
  <c r="Z21" i="31"/>
  <c r="Z22" i="31"/>
  <c r="Z23" i="31"/>
  <c r="Z24" i="31"/>
  <c r="Z25" i="31"/>
  <c r="Z26" i="31"/>
  <c r="Z27" i="31"/>
  <c r="Z28" i="31"/>
  <c r="S28" i="31"/>
  <c r="R28" i="31"/>
  <c r="Q28" i="31"/>
  <c r="P28" i="31"/>
  <c r="N28" i="31"/>
  <c r="M28" i="31"/>
  <c r="L28" i="31"/>
  <c r="K28" i="31"/>
  <c r="D27" i="31"/>
  <c r="G26" i="31"/>
  <c r="N25" i="31"/>
  <c r="M25" i="31"/>
  <c r="L25" i="31"/>
  <c r="K25" i="31"/>
  <c r="D25" i="31"/>
  <c r="G24" i="31"/>
  <c r="H16" i="31"/>
  <c r="D23" i="31"/>
  <c r="G22" i="31"/>
  <c r="G16" i="31"/>
  <c r="D21" i="31"/>
  <c r="G20" i="31"/>
  <c r="M19" i="31"/>
  <c r="W16" i="31"/>
  <c r="V16" i="31"/>
  <c r="U16" i="31"/>
  <c r="E50" i="30"/>
  <c r="A50" i="30"/>
  <c r="E49" i="30"/>
  <c r="A49" i="30"/>
  <c r="E48" i="30"/>
  <c r="A48" i="30"/>
  <c r="E47" i="30"/>
  <c r="A47" i="30"/>
  <c r="E46" i="30"/>
  <c r="A46" i="30"/>
  <c r="E45" i="30"/>
  <c r="A45" i="30"/>
  <c r="E44" i="30"/>
  <c r="A44" i="30"/>
  <c r="E43" i="30"/>
  <c r="A43" i="30"/>
  <c r="X15" i="30"/>
  <c r="E42" i="30"/>
  <c r="A42" i="30"/>
  <c r="X14" i="30"/>
  <c r="E41" i="30"/>
  <c r="AE18" i="30"/>
  <c r="A41" i="30"/>
  <c r="X13" i="30"/>
  <c r="E40" i="30"/>
  <c r="AE17" i="30"/>
  <c r="A40" i="30"/>
  <c r="X12" i="30"/>
  <c r="E39" i="30"/>
  <c r="AE16" i="30"/>
  <c r="A39" i="30"/>
  <c r="X11" i="30"/>
  <c r="X10" i="30"/>
  <c r="X9" i="30"/>
  <c r="X8" i="30"/>
  <c r="X4" i="30"/>
  <c r="X5" i="30"/>
  <c r="X6" i="30"/>
  <c r="AE2" i="30"/>
  <c r="AF2" i="30"/>
  <c r="AG2" i="30"/>
  <c r="AH2" i="30"/>
  <c r="AI2" i="30"/>
  <c r="AG16" i="30"/>
  <c r="AE3" i="30"/>
  <c r="AF3" i="30"/>
  <c r="AG3" i="30"/>
  <c r="AH3" i="30"/>
  <c r="AI3" i="30"/>
  <c r="AG17" i="30"/>
  <c r="AE4" i="30"/>
  <c r="AF4" i="30"/>
  <c r="AG4" i="30"/>
  <c r="AH4" i="30"/>
  <c r="AI4" i="30"/>
  <c r="AG18" i="30"/>
  <c r="AE6" i="30"/>
  <c r="AF6" i="30"/>
  <c r="AG6" i="30"/>
  <c r="AH6" i="30"/>
  <c r="AI6" i="30"/>
  <c r="AG20" i="30"/>
  <c r="AE8" i="30"/>
  <c r="AF8" i="30"/>
  <c r="AG8" i="30"/>
  <c r="AH8" i="30"/>
  <c r="AI8" i="30"/>
  <c r="AG22" i="30"/>
  <c r="AE9" i="30"/>
  <c r="AF9" i="30"/>
  <c r="AG9" i="30"/>
  <c r="AH9" i="30"/>
  <c r="AI9" i="30"/>
  <c r="AG23" i="30"/>
  <c r="AE10" i="30"/>
  <c r="AF10" i="30"/>
  <c r="AG10" i="30"/>
  <c r="AH10" i="30"/>
  <c r="AI10" i="30"/>
  <c r="AG24" i="30"/>
  <c r="AE11" i="30"/>
  <c r="AF11" i="30"/>
  <c r="AG11" i="30"/>
  <c r="AH11" i="30"/>
  <c r="AI11" i="30"/>
  <c r="AG25" i="30"/>
  <c r="AE12" i="30"/>
  <c r="AF12" i="30"/>
  <c r="AG12" i="30"/>
  <c r="AH12" i="30"/>
  <c r="AI12" i="30"/>
  <c r="AG26" i="30"/>
  <c r="AE13" i="30"/>
  <c r="AF13" i="30"/>
  <c r="AG13" i="30"/>
  <c r="AH13" i="30"/>
  <c r="AI13" i="30"/>
  <c r="AG27" i="30"/>
  <c r="AF16" i="30"/>
  <c r="AF17" i="30"/>
  <c r="AF18" i="30"/>
  <c r="AF20" i="30"/>
  <c r="AF22" i="30"/>
  <c r="AF23" i="30"/>
  <c r="AF24" i="30"/>
  <c r="AF25" i="30"/>
  <c r="AF26" i="30"/>
  <c r="AF27" i="30"/>
  <c r="D31" i="30"/>
  <c r="J29" i="30"/>
  <c r="I29" i="30"/>
  <c r="H29" i="30"/>
  <c r="G29" i="30"/>
  <c r="F16" i="30"/>
  <c r="D29" i="30"/>
  <c r="AK2" i="30"/>
  <c r="AQ16" i="30"/>
  <c r="AL2" i="30"/>
  <c r="AR16" i="30"/>
  <c r="AM2" i="30"/>
  <c r="AS16" i="30"/>
  <c r="AN2" i="30"/>
  <c r="AT16" i="30"/>
  <c r="AO2" i="30"/>
  <c r="AU16" i="30"/>
  <c r="AP2" i="30"/>
  <c r="AV16" i="30"/>
  <c r="AQ2" i="30"/>
  <c r="AW16" i="30"/>
  <c r="AR2" i="30"/>
  <c r="AX16" i="30"/>
  <c r="AS2" i="30"/>
  <c r="AY16" i="30"/>
  <c r="AT2" i="30"/>
  <c r="AZ16" i="30"/>
  <c r="AU2" i="30"/>
  <c r="BA16" i="30"/>
  <c r="AV2" i="30"/>
  <c r="BB16" i="30"/>
  <c r="AW2" i="30"/>
  <c r="BC16" i="30"/>
  <c r="AX2" i="30"/>
  <c r="BD16" i="30"/>
  <c r="AY2" i="30"/>
  <c r="BE16" i="30"/>
  <c r="AZ2" i="30"/>
  <c r="BF16" i="30"/>
  <c r="BA2" i="30"/>
  <c r="BG16" i="30"/>
  <c r="BB2" i="30"/>
  <c r="BH16" i="30"/>
  <c r="BC2" i="30"/>
  <c r="BI16" i="30"/>
  <c r="BD2" i="30"/>
  <c r="BJ16" i="30"/>
  <c r="BE2" i="30"/>
  <c r="BK16" i="30"/>
  <c r="BF2" i="30"/>
  <c r="BL16" i="30"/>
  <c r="BG2" i="30"/>
  <c r="BM16" i="30"/>
  <c r="BH2" i="30"/>
  <c r="BN16" i="30"/>
  <c r="AP16" i="30"/>
  <c r="AK3" i="30"/>
  <c r="AQ17" i="30"/>
  <c r="AL3" i="30"/>
  <c r="AR17" i="30"/>
  <c r="AM3" i="30"/>
  <c r="AS17" i="30"/>
  <c r="AN3" i="30"/>
  <c r="AT17" i="30"/>
  <c r="AO3" i="30"/>
  <c r="AU17" i="30"/>
  <c r="AP3" i="30"/>
  <c r="AV17" i="30"/>
  <c r="AQ3" i="30"/>
  <c r="AW17" i="30"/>
  <c r="AR3" i="30"/>
  <c r="AX17" i="30"/>
  <c r="AS3" i="30"/>
  <c r="AY17" i="30"/>
  <c r="AT3" i="30"/>
  <c r="AZ17" i="30"/>
  <c r="AU3" i="30"/>
  <c r="BA17" i="30"/>
  <c r="AV3" i="30"/>
  <c r="BB17" i="30"/>
  <c r="AW3" i="30"/>
  <c r="BC17" i="30"/>
  <c r="AX3" i="30"/>
  <c r="BD17" i="30"/>
  <c r="AY3" i="30"/>
  <c r="BE17" i="30"/>
  <c r="AZ3" i="30"/>
  <c r="BF17" i="30"/>
  <c r="BA3" i="30"/>
  <c r="BG17" i="30"/>
  <c r="BB3" i="30"/>
  <c r="BH17" i="30"/>
  <c r="BC3" i="30"/>
  <c r="BI17" i="30"/>
  <c r="BD3" i="30"/>
  <c r="BJ17" i="30"/>
  <c r="BE3" i="30"/>
  <c r="BK17" i="30"/>
  <c r="BF3" i="30"/>
  <c r="BL17" i="30"/>
  <c r="BG3" i="30"/>
  <c r="BM17" i="30"/>
  <c r="BH3" i="30"/>
  <c r="BN17" i="30"/>
  <c r="AP17" i="30"/>
  <c r="AK4" i="30"/>
  <c r="AQ18" i="30"/>
  <c r="AL4" i="30"/>
  <c r="AR18" i="30"/>
  <c r="AM4" i="30"/>
  <c r="AS18" i="30"/>
  <c r="AN4" i="30"/>
  <c r="AT18" i="30"/>
  <c r="AO4" i="30"/>
  <c r="AU18" i="30"/>
  <c r="AP4" i="30"/>
  <c r="AV18" i="30"/>
  <c r="AQ4" i="30"/>
  <c r="AW18" i="30"/>
  <c r="AR4" i="30"/>
  <c r="AX18" i="30"/>
  <c r="AS4" i="30"/>
  <c r="AY18" i="30"/>
  <c r="AT4" i="30"/>
  <c r="AZ18" i="30"/>
  <c r="AU4" i="30"/>
  <c r="BA18" i="30"/>
  <c r="AV4" i="30"/>
  <c r="BB18" i="30"/>
  <c r="AW4" i="30"/>
  <c r="BC18" i="30"/>
  <c r="AX4" i="30"/>
  <c r="BD18" i="30"/>
  <c r="AY4" i="30"/>
  <c r="BE18" i="30"/>
  <c r="AZ4" i="30"/>
  <c r="BF18" i="30"/>
  <c r="BA4" i="30"/>
  <c r="BG18" i="30"/>
  <c r="BB4" i="30"/>
  <c r="BH18" i="30"/>
  <c r="BC4" i="30"/>
  <c r="BI18" i="30"/>
  <c r="BD4" i="30"/>
  <c r="BJ18" i="30"/>
  <c r="BE4" i="30"/>
  <c r="BK18" i="30"/>
  <c r="BF4" i="30"/>
  <c r="BL18" i="30"/>
  <c r="BG4" i="30"/>
  <c r="BM18" i="30"/>
  <c r="BH4" i="30"/>
  <c r="BN18" i="30"/>
  <c r="AP18" i="30"/>
  <c r="AK5" i="30"/>
  <c r="AQ19" i="30"/>
  <c r="AL5" i="30"/>
  <c r="AR19" i="30"/>
  <c r="AM5" i="30"/>
  <c r="AS19" i="30"/>
  <c r="AN5" i="30"/>
  <c r="AT19" i="30"/>
  <c r="AO5" i="30"/>
  <c r="AU19" i="30"/>
  <c r="AP5" i="30"/>
  <c r="AV19" i="30"/>
  <c r="AQ5" i="30"/>
  <c r="AW19" i="30"/>
  <c r="AR5" i="30"/>
  <c r="AX19" i="30"/>
  <c r="AS5" i="30"/>
  <c r="AY19" i="30"/>
  <c r="AT5" i="30"/>
  <c r="AZ19" i="30"/>
  <c r="AU5" i="30"/>
  <c r="BA19" i="30"/>
  <c r="AV5" i="30"/>
  <c r="BB19" i="30"/>
  <c r="AW5" i="30"/>
  <c r="BC19" i="30"/>
  <c r="AX5" i="30"/>
  <c r="BD19" i="30"/>
  <c r="AY5" i="30"/>
  <c r="BE19" i="30"/>
  <c r="AZ5" i="30"/>
  <c r="BF19" i="30"/>
  <c r="BA5" i="30"/>
  <c r="BG19" i="30"/>
  <c r="BB5" i="30"/>
  <c r="BH19" i="30"/>
  <c r="BC5" i="30"/>
  <c r="BI19" i="30"/>
  <c r="BD5" i="30"/>
  <c r="BJ19" i="30"/>
  <c r="BE5" i="30"/>
  <c r="BK19" i="30"/>
  <c r="BF5" i="30"/>
  <c r="BL19" i="30"/>
  <c r="BG5" i="30"/>
  <c r="BM19" i="30"/>
  <c r="BH5" i="30"/>
  <c r="BN19" i="30"/>
  <c r="AP19" i="30"/>
  <c r="AK6" i="30"/>
  <c r="AQ20" i="30"/>
  <c r="AL6" i="30"/>
  <c r="AR20" i="30"/>
  <c r="AM6" i="30"/>
  <c r="AS20" i="30"/>
  <c r="AN6" i="30"/>
  <c r="AT20" i="30"/>
  <c r="AO6" i="30"/>
  <c r="AU20" i="30"/>
  <c r="AP6" i="30"/>
  <c r="AV20" i="30"/>
  <c r="AQ6" i="30"/>
  <c r="AW20" i="30"/>
  <c r="AR6" i="30"/>
  <c r="AX20" i="30"/>
  <c r="AS6" i="30"/>
  <c r="AY20" i="30"/>
  <c r="AT6" i="30"/>
  <c r="AZ20" i="30"/>
  <c r="AU6" i="30"/>
  <c r="BA20" i="30"/>
  <c r="AV6" i="30"/>
  <c r="BB20" i="30"/>
  <c r="AW6" i="30"/>
  <c r="BC20" i="30"/>
  <c r="AX6" i="30"/>
  <c r="BD20" i="30"/>
  <c r="AY6" i="30"/>
  <c r="BE20" i="30"/>
  <c r="AZ6" i="30"/>
  <c r="BF20" i="30"/>
  <c r="BA6" i="30"/>
  <c r="BG20" i="30"/>
  <c r="BB6" i="30"/>
  <c r="BH20" i="30"/>
  <c r="BC6" i="30"/>
  <c r="BI20" i="30"/>
  <c r="BD6" i="30"/>
  <c r="BJ20" i="30"/>
  <c r="BE6" i="30"/>
  <c r="BK20" i="30"/>
  <c r="BF6" i="30"/>
  <c r="BL20" i="30"/>
  <c r="BG6" i="30"/>
  <c r="BM20" i="30"/>
  <c r="BH6" i="30"/>
  <c r="BN20" i="30"/>
  <c r="AP20" i="30"/>
  <c r="AK7" i="30"/>
  <c r="AQ21" i="30"/>
  <c r="AL7" i="30"/>
  <c r="AR21" i="30"/>
  <c r="AM7" i="30"/>
  <c r="AS21" i="30"/>
  <c r="AN7" i="30"/>
  <c r="AT21" i="30"/>
  <c r="AO7" i="30"/>
  <c r="AU21" i="30"/>
  <c r="AP7" i="30"/>
  <c r="AV21" i="30"/>
  <c r="AQ7" i="30"/>
  <c r="AW21" i="30"/>
  <c r="AR7" i="30"/>
  <c r="AX21" i="30"/>
  <c r="AS7" i="30"/>
  <c r="AY21" i="30"/>
  <c r="AT7" i="30"/>
  <c r="AZ21" i="30"/>
  <c r="AU7" i="30"/>
  <c r="BA21" i="30"/>
  <c r="AV7" i="30"/>
  <c r="BB21" i="30"/>
  <c r="AW7" i="30"/>
  <c r="BC21" i="30"/>
  <c r="AX7" i="30"/>
  <c r="BD21" i="30"/>
  <c r="AY7" i="30"/>
  <c r="BE21" i="30"/>
  <c r="AZ7" i="30"/>
  <c r="BF21" i="30"/>
  <c r="BA7" i="30"/>
  <c r="BG21" i="30"/>
  <c r="BB7" i="30"/>
  <c r="BH21" i="30"/>
  <c r="BC7" i="30"/>
  <c r="BI21" i="30"/>
  <c r="BD7" i="30"/>
  <c r="BJ21" i="30"/>
  <c r="BE7" i="30"/>
  <c r="BK21" i="30"/>
  <c r="BF7" i="30"/>
  <c r="BL21" i="30"/>
  <c r="BG7" i="30"/>
  <c r="BM21" i="30"/>
  <c r="BH7" i="30"/>
  <c r="BN21" i="30"/>
  <c r="AP21" i="30"/>
  <c r="AK8" i="30"/>
  <c r="AQ22" i="30"/>
  <c r="AL8" i="30"/>
  <c r="AR22" i="30"/>
  <c r="AM8" i="30"/>
  <c r="AS22" i="30"/>
  <c r="AN8" i="30"/>
  <c r="AT22" i="30"/>
  <c r="AO8" i="30"/>
  <c r="AU22" i="30"/>
  <c r="AP8" i="30"/>
  <c r="AV22" i="30"/>
  <c r="AQ8" i="30"/>
  <c r="AW22" i="30"/>
  <c r="AR8" i="30"/>
  <c r="AX22" i="30"/>
  <c r="AS8" i="30"/>
  <c r="AY22" i="30"/>
  <c r="AT8" i="30"/>
  <c r="AZ22" i="30"/>
  <c r="AU8" i="30"/>
  <c r="BA22" i="30"/>
  <c r="AV8" i="30"/>
  <c r="BB22" i="30"/>
  <c r="AW8" i="30"/>
  <c r="BC22" i="30"/>
  <c r="AX8" i="30"/>
  <c r="BD22" i="30"/>
  <c r="AY8" i="30"/>
  <c r="BE22" i="30"/>
  <c r="AZ8" i="30"/>
  <c r="BF22" i="30"/>
  <c r="BA8" i="30"/>
  <c r="BG22" i="30"/>
  <c r="BB8" i="30"/>
  <c r="BH22" i="30"/>
  <c r="BC8" i="30"/>
  <c r="BI22" i="30"/>
  <c r="BD8" i="30"/>
  <c r="BJ22" i="30"/>
  <c r="BE8" i="30"/>
  <c r="BK22" i="30"/>
  <c r="BF8" i="30"/>
  <c r="BL22" i="30"/>
  <c r="BG8" i="30"/>
  <c r="BM22" i="30"/>
  <c r="BH8" i="30"/>
  <c r="BN22" i="30"/>
  <c r="AP22" i="30"/>
  <c r="AK9" i="30"/>
  <c r="AQ23" i="30"/>
  <c r="AL9" i="30"/>
  <c r="AR23" i="30"/>
  <c r="AM9" i="30"/>
  <c r="AS23" i="30"/>
  <c r="AN9" i="30"/>
  <c r="AT23" i="30"/>
  <c r="AO9" i="30"/>
  <c r="AU23" i="30"/>
  <c r="AP9" i="30"/>
  <c r="AV23" i="30"/>
  <c r="AQ9" i="30"/>
  <c r="AW23" i="30"/>
  <c r="AR9" i="30"/>
  <c r="AX23" i="30"/>
  <c r="AS9" i="30"/>
  <c r="AY23" i="30"/>
  <c r="AT9" i="30"/>
  <c r="AZ23" i="30"/>
  <c r="AU9" i="30"/>
  <c r="BA23" i="30"/>
  <c r="AV9" i="30"/>
  <c r="BB23" i="30"/>
  <c r="AW9" i="30"/>
  <c r="BC23" i="30"/>
  <c r="AX9" i="30"/>
  <c r="BD23" i="30"/>
  <c r="AY9" i="30"/>
  <c r="BE23" i="30"/>
  <c r="AZ9" i="30"/>
  <c r="BF23" i="30"/>
  <c r="BA9" i="30"/>
  <c r="BG23" i="30"/>
  <c r="BB9" i="30"/>
  <c r="BH23" i="30"/>
  <c r="BC9" i="30"/>
  <c r="BI23" i="30"/>
  <c r="BD9" i="30"/>
  <c r="BJ23" i="30"/>
  <c r="BE9" i="30"/>
  <c r="BK23" i="30"/>
  <c r="BF9" i="30"/>
  <c r="BL23" i="30"/>
  <c r="BG9" i="30"/>
  <c r="BM23" i="30"/>
  <c r="BH9" i="30"/>
  <c r="BN23" i="30"/>
  <c r="AP23" i="30"/>
  <c r="AK10" i="30"/>
  <c r="AQ24" i="30"/>
  <c r="AL10" i="30"/>
  <c r="AR24" i="30"/>
  <c r="AM10" i="30"/>
  <c r="AS24" i="30"/>
  <c r="AN10" i="30"/>
  <c r="AT24" i="30"/>
  <c r="AO10" i="30"/>
  <c r="AU24" i="30"/>
  <c r="AP10" i="30"/>
  <c r="AV24" i="30"/>
  <c r="AQ10" i="30"/>
  <c r="AW24" i="30"/>
  <c r="AR10" i="30"/>
  <c r="AX24" i="30"/>
  <c r="AS10" i="30"/>
  <c r="AY24" i="30"/>
  <c r="AT10" i="30"/>
  <c r="AZ24" i="30"/>
  <c r="AU10" i="30"/>
  <c r="BA24" i="30"/>
  <c r="AV10" i="30"/>
  <c r="BB24" i="30"/>
  <c r="AW10" i="30"/>
  <c r="BC24" i="30"/>
  <c r="AX10" i="30"/>
  <c r="BD24" i="30"/>
  <c r="AY10" i="30"/>
  <c r="BE24" i="30"/>
  <c r="AZ10" i="30"/>
  <c r="BF24" i="30"/>
  <c r="BA10" i="30"/>
  <c r="BG24" i="30"/>
  <c r="BB10" i="30"/>
  <c r="BH24" i="30"/>
  <c r="BC10" i="30"/>
  <c r="BI24" i="30"/>
  <c r="BD10" i="30"/>
  <c r="BJ24" i="30"/>
  <c r="BE10" i="30"/>
  <c r="BK24" i="30"/>
  <c r="BF10" i="30"/>
  <c r="BL24" i="30"/>
  <c r="BG10" i="30"/>
  <c r="BM24" i="30"/>
  <c r="BH10" i="30"/>
  <c r="BN24" i="30"/>
  <c r="AP24" i="30"/>
  <c r="AK11" i="30"/>
  <c r="AQ25" i="30"/>
  <c r="AL11" i="30"/>
  <c r="AR25" i="30"/>
  <c r="AM11" i="30"/>
  <c r="AS25" i="30"/>
  <c r="AN11" i="30"/>
  <c r="AT25" i="30"/>
  <c r="AO11" i="30"/>
  <c r="AU25" i="30"/>
  <c r="AP11" i="30"/>
  <c r="AV25" i="30"/>
  <c r="AQ11" i="30"/>
  <c r="AW25" i="30"/>
  <c r="AR11" i="30"/>
  <c r="AX25" i="30"/>
  <c r="AS11" i="30"/>
  <c r="AY25" i="30"/>
  <c r="AT11" i="30"/>
  <c r="AZ25" i="30"/>
  <c r="AU11" i="30"/>
  <c r="BA25" i="30"/>
  <c r="AV11" i="30"/>
  <c r="BB25" i="30"/>
  <c r="AW11" i="30"/>
  <c r="BC25" i="30"/>
  <c r="AX11" i="30"/>
  <c r="BD25" i="30"/>
  <c r="AY11" i="30"/>
  <c r="BE25" i="30"/>
  <c r="AZ11" i="30"/>
  <c r="BF25" i="30"/>
  <c r="BA11" i="30"/>
  <c r="BG25" i="30"/>
  <c r="BB11" i="30"/>
  <c r="BH25" i="30"/>
  <c r="BC11" i="30"/>
  <c r="BI25" i="30"/>
  <c r="BD11" i="30"/>
  <c r="BJ25" i="30"/>
  <c r="BE11" i="30"/>
  <c r="BK25" i="30"/>
  <c r="BF11" i="30"/>
  <c r="BL25" i="30"/>
  <c r="BG11" i="30"/>
  <c r="BM25" i="30"/>
  <c r="BH11" i="30"/>
  <c r="BN25" i="30"/>
  <c r="AP25" i="30"/>
  <c r="AK12" i="30"/>
  <c r="AQ26" i="30"/>
  <c r="AL12" i="30"/>
  <c r="AR26" i="30"/>
  <c r="AM12" i="30"/>
  <c r="AS26" i="30"/>
  <c r="AN12" i="30"/>
  <c r="AT26" i="30"/>
  <c r="AO12" i="30"/>
  <c r="AU26" i="30"/>
  <c r="AP12" i="30"/>
  <c r="AV26" i="30"/>
  <c r="AQ12" i="30"/>
  <c r="AW26" i="30"/>
  <c r="AR12" i="30"/>
  <c r="AX26" i="30"/>
  <c r="AS12" i="30"/>
  <c r="AY26" i="30"/>
  <c r="AT12" i="30"/>
  <c r="AZ26" i="30"/>
  <c r="AU12" i="30"/>
  <c r="BA26" i="30"/>
  <c r="AV12" i="30"/>
  <c r="BB26" i="30"/>
  <c r="AW12" i="30"/>
  <c r="BC26" i="30"/>
  <c r="AX12" i="30"/>
  <c r="BD26" i="30"/>
  <c r="AY12" i="30"/>
  <c r="BE26" i="30"/>
  <c r="AZ12" i="30"/>
  <c r="BF26" i="30"/>
  <c r="BA12" i="30"/>
  <c r="BG26" i="30"/>
  <c r="BB12" i="30"/>
  <c r="BH26" i="30"/>
  <c r="BC12" i="30"/>
  <c r="BI26" i="30"/>
  <c r="BD12" i="30"/>
  <c r="BJ26" i="30"/>
  <c r="BE12" i="30"/>
  <c r="BK26" i="30"/>
  <c r="BF12" i="30"/>
  <c r="BL26" i="30"/>
  <c r="BG12" i="30"/>
  <c r="BM26" i="30"/>
  <c r="BH12" i="30"/>
  <c r="BN26" i="30"/>
  <c r="AP26" i="30"/>
  <c r="AK13" i="30"/>
  <c r="AQ27" i="30"/>
  <c r="AL13" i="30"/>
  <c r="AR27" i="30"/>
  <c r="AM13" i="30"/>
  <c r="AS27" i="30"/>
  <c r="AN13" i="30"/>
  <c r="AT27" i="30"/>
  <c r="AO13" i="30"/>
  <c r="AU27" i="30"/>
  <c r="AP13" i="30"/>
  <c r="AV27" i="30"/>
  <c r="AQ13" i="30"/>
  <c r="AW27" i="30"/>
  <c r="AR13" i="30"/>
  <c r="AX27" i="30"/>
  <c r="AS13" i="30"/>
  <c r="AY27" i="30"/>
  <c r="AT13" i="30"/>
  <c r="AZ27" i="30"/>
  <c r="AU13" i="30"/>
  <c r="BA27" i="30"/>
  <c r="AV13" i="30"/>
  <c r="BB27" i="30"/>
  <c r="AW13" i="30"/>
  <c r="BC27" i="30"/>
  <c r="AX13" i="30"/>
  <c r="BD27" i="30"/>
  <c r="AY13" i="30"/>
  <c r="BE27" i="30"/>
  <c r="AZ13" i="30"/>
  <c r="BF27" i="30"/>
  <c r="BA13" i="30"/>
  <c r="BG27" i="30"/>
  <c r="BB13" i="30"/>
  <c r="BH27" i="30"/>
  <c r="BC13" i="30"/>
  <c r="BI27" i="30"/>
  <c r="BD13" i="30"/>
  <c r="BJ27" i="30"/>
  <c r="BE13" i="30"/>
  <c r="BK27" i="30"/>
  <c r="BF13" i="30"/>
  <c r="BL27" i="30"/>
  <c r="BG13" i="30"/>
  <c r="BM27" i="30"/>
  <c r="BH13" i="30"/>
  <c r="BN27" i="30"/>
  <c r="AP27" i="30"/>
  <c r="AP28" i="30"/>
  <c r="AN16" i="30"/>
  <c r="AN17" i="30"/>
  <c r="AN18" i="30"/>
  <c r="AN19" i="30"/>
  <c r="AN20" i="30"/>
  <c r="AN21" i="30"/>
  <c r="AN22" i="30"/>
  <c r="AN23" i="30"/>
  <c r="AN24" i="30"/>
  <c r="AN25" i="30"/>
  <c r="AN26" i="30"/>
  <c r="AN27" i="30"/>
  <c r="AN28" i="30"/>
  <c r="AM16" i="30"/>
  <c r="AM17" i="30"/>
  <c r="AM18" i="30"/>
  <c r="AM19" i="30"/>
  <c r="AM20" i="30"/>
  <c r="AM21" i="30"/>
  <c r="AM22" i="30"/>
  <c r="AM23" i="30"/>
  <c r="AM24" i="30"/>
  <c r="AM25" i="30"/>
  <c r="AM26" i="30"/>
  <c r="AM27" i="30"/>
  <c r="AM28" i="30"/>
  <c r="AL16" i="30"/>
  <c r="AL17" i="30"/>
  <c r="AL18" i="30"/>
  <c r="AL19" i="30"/>
  <c r="AL20" i="30"/>
  <c r="AL21" i="30"/>
  <c r="AL22" i="30"/>
  <c r="AL23" i="30"/>
  <c r="AL24" i="30"/>
  <c r="AL25" i="30"/>
  <c r="AL26" i="30"/>
  <c r="AL27" i="30"/>
  <c r="AL28" i="30"/>
  <c r="AK16" i="30"/>
  <c r="AK17" i="30"/>
  <c r="AK18" i="30"/>
  <c r="AK19" i="30"/>
  <c r="AK20" i="30"/>
  <c r="AK21" i="30"/>
  <c r="AK22" i="30"/>
  <c r="AK23" i="30"/>
  <c r="AK24" i="30"/>
  <c r="AK25" i="30"/>
  <c r="AK26" i="30"/>
  <c r="AK27" i="30"/>
  <c r="AK28" i="30"/>
  <c r="Z2" i="30"/>
  <c r="AA2" i="30"/>
  <c r="AB2" i="30"/>
  <c r="AC2" i="30"/>
  <c r="AA16" i="30"/>
  <c r="Z3" i="30"/>
  <c r="AA3" i="30"/>
  <c r="AB3" i="30"/>
  <c r="AC3" i="30"/>
  <c r="AA17" i="30"/>
  <c r="Z4" i="30"/>
  <c r="AA4" i="30"/>
  <c r="AB4" i="30"/>
  <c r="AC4" i="30"/>
  <c r="AA18" i="30"/>
  <c r="Z5" i="30"/>
  <c r="AA5" i="30"/>
  <c r="AB5" i="30"/>
  <c r="AC5" i="30"/>
  <c r="AA19" i="30"/>
  <c r="Z6" i="30"/>
  <c r="AA6" i="30"/>
  <c r="AB6" i="30"/>
  <c r="AC6" i="30"/>
  <c r="AA20" i="30"/>
  <c r="Z7" i="30"/>
  <c r="AA7" i="30"/>
  <c r="AB7" i="30"/>
  <c r="AC7" i="30"/>
  <c r="AA21" i="30"/>
  <c r="Z8" i="30"/>
  <c r="AA8" i="30"/>
  <c r="AB8" i="30"/>
  <c r="AC8" i="30"/>
  <c r="AA22" i="30"/>
  <c r="Z9" i="30"/>
  <c r="AA9" i="30"/>
  <c r="AB9" i="30"/>
  <c r="AC9" i="30"/>
  <c r="AA23" i="30"/>
  <c r="Z10" i="30"/>
  <c r="AA10" i="30"/>
  <c r="AB10" i="30"/>
  <c r="AC10" i="30"/>
  <c r="AA24" i="30"/>
  <c r="Z11" i="30"/>
  <c r="AA11" i="30"/>
  <c r="AB11" i="30"/>
  <c r="AC11" i="30"/>
  <c r="AA25" i="30"/>
  <c r="Z12" i="30"/>
  <c r="AA12" i="30"/>
  <c r="AB12" i="30"/>
  <c r="AC12" i="30"/>
  <c r="AA26" i="30"/>
  <c r="Z13" i="30"/>
  <c r="AA13" i="30"/>
  <c r="AB13" i="30"/>
  <c r="AC13" i="30"/>
  <c r="AA27" i="30"/>
  <c r="AA28" i="30"/>
  <c r="Z16" i="30"/>
  <c r="Z17" i="30"/>
  <c r="Z18" i="30"/>
  <c r="Z19" i="30"/>
  <c r="Z20" i="30"/>
  <c r="Z21" i="30"/>
  <c r="Z22" i="30"/>
  <c r="Z23" i="30"/>
  <c r="Z24" i="30"/>
  <c r="Z25" i="30"/>
  <c r="Z26" i="30"/>
  <c r="Z27" i="30"/>
  <c r="Z28" i="30"/>
  <c r="S28" i="30"/>
  <c r="R28" i="30"/>
  <c r="Q28" i="30"/>
  <c r="P28" i="30"/>
  <c r="N28" i="30"/>
  <c r="M28" i="30"/>
  <c r="L28" i="30"/>
  <c r="K28" i="30"/>
  <c r="D27" i="30"/>
  <c r="G26" i="30"/>
  <c r="N25" i="30"/>
  <c r="M25" i="30"/>
  <c r="L25" i="30"/>
  <c r="K25" i="30"/>
  <c r="D25" i="30"/>
  <c r="G24" i="30"/>
  <c r="H16" i="30"/>
  <c r="D23" i="30"/>
  <c r="G22" i="30"/>
  <c r="G16" i="30"/>
  <c r="D21" i="30"/>
  <c r="G20" i="30"/>
  <c r="M19" i="30"/>
  <c r="W16" i="30"/>
  <c r="V16" i="30"/>
  <c r="U16" i="30"/>
  <c r="E50" i="29"/>
  <c r="A50" i="29"/>
  <c r="E49" i="29"/>
  <c r="A49" i="29"/>
  <c r="E48" i="29"/>
  <c r="A48" i="29"/>
  <c r="E47" i="29"/>
  <c r="A47" i="29"/>
  <c r="E46" i="29"/>
  <c r="A46" i="29"/>
  <c r="E45" i="29"/>
  <c r="A45" i="29"/>
  <c r="E44" i="29"/>
  <c r="A44" i="29"/>
  <c r="E43" i="29"/>
  <c r="A43" i="29"/>
  <c r="E42" i="29"/>
  <c r="A42" i="29"/>
  <c r="E41" i="29"/>
  <c r="AE4" i="29"/>
  <c r="AF4" i="29"/>
  <c r="AG4" i="29"/>
  <c r="AH4" i="29"/>
  <c r="AI4" i="29"/>
  <c r="AE18" i="29"/>
  <c r="AF18" i="29"/>
  <c r="AG18" i="29"/>
  <c r="A41" i="29"/>
  <c r="E40" i="29"/>
  <c r="AE3" i="29"/>
  <c r="AF3" i="29"/>
  <c r="AG3" i="29"/>
  <c r="AH3" i="29"/>
  <c r="AI3" i="29"/>
  <c r="AE17" i="29"/>
  <c r="AF17" i="29"/>
  <c r="AG17" i="29"/>
  <c r="A40" i="29"/>
  <c r="E39" i="29"/>
  <c r="AE16" i="29"/>
  <c r="A39" i="29"/>
  <c r="X4" i="29"/>
  <c r="X5" i="29"/>
  <c r="X6" i="29"/>
  <c r="AE2" i="29"/>
  <c r="AF2" i="29"/>
  <c r="AG2" i="29"/>
  <c r="AH2" i="29"/>
  <c r="AI2" i="29"/>
  <c r="AG16" i="29"/>
  <c r="AE8" i="29"/>
  <c r="AF8" i="29"/>
  <c r="AG8" i="29"/>
  <c r="AH8" i="29"/>
  <c r="AI8" i="29"/>
  <c r="AG22" i="29"/>
  <c r="AE9" i="29"/>
  <c r="AF9" i="29"/>
  <c r="AG9" i="29"/>
  <c r="AH9" i="29"/>
  <c r="AI9" i="29"/>
  <c r="AG23" i="29"/>
  <c r="AE10" i="29"/>
  <c r="AF10" i="29"/>
  <c r="AG10" i="29"/>
  <c r="AH10" i="29"/>
  <c r="AI10" i="29"/>
  <c r="AG24" i="29"/>
  <c r="AE11" i="29"/>
  <c r="AF11" i="29"/>
  <c r="AG11" i="29"/>
  <c r="AH11" i="29"/>
  <c r="AI11" i="29"/>
  <c r="AG25" i="29"/>
  <c r="AF16" i="29"/>
  <c r="AF22" i="29"/>
  <c r="AF23" i="29"/>
  <c r="AF24" i="29"/>
  <c r="AF25" i="29"/>
  <c r="D31" i="29"/>
  <c r="J29" i="29"/>
  <c r="I29" i="29"/>
  <c r="H29" i="29"/>
  <c r="G29" i="29"/>
  <c r="F16" i="29"/>
  <c r="D29" i="29"/>
  <c r="AK2" i="29"/>
  <c r="AQ16" i="29"/>
  <c r="AL2" i="29"/>
  <c r="AR16" i="29"/>
  <c r="AM2" i="29"/>
  <c r="AS16" i="29"/>
  <c r="AN2" i="29"/>
  <c r="AT16" i="29"/>
  <c r="AO2" i="29"/>
  <c r="AU16" i="29"/>
  <c r="AP2" i="29"/>
  <c r="AV16" i="29"/>
  <c r="AQ2" i="29"/>
  <c r="AW16" i="29"/>
  <c r="AR2" i="29"/>
  <c r="AX16" i="29"/>
  <c r="AS2" i="29"/>
  <c r="AY16" i="29"/>
  <c r="AT2" i="29"/>
  <c r="AZ16" i="29"/>
  <c r="AU2" i="29"/>
  <c r="BA16" i="29"/>
  <c r="AV2" i="29"/>
  <c r="BB16" i="29"/>
  <c r="AW2" i="29"/>
  <c r="BC16" i="29"/>
  <c r="AX2" i="29"/>
  <c r="BD16" i="29"/>
  <c r="AY2" i="29"/>
  <c r="BE16" i="29"/>
  <c r="AZ2" i="29"/>
  <c r="BF16" i="29"/>
  <c r="BA2" i="29"/>
  <c r="BG16" i="29"/>
  <c r="BB2" i="29"/>
  <c r="BH16" i="29"/>
  <c r="BC2" i="29"/>
  <c r="BI16" i="29"/>
  <c r="BD2" i="29"/>
  <c r="BJ16" i="29"/>
  <c r="BE2" i="29"/>
  <c r="BK16" i="29"/>
  <c r="BF2" i="29"/>
  <c r="BL16" i="29"/>
  <c r="BG2" i="29"/>
  <c r="BM16" i="29"/>
  <c r="BH2" i="29"/>
  <c r="BN16" i="29"/>
  <c r="AP16" i="29"/>
  <c r="AK3" i="29"/>
  <c r="AQ17" i="29"/>
  <c r="AL3" i="29"/>
  <c r="AR17" i="29"/>
  <c r="AM3" i="29"/>
  <c r="AS17" i="29"/>
  <c r="AN3" i="29"/>
  <c r="AT17" i="29"/>
  <c r="AO3" i="29"/>
  <c r="AU17" i="29"/>
  <c r="AP3" i="29"/>
  <c r="AV17" i="29"/>
  <c r="AQ3" i="29"/>
  <c r="AW17" i="29"/>
  <c r="AR3" i="29"/>
  <c r="AX17" i="29"/>
  <c r="AS3" i="29"/>
  <c r="AY17" i="29"/>
  <c r="AT3" i="29"/>
  <c r="AZ17" i="29"/>
  <c r="AU3" i="29"/>
  <c r="BA17" i="29"/>
  <c r="AV3" i="29"/>
  <c r="BB17" i="29"/>
  <c r="AW3" i="29"/>
  <c r="BC17" i="29"/>
  <c r="AX3" i="29"/>
  <c r="BD17" i="29"/>
  <c r="AY3" i="29"/>
  <c r="BE17" i="29"/>
  <c r="AZ3" i="29"/>
  <c r="BF17" i="29"/>
  <c r="BA3" i="29"/>
  <c r="BG17" i="29"/>
  <c r="BB3" i="29"/>
  <c r="BH17" i="29"/>
  <c r="BC3" i="29"/>
  <c r="BI17" i="29"/>
  <c r="BD3" i="29"/>
  <c r="BJ17" i="29"/>
  <c r="BE3" i="29"/>
  <c r="BK17" i="29"/>
  <c r="BF3" i="29"/>
  <c r="BL17" i="29"/>
  <c r="BG3" i="29"/>
  <c r="BM17" i="29"/>
  <c r="BH3" i="29"/>
  <c r="BN17" i="29"/>
  <c r="AP17" i="29"/>
  <c r="AK4" i="29"/>
  <c r="AQ18" i="29"/>
  <c r="AL4" i="29"/>
  <c r="AR18" i="29"/>
  <c r="AM4" i="29"/>
  <c r="AS18" i="29"/>
  <c r="AN4" i="29"/>
  <c r="AT18" i="29"/>
  <c r="AO4" i="29"/>
  <c r="AU18" i="29"/>
  <c r="AP4" i="29"/>
  <c r="AV18" i="29"/>
  <c r="AQ4" i="29"/>
  <c r="AW18" i="29"/>
  <c r="AR4" i="29"/>
  <c r="AX18" i="29"/>
  <c r="AS4" i="29"/>
  <c r="AY18" i="29"/>
  <c r="AT4" i="29"/>
  <c r="AZ18" i="29"/>
  <c r="AU4" i="29"/>
  <c r="BA18" i="29"/>
  <c r="AV4" i="29"/>
  <c r="BB18" i="29"/>
  <c r="AW4" i="29"/>
  <c r="BC18" i="29"/>
  <c r="AX4" i="29"/>
  <c r="BD18" i="29"/>
  <c r="AY4" i="29"/>
  <c r="BE18" i="29"/>
  <c r="AZ4" i="29"/>
  <c r="BF18" i="29"/>
  <c r="BA4" i="29"/>
  <c r="BG18" i="29"/>
  <c r="BB4" i="29"/>
  <c r="BH18" i="29"/>
  <c r="BC4" i="29"/>
  <c r="BI18" i="29"/>
  <c r="BD4" i="29"/>
  <c r="BJ18" i="29"/>
  <c r="BE4" i="29"/>
  <c r="BK18" i="29"/>
  <c r="BF4" i="29"/>
  <c r="BL18" i="29"/>
  <c r="BG4" i="29"/>
  <c r="BM18" i="29"/>
  <c r="BH4" i="29"/>
  <c r="BN18" i="29"/>
  <c r="AP18" i="29"/>
  <c r="AK5" i="29"/>
  <c r="AQ19" i="29"/>
  <c r="AL5" i="29"/>
  <c r="AR19" i="29"/>
  <c r="AM5" i="29"/>
  <c r="AS19" i="29"/>
  <c r="AN5" i="29"/>
  <c r="AT19" i="29"/>
  <c r="AO5" i="29"/>
  <c r="AU19" i="29"/>
  <c r="AP5" i="29"/>
  <c r="AV19" i="29"/>
  <c r="AQ5" i="29"/>
  <c r="AW19" i="29"/>
  <c r="AR5" i="29"/>
  <c r="AX19" i="29"/>
  <c r="AS5" i="29"/>
  <c r="AY19" i="29"/>
  <c r="AT5" i="29"/>
  <c r="AZ19" i="29"/>
  <c r="AU5" i="29"/>
  <c r="BA19" i="29"/>
  <c r="AV5" i="29"/>
  <c r="BB19" i="29"/>
  <c r="AW5" i="29"/>
  <c r="BC19" i="29"/>
  <c r="AX5" i="29"/>
  <c r="BD19" i="29"/>
  <c r="AY5" i="29"/>
  <c r="BE19" i="29"/>
  <c r="AZ5" i="29"/>
  <c r="BF19" i="29"/>
  <c r="BA5" i="29"/>
  <c r="BG19" i="29"/>
  <c r="BB5" i="29"/>
  <c r="BH19" i="29"/>
  <c r="BC5" i="29"/>
  <c r="BI19" i="29"/>
  <c r="BD5" i="29"/>
  <c r="BJ19" i="29"/>
  <c r="BE5" i="29"/>
  <c r="BK19" i="29"/>
  <c r="BF5" i="29"/>
  <c r="BL19" i="29"/>
  <c r="BG5" i="29"/>
  <c r="BM19" i="29"/>
  <c r="BH5" i="29"/>
  <c r="BN19" i="29"/>
  <c r="AP19" i="29"/>
  <c r="AK6" i="29"/>
  <c r="AQ20" i="29"/>
  <c r="AL6" i="29"/>
  <c r="AR20" i="29"/>
  <c r="AM6" i="29"/>
  <c r="AS20" i="29"/>
  <c r="AN6" i="29"/>
  <c r="AT20" i="29"/>
  <c r="AO6" i="29"/>
  <c r="AU20" i="29"/>
  <c r="AP6" i="29"/>
  <c r="AV20" i="29"/>
  <c r="AQ6" i="29"/>
  <c r="AW20" i="29"/>
  <c r="AR6" i="29"/>
  <c r="AX20" i="29"/>
  <c r="AS6" i="29"/>
  <c r="AY20" i="29"/>
  <c r="AT6" i="29"/>
  <c r="AZ20" i="29"/>
  <c r="AU6" i="29"/>
  <c r="BA20" i="29"/>
  <c r="AV6" i="29"/>
  <c r="BB20" i="29"/>
  <c r="AW6" i="29"/>
  <c r="BC20" i="29"/>
  <c r="AX6" i="29"/>
  <c r="BD20" i="29"/>
  <c r="AY6" i="29"/>
  <c r="BE20" i="29"/>
  <c r="AZ6" i="29"/>
  <c r="BF20" i="29"/>
  <c r="BA6" i="29"/>
  <c r="BG20" i="29"/>
  <c r="BB6" i="29"/>
  <c r="BH20" i="29"/>
  <c r="BC6" i="29"/>
  <c r="BI20" i="29"/>
  <c r="BD6" i="29"/>
  <c r="BJ20" i="29"/>
  <c r="BE6" i="29"/>
  <c r="BK20" i="29"/>
  <c r="BF6" i="29"/>
  <c r="BL20" i="29"/>
  <c r="BG6" i="29"/>
  <c r="BM20" i="29"/>
  <c r="BH6" i="29"/>
  <c r="BN20" i="29"/>
  <c r="AP20" i="29"/>
  <c r="AK7" i="29"/>
  <c r="AQ21" i="29"/>
  <c r="AL7" i="29"/>
  <c r="AR21" i="29"/>
  <c r="AM7" i="29"/>
  <c r="AS21" i="29"/>
  <c r="AN7" i="29"/>
  <c r="AT21" i="29"/>
  <c r="AO7" i="29"/>
  <c r="AU21" i="29"/>
  <c r="AP7" i="29"/>
  <c r="AV21" i="29"/>
  <c r="AQ7" i="29"/>
  <c r="AW21" i="29"/>
  <c r="AR7" i="29"/>
  <c r="AX21" i="29"/>
  <c r="AS7" i="29"/>
  <c r="AY21" i="29"/>
  <c r="AT7" i="29"/>
  <c r="AZ21" i="29"/>
  <c r="AU7" i="29"/>
  <c r="BA21" i="29"/>
  <c r="AV7" i="29"/>
  <c r="BB21" i="29"/>
  <c r="AW7" i="29"/>
  <c r="BC21" i="29"/>
  <c r="AX7" i="29"/>
  <c r="BD21" i="29"/>
  <c r="AY7" i="29"/>
  <c r="BE21" i="29"/>
  <c r="AZ7" i="29"/>
  <c r="BF21" i="29"/>
  <c r="BA7" i="29"/>
  <c r="BG21" i="29"/>
  <c r="BB7" i="29"/>
  <c r="BH21" i="29"/>
  <c r="BC7" i="29"/>
  <c r="BI21" i="29"/>
  <c r="BD7" i="29"/>
  <c r="BJ21" i="29"/>
  <c r="BE7" i="29"/>
  <c r="BK21" i="29"/>
  <c r="BF7" i="29"/>
  <c r="BL21" i="29"/>
  <c r="BG7" i="29"/>
  <c r="BM21" i="29"/>
  <c r="BH7" i="29"/>
  <c r="BN21" i="29"/>
  <c r="AP21" i="29"/>
  <c r="AK8" i="29"/>
  <c r="AQ22" i="29"/>
  <c r="AL8" i="29"/>
  <c r="AR22" i="29"/>
  <c r="AM8" i="29"/>
  <c r="AS22" i="29"/>
  <c r="AN8" i="29"/>
  <c r="AT22" i="29"/>
  <c r="AO8" i="29"/>
  <c r="AU22" i="29"/>
  <c r="AP8" i="29"/>
  <c r="AV22" i="29"/>
  <c r="AQ8" i="29"/>
  <c r="AW22" i="29"/>
  <c r="AR8" i="29"/>
  <c r="AX22" i="29"/>
  <c r="AS8" i="29"/>
  <c r="AY22" i="29"/>
  <c r="AT8" i="29"/>
  <c r="AZ22" i="29"/>
  <c r="AU8" i="29"/>
  <c r="BA22" i="29"/>
  <c r="AV8" i="29"/>
  <c r="BB22" i="29"/>
  <c r="AW8" i="29"/>
  <c r="BC22" i="29"/>
  <c r="AX8" i="29"/>
  <c r="BD22" i="29"/>
  <c r="AY8" i="29"/>
  <c r="BE22" i="29"/>
  <c r="AZ8" i="29"/>
  <c r="BF22" i="29"/>
  <c r="BA8" i="29"/>
  <c r="BG22" i="29"/>
  <c r="BB8" i="29"/>
  <c r="BH22" i="29"/>
  <c r="BC8" i="29"/>
  <c r="BI22" i="29"/>
  <c r="BD8" i="29"/>
  <c r="BJ22" i="29"/>
  <c r="BE8" i="29"/>
  <c r="BK22" i="29"/>
  <c r="BF8" i="29"/>
  <c r="BL22" i="29"/>
  <c r="BG8" i="29"/>
  <c r="BM22" i="29"/>
  <c r="BH8" i="29"/>
  <c r="BN22" i="29"/>
  <c r="AP22" i="29"/>
  <c r="AK9" i="29"/>
  <c r="AQ23" i="29"/>
  <c r="AL9" i="29"/>
  <c r="AR23" i="29"/>
  <c r="AM9" i="29"/>
  <c r="AS23" i="29"/>
  <c r="AN9" i="29"/>
  <c r="AT23" i="29"/>
  <c r="AO9" i="29"/>
  <c r="AU23" i="29"/>
  <c r="AP9" i="29"/>
  <c r="AV23" i="29"/>
  <c r="AQ9" i="29"/>
  <c r="AW23" i="29"/>
  <c r="AR9" i="29"/>
  <c r="AX23" i="29"/>
  <c r="AS9" i="29"/>
  <c r="AY23" i="29"/>
  <c r="AT9" i="29"/>
  <c r="AZ23" i="29"/>
  <c r="AU9" i="29"/>
  <c r="BA23" i="29"/>
  <c r="AV9" i="29"/>
  <c r="BB23" i="29"/>
  <c r="AW9" i="29"/>
  <c r="BC23" i="29"/>
  <c r="AX9" i="29"/>
  <c r="BD23" i="29"/>
  <c r="AY9" i="29"/>
  <c r="BE23" i="29"/>
  <c r="AZ9" i="29"/>
  <c r="BF23" i="29"/>
  <c r="BA9" i="29"/>
  <c r="BG23" i="29"/>
  <c r="BB9" i="29"/>
  <c r="BH23" i="29"/>
  <c r="BC9" i="29"/>
  <c r="BI23" i="29"/>
  <c r="BD9" i="29"/>
  <c r="BJ23" i="29"/>
  <c r="BE9" i="29"/>
  <c r="BK23" i="29"/>
  <c r="BF9" i="29"/>
  <c r="BL23" i="29"/>
  <c r="BG9" i="29"/>
  <c r="BM23" i="29"/>
  <c r="BH9" i="29"/>
  <c r="BN23" i="29"/>
  <c r="AP23" i="29"/>
  <c r="AK10" i="29"/>
  <c r="AQ24" i="29"/>
  <c r="AL10" i="29"/>
  <c r="AR24" i="29"/>
  <c r="AM10" i="29"/>
  <c r="AS24" i="29"/>
  <c r="AN10" i="29"/>
  <c r="AT24" i="29"/>
  <c r="AO10" i="29"/>
  <c r="AU24" i="29"/>
  <c r="AP10" i="29"/>
  <c r="AV24" i="29"/>
  <c r="AQ10" i="29"/>
  <c r="AW24" i="29"/>
  <c r="AR10" i="29"/>
  <c r="AX24" i="29"/>
  <c r="AS10" i="29"/>
  <c r="AY24" i="29"/>
  <c r="AT10" i="29"/>
  <c r="AZ24" i="29"/>
  <c r="AU10" i="29"/>
  <c r="BA24" i="29"/>
  <c r="AV10" i="29"/>
  <c r="BB24" i="29"/>
  <c r="AW10" i="29"/>
  <c r="BC24" i="29"/>
  <c r="AX10" i="29"/>
  <c r="BD24" i="29"/>
  <c r="AY10" i="29"/>
  <c r="BE24" i="29"/>
  <c r="AZ10" i="29"/>
  <c r="BF24" i="29"/>
  <c r="BA10" i="29"/>
  <c r="BG24" i="29"/>
  <c r="BB10" i="29"/>
  <c r="BH24" i="29"/>
  <c r="BC10" i="29"/>
  <c r="BI24" i="29"/>
  <c r="BD10" i="29"/>
  <c r="BJ24" i="29"/>
  <c r="BE10" i="29"/>
  <c r="BK24" i="29"/>
  <c r="BF10" i="29"/>
  <c r="BL24" i="29"/>
  <c r="BG10" i="29"/>
  <c r="BM24" i="29"/>
  <c r="BH10" i="29"/>
  <c r="BN24" i="29"/>
  <c r="AP24" i="29"/>
  <c r="AK11" i="29"/>
  <c r="AQ25" i="29"/>
  <c r="AL11" i="29"/>
  <c r="AR25" i="29"/>
  <c r="AM11" i="29"/>
  <c r="AS25" i="29"/>
  <c r="AN11" i="29"/>
  <c r="AT25" i="29"/>
  <c r="AO11" i="29"/>
  <c r="AU25" i="29"/>
  <c r="AP11" i="29"/>
  <c r="AV25" i="29"/>
  <c r="AQ11" i="29"/>
  <c r="AW25" i="29"/>
  <c r="AR11" i="29"/>
  <c r="AX25" i="29"/>
  <c r="AS11" i="29"/>
  <c r="AY25" i="29"/>
  <c r="AT11" i="29"/>
  <c r="AZ25" i="29"/>
  <c r="AU11" i="29"/>
  <c r="BA25" i="29"/>
  <c r="AV11" i="29"/>
  <c r="BB25" i="29"/>
  <c r="AW11" i="29"/>
  <c r="BC25" i="29"/>
  <c r="AX11" i="29"/>
  <c r="BD25" i="29"/>
  <c r="AY11" i="29"/>
  <c r="BE25" i="29"/>
  <c r="AZ11" i="29"/>
  <c r="BF25" i="29"/>
  <c r="BA11" i="29"/>
  <c r="BG25" i="29"/>
  <c r="BB11" i="29"/>
  <c r="BH25" i="29"/>
  <c r="BC11" i="29"/>
  <c r="BI25" i="29"/>
  <c r="BD11" i="29"/>
  <c r="BJ25" i="29"/>
  <c r="BE11" i="29"/>
  <c r="BK25" i="29"/>
  <c r="BF11" i="29"/>
  <c r="BL25" i="29"/>
  <c r="BG11" i="29"/>
  <c r="BM25" i="29"/>
  <c r="BH11" i="29"/>
  <c r="BN25" i="29"/>
  <c r="AP25" i="29"/>
  <c r="AK12" i="29"/>
  <c r="AQ26" i="29"/>
  <c r="AL12" i="29"/>
  <c r="AR26" i="29"/>
  <c r="AM12" i="29"/>
  <c r="AS26" i="29"/>
  <c r="AN12" i="29"/>
  <c r="AT26" i="29"/>
  <c r="AO12" i="29"/>
  <c r="AU26" i="29"/>
  <c r="AP12" i="29"/>
  <c r="AV26" i="29"/>
  <c r="AQ12" i="29"/>
  <c r="AW26" i="29"/>
  <c r="AR12" i="29"/>
  <c r="AX26" i="29"/>
  <c r="AS12" i="29"/>
  <c r="AY26" i="29"/>
  <c r="AT12" i="29"/>
  <c r="AZ26" i="29"/>
  <c r="AU12" i="29"/>
  <c r="BA26" i="29"/>
  <c r="AV12" i="29"/>
  <c r="BB26" i="29"/>
  <c r="AW12" i="29"/>
  <c r="BC26" i="29"/>
  <c r="AX12" i="29"/>
  <c r="BD26" i="29"/>
  <c r="AY12" i="29"/>
  <c r="BE26" i="29"/>
  <c r="AZ12" i="29"/>
  <c r="BF26" i="29"/>
  <c r="BA12" i="29"/>
  <c r="BG26" i="29"/>
  <c r="BB12" i="29"/>
  <c r="BH26" i="29"/>
  <c r="BC12" i="29"/>
  <c r="BI26" i="29"/>
  <c r="BD12" i="29"/>
  <c r="BJ26" i="29"/>
  <c r="BE12" i="29"/>
  <c r="BK26" i="29"/>
  <c r="BF12" i="29"/>
  <c r="BL26" i="29"/>
  <c r="BG12" i="29"/>
  <c r="BM26" i="29"/>
  <c r="BH12" i="29"/>
  <c r="BN26" i="29"/>
  <c r="AP26" i="29"/>
  <c r="AK13" i="29"/>
  <c r="AQ27" i="29"/>
  <c r="AL13" i="29"/>
  <c r="AR27" i="29"/>
  <c r="AM13" i="29"/>
  <c r="AS27" i="29"/>
  <c r="AN13" i="29"/>
  <c r="AT27" i="29"/>
  <c r="AO13" i="29"/>
  <c r="AU27" i="29"/>
  <c r="AP13" i="29"/>
  <c r="AV27" i="29"/>
  <c r="AQ13" i="29"/>
  <c r="AW27" i="29"/>
  <c r="AR13" i="29"/>
  <c r="AX27" i="29"/>
  <c r="AS13" i="29"/>
  <c r="AY27" i="29"/>
  <c r="AT13" i="29"/>
  <c r="AZ27" i="29"/>
  <c r="AU13" i="29"/>
  <c r="BA27" i="29"/>
  <c r="AV13" i="29"/>
  <c r="BB27" i="29"/>
  <c r="AW13" i="29"/>
  <c r="BC27" i="29"/>
  <c r="AX13" i="29"/>
  <c r="BD27" i="29"/>
  <c r="AY13" i="29"/>
  <c r="BE27" i="29"/>
  <c r="AZ13" i="29"/>
  <c r="BF27" i="29"/>
  <c r="BA13" i="29"/>
  <c r="BG27" i="29"/>
  <c r="BB13" i="29"/>
  <c r="BH27" i="29"/>
  <c r="BC13" i="29"/>
  <c r="BI27" i="29"/>
  <c r="BD13" i="29"/>
  <c r="BJ27" i="29"/>
  <c r="BE13" i="29"/>
  <c r="BK27" i="29"/>
  <c r="BF13" i="29"/>
  <c r="BL27" i="29"/>
  <c r="BG13" i="29"/>
  <c r="BM27" i="29"/>
  <c r="BH13" i="29"/>
  <c r="BN27" i="29"/>
  <c r="AP27" i="29"/>
  <c r="AP28" i="29"/>
  <c r="AN16" i="29"/>
  <c r="AN17" i="29"/>
  <c r="AN18" i="29"/>
  <c r="AN19" i="29"/>
  <c r="AN20" i="29"/>
  <c r="AN21" i="29"/>
  <c r="AN22" i="29"/>
  <c r="AN23" i="29"/>
  <c r="AN24" i="29"/>
  <c r="AN25" i="29"/>
  <c r="AN26" i="29"/>
  <c r="AN27" i="29"/>
  <c r="AN28" i="29"/>
  <c r="AM16" i="29"/>
  <c r="AM17" i="29"/>
  <c r="AM18" i="29"/>
  <c r="AM19" i="29"/>
  <c r="AM20" i="29"/>
  <c r="AM21" i="29"/>
  <c r="AM22" i="29"/>
  <c r="AM23" i="29"/>
  <c r="AM24" i="29"/>
  <c r="AM25" i="29"/>
  <c r="AM26" i="29"/>
  <c r="AM27" i="29"/>
  <c r="AM28" i="29"/>
  <c r="AL16" i="29"/>
  <c r="AL17" i="29"/>
  <c r="AL18" i="29"/>
  <c r="AL19" i="29"/>
  <c r="AL20" i="29"/>
  <c r="AL21" i="29"/>
  <c r="AL22" i="29"/>
  <c r="AL23" i="29"/>
  <c r="AL24" i="29"/>
  <c r="AL25" i="29"/>
  <c r="AL26" i="29"/>
  <c r="AL27" i="29"/>
  <c r="AL28" i="29"/>
  <c r="AK16" i="29"/>
  <c r="AK17" i="29"/>
  <c r="AK18" i="29"/>
  <c r="AK19" i="29"/>
  <c r="AK20" i="29"/>
  <c r="AK21" i="29"/>
  <c r="AK22" i="29"/>
  <c r="AK23" i="29"/>
  <c r="AK24" i="29"/>
  <c r="AK25" i="29"/>
  <c r="AK26" i="29"/>
  <c r="AK27" i="29"/>
  <c r="AK28" i="29"/>
  <c r="Z2" i="29"/>
  <c r="AA2" i="29"/>
  <c r="AB2" i="29"/>
  <c r="AC2" i="29"/>
  <c r="AA16" i="29"/>
  <c r="Z3" i="29"/>
  <c r="AA3" i="29"/>
  <c r="AB3" i="29"/>
  <c r="AC3" i="29"/>
  <c r="AA17" i="29"/>
  <c r="Z4" i="29"/>
  <c r="AA4" i="29"/>
  <c r="AB4" i="29"/>
  <c r="AC4" i="29"/>
  <c r="AA18" i="29"/>
  <c r="Z5" i="29"/>
  <c r="AA5" i="29"/>
  <c r="AB5" i="29"/>
  <c r="AC5" i="29"/>
  <c r="AA19" i="29"/>
  <c r="Z6" i="29"/>
  <c r="AA6" i="29"/>
  <c r="AB6" i="29"/>
  <c r="AC6" i="29"/>
  <c r="AA20" i="29"/>
  <c r="Z7" i="29"/>
  <c r="AA7" i="29"/>
  <c r="AB7" i="29"/>
  <c r="AC7" i="29"/>
  <c r="AA21" i="29"/>
  <c r="Z8" i="29"/>
  <c r="AA8" i="29"/>
  <c r="AB8" i="29"/>
  <c r="AC8" i="29"/>
  <c r="AA22" i="29"/>
  <c r="Z9" i="29"/>
  <c r="AA9" i="29"/>
  <c r="AB9" i="29"/>
  <c r="AC9" i="29"/>
  <c r="AA23" i="29"/>
  <c r="Z10" i="29"/>
  <c r="AA10" i="29"/>
  <c r="AB10" i="29"/>
  <c r="AC10" i="29"/>
  <c r="AA24" i="29"/>
  <c r="Z11" i="29"/>
  <c r="AA11" i="29"/>
  <c r="AB11" i="29"/>
  <c r="AC11" i="29"/>
  <c r="AA25" i="29"/>
  <c r="Z12" i="29"/>
  <c r="AA12" i="29"/>
  <c r="AB12" i="29"/>
  <c r="AC12" i="29"/>
  <c r="AA26" i="29"/>
  <c r="Z13" i="29"/>
  <c r="AA13" i="29"/>
  <c r="AB13" i="29"/>
  <c r="AC13" i="29"/>
  <c r="AA27" i="29"/>
  <c r="AA28" i="29"/>
  <c r="Z16" i="29"/>
  <c r="Z17" i="29"/>
  <c r="Z18" i="29"/>
  <c r="Z19" i="29"/>
  <c r="Z20" i="29"/>
  <c r="Z21" i="29"/>
  <c r="Z22" i="29"/>
  <c r="Z23" i="29"/>
  <c r="Z24" i="29"/>
  <c r="Z25" i="29"/>
  <c r="Z26" i="29"/>
  <c r="Z27" i="29"/>
  <c r="Z28" i="29"/>
  <c r="S28" i="29"/>
  <c r="R28" i="29"/>
  <c r="Q28" i="29"/>
  <c r="P28" i="29"/>
  <c r="N28" i="29"/>
  <c r="M28" i="29"/>
  <c r="L28" i="29"/>
  <c r="K28" i="29"/>
  <c r="D27" i="29"/>
  <c r="G26" i="29"/>
  <c r="N25" i="29"/>
  <c r="M25" i="29"/>
  <c r="L25" i="29"/>
  <c r="K25" i="29"/>
  <c r="D25" i="29"/>
  <c r="G24" i="29"/>
  <c r="H16" i="29"/>
  <c r="D23" i="29"/>
  <c r="G22" i="29"/>
  <c r="G16" i="29"/>
  <c r="D21" i="29"/>
  <c r="G20" i="29"/>
  <c r="M19" i="29"/>
  <c r="W16" i="29"/>
  <c r="V16" i="29"/>
  <c r="U16" i="29"/>
  <c r="E50" i="28"/>
  <c r="A50" i="28"/>
  <c r="E49" i="28"/>
  <c r="A49" i="28"/>
  <c r="E48" i="28"/>
  <c r="A48" i="28"/>
  <c r="E47" i="28"/>
  <c r="A47" i="28"/>
  <c r="E46" i="28"/>
  <c r="A46" i="28"/>
  <c r="E45" i="28"/>
  <c r="A45" i="28"/>
  <c r="E44" i="28"/>
  <c r="A44" i="28"/>
  <c r="E43" i="28"/>
  <c r="A43" i="28"/>
  <c r="E42" i="28"/>
  <c r="A42" i="28"/>
  <c r="E41" i="28"/>
  <c r="AE18" i="28"/>
  <c r="A41" i="28"/>
  <c r="E40" i="28"/>
  <c r="AE17" i="28"/>
  <c r="A40" i="28"/>
  <c r="E39" i="28"/>
  <c r="AE16" i="28"/>
  <c r="A39" i="28"/>
  <c r="X10" i="28"/>
  <c r="X4" i="28"/>
  <c r="X5" i="28"/>
  <c r="X6" i="28"/>
  <c r="AE2" i="28"/>
  <c r="AF2" i="28"/>
  <c r="AG2" i="28"/>
  <c r="AH2" i="28"/>
  <c r="AI2" i="28"/>
  <c r="AG16" i="28"/>
  <c r="AE3" i="28"/>
  <c r="AF3" i="28"/>
  <c r="AG3" i="28"/>
  <c r="AH3" i="28"/>
  <c r="AI3" i="28"/>
  <c r="AG17" i="28"/>
  <c r="AE4" i="28"/>
  <c r="AF4" i="28"/>
  <c r="AG4" i="28"/>
  <c r="AH4" i="28"/>
  <c r="AI4" i="28"/>
  <c r="AG18" i="28"/>
  <c r="AE6" i="28"/>
  <c r="AF6" i="28"/>
  <c r="AG6" i="28"/>
  <c r="AH6" i="28"/>
  <c r="AI6" i="28"/>
  <c r="AG20" i="28"/>
  <c r="AE8" i="28"/>
  <c r="AF8" i="28"/>
  <c r="AG8" i="28"/>
  <c r="AH8" i="28"/>
  <c r="AI8" i="28"/>
  <c r="AG22" i="28"/>
  <c r="AE12" i="28"/>
  <c r="AF12" i="28"/>
  <c r="AG12" i="28"/>
  <c r="AH12" i="28"/>
  <c r="AI12" i="28"/>
  <c r="AG26" i="28"/>
  <c r="AE13" i="28"/>
  <c r="AF13" i="28"/>
  <c r="AG13" i="28"/>
  <c r="AH13" i="28"/>
  <c r="AI13" i="28"/>
  <c r="AG27" i="28"/>
  <c r="AF16" i="28"/>
  <c r="AF17" i="28"/>
  <c r="AF18" i="28"/>
  <c r="AF20" i="28"/>
  <c r="AF22" i="28"/>
  <c r="AF26" i="28"/>
  <c r="AF27" i="28"/>
  <c r="D31" i="28"/>
  <c r="J29" i="28"/>
  <c r="I29" i="28"/>
  <c r="H29" i="28"/>
  <c r="G29" i="28"/>
  <c r="F16" i="28"/>
  <c r="D29" i="28"/>
  <c r="AK2" i="28"/>
  <c r="AQ16" i="28"/>
  <c r="AL2" i="28"/>
  <c r="AR16" i="28"/>
  <c r="AM2" i="28"/>
  <c r="AS16" i="28"/>
  <c r="AN2" i="28"/>
  <c r="AT16" i="28"/>
  <c r="AO2" i="28"/>
  <c r="AU16" i="28"/>
  <c r="AP2" i="28"/>
  <c r="AV16" i="28"/>
  <c r="AQ2" i="28"/>
  <c r="AW16" i="28"/>
  <c r="AR2" i="28"/>
  <c r="AX16" i="28"/>
  <c r="AS2" i="28"/>
  <c r="AY16" i="28"/>
  <c r="AT2" i="28"/>
  <c r="AZ16" i="28"/>
  <c r="AU2" i="28"/>
  <c r="BA16" i="28"/>
  <c r="AV2" i="28"/>
  <c r="BB16" i="28"/>
  <c r="AW2" i="28"/>
  <c r="BC16" i="28"/>
  <c r="AX2" i="28"/>
  <c r="BD16" i="28"/>
  <c r="AY2" i="28"/>
  <c r="BE16" i="28"/>
  <c r="AZ2" i="28"/>
  <c r="BF16" i="28"/>
  <c r="BA2" i="28"/>
  <c r="BG16" i="28"/>
  <c r="BB2" i="28"/>
  <c r="BH16" i="28"/>
  <c r="BC2" i="28"/>
  <c r="BI16" i="28"/>
  <c r="BD2" i="28"/>
  <c r="BJ16" i="28"/>
  <c r="BE2" i="28"/>
  <c r="BK16" i="28"/>
  <c r="BF2" i="28"/>
  <c r="BL16" i="28"/>
  <c r="BG2" i="28"/>
  <c r="BM16" i="28"/>
  <c r="BH2" i="28"/>
  <c r="BN16" i="28"/>
  <c r="AP16" i="28"/>
  <c r="AK3" i="28"/>
  <c r="AQ17" i="28"/>
  <c r="AL3" i="28"/>
  <c r="AR17" i="28"/>
  <c r="AM3" i="28"/>
  <c r="AS17" i="28"/>
  <c r="AN3" i="28"/>
  <c r="AT17" i="28"/>
  <c r="AO3" i="28"/>
  <c r="AU17" i="28"/>
  <c r="AP3" i="28"/>
  <c r="AV17" i="28"/>
  <c r="AQ3" i="28"/>
  <c r="AW17" i="28"/>
  <c r="AR3" i="28"/>
  <c r="AX17" i="28"/>
  <c r="AS3" i="28"/>
  <c r="AY17" i="28"/>
  <c r="AT3" i="28"/>
  <c r="AZ17" i="28"/>
  <c r="AU3" i="28"/>
  <c r="BA17" i="28"/>
  <c r="AV3" i="28"/>
  <c r="BB17" i="28"/>
  <c r="AW3" i="28"/>
  <c r="BC17" i="28"/>
  <c r="AX3" i="28"/>
  <c r="BD17" i="28"/>
  <c r="AY3" i="28"/>
  <c r="BE17" i="28"/>
  <c r="AZ3" i="28"/>
  <c r="BF17" i="28"/>
  <c r="BA3" i="28"/>
  <c r="BG17" i="28"/>
  <c r="BB3" i="28"/>
  <c r="BH17" i="28"/>
  <c r="BC3" i="28"/>
  <c r="BI17" i="28"/>
  <c r="BD3" i="28"/>
  <c r="BJ17" i="28"/>
  <c r="BE3" i="28"/>
  <c r="BK17" i="28"/>
  <c r="BF3" i="28"/>
  <c r="BL17" i="28"/>
  <c r="BG3" i="28"/>
  <c r="BM17" i="28"/>
  <c r="BH3" i="28"/>
  <c r="BN17" i="28"/>
  <c r="AP17" i="28"/>
  <c r="AK4" i="28"/>
  <c r="AQ18" i="28"/>
  <c r="AL4" i="28"/>
  <c r="AR18" i="28"/>
  <c r="AM4" i="28"/>
  <c r="AS18" i="28"/>
  <c r="AN4" i="28"/>
  <c r="AT18" i="28"/>
  <c r="AO4" i="28"/>
  <c r="AU18" i="28"/>
  <c r="AP4" i="28"/>
  <c r="AV18" i="28"/>
  <c r="AQ4" i="28"/>
  <c r="AW18" i="28"/>
  <c r="AR4" i="28"/>
  <c r="AX18" i="28"/>
  <c r="AS4" i="28"/>
  <c r="AY18" i="28"/>
  <c r="AT4" i="28"/>
  <c r="AZ18" i="28"/>
  <c r="AU4" i="28"/>
  <c r="BA18" i="28"/>
  <c r="AV4" i="28"/>
  <c r="BB18" i="28"/>
  <c r="AW4" i="28"/>
  <c r="BC18" i="28"/>
  <c r="AX4" i="28"/>
  <c r="BD18" i="28"/>
  <c r="AY4" i="28"/>
  <c r="BE18" i="28"/>
  <c r="AZ4" i="28"/>
  <c r="BF18" i="28"/>
  <c r="BA4" i="28"/>
  <c r="BG18" i="28"/>
  <c r="BB4" i="28"/>
  <c r="BH18" i="28"/>
  <c r="BC4" i="28"/>
  <c r="BI18" i="28"/>
  <c r="BD4" i="28"/>
  <c r="BJ18" i="28"/>
  <c r="BE4" i="28"/>
  <c r="BK18" i="28"/>
  <c r="BF4" i="28"/>
  <c r="BL18" i="28"/>
  <c r="BG4" i="28"/>
  <c r="BM18" i="28"/>
  <c r="BH4" i="28"/>
  <c r="BN18" i="28"/>
  <c r="AP18" i="28"/>
  <c r="AK5" i="28"/>
  <c r="AQ19" i="28"/>
  <c r="AL5" i="28"/>
  <c r="AR19" i="28"/>
  <c r="AM5" i="28"/>
  <c r="AS19" i="28"/>
  <c r="AN5" i="28"/>
  <c r="AT19" i="28"/>
  <c r="AO5" i="28"/>
  <c r="AU19" i="28"/>
  <c r="AP5" i="28"/>
  <c r="AV19" i="28"/>
  <c r="AQ5" i="28"/>
  <c r="AW19" i="28"/>
  <c r="AR5" i="28"/>
  <c r="AX19" i="28"/>
  <c r="AS5" i="28"/>
  <c r="AY19" i="28"/>
  <c r="AT5" i="28"/>
  <c r="AZ19" i="28"/>
  <c r="AU5" i="28"/>
  <c r="BA19" i="28"/>
  <c r="AV5" i="28"/>
  <c r="BB19" i="28"/>
  <c r="AW5" i="28"/>
  <c r="BC19" i="28"/>
  <c r="AX5" i="28"/>
  <c r="BD19" i="28"/>
  <c r="AY5" i="28"/>
  <c r="BE19" i="28"/>
  <c r="AZ5" i="28"/>
  <c r="BF19" i="28"/>
  <c r="BA5" i="28"/>
  <c r="BG19" i="28"/>
  <c r="BB5" i="28"/>
  <c r="BH19" i="28"/>
  <c r="BC5" i="28"/>
  <c r="BI19" i="28"/>
  <c r="BD5" i="28"/>
  <c r="BJ19" i="28"/>
  <c r="BE5" i="28"/>
  <c r="BK19" i="28"/>
  <c r="BF5" i="28"/>
  <c r="BL19" i="28"/>
  <c r="BG5" i="28"/>
  <c r="BM19" i="28"/>
  <c r="BH5" i="28"/>
  <c r="BN19" i="28"/>
  <c r="AP19" i="28"/>
  <c r="AK6" i="28"/>
  <c r="AQ20" i="28"/>
  <c r="AL6" i="28"/>
  <c r="AR20" i="28"/>
  <c r="AM6" i="28"/>
  <c r="AS20" i="28"/>
  <c r="AN6" i="28"/>
  <c r="AT20" i="28"/>
  <c r="AO6" i="28"/>
  <c r="AU20" i="28"/>
  <c r="AP6" i="28"/>
  <c r="AV20" i="28"/>
  <c r="AQ6" i="28"/>
  <c r="AW20" i="28"/>
  <c r="AR6" i="28"/>
  <c r="AX20" i="28"/>
  <c r="AS6" i="28"/>
  <c r="AY20" i="28"/>
  <c r="AT6" i="28"/>
  <c r="AZ20" i="28"/>
  <c r="AU6" i="28"/>
  <c r="BA20" i="28"/>
  <c r="AV6" i="28"/>
  <c r="BB20" i="28"/>
  <c r="AW6" i="28"/>
  <c r="BC20" i="28"/>
  <c r="AX6" i="28"/>
  <c r="BD20" i="28"/>
  <c r="AY6" i="28"/>
  <c r="BE20" i="28"/>
  <c r="AZ6" i="28"/>
  <c r="BF20" i="28"/>
  <c r="BA6" i="28"/>
  <c r="BG20" i="28"/>
  <c r="BB6" i="28"/>
  <c r="BH20" i="28"/>
  <c r="BC6" i="28"/>
  <c r="BI20" i="28"/>
  <c r="BD6" i="28"/>
  <c r="BJ20" i="28"/>
  <c r="BE6" i="28"/>
  <c r="BK20" i="28"/>
  <c r="BF6" i="28"/>
  <c r="BL20" i="28"/>
  <c r="BG6" i="28"/>
  <c r="BM20" i="28"/>
  <c r="BH6" i="28"/>
  <c r="BN20" i="28"/>
  <c r="AP20" i="28"/>
  <c r="AK7" i="28"/>
  <c r="AQ21" i="28"/>
  <c r="AL7" i="28"/>
  <c r="AR21" i="28"/>
  <c r="AM7" i="28"/>
  <c r="AS21" i="28"/>
  <c r="AN7" i="28"/>
  <c r="AT21" i="28"/>
  <c r="AO7" i="28"/>
  <c r="AU21" i="28"/>
  <c r="AP7" i="28"/>
  <c r="AV21" i="28"/>
  <c r="AQ7" i="28"/>
  <c r="AW21" i="28"/>
  <c r="AR7" i="28"/>
  <c r="AX21" i="28"/>
  <c r="AS7" i="28"/>
  <c r="AY21" i="28"/>
  <c r="AT7" i="28"/>
  <c r="AZ21" i="28"/>
  <c r="AU7" i="28"/>
  <c r="BA21" i="28"/>
  <c r="AV7" i="28"/>
  <c r="BB21" i="28"/>
  <c r="AW7" i="28"/>
  <c r="BC21" i="28"/>
  <c r="AX7" i="28"/>
  <c r="BD21" i="28"/>
  <c r="AY7" i="28"/>
  <c r="BE21" i="28"/>
  <c r="AZ7" i="28"/>
  <c r="BF21" i="28"/>
  <c r="BA7" i="28"/>
  <c r="BG21" i="28"/>
  <c r="BB7" i="28"/>
  <c r="BH21" i="28"/>
  <c r="BC7" i="28"/>
  <c r="BI21" i="28"/>
  <c r="BD7" i="28"/>
  <c r="BJ21" i="28"/>
  <c r="BE7" i="28"/>
  <c r="BK21" i="28"/>
  <c r="BF7" i="28"/>
  <c r="BL21" i="28"/>
  <c r="BG7" i="28"/>
  <c r="BM21" i="28"/>
  <c r="BH7" i="28"/>
  <c r="BN21" i="28"/>
  <c r="AP21" i="28"/>
  <c r="AK8" i="28"/>
  <c r="AQ22" i="28"/>
  <c r="AL8" i="28"/>
  <c r="AR22" i="28"/>
  <c r="AM8" i="28"/>
  <c r="AS22" i="28"/>
  <c r="AN8" i="28"/>
  <c r="AT22" i="28"/>
  <c r="AO8" i="28"/>
  <c r="AU22" i="28"/>
  <c r="AP8" i="28"/>
  <c r="AV22" i="28"/>
  <c r="AQ8" i="28"/>
  <c r="AW22" i="28"/>
  <c r="AR8" i="28"/>
  <c r="AX22" i="28"/>
  <c r="AS8" i="28"/>
  <c r="AY22" i="28"/>
  <c r="AT8" i="28"/>
  <c r="AZ22" i="28"/>
  <c r="AU8" i="28"/>
  <c r="BA22" i="28"/>
  <c r="AV8" i="28"/>
  <c r="BB22" i="28"/>
  <c r="AW8" i="28"/>
  <c r="BC22" i="28"/>
  <c r="AX8" i="28"/>
  <c r="BD22" i="28"/>
  <c r="AY8" i="28"/>
  <c r="BE22" i="28"/>
  <c r="AZ8" i="28"/>
  <c r="BF22" i="28"/>
  <c r="BA8" i="28"/>
  <c r="BG22" i="28"/>
  <c r="BB8" i="28"/>
  <c r="BH22" i="28"/>
  <c r="BC8" i="28"/>
  <c r="BI22" i="28"/>
  <c r="BD8" i="28"/>
  <c r="BJ22" i="28"/>
  <c r="BE8" i="28"/>
  <c r="BK22" i="28"/>
  <c r="BF8" i="28"/>
  <c r="BL22" i="28"/>
  <c r="BG8" i="28"/>
  <c r="BM22" i="28"/>
  <c r="BH8" i="28"/>
  <c r="BN22" i="28"/>
  <c r="AP22" i="28"/>
  <c r="AK9" i="28"/>
  <c r="AQ23" i="28"/>
  <c r="AL9" i="28"/>
  <c r="AR23" i="28"/>
  <c r="AM9" i="28"/>
  <c r="AS23" i="28"/>
  <c r="AN9" i="28"/>
  <c r="AT23" i="28"/>
  <c r="AO9" i="28"/>
  <c r="AU23" i="28"/>
  <c r="AP9" i="28"/>
  <c r="AV23" i="28"/>
  <c r="AQ9" i="28"/>
  <c r="AW23" i="28"/>
  <c r="AR9" i="28"/>
  <c r="AX23" i="28"/>
  <c r="AS9" i="28"/>
  <c r="AY23" i="28"/>
  <c r="AT9" i="28"/>
  <c r="AZ23" i="28"/>
  <c r="AU9" i="28"/>
  <c r="BA23" i="28"/>
  <c r="AV9" i="28"/>
  <c r="BB23" i="28"/>
  <c r="AW9" i="28"/>
  <c r="BC23" i="28"/>
  <c r="AX9" i="28"/>
  <c r="BD23" i="28"/>
  <c r="AY9" i="28"/>
  <c r="BE23" i="28"/>
  <c r="AZ9" i="28"/>
  <c r="BF23" i="28"/>
  <c r="BA9" i="28"/>
  <c r="BG23" i="28"/>
  <c r="BB9" i="28"/>
  <c r="BH23" i="28"/>
  <c r="BC9" i="28"/>
  <c r="BI23" i="28"/>
  <c r="BD9" i="28"/>
  <c r="BJ23" i="28"/>
  <c r="BE9" i="28"/>
  <c r="BK23" i="28"/>
  <c r="BF9" i="28"/>
  <c r="BL23" i="28"/>
  <c r="BG9" i="28"/>
  <c r="BM23" i="28"/>
  <c r="BH9" i="28"/>
  <c r="BN23" i="28"/>
  <c r="AP23" i="28"/>
  <c r="AK10" i="28"/>
  <c r="AQ24" i="28"/>
  <c r="AL10" i="28"/>
  <c r="AR24" i="28"/>
  <c r="AM10" i="28"/>
  <c r="AS24" i="28"/>
  <c r="AN10" i="28"/>
  <c r="AT24" i="28"/>
  <c r="AO10" i="28"/>
  <c r="AU24" i="28"/>
  <c r="AP10" i="28"/>
  <c r="AV24" i="28"/>
  <c r="AQ10" i="28"/>
  <c r="AW24" i="28"/>
  <c r="AR10" i="28"/>
  <c r="AX24" i="28"/>
  <c r="AS10" i="28"/>
  <c r="AY24" i="28"/>
  <c r="AT10" i="28"/>
  <c r="AZ24" i="28"/>
  <c r="AU10" i="28"/>
  <c r="BA24" i="28"/>
  <c r="AV10" i="28"/>
  <c r="BB24" i="28"/>
  <c r="AW10" i="28"/>
  <c r="BC24" i="28"/>
  <c r="AX10" i="28"/>
  <c r="BD24" i="28"/>
  <c r="AY10" i="28"/>
  <c r="BE24" i="28"/>
  <c r="AZ10" i="28"/>
  <c r="BF24" i="28"/>
  <c r="BA10" i="28"/>
  <c r="BG24" i="28"/>
  <c r="BB10" i="28"/>
  <c r="BH24" i="28"/>
  <c r="BC10" i="28"/>
  <c r="BI24" i="28"/>
  <c r="BD10" i="28"/>
  <c r="BJ24" i="28"/>
  <c r="BE10" i="28"/>
  <c r="BK24" i="28"/>
  <c r="BF10" i="28"/>
  <c r="BL24" i="28"/>
  <c r="BG10" i="28"/>
  <c r="BM24" i="28"/>
  <c r="BH10" i="28"/>
  <c r="BN24" i="28"/>
  <c r="AP24" i="28"/>
  <c r="AK11" i="28"/>
  <c r="AQ25" i="28"/>
  <c r="AL11" i="28"/>
  <c r="AR25" i="28"/>
  <c r="AM11" i="28"/>
  <c r="AS25" i="28"/>
  <c r="AN11" i="28"/>
  <c r="AT25" i="28"/>
  <c r="AO11" i="28"/>
  <c r="AU25" i="28"/>
  <c r="AP11" i="28"/>
  <c r="AV25" i="28"/>
  <c r="AQ11" i="28"/>
  <c r="AW25" i="28"/>
  <c r="AR11" i="28"/>
  <c r="AX25" i="28"/>
  <c r="AS11" i="28"/>
  <c r="AY25" i="28"/>
  <c r="AT11" i="28"/>
  <c r="AZ25" i="28"/>
  <c r="AU11" i="28"/>
  <c r="BA25" i="28"/>
  <c r="AV11" i="28"/>
  <c r="BB25" i="28"/>
  <c r="AW11" i="28"/>
  <c r="BC25" i="28"/>
  <c r="AX11" i="28"/>
  <c r="BD25" i="28"/>
  <c r="AY11" i="28"/>
  <c r="BE25" i="28"/>
  <c r="AZ11" i="28"/>
  <c r="BF25" i="28"/>
  <c r="BA11" i="28"/>
  <c r="BG25" i="28"/>
  <c r="BB11" i="28"/>
  <c r="BH25" i="28"/>
  <c r="BC11" i="28"/>
  <c r="BI25" i="28"/>
  <c r="BD11" i="28"/>
  <c r="BJ25" i="28"/>
  <c r="BE11" i="28"/>
  <c r="BK25" i="28"/>
  <c r="BF11" i="28"/>
  <c r="BL25" i="28"/>
  <c r="BG11" i="28"/>
  <c r="BM25" i="28"/>
  <c r="BH11" i="28"/>
  <c r="BN25" i="28"/>
  <c r="AP25" i="28"/>
  <c r="AK12" i="28"/>
  <c r="AQ26" i="28"/>
  <c r="AL12" i="28"/>
  <c r="AR26" i="28"/>
  <c r="AM12" i="28"/>
  <c r="AS26" i="28"/>
  <c r="AN12" i="28"/>
  <c r="AT26" i="28"/>
  <c r="AO12" i="28"/>
  <c r="AU26" i="28"/>
  <c r="AP12" i="28"/>
  <c r="AV26" i="28"/>
  <c r="AQ12" i="28"/>
  <c r="AW26" i="28"/>
  <c r="AR12" i="28"/>
  <c r="AX26" i="28"/>
  <c r="AS12" i="28"/>
  <c r="AY26" i="28"/>
  <c r="AT12" i="28"/>
  <c r="AZ26" i="28"/>
  <c r="AU12" i="28"/>
  <c r="BA26" i="28"/>
  <c r="AV12" i="28"/>
  <c r="BB26" i="28"/>
  <c r="AW12" i="28"/>
  <c r="BC26" i="28"/>
  <c r="AX12" i="28"/>
  <c r="BD26" i="28"/>
  <c r="AY12" i="28"/>
  <c r="BE26" i="28"/>
  <c r="AZ12" i="28"/>
  <c r="BF26" i="28"/>
  <c r="BA12" i="28"/>
  <c r="BG26" i="28"/>
  <c r="BB12" i="28"/>
  <c r="BH26" i="28"/>
  <c r="BC12" i="28"/>
  <c r="BI26" i="28"/>
  <c r="BD12" i="28"/>
  <c r="BJ26" i="28"/>
  <c r="BE12" i="28"/>
  <c r="BK26" i="28"/>
  <c r="BF12" i="28"/>
  <c r="BL26" i="28"/>
  <c r="BG12" i="28"/>
  <c r="BM26" i="28"/>
  <c r="BH12" i="28"/>
  <c r="BN26" i="28"/>
  <c r="AP26" i="28"/>
  <c r="AK13" i="28"/>
  <c r="AQ27" i="28"/>
  <c r="AL13" i="28"/>
  <c r="AR27" i="28"/>
  <c r="AM13" i="28"/>
  <c r="AS27" i="28"/>
  <c r="AN13" i="28"/>
  <c r="AT27" i="28"/>
  <c r="AO13" i="28"/>
  <c r="AU27" i="28"/>
  <c r="AP13" i="28"/>
  <c r="AV27" i="28"/>
  <c r="AQ13" i="28"/>
  <c r="AW27" i="28"/>
  <c r="AR13" i="28"/>
  <c r="AX27" i="28"/>
  <c r="AS13" i="28"/>
  <c r="AY27" i="28"/>
  <c r="AT13" i="28"/>
  <c r="AZ27" i="28"/>
  <c r="AU13" i="28"/>
  <c r="BA27" i="28"/>
  <c r="AV13" i="28"/>
  <c r="BB27" i="28"/>
  <c r="AW13" i="28"/>
  <c r="BC27" i="28"/>
  <c r="AX13" i="28"/>
  <c r="BD27" i="28"/>
  <c r="AY13" i="28"/>
  <c r="BE27" i="28"/>
  <c r="AZ13" i="28"/>
  <c r="BF27" i="28"/>
  <c r="BA13" i="28"/>
  <c r="BG27" i="28"/>
  <c r="BB13" i="28"/>
  <c r="BH27" i="28"/>
  <c r="BC13" i="28"/>
  <c r="BI27" i="28"/>
  <c r="BD13" i="28"/>
  <c r="BJ27" i="28"/>
  <c r="BE13" i="28"/>
  <c r="BK27" i="28"/>
  <c r="BF13" i="28"/>
  <c r="BL27" i="28"/>
  <c r="BG13" i="28"/>
  <c r="BM27" i="28"/>
  <c r="BH13" i="28"/>
  <c r="BN27" i="28"/>
  <c r="AP27" i="28"/>
  <c r="AP28" i="28"/>
  <c r="AN16" i="28"/>
  <c r="AN17" i="28"/>
  <c r="AN18" i="28"/>
  <c r="AN19" i="28"/>
  <c r="AN20" i="28"/>
  <c r="AN21" i="28"/>
  <c r="AN22" i="28"/>
  <c r="AN23" i="28"/>
  <c r="AN24" i="28"/>
  <c r="AN25" i="28"/>
  <c r="AN26" i="28"/>
  <c r="AN27" i="28"/>
  <c r="AN28" i="28"/>
  <c r="AM16" i="28"/>
  <c r="AM17" i="28"/>
  <c r="AM18" i="28"/>
  <c r="AM19" i="28"/>
  <c r="AM20" i="28"/>
  <c r="AM21" i="28"/>
  <c r="AM22" i="28"/>
  <c r="AM23" i="28"/>
  <c r="AM24" i="28"/>
  <c r="AM25" i="28"/>
  <c r="AM26" i="28"/>
  <c r="AM27" i="28"/>
  <c r="AM28" i="28"/>
  <c r="AL16" i="28"/>
  <c r="AL17" i="28"/>
  <c r="AL18" i="28"/>
  <c r="AL19" i="28"/>
  <c r="AL20" i="28"/>
  <c r="AL21" i="28"/>
  <c r="AL22" i="28"/>
  <c r="AL23" i="28"/>
  <c r="AL24" i="28"/>
  <c r="AL25" i="28"/>
  <c r="AL26" i="28"/>
  <c r="AL27" i="28"/>
  <c r="AL28" i="28"/>
  <c r="AK16" i="28"/>
  <c r="AK17" i="28"/>
  <c r="AK18" i="28"/>
  <c r="AK19" i="28"/>
  <c r="AK20" i="28"/>
  <c r="AK21" i="28"/>
  <c r="AK22" i="28"/>
  <c r="AK23" i="28"/>
  <c r="AK24" i="28"/>
  <c r="AK25" i="28"/>
  <c r="AK26" i="28"/>
  <c r="AK27" i="28"/>
  <c r="AK28" i="28"/>
  <c r="Z2" i="28"/>
  <c r="AA2" i="28"/>
  <c r="AB2" i="28"/>
  <c r="AC2" i="28"/>
  <c r="AA16" i="28"/>
  <c r="Z3" i="28"/>
  <c r="AA3" i="28"/>
  <c r="AB3" i="28"/>
  <c r="AC3" i="28"/>
  <c r="AA17" i="28"/>
  <c r="Z4" i="28"/>
  <c r="AA4" i="28"/>
  <c r="AB4" i="28"/>
  <c r="AC4" i="28"/>
  <c r="AA18" i="28"/>
  <c r="Z5" i="28"/>
  <c r="AA5" i="28"/>
  <c r="AB5" i="28"/>
  <c r="AC5" i="28"/>
  <c r="AA19" i="28"/>
  <c r="Z6" i="28"/>
  <c r="AA6" i="28"/>
  <c r="AB6" i="28"/>
  <c r="AC6" i="28"/>
  <c r="AA20" i="28"/>
  <c r="Z7" i="28"/>
  <c r="AA7" i="28"/>
  <c r="AB7" i="28"/>
  <c r="AC7" i="28"/>
  <c r="AA21" i="28"/>
  <c r="Z8" i="28"/>
  <c r="AA8" i="28"/>
  <c r="AB8" i="28"/>
  <c r="AC8" i="28"/>
  <c r="AA22" i="28"/>
  <c r="Z9" i="28"/>
  <c r="AA9" i="28"/>
  <c r="AB9" i="28"/>
  <c r="AC9" i="28"/>
  <c r="AA23" i="28"/>
  <c r="Z10" i="28"/>
  <c r="AA10" i="28"/>
  <c r="AB10" i="28"/>
  <c r="AC10" i="28"/>
  <c r="AA24" i="28"/>
  <c r="Z11" i="28"/>
  <c r="AA11" i="28"/>
  <c r="AB11" i="28"/>
  <c r="AC11" i="28"/>
  <c r="AA25" i="28"/>
  <c r="Z12" i="28"/>
  <c r="AA12" i="28"/>
  <c r="AB12" i="28"/>
  <c r="AC12" i="28"/>
  <c r="AA26" i="28"/>
  <c r="Z13" i="28"/>
  <c r="AA13" i="28"/>
  <c r="AB13" i="28"/>
  <c r="AC13" i="28"/>
  <c r="AA27" i="28"/>
  <c r="AA28" i="28"/>
  <c r="Z16" i="28"/>
  <c r="Z17" i="28"/>
  <c r="Z18" i="28"/>
  <c r="Z19" i="28"/>
  <c r="Z20" i="28"/>
  <c r="Z21" i="28"/>
  <c r="Z22" i="28"/>
  <c r="Z23" i="28"/>
  <c r="Z24" i="28"/>
  <c r="Z25" i="28"/>
  <c r="Z26" i="28"/>
  <c r="Z27" i="28"/>
  <c r="Z28" i="28"/>
  <c r="S28" i="28"/>
  <c r="R28" i="28"/>
  <c r="Q28" i="28"/>
  <c r="P28" i="28"/>
  <c r="N28" i="28"/>
  <c r="M28" i="28"/>
  <c r="L28" i="28"/>
  <c r="K28" i="28"/>
  <c r="D27" i="28"/>
  <c r="G26" i="28"/>
  <c r="N25" i="28"/>
  <c r="M25" i="28"/>
  <c r="L25" i="28"/>
  <c r="K25" i="28"/>
  <c r="D25" i="28"/>
  <c r="G24" i="28"/>
  <c r="H16" i="28"/>
  <c r="D23" i="28"/>
  <c r="G22" i="28"/>
  <c r="G16" i="28"/>
  <c r="D21" i="28"/>
  <c r="G20" i="28"/>
  <c r="M19" i="28"/>
  <c r="W16" i="28"/>
  <c r="V16" i="28"/>
  <c r="U16" i="28"/>
  <c r="E50" i="27"/>
  <c r="A50" i="27"/>
  <c r="E49" i="27"/>
  <c r="A49" i="27"/>
  <c r="E48" i="27"/>
  <c r="A48" i="27"/>
  <c r="E47" i="27"/>
  <c r="A47" i="27"/>
  <c r="E46" i="27"/>
  <c r="A46" i="27"/>
  <c r="E45" i="27"/>
  <c r="A45" i="27"/>
  <c r="E44" i="27"/>
  <c r="A44" i="27"/>
  <c r="E43" i="27"/>
  <c r="A43" i="27"/>
  <c r="X15" i="27"/>
  <c r="E42" i="27"/>
  <c r="A42" i="27"/>
  <c r="X14" i="27"/>
  <c r="E41" i="27"/>
  <c r="AE18" i="27"/>
  <c r="A41" i="27"/>
  <c r="X13" i="27"/>
  <c r="E40" i="27"/>
  <c r="AE17" i="27"/>
  <c r="A40" i="27"/>
  <c r="X12" i="27"/>
  <c r="E39" i="27"/>
  <c r="AE2" i="27"/>
  <c r="AF2" i="27"/>
  <c r="AG2" i="27"/>
  <c r="AH2" i="27"/>
  <c r="AI2" i="27"/>
  <c r="AE16" i="27"/>
  <c r="AF16" i="27"/>
  <c r="AG16" i="27"/>
  <c r="A39" i="27"/>
  <c r="X11" i="27"/>
  <c r="X9" i="27"/>
  <c r="X8" i="27"/>
  <c r="X4" i="27"/>
  <c r="X5" i="27"/>
  <c r="X6" i="27"/>
  <c r="AE3" i="27"/>
  <c r="AF3" i="27"/>
  <c r="AG3" i="27"/>
  <c r="AH3" i="27"/>
  <c r="AI3" i="27"/>
  <c r="AG17" i="27"/>
  <c r="AE4" i="27"/>
  <c r="AF4" i="27"/>
  <c r="AG4" i="27"/>
  <c r="AH4" i="27"/>
  <c r="AI4" i="27"/>
  <c r="AG18" i="27"/>
  <c r="AE6" i="27"/>
  <c r="AF6" i="27"/>
  <c r="AG6" i="27"/>
  <c r="AH6" i="27"/>
  <c r="AI6" i="27"/>
  <c r="AG20" i="27"/>
  <c r="AE7" i="27"/>
  <c r="AF7" i="27"/>
  <c r="AG7" i="27"/>
  <c r="AH7" i="27"/>
  <c r="AI7" i="27"/>
  <c r="AG21" i="27"/>
  <c r="AE8" i="27"/>
  <c r="AF8" i="27"/>
  <c r="AG8" i="27"/>
  <c r="AH8" i="27"/>
  <c r="AI8" i="27"/>
  <c r="AG22" i="27"/>
  <c r="AE9" i="27"/>
  <c r="AF9" i="27"/>
  <c r="AG9" i="27"/>
  <c r="AH9" i="27"/>
  <c r="AI9" i="27"/>
  <c r="AG23" i="27"/>
  <c r="AE10" i="27"/>
  <c r="AF10" i="27"/>
  <c r="AG10" i="27"/>
  <c r="AH10" i="27"/>
  <c r="AI10" i="27"/>
  <c r="AG24" i="27"/>
  <c r="AE11" i="27"/>
  <c r="AF11" i="27"/>
  <c r="AG11" i="27"/>
  <c r="AH11" i="27"/>
  <c r="AI11" i="27"/>
  <c r="AG25" i="27"/>
  <c r="AE12" i="27"/>
  <c r="AF12" i="27"/>
  <c r="AG12" i="27"/>
  <c r="AH12" i="27"/>
  <c r="AI12" i="27"/>
  <c r="AG26" i="27"/>
  <c r="AE13" i="27"/>
  <c r="AF13" i="27"/>
  <c r="AG13" i="27"/>
  <c r="AH13" i="27"/>
  <c r="AI13" i="27"/>
  <c r="AG27" i="27"/>
  <c r="AF17" i="27"/>
  <c r="AF18" i="27"/>
  <c r="AF20" i="27"/>
  <c r="AF21" i="27"/>
  <c r="AF22" i="27"/>
  <c r="AF23" i="27"/>
  <c r="AF24" i="27"/>
  <c r="AF25" i="27"/>
  <c r="AF26" i="27"/>
  <c r="AF27" i="27"/>
  <c r="D31" i="27"/>
  <c r="J29" i="27"/>
  <c r="I29" i="27"/>
  <c r="H29" i="27"/>
  <c r="G29" i="27"/>
  <c r="F16" i="27"/>
  <c r="D29" i="27"/>
  <c r="AK2" i="27"/>
  <c r="AQ16" i="27"/>
  <c r="AL2" i="27"/>
  <c r="AR16" i="27"/>
  <c r="AM2" i="27"/>
  <c r="AS16" i="27"/>
  <c r="AN2" i="27"/>
  <c r="AT16" i="27"/>
  <c r="AO2" i="27"/>
  <c r="AU16" i="27"/>
  <c r="AP2" i="27"/>
  <c r="AV16" i="27"/>
  <c r="AQ2" i="27"/>
  <c r="AW16" i="27"/>
  <c r="AR2" i="27"/>
  <c r="AX16" i="27"/>
  <c r="AS2" i="27"/>
  <c r="AY16" i="27"/>
  <c r="AT2" i="27"/>
  <c r="AZ16" i="27"/>
  <c r="AU2" i="27"/>
  <c r="BA16" i="27"/>
  <c r="AV2" i="27"/>
  <c r="BB16" i="27"/>
  <c r="AW2" i="27"/>
  <c r="BC16" i="27"/>
  <c r="AX2" i="27"/>
  <c r="BD16" i="27"/>
  <c r="AY2" i="27"/>
  <c r="BE16" i="27"/>
  <c r="AZ2" i="27"/>
  <c r="BF16" i="27"/>
  <c r="BA2" i="27"/>
  <c r="BG16" i="27"/>
  <c r="BB2" i="27"/>
  <c r="BH16" i="27"/>
  <c r="BC2" i="27"/>
  <c r="BI16" i="27"/>
  <c r="BD2" i="27"/>
  <c r="BJ16" i="27"/>
  <c r="BE2" i="27"/>
  <c r="BK16" i="27"/>
  <c r="BF2" i="27"/>
  <c r="BL16" i="27"/>
  <c r="BG2" i="27"/>
  <c r="BM16" i="27"/>
  <c r="BH2" i="27"/>
  <c r="BN16" i="27"/>
  <c r="AP16" i="27"/>
  <c r="AK3" i="27"/>
  <c r="AQ17" i="27"/>
  <c r="AL3" i="27"/>
  <c r="AR17" i="27"/>
  <c r="AM3" i="27"/>
  <c r="AS17" i="27"/>
  <c r="AN3" i="27"/>
  <c r="AT17" i="27"/>
  <c r="AO3" i="27"/>
  <c r="AU17" i="27"/>
  <c r="AP3" i="27"/>
  <c r="AV17" i="27"/>
  <c r="AQ3" i="27"/>
  <c r="AW17" i="27"/>
  <c r="AR3" i="27"/>
  <c r="AX17" i="27"/>
  <c r="AS3" i="27"/>
  <c r="AY17" i="27"/>
  <c r="AT3" i="27"/>
  <c r="AZ17" i="27"/>
  <c r="AU3" i="27"/>
  <c r="BA17" i="27"/>
  <c r="AV3" i="27"/>
  <c r="BB17" i="27"/>
  <c r="AW3" i="27"/>
  <c r="BC17" i="27"/>
  <c r="AX3" i="27"/>
  <c r="BD17" i="27"/>
  <c r="AY3" i="27"/>
  <c r="BE17" i="27"/>
  <c r="AZ3" i="27"/>
  <c r="BF17" i="27"/>
  <c r="BA3" i="27"/>
  <c r="BG17" i="27"/>
  <c r="BB3" i="27"/>
  <c r="BH17" i="27"/>
  <c r="BC3" i="27"/>
  <c r="BI17" i="27"/>
  <c r="BD3" i="27"/>
  <c r="BJ17" i="27"/>
  <c r="BE3" i="27"/>
  <c r="BK17" i="27"/>
  <c r="BF3" i="27"/>
  <c r="BL17" i="27"/>
  <c r="BG3" i="27"/>
  <c r="BM17" i="27"/>
  <c r="BH3" i="27"/>
  <c r="BN17" i="27"/>
  <c r="AP17" i="27"/>
  <c r="AK4" i="27"/>
  <c r="AQ18" i="27"/>
  <c r="AL4" i="27"/>
  <c r="AR18" i="27"/>
  <c r="AM4" i="27"/>
  <c r="AS18" i="27"/>
  <c r="AN4" i="27"/>
  <c r="AT18" i="27"/>
  <c r="AO4" i="27"/>
  <c r="AU18" i="27"/>
  <c r="AP4" i="27"/>
  <c r="AV18" i="27"/>
  <c r="AQ4" i="27"/>
  <c r="AW18" i="27"/>
  <c r="AR4" i="27"/>
  <c r="AX18" i="27"/>
  <c r="AS4" i="27"/>
  <c r="AY18" i="27"/>
  <c r="AT4" i="27"/>
  <c r="AZ18" i="27"/>
  <c r="AU4" i="27"/>
  <c r="BA18" i="27"/>
  <c r="AV4" i="27"/>
  <c r="BB18" i="27"/>
  <c r="AW4" i="27"/>
  <c r="BC18" i="27"/>
  <c r="AX4" i="27"/>
  <c r="BD18" i="27"/>
  <c r="AY4" i="27"/>
  <c r="BE18" i="27"/>
  <c r="AZ4" i="27"/>
  <c r="BF18" i="27"/>
  <c r="BA4" i="27"/>
  <c r="BG18" i="27"/>
  <c r="BB4" i="27"/>
  <c r="BH18" i="27"/>
  <c r="BC4" i="27"/>
  <c r="BI18" i="27"/>
  <c r="BD4" i="27"/>
  <c r="BJ18" i="27"/>
  <c r="BE4" i="27"/>
  <c r="BK18" i="27"/>
  <c r="BF4" i="27"/>
  <c r="BL18" i="27"/>
  <c r="BG4" i="27"/>
  <c r="BM18" i="27"/>
  <c r="BH4" i="27"/>
  <c r="BN18" i="27"/>
  <c r="AP18" i="27"/>
  <c r="AK5" i="27"/>
  <c r="AQ19" i="27"/>
  <c r="AL5" i="27"/>
  <c r="AR19" i="27"/>
  <c r="AM5" i="27"/>
  <c r="AS19" i="27"/>
  <c r="AN5" i="27"/>
  <c r="AT19" i="27"/>
  <c r="AO5" i="27"/>
  <c r="AU19" i="27"/>
  <c r="AP5" i="27"/>
  <c r="AV19" i="27"/>
  <c r="AQ5" i="27"/>
  <c r="AW19" i="27"/>
  <c r="AR5" i="27"/>
  <c r="AX19" i="27"/>
  <c r="AS5" i="27"/>
  <c r="AY19" i="27"/>
  <c r="AT5" i="27"/>
  <c r="AZ19" i="27"/>
  <c r="AU5" i="27"/>
  <c r="BA19" i="27"/>
  <c r="AV5" i="27"/>
  <c r="BB19" i="27"/>
  <c r="AW5" i="27"/>
  <c r="BC19" i="27"/>
  <c r="AX5" i="27"/>
  <c r="BD19" i="27"/>
  <c r="AY5" i="27"/>
  <c r="BE19" i="27"/>
  <c r="AZ5" i="27"/>
  <c r="BF19" i="27"/>
  <c r="BA5" i="27"/>
  <c r="BG19" i="27"/>
  <c r="BB5" i="27"/>
  <c r="BH19" i="27"/>
  <c r="BC5" i="27"/>
  <c r="BI19" i="27"/>
  <c r="BD5" i="27"/>
  <c r="BJ19" i="27"/>
  <c r="BE5" i="27"/>
  <c r="BK19" i="27"/>
  <c r="BF5" i="27"/>
  <c r="BL19" i="27"/>
  <c r="BG5" i="27"/>
  <c r="BM19" i="27"/>
  <c r="BH5" i="27"/>
  <c r="BN19" i="27"/>
  <c r="AP19" i="27"/>
  <c r="AK6" i="27"/>
  <c r="AQ20" i="27"/>
  <c r="AL6" i="27"/>
  <c r="AR20" i="27"/>
  <c r="AM6" i="27"/>
  <c r="AS20" i="27"/>
  <c r="AN6" i="27"/>
  <c r="AT20" i="27"/>
  <c r="AO6" i="27"/>
  <c r="AU20" i="27"/>
  <c r="AP6" i="27"/>
  <c r="AV20" i="27"/>
  <c r="AQ6" i="27"/>
  <c r="AW20" i="27"/>
  <c r="AR6" i="27"/>
  <c r="AX20" i="27"/>
  <c r="AS6" i="27"/>
  <c r="AY20" i="27"/>
  <c r="AT6" i="27"/>
  <c r="AZ20" i="27"/>
  <c r="AU6" i="27"/>
  <c r="BA20" i="27"/>
  <c r="AV6" i="27"/>
  <c r="BB20" i="27"/>
  <c r="AW6" i="27"/>
  <c r="BC20" i="27"/>
  <c r="AX6" i="27"/>
  <c r="BD20" i="27"/>
  <c r="AY6" i="27"/>
  <c r="BE20" i="27"/>
  <c r="AZ6" i="27"/>
  <c r="BF20" i="27"/>
  <c r="BA6" i="27"/>
  <c r="BG20" i="27"/>
  <c r="BB6" i="27"/>
  <c r="BH20" i="27"/>
  <c r="BC6" i="27"/>
  <c r="BI20" i="27"/>
  <c r="BD6" i="27"/>
  <c r="BJ20" i="27"/>
  <c r="BE6" i="27"/>
  <c r="BK20" i="27"/>
  <c r="BF6" i="27"/>
  <c r="BL20" i="27"/>
  <c r="BG6" i="27"/>
  <c r="BM20" i="27"/>
  <c r="BH6" i="27"/>
  <c r="BN20" i="27"/>
  <c r="AP20" i="27"/>
  <c r="AK7" i="27"/>
  <c r="AQ21" i="27"/>
  <c r="AL7" i="27"/>
  <c r="AR21" i="27"/>
  <c r="AM7" i="27"/>
  <c r="AS21" i="27"/>
  <c r="AN7" i="27"/>
  <c r="AT21" i="27"/>
  <c r="AO7" i="27"/>
  <c r="AU21" i="27"/>
  <c r="AP7" i="27"/>
  <c r="AV21" i="27"/>
  <c r="AQ7" i="27"/>
  <c r="AW21" i="27"/>
  <c r="AR7" i="27"/>
  <c r="AX21" i="27"/>
  <c r="AS7" i="27"/>
  <c r="AY21" i="27"/>
  <c r="AT7" i="27"/>
  <c r="AZ21" i="27"/>
  <c r="AU7" i="27"/>
  <c r="BA21" i="27"/>
  <c r="AV7" i="27"/>
  <c r="BB21" i="27"/>
  <c r="AW7" i="27"/>
  <c r="BC21" i="27"/>
  <c r="AX7" i="27"/>
  <c r="BD21" i="27"/>
  <c r="AY7" i="27"/>
  <c r="BE21" i="27"/>
  <c r="AZ7" i="27"/>
  <c r="BF21" i="27"/>
  <c r="BA7" i="27"/>
  <c r="BG21" i="27"/>
  <c r="BB7" i="27"/>
  <c r="BH21" i="27"/>
  <c r="BC7" i="27"/>
  <c r="BI21" i="27"/>
  <c r="BD7" i="27"/>
  <c r="BJ21" i="27"/>
  <c r="BE7" i="27"/>
  <c r="BK21" i="27"/>
  <c r="BF7" i="27"/>
  <c r="BL21" i="27"/>
  <c r="BG7" i="27"/>
  <c r="BM21" i="27"/>
  <c r="BH7" i="27"/>
  <c r="BN21" i="27"/>
  <c r="AP21" i="27"/>
  <c r="AK8" i="27"/>
  <c r="AQ22" i="27"/>
  <c r="AL8" i="27"/>
  <c r="AR22" i="27"/>
  <c r="AM8" i="27"/>
  <c r="AS22" i="27"/>
  <c r="AN8" i="27"/>
  <c r="AT22" i="27"/>
  <c r="AO8" i="27"/>
  <c r="AU22" i="27"/>
  <c r="AP8" i="27"/>
  <c r="AV22" i="27"/>
  <c r="AQ8" i="27"/>
  <c r="AW22" i="27"/>
  <c r="AR8" i="27"/>
  <c r="AX22" i="27"/>
  <c r="AS8" i="27"/>
  <c r="AY22" i="27"/>
  <c r="AT8" i="27"/>
  <c r="AZ22" i="27"/>
  <c r="AU8" i="27"/>
  <c r="BA22" i="27"/>
  <c r="AV8" i="27"/>
  <c r="BB22" i="27"/>
  <c r="AW8" i="27"/>
  <c r="BC22" i="27"/>
  <c r="AX8" i="27"/>
  <c r="BD22" i="27"/>
  <c r="AY8" i="27"/>
  <c r="BE22" i="27"/>
  <c r="AZ8" i="27"/>
  <c r="BF22" i="27"/>
  <c r="BA8" i="27"/>
  <c r="BG22" i="27"/>
  <c r="BB8" i="27"/>
  <c r="BH22" i="27"/>
  <c r="BC8" i="27"/>
  <c r="BI22" i="27"/>
  <c r="BD8" i="27"/>
  <c r="BJ22" i="27"/>
  <c r="BE8" i="27"/>
  <c r="BK22" i="27"/>
  <c r="BF8" i="27"/>
  <c r="BL22" i="27"/>
  <c r="BG8" i="27"/>
  <c r="BM22" i="27"/>
  <c r="BH8" i="27"/>
  <c r="BN22" i="27"/>
  <c r="AP22" i="27"/>
  <c r="AK9" i="27"/>
  <c r="AQ23" i="27"/>
  <c r="AL9" i="27"/>
  <c r="AR23" i="27"/>
  <c r="AM9" i="27"/>
  <c r="AS23" i="27"/>
  <c r="AN9" i="27"/>
  <c r="AT23" i="27"/>
  <c r="AO9" i="27"/>
  <c r="AU23" i="27"/>
  <c r="AP9" i="27"/>
  <c r="AV23" i="27"/>
  <c r="AQ9" i="27"/>
  <c r="AW23" i="27"/>
  <c r="AR9" i="27"/>
  <c r="AX23" i="27"/>
  <c r="AS9" i="27"/>
  <c r="AY23" i="27"/>
  <c r="AT9" i="27"/>
  <c r="AZ23" i="27"/>
  <c r="AU9" i="27"/>
  <c r="BA23" i="27"/>
  <c r="AV9" i="27"/>
  <c r="BB23" i="27"/>
  <c r="AW9" i="27"/>
  <c r="BC23" i="27"/>
  <c r="AX9" i="27"/>
  <c r="BD23" i="27"/>
  <c r="AY9" i="27"/>
  <c r="BE23" i="27"/>
  <c r="AZ9" i="27"/>
  <c r="BF23" i="27"/>
  <c r="BA9" i="27"/>
  <c r="BG23" i="27"/>
  <c r="BB9" i="27"/>
  <c r="BH23" i="27"/>
  <c r="BC9" i="27"/>
  <c r="BI23" i="27"/>
  <c r="BD9" i="27"/>
  <c r="BJ23" i="27"/>
  <c r="BE9" i="27"/>
  <c r="BK23" i="27"/>
  <c r="BF9" i="27"/>
  <c r="BL23" i="27"/>
  <c r="BG9" i="27"/>
  <c r="BM23" i="27"/>
  <c r="BH9" i="27"/>
  <c r="BN23" i="27"/>
  <c r="AP23" i="27"/>
  <c r="AK10" i="27"/>
  <c r="AQ24" i="27"/>
  <c r="AL10" i="27"/>
  <c r="AR24" i="27"/>
  <c r="AM10" i="27"/>
  <c r="AS24" i="27"/>
  <c r="AN10" i="27"/>
  <c r="AT24" i="27"/>
  <c r="AO10" i="27"/>
  <c r="AU24" i="27"/>
  <c r="AP10" i="27"/>
  <c r="AV24" i="27"/>
  <c r="AQ10" i="27"/>
  <c r="AW24" i="27"/>
  <c r="AR10" i="27"/>
  <c r="AX24" i="27"/>
  <c r="AS10" i="27"/>
  <c r="AY24" i="27"/>
  <c r="AT10" i="27"/>
  <c r="AZ24" i="27"/>
  <c r="AU10" i="27"/>
  <c r="BA24" i="27"/>
  <c r="AV10" i="27"/>
  <c r="BB24" i="27"/>
  <c r="AW10" i="27"/>
  <c r="BC24" i="27"/>
  <c r="AX10" i="27"/>
  <c r="BD24" i="27"/>
  <c r="AY10" i="27"/>
  <c r="BE24" i="27"/>
  <c r="AZ10" i="27"/>
  <c r="BF24" i="27"/>
  <c r="BA10" i="27"/>
  <c r="BG24" i="27"/>
  <c r="BB10" i="27"/>
  <c r="BH24" i="27"/>
  <c r="BC10" i="27"/>
  <c r="BI24" i="27"/>
  <c r="BD10" i="27"/>
  <c r="BJ24" i="27"/>
  <c r="BE10" i="27"/>
  <c r="BK24" i="27"/>
  <c r="BF10" i="27"/>
  <c r="BL24" i="27"/>
  <c r="BG10" i="27"/>
  <c r="BM24" i="27"/>
  <c r="BH10" i="27"/>
  <c r="BN24" i="27"/>
  <c r="AP24" i="27"/>
  <c r="AK11" i="27"/>
  <c r="AQ25" i="27"/>
  <c r="AL11" i="27"/>
  <c r="AR25" i="27"/>
  <c r="AM11" i="27"/>
  <c r="AS25" i="27"/>
  <c r="AN11" i="27"/>
  <c r="AT25" i="27"/>
  <c r="AO11" i="27"/>
  <c r="AU25" i="27"/>
  <c r="AP11" i="27"/>
  <c r="AV25" i="27"/>
  <c r="AQ11" i="27"/>
  <c r="AW25" i="27"/>
  <c r="AR11" i="27"/>
  <c r="AX25" i="27"/>
  <c r="AS11" i="27"/>
  <c r="AY25" i="27"/>
  <c r="AT11" i="27"/>
  <c r="AZ25" i="27"/>
  <c r="AU11" i="27"/>
  <c r="BA25" i="27"/>
  <c r="AV11" i="27"/>
  <c r="BB25" i="27"/>
  <c r="AW11" i="27"/>
  <c r="BC25" i="27"/>
  <c r="AX11" i="27"/>
  <c r="BD25" i="27"/>
  <c r="AY11" i="27"/>
  <c r="BE25" i="27"/>
  <c r="AZ11" i="27"/>
  <c r="BF25" i="27"/>
  <c r="BA11" i="27"/>
  <c r="BG25" i="27"/>
  <c r="BB11" i="27"/>
  <c r="BH25" i="27"/>
  <c r="BC11" i="27"/>
  <c r="BI25" i="27"/>
  <c r="BD11" i="27"/>
  <c r="BJ25" i="27"/>
  <c r="BE11" i="27"/>
  <c r="BK25" i="27"/>
  <c r="BF11" i="27"/>
  <c r="BL25" i="27"/>
  <c r="BG11" i="27"/>
  <c r="BM25" i="27"/>
  <c r="BH11" i="27"/>
  <c r="BN25" i="27"/>
  <c r="AP25" i="27"/>
  <c r="AK12" i="27"/>
  <c r="AQ26" i="27"/>
  <c r="AL12" i="27"/>
  <c r="AR26" i="27"/>
  <c r="AM12" i="27"/>
  <c r="AS26" i="27"/>
  <c r="AN12" i="27"/>
  <c r="AT26" i="27"/>
  <c r="AO12" i="27"/>
  <c r="AU26" i="27"/>
  <c r="AP12" i="27"/>
  <c r="AV26" i="27"/>
  <c r="AQ12" i="27"/>
  <c r="AW26" i="27"/>
  <c r="AR12" i="27"/>
  <c r="AX26" i="27"/>
  <c r="AS12" i="27"/>
  <c r="AY26" i="27"/>
  <c r="AT12" i="27"/>
  <c r="AZ26" i="27"/>
  <c r="AU12" i="27"/>
  <c r="BA26" i="27"/>
  <c r="AV12" i="27"/>
  <c r="BB26" i="27"/>
  <c r="AW12" i="27"/>
  <c r="BC26" i="27"/>
  <c r="AX12" i="27"/>
  <c r="BD26" i="27"/>
  <c r="AY12" i="27"/>
  <c r="BE26" i="27"/>
  <c r="AZ12" i="27"/>
  <c r="BF26" i="27"/>
  <c r="BA12" i="27"/>
  <c r="BG26" i="27"/>
  <c r="BB12" i="27"/>
  <c r="BH26" i="27"/>
  <c r="BC12" i="27"/>
  <c r="BI26" i="27"/>
  <c r="BD12" i="27"/>
  <c r="BJ26" i="27"/>
  <c r="BE12" i="27"/>
  <c r="BK26" i="27"/>
  <c r="BF12" i="27"/>
  <c r="BL26" i="27"/>
  <c r="BG12" i="27"/>
  <c r="BM26" i="27"/>
  <c r="BH12" i="27"/>
  <c r="BN26" i="27"/>
  <c r="AP26" i="27"/>
  <c r="AK13" i="27"/>
  <c r="AQ27" i="27"/>
  <c r="AL13" i="27"/>
  <c r="AR27" i="27"/>
  <c r="AM13" i="27"/>
  <c r="AS27" i="27"/>
  <c r="AN13" i="27"/>
  <c r="AT27" i="27"/>
  <c r="AO13" i="27"/>
  <c r="AU27" i="27"/>
  <c r="AP13" i="27"/>
  <c r="AV27" i="27"/>
  <c r="AQ13" i="27"/>
  <c r="AW27" i="27"/>
  <c r="AR13" i="27"/>
  <c r="AX27" i="27"/>
  <c r="AS13" i="27"/>
  <c r="AY27" i="27"/>
  <c r="AT13" i="27"/>
  <c r="AZ27" i="27"/>
  <c r="AU13" i="27"/>
  <c r="BA27" i="27"/>
  <c r="AV13" i="27"/>
  <c r="BB27" i="27"/>
  <c r="AW13" i="27"/>
  <c r="BC27" i="27"/>
  <c r="AX13" i="27"/>
  <c r="BD27" i="27"/>
  <c r="AY13" i="27"/>
  <c r="BE27" i="27"/>
  <c r="AZ13" i="27"/>
  <c r="BF27" i="27"/>
  <c r="BA13" i="27"/>
  <c r="BG27" i="27"/>
  <c r="BB13" i="27"/>
  <c r="BH27" i="27"/>
  <c r="BC13" i="27"/>
  <c r="BI27" i="27"/>
  <c r="BD13" i="27"/>
  <c r="BJ27" i="27"/>
  <c r="BE13" i="27"/>
  <c r="BK27" i="27"/>
  <c r="BF13" i="27"/>
  <c r="BL27" i="27"/>
  <c r="BG13" i="27"/>
  <c r="BM27" i="27"/>
  <c r="BH13" i="27"/>
  <c r="BN27" i="27"/>
  <c r="AP27" i="27"/>
  <c r="AP28" i="27"/>
  <c r="AN16" i="27"/>
  <c r="AN17" i="27"/>
  <c r="AN18" i="27"/>
  <c r="AN20" i="27"/>
  <c r="AN21" i="27"/>
  <c r="AN22" i="27"/>
  <c r="AN23" i="27"/>
  <c r="AN24" i="27"/>
  <c r="AN25" i="27"/>
  <c r="AN26" i="27"/>
  <c r="AN27" i="27"/>
  <c r="AM16" i="27"/>
  <c r="AM17" i="27"/>
  <c r="AM18" i="27"/>
  <c r="AM20" i="27"/>
  <c r="AM21" i="27"/>
  <c r="AM22" i="27"/>
  <c r="AM23" i="27"/>
  <c r="AM24" i="27"/>
  <c r="AM25" i="27"/>
  <c r="AM26" i="27"/>
  <c r="AM27" i="27"/>
  <c r="AL16" i="27"/>
  <c r="AL17" i="27"/>
  <c r="AL18" i="27"/>
  <c r="AL20" i="27"/>
  <c r="AL21" i="27"/>
  <c r="AL22" i="27"/>
  <c r="AL23" i="27"/>
  <c r="AL24" i="27"/>
  <c r="AL25" i="27"/>
  <c r="AL26" i="27"/>
  <c r="AL27" i="27"/>
  <c r="AK16" i="27"/>
  <c r="AK17" i="27"/>
  <c r="AK18" i="27"/>
  <c r="AK20" i="27"/>
  <c r="AK21" i="27"/>
  <c r="AK22" i="27"/>
  <c r="AK23" i="27"/>
  <c r="AK24" i="27"/>
  <c r="AK25" i="27"/>
  <c r="AK26" i="27"/>
  <c r="AK27" i="27"/>
  <c r="Z2" i="27"/>
  <c r="AA2" i="27"/>
  <c r="AB2" i="27"/>
  <c r="AC2" i="27"/>
  <c r="AA16" i="27"/>
  <c r="Z3" i="27"/>
  <c r="AA3" i="27"/>
  <c r="AB3" i="27"/>
  <c r="AC3" i="27"/>
  <c r="AA17" i="27"/>
  <c r="Z4" i="27"/>
  <c r="AA4" i="27"/>
  <c r="AB4" i="27"/>
  <c r="AC4" i="27"/>
  <c r="AA18" i="27"/>
  <c r="Z5" i="27"/>
  <c r="AA5" i="27"/>
  <c r="AB5" i="27"/>
  <c r="AC5" i="27"/>
  <c r="AA19" i="27"/>
  <c r="Z6" i="27"/>
  <c r="AA6" i="27"/>
  <c r="AB6" i="27"/>
  <c r="AC6" i="27"/>
  <c r="AA20" i="27"/>
  <c r="Z7" i="27"/>
  <c r="AA7" i="27"/>
  <c r="AB7" i="27"/>
  <c r="AC7" i="27"/>
  <c r="AA21" i="27"/>
  <c r="Z8" i="27"/>
  <c r="AA8" i="27"/>
  <c r="AB8" i="27"/>
  <c r="AC8" i="27"/>
  <c r="AA22" i="27"/>
  <c r="Z9" i="27"/>
  <c r="AA9" i="27"/>
  <c r="AB9" i="27"/>
  <c r="AC9" i="27"/>
  <c r="AA23" i="27"/>
  <c r="Z10" i="27"/>
  <c r="AA10" i="27"/>
  <c r="AB10" i="27"/>
  <c r="AC10" i="27"/>
  <c r="AA24" i="27"/>
  <c r="Z11" i="27"/>
  <c r="AA11" i="27"/>
  <c r="AB11" i="27"/>
  <c r="AC11" i="27"/>
  <c r="AA25" i="27"/>
  <c r="Z12" i="27"/>
  <c r="AA12" i="27"/>
  <c r="AB12" i="27"/>
  <c r="AC12" i="27"/>
  <c r="AA26" i="27"/>
  <c r="Z13" i="27"/>
  <c r="AA13" i="27"/>
  <c r="AB13" i="27"/>
  <c r="AC13" i="27"/>
  <c r="AA27" i="27"/>
  <c r="AA28" i="27"/>
  <c r="Z16" i="27"/>
  <c r="Z17" i="27"/>
  <c r="Z18" i="27"/>
  <c r="Z19" i="27"/>
  <c r="Z20" i="27"/>
  <c r="Z21" i="27"/>
  <c r="Z22" i="27"/>
  <c r="Z23" i="27"/>
  <c r="Z24" i="27"/>
  <c r="Z25" i="27"/>
  <c r="Z26" i="27"/>
  <c r="Z27" i="27"/>
  <c r="Z28" i="27"/>
  <c r="S28" i="27"/>
  <c r="R28" i="27"/>
  <c r="Q28" i="27"/>
  <c r="P28" i="27"/>
  <c r="N28" i="27"/>
  <c r="M28" i="27"/>
  <c r="L28" i="27"/>
  <c r="K28" i="27"/>
  <c r="D27" i="27"/>
  <c r="N25" i="27"/>
  <c r="M25" i="27"/>
  <c r="L25" i="27"/>
  <c r="K25" i="27"/>
  <c r="D25" i="27"/>
  <c r="H16" i="27"/>
  <c r="D23" i="27"/>
  <c r="G16" i="27"/>
  <c r="D21" i="27"/>
  <c r="M19" i="27"/>
  <c r="W16" i="27"/>
  <c r="V16" i="27"/>
  <c r="U16" i="27"/>
  <c r="E50" i="26"/>
  <c r="A50" i="26"/>
  <c r="E49" i="26"/>
  <c r="A49" i="26"/>
  <c r="E48" i="26"/>
  <c r="A48" i="26"/>
  <c r="E47" i="26"/>
  <c r="A47" i="26"/>
  <c r="E46" i="26"/>
  <c r="A46" i="26"/>
  <c r="E45" i="26"/>
  <c r="A45" i="26"/>
  <c r="E44" i="26"/>
  <c r="A44" i="26"/>
  <c r="E43" i="26"/>
  <c r="A43" i="26"/>
  <c r="X15" i="26"/>
  <c r="E42" i="26"/>
  <c r="A42" i="26"/>
  <c r="X14" i="26"/>
  <c r="E41" i="26"/>
  <c r="AE18" i="26"/>
  <c r="A41" i="26"/>
  <c r="X13" i="26"/>
  <c r="E40" i="26"/>
  <c r="AE3" i="26"/>
  <c r="AF3" i="26"/>
  <c r="AG3" i="26"/>
  <c r="AH3" i="26"/>
  <c r="AI3" i="26"/>
  <c r="AE17" i="26"/>
  <c r="AF17" i="26"/>
  <c r="AG17" i="26"/>
  <c r="A40" i="26"/>
  <c r="X12" i="26"/>
  <c r="E39" i="26"/>
  <c r="AE16" i="26"/>
  <c r="A39" i="26"/>
  <c r="X11" i="26"/>
  <c r="X10" i="26"/>
  <c r="X8" i="26"/>
  <c r="X4" i="26"/>
  <c r="X5" i="26"/>
  <c r="X6" i="26"/>
  <c r="AE2" i="26"/>
  <c r="AF2" i="26"/>
  <c r="AG2" i="26"/>
  <c r="AH2" i="26"/>
  <c r="AI2" i="26"/>
  <c r="AG16" i="26"/>
  <c r="AE4" i="26"/>
  <c r="AF4" i="26"/>
  <c r="AG4" i="26"/>
  <c r="AH4" i="26"/>
  <c r="AI4" i="26"/>
  <c r="AG18" i="26"/>
  <c r="AE6" i="26"/>
  <c r="AF6" i="26"/>
  <c r="AG6" i="26"/>
  <c r="AH6" i="26"/>
  <c r="AI6" i="26"/>
  <c r="AG20" i="26"/>
  <c r="AE7" i="26"/>
  <c r="AF7" i="26"/>
  <c r="AG7" i="26"/>
  <c r="AH7" i="26"/>
  <c r="AI7" i="26"/>
  <c r="AG21" i="26"/>
  <c r="AE8" i="26"/>
  <c r="AF8" i="26"/>
  <c r="AG8" i="26"/>
  <c r="AH8" i="26"/>
  <c r="AI8" i="26"/>
  <c r="AG22" i="26"/>
  <c r="AE9" i="26"/>
  <c r="AF9" i="26"/>
  <c r="AG9" i="26"/>
  <c r="AH9" i="26"/>
  <c r="AI9" i="26"/>
  <c r="AG23" i="26"/>
  <c r="AE10" i="26"/>
  <c r="AF10" i="26"/>
  <c r="AG10" i="26"/>
  <c r="AH10" i="26"/>
  <c r="AI10" i="26"/>
  <c r="AG24" i="26"/>
  <c r="AE11" i="26"/>
  <c r="AF11" i="26"/>
  <c r="AG11" i="26"/>
  <c r="AH11" i="26"/>
  <c r="AI11" i="26"/>
  <c r="AG25" i="26"/>
  <c r="AE12" i="26"/>
  <c r="AF12" i="26"/>
  <c r="AG12" i="26"/>
  <c r="AH12" i="26"/>
  <c r="AI12" i="26"/>
  <c r="AG26" i="26"/>
  <c r="AE13" i="26"/>
  <c r="AF13" i="26"/>
  <c r="AG13" i="26"/>
  <c r="AH13" i="26"/>
  <c r="AI13" i="26"/>
  <c r="AG27" i="26"/>
  <c r="AF16" i="26"/>
  <c r="AF18" i="26"/>
  <c r="AF20" i="26"/>
  <c r="AF21" i="26"/>
  <c r="AF22" i="26"/>
  <c r="AF23" i="26"/>
  <c r="AF24" i="26"/>
  <c r="AF25" i="26"/>
  <c r="AF26" i="26"/>
  <c r="AF27" i="26"/>
  <c r="D31" i="26"/>
  <c r="J29" i="26"/>
  <c r="I29" i="26"/>
  <c r="H29" i="26"/>
  <c r="G29" i="26"/>
  <c r="F16" i="26"/>
  <c r="D29" i="26"/>
  <c r="AK2" i="26"/>
  <c r="AQ16" i="26"/>
  <c r="AL2" i="26"/>
  <c r="AR16" i="26"/>
  <c r="AM2" i="26"/>
  <c r="AS16" i="26"/>
  <c r="AN2" i="26"/>
  <c r="AT16" i="26"/>
  <c r="AO2" i="26"/>
  <c r="AU16" i="26"/>
  <c r="AP2" i="26"/>
  <c r="AV16" i="26"/>
  <c r="AQ2" i="26"/>
  <c r="AW16" i="26"/>
  <c r="AR2" i="26"/>
  <c r="AX16" i="26"/>
  <c r="AS2" i="26"/>
  <c r="AY16" i="26"/>
  <c r="AT2" i="26"/>
  <c r="AZ16" i="26"/>
  <c r="AU2" i="26"/>
  <c r="BA16" i="26"/>
  <c r="AV2" i="26"/>
  <c r="BB16" i="26"/>
  <c r="AW2" i="26"/>
  <c r="BC16" i="26"/>
  <c r="AX2" i="26"/>
  <c r="BD16" i="26"/>
  <c r="AY2" i="26"/>
  <c r="BE16" i="26"/>
  <c r="AZ2" i="26"/>
  <c r="BF16" i="26"/>
  <c r="BA2" i="26"/>
  <c r="BG16" i="26"/>
  <c r="BB2" i="26"/>
  <c r="BH16" i="26"/>
  <c r="BC2" i="26"/>
  <c r="BI16" i="26"/>
  <c r="BD2" i="26"/>
  <c r="BJ16" i="26"/>
  <c r="BE2" i="26"/>
  <c r="BK16" i="26"/>
  <c r="BF2" i="26"/>
  <c r="BL16" i="26"/>
  <c r="BG2" i="26"/>
  <c r="BM16" i="26"/>
  <c r="BH2" i="26"/>
  <c r="BN16" i="26"/>
  <c r="AP16" i="26"/>
  <c r="AK3" i="26"/>
  <c r="AQ17" i="26"/>
  <c r="AL3" i="26"/>
  <c r="AR17" i="26"/>
  <c r="AM3" i="26"/>
  <c r="AS17" i="26"/>
  <c r="AN3" i="26"/>
  <c r="AT17" i="26"/>
  <c r="AO3" i="26"/>
  <c r="AU17" i="26"/>
  <c r="AP3" i="26"/>
  <c r="AV17" i="26"/>
  <c r="AQ3" i="26"/>
  <c r="AW17" i="26"/>
  <c r="AR3" i="26"/>
  <c r="AX17" i="26"/>
  <c r="AS3" i="26"/>
  <c r="AY17" i="26"/>
  <c r="AT3" i="26"/>
  <c r="AZ17" i="26"/>
  <c r="AU3" i="26"/>
  <c r="BA17" i="26"/>
  <c r="AV3" i="26"/>
  <c r="BB17" i="26"/>
  <c r="AW3" i="26"/>
  <c r="BC17" i="26"/>
  <c r="AX3" i="26"/>
  <c r="BD17" i="26"/>
  <c r="AY3" i="26"/>
  <c r="BE17" i="26"/>
  <c r="AZ3" i="26"/>
  <c r="BF17" i="26"/>
  <c r="BA3" i="26"/>
  <c r="BG17" i="26"/>
  <c r="BB3" i="26"/>
  <c r="BH17" i="26"/>
  <c r="BC3" i="26"/>
  <c r="BI17" i="26"/>
  <c r="BD3" i="26"/>
  <c r="BJ17" i="26"/>
  <c r="BE3" i="26"/>
  <c r="BK17" i="26"/>
  <c r="BF3" i="26"/>
  <c r="BL17" i="26"/>
  <c r="BG3" i="26"/>
  <c r="BM17" i="26"/>
  <c r="BH3" i="26"/>
  <c r="BN17" i="26"/>
  <c r="AP17" i="26"/>
  <c r="AK4" i="26"/>
  <c r="AQ18" i="26"/>
  <c r="AL4" i="26"/>
  <c r="AR18" i="26"/>
  <c r="AM4" i="26"/>
  <c r="AS18" i="26"/>
  <c r="AN4" i="26"/>
  <c r="AT18" i="26"/>
  <c r="AO4" i="26"/>
  <c r="AU18" i="26"/>
  <c r="AP4" i="26"/>
  <c r="AV18" i="26"/>
  <c r="AQ4" i="26"/>
  <c r="AW18" i="26"/>
  <c r="AR4" i="26"/>
  <c r="AX18" i="26"/>
  <c r="AS4" i="26"/>
  <c r="AY18" i="26"/>
  <c r="AT4" i="26"/>
  <c r="AZ18" i="26"/>
  <c r="AU4" i="26"/>
  <c r="BA18" i="26"/>
  <c r="AV4" i="26"/>
  <c r="BB18" i="26"/>
  <c r="AW4" i="26"/>
  <c r="BC18" i="26"/>
  <c r="AX4" i="26"/>
  <c r="BD18" i="26"/>
  <c r="AY4" i="26"/>
  <c r="BE18" i="26"/>
  <c r="AZ4" i="26"/>
  <c r="BF18" i="26"/>
  <c r="BA4" i="26"/>
  <c r="BG18" i="26"/>
  <c r="BB4" i="26"/>
  <c r="BH18" i="26"/>
  <c r="BC4" i="26"/>
  <c r="BI18" i="26"/>
  <c r="BD4" i="26"/>
  <c r="BJ18" i="26"/>
  <c r="BE4" i="26"/>
  <c r="BK18" i="26"/>
  <c r="BF4" i="26"/>
  <c r="BL18" i="26"/>
  <c r="BG4" i="26"/>
  <c r="BM18" i="26"/>
  <c r="BH4" i="26"/>
  <c r="BN18" i="26"/>
  <c r="AP18" i="26"/>
  <c r="AK5" i="26"/>
  <c r="AQ19" i="26"/>
  <c r="AL5" i="26"/>
  <c r="AR19" i="26"/>
  <c r="AM5" i="26"/>
  <c r="AS19" i="26"/>
  <c r="AN5" i="26"/>
  <c r="AT19" i="26"/>
  <c r="AO5" i="26"/>
  <c r="AU19" i="26"/>
  <c r="AP5" i="26"/>
  <c r="AV19" i="26"/>
  <c r="AQ5" i="26"/>
  <c r="AW19" i="26"/>
  <c r="AR5" i="26"/>
  <c r="AX19" i="26"/>
  <c r="AS5" i="26"/>
  <c r="AY19" i="26"/>
  <c r="AT5" i="26"/>
  <c r="AZ19" i="26"/>
  <c r="AU5" i="26"/>
  <c r="BA19" i="26"/>
  <c r="AV5" i="26"/>
  <c r="BB19" i="26"/>
  <c r="AW5" i="26"/>
  <c r="BC19" i="26"/>
  <c r="AX5" i="26"/>
  <c r="BD19" i="26"/>
  <c r="AY5" i="26"/>
  <c r="BE19" i="26"/>
  <c r="AZ5" i="26"/>
  <c r="BF19" i="26"/>
  <c r="BA5" i="26"/>
  <c r="BG19" i="26"/>
  <c r="BB5" i="26"/>
  <c r="BH19" i="26"/>
  <c r="BC5" i="26"/>
  <c r="BI19" i="26"/>
  <c r="BD5" i="26"/>
  <c r="BJ19" i="26"/>
  <c r="BE5" i="26"/>
  <c r="BK19" i="26"/>
  <c r="BF5" i="26"/>
  <c r="BL19" i="26"/>
  <c r="BG5" i="26"/>
  <c r="BM19" i="26"/>
  <c r="BH5" i="26"/>
  <c r="BN19" i="26"/>
  <c r="AP19" i="26"/>
  <c r="AK6" i="26"/>
  <c r="AQ20" i="26"/>
  <c r="AL6" i="26"/>
  <c r="AR20" i="26"/>
  <c r="AM6" i="26"/>
  <c r="AS20" i="26"/>
  <c r="AN6" i="26"/>
  <c r="AT20" i="26"/>
  <c r="AO6" i="26"/>
  <c r="AU20" i="26"/>
  <c r="AP6" i="26"/>
  <c r="AV20" i="26"/>
  <c r="AQ6" i="26"/>
  <c r="AW20" i="26"/>
  <c r="AR6" i="26"/>
  <c r="AX20" i="26"/>
  <c r="AS6" i="26"/>
  <c r="AY20" i="26"/>
  <c r="AT6" i="26"/>
  <c r="AZ20" i="26"/>
  <c r="AU6" i="26"/>
  <c r="BA20" i="26"/>
  <c r="AV6" i="26"/>
  <c r="BB20" i="26"/>
  <c r="AW6" i="26"/>
  <c r="BC20" i="26"/>
  <c r="AX6" i="26"/>
  <c r="BD20" i="26"/>
  <c r="AY6" i="26"/>
  <c r="BE20" i="26"/>
  <c r="AZ6" i="26"/>
  <c r="BF20" i="26"/>
  <c r="BA6" i="26"/>
  <c r="BG20" i="26"/>
  <c r="BB6" i="26"/>
  <c r="BH20" i="26"/>
  <c r="BC6" i="26"/>
  <c r="BI20" i="26"/>
  <c r="BD6" i="26"/>
  <c r="BJ20" i="26"/>
  <c r="BE6" i="26"/>
  <c r="BK20" i="26"/>
  <c r="BF6" i="26"/>
  <c r="BL20" i="26"/>
  <c r="BG6" i="26"/>
  <c r="BM20" i="26"/>
  <c r="BH6" i="26"/>
  <c r="BN20" i="26"/>
  <c r="AP20" i="26"/>
  <c r="AK7" i="26"/>
  <c r="AQ21" i="26"/>
  <c r="AL7" i="26"/>
  <c r="AR21" i="26"/>
  <c r="AM7" i="26"/>
  <c r="AS21" i="26"/>
  <c r="AN7" i="26"/>
  <c r="AT21" i="26"/>
  <c r="AO7" i="26"/>
  <c r="AU21" i="26"/>
  <c r="AP7" i="26"/>
  <c r="AV21" i="26"/>
  <c r="AQ7" i="26"/>
  <c r="AW21" i="26"/>
  <c r="AR7" i="26"/>
  <c r="AX21" i="26"/>
  <c r="AS7" i="26"/>
  <c r="AY21" i="26"/>
  <c r="AT7" i="26"/>
  <c r="AZ21" i="26"/>
  <c r="AU7" i="26"/>
  <c r="BA21" i="26"/>
  <c r="AV7" i="26"/>
  <c r="BB21" i="26"/>
  <c r="AW7" i="26"/>
  <c r="BC21" i="26"/>
  <c r="AX7" i="26"/>
  <c r="BD21" i="26"/>
  <c r="AY7" i="26"/>
  <c r="BE21" i="26"/>
  <c r="AZ7" i="26"/>
  <c r="BF21" i="26"/>
  <c r="BA7" i="26"/>
  <c r="BG21" i="26"/>
  <c r="BB7" i="26"/>
  <c r="BH21" i="26"/>
  <c r="BC7" i="26"/>
  <c r="BI21" i="26"/>
  <c r="BD7" i="26"/>
  <c r="BJ21" i="26"/>
  <c r="BE7" i="26"/>
  <c r="BK21" i="26"/>
  <c r="BF7" i="26"/>
  <c r="BL21" i="26"/>
  <c r="BG7" i="26"/>
  <c r="BM21" i="26"/>
  <c r="BH7" i="26"/>
  <c r="BN21" i="26"/>
  <c r="AP21" i="26"/>
  <c r="AK8" i="26"/>
  <c r="AQ22" i="26"/>
  <c r="AL8" i="26"/>
  <c r="AR22" i="26"/>
  <c r="AM8" i="26"/>
  <c r="AS22" i="26"/>
  <c r="AN8" i="26"/>
  <c r="AT22" i="26"/>
  <c r="AO8" i="26"/>
  <c r="AU22" i="26"/>
  <c r="AP8" i="26"/>
  <c r="AV22" i="26"/>
  <c r="AQ8" i="26"/>
  <c r="AW22" i="26"/>
  <c r="AR8" i="26"/>
  <c r="AX22" i="26"/>
  <c r="AS8" i="26"/>
  <c r="AY22" i="26"/>
  <c r="AT8" i="26"/>
  <c r="AZ22" i="26"/>
  <c r="AU8" i="26"/>
  <c r="BA22" i="26"/>
  <c r="AV8" i="26"/>
  <c r="BB22" i="26"/>
  <c r="AW8" i="26"/>
  <c r="BC22" i="26"/>
  <c r="AX8" i="26"/>
  <c r="BD22" i="26"/>
  <c r="AY8" i="26"/>
  <c r="BE22" i="26"/>
  <c r="AZ8" i="26"/>
  <c r="BF22" i="26"/>
  <c r="BA8" i="26"/>
  <c r="BG22" i="26"/>
  <c r="BB8" i="26"/>
  <c r="BH22" i="26"/>
  <c r="BC8" i="26"/>
  <c r="BI22" i="26"/>
  <c r="BD8" i="26"/>
  <c r="BJ22" i="26"/>
  <c r="BE8" i="26"/>
  <c r="BK22" i="26"/>
  <c r="BF8" i="26"/>
  <c r="BL22" i="26"/>
  <c r="BG8" i="26"/>
  <c r="BM22" i="26"/>
  <c r="BH8" i="26"/>
  <c r="BN22" i="26"/>
  <c r="AP22" i="26"/>
  <c r="AK9" i="26"/>
  <c r="AQ23" i="26"/>
  <c r="AL9" i="26"/>
  <c r="AR23" i="26"/>
  <c r="AM9" i="26"/>
  <c r="AS23" i="26"/>
  <c r="AN9" i="26"/>
  <c r="AT23" i="26"/>
  <c r="AO9" i="26"/>
  <c r="AU23" i="26"/>
  <c r="AP9" i="26"/>
  <c r="AV23" i="26"/>
  <c r="AQ9" i="26"/>
  <c r="AW23" i="26"/>
  <c r="AR9" i="26"/>
  <c r="AX23" i="26"/>
  <c r="AS9" i="26"/>
  <c r="AY23" i="26"/>
  <c r="AT9" i="26"/>
  <c r="AZ23" i="26"/>
  <c r="AU9" i="26"/>
  <c r="BA23" i="26"/>
  <c r="AV9" i="26"/>
  <c r="BB23" i="26"/>
  <c r="AW9" i="26"/>
  <c r="BC23" i="26"/>
  <c r="AX9" i="26"/>
  <c r="BD23" i="26"/>
  <c r="AY9" i="26"/>
  <c r="BE23" i="26"/>
  <c r="AZ9" i="26"/>
  <c r="BF23" i="26"/>
  <c r="BA9" i="26"/>
  <c r="BG23" i="26"/>
  <c r="BB9" i="26"/>
  <c r="BH23" i="26"/>
  <c r="BC9" i="26"/>
  <c r="BI23" i="26"/>
  <c r="BD9" i="26"/>
  <c r="BJ23" i="26"/>
  <c r="BE9" i="26"/>
  <c r="BK23" i="26"/>
  <c r="BF9" i="26"/>
  <c r="BL23" i="26"/>
  <c r="BG9" i="26"/>
  <c r="BM23" i="26"/>
  <c r="BH9" i="26"/>
  <c r="BN23" i="26"/>
  <c r="AP23" i="26"/>
  <c r="AK10" i="26"/>
  <c r="AQ24" i="26"/>
  <c r="AL10" i="26"/>
  <c r="AR24" i="26"/>
  <c r="AM10" i="26"/>
  <c r="AS24" i="26"/>
  <c r="AN10" i="26"/>
  <c r="AT24" i="26"/>
  <c r="AO10" i="26"/>
  <c r="AU24" i="26"/>
  <c r="AP10" i="26"/>
  <c r="AV24" i="26"/>
  <c r="AQ10" i="26"/>
  <c r="AW24" i="26"/>
  <c r="AR10" i="26"/>
  <c r="AX24" i="26"/>
  <c r="AS10" i="26"/>
  <c r="AY24" i="26"/>
  <c r="AT10" i="26"/>
  <c r="AZ24" i="26"/>
  <c r="AU10" i="26"/>
  <c r="BA24" i="26"/>
  <c r="AV10" i="26"/>
  <c r="BB24" i="26"/>
  <c r="AW10" i="26"/>
  <c r="BC24" i="26"/>
  <c r="AX10" i="26"/>
  <c r="BD24" i="26"/>
  <c r="AY10" i="26"/>
  <c r="BE24" i="26"/>
  <c r="AZ10" i="26"/>
  <c r="BF24" i="26"/>
  <c r="BA10" i="26"/>
  <c r="BG24" i="26"/>
  <c r="BB10" i="26"/>
  <c r="BH24" i="26"/>
  <c r="BC10" i="26"/>
  <c r="BI24" i="26"/>
  <c r="BD10" i="26"/>
  <c r="BJ24" i="26"/>
  <c r="BE10" i="26"/>
  <c r="BK24" i="26"/>
  <c r="BF10" i="26"/>
  <c r="BL24" i="26"/>
  <c r="BG10" i="26"/>
  <c r="BM24" i="26"/>
  <c r="BH10" i="26"/>
  <c r="BN24" i="26"/>
  <c r="AP24" i="26"/>
  <c r="AK11" i="26"/>
  <c r="AQ25" i="26"/>
  <c r="AL11" i="26"/>
  <c r="AR25" i="26"/>
  <c r="AM11" i="26"/>
  <c r="AS25" i="26"/>
  <c r="AN11" i="26"/>
  <c r="AT25" i="26"/>
  <c r="AO11" i="26"/>
  <c r="AU25" i="26"/>
  <c r="AP11" i="26"/>
  <c r="AV25" i="26"/>
  <c r="AQ11" i="26"/>
  <c r="AW25" i="26"/>
  <c r="AR11" i="26"/>
  <c r="AX25" i="26"/>
  <c r="AS11" i="26"/>
  <c r="AY25" i="26"/>
  <c r="AT11" i="26"/>
  <c r="AZ25" i="26"/>
  <c r="AU11" i="26"/>
  <c r="BA25" i="26"/>
  <c r="AV11" i="26"/>
  <c r="BB25" i="26"/>
  <c r="AW11" i="26"/>
  <c r="BC25" i="26"/>
  <c r="AX11" i="26"/>
  <c r="BD25" i="26"/>
  <c r="AY11" i="26"/>
  <c r="BE25" i="26"/>
  <c r="AZ11" i="26"/>
  <c r="BF25" i="26"/>
  <c r="BA11" i="26"/>
  <c r="BG25" i="26"/>
  <c r="BB11" i="26"/>
  <c r="BH25" i="26"/>
  <c r="BC11" i="26"/>
  <c r="BI25" i="26"/>
  <c r="BD11" i="26"/>
  <c r="BJ25" i="26"/>
  <c r="BE11" i="26"/>
  <c r="BK25" i="26"/>
  <c r="BF11" i="26"/>
  <c r="BL25" i="26"/>
  <c r="BG11" i="26"/>
  <c r="BM25" i="26"/>
  <c r="BH11" i="26"/>
  <c r="BN25" i="26"/>
  <c r="AP25" i="26"/>
  <c r="AK12" i="26"/>
  <c r="AQ26" i="26"/>
  <c r="AL12" i="26"/>
  <c r="AR26" i="26"/>
  <c r="AM12" i="26"/>
  <c r="AS26" i="26"/>
  <c r="AN12" i="26"/>
  <c r="AT26" i="26"/>
  <c r="AO12" i="26"/>
  <c r="AU26" i="26"/>
  <c r="AP12" i="26"/>
  <c r="AV26" i="26"/>
  <c r="AQ12" i="26"/>
  <c r="AW26" i="26"/>
  <c r="AR12" i="26"/>
  <c r="AX26" i="26"/>
  <c r="AS12" i="26"/>
  <c r="AY26" i="26"/>
  <c r="AT12" i="26"/>
  <c r="AZ26" i="26"/>
  <c r="AU12" i="26"/>
  <c r="BA26" i="26"/>
  <c r="AV12" i="26"/>
  <c r="BB26" i="26"/>
  <c r="AW12" i="26"/>
  <c r="BC26" i="26"/>
  <c r="AX12" i="26"/>
  <c r="BD26" i="26"/>
  <c r="AY12" i="26"/>
  <c r="BE26" i="26"/>
  <c r="AZ12" i="26"/>
  <c r="BF26" i="26"/>
  <c r="BA12" i="26"/>
  <c r="BG26" i="26"/>
  <c r="BB12" i="26"/>
  <c r="BH26" i="26"/>
  <c r="BC12" i="26"/>
  <c r="BI26" i="26"/>
  <c r="BD12" i="26"/>
  <c r="BJ26" i="26"/>
  <c r="BE12" i="26"/>
  <c r="BK26" i="26"/>
  <c r="BF12" i="26"/>
  <c r="BL26" i="26"/>
  <c r="BG12" i="26"/>
  <c r="BM26" i="26"/>
  <c r="BH12" i="26"/>
  <c r="BN26" i="26"/>
  <c r="AP26" i="26"/>
  <c r="AK13" i="26"/>
  <c r="AQ27" i="26"/>
  <c r="AL13" i="26"/>
  <c r="AR27" i="26"/>
  <c r="AM13" i="26"/>
  <c r="AS27" i="26"/>
  <c r="AN13" i="26"/>
  <c r="AT27" i="26"/>
  <c r="AO13" i="26"/>
  <c r="AU27" i="26"/>
  <c r="AP13" i="26"/>
  <c r="AV27" i="26"/>
  <c r="AQ13" i="26"/>
  <c r="AW27" i="26"/>
  <c r="AR13" i="26"/>
  <c r="AX27" i="26"/>
  <c r="AS13" i="26"/>
  <c r="AY27" i="26"/>
  <c r="AT13" i="26"/>
  <c r="AZ27" i="26"/>
  <c r="AU13" i="26"/>
  <c r="BA27" i="26"/>
  <c r="AV13" i="26"/>
  <c r="BB27" i="26"/>
  <c r="AW13" i="26"/>
  <c r="BC27" i="26"/>
  <c r="AX13" i="26"/>
  <c r="BD27" i="26"/>
  <c r="AY13" i="26"/>
  <c r="BE27" i="26"/>
  <c r="AZ13" i="26"/>
  <c r="BF27" i="26"/>
  <c r="BA13" i="26"/>
  <c r="BG27" i="26"/>
  <c r="BB13" i="26"/>
  <c r="BH27" i="26"/>
  <c r="BC13" i="26"/>
  <c r="BI27" i="26"/>
  <c r="BD13" i="26"/>
  <c r="BJ27" i="26"/>
  <c r="BE13" i="26"/>
  <c r="BK27" i="26"/>
  <c r="BF13" i="26"/>
  <c r="BL27" i="26"/>
  <c r="BG13" i="26"/>
  <c r="BM27" i="26"/>
  <c r="BH13" i="26"/>
  <c r="BN27" i="26"/>
  <c r="AP27" i="26"/>
  <c r="AP28" i="26"/>
  <c r="AN16" i="26"/>
  <c r="AN17" i="26"/>
  <c r="AN18" i="26"/>
  <c r="AN19" i="26"/>
  <c r="AN20" i="26"/>
  <c r="AN21" i="26"/>
  <c r="AN22" i="26"/>
  <c r="AN23" i="26"/>
  <c r="AN24" i="26"/>
  <c r="AN25" i="26"/>
  <c r="AN26" i="26"/>
  <c r="AN27" i="26"/>
  <c r="AN28" i="26"/>
  <c r="AM16" i="26"/>
  <c r="AM17" i="26"/>
  <c r="AM18" i="26"/>
  <c r="AM19" i="26"/>
  <c r="AM20" i="26"/>
  <c r="AM21" i="26"/>
  <c r="AM22" i="26"/>
  <c r="AM23" i="26"/>
  <c r="AM24" i="26"/>
  <c r="AM25" i="26"/>
  <c r="AM26" i="26"/>
  <c r="AM27" i="26"/>
  <c r="AM28" i="26"/>
  <c r="AL16" i="26"/>
  <c r="AL17" i="26"/>
  <c r="AL18" i="26"/>
  <c r="AL19" i="26"/>
  <c r="AL20" i="26"/>
  <c r="AL21" i="26"/>
  <c r="AL22" i="26"/>
  <c r="AL23" i="26"/>
  <c r="AL24" i="26"/>
  <c r="AL25" i="26"/>
  <c r="AL26" i="26"/>
  <c r="AL27" i="26"/>
  <c r="AL28" i="26"/>
  <c r="AK16" i="26"/>
  <c r="AK17" i="26"/>
  <c r="AK18" i="26"/>
  <c r="AK19" i="26"/>
  <c r="AK20" i="26"/>
  <c r="AK21" i="26"/>
  <c r="AK22" i="26"/>
  <c r="AK23" i="26"/>
  <c r="AK24" i="26"/>
  <c r="AK25" i="26"/>
  <c r="AK26" i="26"/>
  <c r="AK27" i="26"/>
  <c r="AK28" i="26"/>
  <c r="Z2" i="26"/>
  <c r="AA2" i="26"/>
  <c r="AB2" i="26"/>
  <c r="AC2" i="26"/>
  <c r="AA16" i="26"/>
  <c r="Z3" i="26"/>
  <c r="AA3" i="26"/>
  <c r="AB3" i="26"/>
  <c r="AC3" i="26"/>
  <c r="AA17" i="26"/>
  <c r="Z4" i="26"/>
  <c r="AA4" i="26"/>
  <c r="AB4" i="26"/>
  <c r="AC4" i="26"/>
  <c r="AA18" i="26"/>
  <c r="Z5" i="26"/>
  <c r="AA5" i="26"/>
  <c r="AB5" i="26"/>
  <c r="AC5" i="26"/>
  <c r="AA19" i="26"/>
  <c r="Z6" i="26"/>
  <c r="AA6" i="26"/>
  <c r="AB6" i="26"/>
  <c r="AC6" i="26"/>
  <c r="AA20" i="26"/>
  <c r="Z7" i="26"/>
  <c r="AA7" i="26"/>
  <c r="AB7" i="26"/>
  <c r="AC7" i="26"/>
  <c r="AA21" i="26"/>
  <c r="Z8" i="26"/>
  <c r="AA8" i="26"/>
  <c r="AB8" i="26"/>
  <c r="AC8" i="26"/>
  <c r="AA22" i="26"/>
  <c r="Z9" i="26"/>
  <c r="AA9" i="26"/>
  <c r="AB9" i="26"/>
  <c r="AC9" i="26"/>
  <c r="AA23" i="26"/>
  <c r="Z10" i="26"/>
  <c r="AA10" i="26"/>
  <c r="AB10" i="26"/>
  <c r="AC10" i="26"/>
  <c r="AA24" i="26"/>
  <c r="Z11" i="26"/>
  <c r="AA11" i="26"/>
  <c r="AB11" i="26"/>
  <c r="AC11" i="26"/>
  <c r="AA25" i="26"/>
  <c r="Z12" i="26"/>
  <c r="AA12" i="26"/>
  <c r="AB12" i="26"/>
  <c r="AC12" i="26"/>
  <c r="AA26" i="26"/>
  <c r="Z13" i="26"/>
  <c r="AA13" i="26"/>
  <c r="AB13" i="26"/>
  <c r="AC13" i="26"/>
  <c r="AA27" i="26"/>
  <c r="AA28" i="26"/>
  <c r="Z16" i="26"/>
  <c r="Z17" i="26"/>
  <c r="Z18" i="26"/>
  <c r="Z19" i="26"/>
  <c r="Z20" i="26"/>
  <c r="Z21" i="26"/>
  <c r="Z22" i="26"/>
  <c r="Z23" i="26"/>
  <c r="Z24" i="26"/>
  <c r="Z25" i="26"/>
  <c r="Z26" i="26"/>
  <c r="Z27" i="26"/>
  <c r="Z28" i="26"/>
  <c r="S28" i="26"/>
  <c r="R28" i="26"/>
  <c r="Q28" i="26"/>
  <c r="P28" i="26"/>
  <c r="N28" i="26"/>
  <c r="M28" i="26"/>
  <c r="L28" i="26"/>
  <c r="K28" i="26"/>
  <c r="D27" i="26"/>
  <c r="G26" i="26"/>
  <c r="N25" i="26"/>
  <c r="M25" i="26"/>
  <c r="L25" i="26"/>
  <c r="K25" i="26"/>
  <c r="D25" i="26"/>
  <c r="G24" i="26"/>
  <c r="H16" i="26"/>
  <c r="D23" i="26"/>
  <c r="G22" i="26"/>
  <c r="G16" i="26"/>
  <c r="D21" i="26"/>
  <c r="G20" i="26"/>
  <c r="M19" i="26"/>
  <c r="W16" i="26"/>
  <c r="V16" i="26"/>
  <c r="U16" i="26"/>
  <c r="E50" i="25"/>
  <c r="A50" i="25"/>
  <c r="E49" i="25"/>
  <c r="A49" i="25"/>
  <c r="E48" i="25"/>
  <c r="A48" i="25"/>
  <c r="E47" i="25"/>
  <c r="A47" i="25"/>
  <c r="E46" i="25"/>
  <c r="A46" i="25"/>
  <c r="E45" i="25"/>
  <c r="A45" i="25"/>
  <c r="E44" i="25"/>
  <c r="A44" i="25"/>
  <c r="E43" i="25"/>
  <c r="A43" i="25"/>
  <c r="X15" i="25"/>
  <c r="E42" i="25"/>
  <c r="AE19" i="25"/>
  <c r="A42" i="25"/>
  <c r="X14" i="25"/>
  <c r="E41" i="25"/>
  <c r="AE18" i="25"/>
  <c r="A41" i="25"/>
  <c r="X13" i="25"/>
  <c r="E40" i="25"/>
  <c r="A40" i="25"/>
  <c r="X12" i="25"/>
  <c r="E39" i="25"/>
  <c r="AE2" i="25"/>
  <c r="AF2" i="25"/>
  <c r="AG2" i="25"/>
  <c r="AH2" i="25"/>
  <c r="AI2" i="25"/>
  <c r="AE16" i="25"/>
  <c r="AF16" i="25"/>
  <c r="AG16" i="25"/>
  <c r="A39" i="25"/>
  <c r="X11" i="25"/>
  <c r="X10" i="25"/>
  <c r="X9" i="25"/>
  <c r="R16" i="25"/>
  <c r="Q16" i="25"/>
  <c r="X8" i="25"/>
  <c r="X7" i="25"/>
  <c r="X4" i="25"/>
  <c r="X5" i="25"/>
  <c r="X6" i="25"/>
  <c r="AE3" i="25"/>
  <c r="AF3" i="25"/>
  <c r="AG3" i="25"/>
  <c r="AH3" i="25"/>
  <c r="AI3" i="25"/>
  <c r="AG17" i="25"/>
  <c r="AE4" i="25"/>
  <c r="AF4" i="25"/>
  <c r="AG4" i="25"/>
  <c r="AH4" i="25"/>
  <c r="AI4" i="25"/>
  <c r="AG18" i="25"/>
  <c r="AE5" i="25"/>
  <c r="AF5" i="25"/>
  <c r="AG5" i="25"/>
  <c r="AH5" i="25"/>
  <c r="AI5" i="25"/>
  <c r="AG19" i="25"/>
  <c r="AE6" i="25"/>
  <c r="AF6" i="25"/>
  <c r="AG6" i="25"/>
  <c r="AH6" i="25"/>
  <c r="AI6" i="25"/>
  <c r="AG20" i="25"/>
  <c r="AE7" i="25"/>
  <c r="AF7" i="25"/>
  <c r="AG7" i="25"/>
  <c r="AH7" i="25"/>
  <c r="AI7" i="25"/>
  <c r="AG21" i="25"/>
  <c r="AE8" i="25"/>
  <c r="AF8" i="25"/>
  <c r="AG8" i="25"/>
  <c r="AH8" i="25"/>
  <c r="AI8" i="25"/>
  <c r="AG22" i="25"/>
  <c r="AE10" i="25"/>
  <c r="AF10" i="25"/>
  <c r="AG10" i="25"/>
  <c r="AH10" i="25"/>
  <c r="AI10" i="25"/>
  <c r="AG24" i="25"/>
  <c r="AE11" i="25"/>
  <c r="AF11" i="25"/>
  <c r="AG11" i="25"/>
  <c r="AH11" i="25"/>
  <c r="AI11" i="25"/>
  <c r="AG25" i="25"/>
  <c r="AE12" i="25"/>
  <c r="AF12" i="25"/>
  <c r="AG12" i="25"/>
  <c r="AH12" i="25"/>
  <c r="AI12" i="25"/>
  <c r="AG26" i="25"/>
  <c r="AE13" i="25"/>
  <c r="AF13" i="25"/>
  <c r="AG13" i="25"/>
  <c r="AH13" i="25"/>
  <c r="AI13" i="25"/>
  <c r="AG27" i="25"/>
  <c r="AF17" i="25"/>
  <c r="AF18" i="25"/>
  <c r="AF19" i="25"/>
  <c r="AF20" i="25"/>
  <c r="AF21" i="25"/>
  <c r="AF22" i="25"/>
  <c r="AF24" i="25"/>
  <c r="AF25" i="25"/>
  <c r="AF26" i="25"/>
  <c r="AF27" i="25"/>
  <c r="J29" i="25"/>
  <c r="I29" i="25"/>
  <c r="H29" i="25"/>
  <c r="G29" i="25"/>
  <c r="F16" i="25"/>
  <c r="D29" i="25"/>
  <c r="AK2" i="25"/>
  <c r="AQ16" i="25"/>
  <c r="AL2" i="25"/>
  <c r="AR16" i="25"/>
  <c r="AM2" i="25"/>
  <c r="AS16" i="25"/>
  <c r="AN2" i="25"/>
  <c r="AT16" i="25"/>
  <c r="AO2" i="25"/>
  <c r="AU16" i="25"/>
  <c r="AP2" i="25"/>
  <c r="AV16" i="25"/>
  <c r="AQ2" i="25"/>
  <c r="AW16" i="25"/>
  <c r="AR2" i="25"/>
  <c r="AX16" i="25"/>
  <c r="AS2" i="25"/>
  <c r="AY16" i="25"/>
  <c r="AT2" i="25"/>
  <c r="AZ16" i="25"/>
  <c r="AU2" i="25"/>
  <c r="BA16" i="25"/>
  <c r="AV2" i="25"/>
  <c r="BB16" i="25"/>
  <c r="AW2" i="25"/>
  <c r="BC16" i="25"/>
  <c r="AX2" i="25"/>
  <c r="BD16" i="25"/>
  <c r="AY2" i="25"/>
  <c r="BE16" i="25"/>
  <c r="AZ2" i="25"/>
  <c r="BF16" i="25"/>
  <c r="BA2" i="25"/>
  <c r="BG16" i="25"/>
  <c r="BB2" i="25"/>
  <c r="BH16" i="25"/>
  <c r="BC2" i="25"/>
  <c r="BI16" i="25"/>
  <c r="BD2" i="25"/>
  <c r="BJ16" i="25"/>
  <c r="BE2" i="25"/>
  <c r="BK16" i="25"/>
  <c r="BF2" i="25"/>
  <c r="BL16" i="25"/>
  <c r="BG2" i="25"/>
  <c r="BM16" i="25"/>
  <c r="BH2" i="25"/>
  <c r="BN16" i="25"/>
  <c r="AP16" i="25"/>
  <c r="AK3" i="25"/>
  <c r="AQ17" i="25"/>
  <c r="AL3" i="25"/>
  <c r="AR17" i="25"/>
  <c r="AM3" i="25"/>
  <c r="AS17" i="25"/>
  <c r="AN3" i="25"/>
  <c r="AT17" i="25"/>
  <c r="AO3" i="25"/>
  <c r="AU17" i="25"/>
  <c r="AP3" i="25"/>
  <c r="AV17" i="25"/>
  <c r="AQ3" i="25"/>
  <c r="AW17" i="25"/>
  <c r="AR3" i="25"/>
  <c r="AX17" i="25"/>
  <c r="AS3" i="25"/>
  <c r="AY17" i="25"/>
  <c r="AT3" i="25"/>
  <c r="AZ17" i="25"/>
  <c r="AU3" i="25"/>
  <c r="BA17" i="25"/>
  <c r="AV3" i="25"/>
  <c r="BB17" i="25"/>
  <c r="AW3" i="25"/>
  <c r="BC17" i="25"/>
  <c r="AX3" i="25"/>
  <c r="BD17" i="25"/>
  <c r="AY3" i="25"/>
  <c r="BE17" i="25"/>
  <c r="AZ3" i="25"/>
  <c r="BF17" i="25"/>
  <c r="BA3" i="25"/>
  <c r="BG17" i="25"/>
  <c r="BB3" i="25"/>
  <c r="BH17" i="25"/>
  <c r="BC3" i="25"/>
  <c r="BI17" i="25"/>
  <c r="BD3" i="25"/>
  <c r="BJ17" i="25"/>
  <c r="BE3" i="25"/>
  <c r="BK17" i="25"/>
  <c r="BF3" i="25"/>
  <c r="BL17" i="25"/>
  <c r="BG3" i="25"/>
  <c r="BM17" i="25"/>
  <c r="BH3" i="25"/>
  <c r="BN17" i="25"/>
  <c r="AP17" i="25"/>
  <c r="AK4" i="25"/>
  <c r="AQ18" i="25"/>
  <c r="AL4" i="25"/>
  <c r="AR18" i="25"/>
  <c r="AM4" i="25"/>
  <c r="AS18" i="25"/>
  <c r="AN4" i="25"/>
  <c r="AT18" i="25"/>
  <c r="AO4" i="25"/>
  <c r="AU18" i="25"/>
  <c r="AP4" i="25"/>
  <c r="AV18" i="25"/>
  <c r="AQ4" i="25"/>
  <c r="AW18" i="25"/>
  <c r="AR4" i="25"/>
  <c r="AX18" i="25"/>
  <c r="AS4" i="25"/>
  <c r="AY18" i="25"/>
  <c r="AT4" i="25"/>
  <c r="AZ18" i="25"/>
  <c r="AU4" i="25"/>
  <c r="BA18" i="25"/>
  <c r="AV4" i="25"/>
  <c r="BB18" i="25"/>
  <c r="AW4" i="25"/>
  <c r="BC18" i="25"/>
  <c r="AX4" i="25"/>
  <c r="BD18" i="25"/>
  <c r="AY4" i="25"/>
  <c r="BE18" i="25"/>
  <c r="AZ4" i="25"/>
  <c r="BF18" i="25"/>
  <c r="BA4" i="25"/>
  <c r="BG18" i="25"/>
  <c r="BB4" i="25"/>
  <c r="BH18" i="25"/>
  <c r="BC4" i="25"/>
  <c r="BI18" i="25"/>
  <c r="BD4" i="25"/>
  <c r="BJ18" i="25"/>
  <c r="BE4" i="25"/>
  <c r="BK18" i="25"/>
  <c r="BF4" i="25"/>
  <c r="BL18" i="25"/>
  <c r="BG4" i="25"/>
  <c r="BM18" i="25"/>
  <c r="BH4" i="25"/>
  <c r="BN18" i="25"/>
  <c r="AP18" i="25"/>
  <c r="AK5" i="25"/>
  <c r="AQ19" i="25"/>
  <c r="AL5" i="25"/>
  <c r="AR19" i="25"/>
  <c r="AM5" i="25"/>
  <c r="AS19" i="25"/>
  <c r="AN5" i="25"/>
  <c r="AT19" i="25"/>
  <c r="AO5" i="25"/>
  <c r="AU19" i="25"/>
  <c r="AP5" i="25"/>
  <c r="AV19" i="25"/>
  <c r="AQ5" i="25"/>
  <c r="AW19" i="25"/>
  <c r="AR5" i="25"/>
  <c r="AX19" i="25"/>
  <c r="AS5" i="25"/>
  <c r="AY19" i="25"/>
  <c r="AT5" i="25"/>
  <c r="AZ19" i="25"/>
  <c r="AU5" i="25"/>
  <c r="BA19" i="25"/>
  <c r="AV5" i="25"/>
  <c r="BB19" i="25"/>
  <c r="AW5" i="25"/>
  <c r="BC19" i="25"/>
  <c r="AX5" i="25"/>
  <c r="BD19" i="25"/>
  <c r="AY5" i="25"/>
  <c r="BE19" i="25"/>
  <c r="AZ5" i="25"/>
  <c r="BF19" i="25"/>
  <c r="BA5" i="25"/>
  <c r="BG19" i="25"/>
  <c r="BB5" i="25"/>
  <c r="BH19" i="25"/>
  <c r="BC5" i="25"/>
  <c r="BI19" i="25"/>
  <c r="BD5" i="25"/>
  <c r="BJ19" i="25"/>
  <c r="BE5" i="25"/>
  <c r="BK19" i="25"/>
  <c r="BF5" i="25"/>
  <c r="BL19" i="25"/>
  <c r="BG5" i="25"/>
  <c r="BM19" i="25"/>
  <c r="BH5" i="25"/>
  <c r="BN19" i="25"/>
  <c r="AP19" i="25"/>
  <c r="AK6" i="25"/>
  <c r="AQ20" i="25"/>
  <c r="AL6" i="25"/>
  <c r="AR20" i="25"/>
  <c r="AM6" i="25"/>
  <c r="AS20" i="25"/>
  <c r="AN6" i="25"/>
  <c r="AT20" i="25"/>
  <c r="AO6" i="25"/>
  <c r="AU20" i="25"/>
  <c r="AP6" i="25"/>
  <c r="AV20" i="25"/>
  <c r="AQ6" i="25"/>
  <c r="AW20" i="25"/>
  <c r="AR6" i="25"/>
  <c r="AX20" i="25"/>
  <c r="AS6" i="25"/>
  <c r="AY20" i="25"/>
  <c r="AT6" i="25"/>
  <c r="AZ20" i="25"/>
  <c r="AU6" i="25"/>
  <c r="BA20" i="25"/>
  <c r="AV6" i="25"/>
  <c r="BB20" i="25"/>
  <c r="AW6" i="25"/>
  <c r="BC20" i="25"/>
  <c r="AX6" i="25"/>
  <c r="BD20" i="25"/>
  <c r="AY6" i="25"/>
  <c r="BE20" i="25"/>
  <c r="AZ6" i="25"/>
  <c r="BF20" i="25"/>
  <c r="BA6" i="25"/>
  <c r="BG20" i="25"/>
  <c r="BB6" i="25"/>
  <c r="BH20" i="25"/>
  <c r="BC6" i="25"/>
  <c r="BI20" i="25"/>
  <c r="BD6" i="25"/>
  <c r="BJ20" i="25"/>
  <c r="BE6" i="25"/>
  <c r="BK20" i="25"/>
  <c r="BF6" i="25"/>
  <c r="BL20" i="25"/>
  <c r="BG6" i="25"/>
  <c r="BM20" i="25"/>
  <c r="BH6" i="25"/>
  <c r="BN20" i="25"/>
  <c r="AP20" i="25"/>
  <c r="AK7" i="25"/>
  <c r="AQ21" i="25"/>
  <c r="AL7" i="25"/>
  <c r="AR21" i="25"/>
  <c r="AM7" i="25"/>
  <c r="AS21" i="25"/>
  <c r="AN7" i="25"/>
  <c r="AT21" i="25"/>
  <c r="AO7" i="25"/>
  <c r="AU21" i="25"/>
  <c r="AP7" i="25"/>
  <c r="AV21" i="25"/>
  <c r="AQ7" i="25"/>
  <c r="AW21" i="25"/>
  <c r="AR7" i="25"/>
  <c r="AX21" i="25"/>
  <c r="AS7" i="25"/>
  <c r="AY21" i="25"/>
  <c r="AT7" i="25"/>
  <c r="AZ21" i="25"/>
  <c r="AU7" i="25"/>
  <c r="BA21" i="25"/>
  <c r="AV7" i="25"/>
  <c r="BB21" i="25"/>
  <c r="AW7" i="25"/>
  <c r="BC21" i="25"/>
  <c r="AX7" i="25"/>
  <c r="BD21" i="25"/>
  <c r="AY7" i="25"/>
  <c r="BE21" i="25"/>
  <c r="AZ7" i="25"/>
  <c r="BF21" i="25"/>
  <c r="BA7" i="25"/>
  <c r="BG21" i="25"/>
  <c r="BB7" i="25"/>
  <c r="BH21" i="25"/>
  <c r="BC7" i="25"/>
  <c r="BI21" i="25"/>
  <c r="BD7" i="25"/>
  <c r="BJ21" i="25"/>
  <c r="BE7" i="25"/>
  <c r="BK21" i="25"/>
  <c r="BF7" i="25"/>
  <c r="BL21" i="25"/>
  <c r="BG7" i="25"/>
  <c r="BM21" i="25"/>
  <c r="BH7" i="25"/>
  <c r="BN21" i="25"/>
  <c r="AP21" i="25"/>
  <c r="AK8" i="25"/>
  <c r="AQ22" i="25"/>
  <c r="AL8" i="25"/>
  <c r="AR22" i="25"/>
  <c r="AM8" i="25"/>
  <c r="AS22" i="25"/>
  <c r="AN8" i="25"/>
  <c r="AT22" i="25"/>
  <c r="AO8" i="25"/>
  <c r="AU22" i="25"/>
  <c r="AP8" i="25"/>
  <c r="AV22" i="25"/>
  <c r="AQ8" i="25"/>
  <c r="AW22" i="25"/>
  <c r="AR8" i="25"/>
  <c r="AX22" i="25"/>
  <c r="AS8" i="25"/>
  <c r="AY22" i="25"/>
  <c r="AT8" i="25"/>
  <c r="AZ22" i="25"/>
  <c r="AU8" i="25"/>
  <c r="BA22" i="25"/>
  <c r="AV8" i="25"/>
  <c r="BB22" i="25"/>
  <c r="AW8" i="25"/>
  <c r="BC22" i="25"/>
  <c r="AX8" i="25"/>
  <c r="BD22" i="25"/>
  <c r="AY8" i="25"/>
  <c r="BE22" i="25"/>
  <c r="AZ8" i="25"/>
  <c r="BF22" i="25"/>
  <c r="BA8" i="25"/>
  <c r="BG22" i="25"/>
  <c r="BB8" i="25"/>
  <c r="BH22" i="25"/>
  <c r="BC8" i="25"/>
  <c r="BI22" i="25"/>
  <c r="BD8" i="25"/>
  <c r="BJ22" i="25"/>
  <c r="BE8" i="25"/>
  <c r="BK22" i="25"/>
  <c r="BF8" i="25"/>
  <c r="BL22" i="25"/>
  <c r="BG8" i="25"/>
  <c r="BM22" i="25"/>
  <c r="BH8" i="25"/>
  <c r="BN22" i="25"/>
  <c r="AP22" i="25"/>
  <c r="AK9" i="25"/>
  <c r="AQ23" i="25"/>
  <c r="AL9" i="25"/>
  <c r="AR23" i="25"/>
  <c r="AM9" i="25"/>
  <c r="AS23" i="25"/>
  <c r="AN9" i="25"/>
  <c r="AT23" i="25"/>
  <c r="AO9" i="25"/>
  <c r="AU23" i="25"/>
  <c r="AP9" i="25"/>
  <c r="AV23" i="25"/>
  <c r="AQ9" i="25"/>
  <c r="AW23" i="25"/>
  <c r="AR9" i="25"/>
  <c r="AX23" i="25"/>
  <c r="AS9" i="25"/>
  <c r="AY23" i="25"/>
  <c r="AT9" i="25"/>
  <c r="AZ23" i="25"/>
  <c r="AU9" i="25"/>
  <c r="BA23" i="25"/>
  <c r="AV9" i="25"/>
  <c r="BB23" i="25"/>
  <c r="AW9" i="25"/>
  <c r="BC23" i="25"/>
  <c r="AX9" i="25"/>
  <c r="BD23" i="25"/>
  <c r="AY9" i="25"/>
  <c r="BE23" i="25"/>
  <c r="AZ9" i="25"/>
  <c r="BF23" i="25"/>
  <c r="BA9" i="25"/>
  <c r="BG23" i="25"/>
  <c r="BB9" i="25"/>
  <c r="BH23" i="25"/>
  <c r="BC9" i="25"/>
  <c r="BI23" i="25"/>
  <c r="BD9" i="25"/>
  <c r="BJ23" i="25"/>
  <c r="BE9" i="25"/>
  <c r="BK23" i="25"/>
  <c r="BF9" i="25"/>
  <c r="BL23" i="25"/>
  <c r="BG9" i="25"/>
  <c r="BM23" i="25"/>
  <c r="BH9" i="25"/>
  <c r="BN23" i="25"/>
  <c r="AP23" i="25"/>
  <c r="AK10" i="25"/>
  <c r="AQ24" i="25"/>
  <c r="AL10" i="25"/>
  <c r="AR24" i="25"/>
  <c r="AM10" i="25"/>
  <c r="AS24" i="25"/>
  <c r="AN10" i="25"/>
  <c r="AT24" i="25"/>
  <c r="AO10" i="25"/>
  <c r="AU24" i="25"/>
  <c r="AP10" i="25"/>
  <c r="AV24" i="25"/>
  <c r="AQ10" i="25"/>
  <c r="AW24" i="25"/>
  <c r="AR10" i="25"/>
  <c r="AX24" i="25"/>
  <c r="AS10" i="25"/>
  <c r="AY24" i="25"/>
  <c r="AT10" i="25"/>
  <c r="AZ24" i="25"/>
  <c r="AU10" i="25"/>
  <c r="BA24" i="25"/>
  <c r="AV10" i="25"/>
  <c r="BB24" i="25"/>
  <c r="AW10" i="25"/>
  <c r="BC24" i="25"/>
  <c r="AX10" i="25"/>
  <c r="BD24" i="25"/>
  <c r="AY10" i="25"/>
  <c r="BE24" i="25"/>
  <c r="AZ10" i="25"/>
  <c r="BF24" i="25"/>
  <c r="BA10" i="25"/>
  <c r="BG24" i="25"/>
  <c r="BB10" i="25"/>
  <c r="BH24" i="25"/>
  <c r="BC10" i="25"/>
  <c r="BI24" i="25"/>
  <c r="BD10" i="25"/>
  <c r="BJ24" i="25"/>
  <c r="BE10" i="25"/>
  <c r="BK24" i="25"/>
  <c r="BF10" i="25"/>
  <c r="BL24" i="25"/>
  <c r="BG10" i="25"/>
  <c r="BM24" i="25"/>
  <c r="BH10" i="25"/>
  <c r="BN24" i="25"/>
  <c r="AP24" i="25"/>
  <c r="AK11" i="25"/>
  <c r="AQ25" i="25"/>
  <c r="AL11" i="25"/>
  <c r="AR25" i="25"/>
  <c r="AM11" i="25"/>
  <c r="AS25" i="25"/>
  <c r="AN11" i="25"/>
  <c r="AT25" i="25"/>
  <c r="AO11" i="25"/>
  <c r="AU25" i="25"/>
  <c r="AP11" i="25"/>
  <c r="AV25" i="25"/>
  <c r="AQ11" i="25"/>
  <c r="AW25" i="25"/>
  <c r="AR11" i="25"/>
  <c r="AX25" i="25"/>
  <c r="AS11" i="25"/>
  <c r="AY25" i="25"/>
  <c r="AT11" i="25"/>
  <c r="AZ25" i="25"/>
  <c r="AU11" i="25"/>
  <c r="BA25" i="25"/>
  <c r="AV11" i="25"/>
  <c r="BB25" i="25"/>
  <c r="AW11" i="25"/>
  <c r="BC25" i="25"/>
  <c r="AX11" i="25"/>
  <c r="BD25" i="25"/>
  <c r="AY11" i="25"/>
  <c r="BE25" i="25"/>
  <c r="AZ11" i="25"/>
  <c r="BF25" i="25"/>
  <c r="BA11" i="25"/>
  <c r="BG25" i="25"/>
  <c r="BB11" i="25"/>
  <c r="BH25" i="25"/>
  <c r="BC11" i="25"/>
  <c r="BI25" i="25"/>
  <c r="BD11" i="25"/>
  <c r="BJ25" i="25"/>
  <c r="BE11" i="25"/>
  <c r="BK25" i="25"/>
  <c r="BF11" i="25"/>
  <c r="BL25" i="25"/>
  <c r="BG11" i="25"/>
  <c r="BM25" i="25"/>
  <c r="BH11" i="25"/>
  <c r="BN25" i="25"/>
  <c r="AP25" i="25"/>
  <c r="AK12" i="25"/>
  <c r="AQ26" i="25"/>
  <c r="AL12" i="25"/>
  <c r="AR26" i="25"/>
  <c r="AM12" i="25"/>
  <c r="AS26" i="25"/>
  <c r="AN12" i="25"/>
  <c r="AT26" i="25"/>
  <c r="AO12" i="25"/>
  <c r="AU26" i="25"/>
  <c r="AP12" i="25"/>
  <c r="AV26" i="25"/>
  <c r="AQ12" i="25"/>
  <c r="AW26" i="25"/>
  <c r="AR12" i="25"/>
  <c r="AX26" i="25"/>
  <c r="AS12" i="25"/>
  <c r="AY26" i="25"/>
  <c r="AT12" i="25"/>
  <c r="AZ26" i="25"/>
  <c r="AU12" i="25"/>
  <c r="BA26" i="25"/>
  <c r="AV12" i="25"/>
  <c r="BB26" i="25"/>
  <c r="AW12" i="25"/>
  <c r="BC26" i="25"/>
  <c r="AX12" i="25"/>
  <c r="BD26" i="25"/>
  <c r="AY12" i="25"/>
  <c r="BE26" i="25"/>
  <c r="AZ12" i="25"/>
  <c r="BF26" i="25"/>
  <c r="BA12" i="25"/>
  <c r="BG26" i="25"/>
  <c r="BB12" i="25"/>
  <c r="BH26" i="25"/>
  <c r="BC12" i="25"/>
  <c r="BI26" i="25"/>
  <c r="BD12" i="25"/>
  <c r="BJ26" i="25"/>
  <c r="BE12" i="25"/>
  <c r="BK26" i="25"/>
  <c r="BF12" i="25"/>
  <c r="BL26" i="25"/>
  <c r="BG12" i="25"/>
  <c r="BM26" i="25"/>
  <c r="BH12" i="25"/>
  <c r="BN26" i="25"/>
  <c r="AP26" i="25"/>
  <c r="AK13" i="25"/>
  <c r="AQ27" i="25"/>
  <c r="AL13" i="25"/>
  <c r="AR27" i="25"/>
  <c r="AM13" i="25"/>
  <c r="AS27" i="25"/>
  <c r="AN13" i="25"/>
  <c r="AT27" i="25"/>
  <c r="AO13" i="25"/>
  <c r="AU27" i="25"/>
  <c r="AP13" i="25"/>
  <c r="AV27" i="25"/>
  <c r="AQ13" i="25"/>
  <c r="AW27" i="25"/>
  <c r="AR13" i="25"/>
  <c r="AX27" i="25"/>
  <c r="AS13" i="25"/>
  <c r="AY27" i="25"/>
  <c r="AT13" i="25"/>
  <c r="AZ27" i="25"/>
  <c r="AU13" i="25"/>
  <c r="BA27" i="25"/>
  <c r="AV13" i="25"/>
  <c r="BB27" i="25"/>
  <c r="AW13" i="25"/>
  <c r="BC27" i="25"/>
  <c r="AX13" i="25"/>
  <c r="BD27" i="25"/>
  <c r="AY13" i="25"/>
  <c r="BE27" i="25"/>
  <c r="AZ13" i="25"/>
  <c r="BF27" i="25"/>
  <c r="BA13" i="25"/>
  <c r="BG27" i="25"/>
  <c r="BB13" i="25"/>
  <c r="BH27" i="25"/>
  <c r="BC13" i="25"/>
  <c r="BI27" i="25"/>
  <c r="BD13" i="25"/>
  <c r="BJ27" i="25"/>
  <c r="BE13" i="25"/>
  <c r="BK27" i="25"/>
  <c r="BF13" i="25"/>
  <c r="BL27" i="25"/>
  <c r="BG13" i="25"/>
  <c r="BM27" i="25"/>
  <c r="BH13" i="25"/>
  <c r="BN27" i="25"/>
  <c r="AP27" i="25"/>
  <c r="AP28" i="25"/>
  <c r="AN16" i="25"/>
  <c r="AN17" i="25"/>
  <c r="AN18" i="25"/>
  <c r="AN19" i="25"/>
  <c r="AN20" i="25"/>
  <c r="AN21" i="25"/>
  <c r="AN22" i="25"/>
  <c r="AN23" i="25"/>
  <c r="AN24" i="25"/>
  <c r="AN25" i="25"/>
  <c r="AN26" i="25"/>
  <c r="AN27" i="25"/>
  <c r="AN28" i="25"/>
  <c r="AM16" i="25"/>
  <c r="AM17" i="25"/>
  <c r="AM18" i="25"/>
  <c r="AM19" i="25"/>
  <c r="AM20" i="25"/>
  <c r="AM21" i="25"/>
  <c r="AM22" i="25"/>
  <c r="AM23" i="25"/>
  <c r="AM24" i="25"/>
  <c r="AM25" i="25"/>
  <c r="AM26" i="25"/>
  <c r="AM27" i="25"/>
  <c r="AM28" i="25"/>
  <c r="AL16" i="25"/>
  <c r="AL17" i="25"/>
  <c r="AL18" i="25"/>
  <c r="AL19" i="25"/>
  <c r="AL20" i="25"/>
  <c r="AL21" i="25"/>
  <c r="AL22" i="25"/>
  <c r="AL23" i="25"/>
  <c r="AL24" i="25"/>
  <c r="AL25" i="25"/>
  <c r="AL26" i="25"/>
  <c r="AL27" i="25"/>
  <c r="AL28" i="25"/>
  <c r="AK16" i="25"/>
  <c r="AK17" i="25"/>
  <c r="AK18" i="25"/>
  <c r="AK19" i="25"/>
  <c r="AK20" i="25"/>
  <c r="AK21" i="25"/>
  <c r="AK22" i="25"/>
  <c r="AK23" i="25"/>
  <c r="AK24" i="25"/>
  <c r="AK25" i="25"/>
  <c r="AK26" i="25"/>
  <c r="AK27" i="25"/>
  <c r="AK28" i="25"/>
  <c r="Z2" i="25"/>
  <c r="AA2" i="25"/>
  <c r="AB2" i="25"/>
  <c r="AC2" i="25"/>
  <c r="AA16" i="25"/>
  <c r="Z3" i="25"/>
  <c r="AA3" i="25"/>
  <c r="AB3" i="25"/>
  <c r="AC3" i="25"/>
  <c r="AA17" i="25"/>
  <c r="Z4" i="25"/>
  <c r="AA4" i="25"/>
  <c r="AB4" i="25"/>
  <c r="AC4" i="25"/>
  <c r="AA18" i="25"/>
  <c r="Z5" i="25"/>
  <c r="AA5" i="25"/>
  <c r="AB5" i="25"/>
  <c r="AC5" i="25"/>
  <c r="AA19" i="25"/>
  <c r="Z6" i="25"/>
  <c r="AA6" i="25"/>
  <c r="AB6" i="25"/>
  <c r="AC6" i="25"/>
  <c r="AA20" i="25"/>
  <c r="Z7" i="25"/>
  <c r="AA7" i="25"/>
  <c r="AB7" i="25"/>
  <c r="AC7" i="25"/>
  <c r="AA21" i="25"/>
  <c r="Z8" i="25"/>
  <c r="AA8" i="25"/>
  <c r="AB8" i="25"/>
  <c r="AC8" i="25"/>
  <c r="AA22" i="25"/>
  <c r="Z9" i="25"/>
  <c r="AA9" i="25"/>
  <c r="AB9" i="25"/>
  <c r="AC9" i="25"/>
  <c r="AA23" i="25"/>
  <c r="Z10" i="25"/>
  <c r="AA10" i="25"/>
  <c r="AB10" i="25"/>
  <c r="AC10" i="25"/>
  <c r="AA24" i="25"/>
  <c r="Z11" i="25"/>
  <c r="AA11" i="25"/>
  <c r="AB11" i="25"/>
  <c r="AC11" i="25"/>
  <c r="AA25" i="25"/>
  <c r="Z12" i="25"/>
  <c r="AA12" i="25"/>
  <c r="AB12" i="25"/>
  <c r="AC12" i="25"/>
  <c r="AA26" i="25"/>
  <c r="Z13" i="25"/>
  <c r="AA13" i="25"/>
  <c r="AB13" i="25"/>
  <c r="AC13" i="25"/>
  <c r="AA27" i="25"/>
  <c r="AA28" i="25"/>
  <c r="Z16" i="25"/>
  <c r="Z17" i="25"/>
  <c r="Z18" i="25"/>
  <c r="Z19" i="25"/>
  <c r="Z20" i="25"/>
  <c r="Z21" i="25"/>
  <c r="Z22" i="25"/>
  <c r="Z23" i="25"/>
  <c r="Z24" i="25"/>
  <c r="Z25" i="25"/>
  <c r="Z26" i="25"/>
  <c r="Z27" i="25"/>
  <c r="Z28" i="25"/>
  <c r="S28" i="25"/>
  <c r="R28" i="25"/>
  <c r="Q28" i="25"/>
  <c r="P28" i="25"/>
  <c r="N28" i="25"/>
  <c r="M28" i="25"/>
  <c r="L28" i="25"/>
  <c r="K28" i="25"/>
  <c r="D27" i="25"/>
  <c r="G26" i="25"/>
  <c r="N25" i="25"/>
  <c r="M25" i="25"/>
  <c r="L25" i="25"/>
  <c r="K25" i="25"/>
  <c r="D25" i="25"/>
  <c r="G24" i="25"/>
  <c r="H16" i="25"/>
  <c r="D23" i="25"/>
  <c r="G22" i="25"/>
  <c r="G16" i="25"/>
  <c r="D21" i="25"/>
  <c r="G20" i="25"/>
  <c r="M19" i="25"/>
  <c r="W16" i="25"/>
  <c r="V16" i="25"/>
  <c r="U16" i="25"/>
  <c r="M16" i="25"/>
  <c r="E50" i="24"/>
  <c r="A50" i="24"/>
  <c r="E49" i="24"/>
  <c r="A49" i="24"/>
  <c r="E48" i="24"/>
  <c r="A48" i="24"/>
  <c r="E47" i="24"/>
  <c r="A47" i="24"/>
  <c r="E46" i="24"/>
  <c r="A46" i="24"/>
  <c r="E45" i="24"/>
  <c r="A45" i="24"/>
  <c r="E44" i="24"/>
  <c r="A44" i="24"/>
  <c r="E43" i="24"/>
  <c r="A43" i="24"/>
  <c r="E42" i="24"/>
  <c r="AE19" i="24"/>
  <c r="A42" i="24"/>
  <c r="E41" i="24"/>
  <c r="AE18" i="24"/>
  <c r="A41" i="24"/>
  <c r="X13" i="24"/>
  <c r="E40" i="24"/>
  <c r="AE17" i="24"/>
  <c r="A40" i="24"/>
  <c r="X12" i="24"/>
  <c r="E39" i="24"/>
  <c r="AE16" i="24"/>
  <c r="A39" i="24"/>
  <c r="Q16" i="24"/>
  <c r="X7" i="24"/>
  <c r="X4" i="24"/>
  <c r="X5" i="24"/>
  <c r="AE2" i="24"/>
  <c r="AF2" i="24"/>
  <c r="AG2" i="24"/>
  <c r="AH2" i="24"/>
  <c r="AI2" i="24"/>
  <c r="AG16" i="24"/>
  <c r="AE3" i="24"/>
  <c r="AF3" i="24"/>
  <c r="AG3" i="24"/>
  <c r="AH3" i="24"/>
  <c r="AI3" i="24"/>
  <c r="AG17" i="24"/>
  <c r="AE4" i="24"/>
  <c r="AF4" i="24"/>
  <c r="AG4" i="24"/>
  <c r="AH4" i="24"/>
  <c r="AI4" i="24"/>
  <c r="AG18" i="24"/>
  <c r="AE5" i="24"/>
  <c r="AF5" i="24"/>
  <c r="AG5" i="24"/>
  <c r="AH5" i="24"/>
  <c r="AI5" i="24"/>
  <c r="AG19" i="24"/>
  <c r="AE6" i="24"/>
  <c r="AF6" i="24"/>
  <c r="AG6" i="24"/>
  <c r="AH6" i="24"/>
  <c r="AI6" i="24"/>
  <c r="AG20" i="24"/>
  <c r="AE7" i="24"/>
  <c r="AF7" i="24"/>
  <c r="AG7" i="24"/>
  <c r="AH7" i="24"/>
  <c r="AI7" i="24"/>
  <c r="AG21" i="24"/>
  <c r="AE9" i="24"/>
  <c r="AF9" i="24"/>
  <c r="AG9" i="24"/>
  <c r="AH9" i="24"/>
  <c r="AI9" i="24"/>
  <c r="AG23" i="24"/>
  <c r="AE10" i="24"/>
  <c r="AF10" i="24"/>
  <c r="AG10" i="24"/>
  <c r="AH10" i="24"/>
  <c r="AI10" i="24"/>
  <c r="AG24" i="24"/>
  <c r="AE11" i="24"/>
  <c r="AF11" i="24"/>
  <c r="AG11" i="24"/>
  <c r="AH11" i="24"/>
  <c r="AI11" i="24"/>
  <c r="AG25" i="24"/>
  <c r="AE12" i="24"/>
  <c r="AF12" i="24"/>
  <c r="AG12" i="24"/>
  <c r="AH12" i="24"/>
  <c r="AI12" i="24"/>
  <c r="AG26" i="24"/>
  <c r="AF16" i="24"/>
  <c r="AF17" i="24"/>
  <c r="AF18" i="24"/>
  <c r="AF19" i="24"/>
  <c r="AF20" i="24"/>
  <c r="AF21" i="24"/>
  <c r="AF23" i="24"/>
  <c r="AF24" i="24"/>
  <c r="AF25" i="24"/>
  <c r="AF26" i="24"/>
  <c r="D31" i="24"/>
  <c r="J29" i="24"/>
  <c r="I29" i="24"/>
  <c r="H29" i="24"/>
  <c r="G29" i="24"/>
  <c r="F16" i="24"/>
  <c r="D29" i="24"/>
  <c r="AK2" i="24"/>
  <c r="AQ16" i="24"/>
  <c r="AL2" i="24"/>
  <c r="AR16" i="24"/>
  <c r="AM2" i="24"/>
  <c r="AS16" i="24"/>
  <c r="AN2" i="24"/>
  <c r="AT16" i="24"/>
  <c r="AO2" i="24"/>
  <c r="AU16" i="24"/>
  <c r="AP2" i="24"/>
  <c r="AV16" i="24"/>
  <c r="AQ2" i="24"/>
  <c r="AW16" i="24"/>
  <c r="AR2" i="24"/>
  <c r="AX16" i="24"/>
  <c r="AS2" i="24"/>
  <c r="AY16" i="24"/>
  <c r="AT2" i="24"/>
  <c r="AZ16" i="24"/>
  <c r="AU2" i="24"/>
  <c r="BA16" i="24"/>
  <c r="AV2" i="24"/>
  <c r="BB16" i="24"/>
  <c r="AW2" i="24"/>
  <c r="BC16" i="24"/>
  <c r="AX2" i="24"/>
  <c r="BD16" i="24"/>
  <c r="AY2" i="24"/>
  <c r="BE16" i="24"/>
  <c r="AZ2" i="24"/>
  <c r="BF16" i="24"/>
  <c r="BA2" i="24"/>
  <c r="BG16" i="24"/>
  <c r="BB2" i="24"/>
  <c r="BH16" i="24"/>
  <c r="BC2" i="24"/>
  <c r="BI16" i="24"/>
  <c r="BD2" i="24"/>
  <c r="BJ16" i="24"/>
  <c r="BE2" i="24"/>
  <c r="BK16" i="24"/>
  <c r="BF2" i="24"/>
  <c r="BL16" i="24"/>
  <c r="BG2" i="24"/>
  <c r="BM16" i="24"/>
  <c r="BH2" i="24"/>
  <c r="BN16" i="24"/>
  <c r="AP16" i="24"/>
  <c r="AK3" i="24"/>
  <c r="AQ17" i="24"/>
  <c r="AL3" i="24"/>
  <c r="AR17" i="24"/>
  <c r="AM3" i="24"/>
  <c r="AS17" i="24"/>
  <c r="AN3" i="24"/>
  <c r="AT17" i="24"/>
  <c r="AO3" i="24"/>
  <c r="AU17" i="24"/>
  <c r="AP3" i="24"/>
  <c r="AV17" i="24"/>
  <c r="AQ3" i="24"/>
  <c r="AW17" i="24"/>
  <c r="AR3" i="24"/>
  <c r="AX17" i="24"/>
  <c r="AS3" i="24"/>
  <c r="AY17" i="24"/>
  <c r="AT3" i="24"/>
  <c r="AZ17" i="24"/>
  <c r="AU3" i="24"/>
  <c r="BA17" i="24"/>
  <c r="AV3" i="24"/>
  <c r="BB17" i="24"/>
  <c r="AW3" i="24"/>
  <c r="BC17" i="24"/>
  <c r="AX3" i="24"/>
  <c r="BD17" i="24"/>
  <c r="AY3" i="24"/>
  <c r="BE17" i="24"/>
  <c r="AZ3" i="24"/>
  <c r="BF17" i="24"/>
  <c r="BA3" i="24"/>
  <c r="BG17" i="24"/>
  <c r="BB3" i="24"/>
  <c r="BH17" i="24"/>
  <c r="BC3" i="24"/>
  <c r="BI17" i="24"/>
  <c r="BD3" i="24"/>
  <c r="BJ17" i="24"/>
  <c r="BE3" i="24"/>
  <c r="BK17" i="24"/>
  <c r="BF3" i="24"/>
  <c r="BL17" i="24"/>
  <c r="BG3" i="24"/>
  <c r="BM17" i="24"/>
  <c r="BH3" i="24"/>
  <c r="BN17" i="24"/>
  <c r="AP17" i="24"/>
  <c r="AK4" i="24"/>
  <c r="AQ18" i="24"/>
  <c r="AL4" i="24"/>
  <c r="AR18" i="24"/>
  <c r="AM4" i="24"/>
  <c r="AS18" i="24"/>
  <c r="AN4" i="24"/>
  <c r="AT18" i="24"/>
  <c r="AO4" i="24"/>
  <c r="AU18" i="24"/>
  <c r="AP4" i="24"/>
  <c r="AV18" i="24"/>
  <c r="AQ4" i="24"/>
  <c r="AW18" i="24"/>
  <c r="AR4" i="24"/>
  <c r="AX18" i="24"/>
  <c r="AS4" i="24"/>
  <c r="AY18" i="24"/>
  <c r="AT4" i="24"/>
  <c r="AZ18" i="24"/>
  <c r="AU4" i="24"/>
  <c r="BA18" i="24"/>
  <c r="AV4" i="24"/>
  <c r="BB18" i="24"/>
  <c r="AW4" i="24"/>
  <c r="BC18" i="24"/>
  <c r="AX4" i="24"/>
  <c r="BD18" i="24"/>
  <c r="AY4" i="24"/>
  <c r="BE18" i="24"/>
  <c r="AZ4" i="24"/>
  <c r="BF18" i="24"/>
  <c r="BA4" i="24"/>
  <c r="BG18" i="24"/>
  <c r="BB4" i="24"/>
  <c r="BH18" i="24"/>
  <c r="BC4" i="24"/>
  <c r="BI18" i="24"/>
  <c r="BD4" i="24"/>
  <c r="BJ18" i="24"/>
  <c r="BE4" i="24"/>
  <c r="BK18" i="24"/>
  <c r="BF4" i="24"/>
  <c r="BL18" i="24"/>
  <c r="BG4" i="24"/>
  <c r="BM18" i="24"/>
  <c r="BH4" i="24"/>
  <c r="BN18" i="24"/>
  <c r="AP18" i="24"/>
  <c r="AK5" i="24"/>
  <c r="AQ19" i="24"/>
  <c r="AL5" i="24"/>
  <c r="AR19" i="24"/>
  <c r="AM5" i="24"/>
  <c r="AS19" i="24"/>
  <c r="AN5" i="24"/>
  <c r="AT19" i="24"/>
  <c r="AO5" i="24"/>
  <c r="AU19" i="24"/>
  <c r="AP5" i="24"/>
  <c r="AV19" i="24"/>
  <c r="AQ5" i="24"/>
  <c r="AW19" i="24"/>
  <c r="AR5" i="24"/>
  <c r="AX19" i="24"/>
  <c r="AS5" i="24"/>
  <c r="AY19" i="24"/>
  <c r="AT5" i="24"/>
  <c r="AZ19" i="24"/>
  <c r="AU5" i="24"/>
  <c r="BA19" i="24"/>
  <c r="AV5" i="24"/>
  <c r="BB19" i="24"/>
  <c r="AW5" i="24"/>
  <c r="BC19" i="24"/>
  <c r="AX5" i="24"/>
  <c r="BD19" i="24"/>
  <c r="AY5" i="24"/>
  <c r="BE19" i="24"/>
  <c r="AZ5" i="24"/>
  <c r="BF19" i="24"/>
  <c r="BA5" i="24"/>
  <c r="BG19" i="24"/>
  <c r="BB5" i="24"/>
  <c r="BH19" i="24"/>
  <c r="BC5" i="24"/>
  <c r="BI19" i="24"/>
  <c r="BD5" i="24"/>
  <c r="BJ19" i="24"/>
  <c r="BE5" i="24"/>
  <c r="BK19" i="24"/>
  <c r="BF5" i="24"/>
  <c r="BL19" i="24"/>
  <c r="BG5" i="24"/>
  <c r="BM19" i="24"/>
  <c r="BH5" i="24"/>
  <c r="BN19" i="24"/>
  <c r="AP19" i="24"/>
  <c r="AK6" i="24"/>
  <c r="AQ20" i="24"/>
  <c r="AL6" i="24"/>
  <c r="AR20" i="24"/>
  <c r="AM6" i="24"/>
  <c r="AS20" i="24"/>
  <c r="AN6" i="24"/>
  <c r="AT20" i="24"/>
  <c r="AO6" i="24"/>
  <c r="AU20" i="24"/>
  <c r="AP6" i="24"/>
  <c r="AV20" i="24"/>
  <c r="AQ6" i="24"/>
  <c r="AW20" i="24"/>
  <c r="AR6" i="24"/>
  <c r="AX20" i="24"/>
  <c r="AS6" i="24"/>
  <c r="AY20" i="24"/>
  <c r="AT6" i="24"/>
  <c r="AZ20" i="24"/>
  <c r="AU6" i="24"/>
  <c r="BA20" i="24"/>
  <c r="AV6" i="24"/>
  <c r="BB20" i="24"/>
  <c r="AW6" i="24"/>
  <c r="BC20" i="24"/>
  <c r="AX6" i="24"/>
  <c r="BD20" i="24"/>
  <c r="AY6" i="24"/>
  <c r="BE20" i="24"/>
  <c r="AZ6" i="24"/>
  <c r="BF20" i="24"/>
  <c r="BA6" i="24"/>
  <c r="BG20" i="24"/>
  <c r="BB6" i="24"/>
  <c r="BH20" i="24"/>
  <c r="BC6" i="24"/>
  <c r="BI20" i="24"/>
  <c r="BD6" i="24"/>
  <c r="BJ20" i="24"/>
  <c r="BE6" i="24"/>
  <c r="BK20" i="24"/>
  <c r="BF6" i="24"/>
  <c r="BL20" i="24"/>
  <c r="BG6" i="24"/>
  <c r="BM20" i="24"/>
  <c r="BH6" i="24"/>
  <c r="BN20" i="24"/>
  <c r="AP20" i="24"/>
  <c r="AK7" i="24"/>
  <c r="AQ21" i="24"/>
  <c r="AL7" i="24"/>
  <c r="AR21" i="24"/>
  <c r="AM7" i="24"/>
  <c r="AS21" i="24"/>
  <c r="AN7" i="24"/>
  <c r="AT21" i="24"/>
  <c r="AO7" i="24"/>
  <c r="AU21" i="24"/>
  <c r="AP7" i="24"/>
  <c r="AV21" i="24"/>
  <c r="AQ7" i="24"/>
  <c r="AW21" i="24"/>
  <c r="AR7" i="24"/>
  <c r="AX21" i="24"/>
  <c r="AS7" i="24"/>
  <c r="AY21" i="24"/>
  <c r="AT7" i="24"/>
  <c r="AZ21" i="24"/>
  <c r="AU7" i="24"/>
  <c r="BA21" i="24"/>
  <c r="AV7" i="24"/>
  <c r="BB21" i="24"/>
  <c r="AW7" i="24"/>
  <c r="BC21" i="24"/>
  <c r="AX7" i="24"/>
  <c r="BD21" i="24"/>
  <c r="AY7" i="24"/>
  <c r="BE21" i="24"/>
  <c r="AZ7" i="24"/>
  <c r="BF21" i="24"/>
  <c r="BA7" i="24"/>
  <c r="BG21" i="24"/>
  <c r="BB7" i="24"/>
  <c r="BH21" i="24"/>
  <c r="BC7" i="24"/>
  <c r="BI21" i="24"/>
  <c r="BD7" i="24"/>
  <c r="BJ21" i="24"/>
  <c r="BE7" i="24"/>
  <c r="BK21" i="24"/>
  <c r="BF7" i="24"/>
  <c r="BL21" i="24"/>
  <c r="BG7" i="24"/>
  <c r="BM21" i="24"/>
  <c r="BH7" i="24"/>
  <c r="BN21" i="24"/>
  <c r="AP21" i="24"/>
  <c r="AK8" i="24"/>
  <c r="AQ22" i="24"/>
  <c r="AL8" i="24"/>
  <c r="AR22" i="24"/>
  <c r="AM8" i="24"/>
  <c r="AS22" i="24"/>
  <c r="AN8" i="24"/>
  <c r="AT22" i="24"/>
  <c r="AO8" i="24"/>
  <c r="AU22" i="24"/>
  <c r="AP8" i="24"/>
  <c r="AV22" i="24"/>
  <c r="AQ8" i="24"/>
  <c r="AW22" i="24"/>
  <c r="AR8" i="24"/>
  <c r="AX22" i="24"/>
  <c r="AS8" i="24"/>
  <c r="AY22" i="24"/>
  <c r="AT8" i="24"/>
  <c r="AZ22" i="24"/>
  <c r="AU8" i="24"/>
  <c r="BA22" i="24"/>
  <c r="AV8" i="24"/>
  <c r="BB22" i="24"/>
  <c r="AW8" i="24"/>
  <c r="BC22" i="24"/>
  <c r="AX8" i="24"/>
  <c r="BD22" i="24"/>
  <c r="AY8" i="24"/>
  <c r="BE22" i="24"/>
  <c r="AZ8" i="24"/>
  <c r="BF22" i="24"/>
  <c r="BA8" i="24"/>
  <c r="BG22" i="24"/>
  <c r="BB8" i="24"/>
  <c r="BH22" i="24"/>
  <c r="BC8" i="24"/>
  <c r="BI22" i="24"/>
  <c r="BD8" i="24"/>
  <c r="BJ22" i="24"/>
  <c r="BE8" i="24"/>
  <c r="BK22" i="24"/>
  <c r="BF8" i="24"/>
  <c r="BL22" i="24"/>
  <c r="BG8" i="24"/>
  <c r="BM22" i="24"/>
  <c r="BH8" i="24"/>
  <c r="BN22" i="24"/>
  <c r="AP22" i="24"/>
  <c r="AK9" i="24"/>
  <c r="AQ23" i="24"/>
  <c r="AL9" i="24"/>
  <c r="AR23" i="24"/>
  <c r="AM9" i="24"/>
  <c r="AS23" i="24"/>
  <c r="AN9" i="24"/>
  <c r="AT23" i="24"/>
  <c r="AO9" i="24"/>
  <c r="AU23" i="24"/>
  <c r="AP9" i="24"/>
  <c r="AV23" i="24"/>
  <c r="AQ9" i="24"/>
  <c r="AW23" i="24"/>
  <c r="AR9" i="24"/>
  <c r="AX23" i="24"/>
  <c r="AS9" i="24"/>
  <c r="AY23" i="24"/>
  <c r="AT9" i="24"/>
  <c r="AZ23" i="24"/>
  <c r="AU9" i="24"/>
  <c r="BA23" i="24"/>
  <c r="AV9" i="24"/>
  <c r="BB23" i="24"/>
  <c r="AW9" i="24"/>
  <c r="BC23" i="24"/>
  <c r="AX9" i="24"/>
  <c r="BD23" i="24"/>
  <c r="AY9" i="24"/>
  <c r="BE23" i="24"/>
  <c r="AZ9" i="24"/>
  <c r="BF23" i="24"/>
  <c r="BA9" i="24"/>
  <c r="BG23" i="24"/>
  <c r="BB9" i="24"/>
  <c r="BH23" i="24"/>
  <c r="BC9" i="24"/>
  <c r="BI23" i="24"/>
  <c r="BD9" i="24"/>
  <c r="BJ23" i="24"/>
  <c r="BE9" i="24"/>
  <c r="BK23" i="24"/>
  <c r="BF9" i="24"/>
  <c r="BL23" i="24"/>
  <c r="BG9" i="24"/>
  <c r="BM23" i="24"/>
  <c r="BH9" i="24"/>
  <c r="BN23" i="24"/>
  <c r="AP23" i="24"/>
  <c r="AK10" i="24"/>
  <c r="AQ24" i="24"/>
  <c r="AL10" i="24"/>
  <c r="AR24" i="24"/>
  <c r="AM10" i="24"/>
  <c r="AS24" i="24"/>
  <c r="AN10" i="24"/>
  <c r="AT24" i="24"/>
  <c r="AO10" i="24"/>
  <c r="AU24" i="24"/>
  <c r="AP10" i="24"/>
  <c r="AV24" i="24"/>
  <c r="AQ10" i="24"/>
  <c r="AW24" i="24"/>
  <c r="AR10" i="24"/>
  <c r="AX24" i="24"/>
  <c r="AS10" i="24"/>
  <c r="AY24" i="24"/>
  <c r="AT10" i="24"/>
  <c r="AZ24" i="24"/>
  <c r="AU10" i="24"/>
  <c r="BA24" i="24"/>
  <c r="AV10" i="24"/>
  <c r="BB24" i="24"/>
  <c r="AW10" i="24"/>
  <c r="BC24" i="24"/>
  <c r="AX10" i="24"/>
  <c r="BD24" i="24"/>
  <c r="AY10" i="24"/>
  <c r="BE24" i="24"/>
  <c r="AZ10" i="24"/>
  <c r="BF24" i="24"/>
  <c r="BA10" i="24"/>
  <c r="BG24" i="24"/>
  <c r="BB10" i="24"/>
  <c r="BH24" i="24"/>
  <c r="BC10" i="24"/>
  <c r="BI24" i="24"/>
  <c r="BD10" i="24"/>
  <c r="BJ24" i="24"/>
  <c r="BE10" i="24"/>
  <c r="BK24" i="24"/>
  <c r="BF10" i="24"/>
  <c r="BL24" i="24"/>
  <c r="BG10" i="24"/>
  <c r="BM24" i="24"/>
  <c r="BH10" i="24"/>
  <c r="BN24" i="24"/>
  <c r="AP24" i="24"/>
  <c r="AK11" i="24"/>
  <c r="AQ25" i="24"/>
  <c r="AL11" i="24"/>
  <c r="AR25" i="24"/>
  <c r="AM11" i="24"/>
  <c r="AS25" i="24"/>
  <c r="AN11" i="24"/>
  <c r="AT25" i="24"/>
  <c r="AO11" i="24"/>
  <c r="AU25" i="24"/>
  <c r="AP11" i="24"/>
  <c r="AV25" i="24"/>
  <c r="AQ11" i="24"/>
  <c r="AW25" i="24"/>
  <c r="AR11" i="24"/>
  <c r="AX25" i="24"/>
  <c r="AS11" i="24"/>
  <c r="AY25" i="24"/>
  <c r="AT11" i="24"/>
  <c r="AZ25" i="24"/>
  <c r="AU11" i="24"/>
  <c r="BA25" i="24"/>
  <c r="AV11" i="24"/>
  <c r="BB25" i="24"/>
  <c r="AW11" i="24"/>
  <c r="BC25" i="24"/>
  <c r="AX11" i="24"/>
  <c r="BD25" i="24"/>
  <c r="AY11" i="24"/>
  <c r="BE25" i="24"/>
  <c r="AZ11" i="24"/>
  <c r="BF25" i="24"/>
  <c r="BA11" i="24"/>
  <c r="BG25" i="24"/>
  <c r="BB11" i="24"/>
  <c r="BH25" i="24"/>
  <c r="BC11" i="24"/>
  <c r="BI25" i="24"/>
  <c r="BD11" i="24"/>
  <c r="BJ25" i="24"/>
  <c r="BE11" i="24"/>
  <c r="BK25" i="24"/>
  <c r="BF11" i="24"/>
  <c r="BL25" i="24"/>
  <c r="BG11" i="24"/>
  <c r="BM25" i="24"/>
  <c r="BH11" i="24"/>
  <c r="BN25" i="24"/>
  <c r="AP25" i="24"/>
  <c r="AK12" i="24"/>
  <c r="AQ26" i="24"/>
  <c r="AL12" i="24"/>
  <c r="AR26" i="24"/>
  <c r="AM12" i="24"/>
  <c r="AS26" i="24"/>
  <c r="AN12" i="24"/>
  <c r="AT26" i="24"/>
  <c r="AO12" i="24"/>
  <c r="AU26" i="24"/>
  <c r="AP12" i="24"/>
  <c r="AV26" i="24"/>
  <c r="AQ12" i="24"/>
  <c r="AW26" i="24"/>
  <c r="AR12" i="24"/>
  <c r="AX26" i="24"/>
  <c r="AS12" i="24"/>
  <c r="AY26" i="24"/>
  <c r="AT12" i="24"/>
  <c r="AZ26" i="24"/>
  <c r="AU12" i="24"/>
  <c r="BA26" i="24"/>
  <c r="AV12" i="24"/>
  <c r="BB26" i="24"/>
  <c r="AW12" i="24"/>
  <c r="BC26" i="24"/>
  <c r="AX12" i="24"/>
  <c r="BD26" i="24"/>
  <c r="AY12" i="24"/>
  <c r="BE26" i="24"/>
  <c r="AZ12" i="24"/>
  <c r="BF26" i="24"/>
  <c r="BA12" i="24"/>
  <c r="BG26" i="24"/>
  <c r="BB12" i="24"/>
  <c r="BH26" i="24"/>
  <c r="BC12" i="24"/>
  <c r="BI26" i="24"/>
  <c r="BD12" i="24"/>
  <c r="BJ26" i="24"/>
  <c r="BE12" i="24"/>
  <c r="BK26" i="24"/>
  <c r="BF12" i="24"/>
  <c r="BL26" i="24"/>
  <c r="BG12" i="24"/>
  <c r="BM26" i="24"/>
  <c r="BH12" i="24"/>
  <c r="BN26" i="24"/>
  <c r="AP26" i="24"/>
  <c r="AK13" i="24"/>
  <c r="AQ27" i="24"/>
  <c r="AL13" i="24"/>
  <c r="AR27" i="24"/>
  <c r="AM13" i="24"/>
  <c r="AS27" i="24"/>
  <c r="AN13" i="24"/>
  <c r="AT27" i="24"/>
  <c r="AO13" i="24"/>
  <c r="AU27" i="24"/>
  <c r="AP13" i="24"/>
  <c r="AV27" i="24"/>
  <c r="AQ13" i="24"/>
  <c r="AW27" i="24"/>
  <c r="AR13" i="24"/>
  <c r="AX27" i="24"/>
  <c r="AS13" i="24"/>
  <c r="AY27" i="24"/>
  <c r="AT13" i="24"/>
  <c r="AZ27" i="24"/>
  <c r="AU13" i="24"/>
  <c r="BA27" i="24"/>
  <c r="AV13" i="24"/>
  <c r="BB27" i="24"/>
  <c r="AW13" i="24"/>
  <c r="BC27" i="24"/>
  <c r="AX13" i="24"/>
  <c r="BD27" i="24"/>
  <c r="AY13" i="24"/>
  <c r="BE27" i="24"/>
  <c r="AZ13" i="24"/>
  <c r="BF27" i="24"/>
  <c r="BA13" i="24"/>
  <c r="BG27" i="24"/>
  <c r="BB13" i="24"/>
  <c r="BH27" i="24"/>
  <c r="BC13" i="24"/>
  <c r="BI27" i="24"/>
  <c r="BD13" i="24"/>
  <c r="BJ27" i="24"/>
  <c r="BE13" i="24"/>
  <c r="BK27" i="24"/>
  <c r="BF13" i="24"/>
  <c r="BL27" i="24"/>
  <c r="BG13" i="24"/>
  <c r="BM27" i="24"/>
  <c r="BH13" i="24"/>
  <c r="BN27" i="24"/>
  <c r="AP27" i="24"/>
  <c r="AP28" i="24"/>
  <c r="AN16" i="24"/>
  <c r="AN17" i="24"/>
  <c r="AN18" i="24"/>
  <c r="AN19" i="24"/>
  <c r="AN20" i="24"/>
  <c r="AN21" i="24"/>
  <c r="AN22" i="24"/>
  <c r="AN23" i="24"/>
  <c r="AN24" i="24"/>
  <c r="AN25" i="24"/>
  <c r="AN26" i="24"/>
  <c r="AN27" i="24"/>
  <c r="AN28" i="24"/>
  <c r="AM16" i="24"/>
  <c r="AM17" i="24"/>
  <c r="AM18" i="24"/>
  <c r="AM19" i="24"/>
  <c r="AM20" i="24"/>
  <c r="AM21" i="24"/>
  <c r="AM22" i="24"/>
  <c r="AM23" i="24"/>
  <c r="AM24" i="24"/>
  <c r="AM25" i="24"/>
  <c r="AM26" i="24"/>
  <c r="AM27" i="24"/>
  <c r="AM28" i="24"/>
  <c r="AL16" i="24"/>
  <c r="AL17" i="24"/>
  <c r="AL18" i="24"/>
  <c r="AL19" i="24"/>
  <c r="AL20" i="24"/>
  <c r="AL21" i="24"/>
  <c r="AL22" i="24"/>
  <c r="AL23" i="24"/>
  <c r="AL24" i="24"/>
  <c r="AL25" i="24"/>
  <c r="AL26" i="24"/>
  <c r="AL27" i="24"/>
  <c r="AL28" i="24"/>
  <c r="AK16" i="24"/>
  <c r="AK17" i="24"/>
  <c r="AK18" i="24"/>
  <c r="AK19" i="24"/>
  <c r="AK20" i="24"/>
  <c r="AK21" i="24"/>
  <c r="AK22" i="24"/>
  <c r="AK23" i="24"/>
  <c r="AK24" i="24"/>
  <c r="AK25" i="24"/>
  <c r="AK26" i="24"/>
  <c r="AK27" i="24"/>
  <c r="AK28" i="24"/>
  <c r="Z2" i="24"/>
  <c r="AA2" i="24"/>
  <c r="AB2" i="24"/>
  <c r="AC2" i="24"/>
  <c r="AA16" i="24"/>
  <c r="Z3" i="24"/>
  <c r="AA3" i="24"/>
  <c r="AB3" i="24"/>
  <c r="AC3" i="24"/>
  <c r="AA17" i="24"/>
  <c r="Z4" i="24"/>
  <c r="AA4" i="24"/>
  <c r="AB4" i="24"/>
  <c r="AC4" i="24"/>
  <c r="AA18" i="24"/>
  <c r="Z5" i="24"/>
  <c r="AA5" i="24"/>
  <c r="AB5" i="24"/>
  <c r="AC5" i="24"/>
  <c r="AA19" i="24"/>
  <c r="Z6" i="24"/>
  <c r="AA6" i="24"/>
  <c r="AB6" i="24"/>
  <c r="AC6" i="24"/>
  <c r="AA20" i="24"/>
  <c r="Z7" i="24"/>
  <c r="AA7" i="24"/>
  <c r="AB7" i="24"/>
  <c r="AC7" i="24"/>
  <c r="AA21" i="24"/>
  <c r="Z8" i="24"/>
  <c r="AA8" i="24"/>
  <c r="AB8" i="24"/>
  <c r="AC8" i="24"/>
  <c r="AA22" i="24"/>
  <c r="Z9" i="24"/>
  <c r="AA9" i="24"/>
  <c r="AB9" i="24"/>
  <c r="AC9" i="24"/>
  <c r="AA23" i="24"/>
  <c r="Z10" i="24"/>
  <c r="AA10" i="24"/>
  <c r="AB10" i="24"/>
  <c r="AC10" i="24"/>
  <c r="AA24" i="24"/>
  <c r="Z11" i="24"/>
  <c r="AA11" i="24"/>
  <c r="AB11" i="24"/>
  <c r="AC11" i="24"/>
  <c r="AA25" i="24"/>
  <c r="Z12" i="24"/>
  <c r="AA12" i="24"/>
  <c r="AB12" i="24"/>
  <c r="AC12" i="24"/>
  <c r="AA26" i="24"/>
  <c r="Z13" i="24"/>
  <c r="AA13" i="24"/>
  <c r="AB13" i="24"/>
  <c r="AC13" i="24"/>
  <c r="AA27" i="24"/>
  <c r="AA28" i="24"/>
  <c r="Z16" i="24"/>
  <c r="Z17" i="24"/>
  <c r="Z18" i="24"/>
  <c r="Z19" i="24"/>
  <c r="Z20" i="24"/>
  <c r="Z21" i="24"/>
  <c r="Z22" i="24"/>
  <c r="Z23" i="24"/>
  <c r="Z24" i="24"/>
  <c r="Z25" i="24"/>
  <c r="Z26" i="24"/>
  <c r="Z27" i="24"/>
  <c r="Z28" i="24"/>
  <c r="S28" i="24"/>
  <c r="R28" i="24"/>
  <c r="Q28" i="24"/>
  <c r="P28" i="24"/>
  <c r="N28" i="24"/>
  <c r="M28" i="24"/>
  <c r="L28" i="24"/>
  <c r="K28" i="24"/>
  <c r="D27" i="24"/>
  <c r="G26" i="24"/>
  <c r="N25" i="24"/>
  <c r="M25" i="24"/>
  <c r="L25" i="24"/>
  <c r="K25" i="24"/>
  <c r="D25" i="24"/>
  <c r="G24" i="24"/>
  <c r="H16" i="24"/>
  <c r="D23" i="24"/>
  <c r="G22" i="24"/>
  <c r="G16" i="24"/>
  <c r="D21" i="24"/>
  <c r="G20" i="24"/>
  <c r="M19" i="24"/>
  <c r="W16" i="24"/>
  <c r="V16" i="24"/>
  <c r="U16" i="24"/>
  <c r="M16" i="24"/>
  <c r="E50" i="23"/>
  <c r="A50" i="23"/>
  <c r="E49" i="23"/>
  <c r="A49" i="23"/>
  <c r="E48" i="23"/>
  <c r="A48" i="23"/>
  <c r="E47" i="23"/>
  <c r="A47" i="23"/>
  <c r="E46" i="23"/>
  <c r="A46" i="23"/>
  <c r="E45" i="23"/>
  <c r="A45" i="23"/>
  <c r="E44" i="23"/>
  <c r="A44" i="23"/>
  <c r="E43" i="23"/>
  <c r="A43" i="23"/>
  <c r="E42" i="23"/>
  <c r="A42" i="23"/>
  <c r="E41" i="23"/>
  <c r="A41" i="23"/>
  <c r="E40" i="23"/>
  <c r="AE17" i="23"/>
  <c r="A40" i="23"/>
  <c r="E39" i="23"/>
  <c r="AE16" i="23"/>
  <c r="A39" i="23"/>
  <c r="X11" i="23"/>
  <c r="Q16" i="23"/>
  <c r="X4" i="23"/>
  <c r="X5" i="23"/>
  <c r="AE2" i="23"/>
  <c r="AF2" i="23"/>
  <c r="AG2" i="23"/>
  <c r="AH2" i="23"/>
  <c r="AI2" i="23"/>
  <c r="AG16" i="23"/>
  <c r="AE3" i="23"/>
  <c r="AF3" i="23"/>
  <c r="AG3" i="23"/>
  <c r="AH3" i="23"/>
  <c r="AI3" i="23"/>
  <c r="AG17" i="23"/>
  <c r="AE5" i="23"/>
  <c r="AF5" i="23"/>
  <c r="AG5" i="23"/>
  <c r="AH5" i="23"/>
  <c r="AI5" i="23"/>
  <c r="AG19" i="23"/>
  <c r="AE6" i="23"/>
  <c r="AF6" i="23"/>
  <c r="AG6" i="23"/>
  <c r="AH6" i="23"/>
  <c r="AI6" i="23"/>
  <c r="AG20" i="23"/>
  <c r="AE7" i="23"/>
  <c r="AF7" i="23"/>
  <c r="AG7" i="23"/>
  <c r="AH7" i="23"/>
  <c r="AI7" i="23"/>
  <c r="AG21" i="23"/>
  <c r="AE8" i="23"/>
  <c r="AF8" i="23"/>
  <c r="AG8" i="23"/>
  <c r="AH8" i="23"/>
  <c r="AI8" i="23"/>
  <c r="AG22" i="23"/>
  <c r="AE9" i="23"/>
  <c r="AF9" i="23"/>
  <c r="AG9" i="23"/>
  <c r="AH9" i="23"/>
  <c r="AI9" i="23"/>
  <c r="AG23" i="23"/>
  <c r="AE10" i="23"/>
  <c r="AF10" i="23"/>
  <c r="AG10" i="23"/>
  <c r="AH10" i="23"/>
  <c r="AI10" i="23"/>
  <c r="AG24" i="23"/>
  <c r="AE11" i="23"/>
  <c r="AF11" i="23"/>
  <c r="AG11" i="23"/>
  <c r="AH11" i="23"/>
  <c r="AI11" i="23"/>
  <c r="AG25" i="23"/>
  <c r="AE12" i="23"/>
  <c r="AF12" i="23"/>
  <c r="AG12" i="23"/>
  <c r="AH12" i="23"/>
  <c r="AI12" i="23"/>
  <c r="AG26" i="23"/>
  <c r="AE13" i="23"/>
  <c r="AF13" i="23"/>
  <c r="AG13" i="23"/>
  <c r="AH13" i="23"/>
  <c r="AI13" i="23"/>
  <c r="AG27" i="23"/>
  <c r="AF16" i="23"/>
  <c r="AF17" i="23"/>
  <c r="AF19" i="23"/>
  <c r="AF20" i="23"/>
  <c r="AF21" i="23"/>
  <c r="AF22" i="23"/>
  <c r="AF23" i="23"/>
  <c r="AF24" i="23"/>
  <c r="AF25" i="23"/>
  <c r="AF26" i="23"/>
  <c r="AF27" i="23"/>
  <c r="J29" i="23"/>
  <c r="I29" i="23"/>
  <c r="H29" i="23"/>
  <c r="G29" i="23"/>
  <c r="AK2" i="23"/>
  <c r="AQ16" i="23"/>
  <c r="AL2" i="23"/>
  <c r="AR16" i="23"/>
  <c r="AM2" i="23"/>
  <c r="AS16" i="23"/>
  <c r="AN2" i="23"/>
  <c r="AT16" i="23"/>
  <c r="AO2" i="23"/>
  <c r="AU16" i="23"/>
  <c r="AP2" i="23"/>
  <c r="AV16" i="23"/>
  <c r="AQ2" i="23"/>
  <c r="AW16" i="23"/>
  <c r="AR2" i="23"/>
  <c r="AX16" i="23"/>
  <c r="AS2" i="23"/>
  <c r="AY16" i="23"/>
  <c r="AT2" i="23"/>
  <c r="AZ16" i="23"/>
  <c r="AU2" i="23"/>
  <c r="BA16" i="23"/>
  <c r="AV2" i="23"/>
  <c r="BB16" i="23"/>
  <c r="AW2" i="23"/>
  <c r="BC16" i="23"/>
  <c r="AX2" i="23"/>
  <c r="BD16" i="23"/>
  <c r="AY2" i="23"/>
  <c r="BE16" i="23"/>
  <c r="AZ2" i="23"/>
  <c r="BF16" i="23"/>
  <c r="BA2" i="23"/>
  <c r="BG16" i="23"/>
  <c r="BB2" i="23"/>
  <c r="BH16" i="23"/>
  <c r="BC2" i="23"/>
  <c r="BI16" i="23"/>
  <c r="BD2" i="23"/>
  <c r="BJ16" i="23"/>
  <c r="BE2" i="23"/>
  <c r="BK16" i="23"/>
  <c r="BF2" i="23"/>
  <c r="BL16" i="23"/>
  <c r="BG2" i="23"/>
  <c r="BM16" i="23"/>
  <c r="BH2" i="23"/>
  <c r="BN16" i="23"/>
  <c r="AP16" i="23"/>
  <c r="AK3" i="23"/>
  <c r="AQ17" i="23"/>
  <c r="AL3" i="23"/>
  <c r="AR17" i="23"/>
  <c r="AM3" i="23"/>
  <c r="AS17" i="23"/>
  <c r="AN3" i="23"/>
  <c r="AT17" i="23"/>
  <c r="AO3" i="23"/>
  <c r="AU17" i="23"/>
  <c r="AP3" i="23"/>
  <c r="AV17" i="23"/>
  <c r="AQ3" i="23"/>
  <c r="AW17" i="23"/>
  <c r="AR3" i="23"/>
  <c r="AX17" i="23"/>
  <c r="AS3" i="23"/>
  <c r="AY17" i="23"/>
  <c r="AT3" i="23"/>
  <c r="AZ17" i="23"/>
  <c r="AU3" i="23"/>
  <c r="BA17" i="23"/>
  <c r="AV3" i="23"/>
  <c r="BB17" i="23"/>
  <c r="AW3" i="23"/>
  <c r="BC17" i="23"/>
  <c r="AX3" i="23"/>
  <c r="BD17" i="23"/>
  <c r="AY3" i="23"/>
  <c r="BE17" i="23"/>
  <c r="AZ3" i="23"/>
  <c r="BF17" i="23"/>
  <c r="BA3" i="23"/>
  <c r="BG17" i="23"/>
  <c r="BB3" i="23"/>
  <c r="BH17" i="23"/>
  <c r="BC3" i="23"/>
  <c r="BI17" i="23"/>
  <c r="BD3" i="23"/>
  <c r="BJ17" i="23"/>
  <c r="BE3" i="23"/>
  <c r="BK17" i="23"/>
  <c r="BF3" i="23"/>
  <c r="BL17" i="23"/>
  <c r="BG3" i="23"/>
  <c r="BM17" i="23"/>
  <c r="BH3" i="23"/>
  <c r="BN17" i="23"/>
  <c r="AP17" i="23"/>
  <c r="AK4" i="23"/>
  <c r="AQ18" i="23"/>
  <c r="AL4" i="23"/>
  <c r="AR18" i="23"/>
  <c r="AM4" i="23"/>
  <c r="AS18" i="23"/>
  <c r="AN4" i="23"/>
  <c r="AT18" i="23"/>
  <c r="AO4" i="23"/>
  <c r="AU18" i="23"/>
  <c r="AP4" i="23"/>
  <c r="AV18" i="23"/>
  <c r="AQ4" i="23"/>
  <c r="AW18" i="23"/>
  <c r="AR4" i="23"/>
  <c r="AX18" i="23"/>
  <c r="AS4" i="23"/>
  <c r="AY18" i="23"/>
  <c r="AT4" i="23"/>
  <c r="AZ18" i="23"/>
  <c r="AU4" i="23"/>
  <c r="BA18" i="23"/>
  <c r="AV4" i="23"/>
  <c r="BB18" i="23"/>
  <c r="AW4" i="23"/>
  <c r="BC18" i="23"/>
  <c r="AX4" i="23"/>
  <c r="BD18" i="23"/>
  <c r="AY4" i="23"/>
  <c r="BE18" i="23"/>
  <c r="AZ4" i="23"/>
  <c r="BF18" i="23"/>
  <c r="BA4" i="23"/>
  <c r="BG18" i="23"/>
  <c r="BB4" i="23"/>
  <c r="BH18" i="23"/>
  <c r="BC4" i="23"/>
  <c r="BI18" i="23"/>
  <c r="BD4" i="23"/>
  <c r="BJ18" i="23"/>
  <c r="BE4" i="23"/>
  <c r="BK18" i="23"/>
  <c r="BF4" i="23"/>
  <c r="BL18" i="23"/>
  <c r="BG4" i="23"/>
  <c r="BM18" i="23"/>
  <c r="BH4" i="23"/>
  <c r="BN18" i="23"/>
  <c r="AP18" i="23"/>
  <c r="AK5" i="23"/>
  <c r="AQ19" i="23"/>
  <c r="AL5" i="23"/>
  <c r="AR19" i="23"/>
  <c r="AM5" i="23"/>
  <c r="AS19" i="23"/>
  <c r="AN5" i="23"/>
  <c r="AT19" i="23"/>
  <c r="AO5" i="23"/>
  <c r="AU19" i="23"/>
  <c r="AP5" i="23"/>
  <c r="AV19" i="23"/>
  <c r="AQ5" i="23"/>
  <c r="AW19" i="23"/>
  <c r="AR5" i="23"/>
  <c r="AX19" i="23"/>
  <c r="AS5" i="23"/>
  <c r="AY19" i="23"/>
  <c r="AT5" i="23"/>
  <c r="AZ19" i="23"/>
  <c r="AU5" i="23"/>
  <c r="BA19" i="23"/>
  <c r="AV5" i="23"/>
  <c r="BB19" i="23"/>
  <c r="AW5" i="23"/>
  <c r="BC19" i="23"/>
  <c r="AX5" i="23"/>
  <c r="BD19" i="23"/>
  <c r="AY5" i="23"/>
  <c r="BE19" i="23"/>
  <c r="AZ5" i="23"/>
  <c r="BF19" i="23"/>
  <c r="BA5" i="23"/>
  <c r="BG19" i="23"/>
  <c r="BB5" i="23"/>
  <c r="BH19" i="23"/>
  <c r="BC5" i="23"/>
  <c r="BI19" i="23"/>
  <c r="BD5" i="23"/>
  <c r="BJ19" i="23"/>
  <c r="BE5" i="23"/>
  <c r="BK19" i="23"/>
  <c r="BF5" i="23"/>
  <c r="BL19" i="23"/>
  <c r="BG5" i="23"/>
  <c r="BM19" i="23"/>
  <c r="BH5" i="23"/>
  <c r="BN19" i="23"/>
  <c r="AP19" i="23"/>
  <c r="AK6" i="23"/>
  <c r="AQ20" i="23"/>
  <c r="AL6" i="23"/>
  <c r="AR20" i="23"/>
  <c r="AM6" i="23"/>
  <c r="AS20" i="23"/>
  <c r="AN6" i="23"/>
  <c r="AT20" i="23"/>
  <c r="AO6" i="23"/>
  <c r="AU20" i="23"/>
  <c r="AP6" i="23"/>
  <c r="AV20" i="23"/>
  <c r="AQ6" i="23"/>
  <c r="AW20" i="23"/>
  <c r="AR6" i="23"/>
  <c r="AX20" i="23"/>
  <c r="AS6" i="23"/>
  <c r="AY20" i="23"/>
  <c r="AT6" i="23"/>
  <c r="AZ20" i="23"/>
  <c r="AU6" i="23"/>
  <c r="BA20" i="23"/>
  <c r="AV6" i="23"/>
  <c r="BB20" i="23"/>
  <c r="AW6" i="23"/>
  <c r="BC20" i="23"/>
  <c r="AX6" i="23"/>
  <c r="BD20" i="23"/>
  <c r="AY6" i="23"/>
  <c r="BE20" i="23"/>
  <c r="AZ6" i="23"/>
  <c r="BF20" i="23"/>
  <c r="BA6" i="23"/>
  <c r="BG20" i="23"/>
  <c r="BB6" i="23"/>
  <c r="BH20" i="23"/>
  <c r="BC6" i="23"/>
  <c r="BI20" i="23"/>
  <c r="BD6" i="23"/>
  <c r="BJ20" i="23"/>
  <c r="BE6" i="23"/>
  <c r="BK20" i="23"/>
  <c r="BF6" i="23"/>
  <c r="BL20" i="23"/>
  <c r="BG6" i="23"/>
  <c r="BM20" i="23"/>
  <c r="BH6" i="23"/>
  <c r="BN20" i="23"/>
  <c r="AP20" i="23"/>
  <c r="AK7" i="23"/>
  <c r="AQ21" i="23"/>
  <c r="AL7" i="23"/>
  <c r="AR21" i="23"/>
  <c r="AM7" i="23"/>
  <c r="AS21" i="23"/>
  <c r="AN7" i="23"/>
  <c r="AT21" i="23"/>
  <c r="AO7" i="23"/>
  <c r="AU21" i="23"/>
  <c r="AP7" i="23"/>
  <c r="AV21" i="23"/>
  <c r="AQ7" i="23"/>
  <c r="AW21" i="23"/>
  <c r="AR7" i="23"/>
  <c r="AX21" i="23"/>
  <c r="AS7" i="23"/>
  <c r="AY21" i="23"/>
  <c r="AT7" i="23"/>
  <c r="AZ21" i="23"/>
  <c r="AU7" i="23"/>
  <c r="BA21" i="23"/>
  <c r="AV7" i="23"/>
  <c r="BB21" i="23"/>
  <c r="AW7" i="23"/>
  <c r="BC21" i="23"/>
  <c r="AX7" i="23"/>
  <c r="BD21" i="23"/>
  <c r="AY7" i="23"/>
  <c r="BE21" i="23"/>
  <c r="AZ7" i="23"/>
  <c r="BF21" i="23"/>
  <c r="BA7" i="23"/>
  <c r="BG21" i="23"/>
  <c r="BB7" i="23"/>
  <c r="BH21" i="23"/>
  <c r="BC7" i="23"/>
  <c r="BI21" i="23"/>
  <c r="BD7" i="23"/>
  <c r="BJ21" i="23"/>
  <c r="BE7" i="23"/>
  <c r="BK21" i="23"/>
  <c r="BF7" i="23"/>
  <c r="BL21" i="23"/>
  <c r="BG7" i="23"/>
  <c r="BM21" i="23"/>
  <c r="BH7" i="23"/>
  <c r="BN21" i="23"/>
  <c r="AP21" i="23"/>
  <c r="AK8" i="23"/>
  <c r="AQ22" i="23"/>
  <c r="AL8" i="23"/>
  <c r="AR22" i="23"/>
  <c r="AM8" i="23"/>
  <c r="AS22" i="23"/>
  <c r="AN8" i="23"/>
  <c r="AT22" i="23"/>
  <c r="AO8" i="23"/>
  <c r="AU22" i="23"/>
  <c r="AP8" i="23"/>
  <c r="AV22" i="23"/>
  <c r="AQ8" i="23"/>
  <c r="AW22" i="23"/>
  <c r="AR8" i="23"/>
  <c r="AX22" i="23"/>
  <c r="AS8" i="23"/>
  <c r="AY22" i="23"/>
  <c r="AT8" i="23"/>
  <c r="AZ22" i="23"/>
  <c r="AU8" i="23"/>
  <c r="BA22" i="23"/>
  <c r="AV8" i="23"/>
  <c r="BB22" i="23"/>
  <c r="AW8" i="23"/>
  <c r="BC22" i="23"/>
  <c r="AX8" i="23"/>
  <c r="BD22" i="23"/>
  <c r="AY8" i="23"/>
  <c r="BE22" i="23"/>
  <c r="AZ8" i="23"/>
  <c r="BF22" i="23"/>
  <c r="BA8" i="23"/>
  <c r="BG22" i="23"/>
  <c r="BB8" i="23"/>
  <c r="BH22" i="23"/>
  <c r="BC8" i="23"/>
  <c r="BI22" i="23"/>
  <c r="BD8" i="23"/>
  <c r="BJ22" i="23"/>
  <c r="BE8" i="23"/>
  <c r="BK22" i="23"/>
  <c r="BF8" i="23"/>
  <c r="BL22" i="23"/>
  <c r="BG8" i="23"/>
  <c r="BM22" i="23"/>
  <c r="BH8" i="23"/>
  <c r="BN22" i="23"/>
  <c r="AP22" i="23"/>
  <c r="AK9" i="23"/>
  <c r="AQ23" i="23"/>
  <c r="AL9" i="23"/>
  <c r="AR23" i="23"/>
  <c r="AM9" i="23"/>
  <c r="AS23" i="23"/>
  <c r="AN9" i="23"/>
  <c r="AT23" i="23"/>
  <c r="AO9" i="23"/>
  <c r="AU23" i="23"/>
  <c r="AP9" i="23"/>
  <c r="AV23" i="23"/>
  <c r="AQ9" i="23"/>
  <c r="AW23" i="23"/>
  <c r="AR9" i="23"/>
  <c r="AX23" i="23"/>
  <c r="AS9" i="23"/>
  <c r="AY23" i="23"/>
  <c r="AT9" i="23"/>
  <c r="AZ23" i="23"/>
  <c r="AU9" i="23"/>
  <c r="BA23" i="23"/>
  <c r="AV9" i="23"/>
  <c r="BB23" i="23"/>
  <c r="AW9" i="23"/>
  <c r="BC23" i="23"/>
  <c r="AX9" i="23"/>
  <c r="BD23" i="23"/>
  <c r="AY9" i="23"/>
  <c r="BE23" i="23"/>
  <c r="AZ9" i="23"/>
  <c r="BF23" i="23"/>
  <c r="BA9" i="23"/>
  <c r="BG23" i="23"/>
  <c r="BB9" i="23"/>
  <c r="BH23" i="23"/>
  <c r="BC9" i="23"/>
  <c r="BI23" i="23"/>
  <c r="BD9" i="23"/>
  <c r="BJ23" i="23"/>
  <c r="BE9" i="23"/>
  <c r="BK23" i="23"/>
  <c r="BF9" i="23"/>
  <c r="BL23" i="23"/>
  <c r="BG9" i="23"/>
  <c r="BM23" i="23"/>
  <c r="BH9" i="23"/>
  <c r="BN23" i="23"/>
  <c r="AP23" i="23"/>
  <c r="AK10" i="23"/>
  <c r="AQ24" i="23"/>
  <c r="AL10" i="23"/>
  <c r="AR24" i="23"/>
  <c r="AM10" i="23"/>
  <c r="AS24" i="23"/>
  <c r="AN10" i="23"/>
  <c r="AT24" i="23"/>
  <c r="AO10" i="23"/>
  <c r="AU24" i="23"/>
  <c r="AP10" i="23"/>
  <c r="AV24" i="23"/>
  <c r="AQ10" i="23"/>
  <c r="AW24" i="23"/>
  <c r="AR10" i="23"/>
  <c r="AX24" i="23"/>
  <c r="AS10" i="23"/>
  <c r="AY24" i="23"/>
  <c r="AT10" i="23"/>
  <c r="AZ24" i="23"/>
  <c r="AU10" i="23"/>
  <c r="BA24" i="23"/>
  <c r="AV10" i="23"/>
  <c r="BB24" i="23"/>
  <c r="AW10" i="23"/>
  <c r="BC24" i="23"/>
  <c r="AX10" i="23"/>
  <c r="BD24" i="23"/>
  <c r="AY10" i="23"/>
  <c r="BE24" i="23"/>
  <c r="AZ10" i="23"/>
  <c r="BF24" i="23"/>
  <c r="BA10" i="23"/>
  <c r="BG24" i="23"/>
  <c r="BB10" i="23"/>
  <c r="BH24" i="23"/>
  <c r="BC10" i="23"/>
  <c r="BI24" i="23"/>
  <c r="BD10" i="23"/>
  <c r="BJ24" i="23"/>
  <c r="BE10" i="23"/>
  <c r="BK24" i="23"/>
  <c r="BF10" i="23"/>
  <c r="BL24" i="23"/>
  <c r="BG10" i="23"/>
  <c r="BM24" i="23"/>
  <c r="BH10" i="23"/>
  <c r="BN24" i="23"/>
  <c r="AP24" i="23"/>
  <c r="AK11" i="23"/>
  <c r="AQ25" i="23"/>
  <c r="AL11" i="23"/>
  <c r="AR25" i="23"/>
  <c r="AM11" i="23"/>
  <c r="AS25" i="23"/>
  <c r="AN11" i="23"/>
  <c r="AT25" i="23"/>
  <c r="AO11" i="23"/>
  <c r="AU25" i="23"/>
  <c r="AP11" i="23"/>
  <c r="AV25" i="23"/>
  <c r="AQ11" i="23"/>
  <c r="AW25" i="23"/>
  <c r="AR11" i="23"/>
  <c r="AX25" i="23"/>
  <c r="AS11" i="23"/>
  <c r="AY25" i="23"/>
  <c r="AT11" i="23"/>
  <c r="AZ25" i="23"/>
  <c r="AU11" i="23"/>
  <c r="BA25" i="23"/>
  <c r="AV11" i="23"/>
  <c r="BB25" i="23"/>
  <c r="AW11" i="23"/>
  <c r="BC25" i="23"/>
  <c r="AX11" i="23"/>
  <c r="BD25" i="23"/>
  <c r="AY11" i="23"/>
  <c r="BE25" i="23"/>
  <c r="AZ11" i="23"/>
  <c r="BF25" i="23"/>
  <c r="BA11" i="23"/>
  <c r="BG25" i="23"/>
  <c r="BB11" i="23"/>
  <c r="BH25" i="23"/>
  <c r="BC11" i="23"/>
  <c r="BI25" i="23"/>
  <c r="BD11" i="23"/>
  <c r="BJ25" i="23"/>
  <c r="BE11" i="23"/>
  <c r="BK25" i="23"/>
  <c r="BF11" i="23"/>
  <c r="BL25" i="23"/>
  <c r="BG11" i="23"/>
  <c r="BM25" i="23"/>
  <c r="BH11" i="23"/>
  <c r="BN25" i="23"/>
  <c r="AP25" i="23"/>
  <c r="AK12" i="23"/>
  <c r="AQ26" i="23"/>
  <c r="AL12" i="23"/>
  <c r="AR26" i="23"/>
  <c r="AM12" i="23"/>
  <c r="AS26" i="23"/>
  <c r="AN12" i="23"/>
  <c r="AT26" i="23"/>
  <c r="AO12" i="23"/>
  <c r="AU26" i="23"/>
  <c r="AP12" i="23"/>
  <c r="AV26" i="23"/>
  <c r="AQ12" i="23"/>
  <c r="AW26" i="23"/>
  <c r="AR12" i="23"/>
  <c r="AX26" i="23"/>
  <c r="AS12" i="23"/>
  <c r="AY26" i="23"/>
  <c r="AT12" i="23"/>
  <c r="AZ26" i="23"/>
  <c r="AU12" i="23"/>
  <c r="BA26" i="23"/>
  <c r="AV12" i="23"/>
  <c r="BB26" i="23"/>
  <c r="AW12" i="23"/>
  <c r="BC26" i="23"/>
  <c r="AX12" i="23"/>
  <c r="BD26" i="23"/>
  <c r="AY12" i="23"/>
  <c r="BE26" i="23"/>
  <c r="AZ12" i="23"/>
  <c r="BF26" i="23"/>
  <c r="BA12" i="23"/>
  <c r="BG26" i="23"/>
  <c r="BB12" i="23"/>
  <c r="BH26" i="23"/>
  <c r="BC12" i="23"/>
  <c r="BI26" i="23"/>
  <c r="BD12" i="23"/>
  <c r="BJ26" i="23"/>
  <c r="BE12" i="23"/>
  <c r="BK26" i="23"/>
  <c r="BF12" i="23"/>
  <c r="BL26" i="23"/>
  <c r="BG12" i="23"/>
  <c r="BM26" i="23"/>
  <c r="BH12" i="23"/>
  <c r="BN26" i="23"/>
  <c r="AP26" i="23"/>
  <c r="AK13" i="23"/>
  <c r="AQ27" i="23"/>
  <c r="AL13" i="23"/>
  <c r="AR27" i="23"/>
  <c r="AM13" i="23"/>
  <c r="AS27" i="23"/>
  <c r="AN13" i="23"/>
  <c r="AT27" i="23"/>
  <c r="AO13" i="23"/>
  <c r="AU27" i="23"/>
  <c r="AP13" i="23"/>
  <c r="AV27" i="23"/>
  <c r="AQ13" i="23"/>
  <c r="AW27" i="23"/>
  <c r="AR13" i="23"/>
  <c r="AX27" i="23"/>
  <c r="AS13" i="23"/>
  <c r="AY27" i="23"/>
  <c r="AT13" i="23"/>
  <c r="AZ27" i="23"/>
  <c r="AU13" i="23"/>
  <c r="BA27" i="23"/>
  <c r="AV13" i="23"/>
  <c r="BB27" i="23"/>
  <c r="AW13" i="23"/>
  <c r="BC27" i="23"/>
  <c r="AX13" i="23"/>
  <c r="BD27" i="23"/>
  <c r="AY13" i="23"/>
  <c r="BE27" i="23"/>
  <c r="AZ13" i="23"/>
  <c r="BF27" i="23"/>
  <c r="BA13" i="23"/>
  <c r="BG27" i="23"/>
  <c r="BB13" i="23"/>
  <c r="BH27" i="23"/>
  <c r="BC13" i="23"/>
  <c r="BI27" i="23"/>
  <c r="BD13" i="23"/>
  <c r="BJ27" i="23"/>
  <c r="BE13" i="23"/>
  <c r="BK27" i="23"/>
  <c r="BF13" i="23"/>
  <c r="BL27" i="23"/>
  <c r="BG13" i="23"/>
  <c r="BM27" i="23"/>
  <c r="BH13" i="23"/>
  <c r="BN27" i="23"/>
  <c r="AP27" i="23"/>
  <c r="AP28" i="23"/>
  <c r="AN16" i="23"/>
  <c r="AN17" i="23"/>
  <c r="AN18" i="23"/>
  <c r="AN19" i="23"/>
  <c r="AN20" i="23"/>
  <c r="AN21" i="23"/>
  <c r="AN22" i="23"/>
  <c r="AN23" i="23"/>
  <c r="AN24" i="23"/>
  <c r="AN25" i="23"/>
  <c r="AN26" i="23"/>
  <c r="AN27" i="23"/>
  <c r="AN28" i="23"/>
  <c r="AM16" i="23"/>
  <c r="AM17" i="23"/>
  <c r="AM19" i="23"/>
  <c r="AM20" i="23"/>
  <c r="AM21" i="23"/>
  <c r="AM22" i="23"/>
  <c r="AM23" i="23"/>
  <c r="AM24" i="23"/>
  <c r="AM25" i="23"/>
  <c r="AM26" i="23"/>
  <c r="AM27" i="23"/>
  <c r="AL16" i="23"/>
  <c r="AL17" i="23"/>
  <c r="AL19" i="23"/>
  <c r="AL20" i="23"/>
  <c r="AL21" i="23"/>
  <c r="AL22" i="23"/>
  <c r="AL23" i="23"/>
  <c r="AL24" i="23"/>
  <c r="AL25" i="23"/>
  <c r="AL26" i="23"/>
  <c r="AL27" i="23"/>
  <c r="AK16" i="23"/>
  <c r="AK17" i="23"/>
  <c r="AK19" i="23"/>
  <c r="AK20" i="23"/>
  <c r="AK21" i="23"/>
  <c r="AK22" i="23"/>
  <c r="AK23" i="23"/>
  <c r="AK24" i="23"/>
  <c r="AK25" i="23"/>
  <c r="AK26" i="23"/>
  <c r="AK27" i="23"/>
  <c r="Z2" i="23"/>
  <c r="AA2" i="23"/>
  <c r="AB2" i="23"/>
  <c r="AC2" i="23"/>
  <c r="AA16" i="23"/>
  <c r="Z3" i="23"/>
  <c r="AA3" i="23"/>
  <c r="AB3" i="23"/>
  <c r="AC3" i="23"/>
  <c r="AA17" i="23"/>
  <c r="Z4" i="23"/>
  <c r="AA4" i="23"/>
  <c r="AB4" i="23"/>
  <c r="AC4" i="23"/>
  <c r="AA18" i="23"/>
  <c r="Z5" i="23"/>
  <c r="AA5" i="23"/>
  <c r="AB5" i="23"/>
  <c r="AC5" i="23"/>
  <c r="AA19" i="23"/>
  <c r="Z6" i="23"/>
  <c r="AA6" i="23"/>
  <c r="AB6" i="23"/>
  <c r="AC6" i="23"/>
  <c r="AA20" i="23"/>
  <c r="Z7" i="23"/>
  <c r="AA7" i="23"/>
  <c r="AB7" i="23"/>
  <c r="AC7" i="23"/>
  <c r="AA21" i="23"/>
  <c r="Z8" i="23"/>
  <c r="AA8" i="23"/>
  <c r="AB8" i="23"/>
  <c r="AC8" i="23"/>
  <c r="AA22" i="23"/>
  <c r="Z9" i="23"/>
  <c r="AA9" i="23"/>
  <c r="AB9" i="23"/>
  <c r="AC9" i="23"/>
  <c r="AA23" i="23"/>
  <c r="Z10" i="23"/>
  <c r="AA10" i="23"/>
  <c r="AB10" i="23"/>
  <c r="AC10" i="23"/>
  <c r="AA24" i="23"/>
  <c r="Z11" i="23"/>
  <c r="AA11" i="23"/>
  <c r="AB11" i="23"/>
  <c r="AC11" i="23"/>
  <c r="AA25" i="23"/>
  <c r="Z12" i="23"/>
  <c r="AA12" i="23"/>
  <c r="AB12" i="23"/>
  <c r="AC12" i="23"/>
  <c r="AA26" i="23"/>
  <c r="Z13" i="23"/>
  <c r="AA13" i="23"/>
  <c r="AB13" i="23"/>
  <c r="AC13" i="23"/>
  <c r="AA27" i="23"/>
  <c r="AA28" i="23"/>
  <c r="Z16" i="23"/>
  <c r="Z17" i="23"/>
  <c r="Z18" i="23"/>
  <c r="Z19" i="23"/>
  <c r="Z20" i="23"/>
  <c r="Z21" i="23"/>
  <c r="Z22" i="23"/>
  <c r="Z23" i="23"/>
  <c r="Z24" i="23"/>
  <c r="Z25" i="23"/>
  <c r="Z26" i="23"/>
  <c r="Z27" i="23"/>
  <c r="Z28" i="23"/>
  <c r="S28" i="23"/>
  <c r="R28" i="23"/>
  <c r="Q28" i="23"/>
  <c r="P28" i="23"/>
  <c r="N28" i="23"/>
  <c r="M28" i="23"/>
  <c r="L28" i="23"/>
  <c r="K28" i="23"/>
  <c r="D27" i="23"/>
  <c r="G26" i="23"/>
  <c r="N25" i="23"/>
  <c r="M25" i="23"/>
  <c r="L25" i="23"/>
  <c r="K25" i="23"/>
  <c r="D25" i="23"/>
  <c r="H16" i="23"/>
  <c r="D23" i="23"/>
  <c r="G16" i="23"/>
  <c r="D21" i="23"/>
  <c r="M19" i="23"/>
  <c r="W16" i="23"/>
  <c r="V16" i="23"/>
  <c r="U16" i="23"/>
  <c r="M16" i="23"/>
  <c r="E50" i="22"/>
  <c r="A50" i="22"/>
  <c r="E49" i="22"/>
  <c r="A49" i="22"/>
  <c r="E48" i="22"/>
  <c r="A48" i="22"/>
  <c r="E47" i="22"/>
  <c r="A47" i="22"/>
  <c r="E46" i="22"/>
  <c r="A46" i="22"/>
  <c r="E45" i="22"/>
  <c r="A45" i="22"/>
  <c r="E44" i="22"/>
  <c r="A44" i="22"/>
  <c r="E43" i="22"/>
  <c r="A43" i="22"/>
  <c r="X15" i="22"/>
  <c r="E42" i="22"/>
  <c r="A42" i="22"/>
  <c r="X14" i="22"/>
  <c r="E41" i="22"/>
  <c r="AE18" i="22"/>
  <c r="A41" i="22"/>
  <c r="X13" i="22"/>
  <c r="E40" i="22"/>
  <c r="AE17" i="22"/>
  <c r="A40" i="22"/>
  <c r="X12" i="22"/>
  <c r="E39" i="22"/>
  <c r="AE16" i="22"/>
  <c r="A39" i="22"/>
  <c r="X11" i="22"/>
  <c r="X10" i="22"/>
  <c r="X9" i="22"/>
  <c r="X8" i="22"/>
  <c r="X4" i="22"/>
  <c r="X5" i="22"/>
  <c r="X6" i="22"/>
  <c r="AE2" i="22"/>
  <c r="AF2" i="22"/>
  <c r="AG2" i="22"/>
  <c r="AH2" i="22"/>
  <c r="AI2" i="22"/>
  <c r="AG16" i="22"/>
  <c r="AE3" i="22"/>
  <c r="AF3" i="22"/>
  <c r="AG3" i="22"/>
  <c r="AH3" i="22"/>
  <c r="AI3" i="22"/>
  <c r="AG17" i="22"/>
  <c r="AE4" i="22"/>
  <c r="AF4" i="22"/>
  <c r="AG4" i="22"/>
  <c r="AH4" i="22"/>
  <c r="AI4" i="22"/>
  <c r="AG18" i="22"/>
  <c r="AE6" i="22"/>
  <c r="AF6" i="22"/>
  <c r="AG6" i="22"/>
  <c r="AH6" i="22"/>
  <c r="AI6" i="22"/>
  <c r="AG20" i="22"/>
  <c r="AE7" i="22"/>
  <c r="AF7" i="22"/>
  <c r="AG7" i="22"/>
  <c r="AH7" i="22"/>
  <c r="AI7" i="22"/>
  <c r="AG21" i="22"/>
  <c r="AE8" i="22"/>
  <c r="AF8" i="22"/>
  <c r="AG8" i="22"/>
  <c r="AH8" i="22"/>
  <c r="AI8" i="22"/>
  <c r="AG22" i="22"/>
  <c r="AE10" i="22"/>
  <c r="AF10" i="22"/>
  <c r="AG10" i="22"/>
  <c r="AH10" i="22"/>
  <c r="AI10" i="22"/>
  <c r="AG24" i="22"/>
  <c r="AE11" i="22"/>
  <c r="AF11" i="22"/>
  <c r="AG11" i="22"/>
  <c r="AH11" i="22"/>
  <c r="AI11" i="22"/>
  <c r="AG25" i="22"/>
  <c r="AE12" i="22"/>
  <c r="AF12" i="22"/>
  <c r="AG12" i="22"/>
  <c r="AH12" i="22"/>
  <c r="AI12" i="22"/>
  <c r="AG26" i="22"/>
  <c r="AE13" i="22"/>
  <c r="AF13" i="22"/>
  <c r="AG13" i="22"/>
  <c r="AH13" i="22"/>
  <c r="AI13" i="22"/>
  <c r="AG27" i="22"/>
  <c r="AF16" i="22"/>
  <c r="AF17" i="22"/>
  <c r="AF18" i="22"/>
  <c r="AF20" i="22"/>
  <c r="AF21" i="22"/>
  <c r="AF22" i="22"/>
  <c r="AF24" i="22"/>
  <c r="AF25" i="22"/>
  <c r="AF26" i="22"/>
  <c r="AF27" i="22"/>
  <c r="D31" i="22"/>
  <c r="J29" i="22"/>
  <c r="I29" i="22"/>
  <c r="H29" i="22"/>
  <c r="G29" i="22"/>
  <c r="F16" i="22"/>
  <c r="D29" i="22"/>
  <c r="AK2" i="22"/>
  <c r="AQ16" i="22"/>
  <c r="AL2" i="22"/>
  <c r="AR16" i="22"/>
  <c r="AM2" i="22"/>
  <c r="AS16" i="22"/>
  <c r="AN2" i="22"/>
  <c r="AT16" i="22"/>
  <c r="AO2" i="22"/>
  <c r="AU16" i="22"/>
  <c r="AP2" i="22"/>
  <c r="AV16" i="22"/>
  <c r="AQ2" i="22"/>
  <c r="AW16" i="22"/>
  <c r="AR2" i="22"/>
  <c r="AX16" i="22"/>
  <c r="AS2" i="22"/>
  <c r="AY16" i="22"/>
  <c r="AT2" i="22"/>
  <c r="AZ16" i="22"/>
  <c r="AU2" i="22"/>
  <c r="BA16" i="22"/>
  <c r="AV2" i="22"/>
  <c r="BB16" i="22"/>
  <c r="AW2" i="22"/>
  <c r="BC16" i="22"/>
  <c r="AX2" i="22"/>
  <c r="BD16" i="22"/>
  <c r="AY2" i="22"/>
  <c r="BE16" i="22"/>
  <c r="AZ2" i="22"/>
  <c r="BF16" i="22"/>
  <c r="BA2" i="22"/>
  <c r="BG16" i="22"/>
  <c r="BB2" i="22"/>
  <c r="BH16" i="22"/>
  <c r="BC2" i="22"/>
  <c r="BI16" i="22"/>
  <c r="BD2" i="22"/>
  <c r="BJ16" i="22"/>
  <c r="BE2" i="22"/>
  <c r="BK16" i="22"/>
  <c r="BF2" i="22"/>
  <c r="BL16" i="22"/>
  <c r="BG2" i="22"/>
  <c r="BM16" i="22"/>
  <c r="BH2" i="22"/>
  <c r="BN16" i="22"/>
  <c r="AP16" i="22"/>
  <c r="AK3" i="22"/>
  <c r="AQ17" i="22"/>
  <c r="AL3" i="22"/>
  <c r="AR17" i="22"/>
  <c r="AM3" i="22"/>
  <c r="AS17" i="22"/>
  <c r="AN3" i="22"/>
  <c r="AT17" i="22"/>
  <c r="AO3" i="22"/>
  <c r="AU17" i="22"/>
  <c r="AP3" i="22"/>
  <c r="AV17" i="22"/>
  <c r="AQ3" i="22"/>
  <c r="AW17" i="22"/>
  <c r="AR3" i="22"/>
  <c r="AX17" i="22"/>
  <c r="AS3" i="22"/>
  <c r="AY17" i="22"/>
  <c r="AT3" i="22"/>
  <c r="AZ17" i="22"/>
  <c r="AU3" i="22"/>
  <c r="BA17" i="22"/>
  <c r="AV3" i="22"/>
  <c r="BB17" i="22"/>
  <c r="AW3" i="22"/>
  <c r="BC17" i="22"/>
  <c r="AX3" i="22"/>
  <c r="BD17" i="22"/>
  <c r="AY3" i="22"/>
  <c r="BE17" i="22"/>
  <c r="AZ3" i="22"/>
  <c r="BF17" i="22"/>
  <c r="BA3" i="22"/>
  <c r="BG17" i="22"/>
  <c r="BB3" i="22"/>
  <c r="BH17" i="22"/>
  <c r="BC3" i="22"/>
  <c r="BI17" i="22"/>
  <c r="BD3" i="22"/>
  <c r="BJ17" i="22"/>
  <c r="BE3" i="22"/>
  <c r="BK17" i="22"/>
  <c r="BF3" i="22"/>
  <c r="BL17" i="22"/>
  <c r="BG3" i="22"/>
  <c r="BM17" i="22"/>
  <c r="BH3" i="22"/>
  <c r="BN17" i="22"/>
  <c r="AP17" i="22"/>
  <c r="AK4" i="22"/>
  <c r="AQ18" i="22"/>
  <c r="AL4" i="22"/>
  <c r="AR18" i="22"/>
  <c r="AM4" i="22"/>
  <c r="AS18" i="22"/>
  <c r="AN4" i="22"/>
  <c r="AT18" i="22"/>
  <c r="AO4" i="22"/>
  <c r="AU18" i="22"/>
  <c r="AP4" i="22"/>
  <c r="AV18" i="22"/>
  <c r="AQ4" i="22"/>
  <c r="AW18" i="22"/>
  <c r="AR4" i="22"/>
  <c r="AX18" i="22"/>
  <c r="AS4" i="22"/>
  <c r="AY18" i="22"/>
  <c r="AT4" i="22"/>
  <c r="AZ18" i="22"/>
  <c r="AU4" i="22"/>
  <c r="BA18" i="22"/>
  <c r="AV4" i="22"/>
  <c r="BB18" i="22"/>
  <c r="AW4" i="22"/>
  <c r="BC18" i="22"/>
  <c r="AX4" i="22"/>
  <c r="BD18" i="22"/>
  <c r="AY4" i="22"/>
  <c r="BE18" i="22"/>
  <c r="AZ4" i="22"/>
  <c r="BF18" i="22"/>
  <c r="BA4" i="22"/>
  <c r="BG18" i="22"/>
  <c r="BB4" i="22"/>
  <c r="BH18" i="22"/>
  <c r="BC4" i="22"/>
  <c r="BI18" i="22"/>
  <c r="BD4" i="22"/>
  <c r="BJ18" i="22"/>
  <c r="BE4" i="22"/>
  <c r="BK18" i="22"/>
  <c r="BF4" i="22"/>
  <c r="BL18" i="22"/>
  <c r="BG4" i="22"/>
  <c r="BM18" i="22"/>
  <c r="BH4" i="22"/>
  <c r="BN18" i="22"/>
  <c r="AP18" i="22"/>
  <c r="AK5" i="22"/>
  <c r="AQ19" i="22"/>
  <c r="AL5" i="22"/>
  <c r="AR19" i="22"/>
  <c r="AM5" i="22"/>
  <c r="AS19" i="22"/>
  <c r="AN5" i="22"/>
  <c r="AT19" i="22"/>
  <c r="AO5" i="22"/>
  <c r="AU19" i="22"/>
  <c r="AP5" i="22"/>
  <c r="AV19" i="22"/>
  <c r="AQ5" i="22"/>
  <c r="AW19" i="22"/>
  <c r="AR5" i="22"/>
  <c r="AX19" i="22"/>
  <c r="AS5" i="22"/>
  <c r="AY19" i="22"/>
  <c r="AT5" i="22"/>
  <c r="AZ19" i="22"/>
  <c r="AU5" i="22"/>
  <c r="BA19" i="22"/>
  <c r="AV5" i="22"/>
  <c r="BB19" i="22"/>
  <c r="AW5" i="22"/>
  <c r="BC19" i="22"/>
  <c r="AX5" i="22"/>
  <c r="BD19" i="22"/>
  <c r="AY5" i="22"/>
  <c r="BE19" i="22"/>
  <c r="AZ5" i="22"/>
  <c r="BF19" i="22"/>
  <c r="BA5" i="22"/>
  <c r="BG19" i="22"/>
  <c r="BB5" i="22"/>
  <c r="BH19" i="22"/>
  <c r="BC5" i="22"/>
  <c r="BI19" i="22"/>
  <c r="BD5" i="22"/>
  <c r="BJ19" i="22"/>
  <c r="BE5" i="22"/>
  <c r="BK19" i="22"/>
  <c r="BF5" i="22"/>
  <c r="BL19" i="22"/>
  <c r="BG5" i="22"/>
  <c r="BM19" i="22"/>
  <c r="BH5" i="22"/>
  <c r="BN19" i="22"/>
  <c r="AP19" i="22"/>
  <c r="AK6" i="22"/>
  <c r="AQ20" i="22"/>
  <c r="AL6" i="22"/>
  <c r="AR20" i="22"/>
  <c r="AM6" i="22"/>
  <c r="AS20" i="22"/>
  <c r="AN6" i="22"/>
  <c r="AT20" i="22"/>
  <c r="AO6" i="22"/>
  <c r="AU20" i="22"/>
  <c r="AP6" i="22"/>
  <c r="AV20" i="22"/>
  <c r="AQ6" i="22"/>
  <c r="AW20" i="22"/>
  <c r="AR6" i="22"/>
  <c r="AX20" i="22"/>
  <c r="AS6" i="22"/>
  <c r="AY20" i="22"/>
  <c r="AT6" i="22"/>
  <c r="AZ20" i="22"/>
  <c r="AU6" i="22"/>
  <c r="BA20" i="22"/>
  <c r="AV6" i="22"/>
  <c r="BB20" i="22"/>
  <c r="AW6" i="22"/>
  <c r="BC20" i="22"/>
  <c r="AX6" i="22"/>
  <c r="BD20" i="22"/>
  <c r="AY6" i="22"/>
  <c r="BE20" i="22"/>
  <c r="AZ6" i="22"/>
  <c r="BF20" i="22"/>
  <c r="BA6" i="22"/>
  <c r="BG20" i="22"/>
  <c r="BB6" i="22"/>
  <c r="BH20" i="22"/>
  <c r="BC6" i="22"/>
  <c r="BI20" i="22"/>
  <c r="BD6" i="22"/>
  <c r="BJ20" i="22"/>
  <c r="BE6" i="22"/>
  <c r="BK20" i="22"/>
  <c r="BF6" i="22"/>
  <c r="BL20" i="22"/>
  <c r="BG6" i="22"/>
  <c r="BM20" i="22"/>
  <c r="BH6" i="22"/>
  <c r="BN20" i="22"/>
  <c r="AP20" i="22"/>
  <c r="AK7" i="22"/>
  <c r="AQ21" i="22"/>
  <c r="AL7" i="22"/>
  <c r="AR21" i="22"/>
  <c r="AM7" i="22"/>
  <c r="AS21" i="22"/>
  <c r="AN7" i="22"/>
  <c r="AT21" i="22"/>
  <c r="AO7" i="22"/>
  <c r="AU21" i="22"/>
  <c r="AP7" i="22"/>
  <c r="AV21" i="22"/>
  <c r="AQ7" i="22"/>
  <c r="AW21" i="22"/>
  <c r="AR7" i="22"/>
  <c r="AX21" i="22"/>
  <c r="AS7" i="22"/>
  <c r="AY21" i="22"/>
  <c r="AT7" i="22"/>
  <c r="AZ21" i="22"/>
  <c r="AU7" i="22"/>
  <c r="BA21" i="22"/>
  <c r="AV7" i="22"/>
  <c r="BB21" i="22"/>
  <c r="AW7" i="22"/>
  <c r="BC21" i="22"/>
  <c r="AX7" i="22"/>
  <c r="BD21" i="22"/>
  <c r="AY7" i="22"/>
  <c r="BE21" i="22"/>
  <c r="AZ7" i="22"/>
  <c r="BF21" i="22"/>
  <c r="BA7" i="22"/>
  <c r="BG21" i="22"/>
  <c r="BB7" i="22"/>
  <c r="BH21" i="22"/>
  <c r="BC7" i="22"/>
  <c r="BI21" i="22"/>
  <c r="BD7" i="22"/>
  <c r="BJ21" i="22"/>
  <c r="BE7" i="22"/>
  <c r="BK21" i="22"/>
  <c r="BF7" i="22"/>
  <c r="BL21" i="22"/>
  <c r="BG7" i="22"/>
  <c r="BM21" i="22"/>
  <c r="BH7" i="22"/>
  <c r="BN21" i="22"/>
  <c r="AP21" i="22"/>
  <c r="AK8" i="22"/>
  <c r="AQ22" i="22"/>
  <c r="AL8" i="22"/>
  <c r="AR22" i="22"/>
  <c r="AM8" i="22"/>
  <c r="AS22" i="22"/>
  <c r="AN8" i="22"/>
  <c r="AT22" i="22"/>
  <c r="AO8" i="22"/>
  <c r="AU22" i="22"/>
  <c r="AP8" i="22"/>
  <c r="AV22" i="22"/>
  <c r="AQ8" i="22"/>
  <c r="AW22" i="22"/>
  <c r="AR8" i="22"/>
  <c r="AX22" i="22"/>
  <c r="AS8" i="22"/>
  <c r="AY22" i="22"/>
  <c r="AT8" i="22"/>
  <c r="AZ22" i="22"/>
  <c r="AU8" i="22"/>
  <c r="BA22" i="22"/>
  <c r="AV8" i="22"/>
  <c r="BB22" i="22"/>
  <c r="AW8" i="22"/>
  <c r="BC22" i="22"/>
  <c r="AX8" i="22"/>
  <c r="BD22" i="22"/>
  <c r="AY8" i="22"/>
  <c r="BE22" i="22"/>
  <c r="AZ8" i="22"/>
  <c r="BF22" i="22"/>
  <c r="BA8" i="22"/>
  <c r="BG22" i="22"/>
  <c r="BB8" i="22"/>
  <c r="BH22" i="22"/>
  <c r="BC8" i="22"/>
  <c r="BI22" i="22"/>
  <c r="BD8" i="22"/>
  <c r="BJ22" i="22"/>
  <c r="BE8" i="22"/>
  <c r="BK22" i="22"/>
  <c r="BF8" i="22"/>
  <c r="BL22" i="22"/>
  <c r="BG8" i="22"/>
  <c r="BM22" i="22"/>
  <c r="BH8" i="22"/>
  <c r="BN22" i="22"/>
  <c r="AP22" i="22"/>
  <c r="AK9" i="22"/>
  <c r="AQ23" i="22"/>
  <c r="AL9" i="22"/>
  <c r="AR23" i="22"/>
  <c r="AM9" i="22"/>
  <c r="AS23" i="22"/>
  <c r="AN9" i="22"/>
  <c r="AT23" i="22"/>
  <c r="AO9" i="22"/>
  <c r="AU23" i="22"/>
  <c r="AP9" i="22"/>
  <c r="AV23" i="22"/>
  <c r="AQ9" i="22"/>
  <c r="AW23" i="22"/>
  <c r="AR9" i="22"/>
  <c r="AX23" i="22"/>
  <c r="AS9" i="22"/>
  <c r="AY23" i="22"/>
  <c r="AT9" i="22"/>
  <c r="AZ23" i="22"/>
  <c r="AU9" i="22"/>
  <c r="BA23" i="22"/>
  <c r="AV9" i="22"/>
  <c r="BB23" i="22"/>
  <c r="AW9" i="22"/>
  <c r="BC23" i="22"/>
  <c r="AX9" i="22"/>
  <c r="BD23" i="22"/>
  <c r="AY9" i="22"/>
  <c r="BE23" i="22"/>
  <c r="AZ9" i="22"/>
  <c r="BF23" i="22"/>
  <c r="BA9" i="22"/>
  <c r="BG23" i="22"/>
  <c r="BB9" i="22"/>
  <c r="BH23" i="22"/>
  <c r="BC9" i="22"/>
  <c r="BI23" i="22"/>
  <c r="BD9" i="22"/>
  <c r="BJ23" i="22"/>
  <c r="BE9" i="22"/>
  <c r="BK23" i="22"/>
  <c r="BF9" i="22"/>
  <c r="BL23" i="22"/>
  <c r="BG9" i="22"/>
  <c r="BM23" i="22"/>
  <c r="BH9" i="22"/>
  <c r="BN23" i="22"/>
  <c r="AP23" i="22"/>
  <c r="AK10" i="22"/>
  <c r="AQ24" i="22"/>
  <c r="AL10" i="22"/>
  <c r="AR24" i="22"/>
  <c r="AM10" i="22"/>
  <c r="AS24" i="22"/>
  <c r="AN10" i="22"/>
  <c r="AT24" i="22"/>
  <c r="AO10" i="22"/>
  <c r="AU24" i="22"/>
  <c r="AP10" i="22"/>
  <c r="AV24" i="22"/>
  <c r="AQ10" i="22"/>
  <c r="AW24" i="22"/>
  <c r="AR10" i="22"/>
  <c r="AX24" i="22"/>
  <c r="AS10" i="22"/>
  <c r="AY24" i="22"/>
  <c r="AT10" i="22"/>
  <c r="AZ24" i="22"/>
  <c r="AU10" i="22"/>
  <c r="BA24" i="22"/>
  <c r="AV10" i="22"/>
  <c r="BB24" i="22"/>
  <c r="AW10" i="22"/>
  <c r="BC24" i="22"/>
  <c r="AX10" i="22"/>
  <c r="BD24" i="22"/>
  <c r="AY10" i="22"/>
  <c r="BE24" i="22"/>
  <c r="AZ10" i="22"/>
  <c r="BF24" i="22"/>
  <c r="BA10" i="22"/>
  <c r="BG24" i="22"/>
  <c r="BB10" i="22"/>
  <c r="BH24" i="22"/>
  <c r="BC10" i="22"/>
  <c r="BI24" i="22"/>
  <c r="BD10" i="22"/>
  <c r="BJ24" i="22"/>
  <c r="BE10" i="22"/>
  <c r="BK24" i="22"/>
  <c r="BF10" i="22"/>
  <c r="BL24" i="22"/>
  <c r="BG10" i="22"/>
  <c r="BM24" i="22"/>
  <c r="BH10" i="22"/>
  <c r="BN24" i="22"/>
  <c r="AP24" i="22"/>
  <c r="AK11" i="22"/>
  <c r="AQ25" i="22"/>
  <c r="AL11" i="22"/>
  <c r="AR25" i="22"/>
  <c r="AM11" i="22"/>
  <c r="AS25" i="22"/>
  <c r="AN11" i="22"/>
  <c r="AT25" i="22"/>
  <c r="AO11" i="22"/>
  <c r="AU25" i="22"/>
  <c r="AP11" i="22"/>
  <c r="AV25" i="22"/>
  <c r="AQ11" i="22"/>
  <c r="AW25" i="22"/>
  <c r="AR11" i="22"/>
  <c r="AX25" i="22"/>
  <c r="AS11" i="22"/>
  <c r="AY25" i="22"/>
  <c r="AT11" i="22"/>
  <c r="AZ25" i="22"/>
  <c r="AU11" i="22"/>
  <c r="BA25" i="22"/>
  <c r="AV11" i="22"/>
  <c r="BB25" i="22"/>
  <c r="AW11" i="22"/>
  <c r="BC25" i="22"/>
  <c r="AX11" i="22"/>
  <c r="BD25" i="22"/>
  <c r="AY11" i="22"/>
  <c r="BE25" i="22"/>
  <c r="AZ11" i="22"/>
  <c r="BF25" i="22"/>
  <c r="BA11" i="22"/>
  <c r="BG25" i="22"/>
  <c r="BB11" i="22"/>
  <c r="BH25" i="22"/>
  <c r="BC11" i="22"/>
  <c r="BI25" i="22"/>
  <c r="BD11" i="22"/>
  <c r="BJ25" i="22"/>
  <c r="BE11" i="22"/>
  <c r="BK25" i="22"/>
  <c r="BF11" i="22"/>
  <c r="BL25" i="22"/>
  <c r="BG11" i="22"/>
  <c r="BM25" i="22"/>
  <c r="BH11" i="22"/>
  <c r="BN25" i="22"/>
  <c r="AP25" i="22"/>
  <c r="AK12" i="22"/>
  <c r="AQ26" i="22"/>
  <c r="AL12" i="22"/>
  <c r="AR26" i="22"/>
  <c r="AM12" i="22"/>
  <c r="AS26" i="22"/>
  <c r="AN12" i="22"/>
  <c r="AT26" i="22"/>
  <c r="AO12" i="22"/>
  <c r="AU26" i="22"/>
  <c r="AP12" i="22"/>
  <c r="AV26" i="22"/>
  <c r="AQ12" i="22"/>
  <c r="AW26" i="22"/>
  <c r="AR12" i="22"/>
  <c r="AX26" i="22"/>
  <c r="AS12" i="22"/>
  <c r="AY26" i="22"/>
  <c r="AT12" i="22"/>
  <c r="AZ26" i="22"/>
  <c r="AU12" i="22"/>
  <c r="BA26" i="22"/>
  <c r="AV12" i="22"/>
  <c r="BB26" i="22"/>
  <c r="AW12" i="22"/>
  <c r="BC26" i="22"/>
  <c r="AX12" i="22"/>
  <c r="BD26" i="22"/>
  <c r="AY12" i="22"/>
  <c r="BE26" i="22"/>
  <c r="AZ12" i="22"/>
  <c r="BF26" i="22"/>
  <c r="BA12" i="22"/>
  <c r="BG26" i="22"/>
  <c r="BB12" i="22"/>
  <c r="BH26" i="22"/>
  <c r="BC12" i="22"/>
  <c r="BI26" i="22"/>
  <c r="BD12" i="22"/>
  <c r="BJ26" i="22"/>
  <c r="BE12" i="22"/>
  <c r="BK26" i="22"/>
  <c r="BF12" i="22"/>
  <c r="BL26" i="22"/>
  <c r="BG12" i="22"/>
  <c r="BM26" i="22"/>
  <c r="BH12" i="22"/>
  <c r="BN26" i="22"/>
  <c r="AP26" i="22"/>
  <c r="AK13" i="22"/>
  <c r="AQ27" i="22"/>
  <c r="AL13" i="22"/>
  <c r="AR27" i="22"/>
  <c r="AM13" i="22"/>
  <c r="AS27" i="22"/>
  <c r="AN13" i="22"/>
  <c r="AT27" i="22"/>
  <c r="AO13" i="22"/>
  <c r="AU27" i="22"/>
  <c r="AP13" i="22"/>
  <c r="AV27" i="22"/>
  <c r="AQ13" i="22"/>
  <c r="AW27" i="22"/>
  <c r="AR13" i="22"/>
  <c r="AX27" i="22"/>
  <c r="AS13" i="22"/>
  <c r="AY27" i="22"/>
  <c r="AT13" i="22"/>
  <c r="AZ27" i="22"/>
  <c r="AU13" i="22"/>
  <c r="BA27" i="22"/>
  <c r="AV13" i="22"/>
  <c r="BB27" i="22"/>
  <c r="AW13" i="22"/>
  <c r="BC27" i="22"/>
  <c r="AX13" i="22"/>
  <c r="BD27" i="22"/>
  <c r="AY13" i="22"/>
  <c r="BE27" i="22"/>
  <c r="AZ13" i="22"/>
  <c r="BF27" i="22"/>
  <c r="BA13" i="22"/>
  <c r="BG27" i="22"/>
  <c r="BB13" i="22"/>
  <c r="BH27" i="22"/>
  <c r="BC13" i="22"/>
  <c r="BI27" i="22"/>
  <c r="BD13" i="22"/>
  <c r="BJ27" i="22"/>
  <c r="BE13" i="22"/>
  <c r="BK27" i="22"/>
  <c r="BF13" i="22"/>
  <c r="BL27" i="22"/>
  <c r="BG13" i="22"/>
  <c r="BM27" i="22"/>
  <c r="BH13" i="22"/>
  <c r="BN27" i="22"/>
  <c r="AP27" i="22"/>
  <c r="AP28" i="22"/>
  <c r="AN16" i="22"/>
  <c r="AN17" i="22"/>
  <c r="AN18" i="22"/>
  <c r="AN19" i="22"/>
  <c r="AN20" i="22"/>
  <c r="AN21" i="22"/>
  <c r="AN22" i="22"/>
  <c r="AN23" i="22"/>
  <c r="AN24" i="22"/>
  <c r="AN25" i="22"/>
  <c r="AN26" i="22"/>
  <c r="AN27" i="22"/>
  <c r="AN28" i="22"/>
  <c r="AM16" i="22"/>
  <c r="AM17" i="22"/>
  <c r="AM18" i="22"/>
  <c r="AM19" i="22"/>
  <c r="AM20" i="22"/>
  <c r="AM21" i="22"/>
  <c r="AM22" i="22"/>
  <c r="AM23" i="22"/>
  <c r="AM24" i="22"/>
  <c r="AM25" i="22"/>
  <c r="AM26" i="22"/>
  <c r="AM27" i="22"/>
  <c r="AM28" i="22"/>
  <c r="AL16" i="22"/>
  <c r="AL17" i="22"/>
  <c r="AL18" i="22"/>
  <c r="AL19" i="22"/>
  <c r="AL20" i="22"/>
  <c r="AL21" i="22"/>
  <c r="AL22" i="22"/>
  <c r="AL23" i="22"/>
  <c r="AL24" i="22"/>
  <c r="AL25" i="22"/>
  <c r="AL26" i="22"/>
  <c r="AL27" i="22"/>
  <c r="AL28" i="22"/>
  <c r="AK16" i="22"/>
  <c r="AK17" i="22"/>
  <c r="AK18" i="22"/>
  <c r="AK19" i="22"/>
  <c r="AK20" i="22"/>
  <c r="AK21" i="22"/>
  <c r="AK22" i="22"/>
  <c r="AK23" i="22"/>
  <c r="AK24" i="22"/>
  <c r="AK25" i="22"/>
  <c r="AK26" i="22"/>
  <c r="AK27" i="22"/>
  <c r="AK28" i="22"/>
  <c r="Z2" i="22"/>
  <c r="AA2" i="22"/>
  <c r="AB2" i="22"/>
  <c r="AC2" i="22"/>
  <c r="AA16" i="22"/>
  <c r="Z3" i="22"/>
  <c r="AA3" i="22"/>
  <c r="AB3" i="22"/>
  <c r="AC3" i="22"/>
  <c r="AA17" i="22"/>
  <c r="Z4" i="22"/>
  <c r="AA4" i="22"/>
  <c r="AB4" i="22"/>
  <c r="AC4" i="22"/>
  <c r="AA18" i="22"/>
  <c r="Z5" i="22"/>
  <c r="AA5" i="22"/>
  <c r="AB5" i="22"/>
  <c r="AC5" i="22"/>
  <c r="AA19" i="22"/>
  <c r="Z6" i="22"/>
  <c r="AA6" i="22"/>
  <c r="AB6" i="22"/>
  <c r="AC6" i="22"/>
  <c r="AA20" i="22"/>
  <c r="Z7" i="22"/>
  <c r="AA7" i="22"/>
  <c r="AB7" i="22"/>
  <c r="AC7" i="22"/>
  <c r="AA21" i="22"/>
  <c r="Z8" i="22"/>
  <c r="AA8" i="22"/>
  <c r="AB8" i="22"/>
  <c r="AC8" i="22"/>
  <c r="AA22" i="22"/>
  <c r="Z9" i="22"/>
  <c r="AA9" i="22"/>
  <c r="AB9" i="22"/>
  <c r="AC9" i="22"/>
  <c r="AA23" i="22"/>
  <c r="Z10" i="22"/>
  <c r="AA10" i="22"/>
  <c r="AB10" i="22"/>
  <c r="AC10" i="22"/>
  <c r="AA24" i="22"/>
  <c r="Z11" i="22"/>
  <c r="AA11" i="22"/>
  <c r="AB11" i="22"/>
  <c r="AC11" i="22"/>
  <c r="AA25" i="22"/>
  <c r="Z12" i="22"/>
  <c r="AA12" i="22"/>
  <c r="AB12" i="22"/>
  <c r="AC12" i="22"/>
  <c r="AA26" i="22"/>
  <c r="Z13" i="22"/>
  <c r="AA13" i="22"/>
  <c r="AB13" i="22"/>
  <c r="AC13" i="22"/>
  <c r="AA27" i="22"/>
  <c r="AA28" i="22"/>
  <c r="Z16" i="22"/>
  <c r="Z17" i="22"/>
  <c r="Z18" i="22"/>
  <c r="Z19" i="22"/>
  <c r="Z20" i="22"/>
  <c r="Z21" i="22"/>
  <c r="Z22" i="22"/>
  <c r="Z23" i="22"/>
  <c r="Z24" i="22"/>
  <c r="Z25" i="22"/>
  <c r="Z26" i="22"/>
  <c r="Z27" i="22"/>
  <c r="Z28" i="22"/>
  <c r="S28" i="22"/>
  <c r="R28" i="22"/>
  <c r="Q28" i="22"/>
  <c r="P28" i="22"/>
  <c r="N28" i="22"/>
  <c r="M28" i="22"/>
  <c r="L28" i="22"/>
  <c r="K28" i="22"/>
  <c r="D27" i="22"/>
  <c r="G26" i="22"/>
  <c r="N25" i="22"/>
  <c r="M25" i="22"/>
  <c r="L25" i="22"/>
  <c r="K25" i="22"/>
  <c r="D25" i="22"/>
  <c r="G24" i="22"/>
  <c r="H16" i="22"/>
  <c r="D23" i="22"/>
  <c r="G22" i="22"/>
  <c r="G16" i="22"/>
  <c r="D21" i="22"/>
  <c r="G20" i="22"/>
  <c r="M19" i="22"/>
  <c r="W16" i="22"/>
  <c r="V16" i="22"/>
  <c r="U16" i="22"/>
  <c r="E50" i="21"/>
  <c r="A50" i="21"/>
  <c r="E49" i="21"/>
  <c r="A49" i="21"/>
  <c r="E48" i="21"/>
  <c r="A48" i="21"/>
  <c r="E47" i="21"/>
  <c r="A47" i="21"/>
  <c r="E46" i="21"/>
  <c r="A46" i="21"/>
  <c r="E45" i="21"/>
  <c r="A45" i="21"/>
  <c r="E44" i="21"/>
  <c r="A44" i="21"/>
  <c r="E43" i="21"/>
  <c r="A43" i="21"/>
  <c r="E42" i="21"/>
  <c r="AE5" i="21"/>
  <c r="AF5" i="21"/>
  <c r="AG5" i="21"/>
  <c r="AH5" i="21"/>
  <c r="AI5" i="21"/>
  <c r="AE19" i="21"/>
  <c r="AF19" i="21"/>
  <c r="AG19" i="21"/>
  <c r="A42" i="21"/>
  <c r="E41" i="21"/>
  <c r="AE4" i="21"/>
  <c r="AF4" i="21"/>
  <c r="AG4" i="21"/>
  <c r="AH4" i="21"/>
  <c r="AI4" i="21"/>
  <c r="AE18" i="21"/>
  <c r="AF18" i="21"/>
  <c r="AG18" i="21"/>
  <c r="A41" i="21"/>
  <c r="E40" i="21"/>
  <c r="AE17" i="21"/>
  <c r="A40" i="21"/>
  <c r="E39" i="21"/>
  <c r="AE2" i="21"/>
  <c r="AF2" i="21"/>
  <c r="AG2" i="21"/>
  <c r="AH2" i="21"/>
  <c r="AI2" i="21"/>
  <c r="AE16" i="21"/>
  <c r="AF16" i="21"/>
  <c r="AG16" i="21"/>
  <c r="A39" i="21"/>
  <c r="X10" i="21"/>
  <c r="Q16" i="21"/>
  <c r="X7" i="21"/>
  <c r="X4" i="21"/>
  <c r="X5" i="21"/>
  <c r="X6" i="21"/>
  <c r="AE3" i="21"/>
  <c r="AF3" i="21"/>
  <c r="AG3" i="21"/>
  <c r="AH3" i="21"/>
  <c r="AI3" i="21"/>
  <c r="AG17" i="21"/>
  <c r="AE6" i="21"/>
  <c r="AF6" i="21"/>
  <c r="AG6" i="21"/>
  <c r="AH6" i="21"/>
  <c r="AI6" i="21"/>
  <c r="AG20" i="21"/>
  <c r="AE8" i="21"/>
  <c r="AF8" i="21"/>
  <c r="AG8" i="21"/>
  <c r="AH8" i="21"/>
  <c r="AI8" i="21"/>
  <c r="AG22" i="21"/>
  <c r="AE9" i="21"/>
  <c r="AF9" i="21"/>
  <c r="AG9" i="21"/>
  <c r="AH9" i="21"/>
  <c r="AI9" i="21"/>
  <c r="AG23" i="21"/>
  <c r="AE10" i="21"/>
  <c r="AF10" i="21"/>
  <c r="AG10" i="21"/>
  <c r="AH10" i="21"/>
  <c r="AI10" i="21"/>
  <c r="AG24" i="21"/>
  <c r="AE11" i="21"/>
  <c r="AF11" i="21"/>
  <c r="AG11" i="21"/>
  <c r="AH11" i="21"/>
  <c r="AI11" i="21"/>
  <c r="AG25" i="21"/>
  <c r="AE12" i="21"/>
  <c r="AF12" i="21"/>
  <c r="AG12" i="21"/>
  <c r="AH12" i="21"/>
  <c r="AI12" i="21"/>
  <c r="AG26" i="21"/>
  <c r="AF17" i="21"/>
  <c r="AF20" i="21"/>
  <c r="AF22" i="21"/>
  <c r="AF23" i="21"/>
  <c r="AF24" i="21"/>
  <c r="AF25" i="21"/>
  <c r="AF26" i="21"/>
  <c r="J29" i="21"/>
  <c r="I29" i="21"/>
  <c r="H29" i="21"/>
  <c r="G29" i="21"/>
  <c r="AK2" i="21"/>
  <c r="AQ16" i="21"/>
  <c r="AL2" i="21"/>
  <c r="AR16" i="21"/>
  <c r="AM2" i="21"/>
  <c r="AS16" i="21"/>
  <c r="AN2" i="21"/>
  <c r="AT16" i="21"/>
  <c r="AO2" i="21"/>
  <c r="AU16" i="21"/>
  <c r="AP2" i="21"/>
  <c r="AV16" i="21"/>
  <c r="AQ2" i="21"/>
  <c r="AW16" i="21"/>
  <c r="AR2" i="21"/>
  <c r="AX16" i="21"/>
  <c r="AS2" i="21"/>
  <c r="AY16" i="21"/>
  <c r="AT2" i="21"/>
  <c r="AZ16" i="21"/>
  <c r="AU2" i="21"/>
  <c r="BA16" i="21"/>
  <c r="AV2" i="21"/>
  <c r="BB16" i="21"/>
  <c r="AW2" i="21"/>
  <c r="BC16" i="21"/>
  <c r="AX2" i="21"/>
  <c r="BD16" i="21"/>
  <c r="AY2" i="21"/>
  <c r="BE16" i="21"/>
  <c r="AZ2" i="21"/>
  <c r="BF16" i="21"/>
  <c r="BA2" i="21"/>
  <c r="BG16" i="21"/>
  <c r="BB2" i="21"/>
  <c r="BH16" i="21"/>
  <c r="BC2" i="21"/>
  <c r="BI16" i="21"/>
  <c r="BD2" i="21"/>
  <c r="BJ16" i="21"/>
  <c r="BE2" i="21"/>
  <c r="BK16" i="21"/>
  <c r="BF2" i="21"/>
  <c r="BL16" i="21"/>
  <c r="BG2" i="21"/>
  <c r="BM16" i="21"/>
  <c r="BH2" i="21"/>
  <c r="BN16" i="21"/>
  <c r="AP16" i="21"/>
  <c r="AK3" i="21"/>
  <c r="AQ17" i="21"/>
  <c r="AL3" i="21"/>
  <c r="AR17" i="21"/>
  <c r="AM3" i="21"/>
  <c r="AS17" i="21"/>
  <c r="AN3" i="21"/>
  <c r="AT17" i="21"/>
  <c r="AO3" i="21"/>
  <c r="AU17" i="21"/>
  <c r="AP3" i="21"/>
  <c r="AV17" i="21"/>
  <c r="AQ3" i="21"/>
  <c r="AW17" i="21"/>
  <c r="AR3" i="21"/>
  <c r="AX17" i="21"/>
  <c r="AS3" i="21"/>
  <c r="AY17" i="21"/>
  <c r="AT3" i="21"/>
  <c r="AZ17" i="21"/>
  <c r="AU3" i="21"/>
  <c r="BA17" i="21"/>
  <c r="AV3" i="21"/>
  <c r="BB17" i="21"/>
  <c r="AW3" i="21"/>
  <c r="BC17" i="21"/>
  <c r="AX3" i="21"/>
  <c r="BD17" i="21"/>
  <c r="AY3" i="21"/>
  <c r="BE17" i="21"/>
  <c r="AZ3" i="21"/>
  <c r="BF17" i="21"/>
  <c r="BA3" i="21"/>
  <c r="BG17" i="21"/>
  <c r="BB3" i="21"/>
  <c r="BH17" i="21"/>
  <c r="BC3" i="21"/>
  <c r="BI17" i="21"/>
  <c r="BD3" i="21"/>
  <c r="BJ17" i="21"/>
  <c r="BE3" i="21"/>
  <c r="BK17" i="21"/>
  <c r="BF3" i="21"/>
  <c r="BL17" i="21"/>
  <c r="BG3" i="21"/>
  <c r="BM17" i="21"/>
  <c r="BH3" i="21"/>
  <c r="BN17" i="21"/>
  <c r="AP17" i="21"/>
  <c r="AK4" i="21"/>
  <c r="AQ18" i="21"/>
  <c r="AL4" i="21"/>
  <c r="AR18" i="21"/>
  <c r="AM4" i="21"/>
  <c r="AS18" i="21"/>
  <c r="AN4" i="21"/>
  <c r="AT18" i="21"/>
  <c r="AO4" i="21"/>
  <c r="AU18" i="21"/>
  <c r="AP4" i="21"/>
  <c r="AV18" i="21"/>
  <c r="AQ4" i="21"/>
  <c r="AW18" i="21"/>
  <c r="AR4" i="21"/>
  <c r="AX18" i="21"/>
  <c r="AS4" i="21"/>
  <c r="AY18" i="21"/>
  <c r="AT4" i="21"/>
  <c r="AZ18" i="21"/>
  <c r="AU4" i="21"/>
  <c r="BA18" i="21"/>
  <c r="AV4" i="21"/>
  <c r="BB18" i="21"/>
  <c r="AW4" i="21"/>
  <c r="BC18" i="21"/>
  <c r="AX4" i="21"/>
  <c r="BD18" i="21"/>
  <c r="AY4" i="21"/>
  <c r="BE18" i="21"/>
  <c r="AZ4" i="21"/>
  <c r="BF18" i="21"/>
  <c r="BA4" i="21"/>
  <c r="BG18" i="21"/>
  <c r="BB4" i="21"/>
  <c r="BH18" i="21"/>
  <c r="BC4" i="21"/>
  <c r="BI18" i="21"/>
  <c r="BD4" i="21"/>
  <c r="BJ18" i="21"/>
  <c r="BE4" i="21"/>
  <c r="BK18" i="21"/>
  <c r="BF4" i="21"/>
  <c r="BL18" i="21"/>
  <c r="BG4" i="21"/>
  <c r="BM18" i="21"/>
  <c r="BH4" i="21"/>
  <c r="BN18" i="21"/>
  <c r="AP18" i="21"/>
  <c r="AK5" i="21"/>
  <c r="AQ19" i="21"/>
  <c r="AL5" i="21"/>
  <c r="AR19" i="21"/>
  <c r="AM5" i="21"/>
  <c r="AS19" i="21"/>
  <c r="AN5" i="21"/>
  <c r="AT19" i="21"/>
  <c r="AO5" i="21"/>
  <c r="AU19" i="21"/>
  <c r="AP5" i="21"/>
  <c r="AV19" i="21"/>
  <c r="AQ5" i="21"/>
  <c r="AW19" i="21"/>
  <c r="AR5" i="21"/>
  <c r="AX19" i="21"/>
  <c r="AS5" i="21"/>
  <c r="AY19" i="21"/>
  <c r="AT5" i="21"/>
  <c r="AZ19" i="21"/>
  <c r="AU5" i="21"/>
  <c r="BA19" i="21"/>
  <c r="AV5" i="21"/>
  <c r="BB19" i="21"/>
  <c r="AW5" i="21"/>
  <c r="BC19" i="21"/>
  <c r="AX5" i="21"/>
  <c r="BD19" i="21"/>
  <c r="AY5" i="21"/>
  <c r="BE19" i="21"/>
  <c r="AZ5" i="21"/>
  <c r="BF19" i="21"/>
  <c r="BA5" i="21"/>
  <c r="BG19" i="21"/>
  <c r="BB5" i="21"/>
  <c r="BH19" i="21"/>
  <c r="BC5" i="21"/>
  <c r="BI19" i="21"/>
  <c r="BD5" i="21"/>
  <c r="BJ19" i="21"/>
  <c r="BE5" i="21"/>
  <c r="BK19" i="21"/>
  <c r="BF5" i="21"/>
  <c r="BL19" i="21"/>
  <c r="BG5" i="21"/>
  <c r="BM19" i="21"/>
  <c r="BH5" i="21"/>
  <c r="BN19" i="21"/>
  <c r="AP19" i="21"/>
  <c r="AK6" i="21"/>
  <c r="AQ20" i="21"/>
  <c r="AL6" i="21"/>
  <c r="AR20" i="21"/>
  <c r="AM6" i="21"/>
  <c r="AS20" i="21"/>
  <c r="AN6" i="21"/>
  <c r="AT20" i="21"/>
  <c r="AO6" i="21"/>
  <c r="AU20" i="21"/>
  <c r="AP6" i="21"/>
  <c r="AV20" i="21"/>
  <c r="AQ6" i="21"/>
  <c r="AW20" i="21"/>
  <c r="AR6" i="21"/>
  <c r="AX20" i="21"/>
  <c r="AS6" i="21"/>
  <c r="AY20" i="21"/>
  <c r="AT6" i="21"/>
  <c r="AZ20" i="21"/>
  <c r="AU6" i="21"/>
  <c r="BA20" i="21"/>
  <c r="AV6" i="21"/>
  <c r="BB20" i="21"/>
  <c r="AW6" i="21"/>
  <c r="BC20" i="21"/>
  <c r="AX6" i="21"/>
  <c r="BD20" i="21"/>
  <c r="AY6" i="21"/>
  <c r="BE20" i="21"/>
  <c r="AZ6" i="21"/>
  <c r="BF20" i="21"/>
  <c r="BA6" i="21"/>
  <c r="BG20" i="21"/>
  <c r="BB6" i="21"/>
  <c r="BH20" i="21"/>
  <c r="BC6" i="21"/>
  <c r="BI20" i="21"/>
  <c r="BD6" i="21"/>
  <c r="BJ20" i="21"/>
  <c r="BE6" i="21"/>
  <c r="BK20" i="21"/>
  <c r="BF6" i="21"/>
  <c r="BL20" i="21"/>
  <c r="BG6" i="21"/>
  <c r="BM20" i="21"/>
  <c r="BH6" i="21"/>
  <c r="BN20" i="21"/>
  <c r="AP20" i="21"/>
  <c r="AK7" i="21"/>
  <c r="AQ21" i="21"/>
  <c r="AL7" i="21"/>
  <c r="AR21" i="21"/>
  <c r="AM7" i="21"/>
  <c r="AS21" i="21"/>
  <c r="AN7" i="21"/>
  <c r="AT21" i="21"/>
  <c r="AO7" i="21"/>
  <c r="AU21" i="21"/>
  <c r="AP7" i="21"/>
  <c r="AV21" i="21"/>
  <c r="AQ7" i="21"/>
  <c r="AW21" i="21"/>
  <c r="AR7" i="21"/>
  <c r="AX21" i="21"/>
  <c r="AS7" i="21"/>
  <c r="AY21" i="21"/>
  <c r="AT7" i="21"/>
  <c r="AZ21" i="21"/>
  <c r="AU7" i="21"/>
  <c r="BA21" i="21"/>
  <c r="AV7" i="21"/>
  <c r="BB21" i="21"/>
  <c r="AW7" i="21"/>
  <c r="BC21" i="21"/>
  <c r="AX7" i="21"/>
  <c r="BD21" i="21"/>
  <c r="AY7" i="21"/>
  <c r="BE21" i="21"/>
  <c r="AZ7" i="21"/>
  <c r="BF21" i="21"/>
  <c r="BA7" i="21"/>
  <c r="BG21" i="21"/>
  <c r="BB7" i="21"/>
  <c r="BH21" i="21"/>
  <c r="BC7" i="21"/>
  <c r="BI21" i="21"/>
  <c r="BD7" i="21"/>
  <c r="BJ21" i="21"/>
  <c r="BE7" i="21"/>
  <c r="BK21" i="21"/>
  <c r="BF7" i="21"/>
  <c r="BL21" i="21"/>
  <c r="BG7" i="21"/>
  <c r="BM21" i="21"/>
  <c r="BH7" i="21"/>
  <c r="BN21" i="21"/>
  <c r="AP21" i="21"/>
  <c r="AK8" i="21"/>
  <c r="AQ22" i="21"/>
  <c r="AL8" i="21"/>
  <c r="AR22" i="21"/>
  <c r="AM8" i="21"/>
  <c r="AS22" i="21"/>
  <c r="AN8" i="21"/>
  <c r="AT22" i="21"/>
  <c r="AO8" i="21"/>
  <c r="AU22" i="21"/>
  <c r="AP8" i="21"/>
  <c r="AV22" i="21"/>
  <c r="AQ8" i="21"/>
  <c r="AW22" i="21"/>
  <c r="AR8" i="21"/>
  <c r="AX22" i="21"/>
  <c r="AS8" i="21"/>
  <c r="AY22" i="21"/>
  <c r="AT8" i="21"/>
  <c r="AZ22" i="21"/>
  <c r="AU8" i="21"/>
  <c r="BA22" i="21"/>
  <c r="AV8" i="21"/>
  <c r="BB22" i="21"/>
  <c r="AW8" i="21"/>
  <c r="BC22" i="21"/>
  <c r="AX8" i="21"/>
  <c r="BD22" i="21"/>
  <c r="AY8" i="21"/>
  <c r="BE22" i="21"/>
  <c r="AZ8" i="21"/>
  <c r="BF22" i="21"/>
  <c r="BA8" i="21"/>
  <c r="BG22" i="21"/>
  <c r="BB8" i="21"/>
  <c r="BH22" i="21"/>
  <c r="BC8" i="21"/>
  <c r="BI22" i="21"/>
  <c r="BD8" i="21"/>
  <c r="BJ22" i="21"/>
  <c r="BE8" i="21"/>
  <c r="BK22" i="21"/>
  <c r="BF8" i="21"/>
  <c r="BL22" i="21"/>
  <c r="BG8" i="21"/>
  <c r="BM22" i="21"/>
  <c r="BH8" i="21"/>
  <c r="BN22" i="21"/>
  <c r="AP22" i="21"/>
  <c r="AK9" i="21"/>
  <c r="AQ23" i="21"/>
  <c r="AL9" i="21"/>
  <c r="AR23" i="21"/>
  <c r="AM9" i="21"/>
  <c r="AS23" i="21"/>
  <c r="AN9" i="21"/>
  <c r="AT23" i="21"/>
  <c r="AO9" i="21"/>
  <c r="AU23" i="21"/>
  <c r="AP9" i="21"/>
  <c r="AV23" i="21"/>
  <c r="AQ9" i="21"/>
  <c r="AW23" i="21"/>
  <c r="AR9" i="21"/>
  <c r="AX23" i="21"/>
  <c r="AS9" i="21"/>
  <c r="AY23" i="21"/>
  <c r="AT9" i="21"/>
  <c r="AZ23" i="21"/>
  <c r="AU9" i="21"/>
  <c r="BA23" i="21"/>
  <c r="AV9" i="21"/>
  <c r="BB23" i="21"/>
  <c r="AW9" i="21"/>
  <c r="BC23" i="21"/>
  <c r="AX9" i="21"/>
  <c r="BD23" i="21"/>
  <c r="AY9" i="21"/>
  <c r="BE23" i="21"/>
  <c r="AZ9" i="21"/>
  <c r="BF23" i="21"/>
  <c r="BA9" i="21"/>
  <c r="BG23" i="21"/>
  <c r="BB9" i="21"/>
  <c r="BH23" i="21"/>
  <c r="BC9" i="21"/>
  <c r="BI23" i="21"/>
  <c r="BD9" i="21"/>
  <c r="BJ23" i="21"/>
  <c r="BE9" i="21"/>
  <c r="BK23" i="21"/>
  <c r="BF9" i="21"/>
  <c r="BL23" i="21"/>
  <c r="BG9" i="21"/>
  <c r="BM23" i="21"/>
  <c r="BH9" i="21"/>
  <c r="BN23" i="21"/>
  <c r="AP23" i="21"/>
  <c r="AK10" i="21"/>
  <c r="AQ24" i="21"/>
  <c r="AL10" i="21"/>
  <c r="AR24" i="21"/>
  <c r="AM10" i="21"/>
  <c r="AS24" i="21"/>
  <c r="AN10" i="21"/>
  <c r="AT24" i="21"/>
  <c r="AO10" i="21"/>
  <c r="AU24" i="21"/>
  <c r="AP10" i="21"/>
  <c r="AV24" i="21"/>
  <c r="AQ10" i="21"/>
  <c r="AW24" i="21"/>
  <c r="AR10" i="21"/>
  <c r="AX24" i="21"/>
  <c r="AS10" i="21"/>
  <c r="AY24" i="21"/>
  <c r="AT10" i="21"/>
  <c r="AZ24" i="21"/>
  <c r="AU10" i="21"/>
  <c r="BA24" i="21"/>
  <c r="AV10" i="21"/>
  <c r="BB24" i="21"/>
  <c r="AW10" i="21"/>
  <c r="BC24" i="21"/>
  <c r="AX10" i="21"/>
  <c r="BD24" i="21"/>
  <c r="AY10" i="21"/>
  <c r="BE24" i="21"/>
  <c r="AZ10" i="21"/>
  <c r="BF24" i="21"/>
  <c r="BA10" i="21"/>
  <c r="BG24" i="21"/>
  <c r="BB10" i="21"/>
  <c r="BH24" i="21"/>
  <c r="BC10" i="21"/>
  <c r="BI24" i="21"/>
  <c r="BD10" i="21"/>
  <c r="BJ24" i="21"/>
  <c r="BE10" i="21"/>
  <c r="BK24" i="21"/>
  <c r="BF10" i="21"/>
  <c r="BL24" i="21"/>
  <c r="BG10" i="21"/>
  <c r="BM24" i="21"/>
  <c r="BH10" i="21"/>
  <c r="BN24" i="21"/>
  <c r="AP24" i="21"/>
  <c r="AK11" i="21"/>
  <c r="AQ25" i="21"/>
  <c r="AL11" i="21"/>
  <c r="AR25" i="21"/>
  <c r="AM11" i="21"/>
  <c r="AS25" i="21"/>
  <c r="AN11" i="21"/>
  <c r="AT25" i="21"/>
  <c r="AO11" i="21"/>
  <c r="AU25" i="21"/>
  <c r="AP11" i="21"/>
  <c r="AV25" i="21"/>
  <c r="AQ11" i="21"/>
  <c r="AW25" i="21"/>
  <c r="AR11" i="21"/>
  <c r="AX25" i="21"/>
  <c r="AS11" i="21"/>
  <c r="AY25" i="21"/>
  <c r="AT11" i="21"/>
  <c r="AZ25" i="21"/>
  <c r="AU11" i="21"/>
  <c r="BA25" i="21"/>
  <c r="AV11" i="21"/>
  <c r="BB25" i="21"/>
  <c r="AW11" i="21"/>
  <c r="BC25" i="21"/>
  <c r="AX11" i="21"/>
  <c r="BD25" i="21"/>
  <c r="AY11" i="21"/>
  <c r="BE25" i="21"/>
  <c r="AZ11" i="21"/>
  <c r="BF25" i="21"/>
  <c r="BA11" i="21"/>
  <c r="BG25" i="21"/>
  <c r="BB11" i="21"/>
  <c r="BH25" i="21"/>
  <c r="BC11" i="21"/>
  <c r="BI25" i="21"/>
  <c r="BD11" i="21"/>
  <c r="BJ25" i="21"/>
  <c r="BE11" i="21"/>
  <c r="BK25" i="21"/>
  <c r="BF11" i="21"/>
  <c r="BL25" i="21"/>
  <c r="BG11" i="21"/>
  <c r="BM25" i="21"/>
  <c r="BH11" i="21"/>
  <c r="BN25" i="21"/>
  <c r="AP25" i="21"/>
  <c r="AK12" i="21"/>
  <c r="AQ26" i="21"/>
  <c r="AL12" i="21"/>
  <c r="AR26" i="21"/>
  <c r="AM12" i="21"/>
  <c r="AS26" i="21"/>
  <c r="AN12" i="21"/>
  <c r="AT26" i="21"/>
  <c r="AO12" i="21"/>
  <c r="AU26" i="21"/>
  <c r="AP12" i="21"/>
  <c r="AV26" i="21"/>
  <c r="AQ12" i="21"/>
  <c r="AW26" i="21"/>
  <c r="AR12" i="21"/>
  <c r="AX26" i="21"/>
  <c r="AS12" i="21"/>
  <c r="AY26" i="21"/>
  <c r="AT12" i="21"/>
  <c r="AZ26" i="21"/>
  <c r="AU12" i="21"/>
  <c r="BA26" i="21"/>
  <c r="AV12" i="21"/>
  <c r="BB26" i="21"/>
  <c r="AW12" i="21"/>
  <c r="BC26" i="21"/>
  <c r="AX12" i="21"/>
  <c r="BD26" i="21"/>
  <c r="AY12" i="21"/>
  <c r="BE26" i="21"/>
  <c r="AZ12" i="21"/>
  <c r="BF26" i="21"/>
  <c r="BA12" i="21"/>
  <c r="BG26" i="21"/>
  <c r="BB12" i="21"/>
  <c r="BH26" i="21"/>
  <c r="BC12" i="21"/>
  <c r="BI26" i="21"/>
  <c r="BD12" i="21"/>
  <c r="BJ26" i="21"/>
  <c r="BE12" i="21"/>
  <c r="BK26" i="21"/>
  <c r="BF12" i="21"/>
  <c r="BL26" i="21"/>
  <c r="BG12" i="21"/>
  <c r="BM26" i="21"/>
  <c r="BH12" i="21"/>
  <c r="BN26" i="21"/>
  <c r="AP26" i="21"/>
  <c r="AK13" i="21"/>
  <c r="AQ27" i="21"/>
  <c r="AL13" i="21"/>
  <c r="AR27" i="21"/>
  <c r="AM13" i="21"/>
  <c r="AS27" i="21"/>
  <c r="AN13" i="21"/>
  <c r="AT27" i="21"/>
  <c r="AO13" i="21"/>
  <c r="AU27" i="21"/>
  <c r="AP13" i="21"/>
  <c r="AV27" i="21"/>
  <c r="AQ13" i="21"/>
  <c r="AW27" i="21"/>
  <c r="AR13" i="21"/>
  <c r="AX27" i="21"/>
  <c r="AS13" i="21"/>
  <c r="AY27" i="21"/>
  <c r="AT13" i="21"/>
  <c r="AZ27" i="21"/>
  <c r="AU13" i="21"/>
  <c r="BA27" i="21"/>
  <c r="AV13" i="21"/>
  <c r="BB27" i="21"/>
  <c r="AW13" i="21"/>
  <c r="BC27" i="21"/>
  <c r="AX13" i="21"/>
  <c r="BD27" i="21"/>
  <c r="AY13" i="21"/>
  <c r="BE27" i="21"/>
  <c r="AZ13" i="21"/>
  <c r="BF27" i="21"/>
  <c r="BA13" i="21"/>
  <c r="BG27" i="21"/>
  <c r="BB13" i="21"/>
  <c r="BH27" i="21"/>
  <c r="BC13" i="21"/>
  <c r="BI27" i="21"/>
  <c r="BD13" i="21"/>
  <c r="BJ27" i="21"/>
  <c r="BE13" i="21"/>
  <c r="BK27" i="21"/>
  <c r="BF13" i="21"/>
  <c r="BL27" i="21"/>
  <c r="BG13" i="21"/>
  <c r="BM27" i="21"/>
  <c r="BH13" i="21"/>
  <c r="BN27" i="21"/>
  <c r="AP27" i="21"/>
  <c r="AP28" i="21"/>
  <c r="AN16" i="21"/>
  <c r="AN17" i="21"/>
  <c r="AN19" i="21"/>
  <c r="AN20" i="21"/>
  <c r="AN21" i="21"/>
  <c r="AN22" i="21"/>
  <c r="AN23" i="21"/>
  <c r="AN24" i="21"/>
  <c r="AN25" i="21"/>
  <c r="AN26" i="21"/>
  <c r="AN27" i="21"/>
  <c r="AM16" i="21"/>
  <c r="AM17" i="21"/>
  <c r="AM19" i="21"/>
  <c r="AM20" i="21"/>
  <c r="AM21" i="21"/>
  <c r="AM22" i="21"/>
  <c r="AM23" i="21"/>
  <c r="AM24" i="21"/>
  <c r="AM25" i="21"/>
  <c r="AM26" i="21"/>
  <c r="AM27" i="21"/>
  <c r="AL16" i="21"/>
  <c r="AL17" i="21"/>
  <c r="AL19" i="21"/>
  <c r="AL20" i="21"/>
  <c r="AL21" i="21"/>
  <c r="AL22" i="21"/>
  <c r="AL23" i="21"/>
  <c r="AL24" i="21"/>
  <c r="AL25" i="21"/>
  <c r="AL26" i="21"/>
  <c r="AL27" i="21"/>
  <c r="AK16" i="21"/>
  <c r="AK17" i="21"/>
  <c r="AK19" i="21"/>
  <c r="AK20" i="21"/>
  <c r="AK21" i="21"/>
  <c r="AK22" i="21"/>
  <c r="AK23" i="21"/>
  <c r="AK24" i="21"/>
  <c r="AK25" i="21"/>
  <c r="AK26" i="21"/>
  <c r="AK27" i="21"/>
  <c r="Z2" i="21"/>
  <c r="AA2" i="21"/>
  <c r="AB2" i="21"/>
  <c r="AC2" i="21"/>
  <c r="AA16" i="21"/>
  <c r="Z3" i="21"/>
  <c r="AA3" i="21"/>
  <c r="AB3" i="21"/>
  <c r="AC3" i="21"/>
  <c r="AA17" i="21"/>
  <c r="Z4" i="21"/>
  <c r="AA4" i="21"/>
  <c r="AB4" i="21"/>
  <c r="AC4" i="21"/>
  <c r="AA18" i="21"/>
  <c r="Z5" i="21"/>
  <c r="AA5" i="21"/>
  <c r="AB5" i="21"/>
  <c r="AC5" i="21"/>
  <c r="AA19" i="21"/>
  <c r="Z6" i="21"/>
  <c r="AA6" i="21"/>
  <c r="AB6" i="21"/>
  <c r="AC6" i="21"/>
  <c r="AA20" i="21"/>
  <c r="Z7" i="21"/>
  <c r="AA7" i="21"/>
  <c r="AB7" i="21"/>
  <c r="AC7" i="21"/>
  <c r="AA21" i="21"/>
  <c r="Z8" i="21"/>
  <c r="AA8" i="21"/>
  <c r="AB8" i="21"/>
  <c r="AC8" i="21"/>
  <c r="AA22" i="21"/>
  <c r="Z9" i="21"/>
  <c r="AA9" i="21"/>
  <c r="AB9" i="21"/>
  <c r="AC9" i="21"/>
  <c r="AA23" i="21"/>
  <c r="Z10" i="21"/>
  <c r="AA10" i="21"/>
  <c r="AB10" i="21"/>
  <c r="AC10" i="21"/>
  <c r="AA24" i="21"/>
  <c r="Z11" i="21"/>
  <c r="AA11" i="21"/>
  <c r="AB11" i="21"/>
  <c r="AC11" i="21"/>
  <c r="AA25" i="21"/>
  <c r="Z12" i="21"/>
  <c r="AA12" i="21"/>
  <c r="AB12" i="21"/>
  <c r="AC12" i="21"/>
  <c r="AA26" i="21"/>
  <c r="Z13" i="21"/>
  <c r="AA13" i="21"/>
  <c r="AB13" i="21"/>
  <c r="AC13" i="21"/>
  <c r="AA27" i="21"/>
  <c r="AA28" i="21"/>
  <c r="Z16" i="21"/>
  <c r="Z17" i="21"/>
  <c r="Z18" i="21"/>
  <c r="Z19" i="21"/>
  <c r="Z20" i="21"/>
  <c r="Z21" i="21"/>
  <c r="Z22" i="21"/>
  <c r="Z23" i="21"/>
  <c r="Z24" i="21"/>
  <c r="Z25" i="21"/>
  <c r="Z26" i="21"/>
  <c r="Z27" i="21"/>
  <c r="Z28" i="21"/>
  <c r="S28" i="21"/>
  <c r="R28" i="21"/>
  <c r="Q28" i="21"/>
  <c r="P28" i="21"/>
  <c r="N28" i="21"/>
  <c r="M28" i="21"/>
  <c r="L28" i="21"/>
  <c r="K28" i="21"/>
  <c r="D27" i="21"/>
  <c r="N25" i="21"/>
  <c r="M25" i="21"/>
  <c r="L25" i="21"/>
  <c r="K25" i="21"/>
  <c r="D25" i="21"/>
  <c r="H16" i="21"/>
  <c r="D23" i="21"/>
  <c r="G16" i="21"/>
  <c r="D21" i="21"/>
  <c r="M19" i="21"/>
  <c r="W16" i="21"/>
  <c r="V16" i="21"/>
  <c r="U16" i="21"/>
  <c r="M16" i="21"/>
  <c r="E50" i="20"/>
  <c r="A50" i="20"/>
  <c r="E49" i="20"/>
  <c r="A49" i="20"/>
  <c r="E48" i="20"/>
  <c r="A48" i="20"/>
  <c r="E47" i="20"/>
  <c r="A47" i="20"/>
  <c r="E46" i="20"/>
  <c r="A46" i="20"/>
  <c r="E45" i="20"/>
  <c r="A45" i="20"/>
  <c r="E44" i="20"/>
  <c r="A44" i="20"/>
  <c r="E43" i="20"/>
  <c r="A43" i="20"/>
  <c r="X15" i="20"/>
  <c r="E42" i="20"/>
  <c r="A42" i="20"/>
  <c r="X14" i="20"/>
  <c r="E41" i="20"/>
  <c r="AE18" i="20"/>
  <c r="A41" i="20"/>
  <c r="X13" i="20"/>
  <c r="E40" i="20"/>
  <c r="AE17" i="20"/>
  <c r="A40" i="20"/>
  <c r="X12" i="20"/>
  <c r="E39" i="20"/>
  <c r="AE2" i="20"/>
  <c r="AF2" i="20"/>
  <c r="AG2" i="20"/>
  <c r="AH2" i="20"/>
  <c r="AI2" i="20"/>
  <c r="AE16" i="20"/>
  <c r="AF16" i="20"/>
  <c r="AG16" i="20"/>
  <c r="A39" i="20"/>
  <c r="X11" i="20"/>
  <c r="X10" i="20"/>
  <c r="X9" i="20"/>
  <c r="X8" i="20"/>
  <c r="X4" i="20"/>
  <c r="X5" i="20"/>
  <c r="X6" i="20"/>
  <c r="AE3" i="20"/>
  <c r="AF3" i="20"/>
  <c r="AG3" i="20"/>
  <c r="AH3" i="20"/>
  <c r="AI3" i="20"/>
  <c r="AG17" i="20"/>
  <c r="AE4" i="20"/>
  <c r="AF4" i="20"/>
  <c r="AG4" i="20"/>
  <c r="AH4" i="20"/>
  <c r="AI4" i="20"/>
  <c r="AG18" i="20"/>
  <c r="AE6" i="20"/>
  <c r="AF6" i="20"/>
  <c r="AG6" i="20"/>
  <c r="AH6" i="20"/>
  <c r="AI6" i="20"/>
  <c r="AG20" i="20"/>
  <c r="AE7" i="20"/>
  <c r="AF7" i="20"/>
  <c r="AG7" i="20"/>
  <c r="AH7" i="20"/>
  <c r="AI7" i="20"/>
  <c r="AG21" i="20"/>
  <c r="AE8" i="20"/>
  <c r="AF8" i="20"/>
  <c r="AG8" i="20"/>
  <c r="AH8" i="20"/>
  <c r="AI8" i="20"/>
  <c r="AG22" i="20"/>
  <c r="AE13" i="20"/>
  <c r="AF13" i="20"/>
  <c r="AG13" i="20"/>
  <c r="AH13" i="20"/>
  <c r="AI13" i="20"/>
  <c r="AG27" i="20"/>
  <c r="AF17" i="20"/>
  <c r="AF18" i="20"/>
  <c r="AF20" i="20"/>
  <c r="AF21" i="20"/>
  <c r="AF22" i="20"/>
  <c r="AF27" i="20"/>
  <c r="D31" i="20"/>
  <c r="J29" i="20"/>
  <c r="I29" i="20"/>
  <c r="H29" i="20"/>
  <c r="G29" i="20"/>
  <c r="F16" i="20"/>
  <c r="D29" i="20"/>
  <c r="AK2" i="20"/>
  <c r="AQ16" i="20"/>
  <c r="AL2" i="20"/>
  <c r="AR16" i="20"/>
  <c r="AM2" i="20"/>
  <c r="AS16" i="20"/>
  <c r="AN2" i="20"/>
  <c r="AT16" i="20"/>
  <c r="AO2" i="20"/>
  <c r="AU16" i="20"/>
  <c r="AP2" i="20"/>
  <c r="AV16" i="20"/>
  <c r="AQ2" i="20"/>
  <c r="AW16" i="20"/>
  <c r="AR2" i="20"/>
  <c r="AX16" i="20"/>
  <c r="AS2" i="20"/>
  <c r="AY16" i="20"/>
  <c r="AT2" i="20"/>
  <c r="AZ16" i="20"/>
  <c r="AU2" i="20"/>
  <c r="BA16" i="20"/>
  <c r="AV2" i="20"/>
  <c r="BB16" i="20"/>
  <c r="AW2" i="20"/>
  <c r="BC16" i="20"/>
  <c r="AX2" i="20"/>
  <c r="BD16" i="20"/>
  <c r="AY2" i="20"/>
  <c r="BE16" i="20"/>
  <c r="AZ2" i="20"/>
  <c r="BF16" i="20"/>
  <c r="BA2" i="20"/>
  <c r="BG16" i="20"/>
  <c r="BB2" i="20"/>
  <c r="BH16" i="20"/>
  <c r="BC2" i="20"/>
  <c r="BI16" i="20"/>
  <c r="BD2" i="20"/>
  <c r="BJ16" i="20"/>
  <c r="BE2" i="20"/>
  <c r="BK16" i="20"/>
  <c r="BF2" i="20"/>
  <c r="BL16" i="20"/>
  <c r="BG2" i="20"/>
  <c r="BM16" i="20"/>
  <c r="BH2" i="20"/>
  <c r="BN16" i="20"/>
  <c r="AP16" i="20"/>
  <c r="AK3" i="20"/>
  <c r="AQ17" i="20"/>
  <c r="AL3" i="20"/>
  <c r="AR17" i="20"/>
  <c r="AM3" i="20"/>
  <c r="AS17" i="20"/>
  <c r="AN3" i="20"/>
  <c r="AT17" i="20"/>
  <c r="AO3" i="20"/>
  <c r="AU17" i="20"/>
  <c r="AP3" i="20"/>
  <c r="AV17" i="20"/>
  <c r="AQ3" i="20"/>
  <c r="AW17" i="20"/>
  <c r="AR3" i="20"/>
  <c r="AX17" i="20"/>
  <c r="AS3" i="20"/>
  <c r="AY17" i="20"/>
  <c r="AT3" i="20"/>
  <c r="AZ17" i="20"/>
  <c r="AU3" i="20"/>
  <c r="BA17" i="20"/>
  <c r="AV3" i="20"/>
  <c r="BB17" i="20"/>
  <c r="AW3" i="20"/>
  <c r="BC17" i="20"/>
  <c r="AX3" i="20"/>
  <c r="BD17" i="20"/>
  <c r="AY3" i="20"/>
  <c r="BE17" i="20"/>
  <c r="AZ3" i="20"/>
  <c r="BF17" i="20"/>
  <c r="BA3" i="20"/>
  <c r="BG17" i="20"/>
  <c r="BB3" i="20"/>
  <c r="BH17" i="20"/>
  <c r="BC3" i="20"/>
  <c r="BI17" i="20"/>
  <c r="BD3" i="20"/>
  <c r="BJ17" i="20"/>
  <c r="BE3" i="20"/>
  <c r="BK17" i="20"/>
  <c r="BF3" i="20"/>
  <c r="BL17" i="20"/>
  <c r="BG3" i="20"/>
  <c r="BM17" i="20"/>
  <c r="BH3" i="20"/>
  <c r="BN17" i="20"/>
  <c r="AP17" i="20"/>
  <c r="AK4" i="20"/>
  <c r="AQ18" i="20"/>
  <c r="AL4" i="20"/>
  <c r="AR18" i="20"/>
  <c r="AM4" i="20"/>
  <c r="AS18" i="20"/>
  <c r="AN4" i="20"/>
  <c r="AT18" i="20"/>
  <c r="AO4" i="20"/>
  <c r="AU18" i="20"/>
  <c r="AP4" i="20"/>
  <c r="AV18" i="20"/>
  <c r="AQ4" i="20"/>
  <c r="AW18" i="20"/>
  <c r="AR4" i="20"/>
  <c r="AX18" i="20"/>
  <c r="AS4" i="20"/>
  <c r="AY18" i="20"/>
  <c r="AT4" i="20"/>
  <c r="AZ18" i="20"/>
  <c r="AU4" i="20"/>
  <c r="BA18" i="20"/>
  <c r="AV4" i="20"/>
  <c r="BB18" i="20"/>
  <c r="AW4" i="20"/>
  <c r="BC18" i="20"/>
  <c r="AX4" i="20"/>
  <c r="BD18" i="20"/>
  <c r="AY4" i="20"/>
  <c r="BE18" i="20"/>
  <c r="AZ4" i="20"/>
  <c r="BF18" i="20"/>
  <c r="BA4" i="20"/>
  <c r="BG18" i="20"/>
  <c r="BB4" i="20"/>
  <c r="BH18" i="20"/>
  <c r="BC4" i="20"/>
  <c r="BI18" i="20"/>
  <c r="BD4" i="20"/>
  <c r="BJ18" i="20"/>
  <c r="BE4" i="20"/>
  <c r="BK18" i="20"/>
  <c r="BF4" i="20"/>
  <c r="BL18" i="20"/>
  <c r="BG4" i="20"/>
  <c r="BM18" i="20"/>
  <c r="BH4" i="20"/>
  <c r="BN18" i="20"/>
  <c r="AP18" i="20"/>
  <c r="AK5" i="20"/>
  <c r="AQ19" i="20"/>
  <c r="AL5" i="20"/>
  <c r="AR19" i="20"/>
  <c r="AM5" i="20"/>
  <c r="AS19" i="20"/>
  <c r="AN5" i="20"/>
  <c r="AT19" i="20"/>
  <c r="AO5" i="20"/>
  <c r="AU19" i="20"/>
  <c r="AP5" i="20"/>
  <c r="AV19" i="20"/>
  <c r="AQ5" i="20"/>
  <c r="AW19" i="20"/>
  <c r="AR5" i="20"/>
  <c r="AX19" i="20"/>
  <c r="AS5" i="20"/>
  <c r="AY19" i="20"/>
  <c r="AT5" i="20"/>
  <c r="AZ19" i="20"/>
  <c r="AU5" i="20"/>
  <c r="BA19" i="20"/>
  <c r="AV5" i="20"/>
  <c r="BB19" i="20"/>
  <c r="AW5" i="20"/>
  <c r="BC19" i="20"/>
  <c r="AX5" i="20"/>
  <c r="BD19" i="20"/>
  <c r="AY5" i="20"/>
  <c r="BE19" i="20"/>
  <c r="AZ5" i="20"/>
  <c r="BF19" i="20"/>
  <c r="BA5" i="20"/>
  <c r="BG19" i="20"/>
  <c r="BB5" i="20"/>
  <c r="BH19" i="20"/>
  <c r="BC5" i="20"/>
  <c r="BI19" i="20"/>
  <c r="BD5" i="20"/>
  <c r="BJ19" i="20"/>
  <c r="BE5" i="20"/>
  <c r="BK19" i="20"/>
  <c r="BF5" i="20"/>
  <c r="BL19" i="20"/>
  <c r="BG5" i="20"/>
  <c r="BM19" i="20"/>
  <c r="BH5" i="20"/>
  <c r="BN19" i="20"/>
  <c r="AP19" i="20"/>
  <c r="AK6" i="20"/>
  <c r="AQ20" i="20"/>
  <c r="AL6" i="20"/>
  <c r="AR20" i="20"/>
  <c r="AM6" i="20"/>
  <c r="AS20" i="20"/>
  <c r="AN6" i="20"/>
  <c r="AT20" i="20"/>
  <c r="AO6" i="20"/>
  <c r="AU20" i="20"/>
  <c r="AP6" i="20"/>
  <c r="AV20" i="20"/>
  <c r="AQ6" i="20"/>
  <c r="AW20" i="20"/>
  <c r="AR6" i="20"/>
  <c r="AX20" i="20"/>
  <c r="AS6" i="20"/>
  <c r="AY20" i="20"/>
  <c r="AT6" i="20"/>
  <c r="AZ20" i="20"/>
  <c r="AU6" i="20"/>
  <c r="BA20" i="20"/>
  <c r="AV6" i="20"/>
  <c r="BB20" i="20"/>
  <c r="AW6" i="20"/>
  <c r="BC20" i="20"/>
  <c r="AX6" i="20"/>
  <c r="BD20" i="20"/>
  <c r="AY6" i="20"/>
  <c r="BE20" i="20"/>
  <c r="AZ6" i="20"/>
  <c r="BF20" i="20"/>
  <c r="BA6" i="20"/>
  <c r="BG20" i="20"/>
  <c r="BB6" i="20"/>
  <c r="BH20" i="20"/>
  <c r="BC6" i="20"/>
  <c r="BI20" i="20"/>
  <c r="BD6" i="20"/>
  <c r="BJ20" i="20"/>
  <c r="BE6" i="20"/>
  <c r="BK20" i="20"/>
  <c r="BF6" i="20"/>
  <c r="BL20" i="20"/>
  <c r="BG6" i="20"/>
  <c r="BM20" i="20"/>
  <c r="BH6" i="20"/>
  <c r="BN20" i="20"/>
  <c r="AP20" i="20"/>
  <c r="AK7" i="20"/>
  <c r="AQ21" i="20"/>
  <c r="AL7" i="20"/>
  <c r="AR21" i="20"/>
  <c r="AM7" i="20"/>
  <c r="AS21" i="20"/>
  <c r="AN7" i="20"/>
  <c r="AT21" i="20"/>
  <c r="AO7" i="20"/>
  <c r="AU21" i="20"/>
  <c r="AP7" i="20"/>
  <c r="AV21" i="20"/>
  <c r="AQ7" i="20"/>
  <c r="AW21" i="20"/>
  <c r="AR7" i="20"/>
  <c r="AX21" i="20"/>
  <c r="AS7" i="20"/>
  <c r="AY21" i="20"/>
  <c r="AT7" i="20"/>
  <c r="AZ21" i="20"/>
  <c r="AU7" i="20"/>
  <c r="BA21" i="20"/>
  <c r="AV7" i="20"/>
  <c r="BB21" i="20"/>
  <c r="AW7" i="20"/>
  <c r="BC21" i="20"/>
  <c r="AX7" i="20"/>
  <c r="BD21" i="20"/>
  <c r="AY7" i="20"/>
  <c r="BE21" i="20"/>
  <c r="AZ7" i="20"/>
  <c r="BF21" i="20"/>
  <c r="BA7" i="20"/>
  <c r="BG21" i="20"/>
  <c r="BB7" i="20"/>
  <c r="BH21" i="20"/>
  <c r="BC7" i="20"/>
  <c r="BI21" i="20"/>
  <c r="BD7" i="20"/>
  <c r="BJ21" i="20"/>
  <c r="BE7" i="20"/>
  <c r="BK21" i="20"/>
  <c r="BF7" i="20"/>
  <c r="BL21" i="20"/>
  <c r="BG7" i="20"/>
  <c r="BM21" i="20"/>
  <c r="BH7" i="20"/>
  <c r="BN21" i="20"/>
  <c r="AP21" i="20"/>
  <c r="AK8" i="20"/>
  <c r="AQ22" i="20"/>
  <c r="AL8" i="20"/>
  <c r="AR22" i="20"/>
  <c r="AM8" i="20"/>
  <c r="AS22" i="20"/>
  <c r="AN8" i="20"/>
  <c r="AT22" i="20"/>
  <c r="AO8" i="20"/>
  <c r="AU22" i="20"/>
  <c r="AP8" i="20"/>
  <c r="AV22" i="20"/>
  <c r="AQ8" i="20"/>
  <c r="AW22" i="20"/>
  <c r="AR8" i="20"/>
  <c r="AX22" i="20"/>
  <c r="AS8" i="20"/>
  <c r="AY22" i="20"/>
  <c r="AT8" i="20"/>
  <c r="AZ22" i="20"/>
  <c r="AU8" i="20"/>
  <c r="BA22" i="20"/>
  <c r="AV8" i="20"/>
  <c r="BB22" i="20"/>
  <c r="AW8" i="20"/>
  <c r="BC22" i="20"/>
  <c r="AX8" i="20"/>
  <c r="BD22" i="20"/>
  <c r="AY8" i="20"/>
  <c r="BE22" i="20"/>
  <c r="AZ8" i="20"/>
  <c r="BF22" i="20"/>
  <c r="BA8" i="20"/>
  <c r="BG22" i="20"/>
  <c r="BB8" i="20"/>
  <c r="BH22" i="20"/>
  <c r="BC8" i="20"/>
  <c r="BI22" i="20"/>
  <c r="BD8" i="20"/>
  <c r="BJ22" i="20"/>
  <c r="BE8" i="20"/>
  <c r="BK22" i="20"/>
  <c r="BF8" i="20"/>
  <c r="BL22" i="20"/>
  <c r="BG8" i="20"/>
  <c r="BM22" i="20"/>
  <c r="BH8" i="20"/>
  <c r="BN22" i="20"/>
  <c r="AP22" i="20"/>
  <c r="AK9" i="20"/>
  <c r="AQ23" i="20"/>
  <c r="AL9" i="20"/>
  <c r="AR23" i="20"/>
  <c r="AM9" i="20"/>
  <c r="AS23" i="20"/>
  <c r="AN9" i="20"/>
  <c r="AT23" i="20"/>
  <c r="AO9" i="20"/>
  <c r="AU23" i="20"/>
  <c r="AP9" i="20"/>
  <c r="AV23" i="20"/>
  <c r="AQ9" i="20"/>
  <c r="AW23" i="20"/>
  <c r="AR9" i="20"/>
  <c r="AX23" i="20"/>
  <c r="AS9" i="20"/>
  <c r="AY23" i="20"/>
  <c r="AT9" i="20"/>
  <c r="AZ23" i="20"/>
  <c r="AU9" i="20"/>
  <c r="BA23" i="20"/>
  <c r="AV9" i="20"/>
  <c r="BB23" i="20"/>
  <c r="AW9" i="20"/>
  <c r="BC23" i="20"/>
  <c r="AX9" i="20"/>
  <c r="BD23" i="20"/>
  <c r="AY9" i="20"/>
  <c r="BE23" i="20"/>
  <c r="AZ9" i="20"/>
  <c r="BF23" i="20"/>
  <c r="BA9" i="20"/>
  <c r="BG23" i="20"/>
  <c r="BB9" i="20"/>
  <c r="BH23" i="20"/>
  <c r="BC9" i="20"/>
  <c r="BI23" i="20"/>
  <c r="BD9" i="20"/>
  <c r="BJ23" i="20"/>
  <c r="BE9" i="20"/>
  <c r="BK23" i="20"/>
  <c r="BF9" i="20"/>
  <c r="BL23" i="20"/>
  <c r="BG9" i="20"/>
  <c r="BM23" i="20"/>
  <c r="BH9" i="20"/>
  <c r="BN23" i="20"/>
  <c r="AP23" i="20"/>
  <c r="AK10" i="20"/>
  <c r="AQ24" i="20"/>
  <c r="AL10" i="20"/>
  <c r="AR24" i="20"/>
  <c r="AM10" i="20"/>
  <c r="AS24" i="20"/>
  <c r="AN10" i="20"/>
  <c r="AT24" i="20"/>
  <c r="AO10" i="20"/>
  <c r="AU24" i="20"/>
  <c r="AP10" i="20"/>
  <c r="AV24" i="20"/>
  <c r="AQ10" i="20"/>
  <c r="AW24" i="20"/>
  <c r="AR10" i="20"/>
  <c r="AX24" i="20"/>
  <c r="AS10" i="20"/>
  <c r="AY24" i="20"/>
  <c r="AT10" i="20"/>
  <c r="AZ24" i="20"/>
  <c r="AU10" i="20"/>
  <c r="BA24" i="20"/>
  <c r="AV10" i="20"/>
  <c r="BB24" i="20"/>
  <c r="AW10" i="20"/>
  <c r="BC24" i="20"/>
  <c r="AX10" i="20"/>
  <c r="BD24" i="20"/>
  <c r="AY10" i="20"/>
  <c r="BE24" i="20"/>
  <c r="AZ10" i="20"/>
  <c r="BF24" i="20"/>
  <c r="BA10" i="20"/>
  <c r="BG24" i="20"/>
  <c r="BB10" i="20"/>
  <c r="BH24" i="20"/>
  <c r="BC10" i="20"/>
  <c r="BI24" i="20"/>
  <c r="BD10" i="20"/>
  <c r="BJ24" i="20"/>
  <c r="BE10" i="20"/>
  <c r="BK24" i="20"/>
  <c r="BF10" i="20"/>
  <c r="BL24" i="20"/>
  <c r="BG10" i="20"/>
  <c r="BM24" i="20"/>
  <c r="BH10" i="20"/>
  <c r="BN24" i="20"/>
  <c r="AP24" i="20"/>
  <c r="AK11" i="20"/>
  <c r="AQ25" i="20"/>
  <c r="AL11" i="20"/>
  <c r="AR25" i="20"/>
  <c r="AM11" i="20"/>
  <c r="AS25" i="20"/>
  <c r="AN11" i="20"/>
  <c r="AT25" i="20"/>
  <c r="AO11" i="20"/>
  <c r="AU25" i="20"/>
  <c r="AP11" i="20"/>
  <c r="AV25" i="20"/>
  <c r="AQ11" i="20"/>
  <c r="AW25" i="20"/>
  <c r="AR11" i="20"/>
  <c r="AX25" i="20"/>
  <c r="AS11" i="20"/>
  <c r="AY25" i="20"/>
  <c r="AT11" i="20"/>
  <c r="AZ25" i="20"/>
  <c r="AU11" i="20"/>
  <c r="BA25" i="20"/>
  <c r="AV11" i="20"/>
  <c r="BB25" i="20"/>
  <c r="AW11" i="20"/>
  <c r="BC25" i="20"/>
  <c r="AX11" i="20"/>
  <c r="BD25" i="20"/>
  <c r="AY11" i="20"/>
  <c r="BE25" i="20"/>
  <c r="AZ11" i="20"/>
  <c r="BF25" i="20"/>
  <c r="BA11" i="20"/>
  <c r="BG25" i="20"/>
  <c r="BB11" i="20"/>
  <c r="BH25" i="20"/>
  <c r="BC11" i="20"/>
  <c r="BI25" i="20"/>
  <c r="BD11" i="20"/>
  <c r="BJ25" i="20"/>
  <c r="BE11" i="20"/>
  <c r="BK25" i="20"/>
  <c r="BF11" i="20"/>
  <c r="BL25" i="20"/>
  <c r="BG11" i="20"/>
  <c r="BM25" i="20"/>
  <c r="BH11" i="20"/>
  <c r="BN25" i="20"/>
  <c r="AP25" i="20"/>
  <c r="AK12" i="20"/>
  <c r="AQ26" i="20"/>
  <c r="AL12" i="20"/>
  <c r="AR26" i="20"/>
  <c r="AM12" i="20"/>
  <c r="AS26" i="20"/>
  <c r="AN12" i="20"/>
  <c r="AT26" i="20"/>
  <c r="AO12" i="20"/>
  <c r="AU26" i="20"/>
  <c r="AP12" i="20"/>
  <c r="AV26" i="20"/>
  <c r="AQ12" i="20"/>
  <c r="AW26" i="20"/>
  <c r="AR12" i="20"/>
  <c r="AX26" i="20"/>
  <c r="AS12" i="20"/>
  <c r="AY26" i="20"/>
  <c r="AT12" i="20"/>
  <c r="AZ26" i="20"/>
  <c r="AU12" i="20"/>
  <c r="BA26" i="20"/>
  <c r="AV12" i="20"/>
  <c r="BB26" i="20"/>
  <c r="AW12" i="20"/>
  <c r="BC26" i="20"/>
  <c r="AX12" i="20"/>
  <c r="BD26" i="20"/>
  <c r="AY12" i="20"/>
  <c r="BE26" i="20"/>
  <c r="AZ12" i="20"/>
  <c r="BF26" i="20"/>
  <c r="BA12" i="20"/>
  <c r="BG26" i="20"/>
  <c r="BB12" i="20"/>
  <c r="BH26" i="20"/>
  <c r="BC12" i="20"/>
  <c r="BI26" i="20"/>
  <c r="BD12" i="20"/>
  <c r="BJ26" i="20"/>
  <c r="BE12" i="20"/>
  <c r="BK26" i="20"/>
  <c r="BF12" i="20"/>
  <c r="BL26" i="20"/>
  <c r="BG12" i="20"/>
  <c r="BM26" i="20"/>
  <c r="BH12" i="20"/>
  <c r="BN26" i="20"/>
  <c r="AP26" i="20"/>
  <c r="AK13" i="20"/>
  <c r="AQ27" i="20"/>
  <c r="AL13" i="20"/>
  <c r="AR27" i="20"/>
  <c r="AM13" i="20"/>
  <c r="AS27" i="20"/>
  <c r="AN13" i="20"/>
  <c r="AT27" i="20"/>
  <c r="AO13" i="20"/>
  <c r="AU27" i="20"/>
  <c r="AP13" i="20"/>
  <c r="AV27" i="20"/>
  <c r="AQ13" i="20"/>
  <c r="AW27" i="20"/>
  <c r="AR13" i="20"/>
  <c r="AX27" i="20"/>
  <c r="AS13" i="20"/>
  <c r="AY27" i="20"/>
  <c r="AT13" i="20"/>
  <c r="AZ27" i="20"/>
  <c r="AU13" i="20"/>
  <c r="BA27" i="20"/>
  <c r="AV13" i="20"/>
  <c r="BB27" i="20"/>
  <c r="AW13" i="20"/>
  <c r="BC27" i="20"/>
  <c r="AX13" i="20"/>
  <c r="BD27" i="20"/>
  <c r="AY13" i="20"/>
  <c r="BE27" i="20"/>
  <c r="AZ13" i="20"/>
  <c r="BF27" i="20"/>
  <c r="BA13" i="20"/>
  <c r="BG27" i="20"/>
  <c r="BB13" i="20"/>
  <c r="BH27" i="20"/>
  <c r="BC13" i="20"/>
  <c r="BI27" i="20"/>
  <c r="BD13" i="20"/>
  <c r="BJ27" i="20"/>
  <c r="BE13" i="20"/>
  <c r="BK27" i="20"/>
  <c r="BF13" i="20"/>
  <c r="BL27" i="20"/>
  <c r="BG13" i="20"/>
  <c r="BM27" i="20"/>
  <c r="BH13" i="20"/>
  <c r="BN27" i="20"/>
  <c r="AP27" i="20"/>
  <c r="AP28" i="20"/>
  <c r="AN16" i="20"/>
  <c r="AN17" i="20"/>
  <c r="AN18" i="20"/>
  <c r="AN20" i="20"/>
  <c r="AN21" i="20"/>
  <c r="AN22" i="20"/>
  <c r="AN23" i="20"/>
  <c r="AN24" i="20"/>
  <c r="AN25" i="20"/>
  <c r="AN26" i="20"/>
  <c r="AN27" i="20"/>
  <c r="AM16" i="20"/>
  <c r="AM17" i="20"/>
  <c r="AM18" i="20"/>
  <c r="AM20" i="20"/>
  <c r="AM21" i="20"/>
  <c r="AM22" i="20"/>
  <c r="AM23" i="20"/>
  <c r="AM24" i="20"/>
  <c r="AM25" i="20"/>
  <c r="AM26" i="20"/>
  <c r="AM27" i="20"/>
  <c r="AL16" i="20"/>
  <c r="AL17" i="20"/>
  <c r="AL18" i="20"/>
  <c r="AL20" i="20"/>
  <c r="AL21" i="20"/>
  <c r="AL22" i="20"/>
  <c r="AL23" i="20"/>
  <c r="AL24" i="20"/>
  <c r="AL25" i="20"/>
  <c r="AL26" i="20"/>
  <c r="AL27" i="20"/>
  <c r="AK16" i="20"/>
  <c r="AK17" i="20"/>
  <c r="AK18" i="20"/>
  <c r="AK20" i="20"/>
  <c r="AK21" i="20"/>
  <c r="AK22" i="20"/>
  <c r="AK23" i="20"/>
  <c r="AK24" i="20"/>
  <c r="AK25" i="20"/>
  <c r="AK26" i="20"/>
  <c r="AK27" i="20"/>
  <c r="Z2" i="20"/>
  <c r="AA2" i="20"/>
  <c r="AB2" i="20"/>
  <c r="AC2" i="20"/>
  <c r="AA16" i="20"/>
  <c r="Z3" i="20"/>
  <c r="AA3" i="20"/>
  <c r="AB3" i="20"/>
  <c r="AC3" i="20"/>
  <c r="AA17" i="20"/>
  <c r="Z4" i="20"/>
  <c r="AA4" i="20"/>
  <c r="AB4" i="20"/>
  <c r="AC4" i="20"/>
  <c r="AA18" i="20"/>
  <c r="Z5" i="20"/>
  <c r="AA5" i="20"/>
  <c r="AB5" i="20"/>
  <c r="AC5" i="20"/>
  <c r="AA19" i="20"/>
  <c r="Z6" i="20"/>
  <c r="AA6" i="20"/>
  <c r="AB6" i="20"/>
  <c r="AC6" i="20"/>
  <c r="AA20" i="20"/>
  <c r="Z7" i="20"/>
  <c r="AA7" i="20"/>
  <c r="AB7" i="20"/>
  <c r="AC7" i="20"/>
  <c r="AA21" i="20"/>
  <c r="Z8" i="20"/>
  <c r="AA8" i="20"/>
  <c r="AB8" i="20"/>
  <c r="AC8" i="20"/>
  <c r="AA22" i="20"/>
  <c r="Z9" i="20"/>
  <c r="AA9" i="20"/>
  <c r="AB9" i="20"/>
  <c r="AC9" i="20"/>
  <c r="AA23" i="20"/>
  <c r="Z10" i="20"/>
  <c r="AA10" i="20"/>
  <c r="AB10" i="20"/>
  <c r="AC10" i="20"/>
  <c r="AA24" i="20"/>
  <c r="Z11" i="20"/>
  <c r="AA11" i="20"/>
  <c r="AB11" i="20"/>
  <c r="AC11" i="20"/>
  <c r="AA25" i="20"/>
  <c r="Z12" i="20"/>
  <c r="AA12" i="20"/>
  <c r="AB12" i="20"/>
  <c r="AC12" i="20"/>
  <c r="AA26" i="20"/>
  <c r="Z13" i="20"/>
  <c r="AA13" i="20"/>
  <c r="AB13" i="20"/>
  <c r="AC13" i="20"/>
  <c r="AA27" i="20"/>
  <c r="AA28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S28" i="20"/>
  <c r="R28" i="20"/>
  <c r="Q28" i="20"/>
  <c r="P28" i="20"/>
  <c r="N28" i="20"/>
  <c r="M28" i="20"/>
  <c r="L28" i="20"/>
  <c r="K28" i="20"/>
  <c r="D27" i="20"/>
  <c r="N25" i="20"/>
  <c r="M25" i="20"/>
  <c r="L25" i="20"/>
  <c r="K25" i="20"/>
  <c r="D25" i="20"/>
  <c r="H16" i="20"/>
  <c r="D23" i="20"/>
  <c r="G16" i="20"/>
  <c r="D21" i="20"/>
  <c r="M19" i="20"/>
  <c r="W16" i="20"/>
  <c r="V16" i="20"/>
  <c r="U16" i="20"/>
  <c r="E50" i="19"/>
  <c r="A50" i="19"/>
  <c r="E49" i="19"/>
  <c r="A49" i="19"/>
  <c r="E48" i="19"/>
  <c r="A48" i="19"/>
  <c r="E47" i="19"/>
  <c r="A47" i="19"/>
  <c r="E46" i="19"/>
  <c r="A46" i="19"/>
  <c r="E45" i="19"/>
  <c r="A45" i="19"/>
  <c r="E44" i="19"/>
  <c r="A44" i="19"/>
  <c r="E43" i="19"/>
  <c r="A43" i="19"/>
  <c r="X15" i="19"/>
  <c r="E42" i="19"/>
  <c r="A42" i="19"/>
  <c r="X14" i="19"/>
  <c r="E41" i="19"/>
  <c r="AE18" i="19"/>
  <c r="A41" i="19"/>
  <c r="X13" i="19"/>
  <c r="E40" i="19"/>
  <c r="AE17" i="19"/>
  <c r="A40" i="19"/>
  <c r="X12" i="19"/>
  <c r="E39" i="19"/>
  <c r="AE2" i="19"/>
  <c r="AF2" i="19"/>
  <c r="AG2" i="19"/>
  <c r="AH2" i="19"/>
  <c r="AI2" i="19"/>
  <c r="AE16" i="19"/>
  <c r="AF16" i="19"/>
  <c r="AG16" i="19"/>
  <c r="A39" i="19"/>
  <c r="X11" i="19"/>
  <c r="X10" i="19"/>
  <c r="X9" i="19"/>
  <c r="R16" i="19"/>
  <c r="Q16" i="19"/>
  <c r="X8" i="19"/>
  <c r="X7" i="19"/>
  <c r="X4" i="19"/>
  <c r="X5" i="19"/>
  <c r="X6" i="19"/>
  <c r="AE3" i="19"/>
  <c r="AF3" i="19"/>
  <c r="AG3" i="19"/>
  <c r="AH3" i="19"/>
  <c r="AI3" i="19"/>
  <c r="AG17" i="19"/>
  <c r="AE4" i="19"/>
  <c r="AF4" i="19"/>
  <c r="AG4" i="19"/>
  <c r="AH4" i="19"/>
  <c r="AI4" i="19"/>
  <c r="AG18" i="19"/>
  <c r="AE5" i="19"/>
  <c r="AF5" i="19"/>
  <c r="AG5" i="19"/>
  <c r="AH5" i="19"/>
  <c r="AI5" i="19"/>
  <c r="AG19" i="19"/>
  <c r="AE6" i="19"/>
  <c r="AF6" i="19"/>
  <c r="AG6" i="19"/>
  <c r="AH6" i="19"/>
  <c r="AI6" i="19"/>
  <c r="AG20" i="19"/>
  <c r="AE7" i="19"/>
  <c r="AF7" i="19"/>
  <c r="AG7" i="19"/>
  <c r="AH7" i="19"/>
  <c r="AI7" i="19"/>
  <c r="AG21" i="19"/>
  <c r="AE9" i="19"/>
  <c r="AF9" i="19"/>
  <c r="AG9" i="19"/>
  <c r="AH9" i="19"/>
  <c r="AI9" i="19"/>
  <c r="AG23" i="19"/>
  <c r="AE10" i="19"/>
  <c r="AF10" i="19"/>
  <c r="AG10" i="19"/>
  <c r="AH10" i="19"/>
  <c r="AI10" i="19"/>
  <c r="AG24" i="19"/>
  <c r="AE11" i="19"/>
  <c r="AF11" i="19"/>
  <c r="AG11" i="19"/>
  <c r="AH11" i="19"/>
  <c r="AI11" i="19"/>
  <c r="AG25" i="19"/>
  <c r="AE12" i="19"/>
  <c r="AF12" i="19"/>
  <c r="AG12" i="19"/>
  <c r="AH12" i="19"/>
  <c r="AI12" i="19"/>
  <c r="AG26" i="19"/>
  <c r="AE13" i="19"/>
  <c r="AF13" i="19"/>
  <c r="AG13" i="19"/>
  <c r="AH13" i="19"/>
  <c r="AI13" i="19"/>
  <c r="AG27" i="19"/>
  <c r="AF17" i="19"/>
  <c r="AF18" i="19"/>
  <c r="AF19" i="19"/>
  <c r="AF20" i="19"/>
  <c r="AF21" i="19"/>
  <c r="AF23" i="19"/>
  <c r="AF24" i="19"/>
  <c r="AF25" i="19"/>
  <c r="AF26" i="19"/>
  <c r="AF27" i="19"/>
  <c r="D31" i="19"/>
  <c r="J29" i="19"/>
  <c r="I29" i="19"/>
  <c r="H29" i="19"/>
  <c r="G29" i="19"/>
  <c r="F16" i="19"/>
  <c r="D29" i="19"/>
  <c r="AK2" i="19"/>
  <c r="AQ16" i="19"/>
  <c r="AL2" i="19"/>
  <c r="AR16" i="19"/>
  <c r="AM2" i="19"/>
  <c r="AS16" i="19"/>
  <c r="AN2" i="19"/>
  <c r="AT16" i="19"/>
  <c r="AO2" i="19"/>
  <c r="AU16" i="19"/>
  <c r="AP2" i="19"/>
  <c r="AV16" i="19"/>
  <c r="AQ2" i="19"/>
  <c r="AW16" i="19"/>
  <c r="AR2" i="19"/>
  <c r="AX16" i="19"/>
  <c r="AS2" i="19"/>
  <c r="AY16" i="19"/>
  <c r="AT2" i="19"/>
  <c r="AZ16" i="19"/>
  <c r="AU2" i="19"/>
  <c r="BA16" i="19"/>
  <c r="AV2" i="19"/>
  <c r="BB16" i="19"/>
  <c r="AW2" i="19"/>
  <c r="BC16" i="19"/>
  <c r="AX2" i="19"/>
  <c r="BD16" i="19"/>
  <c r="AY2" i="19"/>
  <c r="BE16" i="19"/>
  <c r="AZ2" i="19"/>
  <c r="BF16" i="19"/>
  <c r="BA2" i="19"/>
  <c r="BG16" i="19"/>
  <c r="BB2" i="19"/>
  <c r="BH16" i="19"/>
  <c r="BC2" i="19"/>
  <c r="BI16" i="19"/>
  <c r="BD2" i="19"/>
  <c r="BJ16" i="19"/>
  <c r="BE2" i="19"/>
  <c r="BK16" i="19"/>
  <c r="BF2" i="19"/>
  <c r="BL16" i="19"/>
  <c r="BG2" i="19"/>
  <c r="BM16" i="19"/>
  <c r="BH2" i="19"/>
  <c r="BN16" i="19"/>
  <c r="AP16" i="19"/>
  <c r="AK3" i="19"/>
  <c r="AQ17" i="19"/>
  <c r="AL3" i="19"/>
  <c r="AR17" i="19"/>
  <c r="AM3" i="19"/>
  <c r="AS17" i="19"/>
  <c r="AN3" i="19"/>
  <c r="AT17" i="19"/>
  <c r="AO3" i="19"/>
  <c r="AU17" i="19"/>
  <c r="AP3" i="19"/>
  <c r="AV17" i="19"/>
  <c r="AQ3" i="19"/>
  <c r="AW17" i="19"/>
  <c r="AR3" i="19"/>
  <c r="AX17" i="19"/>
  <c r="AS3" i="19"/>
  <c r="AY17" i="19"/>
  <c r="AT3" i="19"/>
  <c r="AZ17" i="19"/>
  <c r="AU3" i="19"/>
  <c r="BA17" i="19"/>
  <c r="AV3" i="19"/>
  <c r="BB17" i="19"/>
  <c r="AW3" i="19"/>
  <c r="BC17" i="19"/>
  <c r="AX3" i="19"/>
  <c r="BD17" i="19"/>
  <c r="AY3" i="19"/>
  <c r="BE17" i="19"/>
  <c r="AZ3" i="19"/>
  <c r="BF17" i="19"/>
  <c r="BA3" i="19"/>
  <c r="BG17" i="19"/>
  <c r="BB3" i="19"/>
  <c r="BH17" i="19"/>
  <c r="BC3" i="19"/>
  <c r="BI17" i="19"/>
  <c r="BD3" i="19"/>
  <c r="BJ17" i="19"/>
  <c r="BE3" i="19"/>
  <c r="BK17" i="19"/>
  <c r="BF3" i="19"/>
  <c r="BL17" i="19"/>
  <c r="BG3" i="19"/>
  <c r="BM17" i="19"/>
  <c r="BH3" i="19"/>
  <c r="BN17" i="19"/>
  <c r="AP17" i="19"/>
  <c r="AK4" i="19"/>
  <c r="AQ18" i="19"/>
  <c r="AL4" i="19"/>
  <c r="AR18" i="19"/>
  <c r="AM4" i="19"/>
  <c r="AS18" i="19"/>
  <c r="AN4" i="19"/>
  <c r="AT18" i="19"/>
  <c r="AO4" i="19"/>
  <c r="AU18" i="19"/>
  <c r="AP4" i="19"/>
  <c r="AV18" i="19"/>
  <c r="AQ4" i="19"/>
  <c r="AW18" i="19"/>
  <c r="AR4" i="19"/>
  <c r="AX18" i="19"/>
  <c r="AS4" i="19"/>
  <c r="AY18" i="19"/>
  <c r="AT4" i="19"/>
  <c r="AZ18" i="19"/>
  <c r="AU4" i="19"/>
  <c r="BA18" i="19"/>
  <c r="AV4" i="19"/>
  <c r="BB18" i="19"/>
  <c r="AW4" i="19"/>
  <c r="BC18" i="19"/>
  <c r="AX4" i="19"/>
  <c r="BD18" i="19"/>
  <c r="AY4" i="19"/>
  <c r="BE18" i="19"/>
  <c r="AZ4" i="19"/>
  <c r="BF18" i="19"/>
  <c r="BA4" i="19"/>
  <c r="BG18" i="19"/>
  <c r="BB4" i="19"/>
  <c r="BH18" i="19"/>
  <c r="BC4" i="19"/>
  <c r="BI18" i="19"/>
  <c r="BD4" i="19"/>
  <c r="BJ18" i="19"/>
  <c r="BE4" i="19"/>
  <c r="BK18" i="19"/>
  <c r="BF4" i="19"/>
  <c r="BL18" i="19"/>
  <c r="BG4" i="19"/>
  <c r="BM18" i="19"/>
  <c r="BH4" i="19"/>
  <c r="BN18" i="19"/>
  <c r="AP18" i="19"/>
  <c r="AK5" i="19"/>
  <c r="AQ19" i="19"/>
  <c r="AL5" i="19"/>
  <c r="AR19" i="19"/>
  <c r="AM5" i="19"/>
  <c r="AS19" i="19"/>
  <c r="AN5" i="19"/>
  <c r="AT19" i="19"/>
  <c r="AO5" i="19"/>
  <c r="AU19" i="19"/>
  <c r="AP5" i="19"/>
  <c r="AV19" i="19"/>
  <c r="AQ5" i="19"/>
  <c r="AW19" i="19"/>
  <c r="AR5" i="19"/>
  <c r="AX19" i="19"/>
  <c r="AS5" i="19"/>
  <c r="AY19" i="19"/>
  <c r="AT5" i="19"/>
  <c r="AZ19" i="19"/>
  <c r="AU5" i="19"/>
  <c r="BA19" i="19"/>
  <c r="AV5" i="19"/>
  <c r="BB19" i="19"/>
  <c r="AW5" i="19"/>
  <c r="BC19" i="19"/>
  <c r="AX5" i="19"/>
  <c r="BD19" i="19"/>
  <c r="AY5" i="19"/>
  <c r="BE19" i="19"/>
  <c r="AZ5" i="19"/>
  <c r="BF19" i="19"/>
  <c r="BA5" i="19"/>
  <c r="BG19" i="19"/>
  <c r="BB5" i="19"/>
  <c r="BH19" i="19"/>
  <c r="BC5" i="19"/>
  <c r="BI19" i="19"/>
  <c r="BD5" i="19"/>
  <c r="BJ19" i="19"/>
  <c r="BE5" i="19"/>
  <c r="BK19" i="19"/>
  <c r="BF5" i="19"/>
  <c r="BL19" i="19"/>
  <c r="BG5" i="19"/>
  <c r="BM19" i="19"/>
  <c r="BH5" i="19"/>
  <c r="BN19" i="19"/>
  <c r="AP19" i="19"/>
  <c r="AK6" i="19"/>
  <c r="AQ20" i="19"/>
  <c r="AL6" i="19"/>
  <c r="AR20" i="19"/>
  <c r="AM6" i="19"/>
  <c r="AS20" i="19"/>
  <c r="AN6" i="19"/>
  <c r="AT20" i="19"/>
  <c r="AO6" i="19"/>
  <c r="AU20" i="19"/>
  <c r="AP6" i="19"/>
  <c r="AV20" i="19"/>
  <c r="AQ6" i="19"/>
  <c r="AW20" i="19"/>
  <c r="AR6" i="19"/>
  <c r="AX20" i="19"/>
  <c r="AS6" i="19"/>
  <c r="AY20" i="19"/>
  <c r="AT6" i="19"/>
  <c r="AZ20" i="19"/>
  <c r="AU6" i="19"/>
  <c r="BA20" i="19"/>
  <c r="AV6" i="19"/>
  <c r="BB20" i="19"/>
  <c r="AW6" i="19"/>
  <c r="BC20" i="19"/>
  <c r="AX6" i="19"/>
  <c r="BD20" i="19"/>
  <c r="AY6" i="19"/>
  <c r="BE20" i="19"/>
  <c r="AZ6" i="19"/>
  <c r="BF20" i="19"/>
  <c r="BA6" i="19"/>
  <c r="BG20" i="19"/>
  <c r="BB6" i="19"/>
  <c r="BH20" i="19"/>
  <c r="BC6" i="19"/>
  <c r="BI20" i="19"/>
  <c r="BD6" i="19"/>
  <c r="BJ20" i="19"/>
  <c r="BE6" i="19"/>
  <c r="BK20" i="19"/>
  <c r="BF6" i="19"/>
  <c r="BL20" i="19"/>
  <c r="BG6" i="19"/>
  <c r="BM20" i="19"/>
  <c r="BH6" i="19"/>
  <c r="BN20" i="19"/>
  <c r="AP20" i="19"/>
  <c r="AK7" i="19"/>
  <c r="AQ21" i="19"/>
  <c r="AL7" i="19"/>
  <c r="AR21" i="19"/>
  <c r="AM7" i="19"/>
  <c r="AS21" i="19"/>
  <c r="AN7" i="19"/>
  <c r="AT21" i="19"/>
  <c r="AO7" i="19"/>
  <c r="AU21" i="19"/>
  <c r="AP7" i="19"/>
  <c r="AV21" i="19"/>
  <c r="AQ7" i="19"/>
  <c r="AW21" i="19"/>
  <c r="AR7" i="19"/>
  <c r="AX21" i="19"/>
  <c r="AS7" i="19"/>
  <c r="AY21" i="19"/>
  <c r="AT7" i="19"/>
  <c r="AZ21" i="19"/>
  <c r="AU7" i="19"/>
  <c r="BA21" i="19"/>
  <c r="AV7" i="19"/>
  <c r="BB21" i="19"/>
  <c r="AW7" i="19"/>
  <c r="BC21" i="19"/>
  <c r="AX7" i="19"/>
  <c r="BD21" i="19"/>
  <c r="AY7" i="19"/>
  <c r="BE21" i="19"/>
  <c r="AZ7" i="19"/>
  <c r="BF21" i="19"/>
  <c r="BA7" i="19"/>
  <c r="BG21" i="19"/>
  <c r="BB7" i="19"/>
  <c r="BH21" i="19"/>
  <c r="BC7" i="19"/>
  <c r="BI21" i="19"/>
  <c r="BD7" i="19"/>
  <c r="BJ21" i="19"/>
  <c r="BE7" i="19"/>
  <c r="BK21" i="19"/>
  <c r="BF7" i="19"/>
  <c r="BL21" i="19"/>
  <c r="BG7" i="19"/>
  <c r="BM21" i="19"/>
  <c r="BH7" i="19"/>
  <c r="BN21" i="19"/>
  <c r="AP21" i="19"/>
  <c r="AK8" i="19"/>
  <c r="AQ22" i="19"/>
  <c r="AL8" i="19"/>
  <c r="AR22" i="19"/>
  <c r="AM8" i="19"/>
  <c r="AS22" i="19"/>
  <c r="AN8" i="19"/>
  <c r="AT22" i="19"/>
  <c r="AO8" i="19"/>
  <c r="AU22" i="19"/>
  <c r="AP8" i="19"/>
  <c r="AV22" i="19"/>
  <c r="AQ8" i="19"/>
  <c r="AW22" i="19"/>
  <c r="AR8" i="19"/>
  <c r="AX22" i="19"/>
  <c r="AS8" i="19"/>
  <c r="AY22" i="19"/>
  <c r="AT8" i="19"/>
  <c r="AZ22" i="19"/>
  <c r="AU8" i="19"/>
  <c r="BA22" i="19"/>
  <c r="AV8" i="19"/>
  <c r="BB22" i="19"/>
  <c r="AW8" i="19"/>
  <c r="BC22" i="19"/>
  <c r="AX8" i="19"/>
  <c r="BD22" i="19"/>
  <c r="AY8" i="19"/>
  <c r="BE22" i="19"/>
  <c r="AZ8" i="19"/>
  <c r="BF22" i="19"/>
  <c r="BA8" i="19"/>
  <c r="BG22" i="19"/>
  <c r="BB8" i="19"/>
  <c r="BH22" i="19"/>
  <c r="BC8" i="19"/>
  <c r="BI22" i="19"/>
  <c r="BD8" i="19"/>
  <c r="BJ22" i="19"/>
  <c r="BE8" i="19"/>
  <c r="BK22" i="19"/>
  <c r="BF8" i="19"/>
  <c r="BL22" i="19"/>
  <c r="BG8" i="19"/>
  <c r="BM22" i="19"/>
  <c r="BH8" i="19"/>
  <c r="BN22" i="19"/>
  <c r="AP22" i="19"/>
  <c r="AK9" i="19"/>
  <c r="AQ23" i="19"/>
  <c r="AL9" i="19"/>
  <c r="AR23" i="19"/>
  <c r="AM9" i="19"/>
  <c r="AS23" i="19"/>
  <c r="AN9" i="19"/>
  <c r="AT23" i="19"/>
  <c r="AO9" i="19"/>
  <c r="AU23" i="19"/>
  <c r="AP9" i="19"/>
  <c r="AV23" i="19"/>
  <c r="AQ9" i="19"/>
  <c r="AW23" i="19"/>
  <c r="AR9" i="19"/>
  <c r="AX23" i="19"/>
  <c r="AS9" i="19"/>
  <c r="AY23" i="19"/>
  <c r="AT9" i="19"/>
  <c r="AZ23" i="19"/>
  <c r="AU9" i="19"/>
  <c r="BA23" i="19"/>
  <c r="AV9" i="19"/>
  <c r="BB23" i="19"/>
  <c r="AW9" i="19"/>
  <c r="BC23" i="19"/>
  <c r="AX9" i="19"/>
  <c r="BD23" i="19"/>
  <c r="AY9" i="19"/>
  <c r="BE23" i="19"/>
  <c r="AZ9" i="19"/>
  <c r="BF23" i="19"/>
  <c r="BA9" i="19"/>
  <c r="BG23" i="19"/>
  <c r="BB9" i="19"/>
  <c r="BH23" i="19"/>
  <c r="BC9" i="19"/>
  <c r="BI23" i="19"/>
  <c r="BD9" i="19"/>
  <c r="BJ23" i="19"/>
  <c r="BE9" i="19"/>
  <c r="BK23" i="19"/>
  <c r="BF9" i="19"/>
  <c r="BL23" i="19"/>
  <c r="BG9" i="19"/>
  <c r="BM23" i="19"/>
  <c r="BH9" i="19"/>
  <c r="BN23" i="19"/>
  <c r="AP23" i="19"/>
  <c r="AK10" i="19"/>
  <c r="AQ24" i="19"/>
  <c r="AL10" i="19"/>
  <c r="AR24" i="19"/>
  <c r="AM10" i="19"/>
  <c r="AS24" i="19"/>
  <c r="AN10" i="19"/>
  <c r="AT24" i="19"/>
  <c r="AO10" i="19"/>
  <c r="AU24" i="19"/>
  <c r="AP10" i="19"/>
  <c r="AV24" i="19"/>
  <c r="AQ10" i="19"/>
  <c r="AW24" i="19"/>
  <c r="AR10" i="19"/>
  <c r="AX24" i="19"/>
  <c r="AS10" i="19"/>
  <c r="AY24" i="19"/>
  <c r="AT10" i="19"/>
  <c r="AZ24" i="19"/>
  <c r="AU10" i="19"/>
  <c r="BA24" i="19"/>
  <c r="AV10" i="19"/>
  <c r="BB24" i="19"/>
  <c r="AW10" i="19"/>
  <c r="BC24" i="19"/>
  <c r="AX10" i="19"/>
  <c r="BD24" i="19"/>
  <c r="AY10" i="19"/>
  <c r="BE24" i="19"/>
  <c r="AZ10" i="19"/>
  <c r="BF24" i="19"/>
  <c r="BA10" i="19"/>
  <c r="BG24" i="19"/>
  <c r="BB10" i="19"/>
  <c r="BH24" i="19"/>
  <c r="BC10" i="19"/>
  <c r="BI24" i="19"/>
  <c r="BD10" i="19"/>
  <c r="BJ24" i="19"/>
  <c r="BE10" i="19"/>
  <c r="BK24" i="19"/>
  <c r="BF10" i="19"/>
  <c r="BL24" i="19"/>
  <c r="BG10" i="19"/>
  <c r="BM24" i="19"/>
  <c r="BH10" i="19"/>
  <c r="BN24" i="19"/>
  <c r="AP24" i="19"/>
  <c r="AK11" i="19"/>
  <c r="AQ25" i="19"/>
  <c r="AL11" i="19"/>
  <c r="AR25" i="19"/>
  <c r="AM11" i="19"/>
  <c r="AS25" i="19"/>
  <c r="AN11" i="19"/>
  <c r="AT25" i="19"/>
  <c r="AO11" i="19"/>
  <c r="AU25" i="19"/>
  <c r="AP11" i="19"/>
  <c r="AV25" i="19"/>
  <c r="AQ11" i="19"/>
  <c r="AW25" i="19"/>
  <c r="AR11" i="19"/>
  <c r="AX25" i="19"/>
  <c r="AS11" i="19"/>
  <c r="AY25" i="19"/>
  <c r="AT11" i="19"/>
  <c r="AZ25" i="19"/>
  <c r="AU11" i="19"/>
  <c r="BA25" i="19"/>
  <c r="AV11" i="19"/>
  <c r="BB25" i="19"/>
  <c r="AW11" i="19"/>
  <c r="BC25" i="19"/>
  <c r="AX11" i="19"/>
  <c r="BD25" i="19"/>
  <c r="AY11" i="19"/>
  <c r="BE25" i="19"/>
  <c r="AZ11" i="19"/>
  <c r="BF25" i="19"/>
  <c r="BA11" i="19"/>
  <c r="BG25" i="19"/>
  <c r="BB11" i="19"/>
  <c r="BH25" i="19"/>
  <c r="BC11" i="19"/>
  <c r="BI25" i="19"/>
  <c r="BD11" i="19"/>
  <c r="BJ25" i="19"/>
  <c r="BE11" i="19"/>
  <c r="BK25" i="19"/>
  <c r="BF11" i="19"/>
  <c r="BL25" i="19"/>
  <c r="BG11" i="19"/>
  <c r="BM25" i="19"/>
  <c r="BH11" i="19"/>
  <c r="BN25" i="19"/>
  <c r="AP25" i="19"/>
  <c r="AK12" i="19"/>
  <c r="AQ26" i="19"/>
  <c r="AL12" i="19"/>
  <c r="AR26" i="19"/>
  <c r="AM12" i="19"/>
  <c r="AS26" i="19"/>
  <c r="AN12" i="19"/>
  <c r="AT26" i="19"/>
  <c r="AO12" i="19"/>
  <c r="AU26" i="19"/>
  <c r="AP12" i="19"/>
  <c r="AV26" i="19"/>
  <c r="AQ12" i="19"/>
  <c r="AW26" i="19"/>
  <c r="AR12" i="19"/>
  <c r="AX26" i="19"/>
  <c r="AS12" i="19"/>
  <c r="AY26" i="19"/>
  <c r="AT12" i="19"/>
  <c r="AZ26" i="19"/>
  <c r="AU12" i="19"/>
  <c r="BA26" i="19"/>
  <c r="AV12" i="19"/>
  <c r="BB26" i="19"/>
  <c r="AW12" i="19"/>
  <c r="BC26" i="19"/>
  <c r="AX12" i="19"/>
  <c r="BD26" i="19"/>
  <c r="AY12" i="19"/>
  <c r="BE26" i="19"/>
  <c r="AZ12" i="19"/>
  <c r="BF26" i="19"/>
  <c r="BA12" i="19"/>
  <c r="BG26" i="19"/>
  <c r="BB12" i="19"/>
  <c r="BH26" i="19"/>
  <c r="BC12" i="19"/>
  <c r="BI26" i="19"/>
  <c r="BD12" i="19"/>
  <c r="BJ26" i="19"/>
  <c r="BE12" i="19"/>
  <c r="BK26" i="19"/>
  <c r="BF12" i="19"/>
  <c r="BL26" i="19"/>
  <c r="BG12" i="19"/>
  <c r="BM26" i="19"/>
  <c r="BH12" i="19"/>
  <c r="BN26" i="19"/>
  <c r="AP26" i="19"/>
  <c r="AK13" i="19"/>
  <c r="AQ27" i="19"/>
  <c r="AL13" i="19"/>
  <c r="AR27" i="19"/>
  <c r="AM13" i="19"/>
  <c r="AS27" i="19"/>
  <c r="AN13" i="19"/>
  <c r="AT27" i="19"/>
  <c r="AO13" i="19"/>
  <c r="AU27" i="19"/>
  <c r="AP13" i="19"/>
  <c r="AV27" i="19"/>
  <c r="AQ13" i="19"/>
  <c r="AW27" i="19"/>
  <c r="AR13" i="19"/>
  <c r="AX27" i="19"/>
  <c r="AS13" i="19"/>
  <c r="AY27" i="19"/>
  <c r="AT13" i="19"/>
  <c r="AZ27" i="19"/>
  <c r="AU13" i="19"/>
  <c r="BA27" i="19"/>
  <c r="AV13" i="19"/>
  <c r="BB27" i="19"/>
  <c r="AW13" i="19"/>
  <c r="BC27" i="19"/>
  <c r="AX13" i="19"/>
  <c r="BD27" i="19"/>
  <c r="AY13" i="19"/>
  <c r="BE27" i="19"/>
  <c r="AZ13" i="19"/>
  <c r="BF27" i="19"/>
  <c r="BA13" i="19"/>
  <c r="BG27" i="19"/>
  <c r="BB13" i="19"/>
  <c r="BH27" i="19"/>
  <c r="BC13" i="19"/>
  <c r="BI27" i="19"/>
  <c r="BD13" i="19"/>
  <c r="BJ27" i="19"/>
  <c r="BE13" i="19"/>
  <c r="BK27" i="19"/>
  <c r="BF13" i="19"/>
  <c r="BL27" i="19"/>
  <c r="BG13" i="19"/>
  <c r="BM27" i="19"/>
  <c r="BH13" i="19"/>
  <c r="BN27" i="19"/>
  <c r="AP27" i="19"/>
  <c r="AP28" i="19"/>
  <c r="AN16" i="19"/>
  <c r="AN17" i="19"/>
  <c r="AN18" i="19"/>
  <c r="AN19" i="19"/>
  <c r="AN20" i="19"/>
  <c r="AN21" i="19"/>
  <c r="AN22" i="19"/>
  <c r="AN23" i="19"/>
  <c r="AN24" i="19"/>
  <c r="AN25" i="19"/>
  <c r="AN26" i="19"/>
  <c r="AN27" i="19"/>
  <c r="AN28" i="19"/>
  <c r="AM16" i="19"/>
  <c r="AM17" i="19"/>
  <c r="AM18" i="19"/>
  <c r="AM19" i="19"/>
  <c r="AM20" i="19"/>
  <c r="AM21" i="19"/>
  <c r="AM22" i="19"/>
  <c r="AM23" i="19"/>
  <c r="AM24" i="19"/>
  <c r="AM25" i="19"/>
  <c r="AM26" i="19"/>
  <c r="AM27" i="19"/>
  <c r="AM28" i="19"/>
  <c r="AL16" i="19"/>
  <c r="AL17" i="19"/>
  <c r="AL18" i="19"/>
  <c r="AL19" i="19"/>
  <c r="AL20" i="19"/>
  <c r="AL21" i="19"/>
  <c r="AL22" i="19"/>
  <c r="AL23" i="19"/>
  <c r="AL24" i="19"/>
  <c r="AL25" i="19"/>
  <c r="AL26" i="19"/>
  <c r="AL27" i="19"/>
  <c r="AL28" i="19"/>
  <c r="AK16" i="19"/>
  <c r="AK17" i="19"/>
  <c r="AK18" i="19"/>
  <c r="AK19" i="19"/>
  <c r="AK20" i="19"/>
  <c r="AK21" i="19"/>
  <c r="AK22" i="19"/>
  <c r="AK23" i="19"/>
  <c r="AK24" i="19"/>
  <c r="AK25" i="19"/>
  <c r="AK26" i="19"/>
  <c r="AK27" i="19"/>
  <c r="AK28" i="19"/>
  <c r="Z2" i="19"/>
  <c r="AA2" i="19"/>
  <c r="AB2" i="19"/>
  <c r="AC2" i="19"/>
  <c r="AA16" i="19"/>
  <c r="Z3" i="19"/>
  <c r="AA3" i="19"/>
  <c r="AB3" i="19"/>
  <c r="AC3" i="19"/>
  <c r="AA17" i="19"/>
  <c r="Z4" i="19"/>
  <c r="AA4" i="19"/>
  <c r="AB4" i="19"/>
  <c r="AC4" i="19"/>
  <c r="AA18" i="19"/>
  <c r="Z5" i="19"/>
  <c r="AA5" i="19"/>
  <c r="AB5" i="19"/>
  <c r="AC5" i="19"/>
  <c r="AA19" i="19"/>
  <c r="Z6" i="19"/>
  <c r="AA6" i="19"/>
  <c r="AB6" i="19"/>
  <c r="AC6" i="19"/>
  <c r="AA20" i="19"/>
  <c r="Z7" i="19"/>
  <c r="AA7" i="19"/>
  <c r="AB7" i="19"/>
  <c r="AC7" i="19"/>
  <c r="AA21" i="19"/>
  <c r="Z8" i="19"/>
  <c r="AA8" i="19"/>
  <c r="AB8" i="19"/>
  <c r="AC8" i="19"/>
  <c r="AA22" i="19"/>
  <c r="Z9" i="19"/>
  <c r="AA9" i="19"/>
  <c r="AB9" i="19"/>
  <c r="AC9" i="19"/>
  <c r="AA23" i="19"/>
  <c r="Z10" i="19"/>
  <c r="AA10" i="19"/>
  <c r="AB10" i="19"/>
  <c r="AC10" i="19"/>
  <c r="AA24" i="19"/>
  <c r="Z11" i="19"/>
  <c r="AA11" i="19"/>
  <c r="AB11" i="19"/>
  <c r="AC11" i="19"/>
  <c r="AA25" i="19"/>
  <c r="Z12" i="19"/>
  <c r="AA12" i="19"/>
  <c r="AB12" i="19"/>
  <c r="AC12" i="19"/>
  <c r="AA26" i="19"/>
  <c r="Z13" i="19"/>
  <c r="AA13" i="19"/>
  <c r="AB13" i="19"/>
  <c r="AC13" i="19"/>
  <c r="AA27" i="19"/>
  <c r="AA28" i="19"/>
  <c r="Z16" i="19"/>
  <c r="Z17" i="19"/>
  <c r="Z18" i="19"/>
  <c r="Z19" i="19"/>
  <c r="Z20" i="19"/>
  <c r="Z21" i="19"/>
  <c r="Z22" i="19"/>
  <c r="Z23" i="19"/>
  <c r="Z24" i="19"/>
  <c r="Z25" i="19"/>
  <c r="Z26" i="19"/>
  <c r="Z27" i="19"/>
  <c r="Z28" i="19"/>
  <c r="S28" i="19"/>
  <c r="R28" i="19"/>
  <c r="Q28" i="19"/>
  <c r="P28" i="19"/>
  <c r="N28" i="19"/>
  <c r="M28" i="19"/>
  <c r="L28" i="19"/>
  <c r="K28" i="19"/>
  <c r="D27" i="19"/>
  <c r="G26" i="19"/>
  <c r="N25" i="19"/>
  <c r="M25" i="19"/>
  <c r="L25" i="19"/>
  <c r="K25" i="19"/>
  <c r="D25" i="19"/>
  <c r="G24" i="19"/>
  <c r="H16" i="19"/>
  <c r="D23" i="19"/>
  <c r="G22" i="19"/>
  <c r="G16" i="19"/>
  <c r="D21" i="19"/>
  <c r="G20" i="19"/>
  <c r="M19" i="19"/>
  <c r="W16" i="19"/>
  <c r="V16" i="19"/>
  <c r="U16" i="19"/>
  <c r="L16" i="19"/>
  <c r="E50" i="18"/>
  <c r="A50" i="18"/>
  <c r="E49" i="18"/>
  <c r="A49" i="18"/>
  <c r="E48" i="18"/>
  <c r="A48" i="18"/>
  <c r="E47" i="18"/>
  <c r="A47" i="18"/>
  <c r="E46" i="18"/>
  <c r="A46" i="18"/>
  <c r="E45" i="18"/>
  <c r="A45" i="18"/>
  <c r="E44" i="18"/>
  <c r="A44" i="18"/>
  <c r="E43" i="18"/>
  <c r="A43" i="18"/>
  <c r="E42" i="18"/>
  <c r="AE5" i="18"/>
  <c r="AF5" i="18"/>
  <c r="AG5" i="18"/>
  <c r="AH5" i="18"/>
  <c r="AI5" i="18"/>
  <c r="AE19" i="18"/>
  <c r="AF19" i="18"/>
  <c r="AG19" i="18"/>
  <c r="A42" i="18"/>
  <c r="E41" i="18"/>
  <c r="AE4" i="18"/>
  <c r="AF4" i="18"/>
  <c r="AG4" i="18"/>
  <c r="AH4" i="18"/>
  <c r="AI4" i="18"/>
  <c r="AE18" i="18"/>
  <c r="AF18" i="18"/>
  <c r="AG18" i="18"/>
  <c r="A41" i="18"/>
  <c r="E40" i="18"/>
  <c r="AE17" i="18"/>
  <c r="A40" i="18"/>
  <c r="E39" i="18"/>
  <c r="AE16" i="18"/>
  <c r="A39" i="18"/>
  <c r="Q16" i="18"/>
  <c r="X7" i="18"/>
  <c r="X5" i="18"/>
  <c r="X6" i="18"/>
  <c r="AE2" i="18"/>
  <c r="AF2" i="18"/>
  <c r="AG2" i="18"/>
  <c r="AH2" i="18"/>
  <c r="AI2" i="18"/>
  <c r="AG16" i="18"/>
  <c r="AE3" i="18"/>
  <c r="AF3" i="18"/>
  <c r="AG3" i="18"/>
  <c r="AH3" i="18"/>
  <c r="AI3" i="18"/>
  <c r="AG17" i="18"/>
  <c r="AE6" i="18"/>
  <c r="AF6" i="18"/>
  <c r="AG6" i="18"/>
  <c r="AH6" i="18"/>
  <c r="AI6" i="18"/>
  <c r="AG20" i="18"/>
  <c r="AE10" i="18"/>
  <c r="AF10" i="18"/>
  <c r="AG10" i="18"/>
  <c r="AH10" i="18"/>
  <c r="AI10" i="18"/>
  <c r="AG24" i="18"/>
  <c r="AE12" i="18"/>
  <c r="AF12" i="18"/>
  <c r="AG12" i="18"/>
  <c r="AH12" i="18"/>
  <c r="AI12" i="18"/>
  <c r="AG26" i="18"/>
  <c r="AF16" i="18"/>
  <c r="AF17" i="18"/>
  <c r="AF20" i="18"/>
  <c r="AF24" i="18"/>
  <c r="AF26" i="18"/>
  <c r="D31" i="18"/>
  <c r="J29" i="18"/>
  <c r="I29" i="18"/>
  <c r="H29" i="18"/>
  <c r="G29" i="18"/>
  <c r="F16" i="18"/>
  <c r="D29" i="18"/>
  <c r="AK2" i="18"/>
  <c r="AQ16" i="18"/>
  <c r="AL2" i="18"/>
  <c r="AR16" i="18"/>
  <c r="AM2" i="18"/>
  <c r="AS16" i="18"/>
  <c r="AN2" i="18"/>
  <c r="AT16" i="18"/>
  <c r="AO2" i="18"/>
  <c r="AU16" i="18"/>
  <c r="AP2" i="18"/>
  <c r="AV16" i="18"/>
  <c r="AQ2" i="18"/>
  <c r="AW16" i="18"/>
  <c r="AR2" i="18"/>
  <c r="AX16" i="18"/>
  <c r="AS2" i="18"/>
  <c r="AY16" i="18"/>
  <c r="AT2" i="18"/>
  <c r="AZ16" i="18"/>
  <c r="AU2" i="18"/>
  <c r="BA16" i="18"/>
  <c r="AV2" i="18"/>
  <c r="BB16" i="18"/>
  <c r="AW2" i="18"/>
  <c r="BC16" i="18"/>
  <c r="AX2" i="18"/>
  <c r="BD16" i="18"/>
  <c r="AY2" i="18"/>
  <c r="BE16" i="18"/>
  <c r="AZ2" i="18"/>
  <c r="BF16" i="18"/>
  <c r="BA2" i="18"/>
  <c r="BG16" i="18"/>
  <c r="BB2" i="18"/>
  <c r="BH16" i="18"/>
  <c r="BC2" i="18"/>
  <c r="BI16" i="18"/>
  <c r="BD2" i="18"/>
  <c r="BJ16" i="18"/>
  <c r="BE2" i="18"/>
  <c r="BK16" i="18"/>
  <c r="BF2" i="18"/>
  <c r="BL16" i="18"/>
  <c r="BG2" i="18"/>
  <c r="BM16" i="18"/>
  <c r="BH2" i="18"/>
  <c r="BN16" i="18"/>
  <c r="AP16" i="18"/>
  <c r="AK3" i="18"/>
  <c r="AQ17" i="18"/>
  <c r="AL3" i="18"/>
  <c r="AR17" i="18"/>
  <c r="AM3" i="18"/>
  <c r="AS17" i="18"/>
  <c r="AN3" i="18"/>
  <c r="AT17" i="18"/>
  <c r="AO3" i="18"/>
  <c r="AU17" i="18"/>
  <c r="AP3" i="18"/>
  <c r="AV17" i="18"/>
  <c r="AQ3" i="18"/>
  <c r="AW17" i="18"/>
  <c r="AR3" i="18"/>
  <c r="AX17" i="18"/>
  <c r="AS3" i="18"/>
  <c r="AY17" i="18"/>
  <c r="AT3" i="18"/>
  <c r="AZ17" i="18"/>
  <c r="AU3" i="18"/>
  <c r="BA17" i="18"/>
  <c r="AV3" i="18"/>
  <c r="BB17" i="18"/>
  <c r="AW3" i="18"/>
  <c r="BC17" i="18"/>
  <c r="AX3" i="18"/>
  <c r="BD17" i="18"/>
  <c r="AY3" i="18"/>
  <c r="BE17" i="18"/>
  <c r="AZ3" i="18"/>
  <c r="BF17" i="18"/>
  <c r="BA3" i="18"/>
  <c r="BG17" i="18"/>
  <c r="BB3" i="18"/>
  <c r="BH17" i="18"/>
  <c r="BC3" i="18"/>
  <c r="BI17" i="18"/>
  <c r="BD3" i="18"/>
  <c r="BJ17" i="18"/>
  <c r="BE3" i="18"/>
  <c r="BK17" i="18"/>
  <c r="BF3" i="18"/>
  <c r="BL17" i="18"/>
  <c r="BG3" i="18"/>
  <c r="BM17" i="18"/>
  <c r="BH3" i="18"/>
  <c r="BN17" i="18"/>
  <c r="AP17" i="18"/>
  <c r="AK4" i="18"/>
  <c r="AQ18" i="18"/>
  <c r="AL4" i="18"/>
  <c r="AR18" i="18"/>
  <c r="AM4" i="18"/>
  <c r="AS18" i="18"/>
  <c r="AN4" i="18"/>
  <c r="AT18" i="18"/>
  <c r="AO4" i="18"/>
  <c r="AU18" i="18"/>
  <c r="AP4" i="18"/>
  <c r="AV18" i="18"/>
  <c r="AQ4" i="18"/>
  <c r="AW18" i="18"/>
  <c r="AR4" i="18"/>
  <c r="AX18" i="18"/>
  <c r="AS4" i="18"/>
  <c r="AY18" i="18"/>
  <c r="AT4" i="18"/>
  <c r="AZ18" i="18"/>
  <c r="AU4" i="18"/>
  <c r="BA18" i="18"/>
  <c r="AV4" i="18"/>
  <c r="BB18" i="18"/>
  <c r="AW4" i="18"/>
  <c r="BC18" i="18"/>
  <c r="AX4" i="18"/>
  <c r="BD18" i="18"/>
  <c r="AY4" i="18"/>
  <c r="BE18" i="18"/>
  <c r="AZ4" i="18"/>
  <c r="BF18" i="18"/>
  <c r="BA4" i="18"/>
  <c r="BG18" i="18"/>
  <c r="BB4" i="18"/>
  <c r="BH18" i="18"/>
  <c r="BC4" i="18"/>
  <c r="BI18" i="18"/>
  <c r="BD4" i="18"/>
  <c r="BJ18" i="18"/>
  <c r="BE4" i="18"/>
  <c r="BK18" i="18"/>
  <c r="BF4" i="18"/>
  <c r="BL18" i="18"/>
  <c r="BG4" i="18"/>
  <c r="BM18" i="18"/>
  <c r="BH4" i="18"/>
  <c r="BN18" i="18"/>
  <c r="AP18" i="18"/>
  <c r="AK5" i="18"/>
  <c r="AQ19" i="18"/>
  <c r="AL5" i="18"/>
  <c r="AR19" i="18"/>
  <c r="AM5" i="18"/>
  <c r="AS19" i="18"/>
  <c r="AN5" i="18"/>
  <c r="AT19" i="18"/>
  <c r="AO5" i="18"/>
  <c r="AU19" i="18"/>
  <c r="AP5" i="18"/>
  <c r="AV19" i="18"/>
  <c r="AQ5" i="18"/>
  <c r="AW19" i="18"/>
  <c r="AR5" i="18"/>
  <c r="AX19" i="18"/>
  <c r="AS5" i="18"/>
  <c r="AY19" i="18"/>
  <c r="AT5" i="18"/>
  <c r="AZ19" i="18"/>
  <c r="AU5" i="18"/>
  <c r="BA19" i="18"/>
  <c r="AV5" i="18"/>
  <c r="BB19" i="18"/>
  <c r="AW5" i="18"/>
  <c r="BC19" i="18"/>
  <c r="AX5" i="18"/>
  <c r="BD19" i="18"/>
  <c r="AY5" i="18"/>
  <c r="BE19" i="18"/>
  <c r="AZ5" i="18"/>
  <c r="BF19" i="18"/>
  <c r="BA5" i="18"/>
  <c r="BG19" i="18"/>
  <c r="BB5" i="18"/>
  <c r="BH19" i="18"/>
  <c r="BC5" i="18"/>
  <c r="BI19" i="18"/>
  <c r="BD5" i="18"/>
  <c r="BJ19" i="18"/>
  <c r="BE5" i="18"/>
  <c r="BK19" i="18"/>
  <c r="BF5" i="18"/>
  <c r="BL19" i="18"/>
  <c r="BG5" i="18"/>
  <c r="BM19" i="18"/>
  <c r="BH5" i="18"/>
  <c r="BN19" i="18"/>
  <c r="AP19" i="18"/>
  <c r="AK6" i="18"/>
  <c r="AQ20" i="18"/>
  <c r="AL6" i="18"/>
  <c r="AR20" i="18"/>
  <c r="AM6" i="18"/>
  <c r="AS20" i="18"/>
  <c r="AN6" i="18"/>
  <c r="AT20" i="18"/>
  <c r="AO6" i="18"/>
  <c r="AU20" i="18"/>
  <c r="AP6" i="18"/>
  <c r="AV20" i="18"/>
  <c r="AQ6" i="18"/>
  <c r="AW20" i="18"/>
  <c r="AR6" i="18"/>
  <c r="AX20" i="18"/>
  <c r="AS6" i="18"/>
  <c r="AY20" i="18"/>
  <c r="AT6" i="18"/>
  <c r="AZ20" i="18"/>
  <c r="AU6" i="18"/>
  <c r="BA20" i="18"/>
  <c r="AV6" i="18"/>
  <c r="BB20" i="18"/>
  <c r="AW6" i="18"/>
  <c r="BC20" i="18"/>
  <c r="AX6" i="18"/>
  <c r="BD20" i="18"/>
  <c r="AY6" i="18"/>
  <c r="BE20" i="18"/>
  <c r="AZ6" i="18"/>
  <c r="BF20" i="18"/>
  <c r="BA6" i="18"/>
  <c r="BG20" i="18"/>
  <c r="BB6" i="18"/>
  <c r="BH20" i="18"/>
  <c r="BC6" i="18"/>
  <c r="BI20" i="18"/>
  <c r="BD6" i="18"/>
  <c r="BJ20" i="18"/>
  <c r="BE6" i="18"/>
  <c r="BK20" i="18"/>
  <c r="BF6" i="18"/>
  <c r="BL20" i="18"/>
  <c r="BG6" i="18"/>
  <c r="BM20" i="18"/>
  <c r="BH6" i="18"/>
  <c r="BN20" i="18"/>
  <c r="AP20" i="18"/>
  <c r="AK7" i="18"/>
  <c r="AQ21" i="18"/>
  <c r="AL7" i="18"/>
  <c r="AR21" i="18"/>
  <c r="AM7" i="18"/>
  <c r="AS21" i="18"/>
  <c r="AN7" i="18"/>
  <c r="AT21" i="18"/>
  <c r="AO7" i="18"/>
  <c r="AU21" i="18"/>
  <c r="AP7" i="18"/>
  <c r="AV21" i="18"/>
  <c r="AQ7" i="18"/>
  <c r="AW21" i="18"/>
  <c r="AR7" i="18"/>
  <c r="AX21" i="18"/>
  <c r="AS7" i="18"/>
  <c r="AY21" i="18"/>
  <c r="AT7" i="18"/>
  <c r="AZ21" i="18"/>
  <c r="AU7" i="18"/>
  <c r="BA21" i="18"/>
  <c r="AV7" i="18"/>
  <c r="BB21" i="18"/>
  <c r="AW7" i="18"/>
  <c r="BC21" i="18"/>
  <c r="AX7" i="18"/>
  <c r="BD21" i="18"/>
  <c r="AY7" i="18"/>
  <c r="BE21" i="18"/>
  <c r="AZ7" i="18"/>
  <c r="BF21" i="18"/>
  <c r="BA7" i="18"/>
  <c r="BG21" i="18"/>
  <c r="BB7" i="18"/>
  <c r="BH21" i="18"/>
  <c r="BC7" i="18"/>
  <c r="BI21" i="18"/>
  <c r="BD7" i="18"/>
  <c r="BJ21" i="18"/>
  <c r="BE7" i="18"/>
  <c r="BK21" i="18"/>
  <c r="BF7" i="18"/>
  <c r="BL21" i="18"/>
  <c r="BG7" i="18"/>
  <c r="BM21" i="18"/>
  <c r="BH7" i="18"/>
  <c r="BN21" i="18"/>
  <c r="AP21" i="18"/>
  <c r="AK8" i="18"/>
  <c r="AQ22" i="18"/>
  <c r="AL8" i="18"/>
  <c r="AR22" i="18"/>
  <c r="AM8" i="18"/>
  <c r="AS22" i="18"/>
  <c r="AN8" i="18"/>
  <c r="AT22" i="18"/>
  <c r="AO8" i="18"/>
  <c r="AU22" i="18"/>
  <c r="AP8" i="18"/>
  <c r="AV22" i="18"/>
  <c r="AQ8" i="18"/>
  <c r="AW22" i="18"/>
  <c r="AR8" i="18"/>
  <c r="AX22" i="18"/>
  <c r="AS8" i="18"/>
  <c r="AY22" i="18"/>
  <c r="AT8" i="18"/>
  <c r="AZ22" i="18"/>
  <c r="AU8" i="18"/>
  <c r="BA22" i="18"/>
  <c r="AV8" i="18"/>
  <c r="BB22" i="18"/>
  <c r="AW8" i="18"/>
  <c r="BC22" i="18"/>
  <c r="AX8" i="18"/>
  <c r="BD22" i="18"/>
  <c r="AY8" i="18"/>
  <c r="BE22" i="18"/>
  <c r="AZ8" i="18"/>
  <c r="BF22" i="18"/>
  <c r="BA8" i="18"/>
  <c r="BG22" i="18"/>
  <c r="BB8" i="18"/>
  <c r="BH22" i="18"/>
  <c r="BC8" i="18"/>
  <c r="BI22" i="18"/>
  <c r="BD8" i="18"/>
  <c r="BJ22" i="18"/>
  <c r="BE8" i="18"/>
  <c r="BK22" i="18"/>
  <c r="BF8" i="18"/>
  <c r="BL22" i="18"/>
  <c r="BG8" i="18"/>
  <c r="BM22" i="18"/>
  <c r="BH8" i="18"/>
  <c r="BN22" i="18"/>
  <c r="AP22" i="18"/>
  <c r="AK9" i="18"/>
  <c r="AQ23" i="18"/>
  <c r="AL9" i="18"/>
  <c r="AR23" i="18"/>
  <c r="AM9" i="18"/>
  <c r="AS23" i="18"/>
  <c r="AN9" i="18"/>
  <c r="AT23" i="18"/>
  <c r="AO9" i="18"/>
  <c r="AU23" i="18"/>
  <c r="AP9" i="18"/>
  <c r="AV23" i="18"/>
  <c r="AQ9" i="18"/>
  <c r="AW23" i="18"/>
  <c r="AR9" i="18"/>
  <c r="AX23" i="18"/>
  <c r="AS9" i="18"/>
  <c r="AY23" i="18"/>
  <c r="AT9" i="18"/>
  <c r="AZ23" i="18"/>
  <c r="AU9" i="18"/>
  <c r="BA23" i="18"/>
  <c r="AV9" i="18"/>
  <c r="BB23" i="18"/>
  <c r="AW9" i="18"/>
  <c r="BC23" i="18"/>
  <c r="AX9" i="18"/>
  <c r="BD23" i="18"/>
  <c r="AY9" i="18"/>
  <c r="BE23" i="18"/>
  <c r="AZ9" i="18"/>
  <c r="BF23" i="18"/>
  <c r="BA9" i="18"/>
  <c r="BG23" i="18"/>
  <c r="BB9" i="18"/>
  <c r="BH23" i="18"/>
  <c r="BC9" i="18"/>
  <c r="BI23" i="18"/>
  <c r="BD9" i="18"/>
  <c r="BJ23" i="18"/>
  <c r="BE9" i="18"/>
  <c r="BK23" i="18"/>
  <c r="BF9" i="18"/>
  <c r="BL23" i="18"/>
  <c r="BG9" i="18"/>
  <c r="BM23" i="18"/>
  <c r="BH9" i="18"/>
  <c r="BN23" i="18"/>
  <c r="AP23" i="18"/>
  <c r="AK10" i="18"/>
  <c r="AQ24" i="18"/>
  <c r="AL10" i="18"/>
  <c r="AR24" i="18"/>
  <c r="AM10" i="18"/>
  <c r="AS24" i="18"/>
  <c r="AN10" i="18"/>
  <c r="AT24" i="18"/>
  <c r="AO10" i="18"/>
  <c r="AU24" i="18"/>
  <c r="AP10" i="18"/>
  <c r="AV24" i="18"/>
  <c r="AQ10" i="18"/>
  <c r="AW24" i="18"/>
  <c r="AR10" i="18"/>
  <c r="AX24" i="18"/>
  <c r="AS10" i="18"/>
  <c r="AY24" i="18"/>
  <c r="AT10" i="18"/>
  <c r="AZ24" i="18"/>
  <c r="AU10" i="18"/>
  <c r="BA24" i="18"/>
  <c r="AV10" i="18"/>
  <c r="BB24" i="18"/>
  <c r="AW10" i="18"/>
  <c r="BC24" i="18"/>
  <c r="AX10" i="18"/>
  <c r="BD24" i="18"/>
  <c r="AY10" i="18"/>
  <c r="BE24" i="18"/>
  <c r="AZ10" i="18"/>
  <c r="BF24" i="18"/>
  <c r="BA10" i="18"/>
  <c r="BG24" i="18"/>
  <c r="BB10" i="18"/>
  <c r="BH24" i="18"/>
  <c r="BC10" i="18"/>
  <c r="BI24" i="18"/>
  <c r="BD10" i="18"/>
  <c r="BJ24" i="18"/>
  <c r="BE10" i="18"/>
  <c r="BK24" i="18"/>
  <c r="BF10" i="18"/>
  <c r="BL24" i="18"/>
  <c r="BG10" i="18"/>
  <c r="BM24" i="18"/>
  <c r="BH10" i="18"/>
  <c r="BN24" i="18"/>
  <c r="AP24" i="18"/>
  <c r="AK11" i="18"/>
  <c r="AQ25" i="18"/>
  <c r="AL11" i="18"/>
  <c r="AR25" i="18"/>
  <c r="AM11" i="18"/>
  <c r="AS25" i="18"/>
  <c r="AN11" i="18"/>
  <c r="AT25" i="18"/>
  <c r="AO11" i="18"/>
  <c r="AU25" i="18"/>
  <c r="AP11" i="18"/>
  <c r="AV25" i="18"/>
  <c r="AQ11" i="18"/>
  <c r="AW25" i="18"/>
  <c r="AR11" i="18"/>
  <c r="AX25" i="18"/>
  <c r="AS11" i="18"/>
  <c r="AY25" i="18"/>
  <c r="AT11" i="18"/>
  <c r="AZ25" i="18"/>
  <c r="AU11" i="18"/>
  <c r="BA25" i="18"/>
  <c r="AV11" i="18"/>
  <c r="BB25" i="18"/>
  <c r="AW11" i="18"/>
  <c r="BC25" i="18"/>
  <c r="AX11" i="18"/>
  <c r="BD25" i="18"/>
  <c r="AY11" i="18"/>
  <c r="BE25" i="18"/>
  <c r="AZ11" i="18"/>
  <c r="BF25" i="18"/>
  <c r="BA11" i="18"/>
  <c r="BG25" i="18"/>
  <c r="BB11" i="18"/>
  <c r="BH25" i="18"/>
  <c r="BC11" i="18"/>
  <c r="BI25" i="18"/>
  <c r="BD11" i="18"/>
  <c r="BJ25" i="18"/>
  <c r="BE11" i="18"/>
  <c r="BK25" i="18"/>
  <c r="BF11" i="18"/>
  <c r="BL25" i="18"/>
  <c r="BG11" i="18"/>
  <c r="BM25" i="18"/>
  <c r="BH11" i="18"/>
  <c r="BN25" i="18"/>
  <c r="AP25" i="18"/>
  <c r="AK12" i="18"/>
  <c r="AQ26" i="18"/>
  <c r="AL12" i="18"/>
  <c r="AR26" i="18"/>
  <c r="AM12" i="18"/>
  <c r="AS26" i="18"/>
  <c r="AN12" i="18"/>
  <c r="AT26" i="18"/>
  <c r="AO12" i="18"/>
  <c r="AU26" i="18"/>
  <c r="AP12" i="18"/>
  <c r="AV26" i="18"/>
  <c r="AQ12" i="18"/>
  <c r="AW26" i="18"/>
  <c r="AR12" i="18"/>
  <c r="AX26" i="18"/>
  <c r="AS12" i="18"/>
  <c r="AY26" i="18"/>
  <c r="AT12" i="18"/>
  <c r="AZ26" i="18"/>
  <c r="AU12" i="18"/>
  <c r="BA26" i="18"/>
  <c r="AV12" i="18"/>
  <c r="BB26" i="18"/>
  <c r="AW12" i="18"/>
  <c r="BC26" i="18"/>
  <c r="AX12" i="18"/>
  <c r="BD26" i="18"/>
  <c r="AY12" i="18"/>
  <c r="BE26" i="18"/>
  <c r="AZ12" i="18"/>
  <c r="BF26" i="18"/>
  <c r="BA12" i="18"/>
  <c r="BG26" i="18"/>
  <c r="BB12" i="18"/>
  <c r="BH26" i="18"/>
  <c r="BC12" i="18"/>
  <c r="BI26" i="18"/>
  <c r="BD12" i="18"/>
  <c r="BJ26" i="18"/>
  <c r="BE12" i="18"/>
  <c r="BK26" i="18"/>
  <c r="BF12" i="18"/>
  <c r="BL26" i="18"/>
  <c r="BG12" i="18"/>
  <c r="BM26" i="18"/>
  <c r="BH12" i="18"/>
  <c r="BN26" i="18"/>
  <c r="AP26" i="18"/>
  <c r="AK13" i="18"/>
  <c r="AQ27" i="18"/>
  <c r="AL13" i="18"/>
  <c r="AR27" i="18"/>
  <c r="AM13" i="18"/>
  <c r="AS27" i="18"/>
  <c r="AN13" i="18"/>
  <c r="AT27" i="18"/>
  <c r="AO13" i="18"/>
  <c r="AU27" i="18"/>
  <c r="AP13" i="18"/>
  <c r="AV27" i="18"/>
  <c r="AQ13" i="18"/>
  <c r="AW27" i="18"/>
  <c r="AR13" i="18"/>
  <c r="AX27" i="18"/>
  <c r="AS13" i="18"/>
  <c r="AY27" i="18"/>
  <c r="AT13" i="18"/>
  <c r="AZ27" i="18"/>
  <c r="AU13" i="18"/>
  <c r="BA27" i="18"/>
  <c r="AV13" i="18"/>
  <c r="BB27" i="18"/>
  <c r="AW13" i="18"/>
  <c r="BC27" i="18"/>
  <c r="AX13" i="18"/>
  <c r="BD27" i="18"/>
  <c r="AY13" i="18"/>
  <c r="BE27" i="18"/>
  <c r="AZ13" i="18"/>
  <c r="BF27" i="18"/>
  <c r="BA13" i="18"/>
  <c r="BG27" i="18"/>
  <c r="BB13" i="18"/>
  <c r="BH27" i="18"/>
  <c r="BC13" i="18"/>
  <c r="BI27" i="18"/>
  <c r="BD13" i="18"/>
  <c r="BJ27" i="18"/>
  <c r="BE13" i="18"/>
  <c r="BK27" i="18"/>
  <c r="BF13" i="18"/>
  <c r="BL27" i="18"/>
  <c r="BG13" i="18"/>
  <c r="BM27" i="18"/>
  <c r="BH13" i="18"/>
  <c r="BN27" i="18"/>
  <c r="AP27" i="18"/>
  <c r="AP28" i="18"/>
  <c r="AN16" i="18"/>
  <c r="AN17" i="18"/>
  <c r="AN18" i="18"/>
  <c r="AN19" i="18"/>
  <c r="AN20" i="18"/>
  <c r="AN21" i="18"/>
  <c r="AN22" i="18"/>
  <c r="AN23" i="18"/>
  <c r="AN24" i="18"/>
  <c r="AN25" i="18"/>
  <c r="AN26" i="18"/>
  <c r="AN27" i="18"/>
  <c r="AN28" i="18"/>
  <c r="AM16" i="18"/>
  <c r="AM17" i="18"/>
  <c r="AM18" i="18"/>
  <c r="AM19" i="18"/>
  <c r="AM21" i="18"/>
  <c r="AM22" i="18"/>
  <c r="AM23" i="18"/>
  <c r="AM24" i="18"/>
  <c r="AM25" i="18"/>
  <c r="AM26" i="18"/>
  <c r="AM27" i="18"/>
  <c r="AL16" i="18"/>
  <c r="AL17" i="18"/>
  <c r="AL18" i="18"/>
  <c r="AL19" i="18"/>
  <c r="AL21" i="18"/>
  <c r="AL22" i="18"/>
  <c r="AL23" i="18"/>
  <c r="AL24" i="18"/>
  <c r="AL25" i="18"/>
  <c r="AL26" i="18"/>
  <c r="AL27" i="18"/>
  <c r="AK16" i="18"/>
  <c r="AK17" i="18"/>
  <c r="AK18" i="18"/>
  <c r="AK19" i="18"/>
  <c r="AK21" i="18"/>
  <c r="AK22" i="18"/>
  <c r="AK23" i="18"/>
  <c r="AK24" i="18"/>
  <c r="AK25" i="18"/>
  <c r="AK26" i="18"/>
  <c r="AK27" i="18"/>
  <c r="Z2" i="18"/>
  <c r="AA2" i="18"/>
  <c r="AB2" i="18"/>
  <c r="AC2" i="18"/>
  <c r="AA16" i="18"/>
  <c r="Z3" i="18"/>
  <c r="AA3" i="18"/>
  <c r="AB3" i="18"/>
  <c r="AC3" i="18"/>
  <c r="AA17" i="18"/>
  <c r="Z4" i="18"/>
  <c r="AA4" i="18"/>
  <c r="AB4" i="18"/>
  <c r="AC4" i="18"/>
  <c r="AA18" i="18"/>
  <c r="Z5" i="18"/>
  <c r="AA5" i="18"/>
  <c r="AB5" i="18"/>
  <c r="AC5" i="18"/>
  <c r="AA19" i="18"/>
  <c r="Z6" i="18"/>
  <c r="AA6" i="18"/>
  <c r="AB6" i="18"/>
  <c r="AC6" i="18"/>
  <c r="AA20" i="18"/>
  <c r="Z7" i="18"/>
  <c r="AA7" i="18"/>
  <c r="AB7" i="18"/>
  <c r="AC7" i="18"/>
  <c r="AA21" i="18"/>
  <c r="Z8" i="18"/>
  <c r="AA8" i="18"/>
  <c r="AB8" i="18"/>
  <c r="AC8" i="18"/>
  <c r="AA22" i="18"/>
  <c r="Z9" i="18"/>
  <c r="AA9" i="18"/>
  <c r="AB9" i="18"/>
  <c r="AC9" i="18"/>
  <c r="AA23" i="18"/>
  <c r="Z10" i="18"/>
  <c r="AA10" i="18"/>
  <c r="AB10" i="18"/>
  <c r="AC10" i="18"/>
  <c r="AA24" i="18"/>
  <c r="Z11" i="18"/>
  <c r="AA11" i="18"/>
  <c r="AB11" i="18"/>
  <c r="AC11" i="18"/>
  <c r="AA25" i="18"/>
  <c r="Z12" i="18"/>
  <c r="AA12" i="18"/>
  <c r="AB12" i="18"/>
  <c r="AC12" i="18"/>
  <c r="AA26" i="18"/>
  <c r="Z13" i="18"/>
  <c r="AA13" i="18"/>
  <c r="AB13" i="18"/>
  <c r="AC13" i="18"/>
  <c r="AA27" i="18"/>
  <c r="AA28" i="18"/>
  <c r="Z16" i="18"/>
  <c r="Z17" i="18"/>
  <c r="Z18" i="18"/>
  <c r="Z19" i="18"/>
  <c r="Z20" i="18"/>
  <c r="Z21" i="18"/>
  <c r="Z22" i="18"/>
  <c r="Z23" i="18"/>
  <c r="Z24" i="18"/>
  <c r="Z25" i="18"/>
  <c r="Z26" i="18"/>
  <c r="Z27" i="18"/>
  <c r="Z28" i="18"/>
  <c r="S28" i="18"/>
  <c r="R28" i="18"/>
  <c r="Q28" i="18"/>
  <c r="P28" i="18"/>
  <c r="N28" i="18"/>
  <c r="M28" i="18"/>
  <c r="L28" i="18"/>
  <c r="K28" i="18"/>
  <c r="D27" i="18"/>
  <c r="G26" i="18"/>
  <c r="N25" i="18"/>
  <c r="M25" i="18"/>
  <c r="L25" i="18"/>
  <c r="K25" i="18"/>
  <c r="D25" i="18"/>
  <c r="H16" i="18"/>
  <c r="D23" i="18"/>
  <c r="G16" i="18"/>
  <c r="D21" i="18"/>
  <c r="M19" i="18"/>
  <c r="W16" i="18"/>
  <c r="V16" i="18"/>
  <c r="U16" i="18"/>
  <c r="E50" i="17"/>
  <c r="A50" i="17"/>
  <c r="E49" i="17"/>
  <c r="A49" i="17"/>
  <c r="E48" i="17"/>
  <c r="A48" i="17"/>
  <c r="E47" i="17"/>
  <c r="A47" i="17"/>
  <c r="E46" i="17"/>
  <c r="A46" i="17"/>
  <c r="E45" i="17"/>
  <c r="A45" i="17"/>
  <c r="E44" i="17"/>
  <c r="A44" i="17"/>
  <c r="E43" i="17"/>
  <c r="A43" i="17"/>
  <c r="X15" i="17"/>
  <c r="E42" i="17"/>
  <c r="A42" i="17"/>
  <c r="E41" i="17"/>
  <c r="A41" i="17"/>
  <c r="E40" i="17"/>
  <c r="A40" i="17"/>
  <c r="X12" i="17"/>
  <c r="E39" i="17"/>
  <c r="AE16" i="17"/>
  <c r="A39" i="17"/>
  <c r="X11" i="17"/>
  <c r="X9" i="17"/>
  <c r="X4" i="17"/>
  <c r="X5" i="17"/>
  <c r="X6" i="17"/>
  <c r="AE2" i="17"/>
  <c r="AF2" i="17"/>
  <c r="AG2" i="17"/>
  <c r="AH2" i="17"/>
  <c r="AI2" i="17"/>
  <c r="AG16" i="17"/>
  <c r="AE3" i="17"/>
  <c r="AF3" i="17"/>
  <c r="AG3" i="17"/>
  <c r="AH3" i="17"/>
  <c r="AI3" i="17"/>
  <c r="AG17" i="17"/>
  <c r="AE4" i="17"/>
  <c r="AF4" i="17"/>
  <c r="AG4" i="17"/>
  <c r="AH4" i="17"/>
  <c r="AI4" i="17"/>
  <c r="AG18" i="17"/>
  <c r="AE9" i="17"/>
  <c r="AF9" i="17"/>
  <c r="AG9" i="17"/>
  <c r="AH9" i="17"/>
  <c r="AI9" i="17"/>
  <c r="AG23" i="17"/>
  <c r="AE10" i="17"/>
  <c r="AF10" i="17"/>
  <c r="AG10" i="17"/>
  <c r="AH10" i="17"/>
  <c r="AI10" i="17"/>
  <c r="AG24" i="17"/>
  <c r="AE11" i="17"/>
  <c r="AF11" i="17"/>
  <c r="AG11" i="17"/>
  <c r="AH11" i="17"/>
  <c r="AI11" i="17"/>
  <c r="AG25" i="17"/>
  <c r="AE12" i="17"/>
  <c r="AF12" i="17"/>
  <c r="AG12" i="17"/>
  <c r="AH12" i="17"/>
  <c r="AI12" i="17"/>
  <c r="AG26" i="17"/>
  <c r="AE13" i="17"/>
  <c r="AF13" i="17"/>
  <c r="AG13" i="17"/>
  <c r="AH13" i="17"/>
  <c r="AI13" i="17"/>
  <c r="AG27" i="17"/>
  <c r="AF16" i="17"/>
  <c r="AF17" i="17"/>
  <c r="AF18" i="17"/>
  <c r="AF23" i="17"/>
  <c r="AF24" i="17"/>
  <c r="AF25" i="17"/>
  <c r="AF26" i="17"/>
  <c r="AF27" i="17"/>
  <c r="J29" i="17"/>
  <c r="I29" i="17"/>
  <c r="H29" i="17"/>
  <c r="G29" i="17"/>
  <c r="AK2" i="17"/>
  <c r="AQ16" i="17"/>
  <c r="AL2" i="17"/>
  <c r="AR16" i="17"/>
  <c r="AM2" i="17"/>
  <c r="AS16" i="17"/>
  <c r="AN2" i="17"/>
  <c r="AT16" i="17"/>
  <c r="AO2" i="17"/>
  <c r="AU16" i="17"/>
  <c r="AP2" i="17"/>
  <c r="AV16" i="17"/>
  <c r="AQ2" i="17"/>
  <c r="AW16" i="17"/>
  <c r="AR2" i="17"/>
  <c r="AX16" i="17"/>
  <c r="AS2" i="17"/>
  <c r="AY16" i="17"/>
  <c r="AT2" i="17"/>
  <c r="AZ16" i="17"/>
  <c r="AU2" i="17"/>
  <c r="BA16" i="17"/>
  <c r="AV2" i="17"/>
  <c r="BB16" i="17"/>
  <c r="AW2" i="17"/>
  <c r="BC16" i="17"/>
  <c r="AX2" i="17"/>
  <c r="BD16" i="17"/>
  <c r="AY2" i="17"/>
  <c r="BE16" i="17"/>
  <c r="AZ2" i="17"/>
  <c r="BF16" i="17"/>
  <c r="BA2" i="17"/>
  <c r="BG16" i="17"/>
  <c r="BB2" i="17"/>
  <c r="BH16" i="17"/>
  <c r="BC2" i="17"/>
  <c r="BI16" i="17"/>
  <c r="BD2" i="17"/>
  <c r="BJ16" i="17"/>
  <c r="BE2" i="17"/>
  <c r="BK16" i="17"/>
  <c r="BF2" i="17"/>
  <c r="BL16" i="17"/>
  <c r="BG2" i="17"/>
  <c r="BM16" i="17"/>
  <c r="BH2" i="17"/>
  <c r="BN16" i="17"/>
  <c r="AP16" i="17"/>
  <c r="AK3" i="17"/>
  <c r="AQ17" i="17"/>
  <c r="AL3" i="17"/>
  <c r="AR17" i="17"/>
  <c r="AM3" i="17"/>
  <c r="AS17" i="17"/>
  <c r="AN3" i="17"/>
  <c r="AT17" i="17"/>
  <c r="AO3" i="17"/>
  <c r="AU17" i="17"/>
  <c r="AP3" i="17"/>
  <c r="AV17" i="17"/>
  <c r="AQ3" i="17"/>
  <c r="AW17" i="17"/>
  <c r="AR3" i="17"/>
  <c r="AX17" i="17"/>
  <c r="AS3" i="17"/>
  <c r="AY17" i="17"/>
  <c r="AT3" i="17"/>
  <c r="AZ17" i="17"/>
  <c r="AU3" i="17"/>
  <c r="BA17" i="17"/>
  <c r="AV3" i="17"/>
  <c r="BB17" i="17"/>
  <c r="AW3" i="17"/>
  <c r="BC17" i="17"/>
  <c r="AX3" i="17"/>
  <c r="BD17" i="17"/>
  <c r="AY3" i="17"/>
  <c r="BE17" i="17"/>
  <c r="AZ3" i="17"/>
  <c r="BF17" i="17"/>
  <c r="BA3" i="17"/>
  <c r="BG17" i="17"/>
  <c r="BB3" i="17"/>
  <c r="BH17" i="17"/>
  <c r="BC3" i="17"/>
  <c r="BI17" i="17"/>
  <c r="BD3" i="17"/>
  <c r="BJ17" i="17"/>
  <c r="BE3" i="17"/>
  <c r="BK17" i="17"/>
  <c r="BF3" i="17"/>
  <c r="BL17" i="17"/>
  <c r="BG3" i="17"/>
  <c r="BM17" i="17"/>
  <c r="BH3" i="17"/>
  <c r="BN17" i="17"/>
  <c r="AP17" i="17"/>
  <c r="AK4" i="17"/>
  <c r="AQ18" i="17"/>
  <c r="AL4" i="17"/>
  <c r="AR18" i="17"/>
  <c r="AM4" i="17"/>
  <c r="AS18" i="17"/>
  <c r="AN4" i="17"/>
  <c r="AT18" i="17"/>
  <c r="AO4" i="17"/>
  <c r="AU18" i="17"/>
  <c r="AP4" i="17"/>
  <c r="AV18" i="17"/>
  <c r="AQ4" i="17"/>
  <c r="AW18" i="17"/>
  <c r="AR4" i="17"/>
  <c r="AX18" i="17"/>
  <c r="AS4" i="17"/>
  <c r="AY18" i="17"/>
  <c r="AT4" i="17"/>
  <c r="AZ18" i="17"/>
  <c r="AU4" i="17"/>
  <c r="BA18" i="17"/>
  <c r="AV4" i="17"/>
  <c r="BB18" i="17"/>
  <c r="AW4" i="17"/>
  <c r="BC18" i="17"/>
  <c r="AX4" i="17"/>
  <c r="BD18" i="17"/>
  <c r="AY4" i="17"/>
  <c r="BE18" i="17"/>
  <c r="AZ4" i="17"/>
  <c r="BF18" i="17"/>
  <c r="BA4" i="17"/>
  <c r="BG18" i="17"/>
  <c r="BB4" i="17"/>
  <c r="BH18" i="17"/>
  <c r="BC4" i="17"/>
  <c r="BI18" i="17"/>
  <c r="BD4" i="17"/>
  <c r="BJ18" i="17"/>
  <c r="BE4" i="17"/>
  <c r="BK18" i="17"/>
  <c r="BF4" i="17"/>
  <c r="BL18" i="17"/>
  <c r="BG4" i="17"/>
  <c r="BM18" i="17"/>
  <c r="BH4" i="17"/>
  <c r="BN18" i="17"/>
  <c r="AP18" i="17"/>
  <c r="AK5" i="17"/>
  <c r="AQ19" i="17"/>
  <c r="AL5" i="17"/>
  <c r="AR19" i="17"/>
  <c r="AM5" i="17"/>
  <c r="AS19" i="17"/>
  <c r="AN5" i="17"/>
  <c r="AT19" i="17"/>
  <c r="AO5" i="17"/>
  <c r="AU19" i="17"/>
  <c r="AP5" i="17"/>
  <c r="AV19" i="17"/>
  <c r="AQ5" i="17"/>
  <c r="AW19" i="17"/>
  <c r="AR5" i="17"/>
  <c r="AX19" i="17"/>
  <c r="AS5" i="17"/>
  <c r="AY19" i="17"/>
  <c r="AT5" i="17"/>
  <c r="AZ19" i="17"/>
  <c r="AU5" i="17"/>
  <c r="BA19" i="17"/>
  <c r="AV5" i="17"/>
  <c r="BB19" i="17"/>
  <c r="AW5" i="17"/>
  <c r="BC19" i="17"/>
  <c r="AX5" i="17"/>
  <c r="BD19" i="17"/>
  <c r="AY5" i="17"/>
  <c r="BE19" i="17"/>
  <c r="AZ5" i="17"/>
  <c r="BF19" i="17"/>
  <c r="BA5" i="17"/>
  <c r="BG19" i="17"/>
  <c r="BB5" i="17"/>
  <c r="BH19" i="17"/>
  <c r="BC5" i="17"/>
  <c r="BI19" i="17"/>
  <c r="BD5" i="17"/>
  <c r="BJ19" i="17"/>
  <c r="BE5" i="17"/>
  <c r="BK19" i="17"/>
  <c r="BF5" i="17"/>
  <c r="BL19" i="17"/>
  <c r="BG5" i="17"/>
  <c r="BM19" i="17"/>
  <c r="BH5" i="17"/>
  <c r="BN19" i="17"/>
  <c r="AP19" i="17"/>
  <c r="AK6" i="17"/>
  <c r="AQ20" i="17"/>
  <c r="AL6" i="17"/>
  <c r="AR20" i="17"/>
  <c r="AM6" i="17"/>
  <c r="AS20" i="17"/>
  <c r="AN6" i="17"/>
  <c r="AT20" i="17"/>
  <c r="AO6" i="17"/>
  <c r="AU20" i="17"/>
  <c r="AP6" i="17"/>
  <c r="AV20" i="17"/>
  <c r="AQ6" i="17"/>
  <c r="AW20" i="17"/>
  <c r="AR6" i="17"/>
  <c r="AX20" i="17"/>
  <c r="AS6" i="17"/>
  <c r="AY20" i="17"/>
  <c r="AT6" i="17"/>
  <c r="AZ20" i="17"/>
  <c r="AU6" i="17"/>
  <c r="BA20" i="17"/>
  <c r="AV6" i="17"/>
  <c r="BB20" i="17"/>
  <c r="AW6" i="17"/>
  <c r="BC20" i="17"/>
  <c r="AX6" i="17"/>
  <c r="BD20" i="17"/>
  <c r="AY6" i="17"/>
  <c r="BE20" i="17"/>
  <c r="AZ6" i="17"/>
  <c r="BF20" i="17"/>
  <c r="BA6" i="17"/>
  <c r="BG20" i="17"/>
  <c r="BB6" i="17"/>
  <c r="BH20" i="17"/>
  <c r="BC6" i="17"/>
  <c r="BI20" i="17"/>
  <c r="BD6" i="17"/>
  <c r="BJ20" i="17"/>
  <c r="BE6" i="17"/>
  <c r="BK20" i="17"/>
  <c r="BF6" i="17"/>
  <c r="BL20" i="17"/>
  <c r="BG6" i="17"/>
  <c r="BM20" i="17"/>
  <c r="BH6" i="17"/>
  <c r="BN20" i="17"/>
  <c r="AP20" i="17"/>
  <c r="AK7" i="17"/>
  <c r="AQ21" i="17"/>
  <c r="AL7" i="17"/>
  <c r="AR21" i="17"/>
  <c r="AM7" i="17"/>
  <c r="AS21" i="17"/>
  <c r="AN7" i="17"/>
  <c r="AT21" i="17"/>
  <c r="AO7" i="17"/>
  <c r="AU21" i="17"/>
  <c r="AP7" i="17"/>
  <c r="AV21" i="17"/>
  <c r="AQ7" i="17"/>
  <c r="AW21" i="17"/>
  <c r="AR7" i="17"/>
  <c r="AX21" i="17"/>
  <c r="AS7" i="17"/>
  <c r="AY21" i="17"/>
  <c r="AT7" i="17"/>
  <c r="AZ21" i="17"/>
  <c r="AU7" i="17"/>
  <c r="BA21" i="17"/>
  <c r="AV7" i="17"/>
  <c r="BB21" i="17"/>
  <c r="AW7" i="17"/>
  <c r="BC21" i="17"/>
  <c r="AX7" i="17"/>
  <c r="BD21" i="17"/>
  <c r="AY7" i="17"/>
  <c r="BE21" i="17"/>
  <c r="AZ7" i="17"/>
  <c r="BF21" i="17"/>
  <c r="BA7" i="17"/>
  <c r="BG21" i="17"/>
  <c r="BB7" i="17"/>
  <c r="BH21" i="17"/>
  <c r="BC7" i="17"/>
  <c r="BI21" i="17"/>
  <c r="BD7" i="17"/>
  <c r="BJ21" i="17"/>
  <c r="BE7" i="17"/>
  <c r="BK21" i="17"/>
  <c r="BF7" i="17"/>
  <c r="BL21" i="17"/>
  <c r="BG7" i="17"/>
  <c r="BM21" i="17"/>
  <c r="BH7" i="17"/>
  <c r="BN21" i="17"/>
  <c r="AP21" i="17"/>
  <c r="AK8" i="17"/>
  <c r="AQ22" i="17"/>
  <c r="AL8" i="17"/>
  <c r="AR22" i="17"/>
  <c r="AM8" i="17"/>
  <c r="AS22" i="17"/>
  <c r="AN8" i="17"/>
  <c r="AT22" i="17"/>
  <c r="AO8" i="17"/>
  <c r="AU22" i="17"/>
  <c r="AP8" i="17"/>
  <c r="AV22" i="17"/>
  <c r="AQ8" i="17"/>
  <c r="AW22" i="17"/>
  <c r="AR8" i="17"/>
  <c r="AX22" i="17"/>
  <c r="AS8" i="17"/>
  <c r="AY22" i="17"/>
  <c r="AT8" i="17"/>
  <c r="AZ22" i="17"/>
  <c r="AU8" i="17"/>
  <c r="BA22" i="17"/>
  <c r="AV8" i="17"/>
  <c r="BB22" i="17"/>
  <c r="AW8" i="17"/>
  <c r="BC22" i="17"/>
  <c r="AX8" i="17"/>
  <c r="BD22" i="17"/>
  <c r="AY8" i="17"/>
  <c r="BE22" i="17"/>
  <c r="AZ8" i="17"/>
  <c r="BF22" i="17"/>
  <c r="BA8" i="17"/>
  <c r="BG22" i="17"/>
  <c r="BB8" i="17"/>
  <c r="BH22" i="17"/>
  <c r="BC8" i="17"/>
  <c r="BI22" i="17"/>
  <c r="BD8" i="17"/>
  <c r="BJ22" i="17"/>
  <c r="BE8" i="17"/>
  <c r="BK22" i="17"/>
  <c r="BF8" i="17"/>
  <c r="BL22" i="17"/>
  <c r="BG8" i="17"/>
  <c r="BM22" i="17"/>
  <c r="BH8" i="17"/>
  <c r="BN22" i="17"/>
  <c r="AP22" i="17"/>
  <c r="AK9" i="17"/>
  <c r="AQ23" i="17"/>
  <c r="AL9" i="17"/>
  <c r="AR23" i="17"/>
  <c r="AM9" i="17"/>
  <c r="AS23" i="17"/>
  <c r="AN9" i="17"/>
  <c r="AT23" i="17"/>
  <c r="AO9" i="17"/>
  <c r="AU23" i="17"/>
  <c r="AP9" i="17"/>
  <c r="AV23" i="17"/>
  <c r="AQ9" i="17"/>
  <c r="AW23" i="17"/>
  <c r="AR9" i="17"/>
  <c r="AX23" i="17"/>
  <c r="AS9" i="17"/>
  <c r="AY23" i="17"/>
  <c r="AT9" i="17"/>
  <c r="AZ23" i="17"/>
  <c r="AU9" i="17"/>
  <c r="BA23" i="17"/>
  <c r="AV9" i="17"/>
  <c r="BB23" i="17"/>
  <c r="AW9" i="17"/>
  <c r="BC23" i="17"/>
  <c r="AX9" i="17"/>
  <c r="BD23" i="17"/>
  <c r="AY9" i="17"/>
  <c r="BE23" i="17"/>
  <c r="AZ9" i="17"/>
  <c r="BF23" i="17"/>
  <c r="BA9" i="17"/>
  <c r="BG23" i="17"/>
  <c r="BB9" i="17"/>
  <c r="BH23" i="17"/>
  <c r="BC9" i="17"/>
  <c r="BI23" i="17"/>
  <c r="BD9" i="17"/>
  <c r="BJ23" i="17"/>
  <c r="BE9" i="17"/>
  <c r="BK23" i="17"/>
  <c r="BF9" i="17"/>
  <c r="BL23" i="17"/>
  <c r="BG9" i="17"/>
  <c r="BM23" i="17"/>
  <c r="BH9" i="17"/>
  <c r="BN23" i="17"/>
  <c r="AP23" i="17"/>
  <c r="AK10" i="17"/>
  <c r="AQ24" i="17"/>
  <c r="AL10" i="17"/>
  <c r="AR24" i="17"/>
  <c r="AM10" i="17"/>
  <c r="AS24" i="17"/>
  <c r="AN10" i="17"/>
  <c r="AT24" i="17"/>
  <c r="AO10" i="17"/>
  <c r="AU24" i="17"/>
  <c r="AP10" i="17"/>
  <c r="AV24" i="17"/>
  <c r="AQ10" i="17"/>
  <c r="AW24" i="17"/>
  <c r="AR10" i="17"/>
  <c r="AX24" i="17"/>
  <c r="AS10" i="17"/>
  <c r="AY24" i="17"/>
  <c r="AT10" i="17"/>
  <c r="AZ24" i="17"/>
  <c r="AU10" i="17"/>
  <c r="BA24" i="17"/>
  <c r="AV10" i="17"/>
  <c r="BB24" i="17"/>
  <c r="AW10" i="17"/>
  <c r="BC24" i="17"/>
  <c r="AX10" i="17"/>
  <c r="BD24" i="17"/>
  <c r="AY10" i="17"/>
  <c r="BE24" i="17"/>
  <c r="AZ10" i="17"/>
  <c r="BF24" i="17"/>
  <c r="BA10" i="17"/>
  <c r="BG24" i="17"/>
  <c r="BB10" i="17"/>
  <c r="BH24" i="17"/>
  <c r="BC10" i="17"/>
  <c r="BI24" i="17"/>
  <c r="BD10" i="17"/>
  <c r="BJ24" i="17"/>
  <c r="BE10" i="17"/>
  <c r="BK24" i="17"/>
  <c r="BF10" i="17"/>
  <c r="BL24" i="17"/>
  <c r="BG10" i="17"/>
  <c r="BM24" i="17"/>
  <c r="BH10" i="17"/>
  <c r="BN24" i="17"/>
  <c r="AP24" i="17"/>
  <c r="AK11" i="17"/>
  <c r="AQ25" i="17"/>
  <c r="AL11" i="17"/>
  <c r="AR25" i="17"/>
  <c r="AM11" i="17"/>
  <c r="AS25" i="17"/>
  <c r="AN11" i="17"/>
  <c r="AT25" i="17"/>
  <c r="AO11" i="17"/>
  <c r="AU25" i="17"/>
  <c r="AP11" i="17"/>
  <c r="AV25" i="17"/>
  <c r="AQ11" i="17"/>
  <c r="AW25" i="17"/>
  <c r="AR11" i="17"/>
  <c r="AX25" i="17"/>
  <c r="AS11" i="17"/>
  <c r="AY25" i="17"/>
  <c r="AT11" i="17"/>
  <c r="AZ25" i="17"/>
  <c r="AU11" i="17"/>
  <c r="BA25" i="17"/>
  <c r="AV11" i="17"/>
  <c r="BB25" i="17"/>
  <c r="AW11" i="17"/>
  <c r="BC25" i="17"/>
  <c r="AX11" i="17"/>
  <c r="BD25" i="17"/>
  <c r="AY11" i="17"/>
  <c r="BE25" i="17"/>
  <c r="AZ11" i="17"/>
  <c r="BF25" i="17"/>
  <c r="BA11" i="17"/>
  <c r="BG25" i="17"/>
  <c r="BB11" i="17"/>
  <c r="BH25" i="17"/>
  <c r="BC11" i="17"/>
  <c r="BI25" i="17"/>
  <c r="BD11" i="17"/>
  <c r="BJ25" i="17"/>
  <c r="BE11" i="17"/>
  <c r="BK25" i="17"/>
  <c r="BF11" i="17"/>
  <c r="BL25" i="17"/>
  <c r="BG11" i="17"/>
  <c r="BM25" i="17"/>
  <c r="BH11" i="17"/>
  <c r="BN25" i="17"/>
  <c r="AP25" i="17"/>
  <c r="AK12" i="17"/>
  <c r="AQ26" i="17"/>
  <c r="AL12" i="17"/>
  <c r="AR26" i="17"/>
  <c r="AM12" i="17"/>
  <c r="AS26" i="17"/>
  <c r="AN12" i="17"/>
  <c r="AT26" i="17"/>
  <c r="AO12" i="17"/>
  <c r="AU26" i="17"/>
  <c r="AP12" i="17"/>
  <c r="AV26" i="17"/>
  <c r="AQ12" i="17"/>
  <c r="AW26" i="17"/>
  <c r="AR12" i="17"/>
  <c r="AX26" i="17"/>
  <c r="AS12" i="17"/>
  <c r="AY26" i="17"/>
  <c r="AT12" i="17"/>
  <c r="AZ26" i="17"/>
  <c r="AU12" i="17"/>
  <c r="BA26" i="17"/>
  <c r="AV12" i="17"/>
  <c r="BB26" i="17"/>
  <c r="AW12" i="17"/>
  <c r="BC26" i="17"/>
  <c r="AX12" i="17"/>
  <c r="BD26" i="17"/>
  <c r="AY12" i="17"/>
  <c r="BE26" i="17"/>
  <c r="AZ12" i="17"/>
  <c r="BF26" i="17"/>
  <c r="BA12" i="17"/>
  <c r="BG26" i="17"/>
  <c r="BB12" i="17"/>
  <c r="BH26" i="17"/>
  <c r="BC12" i="17"/>
  <c r="BI26" i="17"/>
  <c r="BD12" i="17"/>
  <c r="BJ26" i="17"/>
  <c r="BE12" i="17"/>
  <c r="BK26" i="17"/>
  <c r="BF12" i="17"/>
  <c r="BL26" i="17"/>
  <c r="BG12" i="17"/>
  <c r="BM26" i="17"/>
  <c r="BH12" i="17"/>
  <c r="BN26" i="17"/>
  <c r="AP26" i="17"/>
  <c r="AK13" i="17"/>
  <c r="AQ27" i="17"/>
  <c r="AL13" i="17"/>
  <c r="AR27" i="17"/>
  <c r="AM13" i="17"/>
  <c r="AS27" i="17"/>
  <c r="AN13" i="17"/>
  <c r="AT27" i="17"/>
  <c r="AO13" i="17"/>
  <c r="AU27" i="17"/>
  <c r="AP13" i="17"/>
  <c r="AV27" i="17"/>
  <c r="AQ13" i="17"/>
  <c r="AW27" i="17"/>
  <c r="AR13" i="17"/>
  <c r="AX27" i="17"/>
  <c r="AS13" i="17"/>
  <c r="AY27" i="17"/>
  <c r="AT13" i="17"/>
  <c r="AZ27" i="17"/>
  <c r="AU13" i="17"/>
  <c r="BA27" i="17"/>
  <c r="AV13" i="17"/>
  <c r="BB27" i="17"/>
  <c r="AW13" i="17"/>
  <c r="BC27" i="17"/>
  <c r="AX13" i="17"/>
  <c r="BD27" i="17"/>
  <c r="AY13" i="17"/>
  <c r="BE27" i="17"/>
  <c r="AZ13" i="17"/>
  <c r="BF27" i="17"/>
  <c r="BA13" i="17"/>
  <c r="BG27" i="17"/>
  <c r="BB13" i="17"/>
  <c r="BH27" i="17"/>
  <c r="BC13" i="17"/>
  <c r="BI27" i="17"/>
  <c r="BD13" i="17"/>
  <c r="BJ27" i="17"/>
  <c r="BE13" i="17"/>
  <c r="BK27" i="17"/>
  <c r="BF13" i="17"/>
  <c r="BL27" i="17"/>
  <c r="BG13" i="17"/>
  <c r="BM27" i="17"/>
  <c r="BH13" i="17"/>
  <c r="BN27" i="17"/>
  <c r="AP27" i="17"/>
  <c r="AP28" i="17"/>
  <c r="AN16" i="17"/>
  <c r="AN17" i="17"/>
  <c r="AN18" i="17"/>
  <c r="AN19" i="17"/>
  <c r="AN20" i="17"/>
  <c r="AN21" i="17"/>
  <c r="AN22" i="17"/>
  <c r="AN23" i="17"/>
  <c r="AN24" i="17"/>
  <c r="AN25" i="17"/>
  <c r="AN26" i="17"/>
  <c r="AN27" i="17"/>
  <c r="AN28" i="17"/>
  <c r="AM16" i="17"/>
  <c r="AM17" i="17"/>
  <c r="AM18" i="17"/>
  <c r="AM20" i="17"/>
  <c r="AM21" i="17"/>
  <c r="AM22" i="17"/>
  <c r="AM23" i="17"/>
  <c r="AM24" i="17"/>
  <c r="AM25" i="17"/>
  <c r="AM26" i="17"/>
  <c r="AM27" i="17"/>
  <c r="AL16" i="17"/>
  <c r="AL17" i="17"/>
  <c r="AL18" i="17"/>
  <c r="AL20" i="17"/>
  <c r="AL21" i="17"/>
  <c r="AL22" i="17"/>
  <c r="AL23" i="17"/>
  <c r="AL24" i="17"/>
  <c r="AL25" i="17"/>
  <c r="AL26" i="17"/>
  <c r="AL27" i="17"/>
  <c r="AK16" i="17"/>
  <c r="AK17" i="17"/>
  <c r="AK18" i="17"/>
  <c r="AK20" i="17"/>
  <c r="AK21" i="17"/>
  <c r="AK22" i="17"/>
  <c r="AK23" i="17"/>
  <c r="AK24" i="17"/>
  <c r="AK25" i="17"/>
  <c r="AK26" i="17"/>
  <c r="AK27" i="17"/>
  <c r="Z2" i="17"/>
  <c r="AA2" i="17"/>
  <c r="AB2" i="17"/>
  <c r="AC2" i="17"/>
  <c r="AA16" i="17"/>
  <c r="Z3" i="17"/>
  <c r="AA3" i="17"/>
  <c r="AB3" i="17"/>
  <c r="AC3" i="17"/>
  <c r="AA17" i="17"/>
  <c r="Z4" i="17"/>
  <c r="AA4" i="17"/>
  <c r="AB4" i="17"/>
  <c r="AC4" i="17"/>
  <c r="AA18" i="17"/>
  <c r="Z5" i="17"/>
  <c r="AA5" i="17"/>
  <c r="AB5" i="17"/>
  <c r="AC5" i="17"/>
  <c r="AA19" i="17"/>
  <c r="Z6" i="17"/>
  <c r="AA6" i="17"/>
  <c r="AB6" i="17"/>
  <c r="AC6" i="17"/>
  <c r="AA20" i="17"/>
  <c r="Z7" i="17"/>
  <c r="AA7" i="17"/>
  <c r="AB7" i="17"/>
  <c r="AC7" i="17"/>
  <c r="AA21" i="17"/>
  <c r="Z8" i="17"/>
  <c r="AA8" i="17"/>
  <c r="AB8" i="17"/>
  <c r="AC8" i="17"/>
  <c r="AA22" i="17"/>
  <c r="Z9" i="17"/>
  <c r="AA9" i="17"/>
  <c r="AB9" i="17"/>
  <c r="AC9" i="17"/>
  <c r="AA23" i="17"/>
  <c r="Z10" i="17"/>
  <c r="AA10" i="17"/>
  <c r="AB10" i="17"/>
  <c r="AC10" i="17"/>
  <c r="AA24" i="17"/>
  <c r="Z11" i="17"/>
  <c r="AA11" i="17"/>
  <c r="AB11" i="17"/>
  <c r="AC11" i="17"/>
  <c r="AA25" i="17"/>
  <c r="Z12" i="17"/>
  <c r="AA12" i="17"/>
  <c r="AB12" i="17"/>
  <c r="AC12" i="17"/>
  <c r="AA26" i="17"/>
  <c r="Z13" i="17"/>
  <c r="AA13" i="17"/>
  <c r="AB13" i="17"/>
  <c r="AC13" i="17"/>
  <c r="AA27" i="17"/>
  <c r="AA28" i="17"/>
  <c r="Z16" i="17"/>
  <c r="Z17" i="17"/>
  <c r="Z18" i="17"/>
  <c r="Z19" i="17"/>
  <c r="Z20" i="17"/>
  <c r="Z21" i="17"/>
  <c r="Z22" i="17"/>
  <c r="Z23" i="17"/>
  <c r="Z24" i="17"/>
  <c r="Z25" i="17"/>
  <c r="Z26" i="17"/>
  <c r="Z27" i="17"/>
  <c r="Z28" i="17"/>
  <c r="S28" i="17"/>
  <c r="R28" i="17"/>
  <c r="Q28" i="17"/>
  <c r="P28" i="17"/>
  <c r="N28" i="17"/>
  <c r="M28" i="17"/>
  <c r="L28" i="17"/>
  <c r="K28" i="17"/>
  <c r="D27" i="17"/>
  <c r="G26" i="17"/>
  <c r="N25" i="17"/>
  <c r="M25" i="17"/>
  <c r="L25" i="17"/>
  <c r="K25" i="17"/>
  <c r="D25" i="17"/>
  <c r="H16" i="17"/>
  <c r="D23" i="17"/>
  <c r="G16" i="17"/>
  <c r="D21" i="17"/>
  <c r="M19" i="17"/>
  <c r="W16" i="17"/>
  <c r="V16" i="17"/>
  <c r="U16" i="17"/>
  <c r="E50" i="16"/>
  <c r="A50" i="16"/>
  <c r="E49" i="16"/>
  <c r="A49" i="16"/>
  <c r="E48" i="16"/>
  <c r="A48" i="16"/>
  <c r="E47" i="16"/>
  <c r="A47" i="16"/>
  <c r="E46" i="16"/>
  <c r="A46" i="16"/>
  <c r="E45" i="16"/>
  <c r="A45" i="16"/>
  <c r="E44" i="16"/>
  <c r="A44" i="16"/>
  <c r="E43" i="16"/>
  <c r="A43" i="16"/>
  <c r="X15" i="16"/>
  <c r="E42" i="16"/>
  <c r="A42" i="16"/>
  <c r="X14" i="16"/>
  <c r="E41" i="16"/>
  <c r="AE18" i="16"/>
  <c r="A41" i="16"/>
  <c r="X13" i="16"/>
  <c r="E40" i="16"/>
  <c r="AE17" i="16"/>
  <c r="A40" i="16"/>
  <c r="X12" i="16"/>
  <c r="E39" i="16"/>
  <c r="AE16" i="16"/>
  <c r="A39" i="16"/>
  <c r="X11" i="16"/>
  <c r="X10" i="16"/>
  <c r="X9" i="16"/>
  <c r="R16" i="16"/>
  <c r="Q16" i="16"/>
  <c r="X8" i="16"/>
  <c r="X7" i="16"/>
  <c r="X4" i="16"/>
  <c r="X5" i="16"/>
  <c r="X6" i="16"/>
  <c r="AE2" i="16"/>
  <c r="AF2" i="16"/>
  <c r="AG2" i="16"/>
  <c r="AH2" i="16"/>
  <c r="AI2" i="16"/>
  <c r="AG16" i="16"/>
  <c r="AE3" i="16"/>
  <c r="AF3" i="16"/>
  <c r="AG3" i="16"/>
  <c r="AH3" i="16"/>
  <c r="AI3" i="16"/>
  <c r="AG17" i="16"/>
  <c r="AE4" i="16"/>
  <c r="AF4" i="16"/>
  <c r="AG4" i="16"/>
  <c r="AH4" i="16"/>
  <c r="AI4" i="16"/>
  <c r="AG18" i="16"/>
  <c r="AE5" i="16"/>
  <c r="AF5" i="16"/>
  <c r="AG5" i="16"/>
  <c r="AH5" i="16"/>
  <c r="AI5" i="16"/>
  <c r="AG19" i="16"/>
  <c r="AE6" i="16"/>
  <c r="AF6" i="16"/>
  <c r="AG6" i="16"/>
  <c r="AH6" i="16"/>
  <c r="AI6" i="16"/>
  <c r="AG20" i="16"/>
  <c r="AE7" i="16"/>
  <c r="AF7" i="16"/>
  <c r="AG7" i="16"/>
  <c r="AH7" i="16"/>
  <c r="AI7" i="16"/>
  <c r="AG21" i="16"/>
  <c r="AE8" i="16"/>
  <c r="AF8" i="16"/>
  <c r="AG8" i="16"/>
  <c r="AH8" i="16"/>
  <c r="AI8" i="16"/>
  <c r="AG22" i="16"/>
  <c r="AE9" i="16"/>
  <c r="AF9" i="16"/>
  <c r="AG9" i="16"/>
  <c r="AH9" i="16"/>
  <c r="AI9" i="16"/>
  <c r="AG23" i="16"/>
  <c r="AE10" i="16"/>
  <c r="AF10" i="16"/>
  <c r="AG10" i="16"/>
  <c r="AH10" i="16"/>
  <c r="AI10" i="16"/>
  <c r="AG24" i="16"/>
  <c r="AE11" i="16"/>
  <c r="AF11" i="16"/>
  <c r="AG11" i="16"/>
  <c r="AH11" i="16"/>
  <c r="AI11" i="16"/>
  <c r="AG25" i="16"/>
  <c r="AE12" i="16"/>
  <c r="AF12" i="16"/>
  <c r="AG12" i="16"/>
  <c r="AH12" i="16"/>
  <c r="AI12" i="16"/>
  <c r="AG26" i="16"/>
  <c r="AE13" i="16"/>
  <c r="AF13" i="16"/>
  <c r="AG13" i="16"/>
  <c r="AH13" i="16"/>
  <c r="AI13" i="16"/>
  <c r="AG27" i="16"/>
  <c r="AG28" i="16"/>
  <c r="AF16" i="16"/>
  <c r="AF17" i="16"/>
  <c r="AF18" i="16"/>
  <c r="AF19" i="16"/>
  <c r="AF20" i="16"/>
  <c r="AF21" i="16"/>
  <c r="AF22" i="16"/>
  <c r="AF23" i="16"/>
  <c r="AF24" i="16"/>
  <c r="AF25" i="16"/>
  <c r="AF26" i="16"/>
  <c r="AF27" i="16"/>
  <c r="AF28" i="16"/>
  <c r="D31" i="16"/>
  <c r="J29" i="16"/>
  <c r="I29" i="16"/>
  <c r="H29" i="16"/>
  <c r="G29" i="16"/>
  <c r="F16" i="16"/>
  <c r="D29" i="16"/>
  <c r="AK2" i="16"/>
  <c r="AQ16" i="16"/>
  <c r="AL2" i="16"/>
  <c r="AR16" i="16"/>
  <c r="AM2" i="16"/>
  <c r="AS16" i="16"/>
  <c r="AN2" i="16"/>
  <c r="AT16" i="16"/>
  <c r="AO2" i="16"/>
  <c r="AU16" i="16"/>
  <c r="AP2" i="16"/>
  <c r="AV16" i="16"/>
  <c r="AQ2" i="16"/>
  <c r="AW16" i="16"/>
  <c r="AR2" i="16"/>
  <c r="AX16" i="16"/>
  <c r="AS2" i="16"/>
  <c r="AY16" i="16"/>
  <c r="AT2" i="16"/>
  <c r="AZ16" i="16"/>
  <c r="AU2" i="16"/>
  <c r="BA16" i="16"/>
  <c r="AV2" i="16"/>
  <c r="BB16" i="16"/>
  <c r="AW2" i="16"/>
  <c r="BC16" i="16"/>
  <c r="AX2" i="16"/>
  <c r="BD16" i="16"/>
  <c r="AY2" i="16"/>
  <c r="BE16" i="16"/>
  <c r="AZ2" i="16"/>
  <c r="BF16" i="16"/>
  <c r="BA2" i="16"/>
  <c r="BG16" i="16"/>
  <c r="BB2" i="16"/>
  <c r="BH16" i="16"/>
  <c r="BC2" i="16"/>
  <c r="BI16" i="16"/>
  <c r="BD2" i="16"/>
  <c r="BJ16" i="16"/>
  <c r="BE2" i="16"/>
  <c r="BK16" i="16"/>
  <c r="BF2" i="16"/>
  <c r="BL16" i="16"/>
  <c r="BG2" i="16"/>
  <c r="BM16" i="16"/>
  <c r="BH2" i="16"/>
  <c r="BN16" i="16"/>
  <c r="AP16" i="16"/>
  <c r="AK3" i="16"/>
  <c r="AQ17" i="16"/>
  <c r="AL3" i="16"/>
  <c r="AR17" i="16"/>
  <c r="AM3" i="16"/>
  <c r="AS17" i="16"/>
  <c r="AN3" i="16"/>
  <c r="AT17" i="16"/>
  <c r="AO3" i="16"/>
  <c r="AU17" i="16"/>
  <c r="AP3" i="16"/>
  <c r="AV17" i="16"/>
  <c r="AQ3" i="16"/>
  <c r="AW17" i="16"/>
  <c r="AR3" i="16"/>
  <c r="AX17" i="16"/>
  <c r="AS3" i="16"/>
  <c r="AY17" i="16"/>
  <c r="AT3" i="16"/>
  <c r="AZ17" i="16"/>
  <c r="AU3" i="16"/>
  <c r="BA17" i="16"/>
  <c r="AV3" i="16"/>
  <c r="BB17" i="16"/>
  <c r="AW3" i="16"/>
  <c r="BC17" i="16"/>
  <c r="AX3" i="16"/>
  <c r="BD17" i="16"/>
  <c r="AY3" i="16"/>
  <c r="BE17" i="16"/>
  <c r="AZ3" i="16"/>
  <c r="BF17" i="16"/>
  <c r="BA3" i="16"/>
  <c r="BG17" i="16"/>
  <c r="BB3" i="16"/>
  <c r="BH17" i="16"/>
  <c r="BC3" i="16"/>
  <c r="BI17" i="16"/>
  <c r="BD3" i="16"/>
  <c r="BJ17" i="16"/>
  <c r="BE3" i="16"/>
  <c r="BK17" i="16"/>
  <c r="BF3" i="16"/>
  <c r="BL17" i="16"/>
  <c r="BG3" i="16"/>
  <c r="BM17" i="16"/>
  <c r="BH3" i="16"/>
  <c r="BN17" i="16"/>
  <c r="AP17" i="16"/>
  <c r="AK4" i="16"/>
  <c r="AQ18" i="16"/>
  <c r="AL4" i="16"/>
  <c r="AR18" i="16"/>
  <c r="AM4" i="16"/>
  <c r="AS18" i="16"/>
  <c r="AN4" i="16"/>
  <c r="AT18" i="16"/>
  <c r="AO4" i="16"/>
  <c r="AU18" i="16"/>
  <c r="AP4" i="16"/>
  <c r="AV18" i="16"/>
  <c r="AQ4" i="16"/>
  <c r="AW18" i="16"/>
  <c r="AR4" i="16"/>
  <c r="AX18" i="16"/>
  <c r="AS4" i="16"/>
  <c r="AY18" i="16"/>
  <c r="AT4" i="16"/>
  <c r="AZ18" i="16"/>
  <c r="AU4" i="16"/>
  <c r="BA18" i="16"/>
  <c r="AV4" i="16"/>
  <c r="BB18" i="16"/>
  <c r="AW4" i="16"/>
  <c r="BC18" i="16"/>
  <c r="AX4" i="16"/>
  <c r="BD18" i="16"/>
  <c r="AY4" i="16"/>
  <c r="BE18" i="16"/>
  <c r="AZ4" i="16"/>
  <c r="BF18" i="16"/>
  <c r="BA4" i="16"/>
  <c r="BG18" i="16"/>
  <c r="BB4" i="16"/>
  <c r="BH18" i="16"/>
  <c r="BC4" i="16"/>
  <c r="BI18" i="16"/>
  <c r="BD4" i="16"/>
  <c r="BJ18" i="16"/>
  <c r="BE4" i="16"/>
  <c r="BK18" i="16"/>
  <c r="BF4" i="16"/>
  <c r="BL18" i="16"/>
  <c r="BG4" i="16"/>
  <c r="BM18" i="16"/>
  <c r="BH4" i="16"/>
  <c r="BN18" i="16"/>
  <c r="AP18" i="16"/>
  <c r="AK5" i="16"/>
  <c r="AQ19" i="16"/>
  <c r="AL5" i="16"/>
  <c r="AR19" i="16"/>
  <c r="AM5" i="16"/>
  <c r="AS19" i="16"/>
  <c r="AN5" i="16"/>
  <c r="AT19" i="16"/>
  <c r="AO5" i="16"/>
  <c r="AU19" i="16"/>
  <c r="AP5" i="16"/>
  <c r="AV19" i="16"/>
  <c r="AQ5" i="16"/>
  <c r="AW19" i="16"/>
  <c r="AR5" i="16"/>
  <c r="AX19" i="16"/>
  <c r="AS5" i="16"/>
  <c r="AY19" i="16"/>
  <c r="AT5" i="16"/>
  <c r="AZ19" i="16"/>
  <c r="AU5" i="16"/>
  <c r="BA19" i="16"/>
  <c r="AV5" i="16"/>
  <c r="BB19" i="16"/>
  <c r="AW5" i="16"/>
  <c r="BC19" i="16"/>
  <c r="AX5" i="16"/>
  <c r="BD19" i="16"/>
  <c r="AY5" i="16"/>
  <c r="BE19" i="16"/>
  <c r="AZ5" i="16"/>
  <c r="BF19" i="16"/>
  <c r="BA5" i="16"/>
  <c r="BG19" i="16"/>
  <c r="BB5" i="16"/>
  <c r="BH19" i="16"/>
  <c r="BC5" i="16"/>
  <c r="BI19" i="16"/>
  <c r="BD5" i="16"/>
  <c r="BJ19" i="16"/>
  <c r="BE5" i="16"/>
  <c r="BK19" i="16"/>
  <c r="BF5" i="16"/>
  <c r="BL19" i="16"/>
  <c r="BG5" i="16"/>
  <c r="BM19" i="16"/>
  <c r="BH5" i="16"/>
  <c r="BN19" i="16"/>
  <c r="AP19" i="16"/>
  <c r="AK6" i="16"/>
  <c r="AQ20" i="16"/>
  <c r="AL6" i="16"/>
  <c r="AR20" i="16"/>
  <c r="AM6" i="16"/>
  <c r="AS20" i="16"/>
  <c r="AN6" i="16"/>
  <c r="AT20" i="16"/>
  <c r="AO6" i="16"/>
  <c r="AU20" i="16"/>
  <c r="AP6" i="16"/>
  <c r="AV20" i="16"/>
  <c r="AQ6" i="16"/>
  <c r="AW20" i="16"/>
  <c r="AR6" i="16"/>
  <c r="AX20" i="16"/>
  <c r="AS6" i="16"/>
  <c r="AY20" i="16"/>
  <c r="AT6" i="16"/>
  <c r="AZ20" i="16"/>
  <c r="AU6" i="16"/>
  <c r="BA20" i="16"/>
  <c r="AV6" i="16"/>
  <c r="BB20" i="16"/>
  <c r="AW6" i="16"/>
  <c r="BC20" i="16"/>
  <c r="AX6" i="16"/>
  <c r="BD20" i="16"/>
  <c r="AY6" i="16"/>
  <c r="BE20" i="16"/>
  <c r="AZ6" i="16"/>
  <c r="BF20" i="16"/>
  <c r="BA6" i="16"/>
  <c r="BG20" i="16"/>
  <c r="BB6" i="16"/>
  <c r="BH20" i="16"/>
  <c r="BC6" i="16"/>
  <c r="BI20" i="16"/>
  <c r="BD6" i="16"/>
  <c r="BJ20" i="16"/>
  <c r="BE6" i="16"/>
  <c r="BK20" i="16"/>
  <c r="BF6" i="16"/>
  <c r="BL20" i="16"/>
  <c r="BG6" i="16"/>
  <c r="BM20" i="16"/>
  <c r="BH6" i="16"/>
  <c r="BN20" i="16"/>
  <c r="AP20" i="16"/>
  <c r="AK7" i="16"/>
  <c r="AQ21" i="16"/>
  <c r="AL7" i="16"/>
  <c r="AR21" i="16"/>
  <c r="AM7" i="16"/>
  <c r="AS21" i="16"/>
  <c r="AN7" i="16"/>
  <c r="AT21" i="16"/>
  <c r="AO7" i="16"/>
  <c r="AU21" i="16"/>
  <c r="AP7" i="16"/>
  <c r="AV21" i="16"/>
  <c r="AQ7" i="16"/>
  <c r="AW21" i="16"/>
  <c r="AR7" i="16"/>
  <c r="AX21" i="16"/>
  <c r="AS7" i="16"/>
  <c r="AY21" i="16"/>
  <c r="AT7" i="16"/>
  <c r="AZ21" i="16"/>
  <c r="AU7" i="16"/>
  <c r="BA21" i="16"/>
  <c r="AV7" i="16"/>
  <c r="BB21" i="16"/>
  <c r="AW7" i="16"/>
  <c r="BC21" i="16"/>
  <c r="AX7" i="16"/>
  <c r="BD21" i="16"/>
  <c r="AY7" i="16"/>
  <c r="BE21" i="16"/>
  <c r="AZ7" i="16"/>
  <c r="BF21" i="16"/>
  <c r="BA7" i="16"/>
  <c r="BG21" i="16"/>
  <c r="BB7" i="16"/>
  <c r="BH21" i="16"/>
  <c r="BC7" i="16"/>
  <c r="BI21" i="16"/>
  <c r="BD7" i="16"/>
  <c r="BJ21" i="16"/>
  <c r="BE7" i="16"/>
  <c r="BK21" i="16"/>
  <c r="BF7" i="16"/>
  <c r="BL21" i="16"/>
  <c r="BG7" i="16"/>
  <c r="BM21" i="16"/>
  <c r="BH7" i="16"/>
  <c r="BN21" i="16"/>
  <c r="AP21" i="16"/>
  <c r="AK8" i="16"/>
  <c r="AQ22" i="16"/>
  <c r="AL8" i="16"/>
  <c r="AR22" i="16"/>
  <c r="AM8" i="16"/>
  <c r="AS22" i="16"/>
  <c r="AN8" i="16"/>
  <c r="AT22" i="16"/>
  <c r="AO8" i="16"/>
  <c r="AU22" i="16"/>
  <c r="AP8" i="16"/>
  <c r="AV22" i="16"/>
  <c r="AQ8" i="16"/>
  <c r="AW22" i="16"/>
  <c r="AR8" i="16"/>
  <c r="AX22" i="16"/>
  <c r="AS8" i="16"/>
  <c r="AY22" i="16"/>
  <c r="AT8" i="16"/>
  <c r="AZ22" i="16"/>
  <c r="AU8" i="16"/>
  <c r="BA22" i="16"/>
  <c r="AV8" i="16"/>
  <c r="BB22" i="16"/>
  <c r="AW8" i="16"/>
  <c r="BC22" i="16"/>
  <c r="AX8" i="16"/>
  <c r="BD22" i="16"/>
  <c r="AY8" i="16"/>
  <c r="BE22" i="16"/>
  <c r="AZ8" i="16"/>
  <c r="BF22" i="16"/>
  <c r="BA8" i="16"/>
  <c r="BG22" i="16"/>
  <c r="BB8" i="16"/>
  <c r="BH22" i="16"/>
  <c r="BC8" i="16"/>
  <c r="BI22" i="16"/>
  <c r="BD8" i="16"/>
  <c r="BJ22" i="16"/>
  <c r="BE8" i="16"/>
  <c r="BK22" i="16"/>
  <c r="BF8" i="16"/>
  <c r="BL22" i="16"/>
  <c r="BG8" i="16"/>
  <c r="BM22" i="16"/>
  <c r="BH8" i="16"/>
  <c r="BN22" i="16"/>
  <c r="AP22" i="16"/>
  <c r="AK9" i="16"/>
  <c r="AQ23" i="16"/>
  <c r="AL9" i="16"/>
  <c r="AR23" i="16"/>
  <c r="AM9" i="16"/>
  <c r="AS23" i="16"/>
  <c r="AN9" i="16"/>
  <c r="AT23" i="16"/>
  <c r="AO9" i="16"/>
  <c r="AU23" i="16"/>
  <c r="AP9" i="16"/>
  <c r="AV23" i="16"/>
  <c r="AQ9" i="16"/>
  <c r="AW23" i="16"/>
  <c r="AR9" i="16"/>
  <c r="AX23" i="16"/>
  <c r="AS9" i="16"/>
  <c r="AY23" i="16"/>
  <c r="AT9" i="16"/>
  <c r="AZ23" i="16"/>
  <c r="AU9" i="16"/>
  <c r="BA23" i="16"/>
  <c r="AV9" i="16"/>
  <c r="BB23" i="16"/>
  <c r="AW9" i="16"/>
  <c r="BC23" i="16"/>
  <c r="AX9" i="16"/>
  <c r="BD23" i="16"/>
  <c r="AY9" i="16"/>
  <c r="BE23" i="16"/>
  <c r="AZ9" i="16"/>
  <c r="BF23" i="16"/>
  <c r="BA9" i="16"/>
  <c r="BG23" i="16"/>
  <c r="BB9" i="16"/>
  <c r="BH23" i="16"/>
  <c r="BC9" i="16"/>
  <c r="BI23" i="16"/>
  <c r="BD9" i="16"/>
  <c r="BJ23" i="16"/>
  <c r="BE9" i="16"/>
  <c r="BK23" i="16"/>
  <c r="BF9" i="16"/>
  <c r="BL23" i="16"/>
  <c r="BG9" i="16"/>
  <c r="BM23" i="16"/>
  <c r="BH9" i="16"/>
  <c r="BN23" i="16"/>
  <c r="AP23" i="16"/>
  <c r="AK10" i="16"/>
  <c r="AQ24" i="16"/>
  <c r="AL10" i="16"/>
  <c r="AR24" i="16"/>
  <c r="AM10" i="16"/>
  <c r="AS24" i="16"/>
  <c r="AN10" i="16"/>
  <c r="AT24" i="16"/>
  <c r="AO10" i="16"/>
  <c r="AU24" i="16"/>
  <c r="AP10" i="16"/>
  <c r="AV24" i="16"/>
  <c r="AQ10" i="16"/>
  <c r="AW24" i="16"/>
  <c r="AR10" i="16"/>
  <c r="AX24" i="16"/>
  <c r="AS10" i="16"/>
  <c r="AY24" i="16"/>
  <c r="AT10" i="16"/>
  <c r="AZ24" i="16"/>
  <c r="AU10" i="16"/>
  <c r="BA24" i="16"/>
  <c r="AV10" i="16"/>
  <c r="BB24" i="16"/>
  <c r="AW10" i="16"/>
  <c r="BC24" i="16"/>
  <c r="AX10" i="16"/>
  <c r="BD24" i="16"/>
  <c r="AY10" i="16"/>
  <c r="BE24" i="16"/>
  <c r="AZ10" i="16"/>
  <c r="BF24" i="16"/>
  <c r="BA10" i="16"/>
  <c r="BG24" i="16"/>
  <c r="BB10" i="16"/>
  <c r="BH24" i="16"/>
  <c r="BC10" i="16"/>
  <c r="BI24" i="16"/>
  <c r="BD10" i="16"/>
  <c r="BJ24" i="16"/>
  <c r="BE10" i="16"/>
  <c r="BK24" i="16"/>
  <c r="BF10" i="16"/>
  <c r="BL24" i="16"/>
  <c r="BG10" i="16"/>
  <c r="BM24" i="16"/>
  <c r="BH10" i="16"/>
  <c r="BN24" i="16"/>
  <c r="AP24" i="16"/>
  <c r="AK11" i="16"/>
  <c r="AQ25" i="16"/>
  <c r="AL11" i="16"/>
  <c r="AR25" i="16"/>
  <c r="AM11" i="16"/>
  <c r="AS25" i="16"/>
  <c r="AN11" i="16"/>
  <c r="AT25" i="16"/>
  <c r="AO11" i="16"/>
  <c r="AU25" i="16"/>
  <c r="AP11" i="16"/>
  <c r="AV25" i="16"/>
  <c r="AQ11" i="16"/>
  <c r="AW25" i="16"/>
  <c r="AR11" i="16"/>
  <c r="AX25" i="16"/>
  <c r="AS11" i="16"/>
  <c r="AY25" i="16"/>
  <c r="AT11" i="16"/>
  <c r="AZ25" i="16"/>
  <c r="AU11" i="16"/>
  <c r="BA25" i="16"/>
  <c r="AV11" i="16"/>
  <c r="BB25" i="16"/>
  <c r="AW11" i="16"/>
  <c r="BC25" i="16"/>
  <c r="AX11" i="16"/>
  <c r="BD25" i="16"/>
  <c r="AY11" i="16"/>
  <c r="BE25" i="16"/>
  <c r="AZ11" i="16"/>
  <c r="BF25" i="16"/>
  <c r="BA11" i="16"/>
  <c r="BG25" i="16"/>
  <c r="BB11" i="16"/>
  <c r="BH25" i="16"/>
  <c r="BC11" i="16"/>
  <c r="BI25" i="16"/>
  <c r="BD11" i="16"/>
  <c r="BJ25" i="16"/>
  <c r="BE11" i="16"/>
  <c r="BK25" i="16"/>
  <c r="BF11" i="16"/>
  <c r="BL25" i="16"/>
  <c r="BG11" i="16"/>
  <c r="BM25" i="16"/>
  <c r="BH11" i="16"/>
  <c r="BN25" i="16"/>
  <c r="AP25" i="16"/>
  <c r="AK12" i="16"/>
  <c r="AQ26" i="16"/>
  <c r="AL12" i="16"/>
  <c r="AR26" i="16"/>
  <c r="AM12" i="16"/>
  <c r="AS26" i="16"/>
  <c r="AN12" i="16"/>
  <c r="AT26" i="16"/>
  <c r="AO12" i="16"/>
  <c r="AU26" i="16"/>
  <c r="AP12" i="16"/>
  <c r="AV26" i="16"/>
  <c r="AQ12" i="16"/>
  <c r="AW26" i="16"/>
  <c r="AR12" i="16"/>
  <c r="AX26" i="16"/>
  <c r="AS12" i="16"/>
  <c r="AY26" i="16"/>
  <c r="AT12" i="16"/>
  <c r="AZ26" i="16"/>
  <c r="AU12" i="16"/>
  <c r="BA26" i="16"/>
  <c r="AV12" i="16"/>
  <c r="BB26" i="16"/>
  <c r="AW12" i="16"/>
  <c r="BC26" i="16"/>
  <c r="AX12" i="16"/>
  <c r="BD26" i="16"/>
  <c r="AY12" i="16"/>
  <c r="BE26" i="16"/>
  <c r="AZ12" i="16"/>
  <c r="BF26" i="16"/>
  <c r="BA12" i="16"/>
  <c r="BG26" i="16"/>
  <c r="BB12" i="16"/>
  <c r="BH26" i="16"/>
  <c r="BC12" i="16"/>
  <c r="BI26" i="16"/>
  <c r="BD12" i="16"/>
  <c r="BJ26" i="16"/>
  <c r="BE12" i="16"/>
  <c r="BK26" i="16"/>
  <c r="BF12" i="16"/>
  <c r="BL26" i="16"/>
  <c r="BG12" i="16"/>
  <c r="BM26" i="16"/>
  <c r="BH12" i="16"/>
  <c r="BN26" i="16"/>
  <c r="AP26" i="16"/>
  <c r="AK13" i="16"/>
  <c r="AQ27" i="16"/>
  <c r="AL13" i="16"/>
  <c r="AR27" i="16"/>
  <c r="AM13" i="16"/>
  <c r="AS27" i="16"/>
  <c r="AN13" i="16"/>
  <c r="AT27" i="16"/>
  <c r="AO13" i="16"/>
  <c r="AU27" i="16"/>
  <c r="AP13" i="16"/>
  <c r="AV27" i="16"/>
  <c r="AQ13" i="16"/>
  <c r="AW27" i="16"/>
  <c r="AR13" i="16"/>
  <c r="AX27" i="16"/>
  <c r="AS13" i="16"/>
  <c r="AY27" i="16"/>
  <c r="AT13" i="16"/>
  <c r="AZ27" i="16"/>
  <c r="AU13" i="16"/>
  <c r="BA27" i="16"/>
  <c r="AV13" i="16"/>
  <c r="BB27" i="16"/>
  <c r="AW13" i="16"/>
  <c r="BC27" i="16"/>
  <c r="AX13" i="16"/>
  <c r="BD27" i="16"/>
  <c r="AY13" i="16"/>
  <c r="BE27" i="16"/>
  <c r="AZ13" i="16"/>
  <c r="BF27" i="16"/>
  <c r="BA13" i="16"/>
  <c r="BG27" i="16"/>
  <c r="BB13" i="16"/>
  <c r="BH27" i="16"/>
  <c r="BC13" i="16"/>
  <c r="BI27" i="16"/>
  <c r="BD13" i="16"/>
  <c r="BJ27" i="16"/>
  <c r="BE13" i="16"/>
  <c r="BK27" i="16"/>
  <c r="BF13" i="16"/>
  <c r="BL27" i="16"/>
  <c r="BG13" i="16"/>
  <c r="BM27" i="16"/>
  <c r="BH13" i="16"/>
  <c r="BN27" i="16"/>
  <c r="AP27" i="16"/>
  <c r="AP28" i="16"/>
  <c r="AN16" i="16"/>
  <c r="AN17" i="16"/>
  <c r="AN18" i="16"/>
  <c r="AN19" i="16"/>
  <c r="AN20" i="16"/>
  <c r="AN21" i="16"/>
  <c r="AN22" i="16"/>
  <c r="AN23" i="16"/>
  <c r="AN24" i="16"/>
  <c r="AN25" i="16"/>
  <c r="AN26" i="16"/>
  <c r="AN27" i="16"/>
  <c r="AN28" i="16"/>
  <c r="AM16" i="16"/>
  <c r="AM17" i="16"/>
  <c r="AM18" i="16"/>
  <c r="AM19" i="16"/>
  <c r="AM20" i="16"/>
  <c r="AM21" i="16"/>
  <c r="AM22" i="16"/>
  <c r="AM23" i="16"/>
  <c r="AM24" i="16"/>
  <c r="AM25" i="16"/>
  <c r="AM26" i="16"/>
  <c r="AM27" i="16"/>
  <c r="AM28" i="16"/>
  <c r="AL16" i="16"/>
  <c r="AL17" i="16"/>
  <c r="AL18" i="16"/>
  <c r="AL19" i="16"/>
  <c r="AL20" i="16"/>
  <c r="AL21" i="16"/>
  <c r="AL22" i="16"/>
  <c r="AL23" i="16"/>
  <c r="AL24" i="16"/>
  <c r="AL25" i="16"/>
  <c r="AL26" i="16"/>
  <c r="AL27" i="16"/>
  <c r="AL28" i="16"/>
  <c r="AK16" i="16"/>
  <c r="AK17" i="16"/>
  <c r="AK18" i="16"/>
  <c r="AK19" i="16"/>
  <c r="AK20" i="16"/>
  <c r="AK21" i="16"/>
  <c r="AK22" i="16"/>
  <c r="AK23" i="16"/>
  <c r="AK24" i="16"/>
  <c r="AK25" i="16"/>
  <c r="AK26" i="16"/>
  <c r="AK27" i="16"/>
  <c r="AK28" i="16"/>
  <c r="Z2" i="16"/>
  <c r="AA2" i="16"/>
  <c r="AB2" i="16"/>
  <c r="AC2" i="16"/>
  <c r="AA16" i="16"/>
  <c r="Z3" i="16"/>
  <c r="AA3" i="16"/>
  <c r="AB3" i="16"/>
  <c r="AC3" i="16"/>
  <c r="AA17" i="16"/>
  <c r="Z4" i="16"/>
  <c r="AA4" i="16"/>
  <c r="AB4" i="16"/>
  <c r="AC4" i="16"/>
  <c r="AA18" i="16"/>
  <c r="Z5" i="16"/>
  <c r="AA5" i="16"/>
  <c r="AB5" i="16"/>
  <c r="AC5" i="16"/>
  <c r="AA19" i="16"/>
  <c r="Z6" i="16"/>
  <c r="AA6" i="16"/>
  <c r="AB6" i="16"/>
  <c r="AC6" i="16"/>
  <c r="AA20" i="16"/>
  <c r="Z7" i="16"/>
  <c r="AA7" i="16"/>
  <c r="AB7" i="16"/>
  <c r="AC7" i="16"/>
  <c r="AA21" i="16"/>
  <c r="Z8" i="16"/>
  <c r="AA8" i="16"/>
  <c r="AB8" i="16"/>
  <c r="AC8" i="16"/>
  <c r="AA22" i="16"/>
  <c r="Z9" i="16"/>
  <c r="AA9" i="16"/>
  <c r="AB9" i="16"/>
  <c r="AC9" i="16"/>
  <c r="AA23" i="16"/>
  <c r="Z10" i="16"/>
  <c r="AA10" i="16"/>
  <c r="AB10" i="16"/>
  <c r="AC10" i="16"/>
  <c r="AA24" i="16"/>
  <c r="Z11" i="16"/>
  <c r="AA11" i="16"/>
  <c r="AB11" i="16"/>
  <c r="AC11" i="16"/>
  <c r="AA25" i="16"/>
  <c r="Z12" i="16"/>
  <c r="AA12" i="16"/>
  <c r="AB12" i="16"/>
  <c r="AC12" i="16"/>
  <c r="AA26" i="16"/>
  <c r="Z13" i="16"/>
  <c r="AA13" i="16"/>
  <c r="AB13" i="16"/>
  <c r="AC13" i="16"/>
  <c r="AA27" i="16"/>
  <c r="AA28" i="16"/>
  <c r="Z16" i="16"/>
  <c r="Z17" i="16"/>
  <c r="Z18" i="16"/>
  <c r="Z19" i="16"/>
  <c r="Z20" i="16"/>
  <c r="Z21" i="16"/>
  <c r="Z22" i="16"/>
  <c r="Z23" i="16"/>
  <c r="Z24" i="16"/>
  <c r="Z25" i="16"/>
  <c r="Z26" i="16"/>
  <c r="Z27" i="16"/>
  <c r="Z28" i="16"/>
  <c r="S28" i="16"/>
  <c r="R28" i="16"/>
  <c r="Q28" i="16"/>
  <c r="P28" i="16"/>
  <c r="N28" i="16"/>
  <c r="M28" i="16"/>
  <c r="L28" i="16"/>
  <c r="K28" i="16"/>
  <c r="D27" i="16"/>
  <c r="G26" i="16"/>
  <c r="N25" i="16"/>
  <c r="M25" i="16"/>
  <c r="L25" i="16"/>
  <c r="K25" i="16"/>
  <c r="D25" i="16"/>
  <c r="G24" i="16"/>
  <c r="H16" i="16"/>
  <c r="D23" i="16"/>
  <c r="G22" i="16"/>
  <c r="G16" i="16"/>
  <c r="D21" i="16"/>
  <c r="G20" i="16"/>
  <c r="M19" i="16"/>
  <c r="W16" i="16"/>
  <c r="V16" i="16"/>
  <c r="U16" i="16"/>
  <c r="E50" i="15"/>
  <c r="A50" i="15"/>
  <c r="E49" i="15"/>
  <c r="A49" i="15"/>
  <c r="E48" i="15"/>
  <c r="A48" i="15"/>
  <c r="E47" i="15"/>
  <c r="A47" i="15"/>
  <c r="E46" i="15"/>
  <c r="A46" i="15"/>
  <c r="E45" i="15"/>
  <c r="A45" i="15"/>
  <c r="E44" i="15"/>
  <c r="A44" i="15"/>
  <c r="E43" i="15"/>
  <c r="A43" i="15"/>
  <c r="E42" i="15"/>
  <c r="A42" i="15"/>
  <c r="E41" i="15"/>
  <c r="AE18" i="15"/>
  <c r="A41" i="15"/>
  <c r="E40" i="15"/>
  <c r="AE3" i="15"/>
  <c r="AF3" i="15"/>
  <c r="AG3" i="15"/>
  <c r="AH3" i="15"/>
  <c r="AI3" i="15"/>
  <c r="AE17" i="15"/>
  <c r="AF17" i="15"/>
  <c r="AG17" i="15"/>
  <c r="A40" i="15"/>
  <c r="X12" i="15"/>
  <c r="E39" i="15"/>
  <c r="AE2" i="15"/>
  <c r="AF2" i="15"/>
  <c r="AG2" i="15"/>
  <c r="AH2" i="15"/>
  <c r="AI2" i="15"/>
  <c r="AE16" i="15"/>
  <c r="AF16" i="15"/>
  <c r="AG16" i="15"/>
  <c r="A39" i="15"/>
  <c r="X4" i="15"/>
  <c r="X5" i="15"/>
  <c r="X6" i="15"/>
  <c r="AE4" i="15"/>
  <c r="AF4" i="15"/>
  <c r="AG4" i="15"/>
  <c r="AH4" i="15"/>
  <c r="AI4" i="15"/>
  <c r="AG18" i="15"/>
  <c r="AE6" i="15"/>
  <c r="AF6" i="15"/>
  <c r="AG6" i="15"/>
  <c r="AH6" i="15"/>
  <c r="AI6" i="15"/>
  <c r="AG20" i="15"/>
  <c r="AE7" i="15"/>
  <c r="AF7" i="15"/>
  <c r="AG7" i="15"/>
  <c r="AH7" i="15"/>
  <c r="AI7" i="15"/>
  <c r="AG21" i="15"/>
  <c r="AE8" i="15"/>
  <c r="AF8" i="15"/>
  <c r="AG8" i="15"/>
  <c r="AH8" i="15"/>
  <c r="AI8" i="15"/>
  <c r="AG22" i="15"/>
  <c r="AE9" i="15"/>
  <c r="AF9" i="15"/>
  <c r="AG9" i="15"/>
  <c r="AH9" i="15"/>
  <c r="AI9" i="15"/>
  <c r="AG23" i="15"/>
  <c r="AE11" i="15"/>
  <c r="AF11" i="15"/>
  <c r="AG11" i="15"/>
  <c r="AH11" i="15"/>
  <c r="AI11" i="15"/>
  <c r="AG25" i="15"/>
  <c r="AF18" i="15"/>
  <c r="AF20" i="15"/>
  <c r="AF21" i="15"/>
  <c r="AF22" i="15"/>
  <c r="AF23" i="15"/>
  <c r="AF25" i="15"/>
  <c r="D31" i="15"/>
  <c r="J29" i="15"/>
  <c r="I29" i="15"/>
  <c r="H29" i="15"/>
  <c r="G29" i="15"/>
  <c r="F16" i="15"/>
  <c r="D29" i="15"/>
  <c r="AK2" i="15"/>
  <c r="AQ16" i="15"/>
  <c r="AL2" i="15"/>
  <c r="AR16" i="15"/>
  <c r="AM2" i="15"/>
  <c r="AS16" i="15"/>
  <c r="AN2" i="15"/>
  <c r="AT16" i="15"/>
  <c r="AO2" i="15"/>
  <c r="AU16" i="15"/>
  <c r="AP2" i="15"/>
  <c r="AV16" i="15"/>
  <c r="AQ2" i="15"/>
  <c r="AW16" i="15"/>
  <c r="AR2" i="15"/>
  <c r="AX16" i="15"/>
  <c r="AS2" i="15"/>
  <c r="AY16" i="15"/>
  <c r="AT2" i="15"/>
  <c r="AZ16" i="15"/>
  <c r="AU2" i="15"/>
  <c r="BA16" i="15"/>
  <c r="AV2" i="15"/>
  <c r="BB16" i="15"/>
  <c r="AW2" i="15"/>
  <c r="BC16" i="15"/>
  <c r="AX2" i="15"/>
  <c r="BD16" i="15"/>
  <c r="AY2" i="15"/>
  <c r="BE16" i="15"/>
  <c r="AZ2" i="15"/>
  <c r="BF16" i="15"/>
  <c r="BA2" i="15"/>
  <c r="BG16" i="15"/>
  <c r="BB2" i="15"/>
  <c r="BH16" i="15"/>
  <c r="BC2" i="15"/>
  <c r="BI16" i="15"/>
  <c r="BD2" i="15"/>
  <c r="BJ16" i="15"/>
  <c r="BE2" i="15"/>
  <c r="BK16" i="15"/>
  <c r="BF2" i="15"/>
  <c r="BL16" i="15"/>
  <c r="BG2" i="15"/>
  <c r="BM16" i="15"/>
  <c r="BH2" i="15"/>
  <c r="BN16" i="15"/>
  <c r="AP16" i="15"/>
  <c r="AK3" i="15"/>
  <c r="AQ17" i="15"/>
  <c r="AL3" i="15"/>
  <c r="AR17" i="15"/>
  <c r="AM3" i="15"/>
  <c r="AS17" i="15"/>
  <c r="AN3" i="15"/>
  <c r="AT17" i="15"/>
  <c r="AO3" i="15"/>
  <c r="AU17" i="15"/>
  <c r="AP3" i="15"/>
  <c r="AV17" i="15"/>
  <c r="AQ3" i="15"/>
  <c r="AW17" i="15"/>
  <c r="AR3" i="15"/>
  <c r="AX17" i="15"/>
  <c r="AS3" i="15"/>
  <c r="AY17" i="15"/>
  <c r="AT3" i="15"/>
  <c r="AZ17" i="15"/>
  <c r="AU3" i="15"/>
  <c r="BA17" i="15"/>
  <c r="AV3" i="15"/>
  <c r="BB17" i="15"/>
  <c r="AW3" i="15"/>
  <c r="BC17" i="15"/>
  <c r="AX3" i="15"/>
  <c r="BD17" i="15"/>
  <c r="AY3" i="15"/>
  <c r="BE17" i="15"/>
  <c r="AZ3" i="15"/>
  <c r="BF17" i="15"/>
  <c r="BA3" i="15"/>
  <c r="BG17" i="15"/>
  <c r="BB3" i="15"/>
  <c r="BH17" i="15"/>
  <c r="BC3" i="15"/>
  <c r="BI17" i="15"/>
  <c r="BD3" i="15"/>
  <c r="BJ17" i="15"/>
  <c r="BE3" i="15"/>
  <c r="BK17" i="15"/>
  <c r="BF3" i="15"/>
  <c r="BL17" i="15"/>
  <c r="BG3" i="15"/>
  <c r="BM17" i="15"/>
  <c r="BH3" i="15"/>
  <c r="BN17" i="15"/>
  <c r="AP17" i="15"/>
  <c r="AK4" i="15"/>
  <c r="AQ18" i="15"/>
  <c r="AL4" i="15"/>
  <c r="AR18" i="15"/>
  <c r="AM4" i="15"/>
  <c r="AS18" i="15"/>
  <c r="AN4" i="15"/>
  <c r="AT18" i="15"/>
  <c r="AO4" i="15"/>
  <c r="AU18" i="15"/>
  <c r="AP4" i="15"/>
  <c r="AV18" i="15"/>
  <c r="AQ4" i="15"/>
  <c r="AW18" i="15"/>
  <c r="AR4" i="15"/>
  <c r="AX18" i="15"/>
  <c r="AS4" i="15"/>
  <c r="AY18" i="15"/>
  <c r="AT4" i="15"/>
  <c r="AZ18" i="15"/>
  <c r="AU4" i="15"/>
  <c r="BA18" i="15"/>
  <c r="AV4" i="15"/>
  <c r="BB18" i="15"/>
  <c r="AW4" i="15"/>
  <c r="BC18" i="15"/>
  <c r="AX4" i="15"/>
  <c r="BD18" i="15"/>
  <c r="AY4" i="15"/>
  <c r="BE18" i="15"/>
  <c r="AZ4" i="15"/>
  <c r="BF18" i="15"/>
  <c r="BA4" i="15"/>
  <c r="BG18" i="15"/>
  <c r="BB4" i="15"/>
  <c r="BH18" i="15"/>
  <c r="BC4" i="15"/>
  <c r="BI18" i="15"/>
  <c r="BD4" i="15"/>
  <c r="BJ18" i="15"/>
  <c r="BE4" i="15"/>
  <c r="BK18" i="15"/>
  <c r="BF4" i="15"/>
  <c r="BL18" i="15"/>
  <c r="BG4" i="15"/>
  <c r="BM18" i="15"/>
  <c r="BH4" i="15"/>
  <c r="BN18" i="15"/>
  <c r="AP18" i="15"/>
  <c r="AK5" i="15"/>
  <c r="AQ19" i="15"/>
  <c r="AL5" i="15"/>
  <c r="AR19" i="15"/>
  <c r="AM5" i="15"/>
  <c r="AS19" i="15"/>
  <c r="AN5" i="15"/>
  <c r="AT19" i="15"/>
  <c r="AO5" i="15"/>
  <c r="AU19" i="15"/>
  <c r="AP5" i="15"/>
  <c r="AV19" i="15"/>
  <c r="AQ5" i="15"/>
  <c r="AW19" i="15"/>
  <c r="AR5" i="15"/>
  <c r="AX19" i="15"/>
  <c r="AS5" i="15"/>
  <c r="AY19" i="15"/>
  <c r="AT5" i="15"/>
  <c r="AZ19" i="15"/>
  <c r="AU5" i="15"/>
  <c r="BA19" i="15"/>
  <c r="AV5" i="15"/>
  <c r="BB19" i="15"/>
  <c r="AW5" i="15"/>
  <c r="BC19" i="15"/>
  <c r="AX5" i="15"/>
  <c r="BD19" i="15"/>
  <c r="AY5" i="15"/>
  <c r="BE19" i="15"/>
  <c r="AZ5" i="15"/>
  <c r="BF19" i="15"/>
  <c r="BA5" i="15"/>
  <c r="BG19" i="15"/>
  <c r="BB5" i="15"/>
  <c r="BH19" i="15"/>
  <c r="BC5" i="15"/>
  <c r="BI19" i="15"/>
  <c r="BD5" i="15"/>
  <c r="BJ19" i="15"/>
  <c r="BE5" i="15"/>
  <c r="BK19" i="15"/>
  <c r="BF5" i="15"/>
  <c r="BL19" i="15"/>
  <c r="BG5" i="15"/>
  <c r="BM19" i="15"/>
  <c r="BH5" i="15"/>
  <c r="BN19" i="15"/>
  <c r="AP19" i="15"/>
  <c r="AK6" i="15"/>
  <c r="AQ20" i="15"/>
  <c r="AL6" i="15"/>
  <c r="AR20" i="15"/>
  <c r="AM6" i="15"/>
  <c r="AS20" i="15"/>
  <c r="AN6" i="15"/>
  <c r="AT20" i="15"/>
  <c r="AO6" i="15"/>
  <c r="AU20" i="15"/>
  <c r="AP6" i="15"/>
  <c r="AV20" i="15"/>
  <c r="AQ6" i="15"/>
  <c r="AW20" i="15"/>
  <c r="AR6" i="15"/>
  <c r="AX20" i="15"/>
  <c r="AS6" i="15"/>
  <c r="AY20" i="15"/>
  <c r="AT6" i="15"/>
  <c r="AZ20" i="15"/>
  <c r="AU6" i="15"/>
  <c r="BA20" i="15"/>
  <c r="AV6" i="15"/>
  <c r="BB20" i="15"/>
  <c r="AW6" i="15"/>
  <c r="BC20" i="15"/>
  <c r="AX6" i="15"/>
  <c r="BD20" i="15"/>
  <c r="AY6" i="15"/>
  <c r="BE20" i="15"/>
  <c r="AZ6" i="15"/>
  <c r="BF20" i="15"/>
  <c r="BA6" i="15"/>
  <c r="BG20" i="15"/>
  <c r="BB6" i="15"/>
  <c r="BH20" i="15"/>
  <c r="BC6" i="15"/>
  <c r="BI20" i="15"/>
  <c r="BD6" i="15"/>
  <c r="BJ20" i="15"/>
  <c r="BE6" i="15"/>
  <c r="BK20" i="15"/>
  <c r="BF6" i="15"/>
  <c r="BL20" i="15"/>
  <c r="BG6" i="15"/>
  <c r="BM20" i="15"/>
  <c r="BH6" i="15"/>
  <c r="BN20" i="15"/>
  <c r="AP20" i="15"/>
  <c r="AK7" i="15"/>
  <c r="AQ21" i="15"/>
  <c r="AL7" i="15"/>
  <c r="AR21" i="15"/>
  <c r="AM7" i="15"/>
  <c r="AS21" i="15"/>
  <c r="AN7" i="15"/>
  <c r="AT21" i="15"/>
  <c r="AO7" i="15"/>
  <c r="AU21" i="15"/>
  <c r="AP7" i="15"/>
  <c r="AV21" i="15"/>
  <c r="AQ7" i="15"/>
  <c r="AW21" i="15"/>
  <c r="AR7" i="15"/>
  <c r="AX21" i="15"/>
  <c r="AS7" i="15"/>
  <c r="AY21" i="15"/>
  <c r="AT7" i="15"/>
  <c r="AZ21" i="15"/>
  <c r="AU7" i="15"/>
  <c r="BA21" i="15"/>
  <c r="AV7" i="15"/>
  <c r="BB21" i="15"/>
  <c r="AW7" i="15"/>
  <c r="BC21" i="15"/>
  <c r="AX7" i="15"/>
  <c r="BD21" i="15"/>
  <c r="AY7" i="15"/>
  <c r="BE21" i="15"/>
  <c r="AZ7" i="15"/>
  <c r="BF21" i="15"/>
  <c r="BA7" i="15"/>
  <c r="BG21" i="15"/>
  <c r="BB7" i="15"/>
  <c r="BH21" i="15"/>
  <c r="BC7" i="15"/>
  <c r="BI21" i="15"/>
  <c r="BD7" i="15"/>
  <c r="BJ21" i="15"/>
  <c r="BE7" i="15"/>
  <c r="BK21" i="15"/>
  <c r="BF7" i="15"/>
  <c r="BL21" i="15"/>
  <c r="BG7" i="15"/>
  <c r="BM21" i="15"/>
  <c r="BH7" i="15"/>
  <c r="BN21" i="15"/>
  <c r="AP21" i="15"/>
  <c r="AK8" i="15"/>
  <c r="AQ22" i="15"/>
  <c r="AL8" i="15"/>
  <c r="AR22" i="15"/>
  <c r="AM8" i="15"/>
  <c r="AS22" i="15"/>
  <c r="AN8" i="15"/>
  <c r="AT22" i="15"/>
  <c r="AO8" i="15"/>
  <c r="AU22" i="15"/>
  <c r="AP8" i="15"/>
  <c r="AV22" i="15"/>
  <c r="AQ8" i="15"/>
  <c r="AW22" i="15"/>
  <c r="AR8" i="15"/>
  <c r="AX22" i="15"/>
  <c r="AS8" i="15"/>
  <c r="AY22" i="15"/>
  <c r="AT8" i="15"/>
  <c r="AZ22" i="15"/>
  <c r="AU8" i="15"/>
  <c r="BA22" i="15"/>
  <c r="AV8" i="15"/>
  <c r="BB22" i="15"/>
  <c r="AW8" i="15"/>
  <c r="BC22" i="15"/>
  <c r="AX8" i="15"/>
  <c r="BD22" i="15"/>
  <c r="AY8" i="15"/>
  <c r="BE22" i="15"/>
  <c r="AZ8" i="15"/>
  <c r="BF22" i="15"/>
  <c r="BA8" i="15"/>
  <c r="BG22" i="15"/>
  <c r="BB8" i="15"/>
  <c r="BH22" i="15"/>
  <c r="BC8" i="15"/>
  <c r="BI22" i="15"/>
  <c r="BD8" i="15"/>
  <c r="BJ22" i="15"/>
  <c r="BE8" i="15"/>
  <c r="BK22" i="15"/>
  <c r="BF8" i="15"/>
  <c r="BL22" i="15"/>
  <c r="BG8" i="15"/>
  <c r="BM22" i="15"/>
  <c r="BH8" i="15"/>
  <c r="BN22" i="15"/>
  <c r="AP22" i="15"/>
  <c r="AK9" i="15"/>
  <c r="AQ23" i="15"/>
  <c r="AL9" i="15"/>
  <c r="AR23" i="15"/>
  <c r="AM9" i="15"/>
  <c r="AS23" i="15"/>
  <c r="AN9" i="15"/>
  <c r="AT23" i="15"/>
  <c r="AO9" i="15"/>
  <c r="AU23" i="15"/>
  <c r="AP9" i="15"/>
  <c r="AV23" i="15"/>
  <c r="AQ9" i="15"/>
  <c r="AW23" i="15"/>
  <c r="AR9" i="15"/>
  <c r="AX23" i="15"/>
  <c r="AS9" i="15"/>
  <c r="AY23" i="15"/>
  <c r="AT9" i="15"/>
  <c r="AZ23" i="15"/>
  <c r="AU9" i="15"/>
  <c r="BA23" i="15"/>
  <c r="AV9" i="15"/>
  <c r="BB23" i="15"/>
  <c r="AW9" i="15"/>
  <c r="BC23" i="15"/>
  <c r="AX9" i="15"/>
  <c r="BD23" i="15"/>
  <c r="AY9" i="15"/>
  <c r="BE23" i="15"/>
  <c r="AZ9" i="15"/>
  <c r="BF23" i="15"/>
  <c r="BA9" i="15"/>
  <c r="BG23" i="15"/>
  <c r="BB9" i="15"/>
  <c r="BH23" i="15"/>
  <c r="BC9" i="15"/>
  <c r="BI23" i="15"/>
  <c r="BD9" i="15"/>
  <c r="BJ23" i="15"/>
  <c r="BE9" i="15"/>
  <c r="BK23" i="15"/>
  <c r="BF9" i="15"/>
  <c r="BL23" i="15"/>
  <c r="BG9" i="15"/>
  <c r="BM23" i="15"/>
  <c r="BH9" i="15"/>
  <c r="BN23" i="15"/>
  <c r="AP23" i="15"/>
  <c r="AK10" i="15"/>
  <c r="AQ24" i="15"/>
  <c r="AL10" i="15"/>
  <c r="AR24" i="15"/>
  <c r="AM10" i="15"/>
  <c r="AS24" i="15"/>
  <c r="AN10" i="15"/>
  <c r="AT24" i="15"/>
  <c r="AO10" i="15"/>
  <c r="AU24" i="15"/>
  <c r="AP10" i="15"/>
  <c r="AV24" i="15"/>
  <c r="AQ10" i="15"/>
  <c r="AW24" i="15"/>
  <c r="AR10" i="15"/>
  <c r="AX24" i="15"/>
  <c r="AS10" i="15"/>
  <c r="AY24" i="15"/>
  <c r="AT10" i="15"/>
  <c r="AZ24" i="15"/>
  <c r="AU10" i="15"/>
  <c r="BA24" i="15"/>
  <c r="AV10" i="15"/>
  <c r="BB24" i="15"/>
  <c r="AW10" i="15"/>
  <c r="BC24" i="15"/>
  <c r="AX10" i="15"/>
  <c r="BD24" i="15"/>
  <c r="AY10" i="15"/>
  <c r="BE24" i="15"/>
  <c r="AZ10" i="15"/>
  <c r="BF24" i="15"/>
  <c r="BA10" i="15"/>
  <c r="BG24" i="15"/>
  <c r="BB10" i="15"/>
  <c r="BH24" i="15"/>
  <c r="BC10" i="15"/>
  <c r="BI24" i="15"/>
  <c r="BD10" i="15"/>
  <c r="BJ24" i="15"/>
  <c r="BE10" i="15"/>
  <c r="BK24" i="15"/>
  <c r="BF10" i="15"/>
  <c r="BL24" i="15"/>
  <c r="BG10" i="15"/>
  <c r="BM24" i="15"/>
  <c r="BH10" i="15"/>
  <c r="BN24" i="15"/>
  <c r="AP24" i="15"/>
  <c r="AK11" i="15"/>
  <c r="AQ25" i="15"/>
  <c r="AL11" i="15"/>
  <c r="AR25" i="15"/>
  <c r="AM11" i="15"/>
  <c r="AS25" i="15"/>
  <c r="AN11" i="15"/>
  <c r="AT25" i="15"/>
  <c r="AO11" i="15"/>
  <c r="AU25" i="15"/>
  <c r="AP11" i="15"/>
  <c r="AV25" i="15"/>
  <c r="AQ11" i="15"/>
  <c r="AW25" i="15"/>
  <c r="AR11" i="15"/>
  <c r="AX25" i="15"/>
  <c r="AS11" i="15"/>
  <c r="AY25" i="15"/>
  <c r="AT11" i="15"/>
  <c r="AZ25" i="15"/>
  <c r="AU11" i="15"/>
  <c r="BA25" i="15"/>
  <c r="AV11" i="15"/>
  <c r="BB25" i="15"/>
  <c r="AW11" i="15"/>
  <c r="BC25" i="15"/>
  <c r="AX11" i="15"/>
  <c r="BD25" i="15"/>
  <c r="AY11" i="15"/>
  <c r="BE25" i="15"/>
  <c r="AZ11" i="15"/>
  <c r="BF25" i="15"/>
  <c r="BA11" i="15"/>
  <c r="BG25" i="15"/>
  <c r="BB11" i="15"/>
  <c r="BH25" i="15"/>
  <c r="BC11" i="15"/>
  <c r="BI25" i="15"/>
  <c r="BD11" i="15"/>
  <c r="BJ25" i="15"/>
  <c r="BE11" i="15"/>
  <c r="BK25" i="15"/>
  <c r="BF11" i="15"/>
  <c r="BL25" i="15"/>
  <c r="BG11" i="15"/>
  <c r="BM25" i="15"/>
  <c r="BH11" i="15"/>
  <c r="BN25" i="15"/>
  <c r="AP25" i="15"/>
  <c r="AK12" i="15"/>
  <c r="AQ26" i="15"/>
  <c r="AL12" i="15"/>
  <c r="AR26" i="15"/>
  <c r="AM12" i="15"/>
  <c r="AS26" i="15"/>
  <c r="AN12" i="15"/>
  <c r="AT26" i="15"/>
  <c r="AO12" i="15"/>
  <c r="AU26" i="15"/>
  <c r="AP12" i="15"/>
  <c r="AV26" i="15"/>
  <c r="AQ12" i="15"/>
  <c r="AW26" i="15"/>
  <c r="AR12" i="15"/>
  <c r="AX26" i="15"/>
  <c r="AS12" i="15"/>
  <c r="AY26" i="15"/>
  <c r="AT12" i="15"/>
  <c r="AZ26" i="15"/>
  <c r="AU12" i="15"/>
  <c r="BA26" i="15"/>
  <c r="AV12" i="15"/>
  <c r="BB26" i="15"/>
  <c r="AW12" i="15"/>
  <c r="BC26" i="15"/>
  <c r="AX12" i="15"/>
  <c r="BD26" i="15"/>
  <c r="AY12" i="15"/>
  <c r="BE26" i="15"/>
  <c r="AZ12" i="15"/>
  <c r="BF26" i="15"/>
  <c r="BA12" i="15"/>
  <c r="BG26" i="15"/>
  <c r="BB12" i="15"/>
  <c r="BH26" i="15"/>
  <c r="BC12" i="15"/>
  <c r="BI26" i="15"/>
  <c r="BD12" i="15"/>
  <c r="BJ26" i="15"/>
  <c r="BE12" i="15"/>
  <c r="BK26" i="15"/>
  <c r="BF12" i="15"/>
  <c r="BL26" i="15"/>
  <c r="BG12" i="15"/>
  <c r="BM26" i="15"/>
  <c r="BH12" i="15"/>
  <c r="BN26" i="15"/>
  <c r="AP26" i="15"/>
  <c r="AK13" i="15"/>
  <c r="AQ27" i="15"/>
  <c r="AL13" i="15"/>
  <c r="AR27" i="15"/>
  <c r="AM13" i="15"/>
  <c r="AS27" i="15"/>
  <c r="AN13" i="15"/>
  <c r="AT27" i="15"/>
  <c r="AO13" i="15"/>
  <c r="AU27" i="15"/>
  <c r="AP13" i="15"/>
  <c r="AV27" i="15"/>
  <c r="AQ13" i="15"/>
  <c r="AW27" i="15"/>
  <c r="AR13" i="15"/>
  <c r="AX27" i="15"/>
  <c r="AS13" i="15"/>
  <c r="AY27" i="15"/>
  <c r="AT13" i="15"/>
  <c r="AZ27" i="15"/>
  <c r="AU13" i="15"/>
  <c r="BA27" i="15"/>
  <c r="AV13" i="15"/>
  <c r="BB27" i="15"/>
  <c r="AW13" i="15"/>
  <c r="BC27" i="15"/>
  <c r="AX13" i="15"/>
  <c r="BD27" i="15"/>
  <c r="AY13" i="15"/>
  <c r="BE27" i="15"/>
  <c r="AZ13" i="15"/>
  <c r="BF27" i="15"/>
  <c r="BA13" i="15"/>
  <c r="BG27" i="15"/>
  <c r="BB13" i="15"/>
  <c r="BH27" i="15"/>
  <c r="BC13" i="15"/>
  <c r="BI27" i="15"/>
  <c r="BD13" i="15"/>
  <c r="BJ27" i="15"/>
  <c r="BE13" i="15"/>
  <c r="BK27" i="15"/>
  <c r="BF13" i="15"/>
  <c r="BL27" i="15"/>
  <c r="BG13" i="15"/>
  <c r="BM27" i="15"/>
  <c r="BH13" i="15"/>
  <c r="BN27" i="15"/>
  <c r="AP27" i="15"/>
  <c r="AP28" i="15"/>
  <c r="AN16" i="15"/>
  <c r="AN17" i="15"/>
  <c r="AN18" i="15"/>
  <c r="AN19" i="15"/>
  <c r="AN20" i="15"/>
  <c r="AN21" i="15"/>
  <c r="AN22" i="15"/>
  <c r="AN23" i="15"/>
  <c r="AN24" i="15"/>
  <c r="AN25" i="15"/>
  <c r="AN26" i="15"/>
  <c r="AN27" i="15"/>
  <c r="AN28" i="15"/>
  <c r="AM16" i="15"/>
  <c r="AM17" i="15"/>
  <c r="AM18" i="15"/>
  <c r="AM19" i="15"/>
  <c r="AM20" i="15"/>
  <c r="AM21" i="15"/>
  <c r="AM22" i="15"/>
  <c r="AM23" i="15"/>
  <c r="AM24" i="15"/>
  <c r="AM25" i="15"/>
  <c r="AM26" i="15"/>
  <c r="AM27" i="15"/>
  <c r="AM28" i="15"/>
  <c r="AL16" i="15"/>
  <c r="AL17" i="15"/>
  <c r="AL18" i="15"/>
  <c r="AL19" i="15"/>
  <c r="AL20" i="15"/>
  <c r="AL21" i="15"/>
  <c r="AL22" i="15"/>
  <c r="AL23" i="15"/>
  <c r="AL24" i="15"/>
  <c r="AL25" i="15"/>
  <c r="AL26" i="15"/>
  <c r="AL27" i="15"/>
  <c r="AL28" i="15"/>
  <c r="AK16" i="15"/>
  <c r="AK17" i="15"/>
  <c r="AK18" i="15"/>
  <c r="AK19" i="15"/>
  <c r="AK20" i="15"/>
  <c r="AK21" i="15"/>
  <c r="AK22" i="15"/>
  <c r="AK23" i="15"/>
  <c r="AK24" i="15"/>
  <c r="AK25" i="15"/>
  <c r="AK26" i="15"/>
  <c r="AK27" i="15"/>
  <c r="AK28" i="15"/>
  <c r="Z2" i="15"/>
  <c r="AA2" i="15"/>
  <c r="AB2" i="15"/>
  <c r="AC2" i="15"/>
  <c r="AA16" i="15"/>
  <c r="Z3" i="15"/>
  <c r="AA3" i="15"/>
  <c r="AB3" i="15"/>
  <c r="AC3" i="15"/>
  <c r="AA17" i="15"/>
  <c r="Z4" i="15"/>
  <c r="AA4" i="15"/>
  <c r="AB4" i="15"/>
  <c r="AC4" i="15"/>
  <c r="AA18" i="15"/>
  <c r="Z5" i="15"/>
  <c r="AA5" i="15"/>
  <c r="AB5" i="15"/>
  <c r="AC5" i="15"/>
  <c r="AA19" i="15"/>
  <c r="Z6" i="15"/>
  <c r="AA6" i="15"/>
  <c r="AB6" i="15"/>
  <c r="AC6" i="15"/>
  <c r="AA20" i="15"/>
  <c r="Z7" i="15"/>
  <c r="AA7" i="15"/>
  <c r="AB7" i="15"/>
  <c r="AC7" i="15"/>
  <c r="AA21" i="15"/>
  <c r="Z8" i="15"/>
  <c r="AA8" i="15"/>
  <c r="AB8" i="15"/>
  <c r="AC8" i="15"/>
  <c r="AA22" i="15"/>
  <c r="Z9" i="15"/>
  <c r="AA9" i="15"/>
  <c r="AB9" i="15"/>
  <c r="AC9" i="15"/>
  <c r="AA23" i="15"/>
  <c r="Z10" i="15"/>
  <c r="AA10" i="15"/>
  <c r="AB10" i="15"/>
  <c r="AC10" i="15"/>
  <c r="AA24" i="15"/>
  <c r="Z11" i="15"/>
  <c r="AA11" i="15"/>
  <c r="AB11" i="15"/>
  <c r="AC11" i="15"/>
  <c r="AA25" i="15"/>
  <c r="Z12" i="15"/>
  <c r="AA12" i="15"/>
  <c r="AB12" i="15"/>
  <c r="AC12" i="15"/>
  <c r="AA26" i="15"/>
  <c r="Z13" i="15"/>
  <c r="AA13" i="15"/>
  <c r="AB13" i="15"/>
  <c r="AC13" i="15"/>
  <c r="AA27" i="15"/>
  <c r="AA28" i="15"/>
  <c r="Z16" i="15"/>
  <c r="Z17" i="15"/>
  <c r="Z18" i="15"/>
  <c r="Z19" i="15"/>
  <c r="Z20" i="15"/>
  <c r="Z21" i="15"/>
  <c r="Z22" i="15"/>
  <c r="Z23" i="15"/>
  <c r="Z24" i="15"/>
  <c r="Z25" i="15"/>
  <c r="Z26" i="15"/>
  <c r="Z27" i="15"/>
  <c r="Z28" i="15"/>
  <c r="S28" i="15"/>
  <c r="R28" i="15"/>
  <c r="Q28" i="15"/>
  <c r="P28" i="15"/>
  <c r="N28" i="15"/>
  <c r="M28" i="15"/>
  <c r="L28" i="15"/>
  <c r="K28" i="15"/>
  <c r="D27" i="15"/>
  <c r="G26" i="15"/>
  <c r="N25" i="15"/>
  <c r="M25" i="15"/>
  <c r="L25" i="15"/>
  <c r="K25" i="15"/>
  <c r="D25" i="15"/>
  <c r="G24" i="15"/>
  <c r="H16" i="15"/>
  <c r="D23" i="15"/>
  <c r="G22" i="15"/>
  <c r="G16" i="15"/>
  <c r="D21" i="15"/>
  <c r="G20" i="15"/>
  <c r="M19" i="15"/>
  <c r="W16" i="15"/>
  <c r="V16" i="15"/>
  <c r="U16" i="15"/>
  <c r="E50" i="14"/>
  <c r="A50" i="14"/>
  <c r="E49" i="14"/>
  <c r="A49" i="14"/>
  <c r="E48" i="14"/>
  <c r="A48" i="14"/>
  <c r="E47" i="14"/>
  <c r="A47" i="14"/>
  <c r="E46" i="14"/>
  <c r="A46" i="14"/>
  <c r="E45" i="14"/>
  <c r="A45" i="14"/>
  <c r="E44" i="14"/>
  <c r="A44" i="14"/>
  <c r="E43" i="14"/>
  <c r="A43" i="14"/>
  <c r="X15" i="14"/>
  <c r="E42" i="14"/>
  <c r="A42" i="14"/>
  <c r="X14" i="14"/>
  <c r="E41" i="14"/>
  <c r="AE18" i="14"/>
  <c r="A41" i="14"/>
  <c r="X13" i="14"/>
  <c r="E40" i="14"/>
  <c r="AE3" i="14"/>
  <c r="AF3" i="14"/>
  <c r="AG3" i="14"/>
  <c r="AH3" i="14"/>
  <c r="AI3" i="14"/>
  <c r="AE17" i="14"/>
  <c r="AF17" i="14"/>
  <c r="AG17" i="14"/>
  <c r="A40" i="14"/>
  <c r="X12" i="14"/>
  <c r="E39" i="14"/>
  <c r="AE16" i="14"/>
  <c r="A39" i="14"/>
  <c r="X11" i="14"/>
  <c r="X10" i="14"/>
  <c r="X9" i="14"/>
  <c r="R16" i="14"/>
  <c r="Q16" i="14"/>
  <c r="X8" i="14"/>
  <c r="X7" i="14"/>
  <c r="X4" i="14"/>
  <c r="X5" i="14"/>
  <c r="X6" i="14"/>
  <c r="AE2" i="14"/>
  <c r="AF2" i="14"/>
  <c r="AG2" i="14"/>
  <c r="AH2" i="14"/>
  <c r="AI2" i="14"/>
  <c r="AG16" i="14"/>
  <c r="AE4" i="14"/>
  <c r="AF4" i="14"/>
  <c r="AG4" i="14"/>
  <c r="AH4" i="14"/>
  <c r="AI4" i="14"/>
  <c r="AG18" i="14"/>
  <c r="AE5" i="14"/>
  <c r="AF5" i="14"/>
  <c r="AG5" i="14"/>
  <c r="AH5" i="14"/>
  <c r="AI5" i="14"/>
  <c r="AG19" i="14"/>
  <c r="AE6" i="14"/>
  <c r="AF6" i="14"/>
  <c r="AG6" i="14"/>
  <c r="AH6" i="14"/>
  <c r="AI6" i="14"/>
  <c r="AG20" i="14"/>
  <c r="AE7" i="14"/>
  <c r="AF7" i="14"/>
  <c r="AG7" i="14"/>
  <c r="AH7" i="14"/>
  <c r="AI7" i="14"/>
  <c r="AG21" i="14"/>
  <c r="AE8" i="14"/>
  <c r="AF8" i="14"/>
  <c r="AG8" i="14"/>
  <c r="AH8" i="14"/>
  <c r="AI8" i="14"/>
  <c r="AG22" i="14"/>
  <c r="AE9" i="14"/>
  <c r="AF9" i="14"/>
  <c r="AG9" i="14"/>
  <c r="AH9" i="14"/>
  <c r="AI9" i="14"/>
  <c r="AG23" i="14"/>
  <c r="AE10" i="14"/>
  <c r="AF10" i="14"/>
  <c r="AG10" i="14"/>
  <c r="AH10" i="14"/>
  <c r="AI10" i="14"/>
  <c r="AG24" i="14"/>
  <c r="AE11" i="14"/>
  <c r="AF11" i="14"/>
  <c r="AG11" i="14"/>
  <c r="AH11" i="14"/>
  <c r="AI11" i="14"/>
  <c r="AG25" i="14"/>
  <c r="AE12" i="14"/>
  <c r="AF12" i="14"/>
  <c r="AG12" i="14"/>
  <c r="AH12" i="14"/>
  <c r="AI12" i="14"/>
  <c r="AG26" i="14"/>
  <c r="AE13" i="14"/>
  <c r="AF13" i="14"/>
  <c r="AG13" i="14"/>
  <c r="AH13" i="14"/>
  <c r="AI13" i="14"/>
  <c r="AG27" i="14"/>
  <c r="AG28" i="14"/>
  <c r="AF16" i="14"/>
  <c r="AF18" i="14"/>
  <c r="AF19" i="14"/>
  <c r="AF20" i="14"/>
  <c r="AF21" i="14"/>
  <c r="AF22" i="14"/>
  <c r="AF23" i="14"/>
  <c r="AF24" i="14"/>
  <c r="AF25" i="14"/>
  <c r="AF26" i="14"/>
  <c r="AF27" i="14"/>
  <c r="AF28" i="14"/>
  <c r="D31" i="14"/>
  <c r="J29" i="14"/>
  <c r="I29" i="14"/>
  <c r="H29" i="14"/>
  <c r="G29" i="14"/>
  <c r="F16" i="14"/>
  <c r="D29" i="14"/>
  <c r="AK2" i="14"/>
  <c r="AQ16" i="14"/>
  <c r="AL2" i="14"/>
  <c r="AR16" i="14"/>
  <c r="AM2" i="14"/>
  <c r="AS16" i="14"/>
  <c r="AN2" i="14"/>
  <c r="AT16" i="14"/>
  <c r="AO2" i="14"/>
  <c r="AU16" i="14"/>
  <c r="AP2" i="14"/>
  <c r="AV16" i="14"/>
  <c r="AQ2" i="14"/>
  <c r="AW16" i="14"/>
  <c r="AR2" i="14"/>
  <c r="AX16" i="14"/>
  <c r="AS2" i="14"/>
  <c r="AY16" i="14"/>
  <c r="AT2" i="14"/>
  <c r="AZ16" i="14"/>
  <c r="AU2" i="14"/>
  <c r="BA16" i="14"/>
  <c r="AV2" i="14"/>
  <c r="BB16" i="14"/>
  <c r="AW2" i="14"/>
  <c r="BC16" i="14"/>
  <c r="AX2" i="14"/>
  <c r="BD16" i="14"/>
  <c r="AY2" i="14"/>
  <c r="BE16" i="14"/>
  <c r="AZ2" i="14"/>
  <c r="BF16" i="14"/>
  <c r="BA2" i="14"/>
  <c r="BG16" i="14"/>
  <c r="BB2" i="14"/>
  <c r="BH16" i="14"/>
  <c r="BC2" i="14"/>
  <c r="BI16" i="14"/>
  <c r="BD2" i="14"/>
  <c r="BJ16" i="14"/>
  <c r="BE2" i="14"/>
  <c r="BK16" i="14"/>
  <c r="BF2" i="14"/>
  <c r="BL16" i="14"/>
  <c r="BG2" i="14"/>
  <c r="BM16" i="14"/>
  <c r="BH2" i="14"/>
  <c r="BN16" i="14"/>
  <c r="AP16" i="14"/>
  <c r="AK3" i="14"/>
  <c r="AQ17" i="14"/>
  <c r="AL3" i="14"/>
  <c r="AR17" i="14"/>
  <c r="AM3" i="14"/>
  <c r="AS17" i="14"/>
  <c r="AN3" i="14"/>
  <c r="AT17" i="14"/>
  <c r="AO3" i="14"/>
  <c r="AU17" i="14"/>
  <c r="AP3" i="14"/>
  <c r="AV17" i="14"/>
  <c r="AQ3" i="14"/>
  <c r="AW17" i="14"/>
  <c r="AR3" i="14"/>
  <c r="AX17" i="14"/>
  <c r="AS3" i="14"/>
  <c r="AY17" i="14"/>
  <c r="AT3" i="14"/>
  <c r="AZ17" i="14"/>
  <c r="AU3" i="14"/>
  <c r="BA17" i="14"/>
  <c r="AV3" i="14"/>
  <c r="BB17" i="14"/>
  <c r="AW3" i="14"/>
  <c r="BC17" i="14"/>
  <c r="AX3" i="14"/>
  <c r="BD17" i="14"/>
  <c r="AY3" i="14"/>
  <c r="BE17" i="14"/>
  <c r="AZ3" i="14"/>
  <c r="BF17" i="14"/>
  <c r="BA3" i="14"/>
  <c r="BG17" i="14"/>
  <c r="BB3" i="14"/>
  <c r="BH17" i="14"/>
  <c r="BC3" i="14"/>
  <c r="BI17" i="14"/>
  <c r="BD3" i="14"/>
  <c r="BJ17" i="14"/>
  <c r="BE3" i="14"/>
  <c r="BK17" i="14"/>
  <c r="BF3" i="14"/>
  <c r="BL17" i="14"/>
  <c r="BG3" i="14"/>
  <c r="BM17" i="14"/>
  <c r="BH3" i="14"/>
  <c r="BN17" i="14"/>
  <c r="AP17" i="14"/>
  <c r="AK4" i="14"/>
  <c r="AQ18" i="14"/>
  <c r="AL4" i="14"/>
  <c r="AR18" i="14"/>
  <c r="AM4" i="14"/>
  <c r="AS18" i="14"/>
  <c r="AN4" i="14"/>
  <c r="AT18" i="14"/>
  <c r="AO4" i="14"/>
  <c r="AU18" i="14"/>
  <c r="AP4" i="14"/>
  <c r="AV18" i="14"/>
  <c r="AQ4" i="14"/>
  <c r="AW18" i="14"/>
  <c r="AR4" i="14"/>
  <c r="AX18" i="14"/>
  <c r="AS4" i="14"/>
  <c r="AY18" i="14"/>
  <c r="AT4" i="14"/>
  <c r="AZ18" i="14"/>
  <c r="AU4" i="14"/>
  <c r="BA18" i="14"/>
  <c r="AV4" i="14"/>
  <c r="BB18" i="14"/>
  <c r="AW4" i="14"/>
  <c r="BC18" i="14"/>
  <c r="AX4" i="14"/>
  <c r="BD18" i="14"/>
  <c r="AY4" i="14"/>
  <c r="BE18" i="14"/>
  <c r="AZ4" i="14"/>
  <c r="BF18" i="14"/>
  <c r="BA4" i="14"/>
  <c r="BG18" i="14"/>
  <c r="BB4" i="14"/>
  <c r="BH18" i="14"/>
  <c r="BC4" i="14"/>
  <c r="BI18" i="14"/>
  <c r="BD4" i="14"/>
  <c r="BJ18" i="14"/>
  <c r="BE4" i="14"/>
  <c r="BK18" i="14"/>
  <c r="BF4" i="14"/>
  <c r="BL18" i="14"/>
  <c r="BG4" i="14"/>
  <c r="BM18" i="14"/>
  <c r="BH4" i="14"/>
  <c r="BN18" i="14"/>
  <c r="AP18" i="14"/>
  <c r="AK5" i="14"/>
  <c r="AQ19" i="14"/>
  <c r="AL5" i="14"/>
  <c r="AR19" i="14"/>
  <c r="AM5" i="14"/>
  <c r="AS19" i="14"/>
  <c r="AN5" i="14"/>
  <c r="AT19" i="14"/>
  <c r="AO5" i="14"/>
  <c r="AU19" i="14"/>
  <c r="AP5" i="14"/>
  <c r="AV19" i="14"/>
  <c r="AQ5" i="14"/>
  <c r="AW19" i="14"/>
  <c r="AR5" i="14"/>
  <c r="AX19" i="14"/>
  <c r="AS5" i="14"/>
  <c r="AY19" i="14"/>
  <c r="AT5" i="14"/>
  <c r="AZ19" i="14"/>
  <c r="AU5" i="14"/>
  <c r="BA19" i="14"/>
  <c r="AV5" i="14"/>
  <c r="BB19" i="14"/>
  <c r="AW5" i="14"/>
  <c r="BC19" i="14"/>
  <c r="AX5" i="14"/>
  <c r="BD19" i="14"/>
  <c r="AY5" i="14"/>
  <c r="BE19" i="14"/>
  <c r="AZ5" i="14"/>
  <c r="BF19" i="14"/>
  <c r="BA5" i="14"/>
  <c r="BG19" i="14"/>
  <c r="BB5" i="14"/>
  <c r="BH19" i="14"/>
  <c r="BC5" i="14"/>
  <c r="BI19" i="14"/>
  <c r="BD5" i="14"/>
  <c r="BJ19" i="14"/>
  <c r="BE5" i="14"/>
  <c r="BK19" i="14"/>
  <c r="BF5" i="14"/>
  <c r="BL19" i="14"/>
  <c r="BG5" i="14"/>
  <c r="BM19" i="14"/>
  <c r="BH5" i="14"/>
  <c r="BN19" i="14"/>
  <c r="AP19" i="14"/>
  <c r="AK6" i="14"/>
  <c r="AQ20" i="14"/>
  <c r="AL6" i="14"/>
  <c r="AR20" i="14"/>
  <c r="AM6" i="14"/>
  <c r="AS20" i="14"/>
  <c r="AN6" i="14"/>
  <c r="AT20" i="14"/>
  <c r="AO6" i="14"/>
  <c r="AU20" i="14"/>
  <c r="AP6" i="14"/>
  <c r="AV20" i="14"/>
  <c r="AQ6" i="14"/>
  <c r="AW20" i="14"/>
  <c r="AR6" i="14"/>
  <c r="AX20" i="14"/>
  <c r="AS6" i="14"/>
  <c r="AY20" i="14"/>
  <c r="AT6" i="14"/>
  <c r="AZ20" i="14"/>
  <c r="AU6" i="14"/>
  <c r="BA20" i="14"/>
  <c r="AV6" i="14"/>
  <c r="BB20" i="14"/>
  <c r="AW6" i="14"/>
  <c r="BC20" i="14"/>
  <c r="AX6" i="14"/>
  <c r="BD20" i="14"/>
  <c r="AY6" i="14"/>
  <c r="BE20" i="14"/>
  <c r="AZ6" i="14"/>
  <c r="BF20" i="14"/>
  <c r="BA6" i="14"/>
  <c r="BG20" i="14"/>
  <c r="BB6" i="14"/>
  <c r="BH20" i="14"/>
  <c r="BC6" i="14"/>
  <c r="BI20" i="14"/>
  <c r="BD6" i="14"/>
  <c r="BJ20" i="14"/>
  <c r="BE6" i="14"/>
  <c r="BK20" i="14"/>
  <c r="BF6" i="14"/>
  <c r="BL20" i="14"/>
  <c r="BG6" i="14"/>
  <c r="BM20" i="14"/>
  <c r="BH6" i="14"/>
  <c r="BN20" i="14"/>
  <c r="AP20" i="14"/>
  <c r="AK7" i="14"/>
  <c r="AQ21" i="14"/>
  <c r="AL7" i="14"/>
  <c r="AR21" i="14"/>
  <c r="AM7" i="14"/>
  <c r="AS21" i="14"/>
  <c r="AN7" i="14"/>
  <c r="AT21" i="14"/>
  <c r="AO7" i="14"/>
  <c r="AU21" i="14"/>
  <c r="AP7" i="14"/>
  <c r="AV21" i="14"/>
  <c r="AQ7" i="14"/>
  <c r="AW21" i="14"/>
  <c r="AR7" i="14"/>
  <c r="AX21" i="14"/>
  <c r="AS7" i="14"/>
  <c r="AY21" i="14"/>
  <c r="AT7" i="14"/>
  <c r="AZ21" i="14"/>
  <c r="AU7" i="14"/>
  <c r="BA21" i="14"/>
  <c r="AV7" i="14"/>
  <c r="BB21" i="14"/>
  <c r="AW7" i="14"/>
  <c r="BC21" i="14"/>
  <c r="AX7" i="14"/>
  <c r="BD21" i="14"/>
  <c r="AY7" i="14"/>
  <c r="BE21" i="14"/>
  <c r="AZ7" i="14"/>
  <c r="BF21" i="14"/>
  <c r="BA7" i="14"/>
  <c r="BG21" i="14"/>
  <c r="BB7" i="14"/>
  <c r="BH21" i="14"/>
  <c r="BC7" i="14"/>
  <c r="BI21" i="14"/>
  <c r="BD7" i="14"/>
  <c r="BJ21" i="14"/>
  <c r="BE7" i="14"/>
  <c r="BK21" i="14"/>
  <c r="BF7" i="14"/>
  <c r="BL21" i="14"/>
  <c r="BG7" i="14"/>
  <c r="BM21" i="14"/>
  <c r="BH7" i="14"/>
  <c r="BN21" i="14"/>
  <c r="AP21" i="14"/>
  <c r="AK8" i="14"/>
  <c r="AQ22" i="14"/>
  <c r="AL8" i="14"/>
  <c r="AR22" i="14"/>
  <c r="AM8" i="14"/>
  <c r="AS22" i="14"/>
  <c r="AN8" i="14"/>
  <c r="AT22" i="14"/>
  <c r="AO8" i="14"/>
  <c r="AU22" i="14"/>
  <c r="AP8" i="14"/>
  <c r="AV22" i="14"/>
  <c r="AQ8" i="14"/>
  <c r="AW22" i="14"/>
  <c r="AR8" i="14"/>
  <c r="AX22" i="14"/>
  <c r="AS8" i="14"/>
  <c r="AY22" i="14"/>
  <c r="AT8" i="14"/>
  <c r="AZ22" i="14"/>
  <c r="AU8" i="14"/>
  <c r="BA22" i="14"/>
  <c r="AV8" i="14"/>
  <c r="BB22" i="14"/>
  <c r="AW8" i="14"/>
  <c r="BC22" i="14"/>
  <c r="AX8" i="14"/>
  <c r="BD22" i="14"/>
  <c r="AY8" i="14"/>
  <c r="BE22" i="14"/>
  <c r="AZ8" i="14"/>
  <c r="BF22" i="14"/>
  <c r="BA8" i="14"/>
  <c r="BG22" i="14"/>
  <c r="BB8" i="14"/>
  <c r="BH22" i="14"/>
  <c r="BC8" i="14"/>
  <c r="BI22" i="14"/>
  <c r="BD8" i="14"/>
  <c r="BJ22" i="14"/>
  <c r="BE8" i="14"/>
  <c r="BK22" i="14"/>
  <c r="BF8" i="14"/>
  <c r="BL22" i="14"/>
  <c r="BG8" i="14"/>
  <c r="BM22" i="14"/>
  <c r="BH8" i="14"/>
  <c r="BN22" i="14"/>
  <c r="AP22" i="14"/>
  <c r="AK9" i="14"/>
  <c r="AQ23" i="14"/>
  <c r="AL9" i="14"/>
  <c r="AR23" i="14"/>
  <c r="AM9" i="14"/>
  <c r="AS23" i="14"/>
  <c r="AN9" i="14"/>
  <c r="AT23" i="14"/>
  <c r="AO9" i="14"/>
  <c r="AU23" i="14"/>
  <c r="AP9" i="14"/>
  <c r="AV23" i="14"/>
  <c r="AQ9" i="14"/>
  <c r="AW23" i="14"/>
  <c r="AR9" i="14"/>
  <c r="AX23" i="14"/>
  <c r="AS9" i="14"/>
  <c r="AY23" i="14"/>
  <c r="AT9" i="14"/>
  <c r="AZ23" i="14"/>
  <c r="AU9" i="14"/>
  <c r="BA23" i="14"/>
  <c r="AV9" i="14"/>
  <c r="BB23" i="14"/>
  <c r="AW9" i="14"/>
  <c r="BC23" i="14"/>
  <c r="AX9" i="14"/>
  <c r="BD23" i="14"/>
  <c r="AY9" i="14"/>
  <c r="BE23" i="14"/>
  <c r="AZ9" i="14"/>
  <c r="BF23" i="14"/>
  <c r="BA9" i="14"/>
  <c r="BG23" i="14"/>
  <c r="BB9" i="14"/>
  <c r="BH23" i="14"/>
  <c r="BC9" i="14"/>
  <c r="BI23" i="14"/>
  <c r="BD9" i="14"/>
  <c r="BJ23" i="14"/>
  <c r="BE9" i="14"/>
  <c r="BK23" i="14"/>
  <c r="BF9" i="14"/>
  <c r="BL23" i="14"/>
  <c r="BG9" i="14"/>
  <c r="BM23" i="14"/>
  <c r="BH9" i="14"/>
  <c r="BN23" i="14"/>
  <c r="AP23" i="14"/>
  <c r="AK10" i="14"/>
  <c r="AQ24" i="14"/>
  <c r="AL10" i="14"/>
  <c r="AR24" i="14"/>
  <c r="AM10" i="14"/>
  <c r="AS24" i="14"/>
  <c r="AN10" i="14"/>
  <c r="AT24" i="14"/>
  <c r="AO10" i="14"/>
  <c r="AU24" i="14"/>
  <c r="AP10" i="14"/>
  <c r="AV24" i="14"/>
  <c r="AQ10" i="14"/>
  <c r="AW24" i="14"/>
  <c r="AR10" i="14"/>
  <c r="AX24" i="14"/>
  <c r="AS10" i="14"/>
  <c r="AY24" i="14"/>
  <c r="AT10" i="14"/>
  <c r="AZ24" i="14"/>
  <c r="AU10" i="14"/>
  <c r="BA24" i="14"/>
  <c r="AV10" i="14"/>
  <c r="BB24" i="14"/>
  <c r="AW10" i="14"/>
  <c r="BC24" i="14"/>
  <c r="AX10" i="14"/>
  <c r="BD24" i="14"/>
  <c r="AY10" i="14"/>
  <c r="BE24" i="14"/>
  <c r="AZ10" i="14"/>
  <c r="BF24" i="14"/>
  <c r="BA10" i="14"/>
  <c r="BG24" i="14"/>
  <c r="BB10" i="14"/>
  <c r="BH24" i="14"/>
  <c r="BC10" i="14"/>
  <c r="BI24" i="14"/>
  <c r="BD10" i="14"/>
  <c r="BJ24" i="14"/>
  <c r="BE10" i="14"/>
  <c r="BK24" i="14"/>
  <c r="BF10" i="14"/>
  <c r="BL24" i="14"/>
  <c r="BG10" i="14"/>
  <c r="BM24" i="14"/>
  <c r="BH10" i="14"/>
  <c r="BN24" i="14"/>
  <c r="AP24" i="14"/>
  <c r="AK11" i="14"/>
  <c r="AQ25" i="14"/>
  <c r="AL11" i="14"/>
  <c r="AR25" i="14"/>
  <c r="AM11" i="14"/>
  <c r="AS25" i="14"/>
  <c r="AN11" i="14"/>
  <c r="AT25" i="14"/>
  <c r="AO11" i="14"/>
  <c r="AU25" i="14"/>
  <c r="AP11" i="14"/>
  <c r="AV25" i="14"/>
  <c r="AQ11" i="14"/>
  <c r="AW25" i="14"/>
  <c r="AR11" i="14"/>
  <c r="AX25" i="14"/>
  <c r="AS11" i="14"/>
  <c r="AY25" i="14"/>
  <c r="AT11" i="14"/>
  <c r="AZ25" i="14"/>
  <c r="AU11" i="14"/>
  <c r="BA25" i="14"/>
  <c r="AV11" i="14"/>
  <c r="BB25" i="14"/>
  <c r="AW11" i="14"/>
  <c r="BC25" i="14"/>
  <c r="AX11" i="14"/>
  <c r="BD25" i="14"/>
  <c r="AY11" i="14"/>
  <c r="BE25" i="14"/>
  <c r="AZ11" i="14"/>
  <c r="BF25" i="14"/>
  <c r="BA11" i="14"/>
  <c r="BG25" i="14"/>
  <c r="BB11" i="14"/>
  <c r="BH25" i="14"/>
  <c r="BC11" i="14"/>
  <c r="BI25" i="14"/>
  <c r="BD11" i="14"/>
  <c r="BJ25" i="14"/>
  <c r="BE11" i="14"/>
  <c r="BK25" i="14"/>
  <c r="BF11" i="14"/>
  <c r="BL25" i="14"/>
  <c r="BG11" i="14"/>
  <c r="BM25" i="14"/>
  <c r="BH11" i="14"/>
  <c r="BN25" i="14"/>
  <c r="AP25" i="14"/>
  <c r="AK12" i="14"/>
  <c r="AQ26" i="14"/>
  <c r="AL12" i="14"/>
  <c r="AR26" i="14"/>
  <c r="AM12" i="14"/>
  <c r="AS26" i="14"/>
  <c r="AN12" i="14"/>
  <c r="AT26" i="14"/>
  <c r="AO12" i="14"/>
  <c r="AU26" i="14"/>
  <c r="AP12" i="14"/>
  <c r="AV26" i="14"/>
  <c r="AQ12" i="14"/>
  <c r="AW26" i="14"/>
  <c r="AR12" i="14"/>
  <c r="AX26" i="14"/>
  <c r="AS12" i="14"/>
  <c r="AY26" i="14"/>
  <c r="AT12" i="14"/>
  <c r="AZ26" i="14"/>
  <c r="AU12" i="14"/>
  <c r="BA26" i="14"/>
  <c r="AV12" i="14"/>
  <c r="BB26" i="14"/>
  <c r="AW12" i="14"/>
  <c r="BC26" i="14"/>
  <c r="AX12" i="14"/>
  <c r="BD26" i="14"/>
  <c r="AY12" i="14"/>
  <c r="BE26" i="14"/>
  <c r="AZ12" i="14"/>
  <c r="BF26" i="14"/>
  <c r="BA12" i="14"/>
  <c r="BG26" i="14"/>
  <c r="BB12" i="14"/>
  <c r="BH26" i="14"/>
  <c r="BC12" i="14"/>
  <c r="BI26" i="14"/>
  <c r="BD12" i="14"/>
  <c r="BJ26" i="14"/>
  <c r="BE12" i="14"/>
  <c r="BK26" i="14"/>
  <c r="BF12" i="14"/>
  <c r="BL26" i="14"/>
  <c r="BG12" i="14"/>
  <c r="BM26" i="14"/>
  <c r="BH12" i="14"/>
  <c r="BN26" i="14"/>
  <c r="AP26" i="14"/>
  <c r="AK13" i="14"/>
  <c r="AQ27" i="14"/>
  <c r="AL13" i="14"/>
  <c r="AR27" i="14"/>
  <c r="AM13" i="14"/>
  <c r="AS27" i="14"/>
  <c r="AN13" i="14"/>
  <c r="AT27" i="14"/>
  <c r="AO13" i="14"/>
  <c r="AU27" i="14"/>
  <c r="AP13" i="14"/>
  <c r="AV27" i="14"/>
  <c r="AQ13" i="14"/>
  <c r="AW27" i="14"/>
  <c r="AR13" i="14"/>
  <c r="AX27" i="14"/>
  <c r="AS13" i="14"/>
  <c r="AY27" i="14"/>
  <c r="AT13" i="14"/>
  <c r="AZ27" i="14"/>
  <c r="AU13" i="14"/>
  <c r="BA27" i="14"/>
  <c r="AV13" i="14"/>
  <c r="BB27" i="14"/>
  <c r="AW13" i="14"/>
  <c r="BC27" i="14"/>
  <c r="AX13" i="14"/>
  <c r="BD27" i="14"/>
  <c r="AY13" i="14"/>
  <c r="BE27" i="14"/>
  <c r="AZ13" i="14"/>
  <c r="BF27" i="14"/>
  <c r="BA13" i="14"/>
  <c r="BG27" i="14"/>
  <c r="BB13" i="14"/>
  <c r="BH27" i="14"/>
  <c r="BC13" i="14"/>
  <c r="BI27" i="14"/>
  <c r="BD13" i="14"/>
  <c r="BJ27" i="14"/>
  <c r="BE13" i="14"/>
  <c r="BK27" i="14"/>
  <c r="BF13" i="14"/>
  <c r="BL27" i="14"/>
  <c r="BG13" i="14"/>
  <c r="BM27" i="14"/>
  <c r="BH13" i="14"/>
  <c r="BN27" i="14"/>
  <c r="AP27" i="14"/>
  <c r="AP28" i="14"/>
  <c r="AN16" i="14"/>
  <c r="AN17" i="14"/>
  <c r="AN18" i="14"/>
  <c r="AN19" i="14"/>
  <c r="AN20" i="14"/>
  <c r="AN21" i="14"/>
  <c r="AN22" i="14"/>
  <c r="AN23" i="14"/>
  <c r="AN24" i="14"/>
  <c r="AN25" i="14"/>
  <c r="AN26" i="14"/>
  <c r="AN27" i="14"/>
  <c r="AN28" i="14"/>
  <c r="AM16" i="14"/>
  <c r="AM17" i="14"/>
  <c r="AM18" i="14"/>
  <c r="AM19" i="14"/>
  <c r="AM20" i="14"/>
  <c r="AM21" i="14"/>
  <c r="AM22" i="14"/>
  <c r="AM23" i="14"/>
  <c r="AM24" i="14"/>
  <c r="AM25" i="14"/>
  <c r="AM26" i="14"/>
  <c r="AM27" i="14"/>
  <c r="AM28" i="14"/>
  <c r="AL16" i="14"/>
  <c r="AL17" i="14"/>
  <c r="AL18" i="14"/>
  <c r="AL19" i="14"/>
  <c r="AL20" i="14"/>
  <c r="AL21" i="14"/>
  <c r="AL22" i="14"/>
  <c r="AL23" i="14"/>
  <c r="AL24" i="14"/>
  <c r="AL25" i="14"/>
  <c r="AL26" i="14"/>
  <c r="AL27" i="14"/>
  <c r="AL28" i="14"/>
  <c r="AK16" i="14"/>
  <c r="AK17" i="14"/>
  <c r="AK18" i="14"/>
  <c r="AK19" i="14"/>
  <c r="AK20" i="14"/>
  <c r="AK21" i="14"/>
  <c r="AK22" i="14"/>
  <c r="AK23" i="14"/>
  <c r="AK24" i="14"/>
  <c r="AK25" i="14"/>
  <c r="AK26" i="14"/>
  <c r="AK27" i="14"/>
  <c r="AK28" i="14"/>
  <c r="Z2" i="14"/>
  <c r="AA2" i="14"/>
  <c r="AB2" i="14"/>
  <c r="AC2" i="14"/>
  <c r="AA16" i="14"/>
  <c r="Z3" i="14"/>
  <c r="AA3" i="14"/>
  <c r="AB3" i="14"/>
  <c r="AC3" i="14"/>
  <c r="AA17" i="14"/>
  <c r="Z4" i="14"/>
  <c r="AA4" i="14"/>
  <c r="AB4" i="14"/>
  <c r="AC4" i="14"/>
  <c r="AA18" i="14"/>
  <c r="Z5" i="14"/>
  <c r="AA5" i="14"/>
  <c r="AB5" i="14"/>
  <c r="AC5" i="14"/>
  <c r="AA19" i="14"/>
  <c r="Z6" i="14"/>
  <c r="AA6" i="14"/>
  <c r="AB6" i="14"/>
  <c r="AC6" i="14"/>
  <c r="AA20" i="14"/>
  <c r="Z7" i="14"/>
  <c r="AA7" i="14"/>
  <c r="AB7" i="14"/>
  <c r="AC7" i="14"/>
  <c r="AA21" i="14"/>
  <c r="Z8" i="14"/>
  <c r="AA8" i="14"/>
  <c r="AB8" i="14"/>
  <c r="AC8" i="14"/>
  <c r="AA22" i="14"/>
  <c r="Z9" i="14"/>
  <c r="AA9" i="14"/>
  <c r="AB9" i="14"/>
  <c r="AC9" i="14"/>
  <c r="AA23" i="14"/>
  <c r="Z10" i="14"/>
  <c r="AA10" i="14"/>
  <c r="AB10" i="14"/>
  <c r="AC10" i="14"/>
  <c r="AA24" i="14"/>
  <c r="Z11" i="14"/>
  <c r="AA11" i="14"/>
  <c r="AB11" i="14"/>
  <c r="AC11" i="14"/>
  <c r="AA25" i="14"/>
  <c r="Z12" i="14"/>
  <c r="AA12" i="14"/>
  <c r="AB12" i="14"/>
  <c r="AC12" i="14"/>
  <c r="AA26" i="14"/>
  <c r="Z13" i="14"/>
  <c r="AA13" i="14"/>
  <c r="AB13" i="14"/>
  <c r="AC13" i="14"/>
  <c r="AA27" i="14"/>
  <c r="AA28" i="14"/>
  <c r="Z16" i="14"/>
  <c r="Z17" i="14"/>
  <c r="Z18" i="14"/>
  <c r="Z19" i="14"/>
  <c r="Z20" i="14"/>
  <c r="Z21" i="14"/>
  <c r="Z22" i="14"/>
  <c r="Z23" i="14"/>
  <c r="Z24" i="14"/>
  <c r="Z25" i="14"/>
  <c r="Z26" i="14"/>
  <c r="Z27" i="14"/>
  <c r="Z28" i="14"/>
  <c r="S28" i="14"/>
  <c r="R28" i="14"/>
  <c r="Q28" i="14"/>
  <c r="P28" i="14"/>
  <c r="N28" i="14"/>
  <c r="M28" i="14"/>
  <c r="L28" i="14"/>
  <c r="K28" i="14"/>
  <c r="D27" i="14"/>
  <c r="G26" i="14"/>
  <c r="N25" i="14"/>
  <c r="M25" i="14"/>
  <c r="L25" i="14"/>
  <c r="K25" i="14"/>
  <c r="D25" i="14"/>
  <c r="G24" i="14"/>
  <c r="H16" i="14"/>
  <c r="D23" i="14"/>
  <c r="G22" i="14"/>
  <c r="G16" i="14"/>
  <c r="D21" i="14"/>
  <c r="G20" i="14"/>
  <c r="M19" i="14"/>
  <c r="W16" i="14"/>
  <c r="V16" i="14"/>
  <c r="U16" i="14"/>
  <c r="E50" i="13"/>
  <c r="A50" i="13"/>
  <c r="E49" i="13"/>
  <c r="A49" i="13"/>
  <c r="E48" i="13"/>
  <c r="A48" i="13"/>
  <c r="E47" i="13"/>
  <c r="A47" i="13"/>
  <c r="E46" i="13"/>
  <c r="A46" i="13"/>
  <c r="E45" i="13"/>
  <c r="A45" i="13"/>
  <c r="E44" i="13"/>
  <c r="A44" i="13"/>
  <c r="E43" i="13"/>
  <c r="A43" i="13"/>
  <c r="X15" i="13"/>
  <c r="E42" i="13"/>
  <c r="A42" i="13"/>
  <c r="X14" i="13"/>
  <c r="E41" i="13"/>
  <c r="AE18" i="13"/>
  <c r="A41" i="13"/>
  <c r="X13" i="13"/>
  <c r="E40" i="13"/>
  <c r="AE17" i="13"/>
  <c r="A40" i="13"/>
  <c r="X12" i="13"/>
  <c r="E39" i="13"/>
  <c r="AE16" i="13"/>
  <c r="A39" i="13"/>
  <c r="X11" i="13"/>
  <c r="X10" i="13"/>
  <c r="X9" i="13"/>
  <c r="R16" i="13"/>
  <c r="Q16" i="13"/>
  <c r="X8" i="13"/>
  <c r="X7" i="13"/>
  <c r="X4" i="13"/>
  <c r="X5" i="13"/>
  <c r="X6" i="13"/>
  <c r="AE2" i="13"/>
  <c r="AF2" i="13"/>
  <c r="AG2" i="13"/>
  <c r="AH2" i="13"/>
  <c r="AI2" i="13"/>
  <c r="AG16" i="13"/>
  <c r="AE3" i="13"/>
  <c r="AF3" i="13"/>
  <c r="AG3" i="13"/>
  <c r="AH3" i="13"/>
  <c r="AI3" i="13"/>
  <c r="AG17" i="13"/>
  <c r="AE4" i="13"/>
  <c r="AF4" i="13"/>
  <c r="AG4" i="13"/>
  <c r="AH4" i="13"/>
  <c r="AI4" i="13"/>
  <c r="AG18" i="13"/>
  <c r="AE5" i="13"/>
  <c r="AF5" i="13"/>
  <c r="AG5" i="13"/>
  <c r="AH5" i="13"/>
  <c r="AI5" i="13"/>
  <c r="AG19" i="13"/>
  <c r="AE6" i="13"/>
  <c r="AF6" i="13"/>
  <c r="AG6" i="13"/>
  <c r="AH6" i="13"/>
  <c r="AI6" i="13"/>
  <c r="AG20" i="13"/>
  <c r="AE7" i="13"/>
  <c r="AF7" i="13"/>
  <c r="AG7" i="13"/>
  <c r="AH7" i="13"/>
  <c r="AI7" i="13"/>
  <c r="AG21" i="13"/>
  <c r="AE8" i="13"/>
  <c r="AF8" i="13"/>
  <c r="AG8" i="13"/>
  <c r="AH8" i="13"/>
  <c r="AI8" i="13"/>
  <c r="AG22" i="13"/>
  <c r="AE9" i="13"/>
  <c r="AF9" i="13"/>
  <c r="AG9" i="13"/>
  <c r="AH9" i="13"/>
  <c r="AI9" i="13"/>
  <c r="AG23" i="13"/>
  <c r="AE10" i="13"/>
  <c r="AF10" i="13"/>
  <c r="AG10" i="13"/>
  <c r="AH10" i="13"/>
  <c r="AI10" i="13"/>
  <c r="AG24" i="13"/>
  <c r="AE11" i="13"/>
  <c r="AF11" i="13"/>
  <c r="AG11" i="13"/>
  <c r="AH11" i="13"/>
  <c r="AI11" i="13"/>
  <c r="AG25" i="13"/>
  <c r="AE12" i="13"/>
  <c r="AF12" i="13"/>
  <c r="AG12" i="13"/>
  <c r="AH12" i="13"/>
  <c r="AI12" i="13"/>
  <c r="AG26" i="13"/>
  <c r="AF16" i="13"/>
  <c r="AF17" i="13"/>
  <c r="AF18" i="13"/>
  <c r="AF19" i="13"/>
  <c r="AF20" i="13"/>
  <c r="AF21" i="13"/>
  <c r="AF22" i="13"/>
  <c r="AF23" i="13"/>
  <c r="AF24" i="13"/>
  <c r="AF25" i="13"/>
  <c r="AF26" i="13"/>
  <c r="D31" i="13"/>
  <c r="J29" i="13"/>
  <c r="I29" i="13"/>
  <c r="H29" i="13"/>
  <c r="G29" i="13"/>
  <c r="F16" i="13"/>
  <c r="D29" i="13"/>
  <c r="AK2" i="13"/>
  <c r="AQ16" i="13"/>
  <c r="AL2" i="13"/>
  <c r="AR16" i="13"/>
  <c r="AM2" i="13"/>
  <c r="AS16" i="13"/>
  <c r="AN2" i="13"/>
  <c r="AT16" i="13"/>
  <c r="AO2" i="13"/>
  <c r="AU16" i="13"/>
  <c r="AP2" i="13"/>
  <c r="AV16" i="13"/>
  <c r="AQ2" i="13"/>
  <c r="AW16" i="13"/>
  <c r="AR2" i="13"/>
  <c r="AX16" i="13"/>
  <c r="AS2" i="13"/>
  <c r="AY16" i="13"/>
  <c r="AT2" i="13"/>
  <c r="AZ16" i="13"/>
  <c r="AU2" i="13"/>
  <c r="BA16" i="13"/>
  <c r="AV2" i="13"/>
  <c r="BB16" i="13"/>
  <c r="AW2" i="13"/>
  <c r="BC16" i="13"/>
  <c r="AX2" i="13"/>
  <c r="BD16" i="13"/>
  <c r="AY2" i="13"/>
  <c r="BE16" i="13"/>
  <c r="AZ2" i="13"/>
  <c r="BF16" i="13"/>
  <c r="BA2" i="13"/>
  <c r="BG16" i="13"/>
  <c r="BB2" i="13"/>
  <c r="BH16" i="13"/>
  <c r="BC2" i="13"/>
  <c r="BI16" i="13"/>
  <c r="BD2" i="13"/>
  <c r="BJ16" i="13"/>
  <c r="BE2" i="13"/>
  <c r="BK16" i="13"/>
  <c r="BF2" i="13"/>
  <c r="BL16" i="13"/>
  <c r="BG2" i="13"/>
  <c r="BM16" i="13"/>
  <c r="BH2" i="13"/>
  <c r="BN16" i="13"/>
  <c r="AP16" i="13"/>
  <c r="AK3" i="13"/>
  <c r="AQ17" i="13"/>
  <c r="AL3" i="13"/>
  <c r="AR17" i="13"/>
  <c r="AM3" i="13"/>
  <c r="AS17" i="13"/>
  <c r="AN3" i="13"/>
  <c r="AT17" i="13"/>
  <c r="AO3" i="13"/>
  <c r="AU17" i="13"/>
  <c r="AP3" i="13"/>
  <c r="AV17" i="13"/>
  <c r="AQ3" i="13"/>
  <c r="AW17" i="13"/>
  <c r="AR3" i="13"/>
  <c r="AX17" i="13"/>
  <c r="AS3" i="13"/>
  <c r="AY17" i="13"/>
  <c r="AT3" i="13"/>
  <c r="AZ17" i="13"/>
  <c r="AU3" i="13"/>
  <c r="BA17" i="13"/>
  <c r="AV3" i="13"/>
  <c r="BB17" i="13"/>
  <c r="AW3" i="13"/>
  <c r="BC17" i="13"/>
  <c r="AX3" i="13"/>
  <c r="BD17" i="13"/>
  <c r="AY3" i="13"/>
  <c r="BE17" i="13"/>
  <c r="AZ3" i="13"/>
  <c r="BF17" i="13"/>
  <c r="BA3" i="13"/>
  <c r="BG17" i="13"/>
  <c r="BB3" i="13"/>
  <c r="BH17" i="13"/>
  <c r="BC3" i="13"/>
  <c r="BI17" i="13"/>
  <c r="BD3" i="13"/>
  <c r="BJ17" i="13"/>
  <c r="BE3" i="13"/>
  <c r="BK17" i="13"/>
  <c r="BF3" i="13"/>
  <c r="BL17" i="13"/>
  <c r="BG3" i="13"/>
  <c r="BM17" i="13"/>
  <c r="BH3" i="13"/>
  <c r="BN17" i="13"/>
  <c r="AP17" i="13"/>
  <c r="AK4" i="13"/>
  <c r="AQ18" i="13"/>
  <c r="AL4" i="13"/>
  <c r="AR18" i="13"/>
  <c r="AM4" i="13"/>
  <c r="AS18" i="13"/>
  <c r="AN4" i="13"/>
  <c r="AT18" i="13"/>
  <c r="AO4" i="13"/>
  <c r="AU18" i="13"/>
  <c r="AP4" i="13"/>
  <c r="AV18" i="13"/>
  <c r="AQ4" i="13"/>
  <c r="AW18" i="13"/>
  <c r="AR4" i="13"/>
  <c r="AX18" i="13"/>
  <c r="AS4" i="13"/>
  <c r="AY18" i="13"/>
  <c r="AT4" i="13"/>
  <c r="AZ18" i="13"/>
  <c r="AU4" i="13"/>
  <c r="BA18" i="13"/>
  <c r="AV4" i="13"/>
  <c r="BB18" i="13"/>
  <c r="AW4" i="13"/>
  <c r="BC18" i="13"/>
  <c r="AX4" i="13"/>
  <c r="BD18" i="13"/>
  <c r="AY4" i="13"/>
  <c r="BE18" i="13"/>
  <c r="AZ4" i="13"/>
  <c r="BF18" i="13"/>
  <c r="BA4" i="13"/>
  <c r="BG18" i="13"/>
  <c r="BB4" i="13"/>
  <c r="BH18" i="13"/>
  <c r="BC4" i="13"/>
  <c r="BI18" i="13"/>
  <c r="BD4" i="13"/>
  <c r="BJ18" i="13"/>
  <c r="BE4" i="13"/>
  <c r="BK18" i="13"/>
  <c r="BF4" i="13"/>
  <c r="BL18" i="13"/>
  <c r="BG4" i="13"/>
  <c r="BM18" i="13"/>
  <c r="BH4" i="13"/>
  <c r="BN18" i="13"/>
  <c r="AP18" i="13"/>
  <c r="AK5" i="13"/>
  <c r="AQ19" i="13"/>
  <c r="AL5" i="13"/>
  <c r="AR19" i="13"/>
  <c r="AM5" i="13"/>
  <c r="AS19" i="13"/>
  <c r="AN5" i="13"/>
  <c r="AT19" i="13"/>
  <c r="AO5" i="13"/>
  <c r="AU19" i="13"/>
  <c r="AP5" i="13"/>
  <c r="AV19" i="13"/>
  <c r="AQ5" i="13"/>
  <c r="AW19" i="13"/>
  <c r="AR5" i="13"/>
  <c r="AX19" i="13"/>
  <c r="AS5" i="13"/>
  <c r="AY19" i="13"/>
  <c r="AT5" i="13"/>
  <c r="AZ19" i="13"/>
  <c r="AU5" i="13"/>
  <c r="BA19" i="13"/>
  <c r="AV5" i="13"/>
  <c r="BB19" i="13"/>
  <c r="AW5" i="13"/>
  <c r="BC19" i="13"/>
  <c r="AX5" i="13"/>
  <c r="BD19" i="13"/>
  <c r="AY5" i="13"/>
  <c r="BE19" i="13"/>
  <c r="AZ5" i="13"/>
  <c r="BF19" i="13"/>
  <c r="BA5" i="13"/>
  <c r="BG19" i="13"/>
  <c r="BB5" i="13"/>
  <c r="BH19" i="13"/>
  <c r="BC5" i="13"/>
  <c r="BI19" i="13"/>
  <c r="BD5" i="13"/>
  <c r="BJ19" i="13"/>
  <c r="BE5" i="13"/>
  <c r="BK19" i="13"/>
  <c r="BF5" i="13"/>
  <c r="BL19" i="13"/>
  <c r="BG5" i="13"/>
  <c r="BM19" i="13"/>
  <c r="BH5" i="13"/>
  <c r="BN19" i="13"/>
  <c r="AP19" i="13"/>
  <c r="AK6" i="13"/>
  <c r="AQ20" i="13"/>
  <c r="AL6" i="13"/>
  <c r="AR20" i="13"/>
  <c r="AM6" i="13"/>
  <c r="AS20" i="13"/>
  <c r="AN6" i="13"/>
  <c r="AT20" i="13"/>
  <c r="AO6" i="13"/>
  <c r="AU20" i="13"/>
  <c r="AP6" i="13"/>
  <c r="AV20" i="13"/>
  <c r="AQ6" i="13"/>
  <c r="AW20" i="13"/>
  <c r="AR6" i="13"/>
  <c r="AX20" i="13"/>
  <c r="AS6" i="13"/>
  <c r="AY20" i="13"/>
  <c r="AT6" i="13"/>
  <c r="AZ20" i="13"/>
  <c r="AU6" i="13"/>
  <c r="BA20" i="13"/>
  <c r="AV6" i="13"/>
  <c r="BB20" i="13"/>
  <c r="AW6" i="13"/>
  <c r="BC20" i="13"/>
  <c r="AX6" i="13"/>
  <c r="BD20" i="13"/>
  <c r="AY6" i="13"/>
  <c r="BE20" i="13"/>
  <c r="AZ6" i="13"/>
  <c r="BF20" i="13"/>
  <c r="BA6" i="13"/>
  <c r="BG20" i="13"/>
  <c r="BB6" i="13"/>
  <c r="BH20" i="13"/>
  <c r="BC6" i="13"/>
  <c r="BI20" i="13"/>
  <c r="BD6" i="13"/>
  <c r="BJ20" i="13"/>
  <c r="BE6" i="13"/>
  <c r="BK20" i="13"/>
  <c r="BF6" i="13"/>
  <c r="BL20" i="13"/>
  <c r="BG6" i="13"/>
  <c r="BM20" i="13"/>
  <c r="BH6" i="13"/>
  <c r="BN20" i="13"/>
  <c r="AP20" i="13"/>
  <c r="AK7" i="13"/>
  <c r="AQ21" i="13"/>
  <c r="AL7" i="13"/>
  <c r="AR21" i="13"/>
  <c r="AM7" i="13"/>
  <c r="AS21" i="13"/>
  <c r="AN7" i="13"/>
  <c r="AT21" i="13"/>
  <c r="AO7" i="13"/>
  <c r="AU21" i="13"/>
  <c r="AP7" i="13"/>
  <c r="AV21" i="13"/>
  <c r="AQ7" i="13"/>
  <c r="AW21" i="13"/>
  <c r="AR7" i="13"/>
  <c r="AX21" i="13"/>
  <c r="AS7" i="13"/>
  <c r="AY21" i="13"/>
  <c r="AT7" i="13"/>
  <c r="AZ21" i="13"/>
  <c r="AU7" i="13"/>
  <c r="BA21" i="13"/>
  <c r="AV7" i="13"/>
  <c r="BB21" i="13"/>
  <c r="AW7" i="13"/>
  <c r="BC21" i="13"/>
  <c r="AX7" i="13"/>
  <c r="BD21" i="13"/>
  <c r="AY7" i="13"/>
  <c r="BE21" i="13"/>
  <c r="AZ7" i="13"/>
  <c r="BF21" i="13"/>
  <c r="BA7" i="13"/>
  <c r="BG21" i="13"/>
  <c r="BB7" i="13"/>
  <c r="BH21" i="13"/>
  <c r="BC7" i="13"/>
  <c r="BI21" i="13"/>
  <c r="BD7" i="13"/>
  <c r="BJ21" i="13"/>
  <c r="BE7" i="13"/>
  <c r="BK21" i="13"/>
  <c r="BF7" i="13"/>
  <c r="BL21" i="13"/>
  <c r="BG7" i="13"/>
  <c r="BM21" i="13"/>
  <c r="BH7" i="13"/>
  <c r="BN21" i="13"/>
  <c r="AP21" i="13"/>
  <c r="AK8" i="13"/>
  <c r="AQ22" i="13"/>
  <c r="AL8" i="13"/>
  <c r="AR22" i="13"/>
  <c r="AM8" i="13"/>
  <c r="AS22" i="13"/>
  <c r="AN8" i="13"/>
  <c r="AT22" i="13"/>
  <c r="AO8" i="13"/>
  <c r="AU22" i="13"/>
  <c r="AP8" i="13"/>
  <c r="AV22" i="13"/>
  <c r="AQ8" i="13"/>
  <c r="AW22" i="13"/>
  <c r="AR8" i="13"/>
  <c r="AX22" i="13"/>
  <c r="AS8" i="13"/>
  <c r="AY22" i="13"/>
  <c r="AT8" i="13"/>
  <c r="AZ22" i="13"/>
  <c r="AU8" i="13"/>
  <c r="BA22" i="13"/>
  <c r="AV8" i="13"/>
  <c r="BB22" i="13"/>
  <c r="AW8" i="13"/>
  <c r="BC22" i="13"/>
  <c r="AX8" i="13"/>
  <c r="BD22" i="13"/>
  <c r="AY8" i="13"/>
  <c r="BE22" i="13"/>
  <c r="AZ8" i="13"/>
  <c r="BF22" i="13"/>
  <c r="BA8" i="13"/>
  <c r="BG22" i="13"/>
  <c r="BB8" i="13"/>
  <c r="BH22" i="13"/>
  <c r="BC8" i="13"/>
  <c r="BI22" i="13"/>
  <c r="BD8" i="13"/>
  <c r="BJ22" i="13"/>
  <c r="BE8" i="13"/>
  <c r="BK22" i="13"/>
  <c r="BF8" i="13"/>
  <c r="BL22" i="13"/>
  <c r="BG8" i="13"/>
  <c r="BM22" i="13"/>
  <c r="BH8" i="13"/>
  <c r="BN22" i="13"/>
  <c r="AP22" i="13"/>
  <c r="AK9" i="13"/>
  <c r="AQ23" i="13"/>
  <c r="AL9" i="13"/>
  <c r="AR23" i="13"/>
  <c r="AM9" i="13"/>
  <c r="AS23" i="13"/>
  <c r="AN9" i="13"/>
  <c r="AT23" i="13"/>
  <c r="AO9" i="13"/>
  <c r="AU23" i="13"/>
  <c r="AP9" i="13"/>
  <c r="AV23" i="13"/>
  <c r="AQ9" i="13"/>
  <c r="AW23" i="13"/>
  <c r="AR9" i="13"/>
  <c r="AX23" i="13"/>
  <c r="AS9" i="13"/>
  <c r="AY23" i="13"/>
  <c r="AT9" i="13"/>
  <c r="AZ23" i="13"/>
  <c r="AU9" i="13"/>
  <c r="BA23" i="13"/>
  <c r="AV9" i="13"/>
  <c r="BB23" i="13"/>
  <c r="AW9" i="13"/>
  <c r="BC23" i="13"/>
  <c r="AX9" i="13"/>
  <c r="BD23" i="13"/>
  <c r="AY9" i="13"/>
  <c r="BE23" i="13"/>
  <c r="AZ9" i="13"/>
  <c r="BF23" i="13"/>
  <c r="BA9" i="13"/>
  <c r="BG23" i="13"/>
  <c r="BB9" i="13"/>
  <c r="BH23" i="13"/>
  <c r="BC9" i="13"/>
  <c r="BI23" i="13"/>
  <c r="BD9" i="13"/>
  <c r="BJ23" i="13"/>
  <c r="BE9" i="13"/>
  <c r="BK23" i="13"/>
  <c r="BF9" i="13"/>
  <c r="BL23" i="13"/>
  <c r="BG9" i="13"/>
  <c r="BM23" i="13"/>
  <c r="BH9" i="13"/>
  <c r="BN23" i="13"/>
  <c r="AP23" i="13"/>
  <c r="AK10" i="13"/>
  <c r="AQ24" i="13"/>
  <c r="AL10" i="13"/>
  <c r="AR24" i="13"/>
  <c r="AM10" i="13"/>
  <c r="AS24" i="13"/>
  <c r="AN10" i="13"/>
  <c r="AT24" i="13"/>
  <c r="AO10" i="13"/>
  <c r="AU24" i="13"/>
  <c r="AP10" i="13"/>
  <c r="AV24" i="13"/>
  <c r="AQ10" i="13"/>
  <c r="AW24" i="13"/>
  <c r="AR10" i="13"/>
  <c r="AX24" i="13"/>
  <c r="AS10" i="13"/>
  <c r="AY24" i="13"/>
  <c r="AT10" i="13"/>
  <c r="AZ24" i="13"/>
  <c r="AU10" i="13"/>
  <c r="BA24" i="13"/>
  <c r="AV10" i="13"/>
  <c r="BB24" i="13"/>
  <c r="AW10" i="13"/>
  <c r="BC24" i="13"/>
  <c r="AX10" i="13"/>
  <c r="BD24" i="13"/>
  <c r="AY10" i="13"/>
  <c r="BE24" i="13"/>
  <c r="AZ10" i="13"/>
  <c r="BF24" i="13"/>
  <c r="BA10" i="13"/>
  <c r="BG24" i="13"/>
  <c r="BB10" i="13"/>
  <c r="BH24" i="13"/>
  <c r="BC10" i="13"/>
  <c r="BI24" i="13"/>
  <c r="BD10" i="13"/>
  <c r="BJ24" i="13"/>
  <c r="BE10" i="13"/>
  <c r="BK24" i="13"/>
  <c r="BF10" i="13"/>
  <c r="BL24" i="13"/>
  <c r="BG10" i="13"/>
  <c r="BM24" i="13"/>
  <c r="BH10" i="13"/>
  <c r="BN24" i="13"/>
  <c r="AP24" i="13"/>
  <c r="AK11" i="13"/>
  <c r="AQ25" i="13"/>
  <c r="AL11" i="13"/>
  <c r="AR25" i="13"/>
  <c r="AM11" i="13"/>
  <c r="AS25" i="13"/>
  <c r="AN11" i="13"/>
  <c r="AT25" i="13"/>
  <c r="AO11" i="13"/>
  <c r="AU25" i="13"/>
  <c r="AP11" i="13"/>
  <c r="AV25" i="13"/>
  <c r="AQ11" i="13"/>
  <c r="AW25" i="13"/>
  <c r="AR11" i="13"/>
  <c r="AX25" i="13"/>
  <c r="AS11" i="13"/>
  <c r="AY25" i="13"/>
  <c r="AT11" i="13"/>
  <c r="AZ25" i="13"/>
  <c r="AU11" i="13"/>
  <c r="BA25" i="13"/>
  <c r="AV11" i="13"/>
  <c r="BB25" i="13"/>
  <c r="AW11" i="13"/>
  <c r="BC25" i="13"/>
  <c r="AX11" i="13"/>
  <c r="BD25" i="13"/>
  <c r="AY11" i="13"/>
  <c r="BE25" i="13"/>
  <c r="AZ11" i="13"/>
  <c r="BF25" i="13"/>
  <c r="BA11" i="13"/>
  <c r="BG25" i="13"/>
  <c r="BB11" i="13"/>
  <c r="BH25" i="13"/>
  <c r="BC11" i="13"/>
  <c r="BI25" i="13"/>
  <c r="BD11" i="13"/>
  <c r="BJ25" i="13"/>
  <c r="BE11" i="13"/>
  <c r="BK25" i="13"/>
  <c r="BF11" i="13"/>
  <c r="BL25" i="13"/>
  <c r="BG11" i="13"/>
  <c r="BM25" i="13"/>
  <c r="BH11" i="13"/>
  <c r="BN25" i="13"/>
  <c r="AP25" i="13"/>
  <c r="AK12" i="13"/>
  <c r="AQ26" i="13"/>
  <c r="AL12" i="13"/>
  <c r="AR26" i="13"/>
  <c r="AM12" i="13"/>
  <c r="AS26" i="13"/>
  <c r="AN12" i="13"/>
  <c r="AT26" i="13"/>
  <c r="AO12" i="13"/>
  <c r="AU26" i="13"/>
  <c r="AP12" i="13"/>
  <c r="AV26" i="13"/>
  <c r="AQ12" i="13"/>
  <c r="AW26" i="13"/>
  <c r="AR12" i="13"/>
  <c r="AX26" i="13"/>
  <c r="AS12" i="13"/>
  <c r="AY26" i="13"/>
  <c r="AT12" i="13"/>
  <c r="AZ26" i="13"/>
  <c r="AU12" i="13"/>
  <c r="BA26" i="13"/>
  <c r="AV12" i="13"/>
  <c r="BB26" i="13"/>
  <c r="AW12" i="13"/>
  <c r="BC26" i="13"/>
  <c r="AX12" i="13"/>
  <c r="BD26" i="13"/>
  <c r="AY12" i="13"/>
  <c r="BE26" i="13"/>
  <c r="AZ12" i="13"/>
  <c r="BF26" i="13"/>
  <c r="BA12" i="13"/>
  <c r="BG26" i="13"/>
  <c r="BB12" i="13"/>
  <c r="BH26" i="13"/>
  <c r="BC12" i="13"/>
  <c r="BI26" i="13"/>
  <c r="BD12" i="13"/>
  <c r="BJ26" i="13"/>
  <c r="BE12" i="13"/>
  <c r="BK26" i="13"/>
  <c r="BF12" i="13"/>
  <c r="BL26" i="13"/>
  <c r="BG12" i="13"/>
  <c r="BM26" i="13"/>
  <c r="BH12" i="13"/>
  <c r="BN26" i="13"/>
  <c r="AP26" i="13"/>
  <c r="AK13" i="13"/>
  <c r="AQ27" i="13"/>
  <c r="AL13" i="13"/>
  <c r="AR27" i="13"/>
  <c r="AM13" i="13"/>
  <c r="AS27" i="13"/>
  <c r="AN13" i="13"/>
  <c r="AT27" i="13"/>
  <c r="AO13" i="13"/>
  <c r="AU27" i="13"/>
  <c r="AP13" i="13"/>
  <c r="AV27" i="13"/>
  <c r="AQ13" i="13"/>
  <c r="AW27" i="13"/>
  <c r="AR13" i="13"/>
  <c r="AX27" i="13"/>
  <c r="AS13" i="13"/>
  <c r="AY27" i="13"/>
  <c r="AT13" i="13"/>
  <c r="AZ27" i="13"/>
  <c r="AU13" i="13"/>
  <c r="BA27" i="13"/>
  <c r="AV13" i="13"/>
  <c r="BB27" i="13"/>
  <c r="AW13" i="13"/>
  <c r="BC27" i="13"/>
  <c r="AX13" i="13"/>
  <c r="BD27" i="13"/>
  <c r="AY13" i="13"/>
  <c r="BE27" i="13"/>
  <c r="AZ13" i="13"/>
  <c r="BF27" i="13"/>
  <c r="BA13" i="13"/>
  <c r="BG27" i="13"/>
  <c r="BB13" i="13"/>
  <c r="BH27" i="13"/>
  <c r="BC13" i="13"/>
  <c r="BI27" i="13"/>
  <c r="BD13" i="13"/>
  <c r="BJ27" i="13"/>
  <c r="BE13" i="13"/>
  <c r="BK27" i="13"/>
  <c r="BF13" i="13"/>
  <c r="BL27" i="13"/>
  <c r="BG13" i="13"/>
  <c r="BM27" i="13"/>
  <c r="BH13" i="13"/>
  <c r="BN27" i="13"/>
  <c r="AP27" i="13"/>
  <c r="AP28" i="13"/>
  <c r="AN16" i="13"/>
  <c r="AN17" i="13"/>
  <c r="AN18" i="13"/>
  <c r="AN19" i="13"/>
  <c r="AN20" i="13"/>
  <c r="AN21" i="13"/>
  <c r="AN22" i="13"/>
  <c r="AN23" i="13"/>
  <c r="AN24" i="13"/>
  <c r="AN25" i="13"/>
  <c r="AN26" i="13"/>
  <c r="AN27" i="13"/>
  <c r="AN28" i="13"/>
  <c r="AM16" i="13"/>
  <c r="AM17" i="13"/>
  <c r="AM18" i="13"/>
  <c r="AM19" i="13"/>
  <c r="AM20" i="13"/>
  <c r="AM21" i="13"/>
  <c r="AM22" i="13"/>
  <c r="AM23" i="13"/>
  <c r="AM24" i="13"/>
  <c r="AM25" i="13"/>
  <c r="AM26" i="13"/>
  <c r="AM27" i="13"/>
  <c r="AM28" i="13"/>
  <c r="AL16" i="13"/>
  <c r="AL17" i="13"/>
  <c r="AL18" i="13"/>
  <c r="AL19" i="13"/>
  <c r="AL20" i="13"/>
  <c r="AL21" i="13"/>
  <c r="AL22" i="13"/>
  <c r="AL23" i="13"/>
  <c r="AL24" i="13"/>
  <c r="AL25" i="13"/>
  <c r="AL26" i="13"/>
  <c r="AL27" i="13"/>
  <c r="AL28" i="13"/>
  <c r="AK16" i="13"/>
  <c r="AK17" i="13"/>
  <c r="AK18" i="13"/>
  <c r="AK19" i="13"/>
  <c r="AK20" i="13"/>
  <c r="AK21" i="13"/>
  <c r="AK22" i="13"/>
  <c r="AK23" i="13"/>
  <c r="AK24" i="13"/>
  <c r="AK25" i="13"/>
  <c r="AK26" i="13"/>
  <c r="AK27" i="13"/>
  <c r="AK28" i="13"/>
  <c r="Z2" i="13"/>
  <c r="AA2" i="13"/>
  <c r="AB2" i="13"/>
  <c r="AC2" i="13"/>
  <c r="AA16" i="13"/>
  <c r="Z3" i="13"/>
  <c r="AA3" i="13"/>
  <c r="AB3" i="13"/>
  <c r="AC3" i="13"/>
  <c r="AA17" i="13"/>
  <c r="Z4" i="13"/>
  <c r="AA4" i="13"/>
  <c r="AB4" i="13"/>
  <c r="AC4" i="13"/>
  <c r="AA18" i="13"/>
  <c r="Z5" i="13"/>
  <c r="AA5" i="13"/>
  <c r="AB5" i="13"/>
  <c r="AC5" i="13"/>
  <c r="AA19" i="13"/>
  <c r="Z6" i="13"/>
  <c r="AA6" i="13"/>
  <c r="AB6" i="13"/>
  <c r="AC6" i="13"/>
  <c r="AA20" i="13"/>
  <c r="Z7" i="13"/>
  <c r="AA7" i="13"/>
  <c r="AB7" i="13"/>
  <c r="AC7" i="13"/>
  <c r="AA21" i="13"/>
  <c r="Z8" i="13"/>
  <c r="AA8" i="13"/>
  <c r="AB8" i="13"/>
  <c r="AC8" i="13"/>
  <c r="AA22" i="13"/>
  <c r="Z9" i="13"/>
  <c r="AA9" i="13"/>
  <c r="AB9" i="13"/>
  <c r="AC9" i="13"/>
  <c r="AA23" i="13"/>
  <c r="Z10" i="13"/>
  <c r="AA10" i="13"/>
  <c r="AB10" i="13"/>
  <c r="AC10" i="13"/>
  <c r="AA24" i="13"/>
  <c r="Z11" i="13"/>
  <c r="AA11" i="13"/>
  <c r="AB11" i="13"/>
  <c r="AC11" i="13"/>
  <c r="AA25" i="13"/>
  <c r="Z12" i="13"/>
  <c r="AA12" i="13"/>
  <c r="AB12" i="13"/>
  <c r="AC12" i="13"/>
  <c r="AA26" i="13"/>
  <c r="Z13" i="13"/>
  <c r="AA13" i="13"/>
  <c r="AB13" i="13"/>
  <c r="AC13" i="13"/>
  <c r="AA27" i="13"/>
  <c r="AA28" i="13"/>
  <c r="Z16" i="13"/>
  <c r="Z17" i="13"/>
  <c r="Z18" i="13"/>
  <c r="Z19" i="13"/>
  <c r="Z20" i="13"/>
  <c r="Z21" i="13"/>
  <c r="Z22" i="13"/>
  <c r="Z23" i="13"/>
  <c r="Z24" i="13"/>
  <c r="Z25" i="13"/>
  <c r="Z26" i="13"/>
  <c r="Z27" i="13"/>
  <c r="Z28" i="13"/>
  <c r="S28" i="13"/>
  <c r="R28" i="13"/>
  <c r="Q28" i="13"/>
  <c r="P28" i="13"/>
  <c r="N28" i="13"/>
  <c r="M28" i="13"/>
  <c r="L28" i="13"/>
  <c r="K28" i="13"/>
  <c r="D27" i="13"/>
  <c r="G26" i="13"/>
  <c r="N25" i="13"/>
  <c r="M25" i="13"/>
  <c r="L25" i="13"/>
  <c r="K25" i="13"/>
  <c r="D25" i="13"/>
  <c r="G24" i="13"/>
  <c r="H16" i="13"/>
  <c r="D23" i="13"/>
  <c r="G22" i="13"/>
  <c r="G16" i="13"/>
  <c r="D21" i="13"/>
  <c r="G20" i="13"/>
  <c r="M19" i="13"/>
  <c r="W16" i="13"/>
  <c r="V16" i="13"/>
  <c r="U16" i="13"/>
  <c r="L16" i="13"/>
  <c r="E50" i="12"/>
  <c r="A50" i="12"/>
  <c r="E49" i="12"/>
  <c r="A49" i="12"/>
  <c r="E48" i="12"/>
  <c r="A48" i="12"/>
  <c r="E47" i="12"/>
  <c r="A47" i="12"/>
  <c r="E46" i="12"/>
  <c r="A46" i="12"/>
  <c r="E45" i="12"/>
  <c r="A45" i="12"/>
  <c r="E44" i="12"/>
  <c r="A44" i="12"/>
  <c r="E43" i="12"/>
  <c r="A43" i="12"/>
  <c r="X15" i="12"/>
  <c r="E42" i="12"/>
  <c r="A42" i="12"/>
  <c r="E41" i="12"/>
  <c r="A41" i="12"/>
  <c r="E40" i="12"/>
  <c r="A40" i="12"/>
  <c r="X12" i="12"/>
  <c r="E39" i="12"/>
  <c r="A39" i="12"/>
  <c r="X11" i="12"/>
  <c r="X10" i="12"/>
  <c r="X9" i="12"/>
  <c r="X8" i="12"/>
  <c r="X4" i="12"/>
  <c r="X5" i="12"/>
  <c r="X6" i="12"/>
  <c r="AE2" i="12"/>
  <c r="AF2" i="12"/>
  <c r="AG2" i="12"/>
  <c r="AH2" i="12"/>
  <c r="AI2" i="12"/>
  <c r="AG16" i="12"/>
  <c r="AE3" i="12"/>
  <c r="AF3" i="12"/>
  <c r="AG3" i="12"/>
  <c r="AH3" i="12"/>
  <c r="AI3" i="12"/>
  <c r="AG17" i="12"/>
  <c r="AE4" i="12"/>
  <c r="AF4" i="12"/>
  <c r="AG4" i="12"/>
  <c r="AH4" i="12"/>
  <c r="AI4" i="12"/>
  <c r="AG18" i="12"/>
  <c r="AE6" i="12"/>
  <c r="AF6" i="12"/>
  <c r="AG6" i="12"/>
  <c r="AH6" i="12"/>
  <c r="AI6" i="12"/>
  <c r="AG20" i="12"/>
  <c r="AE7" i="12"/>
  <c r="AF7" i="12"/>
  <c r="AG7" i="12"/>
  <c r="AH7" i="12"/>
  <c r="AI7" i="12"/>
  <c r="AG21" i="12"/>
  <c r="AE8" i="12"/>
  <c r="AF8" i="12"/>
  <c r="AG8" i="12"/>
  <c r="AH8" i="12"/>
  <c r="AI8" i="12"/>
  <c r="AG22" i="12"/>
  <c r="AE9" i="12"/>
  <c r="AF9" i="12"/>
  <c r="AG9" i="12"/>
  <c r="AH9" i="12"/>
  <c r="AI9" i="12"/>
  <c r="AG23" i="12"/>
  <c r="AE10" i="12"/>
  <c r="AF10" i="12"/>
  <c r="AG10" i="12"/>
  <c r="AH10" i="12"/>
  <c r="AI10" i="12"/>
  <c r="AG24" i="12"/>
  <c r="AE11" i="12"/>
  <c r="AF11" i="12"/>
  <c r="AG11" i="12"/>
  <c r="AH11" i="12"/>
  <c r="AI11" i="12"/>
  <c r="AG25" i="12"/>
  <c r="AE12" i="12"/>
  <c r="AF12" i="12"/>
  <c r="AG12" i="12"/>
  <c r="AH12" i="12"/>
  <c r="AI12" i="12"/>
  <c r="AG26" i="12"/>
  <c r="AF16" i="12"/>
  <c r="AF17" i="12"/>
  <c r="AF18" i="12"/>
  <c r="AF20" i="12"/>
  <c r="AF21" i="12"/>
  <c r="AF22" i="12"/>
  <c r="AF23" i="12"/>
  <c r="AF24" i="12"/>
  <c r="AF25" i="12"/>
  <c r="AF26" i="12"/>
  <c r="J29" i="12"/>
  <c r="I29" i="12"/>
  <c r="H29" i="12"/>
  <c r="G29" i="12"/>
  <c r="F16" i="12"/>
  <c r="D29" i="12"/>
  <c r="AK2" i="12"/>
  <c r="AQ16" i="12"/>
  <c r="AL2" i="12"/>
  <c r="AR16" i="12"/>
  <c r="AM2" i="12"/>
  <c r="AS16" i="12"/>
  <c r="AN2" i="12"/>
  <c r="AT16" i="12"/>
  <c r="AO2" i="12"/>
  <c r="AU16" i="12"/>
  <c r="AP2" i="12"/>
  <c r="AV16" i="12"/>
  <c r="AQ2" i="12"/>
  <c r="AW16" i="12"/>
  <c r="AR2" i="12"/>
  <c r="AX16" i="12"/>
  <c r="AS2" i="12"/>
  <c r="AY16" i="12"/>
  <c r="AT2" i="12"/>
  <c r="AZ16" i="12"/>
  <c r="AU2" i="12"/>
  <c r="BA16" i="12"/>
  <c r="AV2" i="12"/>
  <c r="BB16" i="12"/>
  <c r="AW2" i="12"/>
  <c r="BC16" i="12"/>
  <c r="AX2" i="12"/>
  <c r="BD16" i="12"/>
  <c r="AY2" i="12"/>
  <c r="BE16" i="12"/>
  <c r="AZ2" i="12"/>
  <c r="BF16" i="12"/>
  <c r="BA2" i="12"/>
  <c r="BG16" i="12"/>
  <c r="BB2" i="12"/>
  <c r="BH16" i="12"/>
  <c r="BC2" i="12"/>
  <c r="BI16" i="12"/>
  <c r="BD2" i="12"/>
  <c r="BJ16" i="12"/>
  <c r="BE2" i="12"/>
  <c r="BK16" i="12"/>
  <c r="BF2" i="12"/>
  <c r="BL16" i="12"/>
  <c r="BG2" i="12"/>
  <c r="BM16" i="12"/>
  <c r="BH2" i="12"/>
  <c r="BN16" i="12"/>
  <c r="AP16" i="12"/>
  <c r="AK3" i="12"/>
  <c r="AQ17" i="12"/>
  <c r="AL3" i="12"/>
  <c r="AR17" i="12"/>
  <c r="AM3" i="12"/>
  <c r="AS17" i="12"/>
  <c r="AN3" i="12"/>
  <c r="AT17" i="12"/>
  <c r="AO3" i="12"/>
  <c r="AU17" i="12"/>
  <c r="AP3" i="12"/>
  <c r="AV17" i="12"/>
  <c r="AQ3" i="12"/>
  <c r="AW17" i="12"/>
  <c r="AR3" i="12"/>
  <c r="AX17" i="12"/>
  <c r="AS3" i="12"/>
  <c r="AY17" i="12"/>
  <c r="AT3" i="12"/>
  <c r="AZ17" i="12"/>
  <c r="AU3" i="12"/>
  <c r="BA17" i="12"/>
  <c r="AV3" i="12"/>
  <c r="BB17" i="12"/>
  <c r="AW3" i="12"/>
  <c r="BC17" i="12"/>
  <c r="AX3" i="12"/>
  <c r="BD17" i="12"/>
  <c r="AY3" i="12"/>
  <c r="BE17" i="12"/>
  <c r="AZ3" i="12"/>
  <c r="BF17" i="12"/>
  <c r="BA3" i="12"/>
  <c r="BG17" i="12"/>
  <c r="BB3" i="12"/>
  <c r="BH17" i="12"/>
  <c r="BC3" i="12"/>
  <c r="BI17" i="12"/>
  <c r="BD3" i="12"/>
  <c r="BJ17" i="12"/>
  <c r="BE3" i="12"/>
  <c r="BK17" i="12"/>
  <c r="BF3" i="12"/>
  <c r="BL17" i="12"/>
  <c r="BG3" i="12"/>
  <c r="BM17" i="12"/>
  <c r="BH3" i="12"/>
  <c r="BN17" i="12"/>
  <c r="AP17" i="12"/>
  <c r="AK4" i="12"/>
  <c r="AQ18" i="12"/>
  <c r="AL4" i="12"/>
  <c r="AR18" i="12"/>
  <c r="AM4" i="12"/>
  <c r="AS18" i="12"/>
  <c r="AN4" i="12"/>
  <c r="AT18" i="12"/>
  <c r="AO4" i="12"/>
  <c r="AU18" i="12"/>
  <c r="AP4" i="12"/>
  <c r="AV18" i="12"/>
  <c r="AQ4" i="12"/>
  <c r="AW18" i="12"/>
  <c r="AR4" i="12"/>
  <c r="AX18" i="12"/>
  <c r="AS4" i="12"/>
  <c r="AY18" i="12"/>
  <c r="AT4" i="12"/>
  <c r="AZ18" i="12"/>
  <c r="AU4" i="12"/>
  <c r="BA18" i="12"/>
  <c r="AV4" i="12"/>
  <c r="BB18" i="12"/>
  <c r="AW4" i="12"/>
  <c r="BC18" i="12"/>
  <c r="AX4" i="12"/>
  <c r="BD18" i="12"/>
  <c r="AY4" i="12"/>
  <c r="BE18" i="12"/>
  <c r="AZ4" i="12"/>
  <c r="BF18" i="12"/>
  <c r="BA4" i="12"/>
  <c r="BG18" i="12"/>
  <c r="BB4" i="12"/>
  <c r="BH18" i="12"/>
  <c r="BC4" i="12"/>
  <c r="BI18" i="12"/>
  <c r="BD4" i="12"/>
  <c r="BJ18" i="12"/>
  <c r="BE4" i="12"/>
  <c r="BK18" i="12"/>
  <c r="BF4" i="12"/>
  <c r="BL18" i="12"/>
  <c r="BG4" i="12"/>
  <c r="BM18" i="12"/>
  <c r="BH4" i="12"/>
  <c r="BN18" i="12"/>
  <c r="AP18" i="12"/>
  <c r="AK5" i="12"/>
  <c r="AQ19" i="12"/>
  <c r="AL5" i="12"/>
  <c r="AR19" i="12"/>
  <c r="AM5" i="12"/>
  <c r="AS19" i="12"/>
  <c r="AN5" i="12"/>
  <c r="AT19" i="12"/>
  <c r="AO5" i="12"/>
  <c r="AU19" i="12"/>
  <c r="AP5" i="12"/>
  <c r="AV19" i="12"/>
  <c r="AQ5" i="12"/>
  <c r="AW19" i="12"/>
  <c r="AR5" i="12"/>
  <c r="AX19" i="12"/>
  <c r="AS5" i="12"/>
  <c r="AY19" i="12"/>
  <c r="AT5" i="12"/>
  <c r="AZ19" i="12"/>
  <c r="AU5" i="12"/>
  <c r="BA19" i="12"/>
  <c r="AV5" i="12"/>
  <c r="BB19" i="12"/>
  <c r="AW5" i="12"/>
  <c r="BC19" i="12"/>
  <c r="AX5" i="12"/>
  <c r="BD19" i="12"/>
  <c r="AY5" i="12"/>
  <c r="BE19" i="12"/>
  <c r="AZ5" i="12"/>
  <c r="BF19" i="12"/>
  <c r="BA5" i="12"/>
  <c r="BG19" i="12"/>
  <c r="BB5" i="12"/>
  <c r="BH19" i="12"/>
  <c r="BC5" i="12"/>
  <c r="BI19" i="12"/>
  <c r="BD5" i="12"/>
  <c r="BJ19" i="12"/>
  <c r="BE5" i="12"/>
  <c r="BK19" i="12"/>
  <c r="BF5" i="12"/>
  <c r="BL19" i="12"/>
  <c r="BG5" i="12"/>
  <c r="BM19" i="12"/>
  <c r="BH5" i="12"/>
  <c r="BN19" i="12"/>
  <c r="AP19" i="12"/>
  <c r="AK6" i="12"/>
  <c r="AQ20" i="12"/>
  <c r="AL6" i="12"/>
  <c r="AR20" i="12"/>
  <c r="AM6" i="12"/>
  <c r="AS20" i="12"/>
  <c r="AN6" i="12"/>
  <c r="AT20" i="12"/>
  <c r="AO6" i="12"/>
  <c r="AU20" i="12"/>
  <c r="AP6" i="12"/>
  <c r="AV20" i="12"/>
  <c r="AQ6" i="12"/>
  <c r="AW20" i="12"/>
  <c r="AR6" i="12"/>
  <c r="AX20" i="12"/>
  <c r="AS6" i="12"/>
  <c r="AY20" i="12"/>
  <c r="AT6" i="12"/>
  <c r="AZ20" i="12"/>
  <c r="AU6" i="12"/>
  <c r="BA20" i="12"/>
  <c r="AV6" i="12"/>
  <c r="BB20" i="12"/>
  <c r="AW6" i="12"/>
  <c r="BC20" i="12"/>
  <c r="AX6" i="12"/>
  <c r="BD20" i="12"/>
  <c r="AY6" i="12"/>
  <c r="BE20" i="12"/>
  <c r="AZ6" i="12"/>
  <c r="BF20" i="12"/>
  <c r="BA6" i="12"/>
  <c r="BG20" i="12"/>
  <c r="BB6" i="12"/>
  <c r="BH20" i="12"/>
  <c r="BC6" i="12"/>
  <c r="BI20" i="12"/>
  <c r="BD6" i="12"/>
  <c r="BJ20" i="12"/>
  <c r="BE6" i="12"/>
  <c r="BK20" i="12"/>
  <c r="BF6" i="12"/>
  <c r="BL20" i="12"/>
  <c r="BG6" i="12"/>
  <c r="BM20" i="12"/>
  <c r="BH6" i="12"/>
  <c r="BN20" i="12"/>
  <c r="AP20" i="12"/>
  <c r="AK7" i="12"/>
  <c r="AQ21" i="12"/>
  <c r="AL7" i="12"/>
  <c r="AR21" i="12"/>
  <c r="AM7" i="12"/>
  <c r="AS21" i="12"/>
  <c r="AN7" i="12"/>
  <c r="AT21" i="12"/>
  <c r="AO7" i="12"/>
  <c r="AU21" i="12"/>
  <c r="AP7" i="12"/>
  <c r="AV21" i="12"/>
  <c r="AQ7" i="12"/>
  <c r="AW21" i="12"/>
  <c r="AR7" i="12"/>
  <c r="AX21" i="12"/>
  <c r="AS7" i="12"/>
  <c r="AY21" i="12"/>
  <c r="AT7" i="12"/>
  <c r="AZ21" i="12"/>
  <c r="AU7" i="12"/>
  <c r="BA21" i="12"/>
  <c r="AV7" i="12"/>
  <c r="BB21" i="12"/>
  <c r="AW7" i="12"/>
  <c r="BC21" i="12"/>
  <c r="AX7" i="12"/>
  <c r="BD21" i="12"/>
  <c r="AY7" i="12"/>
  <c r="BE21" i="12"/>
  <c r="AZ7" i="12"/>
  <c r="BF21" i="12"/>
  <c r="BA7" i="12"/>
  <c r="BG21" i="12"/>
  <c r="BB7" i="12"/>
  <c r="BH21" i="12"/>
  <c r="BC7" i="12"/>
  <c r="BI21" i="12"/>
  <c r="BD7" i="12"/>
  <c r="BJ21" i="12"/>
  <c r="BE7" i="12"/>
  <c r="BK21" i="12"/>
  <c r="BF7" i="12"/>
  <c r="BL21" i="12"/>
  <c r="BG7" i="12"/>
  <c r="BM21" i="12"/>
  <c r="BH7" i="12"/>
  <c r="BN21" i="12"/>
  <c r="AP21" i="12"/>
  <c r="AK8" i="12"/>
  <c r="AQ22" i="12"/>
  <c r="AL8" i="12"/>
  <c r="AR22" i="12"/>
  <c r="AM8" i="12"/>
  <c r="AS22" i="12"/>
  <c r="AN8" i="12"/>
  <c r="AT22" i="12"/>
  <c r="AO8" i="12"/>
  <c r="AU22" i="12"/>
  <c r="AP8" i="12"/>
  <c r="AV22" i="12"/>
  <c r="AQ8" i="12"/>
  <c r="AW22" i="12"/>
  <c r="AR8" i="12"/>
  <c r="AX22" i="12"/>
  <c r="AS8" i="12"/>
  <c r="AY22" i="12"/>
  <c r="AT8" i="12"/>
  <c r="AZ22" i="12"/>
  <c r="AU8" i="12"/>
  <c r="BA22" i="12"/>
  <c r="AV8" i="12"/>
  <c r="BB22" i="12"/>
  <c r="AW8" i="12"/>
  <c r="BC22" i="12"/>
  <c r="AX8" i="12"/>
  <c r="BD22" i="12"/>
  <c r="AY8" i="12"/>
  <c r="BE22" i="12"/>
  <c r="AZ8" i="12"/>
  <c r="BF22" i="12"/>
  <c r="BA8" i="12"/>
  <c r="BG22" i="12"/>
  <c r="BB8" i="12"/>
  <c r="BH22" i="12"/>
  <c r="BC8" i="12"/>
  <c r="BI22" i="12"/>
  <c r="BD8" i="12"/>
  <c r="BJ22" i="12"/>
  <c r="BE8" i="12"/>
  <c r="BK22" i="12"/>
  <c r="BF8" i="12"/>
  <c r="BL22" i="12"/>
  <c r="BG8" i="12"/>
  <c r="BM22" i="12"/>
  <c r="BH8" i="12"/>
  <c r="BN22" i="12"/>
  <c r="AP22" i="12"/>
  <c r="AK9" i="12"/>
  <c r="AQ23" i="12"/>
  <c r="AL9" i="12"/>
  <c r="AR23" i="12"/>
  <c r="AM9" i="12"/>
  <c r="AS23" i="12"/>
  <c r="AN9" i="12"/>
  <c r="AT23" i="12"/>
  <c r="AO9" i="12"/>
  <c r="AU23" i="12"/>
  <c r="AP9" i="12"/>
  <c r="AV23" i="12"/>
  <c r="AQ9" i="12"/>
  <c r="AW23" i="12"/>
  <c r="AR9" i="12"/>
  <c r="AX23" i="12"/>
  <c r="AS9" i="12"/>
  <c r="AY23" i="12"/>
  <c r="AT9" i="12"/>
  <c r="AZ23" i="12"/>
  <c r="AU9" i="12"/>
  <c r="BA23" i="12"/>
  <c r="AV9" i="12"/>
  <c r="BB23" i="12"/>
  <c r="AW9" i="12"/>
  <c r="BC23" i="12"/>
  <c r="AX9" i="12"/>
  <c r="BD23" i="12"/>
  <c r="AY9" i="12"/>
  <c r="BE23" i="12"/>
  <c r="AZ9" i="12"/>
  <c r="BF23" i="12"/>
  <c r="BA9" i="12"/>
  <c r="BG23" i="12"/>
  <c r="BB9" i="12"/>
  <c r="BH23" i="12"/>
  <c r="BC9" i="12"/>
  <c r="BI23" i="12"/>
  <c r="BD9" i="12"/>
  <c r="BJ23" i="12"/>
  <c r="BE9" i="12"/>
  <c r="BK23" i="12"/>
  <c r="BF9" i="12"/>
  <c r="BL23" i="12"/>
  <c r="BG9" i="12"/>
  <c r="BM23" i="12"/>
  <c r="BH9" i="12"/>
  <c r="BN23" i="12"/>
  <c r="AP23" i="12"/>
  <c r="AK10" i="12"/>
  <c r="AQ24" i="12"/>
  <c r="AL10" i="12"/>
  <c r="AR24" i="12"/>
  <c r="AM10" i="12"/>
  <c r="AS24" i="12"/>
  <c r="AN10" i="12"/>
  <c r="AT24" i="12"/>
  <c r="AO10" i="12"/>
  <c r="AU24" i="12"/>
  <c r="AP10" i="12"/>
  <c r="AV24" i="12"/>
  <c r="AQ10" i="12"/>
  <c r="AW24" i="12"/>
  <c r="AR10" i="12"/>
  <c r="AX24" i="12"/>
  <c r="AS10" i="12"/>
  <c r="AY24" i="12"/>
  <c r="AT10" i="12"/>
  <c r="AZ24" i="12"/>
  <c r="AU10" i="12"/>
  <c r="BA24" i="12"/>
  <c r="AV10" i="12"/>
  <c r="BB24" i="12"/>
  <c r="AW10" i="12"/>
  <c r="BC24" i="12"/>
  <c r="AX10" i="12"/>
  <c r="BD24" i="12"/>
  <c r="AY10" i="12"/>
  <c r="BE24" i="12"/>
  <c r="AZ10" i="12"/>
  <c r="BF24" i="12"/>
  <c r="BA10" i="12"/>
  <c r="BG24" i="12"/>
  <c r="BB10" i="12"/>
  <c r="BH24" i="12"/>
  <c r="BC10" i="12"/>
  <c r="BI24" i="12"/>
  <c r="BD10" i="12"/>
  <c r="BJ24" i="12"/>
  <c r="BE10" i="12"/>
  <c r="BK24" i="12"/>
  <c r="BF10" i="12"/>
  <c r="BL24" i="12"/>
  <c r="BG10" i="12"/>
  <c r="BM24" i="12"/>
  <c r="BH10" i="12"/>
  <c r="BN24" i="12"/>
  <c r="AP24" i="12"/>
  <c r="AK11" i="12"/>
  <c r="AQ25" i="12"/>
  <c r="AL11" i="12"/>
  <c r="AR25" i="12"/>
  <c r="AM11" i="12"/>
  <c r="AS25" i="12"/>
  <c r="AN11" i="12"/>
  <c r="AT25" i="12"/>
  <c r="AO11" i="12"/>
  <c r="AU25" i="12"/>
  <c r="AP11" i="12"/>
  <c r="AV25" i="12"/>
  <c r="AQ11" i="12"/>
  <c r="AW25" i="12"/>
  <c r="AR11" i="12"/>
  <c r="AX25" i="12"/>
  <c r="AS11" i="12"/>
  <c r="AY25" i="12"/>
  <c r="AT11" i="12"/>
  <c r="AZ25" i="12"/>
  <c r="AU11" i="12"/>
  <c r="BA25" i="12"/>
  <c r="AV11" i="12"/>
  <c r="BB25" i="12"/>
  <c r="AW11" i="12"/>
  <c r="BC25" i="12"/>
  <c r="AX11" i="12"/>
  <c r="BD25" i="12"/>
  <c r="AY11" i="12"/>
  <c r="BE25" i="12"/>
  <c r="AZ11" i="12"/>
  <c r="BF25" i="12"/>
  <c r="BA11" i="12"/>
  <c r="BG25" i="12"/>
  <c r="BB11" i="12"/>
  <c r="BH25" i="12"/>
  <c r="BC11" i="12"/>
  <c r="BI25" i="12"/>
  <c r="BD11" i="12"/>
  <c r="BJ25" i="12"/>
  <c r="BE11" i="12"/>
  <c r="BK25" i="12"/>
  <c r="BF11" i="12"/>
  <c r="BL25" i="12"/>
  <c r="BG11" i="12"/>
  <c r="BM25" i="12"/>
  <c r="BH11" i="12"/>
  <c r="BN25" i="12"/>
  <c r="AP25" i="12"/>
  <c r="AK12" i="12"/>
  <c r="AQ26" i="12"/>
  <c r="AL12" i="12"/>
  <c r="AR26" i="12"/>
  <c r="AM12" i="12"/>
  <c r="AS26" i="12"/>
  <c r="AN12" i="12"/>
  <c r="AT26" i="12"/>
  <c r="AO12" i="12"/>
  <c r="AU26" i="12"/>
  <c r="AP12" i="12"/>
  <c r="AV26" i="12"/>
  <c r="AQ12" i="12"/>
  <c r="AW26" i="12"/>
  <c r="AR12" i="12"/>
  <c r="AX26" i="12"/>
  <c r="AS12" i="12"/>
  <c r="AY26" i="12"/>
  <c r="AT12" i="12"/>
  <c r="AZ26" i="12"/>
  <c r="AU12" i="12"/>
  <c r="BA26" i="12"/>
  <c r="AV12" i="12"/>
  <c r="BB26" i="12"/>
  <c r="AW12" i="12"/>
  <c r="BC26" i="12"/>
  <c r="AX12" i="12"/>
  <c r="BD26" i="12"/>
  <c r="AY12" i="12"/>
  <c r="BE26" i="12"/>
  <c r="AZ12" i="12"/>
  <c r="BF26" i="12"/>
  <c r="BA12" i="12"/>
  <c r="BG26" i="12"/>
  <c r="BB12" i="12"/>
  <c r="BH26" i="12"/>
  <c r="BC12" i="12"/>
  <c r="BI26" i="12"/>
  <c r="BD12" i="12"/>
  <c r="BJ26" i="12"/>
  <c r="BE12" i="12"/>
  <c r="BK26" i="12"/>
  <c r="BF12" i="12"/>
  <c r="BL26" i="12"/>
  <c r="BG12" i="12"/>
  <c r="BM26" i="12"/>
  <c r="BH12" i="12"/>
  <c r="BN26" i="12"/>
  <c r="AP26" i="12"/>
  <c r="AK13" i="12"/>
  <c r="AQ27" i="12"/>
  <c r="AL13" i="12"/>
  <c r="AR27" i="12"/>
  <c r="AM13" i="12"/>
  <c r="AS27" i="12"/>
  <c r="AN13" i="12"/>
  <c r="AT27" i="12"/>
  <c r="AO13" i="12"/>
  <c r="AU27" i="12"/>
  <c r="AP13" i="12"/>
  <c r="AV27" i="12"/>
  <c r="AQ13" i="12"/>
  <c r="AW27" i="12"/>
  <c r="AR13" i="12"/>
  <c r="AX27" i="12"/>
  <c r="AS13" i="12"/>
  <c r="AY27" i="12"/>
  <c r="AT13" i="12"/>
  <c r="AZ27" i="12"/>
  <c r="AU13" i="12"/>
  <c r="BA27" i="12"/>
  <c r="AV13" i="12"/>
  <c r="BB27" i="12"/>
  <c r="AW13" i="12"/>
  <c r="BC27" i="12"/>
  <c r="AX13" i="12"/>
  <c r="BD27" i="12"/>
  <c r="AY13" i="12"/>
  <c r="BE27" i="12"/>
  <c r="AZ13" i="12"/>
  <c r="BF27" i="12"/>
  <c r="BA13" i="12"/>
  <c r="BG27" i="12"/>
  <c r="BB13" i="12"/>
  <c r="BH27" i="12"/>
  <c r="BC13" i="12"/>
  <c r="BI27" i="12"/>
  <c r="BD13" i="12"/>
  <c r="BJ27" i="12"/>
  <c r="BE13" i="12"/>
  <c r="BK27" i="12"/>
  <c r="BF13" i="12"/>
  <c r="BL27" i="12"/>
  <c r="BG13" i="12"/>
  <c r="BM27" i="12"/>
  <c r="BH13" i="12"/>
  <c r="BN27" i="12"/>
  <c r="AP27" i="12"/>
  <c r="AP28" i="12"/>
  <c r="AN16" i="12"/>
  <c r="AN17" i="12"/>
  <c r="AN18" i="12"/>
  <c r="AN20" i="12"/>
  <c r="AN21" i="12"/>
  <c r="AN22" i="12"/>
  <c r="AN23" i="12"/>
  <c r="AN24" i="12"/>
  <c r="AN25" i="12"/>
  <c r="AN26" i="12"/>
  <c r="AN27" i="12"/>
  <c r="AM16" i="12"/>
  <c r="AM17" i="12"/>
  <c r="AM18" i="12"/>
  <c r="AM20" i="12"/>
  <c r="AM21" i="12"/>
  <c r="AM22" i="12"/>
  <c r="AM23" i="12"/>
  <c r="AM24" i="12"/>
  <c r="AM25" i="12"/>
  <c r="AM26" i="12"/>
  <c r="AM27" i="12"/>
  <c r="AL16" i="12"/>
  <c r="AL17" i="12"/>
  <c r="AL18" i="12"/>
  <c r="AL20" i="12"/>
  <c r="AL21" i="12"/>
  <c r="AL22" i="12"/>
  <c r="AL23" i="12"/>
  <c r="AL24" i="12"/>
  <c r="AL25" i="12"/>
  <c r="AL26" i="12"/>
  <c r="AL27" i="12"/>
  <c r="AK16" i="12"/>
  <c r="AK17" i="12"/>
  <c r="AK18" i="12"/>
  <c r="AK20" i="12"/>
  <c r="AK21" i="12"/>
  <c r="AK22" i="12"/>
  <c r="AK23" i="12"/>
  <c r="AK24" i="12"/>
  <c r="AK25" i="12"/>
  <c r="AK26" i="12"/>
  <c r="AK27" i="12"/>
  <c r="Z2" i="12"/>
  <c r="AA2" i="12"/>
  <c r="AB2" i="12"/>
  <c r="AC2" i="12"/>
  <c r="AA16" i="12"/>
  <c r="Z3" i="12"/>
  <c r="AA3" i="12"/>
  <c r="AB3" i="12"/>
  <c r="AC3" i="12"/>
  <c r="AA17" i="12"/>
  <c r="Z4" i="12"/>
  <c r="AA4" i="12"/>
  <c r="AB4" i="12"/>
  <c r="AC4" i="12"/>
  <c r="AA18" i="12"/>
  <c r="Z5" i="12"/>
  <c r="AA5" i="12"/>
  <c r="AB5" i="12"/>
  <c r="AC5" i="12"/>
  <c r="AA19" i="12"/>
  <c r="Z6" i="12"/>
  <c r="AA6" i="12"/>
  <c r="AB6" i="12"/>
  <c r="AC6" i="12"/>
  <c r="AA20" i="12"/>
  <c r="Z7" i="12"/>
  <c r="AA7" i="12"/>
  <c r="AB7" i="12"/>
  <c r="AC7" i="12"/>
  <c r="AA21" i="12"/>
  <c r="Z8" i="12"/>
  <c r="AA8" i="12"/>
  <c r="AB8" i="12"/>
  <c r="AC8" i="12"/>
  <c r="AA22" i="12"/>
  <c r="Z9" i="12"/>
  <c r="AA9" i="12"/>
  <c r="AB9" i="12"/>
  <c r="AC9" i="12"/>
  <c r="AA23" i="12"/>
  <c r="Z10" i="12"/>
  <c r="AA10" i="12"/>
  <c r="AB10" i="12"/>
  <c r="AC10" i="12"/>
  <c r="AA24" i="12"/>
  <c r="Z11" i="12"/>
  <c r="AA11" i="12"/>
  <c r="AB11" i="12"/>
  <c r="AC11" i="12"/>
  <c r="AA25" i="12"/>
  <c r="Z12" i="12"/>
  <c r="AA12" i="12"/>
  <c r="AB12" i="12"/>
  <c r="AC12" i="12"/>
  <c r="AA26" i="12"/>
  <c r="Z13" i="12"/>
  <c r="AA13" i="12"/>
  <c r="AB13" i="12"/>
  <c r="AC13" i="12"/>
  <c r="AA27" i="12"/>
  <c r="AA28" i="12"/>
  <c r="Z16" i="12"/>
  <c r="Z17" i="12"/>
  <c r="Z18" i="12"/>
  <c r="Z19" i="12"/>
  <c r="Z20" i="12"/>
  <c r="Z21" i="12"/>
  <c r="Z22" i="12"/>
  <c r="Z23" i="12"/>
  <c r="Z24" i="12"/>
  <c r="Z25" i="12"/>
  <c r="Z26" i="12"/>
  <c r="Z27" i="12"/>
  <c r="Z28" i="12"/>
  <c r="S28" i="12"/>
  <c r="R28" i="12"/>
  <c r="Q28" i="12"/>
  <c r="P28" i="12"/>
  <c r="N28" i="12"/>
  <c r="M28" i="12"/>
  <c r="L28" i="12"/>
  <c r="K28" i="12"/>
  <c r="D27" i="12"/>
  <c r="N25" i="12"/>
  <c r="M25" i="12"/>
  <c r="L25" i="12"/>
  <c r="K25" i="12"/>
  <c r="D25" i="12"/>
  <c r="H16" i="12"/>
  <c r="D23" i="12"/>
  <c r="G16" i="12"/>
  <c r="D21" i="12"/>
  <c r="M19" i="12"/>
  <c r="W16" i="12"/>
  <c r="V16" i="12"/>
  <c r="U16" i="12"/>
  <c r="E50" i="11"/>
  <c r="A50" i="11"/>
  <c r="E49" i="11"/>
  <c r="A49" i="11"/>
  <c r="E48" i="11"/>
  <c r="A48" i="11"/>
  <c r="E47" i="11"/>
  <c r="A47" i="11"/>
  <c r="E46" i="11"/>
  <c r="A46" i="11"/>
  <c r="E45" i="11"/>
  <c r="A45" i="11"/>
  <c r="E44" i="11"/>
  <c r="A44" i="11"/>
  <c r="E43" i="11"/>
  <c r="A43" i="11"/>
  <c r="X15" i="11"/>
  <c r="E42" i="11"/>
  <c r="A42" i="11"/>
  <c r="X14" i="11"/>
  <c r="E41" i="11"/>
  <c r="A41" i="11"/>
  <c r="X13" i="11"/>
  <c r="E40" i="11"/>
  <c r="A40" i="11"/>
  <c r="X12" i="11"/>
  <c r="E39" i="11"/>
  <c r="A39" i="11"/>
  <c r="X11" i="11"/>
  <c r="X10" i="11"/>
  <c r="X8" i="11"/>
  <c r="X4" i="11"/>
  <c r="X5" i="11"/>
  <c r="X6" i="11"/>
  <c r="AE2" i="11"/>
  <c r="AF2" i="11"/>
  <c r="AG2" i="11"/>
  <c r="AH2" i="11"/>
  <c r="AI2" i="11"/>
  <c r="AG16" i="11"/>
  <c r="AE3" i="11"/>
  <c r="AF3" i="11"/>
  <c r="AG3" i="11"/>
  <c r="AH3" i="11"/>
  <c r="AI3" i="11"/>
  <c r="AG17" i="11"/>
  <c r="AE4" i="11"/>
  <c r="AF4" i="11"/>
  <c r="AG4" i="11"/>
  <c r="AH4" i="11"/>
  <c r="AI4" i="11"/>
  <c r="AG18" i="11"/>
  <c r="AE6" i="11"/>
  <c r="AF6" i="11"/>
  <c r="AG6" i="11"/>
  <c r="AH6" i="11"/>
  <c r="AI6" i="11"/>
  <c r="AG20" i="11"/>
  <c r="AE8" i="11"/>
  <c r="AF8" i="11"/>
  <c r="AG8" i="11"/>
  <c r="AH8" i="11"/>
  <c r="AI8" i="11"/>
  <c r="AG22" i="11"/>
  <c r="AE9" i="11"/>
  <c r="AF9" i="11"/>
  <c r="AG9" i="11"/>
  <c r="AH9" i="11"/>
  <c r="AI9" i="11"/>
  <c r="AG23" i="11"/>
  <c r="AE10" i="11"/>
  <c r="AF10" i="11"/>
  <c r="AG10" i="11"/>
  <c r="AH10" i="11"/>
  <c r="AI10" i="11"/>
  <c r="AG24" i="11"/>
  <c r="AE11" i="11"/>
  <c r="AF11" i="11"/>
  <c r="AG11" i="11"/>
  <c r="AH11" i="11"/>
  <c r="AI11" i="11"/>
  <c r="AG25" i="11"/>
  <c r="AE12" i="11"/>
  <c r="AF12" i="11"/>
  <c r="AG12" i="11"/>
  <c r="AH12" i="11"/>
  <c r="AI12" i="11"/>
  <c r="AG26" i="11"/>
  <c r="AE13" i="11"/>
  <c r="AF13" i="11"/>
  <c r="AG13" i="11"/>
  <c r="AH13" i="11"/>
  <c r="AI13" i="11"/>
  <c r="AG27" i="11"/>
  <c r="AF16" i="11"/>
  <c r="AF17" i="11"/>
  <c r="AF18" i="11"/>
  <c r="AF20" i="11"/>
  <c r="AF22" i="11"/>
  <c r="AF23" i="11"/>
  <c r="AF24" i="11"/>
  <c r="AF25" i="11"/>
  <c r="AF26" i="11"/>
  <c r="AF27" i="11"/>
  <c r="D31" i="11"/>
  <c r="J29" i="11"/>
  <c r="I29" i="11"/>
  <c r="H29" i="11"/>
  <c r="G29" i="11"/>
  <c r="F16" i="11"/>
  <c r="D29" i="11"/>
  <c r="AK2" i="11"/>
  <c r="AQ16" i="11"/>
  <c r="AL2" i="11"/>
  <c r="AR16" i="11"/>
  <c r="AM2" i="11"/>
  <c r="AS16" i="11"/>
  <c r="AN2" i="11"/>
  <c r="AT16" i="11"/>
  <c r="AO2" i="11"/>
  <c r="AU16" i="11"/>
  <c r="AP2" i="11"/>
  <c r="AV16" i="11"/>
  <c r="AQ2" i="11"/>
  <c r="AW16" i="11"/>
  <c r="AR2" i="11"/>
  <c r="AX16" i="11"/>
  <c r="AS2" i="11"/>
  <c r="AY16" i="11"/>
  <c r="AT2" i="11"/>
  <c r="AZ16" i="11"/>
  <c r="AU2" i="11"/>
  <c r="BA16" i="11"/>
  <c r="AV2" i="11"/>
  <c r="BB16" i="11"/>
  <c r="AW2" i="11"/>
  <c r="BC16" i="11"/>
  <c r="AX2" i="11"/>
  <c r="BD16" i="11"/>
  <c r="AY2" i="11"/>
  <c r="BE16" i="11"/>
  <c r="AZ2" i="11"/>
  <c r="BF16" i="11"/>
  <c r="BA2" i="11"/>
  <c r="BG16" i="11"/>
  <c r="BB2" i="11"/>
  <c r="BH16" i="11"/>
  <c r="BC2" i="11"/>
  <c r="BI16" i="11"/>
  <c r="BD2" i="11"/>
  <c r="BJ16" i="11"/>
  <c r="BE2" i="11"/>
  <c r="BK16" i="11"/>
  <c r="BF2" i="11"/>
  <c r="BL16" i="11"/>
  <c r="BG2" i="11"/>
  <c r="BM16" i="11"/>
  <c r="BH2" i="11"/>
  <c r="BN16" i="11"/>
  <c r="AP16" i="11"/>
  <c r="AK3" i="11"/>
  <c r="AQ17" i="11"/>
  <c r="AL3" i="11"/>
  <c r="AR17" i="11"/>
  <c r="AM3" i="11"/>
  <c r="AS17" i="11"/>
  <c r="AN3" i="11"/>
  <c r="AT17" i="11"/>
  <c r="AO3" i="11"/>
  <c r="AU17" i="11"/>
  <c r="AP3" i="11"/>
  <c r="AV17" i="11"/>
  <c r="AQ3" i="11"/>
  <c r="AW17" i="11"/>
  <c r="AR3" i="11"/>
  <c r="AX17" i="11"/>
  <c r="AS3" i="11"/>
  <c r="AY17" i="11"/>
  <c r="AT3" i="11"/>
  <c r="AZ17" i="11"/>
  <c r="AU3" i="11"/>
  <c r="BA17" i="11"/>
  <c r="AV3" i="11"/>
  <c r="BB17" i="11"/>
  <c r="AW3" i="11"/>
  <c r="BC17" i="11"/>
  <c r="AX3" i="11"/>
  <c r="BD17" i="11"/>
  <c r="AY3" i="11"/>
  <c r="BE17" i="11"/>
  <c r="AZ3" i="11"/>
  <c r="BF17" i="11"/>
  <c r="BA3" i="11"/>
  <c r="BG17" i="11"/>
  <c r="BB3" i="11"/>
  <c r="BH17" i="11"/>
  <c r="BC3" i="11"/>
  <c r="BI17" i="11"/>
  <c r="BD3" i="11"/>
  <c r="BJ17" i="11"/>
  <c r="BE3" i="11"/>
  <c r="BK17" i="11"/>
  <c r="BF3" i="11"/>
  <c r="BL17" i="11"/>
  <c r="BG3" i="11"/>
  <c r="BM17" i="11"/>
  <c r="BH3" i="11"/>
  <c r="BN17" i="11"/>
  <c r="AP17" i="11"/>
  <c r="AK4" i="11"/>
  <c r="AQ18" i="11"/>
  <c r="AL4" i="11"/>
  <c r="AR18" i="11"/>
  <c r="AM4" i="11"/>
  <c r="AS18" i="11"/>
  <c r="AN4" i="11"/>
  <c r="AT18" i="11"/>
  <c r="AO4" i="11"/>
  <c r="AU18" i="11"/>
  <c r="AP4" i="11"/>
  <c r="AV18" i="11"/>
  <c r="AQ4" i="11"/>
  <c r="AW18" i="11"/>
  <c r="AR4" i="11"/>
  <c r="AX18" i="11"/>
  <c r="AS4" i="11"/>
  <c r="AY18" i="11"/>
  <c r="AT4" i="11"/>
  <c r="AZ18" i="11"/>
  <c r="AU4" i="11"/>
  <c r="BA18" i="11"/>
  <c r="AV4" i="11"/>
  <c r="BB18" i="11"/>
  <c r="AW4" i="11"/>
  <c r="BC18" i="11"/>
  <c r="AX4" i="11"/>
  <c r="BD18" i="11"/>
  <c r="AY4" i="11"/>
  <c r="BE18" i="11"/>
  <c r="AZ4" i="11"/>
  <c r="BF18" i="11"/>
  <c r="BA4" i="11"/>
  <c r="BG18" i="11"/>
  <c r="BB4" i="11"/>
  <c r="BH18" i="11"/>
  <c r="BC4" i="11"/>
  <c r="BI18" i="11"/>
  <c r="BD4" i="11"/>
  <c r="BJ18" i="11"/>
  <c r="BE4" i="11"/>
  <c r="BK18" i="11"/>
  <c r="BF4" i="11"/>
  <c r="BL18" i="11"/>
  <c r="BG4" i="11"/>
  <c r="BM18" i="11"/>
  <c r="BH4" i="11"/>
  <c r="BN18" i="11"/>
  <c r="AP18" i="11"/>
  <c r="AK5" i="11"/>
  <c r="AQ19" i="11"/>
  <c r="AL5" i="11"/>
  <c r="AR19" i="11"/>
  <c r="AM5" i="11"/>
  <c r="AS19" i="11"/>
  <c r="AN5" i="11"/>
  <c r="AT19" i="11"/>
  <c r="AO5" i="11"/>
  <c r="AU19" i="11"/>
  <c r="AP5" i="11"/>
  <c r="AV19" i="11"/>
  <c r="AQ5" i="11"/>
  <c r="AW19" i="11"/>
  <c r="AR5" i="11"/>
  <c r="AX19" i="11"/>
  <c r="AS5" i="11"/>
  <c r="AY19" i="11"/>
  <c r="AT5" i="11"/>
  <c r="AZ19" i="11"/>
  <c r="AU5" i="11"/>
  <c r="BA19" i="11"/>
  <c r="AV5" i="11"/>
  <c r="BB19" i="11"/>
  <c r="AW5" i="11"/>
  <c r="BC19" i="11"/>
  <c r="AX5" i="11"/>
  <c r="BD19" i="11"/>
  <c r="AY5" i="11"/>
  <c r="BE19" i="11"/>
  <c r="AZ5" i="11"/>
  <c r="BF19" i="11"/>
  <c r="BA5" i="11"/>
  <c r="BG19" i="11"/>
  <c r="BB5" i="11"/>
  <c r="BH19" i="11"/>
  <c r="BC5" i="11"/>
  <c r="BI19" i="11"/>
  <c r="BD5" i="11"/>
  <c r="BJ19" i="11"/>
  <c r="BE5" i="11"/>
  <c r="BK19" i="11"/>
  <c r="BF5" i="11"/>
  <c r="BL19" i="11"/>
  <c r="BG5" i="11"/>
  <c r="BM19" i="11"/>
  <c r="BH5" i="11"/>
  <c r="BN19" i="11"/>
  <c r="AP19" i="11"/>
  <c r="AK6" i="11"/>
  <c r="AQ20" i="11"/>
  <c r="AL6" i="11"/>
  <c r="AR20" i="11"/>
  <c r="AM6" i="11"/>
  <c r="AS20" i="11"/>
  <c r="AN6" i="11"/>
  <c r="AT20" i="11"/>
  <c r="AO6" i="11"/>
  <c r="AU20" i="11"/>
  <c r="AP6" i="11"/>
  <c r="AV20" i="11"/>
  <c r="AQ6" i="11"/>
  <c r="AW20" i="11"/>
  <c r="AR6" i="11"/>
  <c r="AX20" i="11"/>
  <c r="AS6" i="11"/>
  <c r="AY20" i="11"/>
  <c r="AT6" i="11"/>
  <c r="AZ20" i="11"/>
  <c r="AU6" i="11"/>
  <c r="BA20" i="11"/>
  <c r="AV6" i="11"/>
  <c r="BB20" i="11"/>
  <c r="AW6" i="11"/>
  <c r="BC20" i="11"/>
  <c r="AX6" i="11"/>
  <c r="BD20" i="11"/>
  <c r="AY6" i="11"/>
  <c r="BE20" i="11"/>
  <c r="AZ6" i="11"/>
  <c r="BF20" i="11"/>
  <c r="BA6" i="11"/>
  <c r="BG20" i="11"/>
  <c r="BB6" i="11"/>
  <c r="BH20" i="11"/>
  <c r="BC6" i="11"/>
  <c r="BI20" i="11"/>
  <c r="BD6" i="11"/>
  <c r="BJ20" i="11"/>
  <c r="BE6" i="11"/>
  <c r="BK20" i="11"/>
  <c r="BF6" i="11"/>
  <c r="BL20" i="11"/>
  <c r="BG6" i="11"/>
  <c r="BM20" i="11"/>
  <c r="BH6" i="11"/>
  <c r="BN20" i="11"/>
  <c r="AP20" i="11"/>
  <c r="AK7" i="11"/>
  <c r="AQ21" i="11"/>
  <c r="AL7" i="11"/>
  <c r="AR21" i="11"/>
  <c r="AM7" i="11"/>
  <c r="AS21" i="11"/>
  <c r="AN7" i="11"/>
  <c r="AT21" i="11"/>
  <c r="AO7" i="11"/>
  <c r="AU21" i="11"/>
  <c r="AP7" i="11"/>
  <c r="AV21" i="11"/>
  <c r="AQ7" i="11"/>
  <c r="AW21" i="11"/>
  <c r="AR7" i="11"/>
  <c r="AX21" i="11"/>
  <c r="AS7" i="11"/>
  <c r="AY21" i="11"/>
  <c r="AT7" i="11"/>
  <c r="AZ21" i="11"/>
  <c r="AU7" i="11"/>
  <c r="BA21" i="11"/>
  <c r="AV7" i="11"/>
  <c r="BB21" i="11"/>
  <c r="AW7" i="11"/>
  <c r="BC21" i="11"/>
  <c r="AX7" i="11"/>
  <c r="BD21" i="11"/>
  <c r="AY7" i="11"/>
  <c r="BE21" i="11"/>
  <c r="AZ7" i="11"/>
  <c r="BF21" i="11"/>
  <c r="BA7" i="11"/>
  <c r="BG21" i="11"/>
  <c r="BB7" i="11"/>
  <c r="BH21" i="11"/>
  <c r="BC7" i="11"/>
  <c r="BI21" i="11"/>
  <c r="BD7" i="11"/>
  <c r="BJ21" i="11"/>
  <c r="BE7" i="11"/>
  <c r="BK21" i="11"/>
  <c r="BF7" i="11"/>
  <c r="BL21" i="11"/>
  <c r="BG7" i="11"/>
  <c r="BM21" i="11"/>
  <c r="BH7" i="11"/>
  <c r="BN21" i="11"/>
  <c r="AP21" i="11"/>
  <c r="AK8" i="11"/>
  <c r="AQ22" i="11"/>
  <c r="AL8" i="11"/>
  <c r="AR22" i="11"/>
  <c r="AM8" i="11"/>
  <c r="AS22" i="11"/>
  <c r="AN8" i="11"/>
  <c r="AT22" i="11"/>
  <c r="AO8" i="11"/>
  <c r="AU22" i="11"/>
  <c r="AP8" i="11"/>
  <c r="AV22" i="11"/>
  <c r="AQ8" i="11"/>
  <c r="AW22" i="11"/>
  <c r="AR8" i="11"/>
  <c r="AX22" i="11"/>
  <c r="AS8" i="11"/>
  <c r="AY22" i="11"/>
  <c r="AT8" i="11"/>
  <c r="AZ22" i="11"/>
  <c r="AU8" i="11"/>
  <c r="BA22" i="11"/>
  <c r="AV8" i="11"/>
  <c r="BB22" i="11"/>
  <c r="AW8" i="11"/>
  <c r="BC22" i="11"/>
  <c r="AX8" i="11"/>
  <c r="BD22" i="11"/>
  <c r="AY8" i="11"/>
  <c r="BE22" i="11"/>
  <c r="AZ8" i="11"/>
  <c r="BF22" i="11"/>
  <c r="BA8" i="11"/>
  <c r="BG22" i="11"/>
  <c r="BB8" i="11"/>
  <c r="BH22" i="11"/>
  <c r="BC8" i="11"/>
  <c r="BI22" i="11"/>
  <c r="BD8" i="11"/>
  <c r="BJ22" i="11"/>
  <c r="BE8" i="11"/>
  <c r="BK22" i="11"/>
  <c r="BF8" i="11"/>
  <c r="BL22" i="11"/>
  <c r="BG8" i="11"/>
  <c r="BM22" i="11"/>
  <c r="BH8" i="11"/>
  <c r="BN22" i="11"/>
  <c r="AP22" i="11"/>
  <c r="AK9" i="11"/>
  <c r="AQ23" i="11"/>
  <c r="AL9" i="11"/>
  <c r="AR23" i="11"/>
  <c r="AM9" i="11"/>
  <c r="AS23" i="11"/>
  <c r="AN9" i="11"/>
  <c r="AT23" i="11"/>
  <c r="AO9" i="11"/>
  <c r="AU23" i="11"/>
  <c r="AP9" i="11"/>
  <c r="AV23" i="11"/>
  <c r="AQ9" i="11"/>
  <c r="AW23" i="11"/>
  <c r="AR9" i="11"/>
  <c r="AX23" i="11"/>
  <c r="AS9" i="11"/>
  <c r="AY23" i="11"/>
  <c r="AT9" i="11"/>
  <c r="AZ23" i="11"/>
  <c r="AU9" i="11"/>
  <c r="BA23" i="11"/>
  <c r="AV9" i="11"/>
  <c r="BB23" i="11"/>
  <c r="AW9" i="11"/>
  <c r="BC23" i="11"/>
  <c r="AX9" i="11"/>
  <c r="BD23" i="11"/>
  <c r="AY9" i="11"/>
  <c r="BE23" i="11"/>
  <c r="AZ9" i="11"/>
  <c r="BF23" i="11"/>
  <c r="BA9" i="11"/>
  <c r="BG23" i="11"/>
  <c r="BB9" i="11"/>
  <c r="BH23" i="11"/>
  <c r="BC9" i="11"/>
  <c r="BI23" i="11"/>
  <c r="BD9" i="11"/>
  <c r="BJ23" i="11"/>
  <c r="BE9" i="11"/>
  <c r="BK23" i="11"/>
  <c r="BF9" i="11"/>
  <c r="BL23" i="11"/>
  <c r="BG9" i="11"/>
  <c r="BM23" i="11"/>
  <c r="BH9" i="11"/>
  <c r="BN23" i="11"/>
  <c r="AP23" i="11"/>
  <c r="AK10" i="11"/>
  <c r="AQ24" i="11"/>
  <c r="AL10" i="11"/>
  <c r="AR24" i="11"/>
  <c r="AM10" i="11"/>
  <c r="AS24" i="11"/>
  <c r="AN10" i="11"/>
  <c r="AT24" i="11"/>
  <c r="AO10" i="11"/>
  <c r="AU24" i="11"/>
  <c r="AP10" i="11"/>
  <c r="AV24" i="11"/>
  <c r="AQ10" i="11"/>
  <c r="AW24" i="11"/>
  <c r="AR10" i="11"/>
  <c r="AX24" i="11"/>
  <c r="AS10" i="11"/>
  <c r="AY24" i="11"/>
  <c r="AT10" i="11"/>
  <c r="AZ24" i="11"/>
  <c r="AU10" i="11"/>
  <c r="BA24" i="11"/>
  <c r="AV10" i="11"/>
  <c r="BB24" i="11"/>
  <c r="AW10" i="11"/>
  <c r="BC24" i="11"/>
  <c r="AX10" i="11"/>
  <c r="BD24" i="11"/>
  <c r="AY10" i="11"/>
  <c r="BE24" i="11"/>
  <c r="AZ10" i="11"/>
  <c r="BF24" i="11"/>
  <c r="BA10" i="11"/>
  <c r="BG24" i="11"/>
  <c r="BB10" i="11"/>
  <c r="BH24" i="11"/>
  <c r="BC10" i="11"/>
  <c r="BI24" i="11"/>
  <c r="BD10" i="11"/>
  <c r="BJ24" i="11"/>
  <c r="BE10" i="11"/>
  <c r="BK24" i="11"/>
  <c r="BF10" i="11"/>
  <c r="BL24" i="11"/>
  <c r="BG10" i="11"/>
  <c r="BM24" i="11"/>
  <c r="BH10" i="11"/>
  <c r="BN24" i="11"/>
  <c r="AP24" i="11"/>
  <c r="AK11" i="11"/>
  <c r="AQ25" i="11"/>
  <c r="AL11" i="11"/>
  <c r="AR25" i="11"/>
  <c r="AM11" i="11"/>
  <c r="AS25" i="11"/>
  <c r="AN11" i="11"/>
  <c r="AT25" i="11"/>
  <c r="AO11" i="11"/>
  <c r="AU25" i="11"/>
  <c r="AP11" i="11"/>
  <c r="AV25" i="11"/>
  <c r="AQ11" i="11"/>
  <c r="AW25" i="11"/>
  <c r="AR11" i="11"/>
  <c r="AX25" i="11"/>
  <c r="AS11" i="11"/>
  <c r="AY25" i="11"/>
  <c r="AT11" i="11"/>
  <c r="AZ25" i="11"/>
  <c r="AU11" i="11"/>
  <c r="BA25" i="11"/>
  <c r="AV11" i="11"/>
  <c r="BB25" i="11"/>
  <c r="AW11" i="11"/>
  <c r="BC25" i="11"/>
  <c r="AX11" i="11"/>
  <c r="BD25" i="11"/>
  <c r="AY11" i="11"/>
  <c r="BE25" i="11"/>
  <c r="AZ11" i="11"/>
  <c r="BF25" i="11"/>
  <c r="BA11" i="11"/>
  <c r="BG25" i="11"/>
  <c r="BB11" i="11"/>
  <c r="BH25" i="11"/>
  <c r="BC11" i="11"/>
  <c r="BI25" i="11"/>
  <c r="BD11" i="11"/>
  <c r="BJ25" i="11"/>
  <c r="BE11" i="11"/>
  <c r="BK25" i="11"/>
  <c r="BF11" i="11"/>
  <c r="BL25" i="11"/>
  <c r="BG11" i="11"/>
  <c r="BM25" i="11"/>
  <c r="BH11" i="11"/>
  <c r="BN25" i="11"/>
  <c r="AP25" i="11"/>
  <c r="AK12" i="11"/>
  <c r="AQ26" i="11"/>
  <c r="AL12" i="11"/>
  <c r="AR26" i="11"/>
  <c r="AM12" i="11"/>
  <c r="AS26" i="11"/>
  <c r="AN12" i="11"/>
  <c r="AT26" i="11"/>
  <c r="AO12" i="11"/>
  <c r="AU26" i="11"/>
  <c r="AP12" i="11"/>
  <c r="AV26" i="11"/>
  <c r="AQ12" i="11"/>
  <c r="AW26" i="11"/>
  <c r="AR12" i="11"/>
  <c r="AX26" i="11"/>
  <c r="AS12" i="11"/>
  <c r="AY26" i="11"/>
  <c r="AT12" i="11"/>
  <c r="AZ26" i="11"/>
  <c r="AU12" i="11"/>
  <c r="BA26" i="11"/>
  <c r="AV12" i="11"/>
  <c r="BB26" i="11"/>
  <c r="AW12" i="11"/>
  <c r="BC26" i="11"/>
  <c r="AX12" i="11"/>
  <c r="BD26" i="11"/>
  <c r="AY12" i="11"/>
  <c r="BE26" i="11"/>
  <c r="AZ12" i="11"/>
  <c r="BF26" i="11"/>
  <c r="BA12" i="11"/>
  <c r="BG26" i="11"/>
  <c r="BB12" i="11"/>
  <c r="BH26" i="11"/>
  <c r="BC12" i="11"/>
  <c r="BI26" i="11"/>
  <c r="BD12" i="11"/>
  <c r="BJ26" i="11"/>
  <c r="BE12" i="11"/>
  <c r="BK26" i="11"/>
  <c r="BF12" i="11"/>
  <c r="BL26" i="11"/>
  <c r="BG12" i="11"/>
  <c r="BM26" i="11"/>
  <c r="BH12" i="11"/>
  <c r="BN26" i="11"/>
  <c r="AP26" i="11"/>
  <c r="AK13" i="11"/>
  <c r="AQ27" i="11"/>
  <c r="AL13" i="11"/>
  <c r="AR27" i="11"/>
  <c r="AM13" i="11"/>
  <c r="AS27" i="11"/>
  <c r="AN13" i="11"/>
  <c r="AT27" i="11"/>
  <c r="AO13" i="11"/>
  <c r="AU27" i="11"/>
  <c r="AP13" i="11"/>
  <c r="AV27" i="11"/>
  <c r="AQ13" i="11"/>
  <c r="AW27" i="11"/>
  <c r="AR13" i="11"/>
  <c r="AX27" i="11"/>
  <c r="AS13" i="11"/>
  <c r="AY27" i="11"/>
  <c r="AT13" i="11"/>
  <c r="AZ27" i="11"/>
  <c r="AU13" i="11"/>
  <c r="BA27" i="11"/>
  <c r="AV13" i="11"/>
  <c r="BB27" i="11"/>
  <c r="AW13" i="11"/>
  <c r="BC27" i="11"/>
  <c r="AX13" i="11"/>
  <c r="BD27" i="11"/>
  <c r="AY13" i="11"/>
  <c r="BE27" i="11"/>
  <c r="AZ13" i="11"/>
  <c r="BF27" i="11"/>
  <c r="BA13" i="11"/>
  <c r="BG27" i="11"/>
  <c r="BB13" i="11"/>
  <c r="BH27" i="11"/>
  <c r="BC13" i="11"/>
  <c r="BI27" i="11"/>
  <c r="BD13" i="11"/>
  <c r="BJ27" i="11"/>
  <c r="BE13" i="11"/>
  <c r="BK27" i="11"/>
  <c r="BF13" i="11"/>
  <c r="BL27" i="11"/>
  <c r="BG13" i="11"/>
  <c r="BM27" i="11"/>
  <c r="BH13" i="11"/>
  <c r="BN27" i="11"/>
  <c r="AP27" i="11"/>
  <c r="AP28" i="11"/>
  <c r="AN16" i="11"/>
  <c r="AN17" i="11"/>
  <c r="AN18" i="11"/>
  <c r="AN19" i="11"/>
  <c r="AN20" i="11"/>
  <c r="AN21" i="11"/>
  <c r="AN22" i="11"/>
  <c r="AN23" i="11"/>
  <c r="AN24" i="11"/>
  <c r="AN25" i="11"/>
  <c r="AN26" i="11"/>
  <c r="AN27" i="11"/>
  <c r="AN28" i="11"/>
  <c r="AM16" i="11"/>
  <c r="AM17" i="11"/>
  <c r="AM18" i="11"/>
  <c r="AM19" i="11"/>
  <c r="AM20" i="11"/>
  <c r="AM21" i="11"/>
  <c r="AM22" i="11"/>
  <c r="AM23" i="11"/>
  <c r="AM24" i="11"/>
  <c r="AM25" i="11"/>
  <c r="AM26" i="11"/>
  <c r="AM27" i="11"/>
  <c r="AM28" i="11"/>
  <c r="AL16" i="11"/>
  <c r="AL17" i="11"/>
  <c r="AL18" i="11"/>
  <c r="AL19" i="11"/>
  <c r="AL20" i="11"/>
  <c r="AL21" i="11"/>
  <c r="AL22" i="11"/>
  <c r="AL23" i="11"/>
  <c r="AL24" i="11"/>
  <c r="AL25" i="11"/>
  <c r="AL26" i="11"/>
  <c r="AL27" i="11"/>
  <c r="AL28" i="11"/>
  <c r="AK16" i="11"/>
  <c r="AK17" i="11"/>
  <c r="AK18" i="11"/>
  <c r="AK19" i="11"/>
  <c r="AK20" i="11"/>
  <c r="AK21" i="11"/>
  <c r="AK22" i="11"/>
  <c r="AK23" i="11"/>
  <c r="AK24" i="11"/>
  <c r="AK25" i="11"/>
  <c r="AK26" i="11"/>
  <c r="AK27" i="11"/>
  <c r="AK28" i="11"/>
  <c r="Z2" i="11"/>
  <c r="AA2" i="11"/>
  <c r="AB2" i="11"/>
  <c r="AC2" i="11"/>
  <c r="AA16" i="11"/>
  <c r="Z3" i="11"/>
  <c r="AA3" i="11"/>
  <c r="AB3" i="11"/>
  <c r="AC3" i="11"/>
  <c r="AA17" i="11"/>
  <c r="Z4" i="11"/>
  <c r="AA4" i="11"/>
  <c r="AB4" i="11"/>
  <c r="AC4" i="11"/>
  <c r="AA18" i="11"/>
  <c r="Z5" i="11"/>
  <c r="AA5" i="11"/>
  <c r="AB5" i="11"/>
  <c r="AC5" i="11"/>
  <c r="AA19" i="11"/>
  <c r="Z6" i="11"/>
  <c r="AA6" i="11"/>
  <c r="AB6" i="11"/>
  <c r="AC6" i="11"/>
  <c r="AA20" i="11"/>
  <c r="Z7" i="11"/>
  <c r="AA7" i="11"/>
  <c r="AB7" i="11"/>
  <c r="AC7" i="11"/>
  <c r="AA21" i="11"/>
  <c r="Z8" i="11"/>
  <c r="AA8" i="11"/>
  <c r="AB8" i="11"/>
  <c r="AC8" i="11"/>
  <c r="AA22" i="11"/>
  <c r="Z9" i="11"/>
  <c r="AA9" i="11"/>
  <c r="AB9" i="11"/>
  <c r="AC9" i="11"/>
  <c r="AA23" i="11"/>
  <c r="Z10" i="11"/>
  <c r="AA10" i="11"/>
  <c r="AB10" i="11"/>
  <c r="AC10" i="11"/>
  <c r="AA24" i="11"/>
  <c r="Z11" i="11"/>
  <c r="AA11" i="11"/>
  <c r="AB11" i="11"/>
  <c r="AC11" i="11"/>
  <c r="AA25" i="11"/>
  <c r="Z12" i="11"/>
  <c r="AA12" i="11"/>
  <c r="AB12" i="11"/>
  <c r="AC12" i="11"/>
  <c r="AA26" i="11"/>
  <c r="Z13" i="11"/>
  <c r="AA13" i="11"/>
  <c r="AB13" i="11"/>
  <c r="AC13" i="11"/>
  <c r="AA27" i="11"/>
  <c r="AA28" i="11"/>
  <c r="Z16" i="11"/>
  <c r="Z17" i="11"/>
  <c r="Z18" i="11"/>
  <c r="Z19" i="11"/>
  <c r="Z20" i="11"/>
  <c r="Z21" i="11"/>
  <c r="Z22" i="11"/>
  <c r="Z23" i="11"/>
  <c r="Z24" i="11"/>
  <c r="Z25" i="11"/>
  <c r="Z26" i="11"/>
  <c r="Z27" i="11"/>
  <c r="Z28" i="11"/>
  <c r="S28" i="11"/>
  <c r="R28" i="11"/>
  <c r="Q28" i="11"/>
  <c r="P28" i="11"/>
  <c r="N28" i="11"/>
  <c r="M28" i="11"/>
  <c r="L28" i="11"/>
  <c r="K28" i="11"/>
  <c r="D27" i="11"/>
  <c r="G26" i="11"/>
  <c r="N25" i="11"/>
  <c r="M25" i="11"/>
  <c r="L25" i="11"/>
  <c r="K25" i="11"/>
  <c r="D25" i="11"/>
  <c r="G24" i="11"/>
  <c r="H16" i="11"/>
  <c r="D23" i="11"/>
  <c r="G22" i="11"/>
  <c r="G16" i="11"/>
  <c r="D21" i="11"/>
  <c r="G20" i="11"/>
  <c r="M19" i="11"/>
  <c r="W16" i="11"/>
  <c r="V16" i="11"/>
  <c r="U16" i="11"/>
  <c r="E50" i="10"/>
  <c r="A50" i="10"/>
  <c r="E49" i="10"/>
  <c r="A49" i="10"/>
  <c r="E48" i="10"/>
  <c r="A48" i="10"/>
  <c r="E47" i="10"/>
  <c r="A47" i="10"/>
  <c r="E46" i="10"/>
  <c r="A46" i="10"/>
  <c r="E45" i="10"/>
  <c r="A45" i="10"/>
  <c r="E44" i="10"/>
  <c r="A44" i="10"/>
  <c r="E43" i="10"/>
  <c r="A43" i="10"/>
  <c r="X15" i="10"/>
  <c r="E42" i="10"/>
  <c r="A42" i="10"/>
  <c r="X14" i="10"/>
  <c r="E41" i="10"/>
  <c r="A41" i="10"/>
  <c r="X13" i="10"/>
  <c r="E40" i="10"/>
  <c r="A40" i="10"/>
  <c r="X12" i="10"/>
  <c r="E39" i="10"/>
  <c r="A39" i="10"/>
  <c r="X11" i="10"/>
  <c r="X10" i="10"/>
  <c r="X9" i="10"/>
  <c r="R16" i="10"/>
  <c r="X8" i="10"/>
  <c r="X7" i="10"/>
  <c r="X4" i="10"/>
  <c r="X6" i="10"/>
  <c r="AE2" i="10"/>
  <c r="AF2" i="10"/>
  <c r="AG2" i="10"/>
  <c r="AH2" i="10"/>
  <c r="AI2" i="10"/>
  <c r="AG16" i="10"/>
  <c r="AE3" i="10"/>
  <c r="AF3" i="10"/>
  <c r="AG3" i="10"/>
  <c r="AH3" i="10"/>
  <c r="AI3" i="10"/>
  <c r="AG17" i="10"/>
  <c r="AE4" i="10"/>
  <c r="AF4" i="10"/>
  <c r="AG4" i="10"/>
  <c r="AH4" i="10"/>
  <c r="AI4" i="10"/>
  <c r="AG18" i="10"/>
  <c r="AE5" i="10"/>
  <c r="AF5" i="10"/>
  <c r="AG5" i="10"/>
  <c r="AH5" i="10"/>
  <c r="AI5" i="10"/>
  <c r="AG19" i="10"/>
  <c r="AE6" i="10"/>
  <c r="AF6" i="10"/>
  <c r="AG6" i="10"/>
  <c r="AH6" i="10"/>
  <c r="AI6" i="10"/>
  <c r="AG20" i="10"/>
  <c r="AE7" i="10"/>
  <c r="AF7" i="10"/>
  <c r="AG7" i="10"/>
  <c r="AH7" i="10"/>
  <c r="AI7" i="10"/>
  <c r="AG21" i="10"/>
  <c r="AE8" i="10"/>
  <c r="AF8" i="10"/>
  <c r="AG8" i="10"/>
  <c r="AH8" i="10"/>
  <c r="AI8" i="10"/>
  <c r="AG22" i="10"/>
  <c r="AE9" i="10"/>
  <c r="AF9" i="10"/>
  <c r="AG9" i="10"/>
  <c r="AH9" i="10"/>
  <c r="AI9" i="10"/>
  <c r="AG23" i="10"/>
  <c r="AE11" i="10"/>
  <c r="AF11" i="10"/>
  <c r="AG11" i="10"/>
  <c r="AH11" i="10"/>
  <c r="AI11" i="10"/>
  <c r="AG25" i="10"/>
  <c r="AE12" i="10"/>
  <c r="AF12" i="10"/>
  <c r="AG12" i="10"/>
  <c r="AH12" i="10"/>
  <c r="AI12" i="10"/>
  <c r="AG26" i="10"/>
  <c r="AE13" i="10"/>
  <c r="AF13" i="10"/>
  <c r="AG13" i="10"/>
  <c r="AH13" i="10"/>
  <c r="AI13" i="10"/>
  <c r="AG27" i="10"/>
  <c r="AF16" i="10"/>
  <c r="AF17" i="10"/>
  <c r="AF18" i="10"/>
  <c r="AF19" i="10"/>
  <c r="AF20" i="10"/>
  <c r="AF21" i="10"/>
  <c r="AF22" i="10"/>
  <c r="AF23" i="10"/>
  <c r="AF25" i="10"/>
  <c r="AF26" i="10"/>
  <c r="AF27" i="10"/>
  <c r="D31" i="10"/>
  <c r="J29" i="10"/>
  <c r="I29" i="10"/>
  <c r="H29" i="10"/>
  <c r="G29" i="10"/>
  <c r="F16" i="10"/>
  <c r="D29" i="10"/>
  <c r="AK2" i="10"/>
  <c r="AQ16" i="10"/>
  <c r="AL2" i="10"/>
  <c r="AR16" i="10"/>
  <c r="AM2" i="10"/>
  <c r="AS16" i="10"/>
  <c r="AN2" i="10"/>
  <c r="AT16" i="10"/>
  <c r="AO2" i="10"/>
  <c r="AU16" i="10"/>
  <c r="AP2" i="10"/>
  <c r="AV16" i="10"/>
  <c r="AQ2" i="10"/>
  <c r="AW16" i="10"/>
  <c r="AR2" i="10"/>
  <c r="AX16" i="10"/>
  <c r="AS2" i="10"/>
  <c r="AY16" i="10"/>
  <c r="AT2" i="10"/>
  <c r="AZ16" i="10"/>
  <c r="AU2" i="10"/>
  <c r="BA16" i="10"/>
  <c r="AV2" i="10"/>
  <c r="BB16" i="10"/>
  <c r="AW2" i="10"/>
  <c r="BC16" i="10"/>
  <c r="AX2" i="10"/>
  <c r="BD16" i="10"/>
  <c r="AY2" i="10"/>
  <c r="BE16" i="10"/>
  <c r="AZ2" i="10"/>
  <c r="BF16" i="10"/>
  <c r="BA2" i="10"/>
  <c r="BG16" i="10"/>
  <c r="BB2" i="10"/>
  <c r="BH16" i="10"/>
  <c r="BC2" i="10"/>
  <c r="BI16" i="10"/>
  <c r="BD2" i="10"/>
  <c r="BJ16" i="10"/>
  <c r="BE2" i="10"/>
  <c r="BK16" i="10"/>
  <c r="BF2" i="10"/>
  <c r="BL16" i="10"/>
  <c r="BG2" i="10"/>
  <c r="BM16" i="10"/>
  <c r="BH2" i="10"/>
  <c r="BN16" i="10"/>
  <c r="AP16" i="10"/>
  <c r="AK3" i="10"/>
  <c r="AQ17" i="10"/>
  <c r="AL3" i="10"/>
  <c r="AR17" i="10"/>
  <c r="AM3" i="10"/>
  <c r="AS17" i="10"/>
  <c r="AN3" i="10"/>
  <c r="AT17" i="10"/>
  <c r="AO3" i="10"/>
  <c r="AU17" i="10"/>
  <c r="AP3" i="10"/>
  <c r="AV17" i="10"/>
  <c r="AQ3" i="10"/>
  <c r="AW17" i="10"/>
  <c r="AR3" i="10"/>
  <c r="AX17" i="10"/>
  <c r="AS3" i="10"/>
  <c r="AY17" i="10"/>
  <c r="AT3" i="10"/>
  <c r="AZ17" i="10"/>
  <c r="AU3" i="10"/>
  <c r="BA17" i="10"/>
  <c r="AV3" i="10"/>
  <c r="BB17" i="10"/>
  <c r="AW3" i="10"/>
  <c r="BC17" i="10"/>
  <c r="AX3" i="10"/>
  <c r="BD17" i="10"/>
  <c r="AY3" i="10"/>
  <c r="BE17" i="10"/>
  <c r="AZ3" i="10"/>
  <c r="BF17" i="10"/>
  <c r="BA3" i="10"/>
  <c r="BG17" i="10"/>
  <c r="BB3" i="10"/>
  <c r="BH17" i="10"/>
  <c r="BC3" i="10"/>
  <c r="BI17" i="10"/>
  <c r="BD3" i="10"/>
  <c r="BJ17" i="10"/>
  <c r="BE3" i="10"/>
  <c r="BK17" i="10"/>
  <c r="BF3" i="10"/>
  <c r="BL17" i="10"/>
  <c r="BG3" i="10"/>
  <c r="BM17" i="10"/>
  <c r="BH3" i="10"/>
  <c r="BN17" i="10"/>
  <c r="AP17" i="10"/>
  <c r="AK4" i="10"/>
  <c r="AQ18" i="10"/>
  <c r="AL4" i="10"/>
  <c r="AR18" i="10"/>
  <c r="AM4" i="10"/>
  <c r="AS18" i="10"/>
  <c r="AN4" i="10"/>
  <c r="AT18" i="10"/>
  <c r="AO4" i="10"/>
  <c r="AU18" i="10"/>
  <c r="AP4" i="10"/>
  <c r="AV18" i="10"/>
  <c r="AQ4" i="10"/>
  <c r="AW18" i="10"/>
  <c r="AR4" i="10"/>
  <c r="AX18" i="10"/>
  <c r="AS4" i="10"/>
  <c r="AY18" i="10"/>
  <c r="AT4" i="10"/>
  <c r="AZ18" i="10"/>
  <c r="AU4" i="10"/>
  <c r="BA18" i="10"/>
  <c r="AV4" i="10"/>
  <c r="BB18" i="10"/>
  <c r="AW4" i="10"/>
  <c r="BC18" i="10"/>
  <c r="AX4" i="10"/>
  <c r="BD18" i="10"/>
  <c r="AY4" i="10"/>
  <c r="BE18" i="10"/>
  <c r="AZ4" i="10"/>
  <c r="BF18" i="10"/>
  <c r="BA4" i="10"/>
  <c r="BG18" i="10"/>
  <c r="BB4" i="10"/>
  <c r="BH18" i="10"/>
  <c r="BC4" i="10"/>
  <c r="BI18" i="10"/>
  <c r="BD4" i="10"/>
  <c r="BJ18" i="10"/>
  <c r="BE4" i="10"/>
  <c r="BK18" i="10"/>
  <c r="BF4" i="10"/>
  <c r="BL18" i="10"/>
  <c r="BG4" i="10"/>
  <c r="BM18" i="10"/>
  <c r="BH4" i="10"/>
  <c r="BN18" i="10"/>
  <c r="AP18" i="10"/>
  <c r="AK5" i="10"/>
  <c r="AQ19" i="10"/>
  <c r="AL5" i="10"/>
  <c r="AR19" i="10"/>
  <c r="AM5" i="10"/>
  <c r="AS19" i="10"/>
  <c r="AN5" i="10"/>
  <c r="AT19" i="10"/>
  <c r="AO5" i="10"/>
  <c r="AU19" i="10"/>
  <c r="AP5" i="10"/>
  <c r="AV19" i="10"/>
  <c r="AQ5" i="10"/>
  <c r="AW19" i="10"/>
  <c r="AR5" i="10"/>
  <c r="AX19" i="10"/>
  <c r="AS5" i="10"/>
  <c r="AY19" i="10"/>
  <c r="AT5" i="10"/>
  <c r="AZ19" i="10"/>
  <c r="AU5" i="10"/>
  <c r="BA19" i="10"/>
  <c r="AV5" i="10"/>
  <c r="BB19" i="10"/>
  <c r="AW5" i="10"/>
  <c r="BC19" i="10"/>
  <c r="AX5" i="10"/>
  <c r="BD19" i="10"/>
  <c r="AY5" i="10"/>
  <c r="BE19" i="10"/>
  <c r="AZ5" i="10"/>
  <c r="BF19" i="10"/>
  <c r="BA5" i="10"/>
  <c r="BG19" i="10"/>
  <c r="BB5" i="10"/>
  <c r="BH19" i="10"/>
  <c r="BC5" i="10"/>
  <c r="BI19" i="10"/>
  <c r="BD5" i="10"/>
  <c r="BJ19" i="10"/>
  <c r="BE5" i="10"/>
  <c r="BK19" i="10"/>
  <c r="BF5" i="10"/>
  <c r="BL19" i="10"/>
  <c r="BG5" i="10"/>
  <c r="BM19" i="10"/>
  <c r="BH5" i="10"/>
  <c r="BN19" i="10"/>
  <c r="AP19" i="10"/>
  <c r="AK6" i="10"/>
  <c r="AQ20" i="10"/>
  <c r="AL6" i="10"/>
  <c r="AR20" i="10"/>
  <c r="AM6" i="10"/>
  <c r="AS20" i="10"/>
  <c r="AN6" i="10"/>
  <c r="AT20" i="10"/>
  <c r="AO6" i="10"/>
  <c r="AU20" i="10"/>
  <c r="AP6" i="10"/>
  <c r="AV20" i="10"/>
  <c r="AQ6" i="10"/>
  <c r="AW20" i="10"/>
  <c r="AR6" i="10"/>
  <c r="AX20" i="10"/>
  <c r="AS6" i="10"/>
  <c r="AY20" i="10"/>
  <c r="AT6" i="10"/>
  <c r="AZ20" i="10"/>
  <c r="AU6" i="10"/>
  <c r="BA20" i="10"/>
  <c r="AV6" i="10"/>
  <c r="BB20" i="10"/>
  <c r="AW6" i="10"/>
  <c r="BC20" i="10"/>
  <c r="AX6" i="10"/>
  <c r="BD20" i="10"/>
  <c r="AY6" i="10"/>
  <c r="BE20" i="10"/>
  <c r="AZ6" i="10"/>
  <c r="BF20" i="10"/>
  <c r="BA6" i="10"/>
  <c r="BG20" i="10"/>
  <c r="BB6" i="10"/>
  <c r="BH20" i="10"/>
  <c r="BC6" i="10"/>
  <c r="BI20" i="10"/>
  <c r="BD6" i="10"/>
  <c r="BJ20" i="10"/>
  <c r="BE6" i="10"/>
  <c r="BK20" i="10"/>
  <c r="BF6" i="10"/>
  <c r="BL20" i="10"/>
  <c r="BG6" i="10"/>
  <c r="BM20" i="10"/>
  <c r="BH6" i="10"/>
  <c r="BN20" i="10"/>
  <c r="AP20" i="10"/>
  <c r="AK7" i="10"/>
  <c r="AQ21" i="10"/>
  <c r="AL7" i="10"/>
  <c r="AR21" i="10"/>
  <c r="AM7" i="10"/>
  <c r="AS21" i="10"/>
  <c r="AN7" i="10"/>
  <c r="AT21" i="10"/>
  <c r="AO7" i="10"/>
  <c r="AU21" i="10"/>
  <c r="AP7" i="10"/>
  <c r="AV21" i="10"/>
  <c r="AQ7" i="10"/>
  <c r="AW21" i="10"/>
  <c r="AR7" i="10"/>
  <c r="AX21" i="10"/>
  <c r="AS7" i="10"/>
  <c r="AY21" i="10"/>
  <c r="AT7" i="10"/>
  <c r="AZ21" i="10"/>
  <c r="AU7" i="10"/>
  <c r="BA21" i="10"/>
  <c r="AV7" i="10"/>
  <c r="BB21" i="10"/>
  <c r="AW7" i="10"/>
  <c r="BC21" i="10"/>
  <c r="AX7" i="10"/>
  <c r="BD21" i="10"/>
  <c r="AY7" i="10"/>
  <c r="BE21" i="10"/>
  <c r="AZ7" i="10"/>
  <c r="BF21" i="10"/>
  <c r="BA7" i="10"/>
  <c r="BG21" i="10"/>
  <c r="BB7" i="10"/>
  <c r="BH21" i="10"/>
  <c r="BC7" i="10"/>
  <c r="BI21" i="10"/>
  <c r="BD7" i="10"/>
  <c r="BJ21" i="10"/>
  <c r="BE7" i="10"/>
  <c r="BK21" i="10"/>
  <c r="BF7" i="10"/>
  <c r="BL21" i="10"/>
  <c r="BG7" i="10"/>
  <c r="BM21" i="10"/>
  <c r="BH7" i="10"/>
  <c r="BN21" i="10"/>
  <c r="AP21" i="10"/>
  <c r="AK8" i="10"/>
  <c r="AQ22" i="10"/>
  <c r="AL8" i="10"/>
  <c r="AR22" i="10"/>
  <c r="AM8" i="10"/>
  <c r="AS22" i="10"/>
  <c r="AN8" i="10"/>
  <c r="AT22" i="10"/>
  <c r="AO8" i="10"/>
  <c r="AU22" i="10"/>
  <c r="AP8" i="10"/>
  <c r="AV22" i="10"/>
  <c r="AQ8" i="10"/>
  <c r="AW22" i="10"/>
  <c r="AR8" i="10"/>
  <c r="AX22" i="10"/>
  <c r="AS8" i="10"/>
  <c r="AY22" i="10"/>
  <c r="AT8" i="10"/>
  <c r="AZ22" i="10"/>
  <c r="AU8" i="10"/>
  <c r="BA22" i="10"/>
  <c r="AV8" i="10"/>
  <c r="BB22" i="10"/>
  <c r="AW8" i="10"/>
  <c r="BC22" i="10"/>
  <c r="AX8" i="10"/>
  <c r="BD22" i="10"/>
  <c r="AY8" i="10"/>
  <c r="BE22" i="10"/>
  <c r="AZ8" i="10"/>
  <c r="BF22" i="10"/>
  <c r="BA8" i="10"/>
  <c r="BG22" i="10"/>
  <c r="BB8" i="10"/>
  <c r="BH22" i="10"/>
  <c r="BC8" i="10"/>
  <c r="BI22" i="10"/>
  <c r="BD8" i="10"/>
  <c r="BJ22" i="10"/>
  <c r="BE8" i="10"/>
  <c r="BK22" i="10"/>
  <c r="BF8" i="10"/>
  <c r="BL22" i="10"/>
  <c r="BG8" i="10"/>
  <c r="BM22" i="10"/>
  <c r="BH8" i="10"/>
  <c r="BN22" i="10"/>
  <c r="AP22" i="10"/>
  <c r="AK9" i="10"/>
  <c r="AQ23" i="10"/>
  <c r="AL9" i="10"/>
  <c r="AR23" i="10"/>
  <c r="AM9" i="10"/>
  <c r="AS23" i="10"/>
  <c r="AN9" i="10"/>
  <c r="AT23" i="10"/>
  <c r="AO9" i="10"/>
  <c r="AU23" i="10"/>
  <c r="AP9" i="10"/>
  <c r="AV23" i="10"/>
  <c r="AQ9" i="10"/>
  <c r="AW23" i="10"/>
  <c r="AR9" i="10"/>
  <c r="AX23" i="10"/>
  <c r="AS9" i="10"/>
  <c r="AY23" i="10"/>
  <c r="AT9" i="10"/>
  <c r="AZ23" i="10"/>
  <c r="AU9" i="10"/>
  <c r="BA23" i="10"/>
  <c r="AV9" i="10"/>
  <c r="BB23" i="10"/>
  <c r="AW9" i="10"/>
  <c r="BC23" i="10"/>
  <c r="AX9" i="10"/>
  <c r="BD23" i="10"/>
  <c r="AY9" i="10"/>
  <c r="BE23" i="10"/>
  <c r="AZ9" i="10"/>
  <c r="BF23" i="10"/>
  <c r="BA9" i="10"/>
  <c r="BG23" i="10"/>
  <c r="BB9" i="10"/>
  <c r="BH23" i="10"/>
  <c r="BC9" i="10"/>
  <c r="BI23" i="10"/>
  <c r="BD9" i="10"/>
  <c r="BJ23" i="10"/>
  <c r="BE9" i="10"/>
  <c r="BK23" i="10"/>
  <c r="BF9" i="10"/>
  <c r="BL23" i="10"/>
  <c r="BG9" i="10"/>
  <c r="BM23" i="10"/>
  <c r="BH9" i="10"/>
  <c r="BN23" i="10"/>
  <c r="AP23" i="10"/>
  <c r="AK10" i="10"/>
  <c r="AQ24" i="10"/>
  <c r="AL10" i="10"/>
  <c r="AR24" i="10"/>
  <c r="AM10" i="10"/>
  <c r="AS24" i="10"/>
  <c r="AN10" i="10"/>
  <c r="AT24" i="10"/>
  <c r="AO10" i="10"/>
  <c r="AU24" i="10"/>
  <c r="AP10" i="10"/>
  <c r="AV24" i="10"/>
  <c r="AQ10" i="10"/>
  <c r="AW24" i="10"/>
  <c r="AR10" i="10"/>
  <c r="AX24" i="10"/>
  <c r="AS10" i="10"/>
  <c r="AY24" i="10"/>
  <c r="AT10" i="10"/>
  <c r="AZ24" i="10"/>
  <c r="AU10" i="10"/>
  <c r="BA24" i="10"/>
  <c r="AV10" i="10"/>
  <c r="BB24" i="10"/>
  <c r="AW10" i="10"/>
  <c r="BC24" i="10"/>
  <c r="AX10" i="10"/>
  <c r="BD24" i="10"/>
  <c r="AY10" i="10"/>
  <c r="BE24" i="10"/>
  <c r="AZ10" i="10"/>
  <c r="BF24" i="10"/>
  <c r="BA10" i="10"/>
  <c r="BG24" i="10"/>
  <c r="BB10" i="10"/>
  <c r="BH24" i="10"/>
  <c r="BC10" i="10"/>
  <c r="BI24" i="10"/>
  <c r="BD10" i="10"/>
  <c r="BJ24" i="10"/>
  <c r="BE10" i="10"/>
  <c r="BK24" i="10"/>
  <c r="BF10" i="10"/>
  <c r="BL24" i="10"/>
  <c r="BG10" i="10"/>
  <c r="BM24" i="10"/>
  <c r="BH10" i="10"/>
  <c r="BN24" i="10"/>
  <c r="AP24" i="10"/>
  <c r="AK11" i="10"/>
  <c r="AQ25" i="10"/>
  <c r="AL11" i="10"/>
  <c r="AR25" i="10"/>
  <c r="AM11" i="10"/>
  <c r="AS25" i="10"/>
  <c r="AN11" i="10"/>
  <c r="AT25" i="10"/>
  <c r="AO11" i="10"/>
  <c r="AU25" i="10"/>
  <c r="AP11" i="10"/>
  <c r="AV25" i="10"/>
  <c r="AQ11" i="10"/>
  <c r="AW25" i="10"/>
  <c r="AR11" i="10"/>
  <c r="AX25" i="10"/>
  <c r="AS11" i="10"/>
  <c r="AY25" i="10"/>
  <c r="AT11" i="10"/>
  <c r="AZ25" i="10"/>
  <c r="AU11" i="10"/>
  <c r="BA25" i="10"/>
  <c r="AV11" i="10"/>
  <c r="BB25" i="10"/>
  <c r="AW11" i="10"/>
  <c r="BC25" i="10"/>
  <c r="AX11" i="10"/>
  <c r="BD25" i="10"/>
  <c r="AY11" i="10"/>
  <c r="BE25" i="10"/>
  <c r="AZ11" i="10"/>
  <c r="BF25" i="10"/>
  <c r="BA11" i="10"/>
  <c r="BG25" i="10"/>
  <c r="BB11" i="10"/>
  <c r="BH25" i="10"/>
  <c r="BC11" i="10"/>
  <c r="BI25" i="10"/>
  <c r="BD11" i="10"/>
  <c r="BJ25" i="10"/>
  <c r="BE11" i="10"/>
  <c r="BK25" i="10"/>
  <c r="BF11" i="10"/>
  <c r="BL25" i="10"/>
  <c r="BG11" i="10"/>
  <c r="BM25" i="10"/>
  <c r="BH11" i="10"/>
  <c r="BN25" i="10"/>
  <c r="AP25" i="10"/>
  <c r="AK12" i="10"/>
  <c r="AQ26" i="10"/>
  <c r="AL12" i="10"/>
  <c r="AR26" i="10"/>
  <c r="AM12" i="10"/>
  <c r="AS26" i="10"/>
  <c r="AN12" i="10"/>
  <c r="AT26" i="10"/>
  <c r="AO12" i="10"/>
  <c r="AU26" i="10"/>
  <c r="AP12" i="10"/>
  <c r="AV26" i="10"/>
  <c r="AQ12" i="10"/>
  <c r="AW26" i="10"/>
  <c r="AR12" i="10"/>
  <c r="AX26" i="10"/>
  <c r="AS12" i="10"/>
  <c r="AY26" i="10"/>
  <c r="AT12" i="10"/>
  <c r="AZ26" i="10"/>
  <c r="AU12" i="10"/>
  <c r="BA26" i="10"/>
  <c r="AV12" i="10"/>
  <c r="BB26" i="10"/>
  <c r="AW12" i="10"/>
  <c r="BC26" i="10"/>
  <c r="AX12" i="10"/>
  <c r="BD26" i="10"/>
  <c r="AY12" i="10"/>
  <c r="BE26" i="10"/>
  <c r="AZ12" i="10"/>
  <c r="BF26" i="10"/>
  <c r="BA12" i="10"/>
  <c r="BG26" i="10"/>
  <c r="BB12" i="10"/>
  <c r="BH26" i="10"/>
  <c r="BC12" i="10"/>
  <c r="BI26" i="10"/>
  <c r="BD12" i="10"/>
  <c r="BJ26" i="10"/>
  <c r="BE12" i="10"/>
  <c r="BK26" i="10"/>
  <c r="BF12" i="10"/>
  <c r="BL26" i="10"/>
  <c r="BG12" i="10"/>
  <c r="BM26" i="10"/>
  <c r="BH12" i="10"/>
  <c r="BN26" i="10"/>
  <c r="AP26" i="10"/>
  <c r="AK13" i="10"/>
  <c r="AQ27" i="10"/>
  <c r="AL13" i="10"/>
  <c r="AR27" i="10"/>
  <c r="AM13" i="10"/>
  <c r="AS27" i="10"/>
  <c r="AN13" i="10"/>
  <c r="AT27" i="10"/>
  <c r="AO13" i="10"/>
  <c r="AU27" i="10"/>
  <c r="AP13" i="10"/>
  <c r="AV27" i="10"/>
  <c r="AQ13" i="10"/>
  <c r="AW27" i="10"/>
  <c r="AR13" i="10"/>
  <c r="AX27" i="10"/>
  <c r="AS13" i="10"/>
  <c r="AY27" i="10"/>
  <c r="AT13" i="10"/>
  <c r="AZ27" i="10"/>
  <c r="AU13" i="10"/>
  <c r="BA27" i="10"/>
  <c r="AV13" i="10"/>
  <c r="BB27" i="10"/>
  <c r="AW13" i="10"/>
  <c r="BC27" i="10"/>
  <c r="AX13" i="10"/>
  <c r="BD27" i="10"/>
  <c r="AY13" i="10"/>
  <c r="BE27" i="10"/>
  <c r="AZ13" i="10"/>
  <c r="BF27" i="10"/>
  <c r="BA13" i="10"/>
  <c r="BG27" i="10"/>
  <c r="BB13" i="10"/>
  <c r="BH27" i="10"/>
  <c r="BC13" i="10"/>
  <c r="BI27" i="10"/>
  <c r="BD13" i="10"/>
  <c r="BJ27" i="10"/>
  <c r="BE13" i="10"/>
  <c r="BK27" i="10"/>
  <c r="BF13" i="10"/>
  <c r="BL27" i="10"/>
  <c r="BG13" i="10"/>
  <c r="BM27" i="10"/>
  <c r="BH13" i="10"/>
  <c r="BN27" i="10"/>
  <c r="AP27" i="10"/>
  <c r="AP28" i="10"/>
  <c r="AN16" i="10"/>
  <c r="AN17" i="10"/>
  <c r="AN18" i="10"/>
  <c r="AN19" i="10"/>
  <c r="AN20" i="10"/>
  <c r="AN21" i="10"/>
  <c r="AN22" i="10"/>
  <c r="AN23" i="10"/>
  <c r="AN24" i="10"/>
  <c r="AN25" i="10"/>
  <c r="AN26" i="10"/>
  <c r="AN27" i="10"/>
  <c r="AN28" i="10"/>
  <c r="AM16" i="10"/>
  <c r="AM17" i="10"/>
  <c r="AM18" i="10"/>
  <c r="AM19" i="10"/>
  <c r="AM20" i="10"/>
  <c r="AM21" i="10"/>
  <c r="AM22" i="10"/>
  <c r="AM23" i="10"/>
  <c r="AM24" i="10"/>
  <c r="AM25" i="10"/>
  <c r="AM26" i="10"/>
  <c r="AM27" i="10"/>
  <c r="AM28" i="10"/>
  <c r="AL16" i="10"/>
  <c r="AL17" i="10"/>
  <c r="AL18" i="10"/>
  <c r="AL19" i="10"/>
  <c r="AL20" i="10"/>
  <c r="AL21" i="10"/>
  <c r="AL22" i="10"/>
  <c r="AL23" i="10"/>
  <c r="AL24" i="10"/>
  <c r="AL25" i="10"/>
  <c r="AL26" i="10"/>
  <c r="AL27" i="10"/>
  <c r="AL28" i="10"/>
  <c r="AK16" i="10"/>
  <c r="AK17" i="10"/>
  <c r="AK18" i="10"/>
  <c r="AK19" i="10"/>
  <c r="AK20" i="10"/>
  <c r="AK21" i="10"/>
  <c r="AK22" i="10"/>
  <c r="AK23" i="10"/>
  <c r="AK24" i="10"/>
  <c r="AK25" i="10"/>
  <c r="AK26" i="10"/>
  <c r="AK27" i="10"/>
  <c r="AK28" i="10"/>
  <c r="Z2" i="10"/>
  <c r="AA2" i="10"/>
  <c r="AB2" i="10"/>
  <c r="AC2" i="10"/>
  <c r="AA16" i="10"/>
  <c r="Z3" i="10"/>
  <c r="AA3" i="10"/>
  <c r="AB3" i="10"/>
  <c r="AC3" i="10"/>
  <c r="AA17" i="10"/>
  <c r="Z4" i="10"/>
  <c r="AA4" i="10"/>
  <c r="AB4" i="10"/>
  <c r="AC4" i="10"/>
  <c r="AA18" i="10"/>
  <c r="Z5" i="10"/>
  <c r="AA5" i="10"/>
  <c r="AB5" i="10"/>
  <c r="AC5" i="10"/>
  <c r="AA19" i="10"/>
  <c r="Z6" i="10"/>
  <c r="AA6" i="10"/>
  <c r="AB6" i="10"/>
  <c r="AC6" i="10"/>
  <c r="AA20" i="10"/>
  <c r="Z7" i="10"/>
  <c r="AA7" i="10"/>
  <c r="AB7" i="10"/>
  <c r="AC7" i="10"/>
  <c r="AA21" i="10"/>
  <c r="Z8" i="10"/>
  <c r="AA8" i="10"/>
  <c r="AB8" i="10"/>
  <c r="AC8" i="10"/>
  <c r="AA22" i="10"/>
  <c r="Z9" i="10"/>
  <c r="AA9" i="10"/>
  <c r="AB9" i="10"/>
  <c r="AC9" i="10"/>
  <c r="AA23" i="10"/>
  <c r="Z10" i="10"/>
  <c r="AA10" i="10"/>
  <c r="AB10" i="10"/>
  <c r="AC10" i="10"/>
  <c r="AA24" i="10"/>
  <c r="Z11" i="10"/>
  <c r="AA11" i="10"/>
  <c r="AB11" i="10"/>
  <c r="AC11" i="10"/>
  <c r="AA25" i="10"/>
  <c r="Z12" i="10"/>
  <c r="AA12" i="10"/>
  <c r="AB12" i="10"/>
  <c r="AC12" i="10"/>
  <c r="AA26" i="10"/>
  <c r="Z13" i="10"/>
  <c r="AA13" i="10"/>
  <c r="AB13" i="10"/>
  <c r="AC13" i="10"/>
  <c r="AA27" i="10"/>
  <c r="AA28" i="10"/>
  <c r="Z16" i="10"/>
  <c r="Z17" i="10"/>
  <c r="Z18" i="10"/>
  <c r="Z19" i="10"/>
  <c r="Z20" i="10"/>
  <c r="Z21" i="10"/>
  <c r="Z22" i="10"/>
  <c r="Z23" i="10"/>
  <c r="Z24" i="10"/>
  <c r="Z25" i="10"/>
  <c r="Z26" i="10"/>
  <c r="Z27" i="10"/>
  <c r="Z28" i="10"/>
  <c r="S28" i="10"/>
  <c r="R28" i="10"/>
  <c r="Q28" i="10"/>
  <c r="P28" i="10"/>
  <c r="N28" i="10"/>
  <c r="M28" i="10"/>
  <c r="L28" i="10"/>
  <c r="K28" i="10"/>
  <c r="D27" i="10"/>
  <c r="G26" i="10"/>
  <c r="N25" i="10"/>
  <c r="M25" i="10"/>
  <c r="L25" i="10"/>
  <c r="K25" i="10"/>
  <c r="D25" i="10"/>
  <c r="G24" i="10"/>
  <c r="H16" i="10"/>
  <c r="D23" i="10"/>
  <c r="G22" i="10"/>
  <c r="G16" i="10"/>
  <c r="D21" i="10"/>
  <c r="G20" i="10"/>
  <c r="M19" i="10"/>
  <c r="W16" i="10"/>
  <c r="V16" i="10"/>
  <c r="U16" i="10"/>
  <c r="L16" i="10"/>
  <c r="E50" i="8"/>
  <c r="A50" i="8"/>
  <c r="E49" i="8"/>
  <c r="A49" i="8"/>
  <c r="E48" i="8"/>
  <c r="A48" i="8"/>
  <c r="E47" i="8"/>
  <c r="A47" i="8"/>
  <c r="E46" i="8"/>
  <c r="A46" i="8"/>
  <c r="E45" i="8"/>
  <c r="A45" i="8"/>
  <c r="E44" i="8"/>
  <c r="A44" i="8"/>
  <c r="E43" i="8"/>
  <c r="A43" i="8"/>
  <c r="X15" i="8"/>
  <c r="E42" i="8"/>
  <c r="A42" i="8"/>
  <c r="X14" i="8"/>
  <c r="E41" i="8"/>
  <c r="A41" i="8"/>
  <c r="X13" i="8"/>
  <c r="E40" i="8"/>
  <c r="A40" i="8"/>
  <c r="X12" i="8"/>
  <c r="E39" i="8"/>
  <c r="A39" i="8"/>
  <c r="X11" i="8"/>
  <c r="X10" i="8"/>
  <c r="X9" i="8"/>
  <c r="R16" i="8"/>
  <c r="Q16" i="8"/>
  <c r="X8" i="8"/>
  <c r="X7" i="8"/>
  <c r="X4" i="8"/>
  <c r="X5" i="8"/>
  <c r="X6" i="8"/>
  <c r="AE2" i="8"/>
  <c r="AF2" i="8"/>
  <c r="AG2" i="8"/>
  <c r="AH2" i="8"/>
  <c r="AI2" i="8"/>
  <c r="AG16" i="8"/>
  <c r="AE3" i="8"/>
  <c r="AF3" i="8"/>
  <c r="AG3" i="8"/>
  <c r="AH3" i="8"/>
  <c r="AI3" i="8"/>
  <c r="AG17" i="8"/>
  <c r="AE4" i="8"/>
  <c r="AF4" i="8"/>
  <c r="AG4" i="8"/>
  <c r="AH4" i="8"/>
  <c r="AI4" i="8"/>
  <c r="AG18" i="8"/>
  <c r="AE5" i="8"/>
  <c r="AF5" i="8"/>
  <c r="AG5" i="8"/>
  <c r="AH5" i="8"/>
  <c r="AI5" i="8"/>
  <c r="AG19" i="8"/>
  <c r="AE6" i="8"/>
  <c r="AF6" i="8"/>
  <c r="AG6" i="8"/>
  <c r="AH6" i="8"/>
  <c r="AI6" i="8"/>
  <c r="AG20" i="8"/>
  <c r="AE7" i="8"/>
  <c r="AF7" i="8"/>
  <c r="AG7" i="8"/>
  <c r="AH7" i="8"/>
  <c r="AI7" i="8"/>
  <c r="AG21" i="8"/>
  <c r="AE8" i="8"/>
  <c r="AF8" i="8"/>
  <c r="AG8" i="8"/>
  <c r="AH8" i="8"/>
  <c r="AI8" i="8"/>
  <c r="AG22" i="8"/>
  <c r="AE9" i="8"/>
  <c r="AF9" i="8"/>
  <c r="AG9" i="8"/>
  <c r="AH9" i="8"/>
  <c r="AI9" i="8"/>
  <c r="AG23" i="8"/>
  <c r="AE10" i="8"/>
  <c r="AF10" i="8"/>
  <c r="AG10" i="8"/>
  <c r="AH10" i="8"/>
  <c r="AI10" i="8"/>
  <c r="AG24" i="8"/>
  <c r="AE11" i="8"/>
  <c r="AF11" i="8"/>
  <c r="AG11" i="8"/>
  <c r="AH11" i="8"/>
  <c r="AI11" i="8"/>
  <c r="AG25" i="8"/>
  <c r="AE12" i="8"/>
  <c r="AF12" i="8"/>
  <c r="AG12" i="8"/>
  <c r="AH12" i="8"/>
  <c r="AI12" i="8"/>
  <c r="AG26" i="8"/>
  <c r="AE13" i="8"/>
  <c r="AF13" i="8"/>
  <c r="AG13" i="8"/>
  <c r="AH13" i="8"/>
  <c r="AI13" i="8"/>
  <c r="AG27" i="8"/>
  <c r="AG28" i="8"/>
  <c r="AF16" i="8"/>
  <c r="AF17" i="8"/>
  <c r="AF18" i="8"/>
  <c r="AF19" i="8"/>
  <c r="AF20" i="8"/>
  <c r="AF21" i="8"/>
  <c r="AF22" i="8"/>
  <c r="AF23" i="8"/>
  <c r="AF24" i="8"/>
  <c r="AF25" i="8"/>
  <c r="AF26" i="8"/>
  <c r="AF27" i="8"/>
  <c r="AF28" i="8"/>
  <c r="J29" i="8"/>
  <c r="I29" i="8"/>
  <c r="H29" i="8"/>
  <c r="G29" i="8"/>
  <c r="F16" i="8"/>
  <c r="AK2" i="8"/>
  <c r="AQ16" i="8"/>
  <c r="AL2" i="8"/>
  <c r="AR16" i="8"/>
  <c r="AM2" i="8"/>
  <c r="AS16" i="8"/>
  <c r="AN2" i="8"/>
  <c r="AT16" i="8"/>
  <c r="AO2" i="8"/>
  <c r="AU16" i="8"/>
  <c r="AP2" i="8"/>
  <c r="AV16" i="8"/>
  <c r="AQ2" i="8"/>
  <c r="AW16" i="8"/>
  <c r="AR2" i="8"/>
  <c r="AX16" i="8"/>
  <c r="AS2" i="8"/>
  <c r="AY16" i="8"/>
  <c r="AT2" i="8"/>
  <c r="AZ16" i="8"/>
  <c r="AU2" i="8"/>
  <c r="BA16" i="8"/>
  <c r="AV2" i="8"/>
  <c r="BB16" i="8"/>
  <c r="AW2" i="8"/>
  <c r="BC16" i="8"/>
  <c r="AX2" i="8"/>
  <c r="BD16" i="8"/>
  <c r="AY2" i="8"/>
  <c r="BE16" i="8"/>
  <c r="AZ2" i="8"/>
  <c r="BF16" i="8"/>
  <c r="BA2" i="8"/>
  <c r="BG16" i="8"/>
  <c r="BB2" i="8"/>
  <c r="BH16" i="8"/>
  <c r="BC2" i="8"/>
  <c r="BI16" i="8"/>
  <c r="BD2" i="8"/>
  <c r="BJ16" i="8"/>
  <c r="BE2" i="8"/>
  <c r="BK16" i="8"/>
  <c r="BF2" i="8"/>
  <c r="BL16" i="8"/>
  <c r="BG2" i="8"/>
  <c r="BM16" i="8"/>
  <c r="BH2" i="8"/>
  <c r="BN16" i="8"/>
  <c r="AP16" i="8"/>
  <c r="AK3" i="8"/>
  <c r="AQ17" i="8"/>
  <c r="AL3" i="8"/>
  <c r="AR17" i="8"/>
  <c r="AM3" i="8"/>
  <c r="AS17" i="8"/>
  <c r="AN3" i="8"/>
  <c r="AT17" i="8"/>
  <c r="AO3" i="8"/>
  <c r="AU17" i="8"/>
  <c r="AP3" i="8"/>
  <c r="AV17" i="8"/>
  <c r="AQ3" i="8"/>
  <c r="AW17" i="8"/>
  <c r="AR3" i="8"/>
  <c r="AX17" i="8"/>
  <c r="AS3" i="8"/>
  <c r="AY17" i="8"/>
  <c r="AT3" i="8"/>
  <c r="AZ17" i="8"/>
  <c r="AU3" i="8"/>
  <c r="BA17" i="8"/>
  <c r="AV3" i="8"/>
  <c r="BB17" i="8"/>
  <c r="AW3" i="8"/>
  <c r="BC17" i="8"/>
  <c r="AX3" i="8"/>
  <c r="BD17" i="8"/>
  <c r="AY3" i="8"/>
  <c r="BE17" i="8"/>
  <c r="AZ3" i="8"/>
  <c r="BF17" i="8"/>
  <c r="BA3" i="8"/>
  <c r="BG17" i="8"/>
  <c r="BB3" i="8"/>
  <c r="BH17" i="8"/>
  <c r="BC3" i="8"/>
  <c r="BI17" i="8"/>
  <c r="BD3" i="8"/>
  <c r="BJ17" i="8"/>
  <c r="BE3" i="8"/>
  <c r="BK17" i="8"/>
  <c r="BF3" i="8"/>
  <c r="BL17" i="8"/>
  <c r="BG3" i="8"/>
  <c r="BM17" i="8"/>
  <c r="BH3" i="8"/>
  <c r="BN17" i="8"/>
  <c r="AP17" i="8"/>
  <c r="AK4" i="8"/>
  <c r="AQ18" i="8"/>
  <c r="AL4" i="8"/>
  <c r="AR18" i="8"/>
  <c r="AM4" i="8"/>
  <c r="AS18" i="8"/>
  <c r="AN4" i="8"/>
  <c r="AT18" i="8"/>
  <c r="AO4" i="8"/>
  <c r="AU18" i="8"/>
  <c r="AP4" i="8"/>
  <c r="AV18" i="8"/>
  <c r="AQ4" i="8"/>
  <c r="AW18" i="8"/>
  <c r="AR4" i="8"/>
  <c r="AX18" i="8"/>
  <c r="AS4" i="8"/>
  <c r="AY18" i="8"/>
  <c r="AT4" i="8"/>
  <c r="AZ18" i="8"/>
  <c r="AU4" i="8"/>
  <c r="BA18" i="8"/>
  <c r="AV4" i="8"/>
  <c r="BB18" i="8"/>
  <c r="AW4" i="8"/>
  <c r="BC18" i="8"/>
  <c r="AX4" i="8"/>
  <c r="BD18" i="8"/>
  <c r="AY4" i="8"/>
  <c r="BE18" i="8"/>
  <c r="AZ4" i="8"/>
  <c r="BF18" i="8"/>
  <c r="BA4" i="8"/>
  <c r="BG18" i="8"/>
  <c r="BB4" i="8"/>
  <c r="BH18" i="8"/>
  <c r="BC4" i="8"/>
  <c r="BI18" i="8"/>
  <c r="BD4" i="8"/>
  <c r="BJ18" i="8"/>
  <c r="BE4" i="8"/>
  <c r="BK18" i="8"/>
  <c r="BF4" i="8"/>
  <c r="BL18" i="8"/>
  <c r="BG4" i="8"/>
  <c r="BM18" i="8"/>
  <c r="BH4" i="8"/>
  <c r="BN18" i="8"/>
  <c r="AP18" i="8"/>
  <c r="AK5" i="8"/>
  <c r="AQ19" i="8"/>
  <c r="AL5" i="8"/>
  <c r="AR19" i="8"/>
  <c r="AM5" i="8"/>
  <c r="AS19" i="8"/>
  <c r="AN5" i="8"/>
  <c r="AT19" i="8"/>
  <c r="AO5" i="8"/>
  <c r="AU19" i="8"/>
  <c r="AP5" i="8"/>
  <c r="AV19" i="8"/>
  <c r="AQ5" i="8"/>
  <c r="AW19" i="8"/>
  <c r="AR5" i="8"/>
  <c r="AX19" i="8"/>
  <c r="AS5" i="8"/>
  <c r="AY19" i="8"/>
  <c r="AT5" i="8"/>
  <c r="AZ19" i="8"/>
  <c r="AU5" i="8"/>
  <c r="BA19" i="8"/>
  <c r="AV5" i="8"/>
  <c r="BB19" i="8"/>
  <c r="AW5" i="8"/>
  <c r="BC19" i="8"/>
  <c r="AX5" i="8"/>
  <c r="BD19" i="8"/>
  <c r="AY5" i="8"/>
  <c r="BE19" i="8"/>
  <c r="AZ5" i="8"/>
  <c r="BF19" i="8"/>
  <c r="BA5" i="8"/>
  <c r="BG19" i="8"/>
  <c r="BB5" i="8"/>
  <c r="BH19" i="8"/>
  <c r="BC5" i="8"/>
  <c r="BI19" i="8"/>
  <c r="BD5" i="8"/>
  <c r="BJ19" i="8"/>
  <c r="BE5" i="8"/>
  <c r="BK19" i="8"/>
  <c r="BF5" i="8"/>
  <c r="BL19" i="8"/>
  <c r="BG5" i="8"/>
  <c r="BM19" i="8"/>
  <c r="BH5" i="8"/>
  <c r="BN19" i="8"/>
  <c r="AP19" i="8"/>
  <c r="AK6" i="8"/>
  <c r="AQ20" i="8"/>
  <c r="AL6" i="8"/>
  <c r="AR20" i="8"/>
  <c r="AM6" i="8"/>
  <c r="AS20" i="8"/>
  <c r="AN6" i="8"/>
  <c r="AT20" i="8"/>
  <c r="AO6" i="8"/>
  <c r="AU20" i="8"/>
  <c r="AP6" i="8"/>
  <c r="AV20" i="8"/>
  <c r="AQ6" i="8"/>
  <c r="AW20" i="8"/>
  <c r="AR6" i="8"/>
  <c r="AX20" i="8"/>
  <c r="AS6" i="8"/>
  <c r="AY20" i="8"/>
  <c r="AT6" i="8"/>
  <c r="AZ20" i="8"/>
  <c r="AU6" i="8"/>
  <c r="BA20" i="8"/>
  <c r="AV6" i="8"/>
  <c r="BB20" i="8"/>
  <c r="AW6" i="8"/>
  <c r="BC20" i="8"/>
  <c r="AX6" i="8"/>
  <c r="BD20" i="8"/>
  <c r="AY6" i="8"/>
  <c r="BE20" i="8"/>
  <c r="AZ6" i="8"/>
  <c r="BF20" i="8"/>
  <c r="BA6" i="8"/>
  <c r="BG20" i="8"/>
  <c r="BB6" i="8"/>
  <c r="BH20" i="8"/>
  <c r="BC6" i="8"/>
  <c r="BI20" i="8"/>
  <c r="BD6" i="8"/>
  <c r="BJ20" i="8"/>
  <c r="BE6" i="8"/>
  <c r="BK20" i="8"/>
  <c r="BF6" i="8"/>
  <c r="BL20" i="8"/>
  <c r="BG6" i="8"/>
  <c r="BM20" i="8"/>
  <c r="BH6" i="8"/>
  <c r="BN20" i="8"/>
  <c r="AP20" i="8"/>
  <c r="AK7" i="8"/>
  <c r="AQ21" i="8"/>
  <c r="AL7" i="8"/>
  <c r="AR21" i="8"/>
  <c r="AM7" i="8"/>
  <c r="AS21" i="8"/>
  <c r="AN7" i="8"/>
  <c r="AT21" i="8"/>
  <c r="AO7" i="8"/>
  <c r="AU21" i="8"/>
  <c r="AP7" i="8"/>
  <c r="AV21" i="8"/>
  <c r="AQ7" i="8"/>
  <c r="AW21" i="8"/>
  <c r="AR7" i="8"/>
  <c r="AX21" i="8"/>
  <c r="AS7" i="8"/>
  <c r="AY21" i="8"/>
  <c r="AT7" i="8"/>
  <c r="AZ21" i="8"/>
  <c r="AU7" i="8"/>
  <c r="BA21" i="8"/>
  <c r="AV7" i="8"/>
  <c r="BB21" i="8"/>
  <c r="AW7" i="8"/>
  <c r="BC21" i="8"/>
  <c r="AX7" i="8"/>
  <c r="BD21" i="8"/>
  <c r="AY7" i="8"/>
  <c r="BE21" i="8"/>
  <c r="AZ7" i="8"/>
  <c r="BF21" i="8"/>
  <c r="BA7" i="8"/>
  <c r="BG21" i="8"/>
  <c r="BB7" i="8"/>
  <c r="BH21" i="8"/>
  <c r="BC7" i="8"/>
  <c r="BI21" i="8"/>
  <c r="BD7" i="8"/>
  <c r="BJ21" i="8"/>
  <c r="BE7" i="8"/>
  <c r="BK21" i="8"/>
  <c r="BF7" i="8"/>
  <c r="BL21" i="8"/>
  <c r="BG7" i="8"/>
  <c r="BM21" i="8"/>
  <c r="BH7" i="8"/>
  <c r="BN21" i="8"/>
  <c r="AP21" i="8"/>
  <c r="AK8" i="8"/>
  <c r="AQ22" i="8"/>
  <c r="AL8" i="8"/>
  <c r="AR22" i="8"/>
  <c r="AM8" i="8"/>
  <c r="AS22" i="8"/>
  <c r="AN8" i="8"/>
  <c r="AT22" i="8"/>
  <c r="AO8" i="8"/>
  <c r="AU22" i="8"/>
  <c r="AP8" i="8"/>
  <c r="AV22" i="8"/>
  <c r="AQ8" i="8"/>
  <c r="AW22" i="8"/>
  <c r="AR8" i="8"/>
  <c r="AX22" i="8"/>
  <c r="AS8" i="8"/>
  <c r="AY22" i="8"/>
  <c r="AT8" i="8"/>
  <c r="AZ22" i="8"/>
  <c r="AU8" i="8"/>
  <c r="BA22" i="8"/>
  <c r="AV8" i="8"/>
  <c r="BB22" i="8"/>
  <c r="AW8" i="8"/>
  <c r="BC22" i="8"/>
  <c r="AX8" i="8"/>
  <c r="BD22" i="8"/>
  <c r="AY8" i="8"/>
  <c r="BE22" i="8"/>
  <c r="AZ8" i="8"/>
  <c r="BF22" i="8"/>
  <c r="BA8" i="8"/>
  <c r="BG22" i="8"/>
  <c r="BB8" i="8"/>
  <c r="BH22" i="8"/>
  <c r="BC8" i="8"/>
  <c r="BI22" i="8"/>
  <c r="BD8" i="8"/>
  <c r="BJ22" i="8"/>
  <c r="BE8" i="8"/>
  <c r="BK22" i="8"/>
  <c r="BF8" i="8"/>
  <c r="BL22" i="8"/>
  <c r="BG8" i="8"/>
  <c r="BM22" i="8"/>
  <c r="BH8" i="8"/>
  <c r="BN22" i="8"/>
  <c r="AP22" i="8"/>
  <c r="AK9" i="8"/>
  <c r="AQ23" i="8"/>
  <c r="AL9" i="8"/>
  <c r="AR23" i="8"/>
  <c r="AM9" i="8"/>
  <c r="AS23" i="8"/>
  <c r="AN9" i="8"/>
  <c r="AT23" i="8"/>
  <c r="AO9" i="8"/>
  <c r="AU23" i="8"/>
  <c r="AP9" i="8"/>
  <c r="AV23" i="8"/>
  <c r="AQ9" i="8"/>
  <c r="AW23" i="8"/>
  <c r="AR9" i="8"/>
  <c r="AX23" i="8"/>
  <c r="AS9" i="8"/>
  <c r="AY23" i="8"/>
  <c r="AT9" i="8"/>
  <c r="AZ23" i="8"/>
  <c r="AU9" i="8"/>
  <c r="BA23" i="8"/>
  <c r="AV9" i="8"/>
  <c r="BB23" i="8"/>
  <c r="AW9" i="8"/>
  <c r="BC23" i="8"/>
  <c r="AX9" i="8"/>
  <c r="BD23" i="8"/>
  <c r="AY9" i="8"/>
  <c r="BE23" i="8"/>
  <c r="AZ9" i="8"/>
  <c r="BF23" i="8"/>
  <c r="BA9" i="8"/>
  <c r="BG23" i="8"/>
  <c r="BB9" i="8"/>
  <c r="BH23" i="8"/>
  <c r="BC9" i="8"/>
  <c r="BI23" i="8"/>
  <c r="BD9" i="8"/>
  <c r="BJ23" i="8"/>
  <c r="BE9" i="8"/>
  <c r="BK23" i="8"/>
  <c r="BF9" i="8"/>
  <c r="BL23" i="8"/>
  <c r="BG9" i="8"/>
  <c r="BM23" i="8"/>
  <c r="BH9" i="8"/>
  <c r="BN23" i="8"/>
  <c r="AP23" i="8"/>
  <c r="AK10" i="8"/>
  <c r="AQ24" i="8"/>
  <c r="AL10" i="8"/>
  <c r="AR24" i="8"/>
  <c r="AM10" i="8"/>
  <c r="AS24" i="8"/>
  <c r="AN10" i="8"/>
  <c r="AT24" i="8"/>
  <c r="AO10" i="8"/>
  <c r="AU24" i="8"/>
  <c r="AP10" i="8"/>
  <c r="AV24" i="8"/>
  <c r="AQ10" i="8"/>
  <c r="AW24" i="8"/>
  <c r="AR10" i="8"/>
  <c r="AX24" i="8"/>
  <c r="AS10" i="8"/>
  <c r="AY24" i="8"/>
  <c r="AT10" i="8"/>
  <c r="AZ24" i="8"/>
  <c r="AU10" i="8"/>
  <c r="BA24" i="8"/>
  <c r="AV10" i="8"/>
  <c r="BB24" i="8"/>
  <c r="AW10" i="8"/>
  <c r="BC24" i="8"/>
  <c r="AX10" i="8"/>
  <c r="BD24" i="8"/>
  <c r="AY10" i="8"/>
  <c r="BE24" i="8"/>
  <c r="AZ10" i="8"/>
  <c r="BF24" i="8"/>
  <c r="BA10" i="8"/>
  <c r="BG24" i="8"/>
  <c r="BB10" i="8"/>
  <c r="BH24" i="8"/>
  <c r="BC10" i="8"/>
  <c r="BI24" i="8"/>
  <c r="BD10" i="8"/>
  <c r="BJ24" i="8"/>
  <c r="BE10" i="8"/>
  <c r="BK24" i="8"/>
  <c r="BF10" i="8"/>
  <c r="BL24" i="8"/>
  <c r="BG10" i="8"/>
  <c r="BM24" i="8"/>
  <c r="BH10" i="8"/>
  <c r="BN24" i="8"/>
  <c r="AP24" i="8"/>
  <c r="AK11" i="8"/>
  <c r="AQ25" i="8"/>
  <c r="AL11" i="8"/>
  <c r="AR25" i="8"/>
  <c r="AM11" i="8"/>
  <c r="AS25" i="8"/>
  <c r="AN11" i="8"/>
  <c r="AT25" i="8"/>
  <c r="AO11" i="8"/>
  <c r="AU25" i="8"/>
  <c r="AP11" i="8"/>
  <c r="AV25" i="8"/>
  <c r="AQ11" i="8"/>
  <c r="AW25" i="8"/>
  <c r="AR11" i="8"/>
  <c r="AX25" i="8"/>
  <c r="AS11" i="8"/>
  <c r="AY25" i="8"/>
  <c r="AT11" i="8"/>
  <c r="AZ25" i="8"/>
  <c r="AU11" i="8"/>
  <c r="BA25" i="8"/>
  <c r="AV11" i="8"/>
  <c r="BB25" i="8"/>
  <c r="AW11" i="8"/>
  <c r="BC25" i="8"/>
  <c r="AX11" i="8"/>
  <c r="BD25" i="8"/>
  <c r="AY11" i="8"/>
  <c r="BE25" i="8"/>
  <c r="AZ11" i="8"/>
  <c r="BF25" i="8"/>
  <c r="BA11" i="8"/>
  <c r="BG25" i="8"/>
  <c r="BB11" i="8"/>
  <c r="BH25" i="8"/>
  <c r="BC11" i="8"/>
  <c r="BI25" i="8"/>
  <c r="BD11" i="8"/>
  <c r="BJ25" i="8"/>
  <c r="BE11" i="8"/>
  <c r="BK25" i="8"/>
  <c r="BF11" i="8"/>
  <c r="BL25" i="8"/>
  <c r="BG11" i="8"/>
  <c r="BM25" i="8"/>
  <c r="BH11" i="8"/>
  <c r="BN25" i="8"/>
  <c r="AP25" i="8"/>
  <c r="AK12" i="8"/>
  <c r="AQ26" i="8"/>
  <c r="AL12" i="8"/>
  <c r="AR26" i="8"/>
  <c r="AM12" i="8"/>
  <c r="AS26" i="8"/>
  <c r="AN12" i="8"/>
  <c r="AT26" i="8"/>
  <c r="AO12" i="8"/>
  <c r="AU26" i="8"/>
  <c r="AP12" i="8"/>
  <c r="AV26" i="8"/>
  <c r="AQ12" i="8"/>
  <c r="AW26" i="8"/>
  <c r="AR12" i="8"/>
  <c r="AX26" i="8"/>
  <c r="AS12" i="8"/>
  <c r="AY26" i="8"/>
  <c r="AT12" i="8"/>
  <c r="AZ26" i="8"/>
  <c r="AU12" i="8"/>
  <c r="BA26" i="8"/>
  <c r="AV12" i="8"/>
  <c r="BB26" i="8"/>
  <c r="AW12" i="8"/>
  <c r="BC26" i="8"/>
  <c r="AX12" i="8"/>
  <c r="BD26" i="8"/>
  <c r="AY12" i="8"/>
  <c r="BE26" i="8"/>
  <c r="AZ12" i="8"/>
  <c r="BF26" i="8"/>
  <c r="BA12" i="8"/>
  <c r="BG26" i="8"/>
  <c r="BB12" i="8"/>
  <c r="BH26" i="8"/>
  <c r="BC12" i="8"/>
  <c r="BI26" i="8"/>
  <c r="BD12" i="8"/>
  <c r="BJ26" i="8"/>
  <c r="BE12" i="8"/>
  <c r="BK26" i="8"/>
  <c r="BF12" i="8"/>
  <c r="BL26" i="8"/>
  <c r="BG12" i="8"/>
  <c r="BM26" i="8"/>
  <c r="BH12" i="8"/>
  <c r="BN26" i="8"/>
  <c r="AP26" i="8"/>
  <c r="AK13" i="8"/>
  <c r="AQ27" i="8"/>
  <c r="AL13" i="8"/>
  <c r="AR27" i="8"/>
  <c r="AM13" i="8"/>
  <c r="AS27" i="8"/>
  <c r="AN13" i="8"/>
  <c r="AT27" i="8"/>
  <c r="AO13" i="8"/>
  <c r="AU27" i="8"/>
  <c r="AP13" i="8"/>
  <c r="AV27" i="8"/>
  <c r="AQ13" i="8"/>
  <c r="AW27" i="8"/>
  <c r="AR13" i="8"/>
  <c r="AX27" i="8"/>
  <c r="AS13" i="8"/>
  <c r="AY27" i="8"/>
  <c r="AT13" i="8"/>
  <c r="AZ27" i="8"/>
  <c r="AU13" i="8"/>
  <c r="BA27" i="8"/>
  <c r="AV13" i="8"/>
  <c r="BB27" i="8"/>
  <c r="AW13" i="8"/>
  <c r="BC27" i="8"/>
  <c r="AX13" i="8"/>
  <c r="BD27" i="8"/>
  <c r="AY13" i="8"/>
  <c r="BE27" i="8"/>
  <c r="AZ13" i="8"/>
  <c r="BF27" i="8"/>
  <c r="BA13" i="8"/>
  <c r="BG27" i="8"/>
  <c r="BB13" i="8"/>
  <c r="BH27" i="8"/>
  <c r="BC13" i="8"/>
  <c r="BI27" i="8"/>
  <c r="BD13" i="8"/>
  <c r="BJ27" i="8"/>
  <c r="BE13" i="8"/>
  <c r="BK27" i="8"/>
  <c r="BF13" i="8"/>
  <c r="BL27" i="8"/>
  <c r="BG13" i="8"/>
  <c r="BM27" i="8"/>
  <c r="BH13" i="8"/>
  <c r="BN27" i="8"/>
  <c r="AP27" i="8"/>
  <c r="AP28" i="8"/>
  <c r="AN16" i="8"/>
  <c r="AN17" i="8"/>
  <c r="AN18" i="8"/>
  <c r="AN19" i="8"/>
  <c r="AN20" i="8"/>
  <c r="AN21" i="8"/>
  <c r="AN22" i="8"/>
  <c r="AN23" i="8"/>
  <c r="AN24" i="8"/>
  <c r="AN25" i="8"/>
  <c r="AN26" i="8"/>
  <c r="AN27" i="8"/>
  <c r="AN28" i="8"/>
  <c r="AM16" i="8"/>
  <c r="AM17" i="8"/>
  <c r="AM18" i="8"/>
  <c r="AM19" i="8"/>
  <c r="AM20" i="8"/>
  <c r="AM21" i="8"/>
  <c r="AM22" i="8"/>
  <c r="AM23" i="8"/>
  <c r="AM24" i="8"/>
  <c r="AM25" i="8"/>
  <c r="AM26" i="8"/>
  <c r="AM27" i="8"/>
  <c r="AM28" i="8"/>
  <c r="AL16" i="8"/>
  <c r="AL17" i="8"/>
  <c r="AL18" i="8"/>
  <c r="AL19" i="8"/>
  <c r="AL20" i="8"/>
  <c r="AL21" i="8"/>
  <c r="AL22" i="8"/>
  <c r="AL23" i="8"/>
  <c r="AL24" i="8"/>
  <c r="AL25" i="8"/>
  <c r="AL26" i="8"/>
  <c r="AL27" i="8"/>
  <c r="AL28" i="8"/>
  <c r="AK16" i="8"/>
  <c r="AK17" i="8"/>
  <c r="AK18" i="8"/>
  <c r="AK19" i="8"/>
  <c r="AK20" i="8"/>
  <c r="AK21" i="8"/>
  <c r="AK22" i="8"/>
  <c r="AK23" i="8"/>
  <c r="AK24" i="8"/>
  <c r="AK25" i="8"/>
  <c r="AK26" i="8"/>
  <c r="AK27" i="8"/>
  <c r="AK28" i="8"/>
  <c r="Z2" i="8"/>
  <c r="AA2" i="8"/>
  <c r="AB2" i="8"/>
  <c r="AC2" i="8"/>
  <c r="AA16" i="8"/>
  <c r="Z3" i="8"/>
  <c r="AA3" i="8"/>
  <c r="AB3" i="8"/>
  <c r="AC3" i="8"/>
  <c r="AA17" i="8"/>
  <c r="Z4" i="8"/>
  <c r="AA4" i="8"/>
  <c r="AB4" i="8"/>
  <c r="AC4" i="8"/>
  <c r="AA18" i="8"/>
  <c r="Z5" i="8"/>
  <c r="AA5" i="8"/>
  <c r="AB5" i="8"/>
  <c r="AC5" i="8"/>
  <c r="AA19" i="8"/>
  <c r="Z6" i="8"/>
  <c r="AA6" i="8"/>
  <c r="AB6" i="8"/>
  <c r="AC6" i="8"/>
  <c r="AA20" i="8"/>
  <c r="Z7" i="8"/>
  <c r="AA7" i="8"/>
  <c r="AB7" i="8"/>
  <c r="AC7" i="8"/>
  <c r="AA21" i="8"/>
  <c r="Z8" i="8"/>
  <c r="AA8" i="8"/>
  <c r="AB8" i="8"/>
  <c r="AC8" i="8"/>
  <c r="AA22" i="8"/>
  <c r="Z9" i="8"/>
  <c r="AA9" i="8"/>
  <c r="AB9" i="8"/>
  <c r="AC9" i="8"/>
  <c r="AA23" i="8"/>
  <c r="Z10" i="8"/>
  <c r="AA10" i="8"/>
  <c r="AB10" i="8"/>
  <c r="AC10" i="8"/>
  <c r="AA24" i="8"/>
  <c r="Z11" i="8"/>
  <c r="AA11" i="8"/>
  <c r="AB11" i="8"/>
  <c r="AC11" i="8"/>
  <c r="AA25" i="8"/>
  <c r="Z12" i="8"/>
  <c r="AA12" i="8"/>
  <c r="AB12" i="8"/>
  <c r="AC12" i="8"/>
  <c r="AA26" i="8"/>
  <c r="Z13" i="8"/>
  <c r="AA13" i="8"/>
  <c r="AB13" i="8"/>
  <c r="AC13" i="8"/>
  <c r="AA27" i="8"/>
  <c r="AA28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S28" i="8"/>
  <c r="R28" i="8"/>
  <c r="Q28" i="8"/>
  <c r="P28" i="8"/>
  <c r="N28" i="8"/>
  <c r="M28" i="8"/>
  <c r="L28" i="8"/>
  <c r="K28" i="8"/>
  <c r="D27" i="8"/>
  <c r="G26" i="8"/>
  <c r="N25" i="8"/>
  <c r="M25" i="8"/>
  <c r="L25" i="8"/>
  <c r="K25" i="8"/>
  <c r="D25" i="8"/>
  <c r="G24" i="8"/>
  <c r="H16" i="8"/>
  <c r="D23" i="8"/>
  <c r="G22" i="8"/>
  <c r="G16" i="8"/>
  <c r="D21" i="8"/>
  <c r="G20" i="8"/>
  <c r="M19" i="8"/>
  <c r="W16" i="8"/>
  <c r="V16" i="8"/>
  <c r="U16" i="8"/>
  <c r="M16" i="8"/>
  <c r="R61" i="7"/>
  <c r="R32" i="7"/>
  <c r="R35" i="7"/>
  <c r="R57" i="7"/>
  <c r="R45" i="7"/>
  <c r="R37" i="7"/>
  <c r="R47" i="7"/>
  <c r="R41" i="7"/>
  <c r="R51" i="7"/>
  <c r="R38" i="7"/>
  <c r="R21" i="7"/>
  <c r="R2" i="7"/>
  <c r="R15" i="7"/>
  <c r="R49" i="7"/>
  <c r="R25" i="7"/>
  <c r="R54" i="7"/>
  <c r="R13" i="7"/>
  <c r="R4" i="7"/>
  <c r="R42" i="7"/>
  <c r="R23" i="7"/>
  <c r="R44" i="7"/>
  <c r="R59" i="7"/>
  <c r="R30" i="7"/>
  <c r="R52" i="7"/>
  <c r="R3" i="7"/>
  <c r="R7" i="7"/>
  <c r="R9" i="7"/>
  <c r="R10" i="7"/>
  <c r="R53" i="7"/>
  <c r="R46" i="7"/>
  <c r="R36" i="7"/>
  <c r="R60" i="7"/>
  <c r="R40" i="7"/>
  <c r="R17" i="7"/>
  <c r="R58" i="7"/>
  <c r="R5" i="7"/>
  <c r="R33" i="7"/>
  <c r="R55" i="7"/>
  <c r="R22" i="7"/>
  <c r="R43" i="7"/>
  <c r="R34" i="7"/>
  <c r="R50" i="7"/>
  <c r="R27" i="7"/>
  <c r="R26" i="7"/>
  <c r="R48" i="7"/>
  <c r="R12" i="7"/>
  <c r="R18" i="7"/>
  <c r="R8" i="7"/>
  <c r="R56" i="7"/>
  <c r="R28" i="7"/>
  <c r="R6" i="7"/>
  <c r="R29" i="7"/>
  <c r="R14" i="7"/>
  <c r="R16" i="7"/>
  <c r="R20" i="7"/>
  <c r="R39" i="7"/>
  <c r="R11" i="7"/>
  <c r="R31" i="7"/>
  <c r="R19" i="7"/>
  <c r="Q61" i="7"/>
  <c r="Q32" i="7"/>
  <c r="Q35" i="7"/>
  <c r="Q57" i="7"/>
  <c r="Q45" i="7"/>
  <c r="Q37" i="7"/>
  <c r="Q47" i="7"/>
  <c r="Q41" i="7"/>
  <c r="Q51" i="7"/>
  <c r="Q38" i="7"/>
  <c r="Q21" i="7"/>
  <c r="Q2" i="7"/>
  <c r="Q15" i="7"/>
  <c r="Q49" i="7"/>
  <c r="Q25" i="7"/>
  <c r="Q54" i="7"/>
  <c r="Q13" i="7"/>
  <c r="Q4" i="7"/>
  <c r="Q42" i="7"/>
  <c r="Q23" i="7"/>
  <c r="Q44" i="7"/>
  <c r="Q59" i="7"/>
  <c r="Q30" i="7"/>
  <c r="O61" i="7"/>
  <c r="O32" i="7"/>
  <c r="O35" i="7"/>
  <c r="O57" i="7"/>
  <c r="O45" i="7"/>
  <c r="O37" i="7"/>
  <c r="O47" i="7"/>
  <c r="O41" i="7"/>
  <c r="O51" i="7"/>
  <c r="O38" i="7"/>
  <c r="O21" i="7"/>
  <c r="O2" i="7"/>
  <c r="O15" i="7"/>
  <c r="O49" i="7"/>
  <c r="O25" i="7"/>
  <c r="O54" i="7"/>
  <c r="O13" i="7"/>
  <c r="O4" i="7"/>
  <c r="O42" i="7"/>
  <c r="O23" i="7"/>
  <c r="O44" i="7"/>
  <c r="O59" i="7"/>
  <c r="O30" i="7"/>
  <c r="N61" i="7"/>
  <c r="N32" i="7"/>
  <c r="N35" i="7"/>
  <c r="N57" i="7"/>
  <c r="N45" i="7"/>
  <c r="N37" i="7"/>
  <c r="N47" i="7"/>
  <c r="N41" i="7"/>
  <c r="N51" i="7"/>
  <c r="N38" i="7"/>
  <c r="N21" i="7"/>
  <c r="N2" i="7"/>
  <c r="N15" i="7"/>
  <c r="N49" i="7"/>
  <c r="N25" i="7"/>
  <c r="N54" i="7"/>
  <c r="N13" i="7"/>
  <c r="N4" i="7"/>
  <c r="N42" i="7"/>
  <c r="N23" i="7"/>
  <c r="N44" i="7"/>
  <c r="N59" i="7"/>
  <c r="N30" i="7"/>
  <c r="N56" i="7"/>
  <c r="M61" i="7"/>
  <c r="M32" i="7"/>
  <c r="M35" i="7"/>
  <c r="M57" i="7"/>
  <c r="M45" i="7"/>
  <c r="M37" i="7"/>
  <c r="M47" i="7"/>
  <c r="M41" i="7"/>
  <c r="M51" i="7"/>
  <c r="M38" i="7"/>
  <c r="M21" i="7"/>
  <c r="M2" i="7"/>
  <c r="M15" i="7"/>
  <c r="M49" i="7"/>
  <c r="M25" i="7"/>
  <c r="M54" i="7"/>
  <c r="M13" i="7"/>
  <c r="M4" i="7"/>
  <c r="M42" i="7"/>
  <c r="M23" i="7"/>
  <c r="M44" i="7"/>
  <c r="M59" i="7"/>
  <c r="M30" i="7"/>
  <c r="L59" i="7"/>
  <c r="L61" i="7"/>
  <c r="L32" i="7"/>
  <c r="L35" i="7"/>
  <c r="L57" i="7"/>
  <c r="L45" i="7"/>
  <c r="L37" i="7"/>
  <c r="L47" i="7"/>
  <c r="L41" i="7"/>
  <c r="L51" i="7"/>
  <c r="L38" i="7"/>
  <c r="L21" i="7"/>
  <c r="L2" i="7"/>
  <c r="L15" i="7"/>
  <c r="L49" i="7"/>
  <c r="L25" i="7"/>
  <c r="L54" i="7"/>
  <c r="L13" i="7"/>
  <c r="L4" i="7"/>
  <c r="L42" i="7"/>
  <c r="L23" i="7"/>
  <c r="L44" i="7"/>
  <c r="L30" i="7"/>
  <c r="L52" i="7"/>
  <c r="L3" i="7"/>
  <c r="L7" i="7"/>
  <c r="L9" i="7"/>
  <c r="L10" i="7"/>
  <c r="L53" i="7"/>
  <c r="L46" i="7"/>
  <c r="L36" i="7"/>
  <c r="L60" i="7"/>
  <c r="L40" i="7"/>
  <c r="L17" i="7"/>
  <c r="L58" i="7"/>
  <c r="L5" i="7"/>
  <c r="L33" i="7"/>
  <c r="L55" i="7"/>
  <c r="L22" i="7"/>
  <c r="L43" i="7"/>
  <c r="L34" i="7"/>
  <c r="L50" i="7"/>
  <c r="L27" i="7"/>
  <c r="L26" i="7"/>
  <c r="L48" i="7"/>
  <c r="L12" i="7"/>
  <c r="L18" i="7"/>
  <c r="L8" i="7"/>
  <c r="L56" i="7"/>
  <c r="L28" i="7"/>
  <c r="L6" i="7"/>
  <c r="L29" i="7"/>
  <c r="L14" i="7"/>
  <c r="L16" i="7"/>
  <c r="L20" i="7"/>
  <c r="L39" i="7"/>
  <c r="L11" i="7"/>
  <c r="L31" i="7"/>
  <c r="L19" i="7"/>
  <c r="G16" i="1"/>
  <c r="H16" i="1"/>
  <c r="L24" i="7"/>
  <c r="K61" i="7"/>
  <c r="K32" i="7"/>
  <c r="K35" i="7"/>
  <c r="K57" i="7"/>
  <c r="K45" i="7"/>
  <c r="K37" i="7"/>
  <c r="K47" i="7"/>
  <c r="K41" i="7"/>
  <c r="K51" i="7"/>
  <c r="K38" i="7"/>
  <c r="K21" i="7"/>
  <c r="K2" i="7"/>
  <c r="K15" i="7"/>
  <c r="K49" i="7"/>
  <c r="K25" i="7"/>
  <c r="K54" i="7"/>
  <c r="K13" i="7"/>
  <c r="K4" i="7"/>
  <c r="K42" i="7"/>
  <c r="K23" i="7"/>
  <c r="K44" i="7"/>
  <c r="K59" i="7"/>
  <c r="K30" i="7"/>
  <c r="J61" i="7"/>
  <c r="J32" i="7"/>
  <c r="J35" i="7"/>
  <c r="J57" i="7"/>
  <c r="J45" i="7"/>
  <c r="J37" i="7"/>
  <c r="J47" i="7"/>
  <c r="J41" i="7"/>
  <c r="J51" i="7"/>
  <c r="J38" i="7"/>
  <c r="J21" i="7"/>
  <c r="J2" i="7"/>
  <c r="J15" i="7"/>
  <c r="J49" i="7"/>
  <c r="J25" i="7"/>
  <c r="J54" i="7"/>
  <c r="J13" i="7"/>
  <c r="J4" i="7"/>
  <c r="J42" i="7"/>
  <c r="J23" i="7"/>
  <c r="J44" i="7"/>
  <c r="J59" i="7"/>
  <c r="J30" i="7"/>
  <c r="H61" i="7"/>
  <c r="H32" i="7"/>
  <c r="H35" i="7"/>
  <c r="H57" i="7"/>
  <c r="H45" i="7"/>
  <c r="H37" i="7"/>
  <c r="H47" i="7"/>
  <c r="H41" i="7"/>
  <c r="H51" i="7"/>
  <c r="H38" i="7"/>
  <c r="H21" i="7"/>
  <c r="H2" i="7"/>
  <c r="H15" i="7"/>
  <c r="H49" i="7"/>
  <c r="H25" i="7"/>
  <c r="H54" i="7"/>
  <c r="H13" i="7"/>
  <c r="H4" i="7"/>
  <c r="H42" i="7"/>
  <c r="H23" i="7"/>
  <c r="H44" i="7"/>
  <c r="H59" i="7"/>
  <c r="H30" i="7"/>
  <c r="G61" i="7"/>
  <c r="G32" i="7"/>
  <c r="G35" i="7"/>
  <c r="G57" i="7"/>
  <c r="G45" i="7"/>
  <c r="G37" i="7"/>
  <c r="G47" i="7"/>
  <c r="G41" i="7"/>
  <c r="G51" i="7"/>
  <c r="G38" i="7"/>
  <c r="G21" i="7"/>
  <c r="G2" i="7"/>
  <c r="G15" i="7"/>
  <c r="G49" i="7"/>
  <c r="G25" i="7"/>
  <c r="G54" i="7"/>
  <c r="G13" i="7"/>
  <c r="G4" i="7"/>
  <c r="G42" i="7"/>
  <c r="G23" i="7"/>
  <c r="G44" i="7"/>
  <c r="G59" i="7"/>
  <c r="G30" i="7"/>
  <c r="E61" i="7"/>
  <c r="E32" i="7"/>
  <c r="E35" i="7"/>
  <c r="E57" i="7"/>
  <c r="E45" i="7"/>
  <c r="E37" i="7"/>
  <c r="E47" i="7"/>
  <c r="E41" i="7"/>
  <c r="E51" i="7"/>
  <c r="E38" i="7"/>
  <c r="E2" i="7"/>
  <c r="E15" i="7"/>
  <c r="E49" i="7"/>
  <c r="E25" i="7"/>
  <c r="E54" i="7"/>
  <c r="E13" i="7"/>
  <c r="E4" i="7"/>
  <c r="E42" i="7"/>
  <c r="E23" i="7"/>
  <c r="E44" i="7"/>
  <c r="E59" i="7"/>
  <c r="E30" i="7"/>
  <c r="E52" i="7"/>
  <c r="E3" i="7"/>
  <c r="E7" i="7"/>
  <c r="E9" i="7"/>
  <c r="E10" i="7"/>
  <c r="E53" i="7"/>
  <c r="E46" i="7"/>
  <c r="E36" i="7"/>
  <c r="E60" i="7"/>
  <c r="E40" i="7"/>
  <c r="E17" i="7"/>
  <c r="E58" i="7"/>
  <c r="E5" i="7"/>
  <c r="E33" i="7"/>
  <c r="E55" i="7"/>
  <c r="E22" i="7"/>
  <c r="E43" i="7"/>
  <c r="E34" i="7"/>
  <c r="E50" i="7"/>
  <c r="E27" i="7"/>
  <c r="E26" i="7"/>
  <c r="E48" i="7"/>
  <c r="E12" i="7"/>
  <c r="E18" i="7"/>
  <c r="E8" i="7"/>
  <c r="E56" i="7"/>
  <c r="E28" i="7"/>
  <c r="E6" i="7"/>
  <c r="E29" i="7"/>
  <c r="E14" i="7"/>
  <c r="E16" i="7"/>
  <c r="E20" i="7"/>
  <c r="E39" i="7"/>
  <c r="E11" i="7"/>
  <c r="E31" i="7"/>
  <c r="E19" i="7"/>
  <c r="D61" i="7"/>
  <c r="D57" i="7"/>
  <c r="D45" i="7"/>
  <c r="D47" i="7"/>
  <c r="D54" i="7"/>
  <c r="D23" i="7"/>
  <c r="D55" i="7"/>
  <c r="D56" i="7"/>
  <c r="D16" i="7"/>
  <c r="K33" i="3"/>
  <c r="W40" i="3"/>
  <c r="W43" i="3"/>
  <c r="E50" i="9"/>
  <c r="A50" i="9"/>
  <c r="E49" i="9"/>
  <c r="A49" i="9"/>
  <c r="E48" i="9"/>
  <c r="A48" i="9"/>
  <c r="E47" i="9"/>
  <c r="A47" i="9"/>
  <c r="E46" i="9"/>
  <c r="A46" i="9"/>
  <c r="E45" i="9"/>
  <c r="A45" i="9"/>
  <c r="E44" i="9"/>
  <c r="A44" i="9"/>
  <c r="E43" i="9"/>
  <c r="A43" i="9"/>
  <c r="X15" i="9"/>
  <c r="E42" i="9"/>
  <c r="A42" i="9"/>
  <c r="X14" i="9"/>
  <c r="E41" i="9"/>
  <c r="A41" i="9"/>
  <c r="X13" i="9"/>
  <c r="E40" i="9"/>
  <c r="A40" i="9"/>
  <c r="X12" i="9"/>
  <c r="E39" i="9"/>
  <c r="A39" i="9"/>
  <c r="X11" i="9"/>
  <c r="X10" i="9"/>
  <c r="X9" i="9"/>
  <c r="R16" i="9"/>
  <c r="Q16" i="9"/>
  <c r="X8" i="9"/>
  <c r="X7" i="9"/>
  <c r="X4" i="9"/>
  <c r="X5" i="9"/>
  <c r="X6" i="9"/>
  <c r="AE2" i="9"/>
  <c r="AF2" i="9"/>
  <c r="AG2" i="9"/>
  <c r="AH2" i="9"/>
  <c r="AI2" i="9"/>
  <c r="AG16" i="9"/>
  <c r="AE3" i="9"/>
  <c r="AF3" i="9"/>
  <c r="AG3" i="9"/>
  <c r="AH3" i="9"/>
  <c r="AI3" i="9"/>
  <c r="AG17" i="9"/>
  <c r="AE5" i="9"/>
  <c r="AF5" i="9"/>
  <c r="AG5" i="9"/>
  <c r="AH5" i="9"/>
  <c r="AI5" i="9"/>
  <c r="AG19" i="9"/>
  <c r="AE6" i="9"/>
  <c r="AF6" i="9"/>
  <c r="AG6" i="9"/>
  <c r="AH6" i="9"/>
  <c r="AI6" i="9"/>
  <c r="AG20" i="9"/>
  <c r="AE7" i="9"/>
  <c r="AF7" i="9"/>
  <c r="AG7" i="9"/>
  <c r="AH7" i="9"/>
  <c r="AI7" i="9"/>
  <c r="AG21" i="9"/>
  <c r="AE8" i="9"/>
  <c r="AF8" i="9"/>
  <c r="AG8" i="9"/>
  <c r="AH8" i="9"/>
  <c r="AI8" i="9"/>
  <c r="AG22" i="9"/>
  <c r="AE9" i="9"/>
  <c r="AF9" i="9"/>
  <c r="AG9" i="9"/>
  <c r="AH9" i="9"/>
  <c r="AI9" i="9"/>
  <c r="AG23" i="9"/>
  <c r="AE11" i="9"/>
  <c r="AF11" i="9"/>
  <c r="AG11" i="9"/>
  <c r="AH11" i="9"/>
  <c r="AI11" i="9"/>
  <c r="AG25" i="9"/>
  <c r="AE12" i="9"/>
  <c r="AF12" i="9"/>
  <c r="AG12" i="9"/>
  <c r="AH12" i="9"/>
  <c r="AI12" i="9"/>
  <c r="AG26" i="9"/>
  <c r="AE13" i="9"/>
  <c r="AF13" i="9"/>
  <c r="AG13" i="9"/>
  <c r="AH13" i="9"/>
  <c r="AI13" i="9"/>
  <c r="AG27" i="9"/>
  <c r="AF16" i="9"/>
  <c r="AF17" i="9"/>
  <c r="AF19" i="9"/>
  <c r="AF20" i="9"/>
  <c r="AF21" i="9"/>
  <c r="AF22" i="9"/>
  <c r="AF23" i="9"/>
  <c r="AF25" i="9"/>
  <c r="AF26" i="9"/>
  <c r="AF27" i="9"/>
  <c r="J29" i="9"/>
  <c r="I29" i="9"/>
  <c r="H29" i="9"/>
  <c r="G29" i="9"/>
  <c r="AK2" i="9"/>
  <c r="AQ16" i="9"/>
  <c r="AL2" i="9"/>
  <c r="AR16" i="9"/>
  <c r="AM2" i="9"/>
  <c r="AS16" i="9"/>
  <c r="AN2" i="9"/>
  <c r="AT16" i="9"/>
  <c r="AO2" i="9"/>
  <c r="AU16" i="9"/>
  <c r="AP2" i="9"/>
  <c r="AV16" i="9"/>
  <c r="AQ2" i="9"/>
  <c r="AW16" i="9"/>
  <c r="AR2" i="9"/>
  <c r="AX16" i="9"/>
  <c r="AS2" i="9"/>
  <c r="AY16" i="9"/>
  <c r="AT2" i="9"/>
  <c r="AZ16" i="9"/>
  <c r="AU2" i="9"/>
  <c r="BA16" i="9"/>
  <c r="AV2" i="9"/>
  <c r="BB16" i="9"/>
  <c r="AW2" i="9"/>
  <c r="BC16" i="9"/>
  <c r="AX2" i="9"/>
  <c r="BD16" i="9"/>
  <c r="AY2" i="9"/>
  <c r="BE16" i="9"/>
  <c r="AZ2" i="9"/>
  <c r="BF16" i="9"/>
  <c r="BA2" i="9"/>
  <c r="BG16" i="9"/>
  <c r="BB2" i="9"/>
  <c r="BH16" i="9"/>
  <c r="BC2" i="9"/>
  <c r="BI16" i="9"/>
  <c r="BD2" i="9"/>
  <c r="BJ16" i="9"/>
  <c r="BE2" i="9"/>
  <c r="BK16" i="9"/>
  <c r="BF2" i="9"/>
  <c r="BL16" i="9"/>
  <c r="BG2" i="9"/>
  <c r="BM16" i="9"/>
  <c r="BH2" i="9"/>
  <c r="BN16" i="9"/>
  <c r="AP16" i="9"/>
  <c r="AK3" i="9"/>
  <c r="AQ17" i="9"/>
  <c r="AL3" i="9"/>
  <c r="AR17" i="9"/>
  <c r="AM3" i="9"/>
  <c r="AS17" i="9"/>
  <c r="AN3" i="9"/>
  <c r="AT17" i="9"/>
  <c r="AO3" i="9"/>
  <c r="AU17" i="9"/>
  <c r="AP3" i="9"/>
  <c r="AV17" i="9"/>
  <c r="AQ3" i="9"/>
  <c r="AW17" i="9"/>
  <c r="AR3" i="9"/>
  <c r="AX17" i="9"/>
  <c r="AS3" i="9"/>
  <c r="AY17" i="9"/>
  <c r="AT3" i="9"/>
  <c r="AZ17" i="9"/>
  <c r="AU3" i="9"/>
  <c r="BA17" i="9"/>
  <c r="AV3" i="9"/>
  <c r="BB17" i="9"/>
  <c r="AW3" i="9"/>
  <c r="BC17" i="9"/>
  <c r="AX3" i="9"/>
  <c r="BD17" i="9"/>
  <c r="AY3" i="9"/>
  <c r="BE17" i="9"/>
  <c r="AZ3" i="9"/>
  <c r="BF17" i="9"/>
  <c r="BA3" i="9"/>
  <c r="BG17" i="9"/>
  <c r="BB3" i="9"/>
  <c r="BH17" i="9"/>
  <c r="BC3" i="9"/>
  <c r="BI17" i="9"/>
  <c r="BD3" i="9"/>
  <c r="BJ17" i="9"/>
  <c r="BE3" i="9"/>
  <c r="BK17" i="9"/>
  <c r="BF3" i="9"/>
  <c r="BL17" i="9"/>
  <c r="BG3" i="9"/>
  <c r="BM17" i="9"/>
  <c r="BH3" i="9"/>
  <c r="BN17" i="9"/>
  <c r="AP17" i="9"/>
  <c r="AK4" i="9"/>
  <c r="AQ18" i="9"/>
  <c r="AL4" i="9"/>
  <c r="AR18" i="9"/>
  <c r="AM4" i="9"/>
  <c r="AS18" i="9"/>
  <c r="AN4" i="9"/>
  <c r="AT18" i="9"/>
  <c r="AO4" i="9"/>
  <c r="AU18" i="9"/>
  <c r="AP4" i="9"/>
  <c r="AV18" i="9"/>
  <c r="AQ4" i="9"/>
  <c r="AW18" i="9"/>
  <c r="AR4" i="9"/>
  <c r="AX18" i="9"/>
  <c r="AS4" i="9"/>
  <c r="AY18" i="9"/>
  <c r="AT4" i="9"/>
  <c r="AZ18" i="9"/>
  <c r="AU4" i="9"/>
  <c r="BA18" i="9"/>
  <c r="AV4" i="9"/>
  <c r="BB18" i="9"/>
  <c r="AW4" i="9"/>
  <c r="BC18" i="9"/>
  <c r="AX4" i="9"/>
  <c r="BD18" i="9"/>
  <c r="AY4" i="9"/>
  <c r="BE18" i="9"/>
  <c r="AZ4" i="9"/>
  <c r="BF18" i="9"/>
  <c r="BA4" i="9"/>
  <c r="BG18" i="9"/>
  <c r="BB4" i="9"/>
  <c r="BH18" i="9"/>
  <c r="BC4" i="9"/>
  <c r="BI18" i="9"/>
  <c r="BD4" i="9"/>
  <c r="BJ18" i="9"/>
  <c r="BE4" i="9"/>
  <c r="BK18" i="9"/>
  <c r="BF4" i="9"/>
  <c r="BL18" i="9"/>
  <c r="BG4" i="9"/>
  <c r="BM18" i="9"/>
  <c r="BH4" i="9"/>
  <c r="BN18" i="9"/>
  <c r="AP18" i="9"/>
  <c r="AK5" i="9"/>
  <c r="AQ19" i="9"/>
  <c r="AL5" i="9"/>
  <c r="AR19" i="9"/>
  <c r="AM5" i="9"/>
  <c r="AS19" i="9"/>
  <c r="AN5" i="9"/>
  <c r="AT19" i="9"/>
  <c r="AO5" i="9"/>
  <c r="AU19" i="9"/>
  <c r="AP5" i="9"/>
  <c r="AV19" i="9"/>
  <c r="AQ5" i="9"/>
  <c r="AW19" i="9"/>
  <c r="AR5" i="9"/>
  <c r="AX19" i="9"/>
  <c r="AS5" i="9"/>
  <c r="AY19" i="9"/>
  <c r="AT5" i="9"/>
  <c r="AZ19" i="9"/>
  <c r="AU5" i="9"/>
  <c r="BA19" i="9"/>
  <c r="AV5" i="9"/>
  <c r="BB19" i="9"/>
  <c r="AW5" i="9"/>
  <c r="BC19" i="9"/>
  <c r="AX5" i="9"/>
  <c r="BD19" i="9"/>
  <c r="AY5" i="9"/>
  <c r="BE19" i="9"/>
  <c r="AZ5" i="9"/>
  <c r="BF19" i="9"/>
  <c r="BA5" i="9"/>
  <c r="BG19" i="9"/>
  <c r="BB5" i="9"/>
  <c r="BH19" i="9"/>
  <c r="BC5" i="9"/>
  <c r="BI19" i="9"/>
  <c r="BD5" i="9"/>
  <c r="BJ19" i="9"/>
  <c r="BE5" i="9"/>
  <c r="BK19" i="9"/>
  <c r="BF5" i="9"/>
  <c r="BL19" i="9"/>
  <c r="BG5" i="9"/>
  <c r="BM19" i="9"/>
  <c r="BH5" i="9"/>
  <c r="BN19" i="9"/>
  <c r="AP19" i="9"/>
  <c r="AK6" i="9"/>
  <c r="AQ20" i="9"/>
  <c r="AL6" i="9"/>
  <c r="AR20" i="9"/>
  <c r="AM6" i="9"/>
  <c r="AS20" i="9"/>
  <c r="AN6" i="9"/>
  <c r="AT20" i="9"/>
  <c r="AO6" i="9"/>
  <c r="AU20" i="9"/>
  <c r="AP6" i="9"/>
  <c r="AV20" i="9"/>
  <c r="AQ6" i="9"/>
  <c r="AW20" i="9"/>
  <c r="AR6" i="9"/>
  <c r="AX20" i="9"/>
  <c r="AS6" i="9"/>
  <c r="AY20" i="9"/>
  <c r="AT6" i="9"/>
  <c r="AZ20" i="9"/>
  <c r="AU6" i="9"/>
  <c r="BA20" i="9"/>
  <c r="AV6" i="9"/>
  <c r="BB20" i="9"/>
  <c r="AW6" i="9"/>
  <c r="BC20" i="9"/>
  <c r="AX6" i="9"/>
  <c r="BD20" i="9"/>
  <c r="AY6" i="9"/>
  <c r="BE20" i="9"/>
  <c r="AZ6" i="9"/>
  <c r="BF20" i="9"/>
  <c r="BA6" i="9"/>
  <c r="BG20" i="9"/>
  <c r="BB6" i="9"/>
  <c r="BH20" i="9"/>
  <c r="BC6" i="9"/>
  <c r="BI20" i="9"/>
  <c r="BD6" i="9"/>
  <c r="BJ20" i="9"/>
  <c r="BE6" i="9"/>
  <c r="BK20" i="9"/>
  <c r="BF6" i="9"/>
  <c r="BL20" i="9"/>
  <c r="BG6" i="9"/>
  <c r="BM20" i="9"/>
  <c r="BH6" i="9"/>
  <c r="BN20" i="9"/>
  <c r="AP20" i="9"/>
  <c r="AK7" i="9"/>
  <c r="AQ21" i="9"/>
  <c r="AL7" i="9"/>
  <c r="AR21" i="9"/>
  <c r="AM7" i="9"/>
  <c r="AS21" i="9"/>
  <c r="AN7" i="9"/>
  <c r="AT21" i="9"/>
  <c r="AO7" i="9"/>
  <c r="AU21" i="9"/>
  <c r="AP7" i="9"/>
  <c r="AV21" i="9"/>
  <c r="AQ7" i="9"/>
  <c r="AW21" i="9"/>
  <c r="AR7" i="9"/>
  <c r="AX21" i="9"/>
  <c r="AS7" i="9"/>
  <c r="AY21" i="9"/>
  <c r="AT7" i="9"/>
  <c r="AZ21" i="9"/>
  <c r="AU7" i="9"/>
  <c r="BA21" i="9"/>
  <c r="AV7" i="9"/>
  <c r="BB21" i="9"/>
  <c r="AW7" i="9"/>
  <c r="BC21" i="9"/>
  <c r="AX7" i="9"/>
  <c r="BD21" i="9"/>
  <c r="AY7" i="9"/>
  <c r="BE21" i="9"/>
  <c r="AZ7" i="9"/>
  <c r="BF21" i="9"/>
  <c r="BA7" i="9"/>
  <c r="BG21" i="9"/>
  <c r="BB7" i="9"/>
  <c r="BH21" i="9"/>
  <c r="BC7" i="9"/>
  <c r="BI21" i="9"/>
  <c r="BD7" i="9"/>
  <c r="BJ21" i="9"/>
  <c r="BE7" i="9"/>
  <c r="BK21" i="9"/>
  <c r="BF7" i="9"/>
  <c r="BL21" i="9"/>
  <c r="BG7" i="9"/>
  <c r="BM21" i="9"/>
  <c r="BH7" i="9"/>
  <c r="BN21" i="9"/>
  <c r="AP21" i="9"/>
  <c r="AK8" i="9"/>
  <c r="AQ22" i="9"/>
  <c r="AL8" i="9"/>
  <c r="AR22" i="9"/>
  <c r="AM8" i="9"/>
  <c r="AS22" i="9"/>
  <c r="AN8" i="9"/>
  <c r="AT22" i="9"/>
  <c r="AO8" i="9"/>
  <c r="AU22" i="9"/>
  <c r="AP8" i="9"/>
  <c r="AV22" i="9"/>
  <c r="AQ8" i="9"/>
  <c r="AW22" i="9"/>
  <c r="AR8" i="9"/>
  <c r="AX22" i="9"/>
  <c r="AS8" i="9"/>
  <c r="AY22" i="9"/>
  <c r="AT8" i="9"/>
  <c r="AZ22" i="9"/>
  <c r="AU8" i="9"/>
  <c r="BA22" i="9"/>
  <c r="AV8" i="9"/>
  <c r="BB22" i="9"/>
  <c r="AW8" i="9"/>
  <c r="BC22" i="9"/>
  <c r="AX8" i="9"/>
  <c r="BD22" i="9"/>
  <c r="AY8" i="9"/>
  <c r="BE22" i="9"/>
  <c r="AZ8" i="9"/>
  <c r="BF22" i="9"/>
  <c r="BA8" i="9"/>
  <c r="BG22" i="9"/>
  <c r="BB8" i="9"/>
  <c r="BH22" i="9"/>
  <c r="BC8" i="9"/>
  <c r="BI22" i="9"/>
  <c r="BD8" i="9"/>
  <c r="BJ22" i="9"/>
  <c r="BE8" i="9"/>
  <c r="BK22" i="9"/>
  <c r="BF8" i="9"/>
  <c r="BL22" i="9"/>
  <c r="BG8" i="9"/>
  <c r="BM22" i="9"/>
  <c r="BH8" i="9"/>
  <c r="BN22" i="9"/>
  <c r="AP22" i="9"/>
  <c r="AK9" i="9"/>
  <c r="AQ23" i="9"/>
  <c r="AL9" i="9"/>
  <c r="AR23" i="9"/>
  <c r="AM9" i="9"/>
  <c r="AS23" i="9"/>
  <c r="AN9" i="9"/>
  <c r="AT23" i="9"/>
  <c r="AO9" i="9"/>
  <c r="AU23" i="9"/>
  <c r="AP9" i="9"/>
  <c r="AV23" i="9"/>
  <c r="AQ9" i="9"/>
  <c r="AW23" i="9"/>
  <c r="AR9" i="9"/>
  <c r="AX23" i="9"/>
  <c r="AS9" i="9"/>
  <c r="AY23" i="9"/>
  <c r="AT9" i="9"/>
  <c r="AZ23" i="9"/>
  <c r="AU9" i="9"/>
  <c r="BA23" i="9"/>
  <c r="AV9" i="9"/>
  <c r="BB23" i="9"/>
  <c r="AW9" i="9"/>
  <c r="BC23" i="9"/>
  <c r="AX9" i="9"/>
  <c r="BD23" i="9"/>
  <c r="AY9" i="9"/>
  <c r="BE23" i="9"/>
  <c r="AZ9" i="9"/>
  <c r="BF23" i="9"/>
  <c r="BA9" i="9"/>
  <c r="BG23" i="9"/>
  <c r="BB9" i="9"/>
  <c r="BH23" i="9"/>
  <c r="BC9" i="9"/>
  <c r="BI23" i="9"/>
  <c r="BD9" i="9"/>
  <c r="BJ23" i="9"/>
  <c r="BE9" i="9"/>
  <c r="BK23" i="9"/>
  <c r="BF9" i="9"/>
  <c r="BL23" i="9"/>
  <c r="BG9" i="9"/>
  <c r="BM23" i="9"/>
  <c r="BH9" i="9"/>
  <c r="BN23" i="9"/>
  <c r="AP23" i="9"/>
  <c r="AK10" i="9"/>
  <c r="AQ24" i="9"/>
  <c r="AL10" i="9"/>
  <c r="AR24" i="9"/>
  <c r="AM10" i="9"/>
  <c r="AS24" i="9"/>
  <c r="AN10" i="9"/>
  <c r="AT24" i="9"/>
  <c r="AO10" i="9"/>
  <c r="AU24" i="9"/>
  <c r="AP10" i="9"/>
  <c r="AV24" i="9"/>
  <c r="AQ10" i="9"/>
  <c r="AW24" i="9"/>
  <c r="AR10" i="9"/>
  <c r="AX24" i="9"/>
  <c r="AS10" i="9"/>
  <c r="AY24" i="9"/>
  <c r="AT10" i="9"/>
  <c r="AZ24" i="9"/>
  <c r="AU10" i="9"/>
  <c r="BA24" i="9"/>
  <c r="AV10" i="9"/>
  <c r="BB24" i="9"/>
  <c r="AW10" i="9"/>
  <c r="BC24" i="9"/>
  <c r="AX10" i="9"/>
  <c r="BD24" i="9"/>
  <c r="AY10" i="9"/>
  <c r="BE24" i="9"/>
  <c r="AZ10" i="9"/>
  <c r="BF24" i="9"/>
  <c r="BA10" i="9"/>
  <c r="BG24" i="9"/>
  <c r="BB10" i="9"/>
  <c r="BH24" i="9"/>
  <c r="BC10" i="9"/>
  <c r="BI24" i="9"/>
  <c r="BD10" i="9"/>
  <c r="BJ24" i="9"/>
  <c r="BE10" i="9"/>
  <c r="BK24" i="9"/>
  <c r="BF10" i="9"/>
  <c r="BL24" i="9"/>
  <c r="BG10" i="9"/>
  <c r="BM24" i="9"/>
  <c r="BH10" i="9"/>
  <c r="BN24" i="9"/>
  <c r="AP24" i="9"/>
  <c r="AK11" i="9"/>
  <c r="AQ25" i="9"/>
  <c r="AL11" i="9"/>
  <c r="AR25" i="9"/>
  <c r="AM11" i="9"/>
  <c r="AS25" i="9"/>
  <c r="AN11" i="9"/>
  <c r="AT25" i="9"/>
  <c r="AO11" i="9"/>
  <c r="AU25" i="9"/>
  <c r="AP11" i="9"/>
  <c r="AV25" i="9"/>
  <c r="AQ11" i="9"/>
  <c r="AW25" i="9"/>
  <c r="AR11" i="9"/>
  <c r="AX25" i="9"/>
  <c r="AS11" i="9"/>
  <c r="AY25" i="9"/>
  <c r="AT11" i="9"/>
  <c r="AZ25" i="9"/>
  <c r="AU11" i="9"/>
  <c r="BA25" i="9"/>
  <c r="AV11" i="9"/>
  <c r="BB25" i="9"/>
  <c r="AW11" i="9"/>
  <c r="BC25" i="9"/>
  <c r="AX11" i="9"/>
  <c r="BD25" i="9"/>
  <c r="AY11" i="9"/>
  <c r="BE25" i="9"/>
  <c r="AZ11" i="9"/>
  <c r="BF25" i="9"/>
  <c r="BA11" i="9"/>
  <c r="BG25" i="9"/>
  <c r="BB11" i="9"/>
  <c r="BH25" i="9"/>
  <c r="BC11" i="9"/>
  <c r="BI25" i="9"/>
  <c r="BD11" i="9"/>
  <c r="BJ25" i="9"/>
  <c r="BE11" i="9"/>
  <c r="BK25" i="9"/>
  <c r="BF11" i="9"/>
  <c r="BL25" i="9"/>
  <c r="BG11" i="9"/>
  <c r="BM25" i="9"/>
  <c r="BH11" i="9"/>
  <c r="BN25" i="9"/>
  <c r="AP25" i="9"/>
  <c r="AK12" i="9"/>
  <c r="AQ26" i="9"/>
  <c r="AL12" i="9"/>
  <c r="AR26" i="9"/>
  <c r="AM12" i="9"/>
  <c r="AS26" i="9"/>
  <c r="AN12" i="9"/>
  <c r="AT26" i="9"/>
  <c r="AO12" i="9"/>
  <c r="AU26" i="9"/>
  <c r="AP12" i="9"/>
  <c r="AV26" i="9"/>
  <c r="AQ12" i="9"/>
  <c r="AW26" i="9"/>
  <c r="AR12" i="9"/>
  <c r="AX26" i="9"/>
  <c r="AS12" i="9"/>
  <c r="AY26" i="9"/>
  <c r="AT12" i="9"/>
  <c r="AZ26" i="9"/>
  <c r="AU12" i="9"/>
  <c r="BA26" i="9"/>
  <c r="AV12" i="9"/>
  <c r="BB26" i="9"/>
  <c r="AW12" i="9"/>
  <c r="BC26" i="9"/>
  <c r="AX12" i="9"/>
  <c r="BD26" i="9"/>
  <c r="AY12" i="9"/>
  <c r="BE26" i="9"/>
  <c r="AZ12" i="9"/>
  <c r="BF26" i="9"/>
  <c r="BA12" i="9"/>
  <c r="BG26" i="9"/>
  <c r="BB12" i="9"/>
  <c r="BH26" i="9"/>
  <c r="BC12" i="9"/>
  <c r="BI26" i="9"/>
  <c r="BD12" i="9"/>
  <c r="BJ26" i="9"/>
  <c r="BE12" i="9"/>
  <c r="BK26" i="9"/>
  <c r="BF12" i="9"/>
  <c r="BL26" i="9"/>
  <c r="BG12" i="9"/>
  <c r="BM26" i="9"/>
  <c r="BH12" i="9"/>
  <c r="BN26" i="9"/>
  <c r="AP26" i="9"/>
  <c r="AK13" i="9"/>
  <c r="AQ27" i="9"/>
  <c r="AL13" i="9"/>
  <c r="AR27" i="9"/>
  <c r="AM13" i="9"/>
  <c r="AS27" i="9"/>
  <c r="AN13" i="9"/>
  <c r="AT27" i="9"/>
  <c r="AO13" i="9"/>
  <c r="AU27" i="9"/>
  <c r="AP13" i="9"/>
  <c r="AV27" i="9"/>
  <c r="AQ13" i="9"/>
  <c r="AW27" i="9"/>
  <c r="AR13" i="9"/>
  <c r="AX27" i="9"/>
  <c r="AS13" i="9"/>
  <c r="AY27" i="9"/>
  <c r="AT13" i="9"/>
  <c r="AZ27" i="9"/>
  <c r="AU13" i="9"/>
  <c r="BA27" i="9"/>
  <c r="AV13" i="9"/>
  <c r="BB27" i="9"/>
  <c r="AW13" i="9"/>
  <c r="BC27" i="9"/>
  <c r="AX13" i="9"/>
  <c r="BD27" i="9"/>
  <c r="AY13" i="9"/>
  <c r="BE27" i="9"/>
  <c r="AZ13" i="9"/>
  <c r="BF27" i="9"/>
  <c r="BA13" i="9"/>
  <c r="BG27" i="9"/>
  <c r="BB13" i="9"/>
  <c r="BH27" i="9"/>
  <c r="BC13" i="9"/>
  <c r="BI27" i="9"/>
  <c r="BD13" i="9"/>
  <c r="BJ27" i="9"/>
  <c r="BE13" i="9"/>
  <c r="BK27" i="9"/>
  <c r="BF13" i="9"/>
  <c r="BL27" i="9"/>
  <c r="BG13" i="9"/>
  <c r="BM27" i="9"/>
  <c r="BH13" i="9"/>
  <c r="BN27" i="9"/>
  <c r="AP27" i="9"/>
  <c r="AP28" i="9"/>
  <c r="AN16" i="9"/>
  <c r="AN17" i="9"/>
  <c r="AN18" i="9"/>
  <c r="AN19" i="9"/>
  <c r="AN20" i="9"/>
  <c r="AN21" i="9"/>
  <c r="AN22" i="9"/>
  <c r="AN23" i="9"/>
  <c r="AN24" i="9"/>
  <c r="AN25" i="9"/>
  <c r="AN26" i="9"/>
  <c r="AN27" i="9"/>
  <c r="AN28" i="9"/>
  <c r="AM16" i="9"/>
  <c r="AM17" i="9"/>
  <c r="AM18" i="9"/>
  <c r="AM19" i="9"/>
  <c r="AM20" i="9"/>
  <c r="AM21" i="9"/>
  <c r="AM22" i="9"/>
  <c r="AM23" i="9"/>
  <c r="AM24" i="9"/>
  <c r="AM25" i="9"/>
  <c r="AM26" i="9"/>
  <c r="AM27" i="9"/>
  <c r="AM28" i="9"/>
  <c r="AL16" i="9"/>
  <c r="AL17" i="9"/>
  <c r="AL18" i="9"/>
  <c r="AL19" i="9"/>
  <c r="AL20" i="9"/>
  <c r="AL21" i="9"/>
  <c r="AL22" i="9"/>
  <c r="AL23" i="9"/>
  <c r="AL24" i="9"/>
  <c r="AL25" i="9"/>
  <c r="AL26" i="9"/>
  <c r="AL27" i="9"/>
  <c r="AL28" i="9"/>
  <c r="AK16" i="9"/>
  <c r="AK17" i="9"/>
  <c r="AK18" i="9"/>
  <c r="AK19" i="9"/>
  <c r="AK20" i="9"/>
  <c r="AK21" i="9"/>
  <c r="AK22" i="9"/>
  <c r="AK23" i="9"/>
  <c r="AK24" i="9"/>
  <c r="AK25" i="9"/>
  <c r="AK26" i="9"/>
  <c r="AK27" i="9"/>
  <c r="AK28" i="9"/>
  <c r="Z2" i="9"/>
  <c r="AA2" i="9"/>
  <c r="AB2" i="9"/>
  <c r="AC2" i="9"/>
  <c r="AA16" i="9"/>
  <c r="Z3" i="9"/>
  <c r="AA3" i="9"/>
  <c r="AB3" i="9"/>
  <c r="AC3" i="9"/>
  <c r="AA17" i="9"/>
  <c r="Z4" i="9"/>
  <c r="AA4" i="9"/>
  <c r="AB4" i="9"/>
  <c r="AC4" i="9"/>
  <c r="AA18" i="9"/>
  <c r="Z5" i="9"/>
  <c r="AA5" i="9"/>
  <c r="AB5" i="9"/>
  <c r="AC5" i="9"/>
  <c r="AA19" i="9"/>
  <c r="Z6" i="9"/>
  <c r="AA6" i="9"/>
  <c r="AB6" i="9"/>
  <c r="AC6" i="9"/>
  <c r="AA20" i="9"/>
  <c r="Z7" i="9"/>
  <c r="AA7" i="9"/>
  <c r="AB7" i="9"/>
  <c r="AC7" i="9"/>
  <c r="AA21" i="9"/>
  <c r="Z8" i="9"/>
  <c r="AA8" i="9"/>
  <c r="AB8" i="9"/>
  <c r="AC8" i="9"/>
  <c r="AA22" i="9"/>
  <c r="Z9" i="9"/>
  <c r="AA9" i="9"/>
  <c r="AB9" i="9"/>
  <c r="AC9" i="9"/>
  <c r="AA23" i="9"/>
  <c r="Z10" i="9"/>
  <c r="AA10" i="9"/>
  <c r="AB10" i="9"/>
  <c r="AC10" i="9"/>
  <c r="AA24" i="9"/>
  <c r="Z11" i="9"/>
  <c r="AA11" i="9"/>
  <c r="AB11" i="9"/>
  <c r="AC11" i="9"/>
  <c r="AA25" i="9"/>
  <c r="Z12" i="9"/>
  <c r="AA12" i="9"/>
  <c r="AB12" i="9"/>
  <c r="AC12" i="9"/>
  <c r="AA26" i="9"/>
  <c r="Z13" i="9"/>
  <c r="AA13" i="9"/>
  <c r="AB13" i="9"/>
  <c r="AC13" i="9"/>
  <c r="AA27" i="9"/>
  <c r="AA28" i="9"/>
  <c r="Z16" i="9"/>
  <c r="Z17" i="9"/>
  <c r="Z18" i="9"/>
  <c r="Z19" i="9"/>
  <c r="Z20" i="9"/>
  <c r="Z21" i="9"/>
  <c r="Z22" i="9"/>
  <c r="Z23" i="9"/>
  <c r="Z24" i="9"/>
  <c r="Z25" i="9"/>
  <c r="Z26" i="9"/>
  <c r="Z27" i="9"/>
  <c r="Z28" i="9"/>
  <c r="S28" i="9"/>
  <c r="R28" i="9"/>
  <c r="Q28" i="9"/>
  <c r="P28" i="9"/>
  <c r="N28" i="9"/>
  <c r="M28" i="9"/>
  <c r="L28" i="9"/>
  <c r="K28" i="9"/>
  <c r="D27" i="9"/>
  <c r="G26" i="9"/>
  <c r="N25" i="9"/>
  <c r="M25" i="9"/>
  <c r="L25" i="9"/>
  <c r="K25" i="9"/>
  <c r="D25" i="9"/>
  <c r="G24" i="9"/>
  <c r="H16" i="9"/>
  <c r="D23" i="9"/>
  <c r="G22" i="9"/>
  <c r="G16" i="9"/>
  <c r="D21" i="9"/>
  <c r="G20" i="9"/>
  <c r="M19" i="9"/>
  <c r="W16" i="9"/>
  <c r="V16" i="9"/>
  <c r="U16" i="9"/>
  <c r="M16" i="9"/>
  <c r="E24" i="7"/>
  <c r="D31" i="1"/>
  <c r="F16" i="1"/>
  <c r="D29" i="1"/>
  <c r="AA51" i="2"/>
  <c r="Y51" i="2"/>
  <c r="X51" i="2"/>
  <c r="W51" i="2"/>
  <c r="V51" i="2"/>
  <c r="P50" i="2"/>
  <c r="P5" i="2"/>
  <c r="O50" i="2"/>
  <c r="O5" i="2"/>
  <c r="N50" i="2"/>
  <c r="N5" i="2"/>
  <c r="M50" i="2"/>
  <c r="M5" i="2"/>
  <c r="G52" i="7"/>
  <c r="G3" i="7"/>
  <c r="G7" i="7"/>
  <c r="G9" i="7"/>
  <c r="G10" i="7"/>
  <c r="G53" i="7"/>
  <c r="H52" i="7"/>
  <c r="H3" i="7"/>
  <c r="H7" i="7"/>
  <c r="H9" i="7"/>
  <c r="H10" i="7"/>
  <c r="H53" i="7"/>
  <c r="J52" i="7"/>
  <c r="J3" i="7"/>
  <c r="J7" i="7"/>
  <c r="J9" i="7"/>
  <c r="J10" i="7"/>
  <c r="J53" i="7"/>
  <c r="K52" i="7"/>
  <c r="K3" i="7"/>
  <c r="K7" i="7"/>
  <c r="K9" i="7"/>
  <c r="K10" i="7"/>
  <c r="K53" i="7"/>
  <c r="M52" i="7"/>
  <c r="M3" i="7"/>
  <c r="M7" i="7"/>
  <c r="M9" i="7"/>
  <c r="M10" i="7"/>
  <c r="M53" i="7"/>
  <c r="N52" i="7"/>
  <c r="N3" i="7"/>
  <c r="N7" i="7"/>
  <c r="N9" i="7"/>
  <c r="N10" i="7"/>
  <c r="N53" i="7"/>
  <c r="O52" i="7"/>
  <c r="O3" i="7"/>
  <c r="O7" i="7"/>
  <c r="O9" i="7"/>
  <c r="O10" i="7"/>
  <c r="O53" i="7"/>
  <c r="Q52" i="7"/>
  <c r="Q3" i="7"/>
  <c r="Q7" i="7"/>
  <c r="Q9" i="7"/>
  <c r="Q10" i="7"/>
  <c r="Q53" i="7"/>
  <c r="Y54" i="2"/>
  <c r="Y7" i="2"/>
  <c r="Y57" i="2"/>
  <c r="Y39" i="2"/>
  <c r="S24" i="7"/>
  <c r="K30" i="3"/>
  <c r="H27" i="3"/>
  <c r="E43" i="3"/>
  <c r="W16" i="1"/>
  <c r="V16" i="1"/>
  <c r="E39" i="3"/>
  <c r="AA54" i="2"/>
  <c r="AA59" i="2"/>
  <c r="AA57" i="2"/>
  <c r="E38" i="3"/>
  <c r="E37" i="3"/>
  <c r="E36" i="3"/>
  <c r="X54" i="2"/>
  <c r="X39" i="2"/>
  <c r="X57" i="2"/>
  <c r="E35" i="3"/>
  <c r="W54" i="2"/>
  <c r="W39" i="2"/>
  <c r="W57" i="2"/>
  <c r="E34" i="3"/>
  <c r="V54" i="2"/>
  <c r="V39" i="2"/>
  <c r="V57" i="2"/>
  <c r="E33" i="3"/>
  <c r="E32" i="3"/>
  <c r="E28" i="3"/>
  <c r="AA7" i="2"/>
  <c r="T20" i="3"/>
  <c r="X7" i="2"/>
  <c r="W7" i="2"/>
  <c r="V7" i="2"/>
  <c r="O28" i="2"/>
  <c r="P28" i="2"/>
  <c r="P57" i="2"/>
  <c r="O6" i="2"/>
  <c r="P6" i="2"/>
  <c r="O7" i="2"/>
  <c r="P7" i="2"/>
  <c r="P51" i="2"/>
  <c r="P30" i="2"/>
  <c r="P16" i="2"/>
  <c r="O54" i="2"/>
  <c r="P54" i="2"/>
  <c r="O32" i="2"/>
  <c r="P32" i="2"/>
  <c r="N28" i="2"/>
  <c r="O57" i="2"/>
  <c r="N6" i="2"/>
  <c r="N7" i="2"/>
  <c r="O51" i="2"/>
  <c r="O16" i="2"/>
  <c r="N54" i="2"/>
  <c r="N32" i="2"/>
  <c r="M28" i="2"/>
  <c r="N57" i="2"/>
  <c r="M6" i="2"/>
  <c r="M7" i="2"/>
  <c r="N51" i="2"/>
  <c r="N16" i="2"/>
  <c r="M54" i="2"/>
  <c r="M32" i="2"/>
  <c r="M57" i="2"/>
  <c r="M51" i="2"/>
  <c r="M16" i="2"/>
  <c r="K4" i="3"/>
  <c r="AA52" i="2"/>
  <c r="AA39" i="2"/>
  <c r="AA60" i="2"/>
  <c r="AA20" i="2"/>
  <c r="AA53" i="2"/>
  <c r="AA12" i="2"/>
  <c r="O46" i="7"/>
  <c r="O36" i="7"/>
  <c r="O60" i="7"/>
  <c r="O40" i="7"/>
  <c r="O17" i="7"/>
  <c r="O58" i="7"/>
  <c r="O5" i="7"/>
  <c r="O33" i="7"/>
  <c r="O55" i="7"/>
  <c r="O22" i="7"/>
  <c r="O43" i="7"/>
  <c r="O34" i="7"/>
  <c r="O50" i="7"/>
  <c r="O27" i="7"/>
  <c r="O26" i="7"/>
  <c r="O48" i="7"/>
  <c r="O12" i="7"/>
  <c r="O18" i="7"/>
  <c r="O8" i="7"/>
  <c r="O56" i="7"/>
  <c r="O28" i="7"/>
  <c r="O6" i="7"/>
  <c r="O29" i="7"/>
  <c r="O14" i="7"/>
  <c r="O16" i="7"/>
  <c r="O20" i="7"/>
  <c r="O39" i="7"/>
  <c r="O11" i="7"/>
  <c r="O31" i="7"/>
  <c r="O19" i="7"/>
  <c r="O24" i="7"/>
  <c r="E39" i="1"/>
  <c r="G8" i="7"/>
  <c r="R24" i="7"/>
  <c r="M46" i="7"/>
  <c r="M36" i="7"/>
  <c r="M60" i="7"/>
  <c r="M40" i="7"/>
  <c r="M17" i="7"/>
  <c r="M58" i="7"/>
  <c r="M5" i="7"/>
  <c r="M33" i="7"/>
  <c r="M55" i="7"/>
  <c r="M22" i="7"/>
  <c r="M43" i="7"/>
  <c r="M34" i="7"/>
  <c r="M50" i="7"/>
  <c r="M27" i="7"/>
  <c r="M26" i="7"/>
  <c r="M48" i="7"/>
  <c r="M12" i="7"/>
  <c r="M18" i="7"/>
  <c r="M8" i="7"/>
  <c r="M56" i="7"/>
  <c r="M28" i="7"/>
  <c r="M6" i="7"/>
  <c r="M29" i="7"/>
  <c r="M14" i="7"/>
  <c r="M16" i="7"/>
  <c r="M20" i="7"/>
  <c r="M39" i="7"/>
  <c r="M11" i="7"/>
  <c r="M31" i="7"/>
  <c r="M19" i="7"/>
  <c r="Q46" i="7"/>
  <c r="Q36" i="7"/>
  <c r="Q60" i="7"/>
  <c r="Q40" i="7"/>
  <c r="Q17" i="7"/>
  <c r="Q58" i="7"/>
  <c r="Q5" i="7"/>
  <c r="Q33" i="7"/>
  <c r="Q55" i="7"/>
  <c r="Q22" i="7"/>
  <c r="Q43" i="7"/>
  <c r="Q34" i="7"/>
  <c r="Q50" i="7"/>
  <c r="Q27" i="7"/>
  <c r="Q26" i="7"/>
  <c r="Q48" i="7"/>
  <c r="Q12" i="7"/>
  <c r="Q18" i="7"/>
  <c r="Q8" i="7"/>
  <c r="Q56" i="7"/>
  <c r="Q28" i="7"/>
  <c r="Q6" i="7"/>
  <c r="Q29" i="7"/>
  <c r="Q14" i="7"/>
  <c r="Q16" i="7"/>
  <c r="Q20" i="7"/>
  <c r="Q39" i="7"/>
  <c r="Q11" i="7"/>
  <c r="Q31" i="7"/>
  <c r="Q19" i="7"/>
  <c r="Q24" i="7"/>
  <c r="N46" i="7"/>
  <c r="N36" i="7"/>
  <c r="N60" i="7"/>
  <c r="N40" i="7"/>
  <c r="N17" i="7"/>
  <c r="N58" i="7"/>
  <c r="N5" i="7"/>
  <c r="N33" i="7"/>
  <c r="N55" i="7"/>
  <c r="N22" i="7"/>
  <c r="N43" i="7"/>
  <c r="N34" i="7"/>
  <c r="N50" i="7"/>
  <c r="N27" i="7"/>
  <c r="N26" i="7"/>
  <c r="N48" i="7"/>
  <c r="N12" i="7"/>
  <c r="N18" i="7"/>
  <c r="N8" i="7"/>
  <c r="N28" i="7"/>
  <c r="N6" i="7"/>
  <c r="N29" i="7"/>
  <c r="N14" i="7"/>
  <c r="N16" i="7"/>
  <c r="N20" i="7"/>
  <c r="N39" i="7"/>
  <c r="N11" i="7"/>
  <c r="N31" i="7"/>
  <c r="N19" i="7"/>
  <c r="S28" i="1"/>
  <c r="N24" i="7"/>
  <c r="K46" i="7"/>
  <c r="J46" i="7"/>
  <c r="K36" i="7"/>
  <c r="J36" i="7"/>
  <c r="K60" i="7"/>
  <c r="J60" i="7"/>
  <c r="K40" i="7"/>
  <c r="J40" i="7"/>
  <c r="K17" i="7"/>
  <c r="J17" i="7"/>
  <c r="K58" i="7"/>
  <c r="J58" i="7"/>
  <c r="K5" i="7"/>
  <c r="J5" i="7"/>
  <c r="K33" i="7"/>
  <c r="J33" i="7"/>
  <c r="K55" i="7"/>
  <c r="J55" i="7"/>
  <c r="K22" i="7"/>
  <c r="J22" i="7"/>
  <c r="K43" i="7"/>
  <c r="J43" i="7"/>
  <c r="K34" i="7"/>
  <c r="J34" i="7"/>
  <c r="K50" i="7"/>
  <c r="J50" i="7"/>
  <c r="K27" i="7"/>
  <c r="J27" i="7"/>
  <c r="K26" i="7"/>
  <c r="J26" i="7"/>
  <c r="K48" i="7"/>
  <c r="J48" i="7"/>
  <c r="K12" i="7"/>
  <c r="J12" i="7"/>
  <c r="K18" i="7"/>
  <c r="J18" i="7"/>
  <c r="K8" i="7"/>
  <c r="J8" i="7"/>
  <c r="K56" i="7"/>
  <c r="J56" i="7"/>
  <c r="K28" i="7"/>
  <c r="J28" i="7"/>
  <c r="K6" i="7"/>
  <c r="J6" i="7"/>
  <c r="K29" i="7"/>
  <c r="J29" i="7"/>
  <c r="K14" i="7"/>
  <c r="J14" i="7"/>
  <c r="K16" i="7"/>
  <c r="J16" i="7"/>
  <c r="K20" i="7"/>
  <c r="J20" i="7"/>
  <c r="K39" i="7"/>
  <c r="J39" i="7"/>
  <c r="K11" i="7"/>
  <c r="J11" i="7"/>
  <c r="K31" i="7"/>
  <c r="J31" i="7"/>
  <c r="K19" i="7"/>
  <c r="J19" i="7"/>
  <c r="K24" i="7"/>
  <c r="J24" i="7"/>
  <c r="H46" i="7"/>
  <c r="H36" i="7"/>
  <c r="H60" i="7"/>
  <c r="H40" i="7"/>
  <c r="H17" i="7"/>
  <c r="H58" i="7"/>
  <c r="H5" i="7"/>
  <c r="H33" i="7"/>
  <c r="H55" i="7"/>
  <c r="H22" i="7"/>
  <c r="H43" i="7"/>
  <c r="H34" i="7"/>
  <c r="H50" i="7"/>
  <c r="H27" i="7"/>
  <c r="H26" i="7"/>
  <c r="H48" i="7"/>
  <c r="H12" i="7"/>
  <c r="H18" i="7"/>
  <c r="H8" i="7"/>
  <c r="H56" i="7"/>
  <c r="H28" i="7"/>
  <c r="H6" i="7"/>
  <c r="H29" i="7"/>
  <c r="H14" i="7"/>
  <c r="H16" i="7"/>
  <c r="H20" i="7"/>
  <c r="H39" i="7"/>
  <c r="H11" i="7"/>
  <c r="H31" i="7"/>
  <c r="H19" i="7"/>
  <c r="H24" i="7"/>
  <c r="G46" i="7"/>
  <c r="G36" i="7"/>
  <c r="G60" i="7"/>
  <c r="G40" i="7"/>
  <c r="G17" i="7"/>
  <c r="G58" i="7"/>
  <c r="G5" i="7"/>
  <c r="G33" i="7"/>
  <c r="G55" i="7"/>
  <c r="G22" i="7"/>
  <c r="G43" i="7"/>
  <c r="G34" i="7"/>
  <c r="G50" i="7"/>
  <c r="G27" i="7"/>
  <c r="G26" i="7"/>
  <c r="G48" i="7"/>
  <c r="G12" i="7"/>
  <c r="G18" i="7"/>
  <c r="G56" i="7"/>
  <c r="G28" i="7"/>
  <c r="G6" i="7"/>
  <c r="G29" i="7"/>
  <c r="G14" i="7"/>
  <c r="G16" i="7"/>
  <c r="G20" i="7"/>
  <c r="G39" i="7"/>
  <c r="G11" i="7"/>
  <c r="G31" i="7"/>
  <c r="G19" i="7"/>
  <c r="G24" i="7"/>
  <c r="M24" i="7"/>
  <c r="Y52" i="2"/>
  <c r="Y59" i="2"/>
  <c r="Y60" i="2"/>
  <c r="Y20" i="2"/>
  <c r="Y53" i="2"/>
  <c r="Y12" i="2"/>
  <c r="X52" i="2"/>
  <c r="X59" i="2"/>
  <c r="X60" i="2"/>
  <c r="X20" i="2"/>
  <c r="X53" i="2"/>
  <c r="X12" i="2"/>
  <c r="W52" i="2"/>
  <c r="W59" i="2"/>
  <c r="W60" i="2"/>
  <c r="W20" i="2"/>
  <c r="W53" i="2"/>
  <c r="W12" i="2"/>
  <c r="V52" i="2"/>
  <c r="V59" i="2"/>
  <c r="V60" i="2"/>
  <c r="V20" i="2"/>
  <c r="V53" i="2"/>
  <c r="V12" i="2"/>
  <c r="P52" i="2"/>
  <c r="P59" i="2"/>
  <c r="P39" i="2"/>
  <c r="P60" i="2"/>
  <c r="P20" i="2"/>
  <c r="P53" i="2"/>
  <c r="P34" i="2"/>
  <c r="P37" i="2"/>
  <c r="P12" i="2"/>
  <c r="O52" i="2"/>
  <c r="O59" i="2"/>
  <c r="O39" i="2"/>
  <c r="O60" i="2"/>
  <c r="O20" i="2"/>
  <c r="O53" i="2"/>
  <c r="O12" i="2"/>
  <c r="N52" i="2"/>
  <c r="N59" i="2"/>
  <c r="N39" i="2"/>
  <c r="N60" i="2"/>
  <c r="N20" i="2"/>
  <c r="N53" i="2"/>
  <c r="N12" i="2"/>
  <c r="M52" i="2"/>
  <c r="M59" i="2"/>
  <c r="M39" i="2"/>
  <c r="M60" i="2"/>
  <c r="M20" i="2"/>
  <c r="M53" i="2"/>
  <c r="M12" i="2"/>
  <c r="K34" i="3"/>
  <c r="O35" i="3"/>
  <c r="N36" i="3"/>
  <c r="O36" i="3"/>
  <c r="AA16" i="1"/>
  <c r="AA18" i="1"/>
  <c r="AA20" i="1"/>
  <c r="AA22" i="1"/>
  <c r="AA24" i="1"/>
  <c r="AA26" i="1"/>
  <c r="AA27" i="1"/>
  <c r="D23" i="1"/>
  <c r="D21" i="1"/>
  <c r="G51" i="3"/>
  <c r="G50" i="3"/>
  <c r="G49" i="3"/>
  <c r="C51" i="3"/>
  <c r="C50" i="3"/>
  <c r="C49" i="3"/>
  <c r="R28" i="1"/>
  <c r="A39" i="1"/>
  <c r="A40" i="1"/>
  <c r="A41" i="1"/>
  <c r="A42" i="1"/>
  <c r="A44" i="1"/>
  <c r="A45" i="1"/>
  <c r="A46" i="1"/>
  <c r="A47" i="1"/>
  <c r="A48" i="1"/>
  <c r="A49" i="1"/>
  <c r="A50" i="1"/>
  <c r="G29" i="1"/>
  <c r="I29" i="1"/>
  <c r="J29" i="1"/>
  <c r="E40" i="1"/>
  <c r="E41" i="1"/>
  <c r="E42" i="1"/>
  <c r="E44" i="1"/>
  <c r="E45" i="1"/>
  <c r="E46" i="1"/>
  <c r="E47" i="1"/>
  <c r="E48" i="1"/>
  <c r="E49" i="1"/>
  <c r="E50" i="1"/>
  <c r="N25" i="1"/>
  <c r="M28" i="1"/>
  <c r="H37" i="3"/>
  <c r="M19" i="1"/>
  <c r="BN27" i="1"/>
  <c r="BN26" i="1"/>
  <c r="BN25" i="1"/>
  <c r="BN24" i="1"/>
  <c r="BN23" i="1"/>
  <c r="BN22" i="1"/>
  <c r="BN21" i="1"/>
  <c r="BN20" i="1"/>
  <c r="BN19" i="1"/>
  <c r="BN18" i="1"/>
  <c r="BN17" i="1"/>
  <c r="BN16" i="1"/>
  <c r="BM27" i="1"/>
  <c r="BM26" i="1"/>
  <c r="BM25" i="1"/>
  <c r="BM24" i="1"/>
  <c r="BM23" i="1"/>
  <c r="BM22" i="1"/>
  <c r="BM21" i="1"/>
  <c r="BM20" i="1"/>
  <c r="BM19" i="1"/>
  <c r="BM18" i="1"/>
  <c r="BM17" i="1"/>
  <c r="BM16" i="1"/>
  <c r="BL27" i="1"/>
  <c r="BL26" i="1"/>
  <c r="BL25" i="1"/>
  <c r="BL24" i="1"/>
  <c r="BL23" i="1"/>
  <c r="BL22" i="1"/>
  <c r="BL21" i="1"/>
  <c r="BL20" i="1"/>
  <c r="BL19" i="1"/>
  <c r="BL18" i="1"/>
  <c r="BL17" i="1"/>
  <c r="BL16" i="1"/>
  <c r="BK27" i="1"/>
  <c r="BK26" i="1"/>
  <c r="BK25" i="1"/>
  <c r="BK24" i="1"/>
  <c r="BK23" i="1"/>
  <c r="BK22" i="1"/>
  <c r="BK21" i="1"/>
  <c r="BK20" i="1"/>
  <c r="BK19" i="1"/>
  <c r="BK18" i="1"/>
  <c r="BK17" i="1"/>
  <c r="BK16" i="1"/>
  <c r="BJ27" i="1"/>
  <c r="BJ26" i="1"/>
  <c r="BJ25" i="1"/>
  <c r="BJ24" i="1"/>
  <c r="BJ23" i="1"/>
  <c r="BJ22" i="1"/>
  <c r="BJ21" i="1"/>
  <c r="BJ20" i="1"/>
  <c r="BJ19" i="1"/>
  <c r="BJ18" i="1"/>
  <c r="BJ17" i="1"/>
  <c r="BJ16" i="1"/>
  <c r="BI27" i="1"/>
  <c r="BI26" i="1"/>
  <c r="BI25" i="1"/>
  <c r="BI24" i="1"/>
  <c r="BI23" i="1"/>
  <c r="BI22" i="1"/>
  <c r="BI21" i="1"/>
  <c r="BI20" i="1"/>
  <c r="BI19" i="1"/>
  <c r="BI18" i="1"/>
  <c r="BI17" i="1"/>
  <c r="BI16" i="1"/>
  <c r="BH27" i="1"/>
  <c r="BH26" i="1"/>
  <c r="BH25" i="1"/>
  <c r="BH24" i="1"/>
  <c r="BH23" i="1"/>
  <c r="BH22" i="1"/>
  <c r="BH21" i="1"/>
  <c r="BH20" i="1"/>
  <c r="BH19" i="1"/>
  <c r="BH18" i="1"/>
  <c r="BH17" i="1"/>
  <c r="BH16" i="1"/>
  <c r="BG27" i="1"/>
  <c r="BG26" i="1"/>
  <c r="BG25" i="1"/>
  <c r="BG24" i="1"/>
  <c r="BG23" i="1"/>
  <c r="BG22" i="1"/>
  <c r="BG21" i="1"/>
  <c r="BG20" i="1"/>
  <c r="BG19" i="1"/>
  <c r="BG18" i="1"/>
  <c r="BG17" i="1"/>
  <c r="BG16" i="1"/>
  <c r="BF27" i="1"/>
  <c r="BF26" i="1"/>
  <c r="BF25" i="1"/>
  <c r="BF24" i="1"/>
  <c r="BF23" i="1"/>
  <c r="BF22" i="1"/>
  <c r="BF21" i="1"/>
  <c r="BF20" i="1"/>
  <c r="BF19" i="1"/>
  <c r="BF18" i="1"/>
  <c r="BF17" i="1"/>
  <c r="BF16" i="1"/>
  <c r="BE27" i="1"/>
  <c r="BE26" i="1"/>
  <c r="BE25" i="1"/>
  <c r="BE24" i="1"/>
  <c r="BE23" i="1"/>
  <c r="BE22" i="1"/>
  <c r="BE21" i="1"/>
  <c r="BE20" i="1"/>
  <c r="BE19" i="1"/>
  <c r="BE18" i="1"/>
  <c r="BE17" i="1"/>
  <c r="BE16" i="1"/>
  <c r="BD27" i="1"/>
  <c r="BD26" i="1"/>
  <c r="BD25" i="1"/>
  <c r="BD24" i="1"/>
  <c r="BD23" i="1"/>
  <c r="BD22" i="1"/>
  <c r="BD21" i="1"/>
  <c r="BD20" i="1"/>
  <c r="BD19" i="1"/>
  <c r="BD18" i="1"/>
  <c r="BD17" i="1"/>
  <c r="BD16" i="1"/>
  <c r="BC27" i="1"/>
  <c r="BC26" i="1"/>
  <c r="BC25" i="1"/>
  <c r="BC24" i="1"/>
  <c r="BC23" i="1"/>
  <c r="BC22" i="1"/>
  <c r="BC21" i="1"/>
  <c r="BC20" i="1"/>
  <c r="BC19" i="1"/>
  <c r="BC18" i="1"/>
  <c r="BC17" i="1"/>
  <c r="BC16" i="1"/>
  <c r="BB27" i="1"/>
  <c r="BB26" i="1"/>
  <c r="BB25" i="1"/>
  <c r="BB24" i="1"/>
  <c r="BB23" i="1"/>
  <c r="BB22" i="1"/>
  <c r="BB21" i="1"/>
  <c r="BB20" i="1"/>
  <c r="BB19" i="1"/>
  <c r="BB18" i="1"/>
  <c r="BB17" i="1"/>
  <c r="BB16" i="1"/>
  <c r="BA27" i="1"/>
  <c r="BA26" i="1"/>
  <c r="BA25" i="1"/>
  <c r="BA24" i="1"/>
  <c r="BA23" i="1"/>
  <c r="BA22" i="1"/>
  <c r="BA21" i="1"/>
  <c r="BA20" i="1"/>
  <c r="BA19" i="1"/>
  <c r="BA18" i="1"/>
  <c r="BA17" i="1"/>
  <c r="BA16" i="1"/>
  <c r="AZ27" i="1"/>
  <c r="AZ26" i="1"/>
  <c r="AZ25" i="1"/>
  <c r="AZ24" i="1"/>
  <c r="AZ23" i="1"/>
  <c r="AZ22" i="1"/>
  <c r="AZ21" i="1"/>
  <c r="AZ20" i="1"/>
  <c r="AZ19" i="1"/>
  <c r="AZ18" i="1"/>
  <c r="AZ17" i="1"/>
  <c r="AZ16" i="1"/>
  <c r="AY27" i="1"/>
  <c r="AY26" i="1"/>
  <c r="AY25" i="1"/>
  <c r="AY24" i="1"/>
  <c r="AY23" i="1"/>
  <c r="AY22" i="1"/>
  <c r="AY21" i="1"/>
  <c r="AY20" i="1"/>
  <c r="AY19" i="1"/>
  <c r="AY18" i="1"/>
  <c r="AY17" i="1"/>
  <c r="AY16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W27" i="1"/>
  <c r="AW26" i="1"/>
  <c r="AW25" i="1"/>
  <c r="AW24" i="1"/>
  <c r="AW23" i="1"/>
  <c r="AW22" i="1"/>
  <c r="AW21" i="1"/>
  <c r="AW20" i="1"/>
  <c r="AW19" i="1"/>
  <c r="AW18" i="1"/>
  <c r="AW17" i="1"/>
  <c r="AW16" i="1"/>
  <c r="AV27" i="1"/>
  <c r="AV26" i="1"/>
  <c r="AV25" i="1"/>
  <c r="AV24" i="1"/>
  <c r="AV23" i="1"/>
  <c r="AV22" i="1"/>
  <c r="AV21" i="1"/>
  <c r="AV20" i="1"/>
  <c r="AV19" i="1"/>
  <c r="AV18" i="1"/>
  <c r="AV17" i="1"/>
  <c r="AV16" i="1"/>
  <c r="AU27" i="1"/>
  <c r="AQ27" i="1"/>
  <c r="AR27" i="1"/>
  <c r="AS27" i="1"/>
  <c r="AT27" i="1"/>
  <c r="AP27" i="1"/>
  <c r="AU26" i="1"/>
  <c r="AU25" i="1"/>
  <c r="AU24" i="1"/>
  <c r="AU23" i="1"/>
  <c r="AU22" i="1"/>
  <c r="AU21" i="1"/>
  <c r="AU20" i="1"/>
  <c r="AU19" i="1"/>
  <c r="AU18" i="1"/>
  <c r="AU17" i="1"/>
  <c r="AU16" i="1"/>
  <c r="AT26" i="1"/>
  <c r="AT25" i="1"/>
  <c r="AT24" i="1"/>
  <c r="AT23" i="1"/>
  <c r="AT22" i="1"/>
  <c r="AT21" i="1"/>
  <c r="AT20" i="1"/>
  <c r="AT19" i="1"/>
  <c r="AT18" i="1"/>
  <c r="AT17" i="1"/>
  <c r="AT16" i="1"/>
  <c r="AS26" i="1"/>
  <c r="AS25" i="1"/>
  <c r="AS24" i="1"/>
  <c r="AM24" i="1"/>
  <c r="AQ24" i="1"/>
  <c r="AR24" i="1"/>
  <c r="AS23" i="1"/>
  <c r="AS22" i="1"/>
  <c r="AS21" i="1"/>
  <c r="AS20" i="1"/>
  <c r="AK20" i="1"/>
  <c r="AN19" i="1"/>
  <c r="AS18" i="1"/>
  <c r="AS17" i="1"/>
  <c r="AS16" i="1"/>
  <c r="AN27" i="1"/>
  <c r="AM26" i="1"/>
  <c r="AM25" i="1"/>
  <c r="AR23" i="1"/>
  <c r="AR22" i="1"/>
  <c r="AR21" i="1"/>
  <c r="AR20" i="1"/>
  <c r="AR19" i="1"/>
  <c r="AR18" i="1"/>
  <c r="AQ18" i="1"/>
  <c r="AP18" i="1"/>
  <c r="AL17" i="1"/>
  <c r="AR17" i="1"/>
  <c r="AL26" i="1"/>
  <c r="AQ26" i="1"/>
  <c r="AQ25" i="1"/>
  <c r="AK23" i="1"/>
  <c r="AQ23" i="1"/>
  <c r="AP23" i="1"/>
  <c r="AQ22" i="1"/>
  <c r="AQ21" i="1"/>
  <c r="AQ19" i="1"/>
  <c r="AN18" i="1"/>
  <c r="AQ17" i="1"/>
  <c r="AP17" i="1"/>
  <c r="AQ16" i="1"/>
  <c r="AN23" i="1"/>
  <c r="AN22" i="1"/>
  <c r="AL27" i="1"/>
  <c r="U16" i="1"/>
  <c r="L28" i="1"/>
  <c r="K25" i="1"/>
  <c r="K28" i="1"/>
  <c r="AK18" i="1"/>
  <c r="AM18" i="1"/>
  <c r="AM21" i="1"/>
  <c r="N29" i="3"/>
  <c r="H32" i="3"/>
  <c r="H45" i="3"/>
  <c r="E31" i="3"/>
  <c r="E44" i="3"/>
  <c r="E45" i="3"/>
  <c r="E46" i="3"/>
  <c r="E47" i="3"/>
  <c r="H29" i="3"/>
  <c r="H31" i="3"/>
  <c r="H43" i="3"/>
  <c r="H28" i="3"/>
  <c r="E40" i="3"/>
  <c r="O29" i="3"/>
  <c r="I50" i="3"/>
  <c r="H36" i="3"/>
  <c r="H39" i="3"/>
  <c r="H46" i="3"/>
  <c r="H33" i="3"/>
  <c r="H35" i="3"/>
  <c r="AP24" i="1"/>
  <c r="AP21" i="1"/>
  <c r="AP22" i="1"/>
  <c r="AK24" i="1"/>
  <c r="AM23" i="1"/>
  <c r="H30" i="3"/>
  <c r="H44" i="3"/>
  <c r="H47" i="3"/>
  <c r="AA25" i="1"/>
  <c r="AK22" i="1"/>
  <c r="AN21" i="1"/>
  <c r="AM22" i="1"/>
  <c r="AL21" i="1"/>
  <c r="AL18" i="1"/>
  <c r="AR25" i="1"/>
  <c r="AP25" i="1"/>
  <c r="AR16" i="1"/>
  <c r="AP16" i="1"/>
  <c r="AS19" i="1"/>
  <c r="AP19" i="1"/>
  <c r="AK17" i="1"/>
  <c r="P28" i="1"/>
  <c r="H38" i="3"/>
  <c r="Q28" i="1"/>
  <c r="AL20" i="1"/>
  <c r="AK21" i="1"/>
  <c r="AA19" i="1"/>
  <c r="AN25" i="1"/>
  <c r="L25" i="1"/>
  <c r="AM20" i="1"/>
  <c r="AL19" i="1"/>
  <c r="AN17" i="1"/>
  <c r="AR26" i="1"/>
  <c r="AP26" i="1"/>
  <c r="AL24" i="1"/>
  <c r="AA17" i="1"/>
  <c r="AL22" i="1"/>
  <c r="AQ20" i="1"/>
  <c r="AP20" i="1"/>
  <c r="AA21" i="1"/>
  <c r="AA23" i="1"/>
  <c r="AA28" i="1"/>
  <c r="D27" i="1"/>
  <c r="AK27" i="1"/>
  <c r="H29" i="1"/>
  <c r="AM17" i="1"/>
  <c r="AK25" i="1"/>
  <c r="AM19" i="1"/>
  <c r="AL23" i="1"/>
  <c r="AK26" i="1"/>
  <c r="AN20" i="1"/>
  <c r="H40" i="3"/>
  <c r="N28" i="1"/>
  <c r="AM27" i="1"/>
  <c r="AK19" i="1"/>
  <c r="AL25" i="1"/>
  <c r="AN24" i="1"/>
  <c r="AN26" i="1"/>
  <c r="M25" i="1"/>
  <c r="H34" i="3"/>
  <c r="I51" i="3"/>
  <c r="O30" i="3"/>
  <c r="N30" i="3"/>
  <c r="AP28" i="1"/>
  <c r="AM16" i="1"/>
  <c r="AM28" i="1"/>
  <c r="G24" i="1"/>
  <c r="O11" i="2"/>
  <c r="AN16" i="1"/>
  <c r="AN28" i="1"/>
  <c r="G26" i="1"/>
  <c r="P11" i="2"/>
  <c r="E50" i="3"/>
  <c r="M13" i="2"/>
  <c r="N13" i="2"/>
  <c r="O13" i="2"/>
  <c r="P13" i="2"/>
  <c r="AL16" i="1"/>
  <c r="AL28" i="1"/>
  <c r="G22" i="1"/>
  <c r="N11" i="2"/>
  <c r="AK16" i="1"/>
  <c r="AK28" i="1"/>
  <c r="G20" i="1"/>
  <c r="M11" i="2"/>
  <c r="AK16" i="54"/>
  <c r="AK28" i="54"/>
  <c r="G20" i="54"/>
  <c r="M49" i="2"/>
  <c r="AL16" i="54"/>
  <c r="AL28" i="54"/>
  <c r="G22" i="54"/>
  <c r="N49" i="2"/>
  <c r="AM16" i="54"/>
  <c r="AM28" i="54"/>
  <c r="G24" i="54"/>
  <c r="O49" i="2"/>
  <c r="AN16" i="54"/>
  <c r="AN28" i="54"/>
  <c r="G26" i="54"/>
  <c r="P49" i="2"/>
  <c r="AK16" i="63"/>
  <c r="AK28" i="63"/>
  <c r="G20" i="63"/>
  <c r="M43" i="2"/>
  <c r="AL16" i="63"/>
  <c r="AL28" i="63"/>
  <c r="G22" i="63"/>
  <c r="N43" i="2"/>
  <c r="AM16" i="63"/>
  <c r="AM28" i="63"/>
  <c r="G24" i="63"/>
  <c r="O43" i="2"/>
  <c r="AN16" i="63"/>
  <c r="AN28" i="63"/>
  <c r="G26" i="63"/>
  <c r="P43" i="2"/>
  <c r="AK16" i="59"/>
  <c r="AK28" i="59"/>
  <c r="G20" i="59"/>
  <c r="M55" i="2"/>
  <c r="AL16" i="59"/>
  <c r="AL28" i="59"/>
  <c r="G22" i="59"/>
  <c r="N55" i="2"/>
  <c r="AM16" i="59"/>
  <c r="AM28" i="59"/>
  <c r="G24" i="59"/>
  <c r="O55" i="2"/>
  <c r="AN16" i="59"/>
  <c r="AK17" i="66"/>
  <c r="AK28" i="66"/>
  <c r="G20" i="66"/>
  <c r="AL17" i="66"/>
  <c r="AL28" i="66"/>
  <c r="G22" i="66"/>
  <c r="AM17" i="66"/>
  <c r="AM28" i="66"/>
  <c r="G24" i="66"/>
  <c r="AN17" i="66"/>
  <c r="AN28" i="66"/>
  <c r="G26" i="66"/>
  <c r="AK18" i="23"/>
  <c r="AK28" i="23"/>
  <c r="G20" i="23"/>
  <c r="M34" i="2"/>
  <c r="AL18" i="23"/>
  <c r="AL28" i="23"/>
  <c r="G22" i="23"/>
  <c r="N34" i="2"/>
  <c r="AM18" i="23"/>
  <c r="AM28" i="23"/>
  <c r="G24" i="23"/>
  <c r="O34" i="2"/>
  <c r="AK18" i="21"/>
  <c r="AK28" i="21"/>
  <c r="G20" i="21"/>
  <c r="AM18" i="21"/>
  <c r="AM28" i="21"/>
  <c r="G24" i="21"/>
  <c r="AL18" i="21"/>
  <c r="AL28" i="21"/>
  <c r="G22" i="21"/>
  <c r="AN18" i="21"/>
  <c r="AN28" i="21"/>
  <c r="G26" i="21"/>
  <c r="AK19" i="12"/>
  <c r="AK28" i="12"/>
  <c r="G20" i="12"/>
  <c r="M17" i="2"/>
  <c r="AK28" i="48"/>
  <c r="G20" i="48"/>
  <c r="M3" i="2"/>
  <c r="M36" i="2"/>
  <c r="N15" i="3"/>
  <c r="AL19" i="12"/>
  <c r="AL28" i="12"/>
  <c r="G22" i="12"/>
  <c r="N17" i="2"/>
  <c r="AL28" i="48"/>
  <c r="G22" i="48"/>
  <c r="N3" i="2"/>
  <c r="N36" i="2"/>
  <c r="N16" i="3"/>
  <c r="AM19" i="12"/>
  <c r="AM28" i="12"/>
  <c r="G24" i="12"/>
  <c r="O17" i="2"/>
  <c r="AN19" i="12"/>
  <c r="AN28" i="12"/>
  <c r="G26" i="12"/>
  <c r="P17" i="2"/>
  <c r="AN28" i="59"/>
  <c r="G26" i="59"/>
  <c r="P55" i="2"/>
  <c r="AM28" i="48"/>
  <c r="G24" i="48"/>
  <c r="O3" i="2"/>
  <c r="AN28" i="48"/>
  <c r="G26" i="48"/>
  <c r="P3" i="2"/>
  <c r="O36" i="2"/>
  <c r="P36" i="2"/>
  <c r="N17" i="3"/>
  <c r="I49" i="3"/>
  <c r="AK19" i="17"/>
  <c r="AK28" i="17"/>
  <c r="G20" i="17"/>
  <c r="M37" i="2"/>
  <c r="K15" i="3"/>
  <c r="AL19" i="17"/>
  <c r="AL28" i="17"/>
  <c r="G22" i="17"/>
  <c r="N37" i="2"/>
  <c r="K16" i="3"/>
  <c r="AM19" i="17"/>
  <c r="AM28" i="17"/>
  <c r="G24" i="17"/>
  <c r="O37" i="2"/>
  <c r="K17" i="3"/>
  <c r="E51" i="3"/>
  <c r="AK19" i="20"/>
  <c r="AK28" i="20"/>
  <c r="G20" i="20"/>
  <c r="M21" i="2"/>
  <c r="AL19" i="20"/>
  <c r="AL28" i="20"/>
  <c r="G22" i="20"/>
  <c r="N21" i="2"/>
  <c r="AN19" i="20"/>
  <c r="AN28" i="20"/>
  <c r="G26" i="20"/>
  <c r="P21" i="2"/>
  <c r="AM19" i="20"/>
  <c r="AM28" i="20"/>
  <c r="G24" i="20"/>
  <c r="O21" i="2"/>
  <c r="AK19" i="27"/>
  <c r="AK28" i="27"/>
  <c r="G20" i="27"/>
  <c r="M41" i="2"/>
  <c r="AM19" i="27"/>
  <c r="AM28" i="27"/>
  <c r="G24" i="27"/>
  <c r="O41" i="2"/>
  <c r="AL19" i="27"/>
  <c r="AL28" i="27"/>
  <c r="G22" i="27"/>
  <c r="N41" i="2"/>
  <c r="AN19" i="27"/>
  <c r="AN28" i="27"/>
  <c r="G26" i="27"/>
  <c r="P41" i="2"/>
  <c r="AK19" i="36"/>
  <c r="AK28" i="36"/>
  <c r="G20" i="36"/>
  <c r="M35" i="2"/>
  <c r="AM19" i="36"/>
  <c r="AM28" i="36"/>
  <c r="G24" i="36"/>
  <c r="O35" i="2"/>
  <c r="AL19" i="36"/>
  <c r="AL28" i="36"/>
  <c r="G22" i="36"/>
  <c r="N35" i="2"/>
  <c r="AN19" i="36"/>
  <c r="AN28" i="36"/>
  <c r="G26" i="36"/>
  <c r="P35" i="2"/>
  <c r="AK19" i="48"/>
  <c r="AL19" i="48"/>
  <c r="AM19" i="48"/>
  <c r="AN19" i="48"/>
  <c r="AK19" i="53"/>
  <c r="AK28" i="53"/>
  <c r="G20" i="53"/>
  <c r="M22" i="2"/>
  <c r="AL19" i="53"/>
  <c r="AL28" i="53"/>
  <c r="G22" i="53"/>
  <c r="N22" i="2"/>
  <c r="AM19" i="53"/>
  <c r="AM28" i="53"/>
  <c r="G24" i="53"/>
  <c r="O22" i="2"/>
  <c r="AN19" i="53"/>
  <c r="AN28" i="53"/>
  <c r="G26" i="53"/>
  <c r="P22" i="2"/>
  <c r="AK19" i="55"/>
  <c r="AK28" i="55"/>
  <c r="G20" i="55"/>
  <c r="AL19" i="55"/>
  <c r="AL28" i="55"/>
  <c r="G22" i="55"/>
  <c r="AM19" i="55"/>
  <c r="AM28" i="55"/>
  <c r="G24" i="55"/>
  <c r="AN19" i="55"/>
  <c r="AN28" i="55"/>
  <c r="G26" i="55"/>
  <c r="AK19" i="56"/>
  <c r="AK28" i="56"/>
  <c r="G20" i="56"/>
  <c r="M2" i="2"/>
  <c r="AL19" i="56"/>
  <c r="AL28" i="56"/>
  <c r="G22" i="56"/>
  <c r="N2" i="2"/>
  <c r="AM19" i="56"/>
  <c r="AM28" i="56"/>
  <c r="G24" i="56"/>
  <c r="O2" i="2"/>
  <c r="AN19" i="56"/>
  <c r="AN28" i="56"/>
  <c r="G26" i="56"/>
  <c r="P2" i="2"/>
  <c r="AN19" i="59"/>
  <c r="AK19" i="61"/>
  <c r="AK28" i="61"/>
  <c r="G20" i="61"/>
  <c r="AL19" i="61"/>
  <c r="AL28" i="61"/>
  <c r="G22" i="61"/>
  <c r="AM19" i="61"/>
  <c r="AM28" i="61"/>
  <c r="G24" i="61"/>
  <c r="AN19" i="61"/>
  <c r="AN28" i="61"/>
  <c r="G26" i="61"/>
  <c r="AK20" i="18"/>
  <c r="AK28" i="18"/>
  <c r="G20" i="18"/>
  <c r="M30" i="2"/>
  <c r="E15" i="3"/>
  <c r="AL20" i="18"/>
  <c r="AL28" i="18"/>
  <c r="G22" i="18"/>
  <c r="N30" i="2"/>
  <c r="E16" i="3"/>
  <c r="AM20" i="18"/>
  <c r="AM28" i="18"/>
  <c r="G24" i="18"/>
  <c r="O30" i="2"/>
  <c r="E17" i="3"/>
  <c r="E49" i="3"/>
  <c r="AK20" i="58"/>
  <c r="AK28" i="58"/>
  <c r="G20" i="58"/>
  <c r="M47" i="2"/>
  <c r="AL20" i="58"/>
  <c r="AL28" i="58"/>
  <c r="G22" i="58"/>
  <c r="N47" i="2"/>
  <c r="AM20" i="58"/>
  <c r="AM28" i="58"/>
  <c r="G24" i="58"/>
  <c r="O47" i="2"/>
  <c r="AN20" i="58"/>
  <c r="AN28" i="58"/>
  <c r="G26" i="58"/>
  <c r="P47" i="2"/>
  <c r="AK22" i="47"/>
  <c r="AK28" i="47"/>
  <c r="G20" i="47"/>
  <c r="M46" i="2"/>
  <c r="AL22" i="47"/>
  <c r="AL28" i="47"/>
  <c r="G22" i="47"/>
  <c r="N46" i="2"/>
  <c r="AN22" i="47"/>
  <c r="AN28" i="47"/>
  <c r="G26" i="47"/>
  <c r="P46" i="2"/>
  <c r="AM22" i="47"/>
  <c r="AM28" i="47"/>
  <c r="G24" i="47"/>
  <c r="O46" i="2"/>
  <c r="AK24" i="60"/>
  <c r="AK28" i="60"/>
  <c r="G20" i="60"/>
  <c r="M40" i="2"/>
  <c r="AL24" i="60"/>
  <c r="AL28" i="60"/>
  <c r="G22" i="60"/>
  <c r="N40" i="2"/>
  <c r="AM24" i="60"/>
  <c r="AM28" i="60"/>
  <c r="G24" i="60"/>
  <c r="O40" i="2"/>
  <c r="AN24" i="60"/>
  <c r="AN28" i="60"/>
  <c r="G26" i="60"/>
  <c r="P40" i="2"/>
  <c r="AK25" i="39"/>
  <c r="AK28" i="39"/>
  <c r="G20" i="39"/>
  <c r="M25" i="2"/>
  <c r="AL25" i="39"/>
  <c r="AL28" i="39"/>
  <c r="G22" i="39"/>
  <c r="N25" i="2"/>
  <c r="AN25" i="39"/>
  <c r="AN28" i="39"/>
  <c r="G26" i="39"/>
  <c r="P25" i="2"/>
  <c r="AM25" i="39"/>
  <c r="AM28" i="39"/>
  <c r="G24" i="39"/>
  <c r="O25" i="2"/>
  <c r="AK17" i="51"/>
  <c r="AK28" i="51"/>
  <c r="G20" i="51"/>
  <c r="M8" i="2"/>
  <c r="AL17" i="51"/>
  <c r="AL28" i="51"/>
  <c r="G22" i="51"/>
  <c r="N8" i="2"/>
  <c r="AM17" i="51"/>
  <c r="AM28" i="51"/>
  <c r="G24" i="51"/>
  <c r="O8" i="2"/>
  <c r="AN17" i="51"/>
  <c r="AN28" i="51"/>
  <c r="G26" i="51"/>
  <c r="P8" i="2"/>
</calcChain>
</file>

<file path=xl/comments1.xml><?xml version="1.0" encoding="utf-8"?>
<comments xmlns="http://schemas.openxmlformats.org/spreadsheetml/2006/main">
  <authors>
    <author>Gabriel Krotkov (student LM)</author>
  </authors>
  <commentList>
    <comment ref="N27" authorId="0">
      <text>
        <r>
          <rPr>
            <b/>
            <sz val="9"/>
            <color indexed="81"/>
            <rFont val="Tahoma"/>
            <family val="2"/>
          </rPr>
          <t>Gabriel Krotkov (student LM):</t>
        </r>
        <r>
          <rPr>
            <sz val="9"/>
            <color indexed="81"/>
            <rFont val="Tahoma"/>
            <family val="2"/>
          </rPr>
          <t xml:space="preserve">
Enter your desired confidence here to generate a confidence interval for gear scoring.</t>
        </r>
      </text>
    </comment>
    <comment ref="N33" authorId="0">
      <text>
        <r>
          <rPr>
            <b/>
            <sz val="9"/>
            <color indexed="81"/>
            <rFont val="Tahoma"/>
            <family val="2"/>
          </rPr>
          <t>Gabriel Krotkov (student LM):</t>
        </r>
        <r>
          <rPr>
            <sz val="9"/>
            <color indexed="81"/>
            <rFont val="Tahoma"/>
            <family val="2"/>
          </rPr>
          <t xml:space="preserve">
Enter your desired confidence to generate a confidence interval for fuel</t>
        </r>
      </text>
    </comment>
  </commentList>
</comments>
</file>

<file path=xl/comments2.xml><?xml version="1.0" encoding="utf-8"?>
<comments xmlns="http://schemas.openxmlformats.org/spreadsheetml/2006/main">
  <authors>
    <author>Gabriel Krotkov (student LM)</author>
  </authors>
  <commentList>
    <comment ref="P29" authorId="0">
      <text>
        <r>
          <rPr>
            <b/>
            <sz val="9"/>
            <color indexed="81"/>
            <rFont val="Tahoma"/>
            <family val="2"/>
          </rPr>
          <t>Gabriel Krotkov (student LM):</t>
        </r>
        <r>
          <rPr>
            <sz val="9"/>
            <color indexed="81"/>
            <rFont val="Tahoma"/>
            <family val="2"/>
          </rPr>
          <t xml:space="preserve">
kPa of their alliance if the robot scored fuel in teleop that match.</t>
        </r>
      </text>
    </comment>
  </commentList>
</comments>
</file>

<file path=xl/comments3.xml><?xml version="1.0" encoding="utf-8"?>
<comments xmlns="http://schemas.openxmlformats.org/spreadsheetml/2006/main">
  <authors>
    <author>Gabriel Krotkov (student LM)</author>
  </authors>
  <commentList>
    <comment ref="P29" authorId="0">
      <text>
        <r>
          <rPr>
            <b/>
            <sz val="9"/>
            <color indexed="81"/>
            <rFont val="Tahoma"/>
            <family val="2"/>
          </rPr>
          <t>Gabriel Krotkov (student LM):</t>
        </r>
        <r>
          <rPr>
            <sz val="9"/>
            <color indexed="81"/>
            <rFont val="Tahoma"/>
            <family val="2"/>
          </rPr>
          <t xml:space="preserve">
kPa of their alliance if the robot scored fuel in teleop that match.</t>
        </r>
      </text>
    </comment>
  </commentList>
</comments>
</file>

<file path=xl/comments4.xml><?xml version="1.0" encoding="utf-8"?>
<comments xmlns="http://schemas.openxmlformats.org/spreadsheetml/2006/main">
  <authors>
    <author>Gabriel Krotkov (student LM)</author>
  </authors>
  <commentList>
    <comment ref="P29" authorId="0">
      <text>
        <r>
          <rPr>
            <b/>
            <sz val="9"/>
            <color indexed="81"/>
            <rFont val="Tahoma"/>
            <family val="2"/>
          </rPr>
          <t>Gabriel Krotkov (student LM):</t>
        </r>
        <r>
          <rPr>
            <sz val="9"/>
            <color indexed="81"/>
            <rFont val="Tahoma"/>
            <family val="2"/>
          </rPr>
          <t xml:space="preserve">
kPa of their alliance if the robot scored fuel in teleop that match.</t>
        </r>
      </text>
    </comment>
  </commentList>
</comments>
</file>

<file path=xl/comments5.xml><?xml version="1.0" encoding="utf-8"?>
<comments xmlns="http://schemas.openxmlformats.org/spreadsheetml/2006/main">
  <authors>
    <author>Gabriel Krotkov (student LM)</author>
  </authors>
  <commentList>
    <comment ref="P29" authorId="0">
      <text>
        <r>
          <rPr>
            <b/>
            <sz val="9"/>
            <color indexed="81"/>
            <rFont val="Tahoma"/>
            <family val="2"/>
          </rPr>
          <t>Gabriel Krotkov (student LM):</t>
        </r>
        <r>
          <rPr>
            <sz val="9"/>
            <color indexed="81"/>
            <rFont val="Tahoma"/>
            <family val="2"/>
          </rPr>
          <t xml:space="preserve">
kPa of their alliance if the robot scored fuel in teleop that match.</t>
        </r>
      </text>
    </comment>
  </commentList>
</comments>
</file>

<file path=xl/comments6.xml><?xml version="1.0" encoding="utf-8"?>
<comments xmlns="http://schemas.openxmlformats.org/spreadsheetml/2006/main">
  <authors>
    <author>Gabriel Krotkov (student LM)</author>
  </authors>
  <commentList>
    <comment ref="P29" authorId="0">
      <text>
        <r>
          <rPr>
            <b/>
            <sz val="9"/>
            <color indexed="81"/>
            <rFont val="Tahoma"/>
            <family val="2"/>
          </rPr>
          <t>Gabriel Krotkov (student LM):</t>
        </r>
        <r>
          <rPr>
            <sz val="9"/>
            <color indexed="81"/>
            <rFont val="Tahoma"/>
            <family val="2"/>
          </rPr>
          <t xml:space="preserve">
kPa of their alliance if the robot scored fuel in teleop that match.</t>
        </r>
      </text>
    </comment>
  </commentList>
</comments>
</file>

<file path=xl/comments7.xml><?xml version="1.0" encoding="utf-8"?>
<comments xmlns="http://schemas.openxmlformats.org/spreadsheetml/2006/main">
  <authors>
    <author>Gabriel Krotkov (student LM)</author>
  </authors>
  <commentList>
    <comment ref="P29" authorId="0">
      <text>
        <r>
          <rPr>
            <b/>
            <sz val="9"/>
            <color indexed="81"/>
            <rFont val="Tahoma"/>
            <family val="2"/>
          </rPr>
          <t>Gabriel Krotkov (student LM):</t>
        </r>
        <r>
          <rPr>
            <sz val="9"/>
            <color indexed="81"/>
            <rFont val="Tahoma"/>
            <family val="2"/>
          </rPr>
          <t xml:space="preserve">
kPa of their alliance if the robot scored fuel in teleop that match.</t>
        </r>
      </text>
    </comment>
  </commentList>
</comments>
</file>

<file path=xl/comments8.xml><?xml version="1.0" encoding="utf-8"?>
<comments xmlns="http://schemas.openxmlformats.org/spreadsheetml/2006/main">
  <authors>
    <author>Gabriel Krotkov (student LM)</author>
  </authors>
  <commentList>
    <comment ref="P29" authorId="0">
      <text>
        <r>
          <rPr>
            <b/>
            <sz val="9"/>
            <color indexed="81"/>
            <rFont val="Tahoma"/>
            <family val="2"/>
          </rPr>
          <t>Gabriel Krotkov (student LM):</t>
        </r>
        <r>
          <rPr>
            <sz val="9"/>
            <color indexed="81"/>
            <rFont val="Tahoma"/>
            <family val="2"/>
          </rPr>
          <t xml:space="preserve">
kPa of their alliance if the robot scored fuel in teleop that match.</t>
        </r>
      </text>
    </comment>
  </commentList>
</comments>
</file>

<file path=xl/comments9.xml><?xml version="1.0" encoding="utf-8"?>
<comments xmlns="http://schemas.openxmlformats.org/spreadsheetml/2006/main">
  <authors>
    <author>Gabriel Krotkov (student LM)</author>
  </authors>
  <commentList>
    <comment ref="P29" authorId="0">
      <text>
        <r>
          <rPr>
            <b/>
            <sz val="9"/>
            <color indexed="81"/>
            <rFont val="Tahoma"/>
            <family val="2"/>
          </rPr>
          <t>Gabriel Krotkov (student LM):</t>
        </r>
        <r>
          <rPr>
            <sz val="9"/>
            <color indexed="81"/>
            <rFont val="Tahoma"/>
            <family val="2"/>
          </rPr>
          <t xml:space="preserve">
kPa of their alliance if the robot scored fuel in teleop that match.</t>
        </r>
      </text>
    </comment>
  </commentList>
</comments>
</file>

<file path=xl/comments10.xml><?xml version="1.0" encoding="utf-8"?>
<comments xmlns="http://schemas.openxmlformats.org/spreadsheetml/2006/main">
  <authors>
    <author>Gabriel Krotkov (student LM)</author>
  </authors>
  <commentList>
    <comment ref="P29" authorId="0">
      <text>
        <r>
          <rPr>
            <b/>
            <sz val="9"/>
            <color indexed="81"/>
            <rFont val="Tahoma"/>
            <family val="2"/>
          </rPr>
          <t>Gabriel Krotkov (student LM):</t>
        </r>
        <r>
          <rPr>
            <sz val="9"/>
            <color indexed="81"/>
            <rFont val="Tahoma"/>
            <family val="2"/>
          </rPr>
          <t xml:space="preserve">
kPa of their alliance if the robot scored fuel in teleop that match.</t>
        </r>
      </text>
    </comment>
  </commentList>
</comments>
</file>

<file path=xl/comments11.xml><?xml version="1.0" encoding="utf-8"?>
<comments xmlns="http://schemas.openxmlformats.org/spreadsheetml/2006/main">
  <authors>
    <author>Gabriel Krotkov (student LM)</author>
  </authors>
  <commentList>
    <comment ref="P29" authorId="0">
      <text>
        <r>
          <rPr>
            <b/>
            <sz val="9"/>
            <color indexed="81"/>
            <rFont val="Tahoma"/>
            <family val="2"/>
          </rPr>
          <t>Gabriel Krotkov (student LM):</t>
        </r>
        <r>
          <rPr>
            <sz val="9"/>
            <color indexed="81"/>
            <rFont val="Tahoma"/>
            <family val="2"/>
          </rPr>
          <t xml:space="preserve">
kPa of their alliance if the robot scored fuel in teleop that match.</t>
        </r>
      </text>
    </comment>
  </commentList>
</comments>
</file>

<file path=xl/comments12.xml><?xml version="1.0" encoding="utf-8"?>
<comments xmlns="http://schemas.openxmlformats.org/spreadsheetml/2006/main">
  <authors>
    <author>Gabriel Krotkov (student LM)</author>
  </authors>
  <commentList>
    <comment ref="P29" authorId="0">
      <text>
        <r>
          <rPr>
            <b/>
            <sz val="9"/>
            <color indexed="81"/>
            <rFont val="Tahoma"/>
            <family val="2"/>
          </rPr>
          <t>Gabriel Krotkov (student LM):</t>
        </r>
        <r>
          <rPr>
            <sz val="9"/>
            <color indexed="81"/>
            <rFont val="Tahoma"/>
            <family val="2"/>
          </rPr>
          <t xml:space="preserve">
kPa of their alliance if the robot scored fuel in teleop that match.</t>
        </r>
      </text>
    </comment>
  </commentList>
</comments>
</file>

<file path=xl/comments13.xml><?xml version="1.0" encoding="utf-8"?>
<comments xmlns="http://schemas.openxmlformats.org/spreadsheetml/2006/main">
  <authors>
    <author>Gabriel Krotkov (student LM)</author>
  </authors>
  <commentList>
    <comment ref="P29" authorId="0">
      <text>
        <r>
          <rPr>
            <b/>
            <sz val="9"/>
            <color indexed="81"/>
            <rFont val="Tahoma"/>
            <family val="2"/>
          </rPr>
          <t>Gabriel Krotkov (student LM):</t>
        </r>
        <r>
          <rPr>
            <sz val="9"/>
            <color indexed="81"/>
            <rFont val="Tahoma"/>
            <family val="2"/>
          </rPr>
          <t xml:space="preserve">
kPa of their alliance if the robot scored fuel in teleop that match.</t>
        </r>
      </text>
    </comment>
  </commentList>
</comments>
</file>

<file path=xl/comments14.xml><?xml version="1.0" encoding="utf-8"?>
<comments xmlns="http://schemas.openxmlformats.org/spreadsheetml/2006/main">
  <authors>
    <author>Gabriel Krotkov (student LM)</author>
  </authors>
  <commentList>
    <comment ref="P29" authorId="0">
      <text>
        <r>
          <rPr>
            <b/>
            <sz val="9"/>
            <color indexed="81"/>
            <rFont val="Tahoma"/>
            <family val="2"/>
          </rPr>
          <t>Gabriel Krotkov (student LM):</t>
        </r>
        <r>
          <rPr>
            <sz val="9"/>
            <color indexed="81"/>
            <rFont val="Tahoma"/>
            <family val="2"/>
          </rPr>
          <t xml:space="preserve">
kPa of their alliance if the robot scored fuel in teleop that match.</t>
        </r>
      </text>
    </comment>
  </commentList>
</comments>
</file>

<file path=xl/comments15.xml><?xml version="1.0" encoding="utf-8"?>
<comments xmlns="http://schemas.openxmlformats.org/spreadsheetml/2006/main">
  <authors>
    <author>Gabriel Krotkov (student LM)</author>
  </authors>
  <commentList>
    <comment ref="P29" authorId="0">
      <text>
        <r>
          <rPr>
            <b/>
            <sz val="9"/>
            <color indexed="81"/>
            <rFont val="Tahoma"/>
            <family val="2"/>
          </rPr>
          <t>Gabriel Krotkov (student LM):</t>
        </r>
        <r>
          <rPr>
            <sz val="9"/>
            <color indexed="81"/>
            <rFont val="Tahoma"/>
            <family val="2"/>
          </rPr>
          <t xml:space="preserve">
kPa of their alliance if the robot scored fuel in teleop that match.</t>
        </r>
      </text>
    </comment>
  </commentList>
</comments>
</file>

<file path=xl/comments16.xml><?xml version="1.0" encoding="utf-8"?>
<comments xmlns="http://schemas.openxmlformats.org/spreadsheetml/2006/main">
  <authors>
    <author>Gabriel Krotkov (student LM)</author>
  </authors>
  <commentList>
    <comment ref="P29" authorId="0">
      <text>
        <r>
          <rPr>
            <b/>
            <sz val="9"/>
            <color indexed="81"/>
            <rFont val="Tahoma"/>
            <family val="2"/>
          </rPr>
          <t>Gabriel Krotkov (student LM):</t>
        </r>
        <r>
          <rPr>
            <sz val="9"/>
            <color indexed="81"/>
            <rFont val="Tahoma"/>
            <family val="2"/>
          </rPr>
          <t xml:space="preserve">
kPa of their alliance if the robot scored fuel in teleop that match.</t>
        </r>
      </text>
    </comment>
  </commentList>
</comments>
</file>

<file path=xl/comments17.xml><?xml version="1.0" encoding="utf-8"?>
<comments xmlns="http://schemas.openxmlformats.org/spreadsheetml/2006/main">
  <authors>
    <author>Gabriel Krotkov (student LM)</author>
  </authors>
  <commentList>
    <comment ref="P29" authorId="0">
      <text>
        <r>
          <rPr>
            <b/>
            <sz val="9"/>
            <color indexed="81"/>
            <rFont val="Tahoma"/>
            <family val="2"/>
          </rPr>
          <t>Gabriel Krotkov (student LM):</t>
        </r>
        <r>
          <rPr>
            <sz val="9"/>
            <color indexed="81"/>
            <rFont val="Tahoma"/>
            <family val="2"/>
          </rPr>
          <t xml:space="preserve">
kPa of their alliance if the robot scored fuel in teleop that match.</t>
        </r>
      </text>
    </comment>
  </commentList>
</comments>
</file>

<file path=xl/comments18.xml><?xml version="1.0" encoding="utf-8"?>
<comments xmlns="http://schemas.openxmlformats.org/spreadsheetml/2006/main">
  <authors>
    <author>Gabriel Krotkov (student LM)</author>
  </authors>
  <commentList>
    <comment ref="P29" authorId="0">
      <text>
        <r>
          <rPr>
            <b/>
            <sz val="9"/>
            <color indexed="81"/>
            <rFont val="Tahoma"/>
            <family val="2"/>
          </rPr>
          <t>Gabriel Krotkov (student LM):</t>
        </r>
        <r>
          <rPr>
            <sz val="9"/>
            <color indexed="81"/>
            <rFont val="Tahoma"/>
            <family val="2"/>
          </rPr>
          <t xml:space="preserve">
kPa of their alliance if the robot scored fuel in teleop that match.</t>
        </r>
      </text>
    </comment>
  </commentList>
</comments>
</file>

<file path=xl/comments19.xml><?xml version="1.0" encoding="utf-8"?>
<comments xmlns="http://schemas.openxmlformats.org/spreadsheetml/2006/main">
  <authors>
    <author>Gabriel Krotkov (student LM)</author>
  </authors>
  <commentList>
    <comment ref="P29" authorId="0">
      <text>
        <r>
          <rPr>
            <b/>
            <sz val="9"/>
            <color indexed="81"/>
            <rFont val="Tahoma"/>
            <family val="2"/>
          </rPr>
          <t>Gabriel Krotkov (student LM):</t>
        </r>
        <r>
          <rPr>
            <sz val="9"/>
            <color indexed="81"/>
            <rFont val="Tahoma"/>
            <family val="2"/>
          </rPr>
          <t xml:space="preserve">
kPa of their alliance if the robot scored fuel in teleop that match.</t>
        </r>
      </text>
    </comment>
  </commentList>
</comments>
</file>

<file path=xl/comments20.xml><?xml version="1.0" encoding="utf-8"?>
<comments xmlns="http://schemas.openxmlformats.org/spreadsheetml/2006/main">
  <authors>
    <author>Gabriel Krotkov (student LM)</author>
  </authors>
  <commentList>
    <comment ref="P29" authorId="0">
      <text>
        <r>
          <rPr>
            <b/>
            <sz val="9"/>
            <color indexed="81"/>
            <rFont val="Tahoma"/>
            <family val="2"/>
          </rPr>
          <t>Gabriel Krotkov (student LM):</t>
        </r>
        <r>
          <rPr>
            <sz val="9"/>
            <color indexed="81"/>
            <rFont val="Tahoma"/>
            <family val="2"/>
          </rPr>
          <t xml:space="preserve">
kPa of their alliance if the robot scored fuel in teleop that match.</t>
        </r>
      </text>
    </comment>
  </commentList>
</comments>
</file>

<file path=xl/comments21.xml><?xml version="1.0" encoding="utf-8"?>
<comments xmlns="http://schemas.openxmlformats.org/spreadsheetml/2006/main">
  <authors>
    <author>Gabriel Krotkov (student LM)</author>
  </authors>
  <commentList>
    <comment ref="P29" authorId="0">
      <text>
        <r>
          <rPr>
            <b/>
            <sz val="9"/>
            <color indexed="81"/>
            <rFont val="Tahoma"/>
            <family val="2"/>
          </rPr>
          <t>Gabriel Krotkov (student LM):</t>
        </r>
        <r>
          <rPr>
            <sz val="9"/>
            <color indexed="81"/>
            <rFont val="Tahoma"/>
            <family val="2"/>
          </rPr>
          <t xml:space="preserve">
kPa of their alliance if the robot scored fuel in teleop that match.</t>
        </r>
      </text>
    </comment>
  </commentList>
</comments>
</file>

<file path=xl/comments22.xml><?xml version="1.0" encoding="utf-8"?>
<comments xmlns="http://schemas.openxmlformats.org/spreadsheetml/2006/main">
  <authors>
    <author>Gabriel Krotkov (student LM)</author>
  </authors>
  <commentList>
    <comment ref="P29" authorId="0">
      <text>
        <r>
          <rPr>
            <b/>
            <sz val="9"/>
            <color indexed="81"/>
            <rFont val="Tahoma"/>
            <family val="2"/>
          </rPr>
          <t>Gabriel Krotkov (student LM):</t>
        </r>
        <r>
          <rPr>
            <sz val="9"/>
            <color indexed="81"/>
            <rFont val="Tahoma"/>
            <family val="2"/>
          </rPr>
          <t xml:space="preserve">
kPa of their alliance if the robot scored fuel in teleop that match.</t>
        </r>
      </text>
    </comment>
  </commentList>
</comments>
</file>

<file path=xl/comments23.xml><?xml version="1.0" encoding="utf-8"?>
<comments xmlns="http://schemas.openxmlformats.org/spreadsheetml/2006/main">
  <authors>
    <author>Gabriel Krotkov (student LM)</author>
  </authors>
  <commentList>
    <comment ref="P29" authorId="0">
      <text>
        <r>
          <rPr>
            <b/>
            <sz val="9"/>
            <color indexed="81"/>
            <rFont val="Tahoma"/>
            <family val="2"/>
          </rPr>
          <t>Gabriel Krotkov (student LM):</t>
        </r>
        <r>
          <rPr>
            <sz val="9"/>
            <color indexed="81"/>
            <rFont val="Tahoma"/>
            <family val="2"/>
          </rPr>
          <t xml:space="preserve">
kPa of their alliance if the robot scored fuel in teleop that match.</t>
        </r>
      </text>
    </comment>
  </commentList>
</comments>
</file>

<file path=xl/comments24.xml><?xml version="1.0" encoding="utf-8"?>
<comments xmlns="http://schemas.openxmlformats.org/spreadsheetml/2006/main">
  <authors>
    <author>Gabriel Krotkov (student LM)</author>
  </authors>
  <commentList>
    <comment ref="P29" authorId="0">
      <text>
        <r>
          <rPr>
            <b/>
            <sz val="9"/>
            <color indexed="81"/>
            <rFont val="Tahoma"/>
            <family val="2"/>
          </rPr>
          <t>Gabriel Krotkov (student LM):</t>
        </r>
        <r>
          <rPr>
            <sz val="9"/>
            <color indexed="81"/>
            <rFont val="Tahoma"/>
            <family val="2"/>
          </rPr>
          <t xml:space="preserve">
kPa of their alliance if the robot scored fuel in teleop that match.</t>
        </r>
      </text>
    </comment>
  </commentList>
</comments>
</file>

<file path=xl/comments25.xml><?xml version="1.0" encoding="utf-8"?>
<comments xmlns="http://schemas.openxmlformats.org/spreadsheetml/2006/main">
  <authors>
    <author>Gabriel Krotkov (student LM)</author>
  </authors>
  <commentList>
    <comment ref="P29" authorId="0">
      <text>
        <r>
          <rPr>
            <b/>
            <sz val="9"/>
            <color indexed="81"/>
            <rFont val="Tahoma"/>
            <family val="2"/>
          </rPr>
          <t>Gabriel Krotkov (student LM):</t>
        </r>
        <r>
          <rPr>
            <sz val="9"/>
            <color indexed="81"/>
            <rFont val="Tahoma"/>
            <family val="2"/>
          </rPr>
          <t xml:space="preserve">
kPa of their alliance if the robot scored fuel in teleop that match.</t>
        </r>
      </text>
    </comment>
  </commentList>
</comments>
</file>

<file path=xl/comments26.xml><?xml version="1.0" encoding="utf-8"?>
<comments xmlns="http://schemas.openxmlformats.org/spreadsheetml/2006/main">
  <authors>
    <author>Gabriel Krotkov (student LM)</author>
  </authors>
  <commentList>
    <comment ref="P29" authorId="0">
      <text>
        <r>
          <rPr>
            <b/>
            <sz val="9"/>
            <color indexed="81"/>
            <rFont val="Tahoma"/>
            <family val="2"/>
          </rPr>
          <t>Gabriel Krotkov (student LM):</t>
        </r>
        <r>
          <rPr>
            <sz val="9"/>
            <color indexed="81"/>
            <rFont val="Tahoma"/>
            <family val="2"/>
          </rPr>
          <t xml:space="preserve">
kPa of their alliance if the robot scored fuel in teleop that match.</t>
        </r>
      </text>
    </comment>
  </commentList>
</comments>
</file>

<file path=xl/comments27.xml><?xml version="1.0" encoding="utf-8"?>
<comments xmlns="http://schemas.openxmlformats.org/spreadsheetml/2006/main">
  <authors>
    <author>Gabriel Krotkov (student LM)</author>
  </authors>
  <commentList>
    <comment ref="P29" authorId="0">
      <text>
        <r>
          <rPr>
            <b/>
            <sz val="9"/>
            <color indexed="81"/>
            <rFont val="Tahoma"/>
            <family val="2"/>
          </rPr>
          <t>Gabriel Krotkov (student LM):</t>
        </r>
        <r>
          <rPr>
            <sz val="9"/>
            <color indexed="81"/>
            <rFont val="Tahoma"/>
            <family val="2"/>
          </rPr>
          <t xml:space="preserve">
kPa of their alliance if the robot scored fuel in teleop that match.</t>
        </r>
      </text>
    </comment>
  </commentList>
</comments>
</file>

<file path=xl/comments28.xml><?xml version="1.0" encoding="utf-8"?>
<comments xmlns="http://schemas.openxmlformats.org/spreadsheetml/2006/main">
  <authors>
    <author>Gabriel Krotkov (student LM)</author>
  </authors>
  <commentList>
    <comment ref="P29" authorId="0">
      <text>
        <r>
          <rPr>
            <b/>
            <sz val="9"/>
            <color indexed="81"/>
            <rFont val="Tahoma"/>
            <family val="2"/>
          </rPr>
          <t>Gabriel Krotkov (student LM):</t>
        </r>
        <r>
          <rPr>
            <sz val="9"/>
            <color indexed="81"/>
            <rFont val="Tahoma"/>
            <family val="2"/>
          </rPr>
          <t xml:space="preserve">
kPa of their alliance if the robot scored fuel in teleop that match.</t>
        </r>
      </text>
    </comment>
  </commentList>
</comments>
</file>

<file path=xl/comments29.xml><?xml version="1.0" encoding="utf-8"?>
<comments xmlns="http://schemas.openxmlformats.org/spreadsheetml/2006/main">
  <authors>
    <author>Gabriel Krotkov (student LM)</author>
  </authors>
  <commentList>
    <comment ref="P29" authorId="0">
      <text>
        <r>
          <rPr>
            <b/>
            <sz val="9"/>
            <color indexed="81"/>
            <rFont val="Tahoma"/>
            <family val="2"/>
          </rPr>
          <t>Gabriel Krotkov (student LM):</t>
        </r>
        <r>
          <rPr>
            <sz val="9"/>
            <color indexed="81"/>
            <rFont val="Tahoma"/>
            <family val="2"/>
          </rPr>
          <t xml:space="preserve">
kPa of their alliance if the robot scored fuel in teleop that match.</t>
        </r>
      </text>
    </comment>
  </commentList>
</comments>
</file>

<file path=xl/comments30.xml><?xml version="1.0" encoding="utf-8"?>
<comments xmlns="http://schemas.openxmlformats.org/spreadsheetml/2006/main">
  <authors>
    <author>Gabriel Krotkov (student LM)</author>
  </authors>
  <commentList>
    <comment ref="P29" authorId="0">
      <text>
        <r>
          <rPr>
            <b/>
            <sz val="9"/>
            <color indexed="81"/>
            <rFont val="Tahoma"/>
            <family val="2"/>
          </rPr>
          <t>Gabriel Krotkov (student LM):</t>
        </r>
        <r>
          <rPr>
            <sz val="9"/>
            <color indexed="81"/>
            <rFont val="Tahoma"/>
            <family val="2"/>
          </rPr>
          <t xml:space="preserve">
kPa of their alliance if the robot scored fuel in teleop that match.</t>
        </r>
      </text>
    </comment>
  </commentList>
</comments>
</file>

<file path=xl/comments31.xml><?xml version="1.0" encoding="utf-8"?>
<comments xmlns="http://schemas.openxmlformats.org/spreadsheetml/2006/main">
  <authors>
    <author>Gabriel Krotkov (student LM)</author>
  </authors>
  <commentList>
    <comment ref="P29" authorId="0">
      <text>
        <r>
          <rPr>
            <b/>
            <sz val="9"/>
            <color indexed="81"/>
            <rFont val="Tahoma"/>
            <family val="2"/>
          </rPr>
          <t>Gabriel Krotkov (student LM):</t>
        </r>
        <r>
          <rPr>
            <sz val="9"/>
            <color indexed="81"/>
            <rFont val="Tahoma"/>
            <family val="2"/>
          </rPr>
          <t xml:space="preserve">
kPa of their alliance if the robot scored fuel in teleop that match.</t>
        </r>
      </text>
    </comment>
  </commentList>
</comments>
</file>

<file path=xl/comments32.xml><?xml version="1.0" encoding="utf-8"?>
<comments xmlns="http://schemas.openxmlformats.org/spreadsheetml/2006/main">
  <authors>
    <author>Gabriel Krotkov (student LM)</author>
  </authors>
  <commentList>
    <comment ref="P29" authorId="0">
      <text>
        <r>
          <rPr>
            <b/>
            <sz val="9"/>
            <color indexed="81"/>
            <rFont val="Tahoma"/>
            <family val="2"/>
          </rPr>
          <t>Gabriel Krotkov (student LM):</t>
        </r>
        <r>
          <rPr>
            <sz val="9"/>
            <color indexed="81"/>
            <rFont val="Tahoma"/>
            <family val="2"/>
          </rPr>
          <t xml:space="preserve">
kPa of their alliance if the robot scored fuel in teleop that match.</t>
        </r>
      </text>
    </comment>
  </commentList>
</comments>
</file>

<file path=xl/comments33.xml><?xml version="1.0" encoding="utf-8"?>
<comments xmlns="http://schemas.openxmlformats.org/spreadsheetml/2006/main">
  <authors>
    <author>Gabriel Krotkov (student LM)</author>
  </authors>
  <commentList>
    <comment ref="P29" authorId="0">
      <text>
        <r>
          <rPr>
            <b/>
            <sz val="9"/>
            <color indexed="81"/>
            <rFont val="Tahoma"/>
            <family val="2"/>
          </rPr>
          <t>Gabriel Krotkov (student LM):</t>
        </r>
        <r>
          <rPr>
            <sz val="9"/>
            <color indexed="81"/>
            <rFont val="Tahoma"/>
            <family val="2"/>
          </rPr>
          <t xml:space="preserve">
kPa of their alliance if the robot scored fuel in teleop that match.</t>
        </r>
      </text>
    </comment>
  </commentList>
</comments>
</file>

<file path=xl/comments34.xml><?xml version="1.0" encoding="utf-8"?>
<comments xmlns="http://schemas.openxmlformats.org/spreadsheetml/2006/main">
  <authors>
    <author>Gabriel Krotkov (student LM)</author>
  </authors>
  <commentList>
    <comment ref="P29" authorId="0">
      <text>
        <r>
          <rPr>
            <b/>
            <sz val="9"/>
            <color indexed="81"/>
            <rFont val="Tahoma"/>
            <family val="2"/>
          </rPr>
          <t>Gabriel Krotkov (student LM):</t>
        </r>
        <r>
          <rPr>
            <sz val="9"/>
            <color indexed="81"/>
            <rFont val="Tahoma"/>
            <family val="2"/>
          </rPr>
          <t xml:space="preserve">
kPa of their alliance if the robot scored fuel in teleop that match.</t>
        </r>
      </text>
    </comment>
  </commentList>
</comments>
</file>

<file path=xl/comments35.xml><?xml version="1.0" encoding="utf-8"?>
<comments xmlns="http://schemas.openxmlformats.org/spreadsheetml/2006/main">
  <authors>
    <author>Gabriel Krotkov (student LM)</author>
  </authors>
  <commentList>
    <comment ref="P29" authorId="0">
      <text>
        <r>
          <rPr>
            <b/>
            <sz val="9"/>
            <color indexed="81"/>
            <rFont val="Tahoma"/>
            <family val="2"/>
          </rPr>
          <t>Gabriel Krotkov (student LM):</t>
        </r>
        <r>
          <rPr>
            <sz val="9"/>
            <color indexed="81"/>
            <rFont val="Tahoma"/>
            <family val="2"/>
          </rPr>
          <t xml:space="preserve">
kPa of their alliance if the robot scored fuel in teleop that match.</t>
        </r>
      </text>
    </comment>
  </commentList>
</comments>
</file>

<file path=xl/comments36.xml><?xml version="1.0" encoding="utf-8"?>
<comments xmlns="http://schemas.openxmlformats.org/spreadsheetml/2006/main">
  <authors>
    <author>Gabriel Krotkov (student LM)</author>
  </authors>
  <commentList>
    <comment ref="P29" authorId="0">
      <text>
        <r>
          <rPr>
            <b/>
            <sz val="9"/>
            <color indexed="81"/>
            <rFont val="Tahoma"/>
            <family val="2"/>
          </rPr>
          <t>Gabriel Krotkov (student LM):</t>
        </r>
        <r>
          <rPr>
            <sz val="9"/>
            <color indexed="81"/>
            <rFont val="Tahoma"/>
            <family val="2"/>
          </rPr>
          <t xml:space="preserve">
kPa of their alliance if the robot scored fuel in teleop that match.</t>
        </r>
      </text>
    </comment>
  </commentList>
</comments>
</file>

<file path=xl/comments37.xml><?xml version="1.0" encoding="utf-8"?>
<comments xmlns="http://schemas.openxmlformats.org/spreadsheetml/2006/main">
  <authors>
    <author>Gabriel Krotkov (student LM)</author>
  </authors>
  <commentList>
    <comment ref="P29" authorId="0">
      <text>
        <r>
          <rPr>
            <b/>
            <sz val="9"/>
            <color indexed="81"/>
            <rFont val="Tahoma"/>
            <family val="2"/>
          </rPr>
          <t>Gabriel Krotkov (student LM):</t>
        </r>
        <r>
          <rPr>
            <sz val="9"/>
            <color indexed="81"/>
            <rFont val="Tahoma"/>
            <family val="2"/>
          </rPr>
          <t xml:space="preserve">
kPa of their alliance if the robot scored fuel in teleop that match.</t>
        </r>
      </text>
    </comment>
  </commentList>
</comments>
</file>

<file path=xl/comments38.xml><?xml version="1.0" encoding="utf-8"?>
<comments xmlns="http://schemas.openxmlformats.org/spreadsheetml/2006/main">
  <authors>
    <author>Gabriel Krotkov (student LM)</author>
  </authors>
  <commentList>
    <comment ref="P29" authorId="0">
      <text>
        <r>
          <rPr>
            <b/>
            <sz val="9"/>
            <color indexed="81"/>
            <rFont val="Tahoma"/>
            <family val="2"/>
          </rPr>
          <t>Gabriel Krotkov (student LM):</t>
        </r>
        <r>
          <rPr>
            <sz val="9"/>
            <color indexed="81"/>
            <rFont val="Tahoma"/>
            <family val="2"/>
          </rPr>
          <t xml:space="preserve">
kPa of their alliance if the robot scored fuel in teleop that match.</t>
        </r>
      </text>
    </comment>
    <comment ref="AH64" authorId="0">
      <text>
        <r>
          <rPr>
            <b/>
            <sz val="9"/>
            <color indexed="81"/>
            <rFont val="Tahoma"/>
            <family val="2"/>
          </rPr>
          <t>Gabriel Krotkov (student LM):</t>
        </r>
        <r>
          <rPr>
            <sz val="9"/>
            <color indexed="81"/>
            <rFont val="Tahoma"/>
            <family val="2"/>
          </rPr>
          <t xml:space="preserve">
kPa of their alliance if the robot scored fuel in teleop that match.</t>
        </r>
      </text>
    </comment>
  </commentList>
</comments>
</file>

<file path=xl/comments39.xml><?xml version="1.0" encoding="utf-8"?>
<comments xmlns="http://schemas.openxmlformats.org/spreadsheetml/2006/main">
  <authors>
    <author>Gabriel Krotkov (student LM)</author>
  </authors>
  <commentList>
    <comment ref="P29" authorId="0">
      <text>
        <r>
          <rPr>
            <b/>
            <sz val="9"/>
            <color indexed="81"/>
            <rFont val="Tahoma"/>
            <family val="2"/>
          </rPr>
          <t>Gabriel Krotkov (student LM):</t>
        </r>
        <r>
          <rPr>
            <sz val="9"/>
            <color indexed="81"/>
            <rFont val="Tahoma"/>
            <family val="2"/>
          </rPr>
          <t xml:space="preserve">
kPa of their alliance if the robot scored fuel in teleop that match.</t>
        </r>
      </text>
    </comment>
  </commentList>
</comments>
</file>

<file path=xl/comments40.xml><?xml version="1.0" encoding="utf-8"?>
<comments xmlns="http://schemas.openxmlformats.org/spreadsheetml/2006/main">
  <authors>
    <author>Gabriel Krotkov (student LM)</author>
  </authors>
  <commentList>
    <comment ref="P29" authorId="0">
      <text>
        <r>
          <rPr>
            <b/>
            <sz val="9"/>
            <color indexed="81"/>
            <rFont val="Tahoma"/>
            <family val="2"/>
          </rPr>
          <t>Gabriel Krotkov (student LM):</t>
        </r>
        <r>
          <rPr>
            <sz val="9"/>
            <color indexed="81"/>
            <rFont val="Tahoma"/>
            <family val="2"/>
          </rPr>
          <t xml:space="preserve">
kPa of their alliance if the robot scored fuel in teleop that match.</t>
        </r>
      </text>
    </comment>
  </commentList>
</comments>
</file>

<file path=xl/comments41.xml><?xml version="1.0" encoding="utf-8"?>
<comments xmlns="http://schemas.openxmlformats.org/spreadsheetml/2006/main">
  <authors>
    <author>Gabriel Krotkov (student LM)</author>
  </authors>
  <commentList>
    <comment ref="P29" authorId="0">
      <text>
        <r>
          <rPr>
            <b/>
            <sz val="9"/>
            <color indexed="81"/>
            <rFont val="Tahoma"/>
            <family val="2"/>
          </rPr>
          <t>Gabriel Krotkov (student LM):</t>
        </r>
        <r>
          <rPr>
            <sz val="9"/>
            <color indexed="81"/>
            <rFont val="Tahoma"/>
            <family val="2"/>
          </rPr>
          <t xml:space="preserve">
kPa of their alliance if the robot scored fuel in teleop that match.</t>
        </r>
      </text>
    </comment>
  </commentList>
</comments>
</file>

<file path=xl/comments42.xml><?xml version="1.0" encoding="utf-8"?>
<comments xmlns="http://schemas.openxmlformats.org/spreadsheetml/2006/main">
  <authors>
    <author>Gabriel Krotkov (student LM)</author>
  </authors>
  <commentList>
    <comment ref="P29" authorId="0">
      <text>
        <r>
          <rPr>
            <b/>
            <sz val="9"/>
            <color indexed="81"/>
            <rFont val="Tahoma"/>
            <family val="2"/>
          </rPr>
          <t>Gabriel Krotkov (student LM):</t>
        </r>
        <r>
          <rPr>
            <sz val="9"/>
            <color indexed="81"/>
            <rFont val="Tahoma"/>
            <family val="2"/>
          </rPr>
          <t xml:space="preserve">
kPa of their alliance if the robot scored fuel in teleop that match.</t>
        </r>
      </text>
    </comment>
  </commentList>
</comments>
</file>

<file path=xl/comments43.xml><?xml version="1.0" encoding="utf-8"?>
<comments xmlns="http://schemas.openxmlformats.org/spreadsheetml/2006/main">
  <authors>
    <author>Gabriel Krotkov (student LM)</author>
  </authors>
  <commentList>
    <comment ref="P29" authorId="0">
      <text>
        <r>
          <rPr>
            <b/>
            <sz val="9"/>
            <color indexed="81"/>
            <rFont val="Tahoma"/>
            <family val="2"/>
          </rPr>
          <t>Gabriel Krotkov (student LM):</t>
        </r>
        <r>
          <rPr>
            <sz val="9"/>
            <color indexed="81"/>
            <rFont val="Tahoma"/>
            <family val="2"/>
          </rPr>
          <t xml:space="preserve">
kPa of their alliance if the robot scored fuel in teleop that match.</t>
        </r>
      </text>
    </comment>
  </commentList>
</comments>
</file>

<file path=xl/comments44.xml><?xml version="1.0" encoding="utf-8"?>
<comments xmlns="http://schemas.openxmlformats.org/spreadsheetml/2006/main">
  <authors>
    <author>Gabriel Krotkov (student LM)</author>
  </authors>
  <commentList>
    <comment ref="P29" authorId="0">
      <text>
        <r>
          <rPr>
            <b/>
            <sz val="9"/>
            <color indexed="81"/>
            <rFont val="Tahoma"/>
            <family val="2"/>
          </rPr>
          <t>Gabriel Krotkov (student LM):</t>
        </r>
        <r>
          <rPr>
            <sz val="9"/>
            <color indexed="81"/>
            <rFont val="Tahoma"/>
            <family val="2"/>
          </rPr>
          <t xml:space="preserve">
kPa of their alliance if the robot scored fuel in teleop that match.</t>
        </r>
      </text>
    </comment>
  </commentList>
</comments>
</file>

<file path=xl/comments45.xml><?xml version="1.0" encoding="utf-8"?>
<comments xmlns="http://schemas.openxmlformats.org/spreadsheetml/2006/main">
  <authors>
    <author>Gabriel Krotkov (student LM)</author>
  </authors>
  <commentList>
    <comment ref="P29" authorId="0">
      <text>
        <r>
          <rPr>
            <b/>
            <sz val="9"/>
            <color indexed="81"/>
            <rFont val="Tahoma"/>
            <family val="2"/>
          </rPr>
          <t>Gabriel Krotkov (student LM):</t>
        </r>
        <r>
          <rPr>
            <sz val="9"/>
            <color indexed="81"/>
            <rFont val="Tahoma"/>
            <family val="2"/>
          </rPr>
          <t xml:space="preserve">
kPa of their alliance if the robot scored fuel in teleop that match.</t>
        </r>
      </text>
    </comment>
  </commentList>
</comments>
</file>

<file path=xl/comments46.xml><?xml version="1.0" encoding="utf-8"?>
<comments xmlns="http://schemas.openxmlformats.org/spreadsheetml/2006/main">
  <authors>
    <author>Gabriel Krotkov (student LM)</author>
  </authors>
  <commentList>
    <comment ref="P29" authorId="0">
      <text>
        <r>
          <rPr>
            <b/>
            <sz val="9"/>
            <color indexed="81"/>
            <rFont val="Tahoma"/>
            <family val="2"/>
          </rPr>
          <t>Gabriel Krotkov (student LM):</t>
        </r>
        <r>
          <rPr>
            <sz val="9"/>
            <color indexed="81"/>
            <rFont val="Tahoma"/>
            <family val="2"/>
          </rPr>
          <t xml:space="preserve">
kPa of their alliance if the robot scored fuel in teleop that match.</t>
        </r>
      </text>
    </comment>
  </commentList>
</comments>
</file>

<file path=xl/comments47.xml><?xml version="1.0" encoding="utf-8"?>
<comments xmlns="http://schemas.openxmlformats.org/spreadsheetml/2006/main">
  <authors>
    <author>Gabriel Krotkov (student LM)</author>
  </authors>
  <commentList>
    <comment ref="P29" authorId="0">
      <text>
        <r>
          <rPr>
            <b/>
            <sz val="9"/>
            <color indexed="81"/>
            <rFont val="Tahoma"/>
            <family val="2"/>
          </rPr>
          <t>Gabriel Krotkov (student LM):</t>
        </r>
        <r>
          <rPr>
            <sz val="9"/>
            <color indexed="81"/>
            <rFont val="Tahoma"/>
            <family val="2"/>
          </rPr>
          <t xml:space="preserve">
kPa of their alliance if the robot scored fuel in teleop that match.</t>
        </r>
      </text>
    </comment>
  </commentList>
</comments>
</file>

<file path=xl/comments48.xml><?xml version="1.0" encoding="utf-8"?>
<comments xmlns="http://schemas.openxmlformats.org/spreadsheetml/2006/main">
  <authors>
    <author>Gabriel Krotkov (student LM)</author>
  </authors>
  <commentList>
    <comment ref="P29" authorId="0">
      <text>
        <r>
          <rPr>
            <b/>
            <sz val="9"/>
            <color indexed="81"/>
            <rFont val="Tahoma"/>
            <family val="2"/>
          </rPr>
          <t>Gabriel Krotkov (student LM):</t>
        </r>
        <r>
          <rPr>
            <sz val="9"/>
            <color indexed="81"/>
            <rFont val="Tahoma"/>
            <family val="2"/>
          </rPr>
          <t xml:space="preserve">
kPa of their alliance if the robot scored fuel in teleop that match.</t>
        </r>
      </text>
    </comment>
  </commentList>
</comments>
</file>

<file path=xl/comments49.xml><?xml version="1.0" encoding="utf-8"?>
<comments xmlns="http://schemas.openxmlformats.org/spreadsheetml/2006/main">
  <authors>
    <author>Gabriel Krotkov (student LM)</author>
  </authors>
  <commentList>
    <comment ref="P29" authorId="0">
      <text>
        <r>
          <rPr>
            <b/>
            <sz val="9"/>
            <color indexed="81"/>
            <rFont val="Tahoma"/>
            <family val="2"/>
          </rPr>
          <t>Gabriel Krotkov (student LM):</t>
        </r>
        <r>
          <rPr>
            <sz val="9"/>
            <color indexed="81"/>
            <rFont val="Tahoma"/>
            <family val="2"/>
          </rPr>
          <t xml:space="preserve">
kPa of their alliance if the robot scored fuel in teleop that match.</t>
        </r>
      </text>
    </comment>
  </commentList>
</comments>
</file>

<file path=xl/comments50.xml><?xml version="1.0" encoding="utf-8"?>
<comments xmlns="http://schemas.openxmlformats.org/spreadsheetml/2006/main">
  <authors>
    <author>Gabriel Krotkov (student LM)</author>
  </authors>
  <commentList>
    <comment ref="P29" authorId="0">
      <text>
        <r>
          <rPr>
            <b/>
            <sz val="9"/>
            <color indexed="81"/>
            <rFont val="Tahoma"/>
            <family val="2"/>
          </rPr>
          <t>Gabriel Krotkov (student LM):</t>
        </r>
        <r>
          <rPr>
            <sz val="9"/>
            <color indexed="81"/>
            <rFont val="Tahoma"/>
            <family val="2"/>
          </rPr>
          <t xml:space="preserve">
kPa of their alliance if the robot scored fuel in teleop that match.</t>
        </r>
      </text>
    </comment>
  </commentList>
</comments>
</file>

<file path=xl/comments51.xml><?xml version="1.0" encoding="utf-8"?>
<comments xmlns="http://schemas.openxmlformats.org/spreadsheetml/2006/main">
  <authors>
    <author>Gabriel Krotkov (student LM)</author>
  </authors>
  <commentList>
    <comment ref="P29" authorId="0">
      <text>
        <r>
          <rPr>
            <b/>
            <sz val="9"/>
            <color indexed="81"/>
            <rFont val="Tahoma"/>
            <family val="2"/>
          </rPr>
          <t>Gabriel Krotkov (student LM):</t>
        </r>
        <r>
          <rPr>
            <sz val="9"/>
            <color indexed="81"/>
            <rFont val="Tahoma"/>
            <family val="2"/>
          </rPr>
          <t xml:space="preserve">
kPa of their alliance if the robot scored fuel in teleop that match.</t>
        </r>
      </text>
    </comment>
  </commentList>
</comments>
</file>

<file path=xl/comments52.xml><?xml version="1.0" encoding="utf-8"?>
<comments xmlns="http://schemas.openxmlformats.org/spreadsheetml/2006/main">
  <authors>
    <author>Gabriel Krotkov (student LM)</author>
  </authors>
  <commentList>
    <comment ref="P29" authorId="0">
      <text>
        <r>
          <rPr>
            <b/>
            <sz val="9"/>
            <color indexed="81"/>
            <rFont val="Tahoma"/>
            <family val="2"/>
          </rPr>
          <t>Gabriel Krotkov (student LM):</t>
        </r>
        <r>
          <rPr>
            <sz val="9"/>
            <color indexed="81"/>
            <rFont val="Tahoma"/>
            <family val="2"/>
          </rPr>
          <t xml:space="preserve">
kPa of their alliance if the robot scored fuel in teleop that match.</t>
        </r>
      </text>
    </comment>
  </commentList>
</comments>
</file>

<file path=xl/comments53.xml><?xml version="1.0" encoding="utf-8"?>
<comments xmlns="http://schemas.openxmlformats.org/spreadsheetml/2006/main">
  <authors>
    <author>Gabriel Krotkov (student LM)</author>
  </authors>
  <commentList>
    <comment ref="P29" authorId="0">
      <text>
        <r>
          <rPr>
            <b/>
            <sz val="9"/>
            <color indexed="81"/>
            <rFont val="Tahoma"/>
            <family val="2"/>
          </rPr>
          <t>Gabriel Krotkov (student LM):</t>
        </r>
        <r>
          <rPr>
            <sz val="9"/>
            <color indexed="81"/>
            <rFont val="Tahoma"/>
            <family val="2"/>
          </rPr>
          <t xml:space="preserve">
kPa of their alliance if the robot scored fuel in teleop that match.</t>
        </r>
      </text>
    </comment>
  </commentList>
</comments>
</file>

<file path=xl/comments54.xml><?xml version="1.0" encoding="utf-8"?>
<comments xmlns="http://schemas.openxmlformats.org/spreadsheetml/2006/main">
  <authors>
    <author>Gabriel Krotkov (student LM)</author>
  </authors>
  <commentList>
    <comment ref="P29" authorId="0">
      <text>
        <r>
          <rPr>
            <b/>
            <sz val="9"/>
            <color indexed="81"/>
            <rFont val="Tahoma"/>
            <family val="2"/>
          </rPr>
          <t>Gabriel Krotkov (student LM):</t>
        </r>
        <r>
          <rPr>
            <sz val="9"/>
            <color indexed="81"/>
            <rFont val="Tahoma"/>
            <family val="2"/>
          </rPr>
          <t xml:space="preserve">
kPa of their alliance if the robot scored fuel in teleop that match.</t>
        </r>
      </text>
    </comment>
  </commentList>
</comments>
</file>

<file path=xl/comments55.xml><?xml version="1.0" encoding="utf-8"?>
<comments xmlns="http://schemas.openxmlformats.org/spreadsheetml/2006/main">
  <authors>
    <author>Gabriel Krotkov (student LM)</author>
  </authors>
  <commentList>
    <comment ref="P29" authorId="0">
      <text>
        <r>
          <rPr>
            <b/>
            <sz val="9"/>
            <color indexed="81"/>
            <rFont val="Tahoma"/>
            <family val="2"/>
          </rPr>
          <t>Gabriel Krotkov (student LM):</t>
        </r>
        <r>
          <rPr>
            <sz val="9"/>
            <color indexed="81"/>
            <rFont val="Tahoma"/>
            <family val="2"/>
          </rPr>
          <t xml:space="preserve">
kPa of their alliance if the robot scored fuel in teleop that match.</t>
        </r>
      </text>
    </comment>
  </commentList>
</comments>
</file>

<file path=xl/comments56.xml><?xml version="1.0" encoding="utf-8"?>
<comments xmlns="http://schemas.openxmlformats.org/spreadsheetml/2006/main">
  <authors>
    <author>Gabriel Krotkov (student LM)</author>
  </authors>
  <commentList>
    <comment ref="P29" authorId="0">
      <text>
        <r>
          <rPr>
            <b/>
            <sz val="9"/>
            <color indexed="81"/>
            <rFont val="Tahoma"/>
            <family val="2"/>
          </rPr>
          <t>Gabriel Krotkov (student LM):</t>
        </r>
        <r>
          <rPr>
            <sz val="9"/>
            <color indexed="81"/>
            <rFont val="Tahoma"/>
            <family val="2"/>
          </rPr>
          <t xml:space="preserve">
kPa of their alliance if the robot scored fuel in teleop that match.</t>
        </r>
      </text>
    </comment>
  </commentList>
</comments>
</file>

<file path=xl/comments57.xml><?xml version="1.0" encoding="utf-8"?>
<comments xmlns="http://schemas.openxmlformats.org/spreadsheetml/2006/main">
  <authors>
    <author>Gabriel Krotkov (student LM)</author>
  </authors>
  <commentList>
    <comment ref="P29" authorId="0">
      <text>
        <r>
          <rPr>
            <b/>
            <sz val="9"/>
            <color indexed="81"/>
            <rFont val="Tahoma"/>
            <family val="2"/>
          </rPr>
          <t>Gabriel Krotkov (student LM):</t>
        </r>
        <r>
          <rPr>
            <sz val="9"/>
            <color indexed="81"/>
            <rFont val="Tahoma"/>
            <family val="2"/>
          </rPr>
          <t xml:space="preserve">
kPa of their alliance if the robot scored fuel in teleop that match.</t>
        </r>
      </text>
    </comment>
  </commentList>
</comments>
</file>

<file path=xl/comments58.xml><?xml version="1.0" encoding="utf-8"?>
<comments xmlns="http://schemas.openxmlformats.org/spreadsheetml/2006/main">
  <authors>
    <author>Gabriel Krotkov (student LM)</author>
  </authors>
  <commentList>
    <comment ref="P29" authorId="0">
      <text>
        <r>
          <rPr>
            <b/>
            <sz val="9"/>
            <color indexed="81"/>
            <rFont val="Tahoma"/>
            <family val="2"/>
          </rPr>
          <t>Gabriel Krotkov (student LM):</t>
        </r>
        <r>
          <rPr>
            <sz val="9"/>
            <color indexed="81"/>
            <rFont val="Tahoma"/>
            <family val="2"/>
          </rPr>
          <t xml:space="preserve">
kPa of their alliance if the robot scored fuel in teleop that match.</t>
        </r>
      </text>
    </comment>
  </commentList>
</comments>
</file>

<file path=xl/comments59.xml><?xml version="1.0" encoding="utf-8"?>
<comments xmlns="http://schemas.openxmlformats.org/spreadsheetml/2006/main">
  <authors>
    <author>Gabriel Krotkov (student LM)</author>
  </authors>
  <commentList>
    <comment ref="P29" authorId="0">
      <text>
        <r>
          <rPr>
            <b/>
            <sz val="9"/>
            <color indexed="81"/>
            <rFont val="Tahoma"/>
            <family val="2"/>
          </rPr>
          <t>Gabriel Krotkov (student LM):</t>
        </r>
        <r>
          <rPr>
            <sz val="9"/>
            <color indexed="81"/>
            <rFont val="Tahoma"/>
            <family val="2"/>
          </rPr>
          <t xml:space="preserve">
kPa of their alliance if the robot scored fuel in teleop that match.</t>
        </r>
      </text>
    </comment>
  </commentList>
</comments>
</file>

<file path=xl/comments60.xml><?xml version="1.0" encoding="utf-8"?>
<comments xmlns="http://schemas.openxmlformats.org/spreadsheetml/2006/main">
  <authors>
    <author>Gabriel Krotkov (student LM)</author>
  </authors>
  <commentList>
    <comment ref="P29" authorId="0">
      <text>
        <r>
          <rPr>
            <b/>
            <sz val="9"/>
            <color indexed="81"/>
            <rFont val="Tahoma"/>
            <family val="2"/>
          </rPr>
          <t>Gabriel Krotkov (student LM):</t>
        </r>
        <r>
          <rPr>
            <sz val="9"/>
            <color indexed="81"/>
            <rFont val="Tahoma"/>
            <family val="2"/>
          </rPr>
          <t xml:space="preserve">
kPa of their alliance if the robot scored fuel in teleop that match.</t>
        </r>
      </text>
    </comment>
  </commentList>
</comments>
</file>

<file path=xl/comments61.xml><?xml version="1.0" encoding="utf-8"?>
<comments xmlns="http://schemas.openxmlformats.org/spreadsheetml/2006/main">
  <authors>
    <author>Gabriel Krotkov (student LM)</author>
  </authors>
  <commentList>
    <comment ref="P29" authorId="0">
      <text>
        <r>
          <rPr>
            <b/>
            <sz val="9"/>
            <color indexed="81"/>
            <rFont val="Tahoma"/>
            <family val="2"/>
          </rPr>
          <t>Gabriel Krotkov (student LM):</t>
        </r>
        <r>
          <rPr>
            <sz val="9"/>
            <color indexed="81"/>
            <rFont val="Tahoma"/>
            <family val="2"/>
          </rPr>
          <t xml:space="preserve">
kPa of their alliance if the robot scored fuel in teleop that match.</t>
        </r>
      </text>
    </comment>
  </commentList>
</comments>
</file>

<file path=xl/sharedStrings.xml><?xml version="1.0" encoding="utf-8"?>
<sst xmlns="http://schemas.openxmlformats.org/spreadsheetml/2006/main" count="12273" uniqueCount="351">
  <si>
    <t>Data Entry</t>
  </si>
  <si>
    <t>Match #</t>
  </si>
  <si>
    <t>Expected Value</t>
  </si>
  <si>
    <t>Autonomous</t>
  </si>
  <si>
    <t>Boolean</t>
  </si>
  <si>
    <t>Gears</t>
  </si>
  <si>
    <t>Int</t>
  </si>
  <si>
    <t>High Goal</t>
  </si>
  <si>
    <t>Low Goal</t>
  </si>
  <si>
    <t>Retrieval Zone</t>
  </si>
  <si>
    <t>Ground</t>
  </si>
  <si>
    <t>Gear Acquire</t>
  </si>
  <si>
    <t>Gear Score</t>
  </si>
  <si>
    <t>Gears Scored</t>
  </si>
  <si>
    <t>Fuel Acquire</t>
  </si>
  <si>
    <t>Cycles</t>
  </si>
  <si>
    <t>String Code</t>
  </si>
  <si>
    <t>Fuel Score</t>
  </si>
  <si>
    <t>Endgame</t>
  </si>
  <si>
    <t>Alliance kPa</t>
  </si>
  <si>
    <t>Code for hoppers:</t>
  </si>
  <si>
    <t>Friendly</t>
  </si>
  <si>
    <t>Neutral</t>
  </si>
  <si>
    <t>Opposing</t>
  </si>
  <si>
    <t>Code for fuel acquire:</t>
  </si>
  <si>
    <t>Hopper</t>
  </si>
  <si>
    <t>Overflow</t>
  </si>
  <si>
    <t>Return</t>
  </si>
  <si>
    <t>Sum Totals</t>
  </si>
  <si>
    <t>Auto Hoppers</t>
  </si>
  <si>
    <t>Teleop Hoppers</t>
  </si>
  <si>
    <t>Auto Hopper Count</t>
  </si>
  <si>
    <t>f</t>
  </si>
  <si>
    <t>Sums</t>
  </si>
  <si>
    <t>Teleop Hopper Count</t>
  </si>
  <si>
    <t>Opponent</t>
  </si>
  <si>
    <t>g</t>
  </si>
  <si>
    <t>h</t>
  </si>
  <si>
    <t>v</t>
  </si>
  <si>
    <t>r</t>
  </si>
  <si>
    <t>n</t>
  </si>
  <si>
    <t>o</t>
  </si>
  <si>
    <t>Fuel Cycles</t>
  </si>
  <si>
    <t>Cycle Count*</t>
  </si>
  <si>
    <t>(e.g. if they go to ground</t>
  </si>
  <si>
    <t>in cycle 1 and return in</t>
  </si>
  <si>
    <t>cycle 2, type g1; r2)</t>
  </si>
  <si>
    <t>High Goal Frequency</t>
  </si>
  <si>
    <t>Low Goal Frequency</t>
  </si>
  <si>
    <t>Auto Calculations</t>
  </si>
  <si>
    <t>Friendly Hopper Frequency</t>
  </si>
  <si>
    <t>Neutral Hopper Frequency</t>
  </si>
  <si>
    <t>Teleop Calculations</t>
  </si>
  <si>
    <t>Fuel Acquire Preferences</t>
  </si>
  <si>
    <t>Gears Attempted</t>
  </si>
  <si>
    <t>% Success Gear</t>
  </si>
  <si>
    <t xml:space="preserve">Hoppers Triggered </t>
  </si>
  <si>
    <t>Mean</t>
  </si>
  <si>
    <t>Median</t>
  </si>
  <si>
    <t>Max</t>
  </si>
  <si>
    <t>StdDev</t>
  </si>
  <si>
    <t xml:space="preserve">Median </t>
  </si>
  <si>
    <t>High Key</t>
  </si>
  <si>
    <t>High Launchpad</t>
  </si>
  <si>
    <t>Fuel Volume</t>
  </si>
  <si>
    <t>Gear Acquire - Score</t>
  </si>
  <si>
    <t>End Game Calculations</t>
  </si>
  <si>
    <t>%Success Climbing</t>
  </si>
  <si>
    <r>
      <rPr>
        <b/>
        <sz val="11"/>
        <color theme="1"/>
        <rFont val="Calibri"/>
        <family val="2"/>
        <scheme val="minor"/>
      </rPr>
      <t>Total</t>
    </r>
    <r>
      <rPr>
        <sz val="11"/>
        <color theme="1"/>
        <rFont val="Calibri"/>
        <family val="2"/>
        <scheme val="minor"/>
      </rPr>
      <t xml:space="preserve"> Hoppers Triggered Each Match</t>
    </r>
  </si>
  <si>
    <r>
      <rPr>
        <b/>
        <sz val="11"/>
        <color theme="1"/>
        <rFont val="Calibri"/>
        <family val="2"/>
        <scheme val="minor"/>
      </rPr>
      <t>Total</t>
    </r>
    <r>
      <rPr>
        <sz val="11"/>
        <color theme="1"/>
        <rFont val="Calibri"/>
        <family val="2"/>
        <scheme val="minor"/>
      </rPr>
      <t xml:space="preserve"> Gears Scored each Match</t>
    </r>
  </si>
  <si>
    <r>
      <rPr>
        <b/>
        <sz val="11"/>
        <color theme="1"/>
        <rFont val="Calibri"/>
        <family val="2"/>
        <scheme val="minor"/>
      </rPr>
      <t>Gear</t>
    </r>
    <r>
      <rPr>
        <sz val="11"/>
        <color theme="1"/>
        <rFont val="Calibri"/>
        <family val="2"/>
        <scheme val="minor"/>
      </rPr>
      <t xml:space="preserve"> PMV</t>
    </r>
  </si>
  <si>
    <t>kPa</t>
  </si>
  <si>
    <r>
      <rPr>
        <b/>
        <sz val="11"/>
        <color theme="1"/>
        <rFont val="Calibri"/>
        <family val="2"/>
        <scheme val="minor"/>
      </rPr>
      <t>Total</t>
    </r>
    <r>
      <rPr>
        <sz val="11"/>
        <color theme="1"/>
        <rFont val="Calibri"/>
        <family val="2"/>
        <scheme val="minor"/>
      </rPr>
      <t xml:space="preserve"> Low Cycles</t>
    </r>
  </si>
  <si>
    <r>
      <rPr>
        <b/>
        <sz val="11"/>
        <color theme="1"/>
        <rFont val="Calibri"/>
        <family val="2"/>
        <scheme val="minor"/>
      </rPr>
      <t>Total</t>
    </r>
    <r>
      <rPr>
        <sz val="11"/>
        <color theme="1"/>
        <rFont val="Calibri"/>
        <family val="2"/>
        <scheme val="minor"/>
      </rPr>
      <t xml:space="preserve"> Fuel Cycles</t>
    </r>
  </si>
  <si>
    <t>Scoring</t>
  </si>
  <si>
    <t>Ground Proportion</t>
  </si>
  <si>
    <t>Hopper Proportion</t>
  </si>
  <si>
    <t>Overflow Proportion</t>
  </si>
  <si>
    <t>Return Proportion</t>
  </si>
  <si>
    <t>*this formula replaces every instance of the letter we're looking for</t>
  </si>
  <si>
    <t xml:space="preserve"> with nothing and counts the length of the rest of the characters</t>
  </si>
  <si>
    <t xml:space="preserve"> in the range for fuel cycles.  Then it takes the </t>
  </si>
  <si>
    <t>length of all of the original characters in the range and subtracts</t>
  </si>
  <si>
    <t xml:space="preserve"> from that the characters in the range without the letter we're looking for.</t>
  </si>
  <si>
    <t>Calculating the number of acquire cycles done in a match</t>
  </si>
  <si>
    <t>Recording cycle numbers</t>
  </si>
  <si>
    <t>1, 2, 3, 4, 5</t>
  </si>
  <si>
    <t>Alliance Color</t>
  </si>
  <si>
    <t>r, b</t>
  </si>
  <si>
    <t>Opponent Hopper Frequency</t>
  </si>
  <si>
    <t>Teams</t>
  </si>
  <si>
    <t>Gear Mean</t>
  </si>
  <si>
    <t>Gear Median</t>
  </si>
  <si>
    <t>Gear Max</t>
  </si>
  <si>
    <t>% Climbing</t>
  </si>
  <si>
    <t>% Low Cycles</t>
  </si>
  <si>
    <t>% climbing</t>
  </si>
  <si>
    <t>Data Table</t>
  </si>
  <si>
    <t>% success Gear</t>
  </si>
  <si>
    <t>Gear median</t>
  </si>
  <si>
    <t>gear stdev</t>
  </si>
  <si>
    <t>Climbing</t>
  </si>
  <si>
    <t>Alliance Calculations</t>
  </si>
  <si>
    <t>Gear StDev</t>
  </si>
  <si>
    <t xml:space="preserve">Red </t>
  </si>
  <si>
    <t>Blue</t>
  </si>
  <si>
    <t>AutoGear</t>
  </si>
  <si>
    <t>TeleopGears</t>
  </si>
  <si>
    <t>Rotors</t>
  </si>
  <si>
    <t>AutoGears</t>
  </si>
  <si>
    <t>nested if statements</t>
  </si>
  <si>
    <t>straight addition</t>
  </si>
  <si>
    <t>AutoRotors</t>
  </si>
  <si>
    <t>GearGround</t>
  </si>
  <si>
    <t>Climbs</t>
  </si>
  <si>
    <t>Point Calculations</t>
  </si>
  <si>
    <t>AutoRotor Points</t>
  </si>
  <si>
    <t>TeleRotor Points</t>
  </si>
  <si>
    <t>Climb Points</t>
  </si>
  <si>
    <t>Fuel</t>
  </si>
  <si>
    <t>Ground Cycles</t>
  </si>
  <si>
    <t>Hopper Cycles</t>
  </si>
  <si>
    <t>Overflow Cycles</t>
  </si>
  <si>
    <t>Return Cycles</t>
  </si>
  <si>
    <t>% Low</t>
  </si>
  <si>
    <t>% High</t>
  </si>
  <si>
    <t>Other Cycles</t>
  </si>
  <si>
    <t>Mean kPa</t>
  </si>
  <si>
    <t>Stdev kPa</t>
  </si>
  <si>
    <t>kPa Mean</t>
  </si>
  <si>
    <t>kPa StDev</t>
  </si>
  <si>
    <t xml:space="preserve">This is the same equation as </t>
  </si>
  <si>
    <t>for gear stdev</t>
  </si>
  <si>
    <t>For kPa, I took the mean of the means</t>
  </si>
  <si>
    <t>Friendly Hoppers</t>
  </si>
  <si>
    <t>Neutral Hoppers</t>
  </si>
  <si>
    <t>Opponent Hoppers</t>
  </si>
  <si>
    <t>Friendly Frequency</t>
  </si>
  <si>
    <t>Neutral Frequency</t>
  </si>
  <si>
    <t>Opponent Frequency</t>
  </si>
  <si>
    <t>Fuel Points</t>
  </si>
  <si>
    <t>Total</t>
  </si>
  <si>
    <t>Acquire Preferences</t>
  </si>
  <si>
    <t>Gear Ground per match</t>
  </si>
  <si>
    <t>Retrieval Gears</t>
  </si>
  <si>
    <t>Ground Gears</t>
  </si>
  <si>
    <t>Matches Played</t>
  </si>
  <si>
    <t># Matches Played</t>
  </si>
  <si>
    <t>Contributed kPa</t>
  </si>
  <si>
    <t>Solo kPa</t>
  </si>
  <si>
    <t>Red GearXbar</t>
  </si>
  <si>
    <t>Blue GearXbar</t>
  </si>
  <si>
    <t>Red GearSE</t>
  </si>
  <si>
    <t>Blue GearSE</t>
  </si>
  <si>
    <t>kPa bonus probability</t>
  </si>
  <si>
    <t>4th Rotor Probability</t>
  </si>
  <si>
    <t>Low</t>
  </si>
  <si>
    <t>High</t>
  </si>
  <si>
    <t>Red GearCI</t>
  </si>
  <si>
    <t>Blue GearCI</t>
  </si>
  <si>
    <t>Probability</t>
  </si>
  <si>
    <t>Red FuelXbar</t>
  </si>
  <si>
    <t>Blue FuelXbar</t>
  </si>
  <si>
    <t>Red FuelSE</t>
  </si>
  <si>
    <t>Blue FuelSE</t>
  </si>
  <si>
    <t>Red FuelCI</t>
  </si>
  <si>
    <t>Blue FuelCI</t>
  </si>
  <si>
    <t>Red</t>
  </si>
  <si>
    <t>Probabilistic Modelling: Gears Base Calculations</t>
  </si>
  <si>
    <t>Probabilistic Modelling: Fuel Base Calculations</t>
  </si>
  <si>
    <t>Auto Fuel</t>
  </si>
  <si>
    <t>Gear Confidence Intervals</t>
  </si>
  <si>
    <t>Fuel Confidence Intervals</t>
  </si>
  <si>
    <t>Solo Scorer?</t>
  </si>
  <si>
    <t>Solo</t>
  </si>
  <si>
    <t>Cycles-ish</t>
  </si>
  <si>
    <t>Auto Gear Success</t>
  </si>
  <si>
    <t># Climbs</t>
  </si>
  <si>
    <t>Hoppers Teleop</t>
  </si>
  <si>
    <t>Hoppers Auto</t>
  </si>
  <si>
    <t>Gear % Success</t>
  </si>
  <si>
    <t>Attempts</t>
  </si>
  <si>
    <t>Scores</t>
  </si>
  <si>
    <t>Solo kPa Median</t>
  </si>
  <si>
    <t>Median Solo kPa</t>
  </si>
  <si>
    <t>Ally 1:</t>
  </si>
  <si>
    <t>Ally 2:</t>
  </si>
  <si>
    <t>Ally 3:</t>
  </si>
  <si>
    <t xml:space="preserve">Opponent 1: </t>
  </si>
  <si>
    <t>Opponent 2:</t>
  </si>
  <si>
    <t>Opponent 3:</t>
  </si>
  <si>
    <t>Real Low Fuel</t>
  </si>
  <si>
    <t>Real High Fuel</t>
  </si>
  <si>
    <t>Gear Maximum</t>
  </si>
  <si>
    <t>3rd Rotor Probability</t>
  </si>
  <si>
    <t># Climbs/matches</t>
  </si>
  <si>
    <t>RZ Drops</t>
  </si>
  <si>
    <t>% High Cycles</t>
  </si>
  <si>
    <t>Center Lift</t>
  </si>
  <si>
    <t>Center Lift Autos</t>
  </si>
  <si>
    <t>Side Lift Attempts</t>
  </si>
  <si>
    <t>Side Lift Climbs</t>
  </si>
  <si>
    <t>% Success w/ Center Lift</t>
  </si>
  <si>
    <t>% Success w/o Center Lift</t>
  </si>
  <si>
    <t>% Success Center</t>
  </si>
  <si>
    <t>% Success Side</t>
  </si>
  <si>
    <t>GearRetrievalSuccess</t>
  </si>
  <si>
    <t>b</t>
  </si>
  <si>
    <t>(2) died for most of match</t>
  </si>
  <si>
    <t>h1</t>
  </si>
  <si>
    <t>r1</t>
  </si>
  <si>
    <t>defense</t>
  </si>
  <si>
    <t>frequently crashed into their own teammates</t>
  </si>
  <si>
    <t>(6) could not shoot far in auto</t>
  </si>
  <si>
    <t>(7) Died thirty seconds into teleop</t>
  </si>
  <si>
    <t>(8) gear got stuck in robot-forced to play defense</t>
  </si>
  <si>
    <t>(8) Pilot at fault for auto</t>
  </si>
  <si>
    <t>(9) has ground aquire, works quite well</t>
  </si>
  <si>
    <t>g1</t>
  </si>
  <si>
    <t>(10) missed auto high</t>
  </si>
  <si>
    <t>g1; g2</t>
  </si>
  <si>
    <t>(11) got four rotors</t>
  </si>
  <si>
    <t>(12) when scoring, leaves gear on edge of pegs</t>
  </si>
  <si>
    <t>(12) ground intake only. Can slip out if pushed by another robot</t>
  </si>
  <si>
    <t>h1; r2</t>
  </si>
  <si>
    <t>(14) free climb given for touching rope in last 30 sec</t>
  </si>
  <si>
    <t>(14) disabled easily</t>
  </si>
  <si>
    <t>(15) Disabled. No obvious reason</t>
  </si>
  <si>
    <t xml:space="preserve">g1; </t>
  </si>
  <si>
    <t>disabled m2</t>
  </si>
  <si>
    <t>died for 45 secs m2</t>
  </si>
  <si>
    <t>died m3, collision</t>
  </si>
  <si>
    <t xml:space="preserve">g1; g2; </t>
  </si>
  <si>
    <t>gear stuck in with fuel m3</t>
  </si>
  <si>
    <t xml:space="preserve">h1; g2; </t>
  </si>
  <si>
    <t>drive train issue m3</t>
  </si>
  <si>
    <t>defense m3, died from collision</t>
  </si>
  <si>
    <t>disabled m3</t>
  </si>
  <si>
    <t>defense m3</t>
  </si>
  <si>
    <t>2, 4</t>
  </si>
  <si>
    <t xml:space="preserve">h1; h2; g2; </t>
  </si>
  <si>
    <t xml:space="preserve">1, 4, 5, </t>
  </si>
  <si>
    <t xml:space="preserve">h1; h2; h3; </t>
  </si>
  <si>
    <t>defense m4</t>
  </si>
  <si>
    <t>gear delivery. Fuel annoying m4</t>
  </si>
  <si>
    <t>auto gear fell off m4</t>
  </si>
  <si>
    <t>died m4</t>
  </si>
  <si>
    <t xml:space="preserve">h1; </t>
  </si>
  <si>
    <t>disabled m4</t>
  </si>
  <si>
    <t>easily pushed m3</t>
  </si>
  <si>
    <r>
      <rPr>
        <b/>
        <sz val="11"/>
        <color theme="1"/>
        <rFont val="Calibri"/>
        <family val="2"/>
        <scheme val="minor"/>
      </rPr>
      <t>Total</t>
    </r>
    <r>
      <rPr>
        <sz val="11"/>
        <color theme="1"/>
        <rFont val="Calibri"/>
        <family val="2"/>
        <scheme val="minor"/>
      </rPr>
      <t xml:space="preserve"> High Cycles</t>
    </r>
  </si>
  <si>
    <t>Gear Value</t>
  </si>
  <si>
    <t>Red GearT 12</t>
  </si>
  <si>
    <t>Blue GearT 12</t>
  </si>
  <si>
    <t>Red GearT 6</t>
  </si>
  <si>
    <t>Blue GearT 6</t>
  </si>
  <si>
    <t>g1; h1</t>
  </si>
  <si>
    <t>same as m3 in m1</t>
  </si>
  <si>
    <t>GearRetrieval%</t>
  </si>
  <si>
    <t>1, 2, 4, 5</t>
  </si>
  <si>
    <t>h1; g2; h3</t>
  </si>
  <si>
    <t>1, 2</t>
  </si>
  <si>
    <t>(40) Dropped gear from RZ, picked it back up again.</t>
  </si>
  <si>
    <t>g1; h1; h2</t>
  </si>
  <si>
    <t>g1; h1; g2; g3; g4</t>
  </si>
  <si>
    <t>(46) Attempted high goal in auto, did not score</t>
  </si>
  <si>
    <t>(47) ground intake only- very insecure</t>
  </si>
  <si>
    <t>only pre stored fuel m6</t>
  </si>
  <si>
    <t>gear drop collision m6</t>
  </si>
  <si>
    <t xml:space="preserve">3, 4, </t>
  </si>
  <si>
    <t xml:space="preserve">g1; h1; g2; h2; g3; </t>
  </si>
  <si>
    <t>missed hg auto m6</t>
  </si>
  <si>
    <t>defense (gear mech broken) m6</t>
  </si>
  <si>
    <t>gear ferry m6</t>
  </si>
  <si>
    <t>(55) Human player dragged rope into airship. Unable to climb</t>
  </si>
  <si>
    <t>h1; h2</t>
  </si>
  <si>
    <t>stuck m6</t>
  </si>
  <si>
    <t>2, 5</t>
  </si>
  <si>
    <t xml:space="preserve">g1; h1; </t>
  </si>
  <si>
    <t>(63) disabled midgame</t>
  </si>
  <si>
    <t>2, 3</t>
  </si>
  <si>
    <t>(65) Lost com? Not moving.</t>
  </si>
  <si>
    <t>h1; g1</t>
  </si>
  <si>
    <t>(69) gear fell out in auto</t>
  </si>
  <si>
    <t>g1, h1, r2, h3</t>
  </si>
  <si>
    <t>4, 5</t>
  </si>
  <si>
    <t>1, 3</t>
  </si>
  <si>
    <t>(73) yellow card for porthole violation</t>
  </si>
  <si>
    <t>Incredibly risky last 30 sec foray into opponent's launchpad in 72 (failed to get a gear but still got climb)</t>
  </si>
  <si>
    <t>(73) Disabled right before climbing - bumper violation</t>
  </si>
  <si>
    <t>(74) Gear fell out after leaving retrieval zone, before scoring</t>
  </si>
  <si>
    <t>(74) Foul for G13</t>
  </si>
  <si>
    <t>(75) pilot error cost auto rotor</t>
  </si>
  <si>
    <t>(75) dropped gear when hit</t>
  </si>
  <si>
    <t>defense m75</t>
  </si>
  <si>
    <t>h1, h2</t>
  </si>
  <si>
    <t>(76) gear dropping issues</t>
  </si>
  <si>
    <t>(76) Spent time chasing after the failed RZ acquire</t>
  </si>
  <si>
    <t>(77) a</t>
  </si>
  <si>
    <t>(77) at least one g13 foul</t>
  </si>
  <si>
    <t>At least one G13 foul</t>
  </si>
  <si>
    <t>Played defense, tried to score last (4th rotor) gear instead of climb)</t>
  </si>
  <si>
    <t>h1, g2</t>
  </si>
  <si>
    <t>(79) lost gear on impact w/5420</t>
  </si>
  <si>
    <t>(79) disabled - bumper violation (prevented climb)</t>
  </si>
  <si>
    <t>(80) comm troubles</t>
  </si>
  <si>
    <t>(9) defense</t>
  </si>
  <si>
    <t>defense m83</t>
  </si>
  <si>
    <t>got beached</t>
  </si>
  <si>
    <t>(84) ferried gears to 3974</t>
  </si>
  <si>
    <t>(85) Stuck for a while</t>
  </si>
  <si>
    <t>(87) played defense</t>
  </si>
  <si>
    <t>3, 4</t>
  </si>
  <si>
    <t>(91) wobbly</t>
  </si>
  <si>
    <t>(91) defense</t>
  </si>
  <si>
    <t>(94) disabled on impact twice</t>
  </si>
  <si>
    <t>Team</t>
  </si>
  <si>
    <t>yellow card for porthole violation</t>
  </si>
  <si>
    <t>(95) Base line auto</t>
  </si>
  <si>
    <t>(95) ground intake retrieval zone</t>
  </si>
  <si>
    <t>(98) Stopped moving in front of side peg</t>
  </si>
  <si>
    <t>(99) Attempted hopper auto</t>
  </si>
  <si>
    <t>1, 4</t>
  </si>
  <si>
    <t>(99) played a lot of defense</t>
  </si>
  <si>
    <t>(99) Played defense</t>
  </si>
  <si>
    <t>(101) Played defense then died</t>
  </si>
  <si>
    <t>g1; h1; g2; h2</t>
  </si>
  <si>
    <t>(102) Pilot dropped gear in auto. Then played defense</t>
  </si>
  <si>
    <t>(102) Gear dropped by pilot. Impatient robot/driver</t>
  </si>
  <si>
    <t>(103) Died, collision</t>
  </si>
  <si>
    <t>h1; h2; g3</t>
  </si>
  <si>
    <t>(104) played defense</t>
  </si>
  <si>
    <t>(104) auto was with 225. Numbers are iffy</t>
  </si>
  <si>
    <t>(105) fed by 2458?</t>
  </si>
  <si>
    <t>(105) fed beta</t>
  </si>
  <si>
    <t>(105) died after impact</t>
  </si>
  <si>
    <t>(106) pushed into hopper</t>
  </si>
  <si>
    <t>(107) died</t>
  </si>
  <si>
    <t>(107) robot died on rope</t>
  </si>
  <si>
    <t>(108) baseline auto</t>
  </si>
  <si>
    <t>(109) fed 75</t>
  </si>
  <si>
    <t>(109) fed by 103</t>
  </si>
  <si>
    <t>(109) robot error behind airship. Solid light?</t>
  </si>
  <si>
    <t>(12) climb missed due to rope chickening by 1923</t>
  </si>
  <si>
    <t>(111) free climb given to opposition</t>
  </si>
  <si>
    <t>h1, h2, g3, g4</t>
  </si>
  <si>
    <t>Opt Gear Value</t>
  </si>
  <si>
    <t>g1, h1</t>
  </si>
  <si>
    <t>T-gear</t>
  </si>
  <si>
    <t>Opt T-gear</t>
  </si>
  <si>
    <t>Cat Data Rand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</si>
</sst>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hadow/>
      <sz val="11"/>
      <color rgb="FFFA7D00"/>
      <name val="Calibri"/>
      <family val="2"/>
      <scheme val="minor"/>
    </font>
    <font>
      <sz val="12"/>
      <color rgb="FF000000"/>
      <name val="Helvetica"/>
      <family val="2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6">
    <xf numFmtId="0" fontId="0" fillId="0" borderId="0"/>
    <xf numFmtId="0" fontId="4" fillId="2" borderId="1" applyNumberFormat="0" applyAlignment="0" applyProtection="0"/>
    <xf numFmtId="0" fontId="5" fillId="3" borderId="1" applyNumberFormat="0" applyAlignment="0" applyProtection="0"/>
    <xf numFmtId="0" fontId="3" fillId="4" borderId="0" applyNumberFormat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</cellStyleXfs>
  <cellXfs count="34">
    <xf numFmtId="0" fontId="0" fillId="0" borderId="0" xfId="0"/>
    <xf numFmtId="0" fontId="1" fillId="0" borderId="0" xfId="0" applyFont="1"/>
    <xf numFmtId="0" fontId="0" fillId="0" borderId="0" xfId="0" applyFont="1"/>
    <xf numFmtId="0" fontId="2" fillId="0" borderId="0" xfId="0" applyFont="1"/>
    <xf numFmtId="0" fontId="0" fillId="0" borderId="0" xfId="0" applyNumberFormat="1"/>
    <xf numFmtId="0" fontId="6" fillId="0" borderId="0" xfId="0" applyFont="1"/>
    <xf numFmtId="0" fontId="0" fillId="0" borderId="0" xfId="0" applyBorder="1"/>
    <xf numFmtId="0" fontId="0" fillId="0" borderId="6" xfId="0" applyBorder="1"/>
    <xf numFmtId="0" fontId="4" fillId="2" borderId="1" xfId="1"/>
    <xf numFmtId="0" fontId="5" fillId="3" borderId="1" xfId="2"/>
    <xf numFmtId="0" fontId="7" fillId="0" borderId="0" xfId="0" applyFont="1" applyFill="1" applyBorder="1"/>
    <xf numFmtId="0" fontId="12" fillId="3" borderId="1" xfId="2" applyFont="1"/>
    <xf numFmtId="0" fontId="0" fillId="5" borderId="0" xfId="0" applyFill="1"/>
    <xf numFmtId="0" fontId="0" fillId="5" borderId="2" xfId="0" applyFill="1" applyBorder="1"/>
    <xf numFmtId="0" fontId="0" fillId="5" borderId="4" xfId="0" applyFill="1" applyBorder="1"/>
    <xf numFmtId="0" fontId="0" fillId="5" borderId="5" xfId="0" applyFill="1" applyBorder="1"/>
    <xf numFmtId="0" fontId="7" fillId="5" borderId="4" xfId="0" applyFont="1" applyFill="1" applyBorder="1"/>
    <xf numFmtId="0" fontId="7" fillId="5" borderId="0" xfId="0" applyFont="1" applyFill="1" applyBorder="1"/>
    <xf numFmtId="0" fontId="0" fillId="5" borderId="3" xfId="0" applyFill="1" applyBorder="1"/>
    <xf numFmtId="0" fontId="0" fillId="5" borderId="0" xfId="0" applyFill="1" applyBorder="1"/>
    <xf numFmtId="0" fontId="0" fillId="5" borderId="6" xfId="0" applyFill="1" applyBorder="1"/>
    <xf numFmtId="0" fontId="0" fillId="6" borderId="2" xfId="3" applyFont="1" applyFill="1" applyBorder="1"/>
    <xf numFmtId="0" fontId="0" fillId="6" borderId="0" xfId="0" applyFill="1" applyBorder="1"/>
    <xf numFmtId="0" fontId="3" fillId="6" borderId="4" xfId="3" applyFill="1" applyBorder="1"/>
    <xf numFmtId="0" fontId="0" fillId="6" borderId="4" xfId="0" applyFill="1" applyBorder="1"/>
    <xf numFmtId="0" fontId="0" fillId="6" borderId="5" xfId="3" applyFont="1" applyFill="1" applyBorder="1"/>
    <xf numFmtId="0" fontId="7" fillId="6" borderId="4" xfId="0" applyFont="1" applyFill="1" applyBorder="1"/>
    <xf numFmtId="0" fontId="7" fillId="6" borderId="0" xfId="0" applyFont="1" applyFill="1" applyBorder="1"/>
    <xf numFmtId="0" fontId="0" fillId="6" borderId="3" xfId="3" applyFont="1" applyFill="1" applyBorder="1"/>
    <xf numFmtId="0" fontId="3" fillId="6" borderId="0" xfId="3" applyFill="1" applyBorder="1"/>
    <xf numFmtId="0" fontId="0" fillId="6" borderId="6" xfId="3" applyFont="1" applyFill="1" applyBorder="1"/>
    <xf numFmtId="0" fontId="0" fillId="5" borderId="0" xfId="0" applyFont="1" applyFill="1"/>
    <xf numFmtId="0" fontId="14" fillId="0" borderId="0" xfId="0" applyFont="1" applyFill="1"/>
    <xf numFmtId="0" fontId="0" fillId="0" borderId="0" xfId="0" applyFill="1"/>
  </cellXfs>
  <cellStyles count="26">
    <cellStyle name="40% - Accent1" xfId="3" builtinId="31"/>
    <cellStyle name="Calculation" xfId="2" builtinId="22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Input" xfId="1" builtinId="20"/>
    <cellStyle name="Normal" xfId="0" builtinId="0"/>
  </cellStyles>
  <dxfs count="8"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theme="9" tint="0.39994506668294322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A070D7"/>
      <color rgb="FF9100D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63" Type="http://schemas.openxmlformats.org/officeDocument/2006/relationships/worksheet" Target="worksheets/sheet63.xml"/><Relationship Id="rId64" Type="http://schemas.openxmlformats.org/officeDocument/2006/relationships/theme" Target="theme/theme1.xml"/><Relationship Id="rId65" Type="http://schemas.openxmlformats.org/officeDocument/2006/relationships/styles" Target="styles.xml"/><Relationship Id="rId66" Type="http://schemas.openxmlformats.org/officeDocument/2006/relationships/sharedStrings" Target="sharedStrings.xml"/><Relationship Id="rId67" Type="http://schemas.openxmlformats.org/officeDocument/2006/relationships/calcChain" Target="calcChain.xml"/><Relationship Id="rId68" Type="http://schemas.microsoft.com/office/2006/relationships/vbaProject" Target="vbaProject.bin"/><Relationship Id="rId50" Type="http://schemas.openxmlformats.org/officeDocument/2006/relationships/worksheet" Target="worksheets/sheet50.xml"/><Relationship Id="rId51" Type="http://schemas.openxmlformats.org/officeDocument/2006/relationships/worksheet" Target="worksheets/sheet51.xml"/><Relationship Id="rId52" Type="http://schemas.openxmlformats.org/officeDocument/2006/relationships/worksheet" Target="worksheets/sheet52.xml"/><Relationship Id="rId53" Type="http://schemas.openxmlformats.org/officeDocument/2006/relationships/worksheet" Target="worksheets/sheet53.xml"/><Relationship Id="rId54" Type="http://schemas.openxmlformats.org/officeDocument/2006/relationships/worksheet" Target="worksheets/sheet54.xml"/><Relationship Id="rId55" Type="http://schemas.openxmlformats.org/officeDocument/2006/relationships/worksheet" Target="worksheets/sheet55.xml"/><Relationship Id="rId56" Type="http://schemas.openxmlformats.org/officeDocument/2006/relationships/worksheet" Target="worksheets/sheet56.xml"/><Relationship Id="rId57" Type="http://schemas.openxmlformats.org/officeDocument/2006/relationships/worksheet" Target="worksheets/sheet57.xml"/><Relationship Id="rId58" Type="http://schemas.openxmlformats.org/officeDocument/2006/relationships/worksheet" Target="worksheets/sheet58.xml"/><Relationship Id="rId59" Type="http://schemas.openxmlformats.org/officeDocument/2006/relationships/worksheet" Target="worksheets/sheet59.xml"/><Relationship Id="rId40" Type="http://schemas.openxmlformats.org/officeDocument/2006/relationships/worksheet" Target="worksheets/sheet40.xml"/><Relationship Id="rId41" Type="http://schemas.openxmlformats.org/officeDocument/2006/relationships/worksheet" Target="worksheets/sheet41.xml"/><Relationship Id="rId42" Type="http://schemas.openxmlformats.org/officeDocument/2006/relationships/worksheet" Target="worksheets/sheet42.xml"/><Relationship Id="rId43" Type="http://schemas.openxmlformats.org/officeDocument/2006/relationships/worksheet" Target="worksheets/sheet43.xml"/><Relationship Id="rId44" Type="http://schemas.openxmlformats.org/officeDocument/2006/relationships/worksheet" Target="worksheets/sheet44.xml"/><Relationship Id="rId45" Type="http://schemas.openxmlformats.org/officeDocument/2006/relationships/worksheet" Target="worksheets/sheet45.xml"/><Relationship Id="rId46" Type="http://schemas.openxmlformats.org/officeDocument/2006/relationships/worksheet" Target="worksheets/sheet46.xml"/><Relationship Id="rId47" Type="http://schemas.openxmlformats.org/officeDocument/2006/relationships/worksheet" Target="worksheets/sheet47.xml"/><Relationship Id="rId48" Type="http://schemas.openxmlformats.org/officeDocument/2006/relationships/worksheet" Target="worksheets/sheet48.xml"/><Relationship Id="rId49" Type="http://schemas.openxmlformats.org/officeDocument/2006/relationships/worksheet" Target="worksheets/sheet49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30" Type="http://schemas.openxmlformats.org/officeDocument/2006/relationships/worksheet" Target="worksheets/sheet30.xml"/><Relationship Id="rId31" Type="http://schemas.openxmlformats.org/officeDocument/2006/relationships/worksheet" Target="worksheets/sheet31.xml"/><Relationship Id="rId32" Type="http://schemas.openxmlformats.org/officeDocument/2006/relationships/worksheet" Target="worksheets/sheet32.xml"/><Relationship Id="rId33" Type="http://schemas.openxmlformats.org/officeDocument/2006/relationships/worksheet" Target="worksheets/sheet33.xml"/><Relationship Id="rId34" Type="http://schemas.openxmlformats.org/officeDocument/2006/relationships/worksheet" Target="worksheets/sheet34.xml"/><Relationship Id="rId35" Type="http://schemas.openxmlformats.org/officeDocument/2006/relationships/worksheet" Target="worksheets/sheet35.xml"/><Relationship Id="rId36" Type="http://schemas.openxmlformats.org/officeDocument/2006/relationships/worksheet" Target="worksheets/sheet36.xml"/><Relationship Id="rId37" Type="http://schemas.openxmlformats.org/officeDocument/2006/relationships/worksheet" Target="worksheets/sheet37.xml"/><Relationship Id="rId38" Type="http://schemas.openxmlformats.org/officeDocument/2006/relationships/worksheet" Target="worksheets/sheet38.xml"/><Relationship Id="rId39" Type="http://schemas.openxmlformats.org/officeDocument/2006/relationships/worksheet" Target="worksheets/sheet39.xml"/><Relationship Id="rId20" Type="http://schemas.openxmlformats.org/officeDocument/2006/relationships/worksheet" Target="worksheets/sheet20.xml"/><Relationship Id="rId21" Type="http://schemas.openxmlformats.org/officeDocument/2006/relationships/worksheet" Target="worksheets/sheet21.xml"/><Relationship Id="rId22" Type="http://schemas.openxmlformats.org/officeDocument/2006/relationships/worksheet" Target="worksheets/sheet22.xml"/><Relationship Id="rId23" Type="http://schemas.openxmlformats.org/officeDocument/2006/relationships/worksheet" Target="worksheets/sheet23.xml"/><Relationship Id="rId24" Type="http://schemas.openxmlformats.org/officeDocument/2006/relationships/worksheet" Target="worksheets/sheet24.xml"/><Relationship Id="rId25" Type="http://schemas.openxmlformats.org/officeDocument/2006/relationships/worksheet" Target="worksheets/sheet25.xml"/><Relationship Id="rId26" Type="http://schemas.openxmlformats.org/officeDocument/2006/relationships/worksheet" Target="worksheets/sheet26.xml"/><Relationship Id="rId27" Type="http://schemas.openxmlformats.org/officeDocument/2006/relationships/worksheet" Target="worksheets/sheet27.xml"/><Relationship Id="rId28" Type="http://schemas.openxmlformats.org/officeDocument/2006/relationships/worksheet" Target="worksheets/sheet28.xml"/><Relationship Id="rId29" Type="http://schemas.openxmlformats.org/officeDocument/2006/relationships/worksheet" Target="worksheets/sheet29.xml"/><Relationship Id="rId60" Type="http://schemas.openxmlformats.org/officeDocument/2006/relationships/worksheet" Target="worksheets/sheet60.xml"/><Relationship Id="rId61" Type="http://schemas.openxmlformats.org/officeDocument/2006/relationships/worksheet" Target="worksheets/sheet61.xml"/><Relationship Id="rId62" Type="http://schemas.openxmlformats.org/officeDocument/2006/relationships/worksheet" Target="worksheets/sheet62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41</xdr:row>
          <xdr:rowOff>114300</xdr:rowOff>
        </xdr:from>
        <xdr:to>
          <xdr:col>13</xdr:col>
          <xdr:colOff>330200</xdr:colOff>
          <xdr:row>46</xdr:row>
          <xdr:rowOff>76200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Button 4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omments" Target="../comments1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Relationship Id="rId2" Type="http://schemas.openxmlformats.org/officeDocument/2006/relationships/vmlDrawing" Target="../drawings/vmlDrawing2.vml"/><Relationship Id="rId3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Relationship Id="rId2" Type="http://schemas.openxmlformats.org/officeDocument/2006/relationships/vmlDrawing" Target="../drawings/vmlDrawing3.vml"/><Relationship Id="rId3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Relationship Id="rId2" Type="http://schemas.openxmlformats.org/officeDocument/2006/relationships/comments" Target="../comments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8.vml"/><Relationship Id="rId2" Type="http://schemas.openxmlformats.org/officeDocument/2006/relationships/comments" Target="../comments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9.vml"/><Relationship Id="rId2" Type="http://schemas.openxmlformats.org/officeDocument/2006/relationships/comments" Target="../comments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0.vml"/><Relationship Id="rId2" Type="http://schemas.openxmlformats.org/officeDocument/2006/relationships/comments" Target="../comments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1.vml"/><Relationship Id="rId2" Type="http://schemas.openxmlformats.org/officeDocument/2006/relationships/comments" Target="../comments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2.vml"/><Relationship Id="rId2" Type="http://schemas.openxmlformats.org/officeDocument/2006/relationships/comments" Target="../comments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3.vml"/><Relationship Id="rId2" Type="http://schemas.openxmlformats.org/officeDocument/2006/relationships/comments" Target="../comments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4.vml"/><Relationship Id="rId2" Type="http://schemas.openxmlformats.org/officeDocument/2006/relationships/comments" Target="../comments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5.vml"/><Relationship Id="rId2" Type="http://schemas.openxmlformats.org/officeDocument/2006/relationships/comments" Target="../comments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6.vml"/><Relationship Id="rId2" Type="http://schemas.openxmlformats.org/officeDocument/2006/relationships/comments" Target="../comments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7.vml"/><Relationship Id="rId2" Type="http://schemas.openxmlformats.org/officeDocument/2006/relationships/comments" Target="../comments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8.vml"/><Relationship Id="rId2" Type="http://schemas.openxmlformats.org/officeDocument/2006/relationships/comments" Target="../comments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9.vml"/><Relationship Id="rId2" Type="http://schemas.openxmlformats.org/officeDocument/2006/relationships/comments" Target="../comments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0.vml"/><Relationship Id="rId2" Type="http://schemas.openxmlformats.org/officeDocument/2006/relationships/comments" Target="../comments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1.vml"/><Relationship Id="rId2" Type="http://schemas.openxmlformats.org/officeDocument/2006/relationships/comments" Target="../comments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2.vml"/><Relationship Id="rId2" Type="http://schemas.openxmlformats.org/officeDocument/2006/relationships/comments" Target="../comments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3.vml"/><Relationship Id="rId2" Type="http://schemas.openxmlformats.org/officeDocument/2006/relationships/comments" Target="../comments2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4.vml"/><Relationship Id="rId2" Type="http://schemas.openxmlformats.org/officeDocument/2006/relationships/comments" Target="../comments24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5.vml"/><Relationship Id="rId2" Type="http://schemas.openxmlformats.org/officeDocument/2006/relationships/comments" Target="../comments25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6.vml"/><Relationship Id="rId2" Type="http://schemas.openxmlformats.org/officeDocument/2006/relationships/comments" Target="../comments2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7.vml"/><Relationship Id="rId2" Type="http://schemas.openxmlformats.org/officeDocument/2006/relationships/comments" Target="../comments27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8.vml"/><Relationship Id="rId2" Type="http://schemas.openxmlformats.org/officeDocument/2006/relationships/comments" Target="../comments28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9.vml"/><Relationship Id="rId2" Type="http://schemas.openxmlformats.org/officeDocument/2006/relationships/comments" Target="../comments29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0.vml"/><Relationship Id="rId2" Type="http://schemas.openxmlformats.org/officeDocument/2006/relationships/comments" Target="../comments3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1.vml"/><Relationship Id="rId2" Type="http://schemas.openxmlformats.org/officeDocument/2006/relationships/comments" Target="../comments31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2.vml"/><Relationship Id="rId2" Type="http://schemas.openxmlformats.org/officeDocument/2006/relationships/comments" Target="../comments32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3.vml"/><Relationship Id="rId2" Type="http://schemas.openxmlformats.org/officeDocument/2006/relationships/comments" Target="../comments33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4.vml"/><Relationship Id="rId2" Type="http://schemas.openxmlformats.org/officeDocument/2006/relationships/comments" Target="../comments34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5.vml"/><Relationship Id="rId2" Type="http://schemas.openxmlformats.org/officeDocument/2006/relationships/comments" Target="../comments35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6.vml"/><Relationship Id="rId2" Type="http://schemas.openxmlformats.org/officeDocument/2006/relationships/comments" Target="../comments36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7.vml"/><Relationship Id="rId2" Type="http://schemas.openxmlformats.org/officeDocument/2006/relationships/comments" Target="../comments37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8.vml"/><Relationship Id="rId2" Type="http://schemas.openxmlformats.org/officeDocument/2006/relationships/comments" Target="../comments38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9.vml"/><Relationship Id="rId2" Type="http://schemas.openxmlformats.org/officeDocument/2006/relationships/comments" Target="../comments39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0.vml"/><Relationship Id="rId2" Type="http://schemas.openxmlformats.org/officeDocument/2006/relationships/comments" Target="../comments40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1.vml"/><Relationship Id="rId2" Type="http://schemas.openxmlformats.org/officeDocument/2006/relationships/comments" Target="../comments41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2.vml"/><Relationship Id="rId2" Type="http://schemas.openxmlformats.org/officeDocument/2006/relationships/comments" Target="../comments42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3.vml"/><Relationship Id="rId2" Type="http://schemas.openxmlformats.org/officeDocument/2006/relationships/comments" Target="../comments43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4.vml"/><Relationship Id="rId2" Type="http://schemas.openxmlformats.org/officeDocument/2006/relationships/comments" Target="../comments44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5.vml"/><Relationship Id="rId2" Type="http://schemas.openxmlformats.org/officeDocument/2006/relationships/comments" Target="../comments45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6.vml"/><Relationship Id="rId2" Type="http://schemas.openxmlformats.org/officeDocument/2006/relationships/comments" Target="../comments46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7.vml"/><Relationship Id="rId2" Type="http://schemas.openxmlformats.org/officeDocument/2006/relationships/comments" Target="../comments47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8.vml"/><Relationship Id="rId2" Type="http://schemas.openxmlformats.org/officeDocument/2006/relationships/comments" Target="../comments48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9.vml"/><Relationship Id="rId2" Type="http://schemas.openxmlformats.org/officeDocument/2006/relationships/comments" Target="../comments49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0.vml"/><Relationship Id="rId2" Type="http://schemas.openxmlformats.org/officeDocument/2006/relationships/comments" Target="../comments50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1.vml"/><Relationship Id="rId2" Type="http://schemas.openxmlformats.org/officeDocument/2006/relationships/comments" Target="../comments51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2.vml"/><Relationship Id="rId2" Type="http://schemas.openxmlformats.org/officeDocument/2006/relationships/comments" Target="../comments52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3.vml"/><Relationship Id="rId2" Type="http://schemas.openxmlformats.org/officeDocument/2006/relationships/comments" Target="../comments53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4.vml"/><Relationship Id="rId2" Type="http://schemas.openxmlformats.org/officeDocument/2006/relationships/comments" Target="../comments54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5.vml"/><Relationship Id="rId2" Type="http://schemas.openxmlformats.org/officeDocument/2006/relationships/comments" Target="../comments55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6.vml"/><Relationship Id="rId2" Type="http://schemas.openxmlformats.org/officeDocument/2006/relationships/comments" Target="../comments56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7.vml"/><Relationship Id="rId2" Type="http://schemas.openxmlformats.org/officeDocument/2006/relationships/comments" Target="../comments57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8.vml"/><Relationship Id="rId2" Type="http://schemas.openxmlformats.org/officeDocument/2006/relationships/comments" Target="../comments58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9.vml"/><Relationship Id="rId2" Type="http://schemas.openxmlformats.org/officeDocument/2006/relationships/comments" Target="../comments59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0.vml"/><Relationship Id="rId2" Type="http://schemas.openxmlformats.org/officeDocument/2006/relationships/comments" Target="../comments60.xml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1.vml"/><Relationship Id="rId2" Type="http://schemas.openxmlformats.org/officeDocument/2006/relationships/comments" Target="../comments6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W51"/>
  <sheetViews>
    <sheetView topLeftCell="A13" zoomScale="90" zoomScaleNormal="90" zoomScalePageLayoutView="90" workbookViewId="0">
      <selection activeCell="N34" sqref="N34"/>
    </sheetView>
  </sheetViews>
  <sheetFormatPr baseColWidth="10" defaultColWidth="8.83203125" defaultRowHeight="15" x14ac:dyDescent="0.2"/>
  <cols>
    <col min="4" max="4" width="14.6640625" customWidth="1"/>
    <col min="7" max="7" width="14.6640625" customWidth="1"/>
    <col min="10" max="10" width="14.6640625" customWidth="1"/>
    <col min="11" max="11" width="11.83203125" bestFit="1" customWidth="1"/>
    <col min="13" max="13" width="14.6640625" customWidth="1"/>
    <col min="16" max="16" width="14.6640625" customWidth="1"/>
    <col min="17" max="17" width="11" bestFit="1" customWidth="1"/>
    <col min="19" max="19" width="14.6640625" customWidth="1"/>
    <col min="20" max="20" width="11.83203125" bestFit="1" customWidth="1"/>
  </cols>
  <sheetData>
    <row r="1" spans="1:20" x14ac:dyDescent="0.2">
      <c r="A1" s="1" t="s">
        <v>97</v>
      </c>
      <c r="B1" s="1"/>
    </row>
    <row r="2" spans="1:20" x14ac:dyDescent="0.2">
      <c r="D2" s="13" t="s">
        <v>185</v>
      </c>
      <c r="E2" s="8">
        <v>1712</v>
      </c>
      <c r="G2" s="18" t="s">
        <v>186</v>
      </c>
      <c r="H2" s="8">
        <v>303</v>
      </c>
      <c r="J2" s="18" t="s">
        <v>187</v>
      </c>
      <c r="K2" s="8">
        <v>2590</v>
      </c>
      <c r="M2" s="21" t="s">
        <v>188</v>
      </c>
      <c r="N2" s="8">
        <v>4750</v>
      </c>
      <c r="P2" s="28" t="s">
        <v>189</v>
      </c>
      <c r="Q2" s="8">
        <v>365</v>
      </c>
      <c r="S2" s="28" t="s">
        <v>190</v>
      </c>
      <c r="T2" s="8">
        <v>272</v>
      </c>
    </row>
    <row r="3" spans="1:20" x14ac:dyDescent="0.2">
      <c r="A3" s="5" t="s">
        <v>5</v>
      </c>
      <c r="D3" s="14" t="s">
        <v>106</v>
      </c>
      <c r="E3" s="9">
        <f>IFERROR(VLOOKUP(E$2,'Summary Statistics'!$A$2:$AA$61,2,FALSE), 0)</f>
        <v>0.25</v>
      </c>
      <c r="G3" s="19" t="s">
        <v>106</v>
      </c>
      <c r="H3" s="9">
        <f>IFERROR(VLOOKUP(H$2,'Summary Statistics'!$A$2:$AA$61,2,FALSE), 0)</f>
        <v>0.81818181818181823</v>
      </c>
      <c r="J3" s="19" t="s">
        <v>106</v>
      </c>
      <c r="K3" s="9">
        <f>IFERROR(VLOOKUP(K$2,'Summary Statistics'!$A$2:$AA$61,2,FALSE), 0)</f>
        <v>0.8</v>
      </c>
      <c r="M3" s="22" t="s">
        <v>106</v>
      </c>
      <c r="N3" s="9">
        <f>IFERROR(VLOOKUP(N$2,'Summary Statistics'!$A$2:$AA$61,2,FALSE), 0)</f>
        <v>0.22222222222222221</v>
      </c>
      <c r="P3" s="22" t="s">
        <v>106</v>
      </c>
      <c r="Q3" s="9">
        <f>IFERROR(VLOOKUP(Q$2,'Summary Statistics'!$A$2:$AA$61,2,FALSE), 0)</f>
        <v>1</v>
      </c>
      <c r="S3" s="22" t="s">
        <v>106</v>
      </c>
      <c r="T3" s="9">
        <f>IFERROR(VLOOKUP(T$2,'Summary Statistics'!$A$2:$AA$61,2,FALSE), 0)</f>
        <v>0.54545454545454541</v>
      </c>
    </row>
    <row r="4" spans="1:20" x14ac:dyDescent="0.2">
      <c r="B4" s="5"/>
      <c r="D4" s="14" t="s">
        <v>98</v>
      </c>
      <c r="E4" s="9">
        <f>IFERROR(VLOOKUP(E$2,'Summary Statistics'!$A$2:$AA$61,4,FALSE), 0)</f>
        <v>0.97674418604651159</v>
      </c>
      <c r="F4" s="6"/>
      <c r="G4" s="19" t="s">
        <v>98</v>
      </c>
      <c r="H4" s="9">
        <f>IFERROR(VLOOKUP(H$2,'Summary Statistics'!$A$2:$AA$61,4,FALSE), 0)</f>
        <v>0.94736842105263153</v>
      </c>
      <c r="I4" s="6"/>
      <c r="J4" s="19" t="s">
        <v>98</v>
      </c>
      <c r="K4" s="9">
        <f>IFERROR(VLOOKUP(K$2,'Summary Statistics'!$A$2:$AA$37,4,FALSE), 0)</f>
        <v>0.90384615384615385</v>
      </c>
      <c r="M4" s="23" t="s">
        <v>98</v>
      </c>
      <c r="N4" s="9">
        <f>IFERROR(VLOOKUP(N$2,'Summary Statistics'!$A$2:$AA$61,4,FALSE), 0)</f>
        <v>1</v>
      </c>
      <c r="O4" s="6"/>
      <c r="P4" s="29" t="s">
        <v>98</v>
      </c>
      <c r="Q4" s="9">
        <f>IFERROR(VLOOKUP(Q$2,'Summary Statistics'!$A$2:$AA$61,4,FALSE), 0)</f>
        <v>0.83333333333333337</v>
      </c>
      <c r="R4" s="6"/>
      <c r="S4" s="29" t="s">
        <v>98</v>
      </c>
      <c r="T4" s="9">
        <f>IFERROR(VLOOKUP(T$2,'Summary Statistics'!$A$2:$AA$61,4,FALSE), 0)</f>
        <v>0.89795918367346939</v>
      </c>
    </row>
    <row r="5" spans="1:20" x14ac:dyDescent="0.2">
      <c r="D5" s="14" t="s">
        <v>193</v>
      </c>
      <c r="E5" s="9">
        <f>IFERROR(VLOOKUP(E$2,'Summary Statistics'!$A$2:$AA$61,7,FALSE), 0)</f>
        <v>5</v>
      </c>
      <c r="F5" s="6"/>
      <c r="G5" s="14" t="s">
        <v>193</v>
      </c>
      <c r="H5" s="9">
        <f>IFERROR(VLOOKUP(H$2,'Summary Statistics'!$A$2:$AA$61,7,FALSE), 0)</f>
        <v>4</v>
      </c>
      <c r="I5" s="6"/>
      <c r="J5" s="14" t="s">
        <v>193</v>
      </c>
      <c r="K5" s="9">
        <f>IFERROR(VLOOKUP(K$2,'Summary Statistics'!$A$2:$AA$61,7,FALSE), 0)</f>
        <v>6</v>
      </c>
      <c r="M5" s="22" t="s">
        <v>193</v>
      </c>
      <c r="N5" s="9">
        <f>IFERROR(VLOOKUP(N$2,'Summary Statistics'!$A$2:$AA$61,7,FALSE), 0)</f>
        <v>4</v>
      </c>
      <c r="O5" s="6"/>
      <c r="P5" s="22" t="s">
        <v>193</v>
      </c>
      <c r="Q5" s="9">
        <f>IFERROR(VLOOKUP(Q$2,'Summary Statistics'!$A$2:$AA$61,7,FALSE), 0)</f>
        <v>5</v>
      </c>
      <c r="R5" s="6"/>
      <c r="S5" s="22" t="s">
        <v>193</v>
      </c>
      <c r="T5" s="9">
        <f>IFERROR(VLOOKUP(T$2,'Summary Statistics'!$A$2:$AA$61,7,FALSE), 0)</f>
        <v>5</v>
      </c>
    </row>
    <row r="6" spans="1:20" x14ac:dyDescent="0.2">
      <c r="D6" s="14" t="s">
        <v>99</v>
      </c>
      <c r="E6" s="9">
        <f>IFERROR(VLOOKUP(E$2,'Summary Statistics'!$A$2:$AA$61,6,FALSE), 0)</f>
        <v>4</v>
      </c>
      <c r="F6" s="6"/>
      <c r="G6" s="19" t="s">
        <v>99</v>
      </c>
      <c r="H6" s="9">
        <f>IFERROR(VLOOKUP(H$2,'Summary Statistics'!$A$2:$AA$61,6,FALSE), 0)</f>
        <v>3</v>
      </c>
      <c r="I6" s="6"/>
      <c r="J6" s="19" t="s">
        <v>99</v>
      </c>
      <c r="K6" s="9">
        <f>IFERROR(VLOOKUP(K$2,'Summary Statistics'!$A$2:$AA$61,6,FALSE), 0)</f>
        <v>4</v>
      </c>
      <c r="M6" s="23" t="s">
        <v>99</v>
      </c>
      <c r="N6" s="9">
        <f>IFERROR(VLOOKUP(N$2,'Summary Statistics'!$A$2:$AA$61,6,FALSE), 0)</f>
        <v>3</v>
      </c>
      <c r="O6" s="6"/>
      <c r="P6" s="29" t="s">
        <v>99</v>
      </c>
      <c r="Q6" s="9">
        <f>IFERROR(VLOOKUP(Q$2,'Summary Statistics'!$A$2:$AA$61,6,FALSE), 0)</f>
        <v>3</v>
      </c>
      <c r="R6" s="6"/>
      <c r="S6" s="29" t="s">
        <v>99</v>
      </c>
      <c r="T6" s="9">
        <f>IFERROR(VLOOKUP(T$2,'Summary Statistics'!$A$2:$AA$61,6,FALSE), 0)</f>
        <v>4</v>
      </c>
    </row>
    <row r="7" spans="1:20" x14ac:dyDescent="0.2">
      <c r="D7" s="14" t="s">
        <v>91</v>
      </c>
      <c r="E7" s="9">
        <f>IFERROR(VLOOKUP(E$2,'Summary Statistics'!$A$2:$AA$61,5,FALSE), 0)</f>
        <v>3.5</v>
      </c>
      <c r="F7" s="6"/>
      <c r="G7" s="14" t="s">
        <v>91</v>
      </c>
      <c r="H7" s="9">
        <f>IFERROR(VLOOKUP(H$2,'Summary Statistics'!$A$2:$AA$61,5,FALSE), 0)</f>
        <v>3</v>
      </c>
      <c r="I7" s="6"/>
      <c r="J7" s="14" t="s">
        <v>91</v>
      </c>
      <c r="K7" s="9">
        <f>IFERROR(VLOOKUP(K$2,'Summary Statistics'!$A$2:$AA$61,5,FALSE), 0)</f>
        <v>3.9166666666666665</v>
      </c>
      <c r="M7" s="24" t="s">
        <v>91</v>
      </c>
      <c r="N7" s="9">
        <f>IFERROR(VLOOKUP(N$2,'Summary Statistics'!$A$2:$AA$61,5,FALSE), 0)</f>
        <v>3.1666666666666665</v>
      </c>
      <c r="O7" s="6"/>
      <c r="P7" s="24" t="s">
        <v>91</v>
      </c>
      <c r="Q7" s="9">
        <f>IFERROR(VLOOKUP(Q$2,'Summary Statistics'!$A$2:$AA$61,5,FALSE), 0)</f>
        <v>2.9166666666666665</v>
      </c>
      <c r="R7" s="6"/>
      <c r="S7" s="24" t="s">
        <v>91</v>
      </c>
      <c r="T7" s="9">
        <f>IFERROR(VLOOKUP(T$2,'Summary Statistics'!$A$2:$AA$61,5,FALSE), 0)</f>
        <v>3.6666666666666665</v>
      </c>
    </row>
    <row r="8" spans="1:20" x14ac:dyDescent="0.2">
      <c r="D8" s="14" t="s">
        <v>100</v>
      </c>
      <c r="E8" s="9">
        <f>IFERROR(VLOOKUP(E$2,'Summary Statistics'!$A$2:$AA$61,8,FALSE), 0)</f>
        <v>1</v>
      </c>
      <c r="F8" s="6"/>
      <c r="G8" s="19" t="s">
        <v>100</v>
      </c>
      <c r="H8" s="9">
        <f>IFERROR(VLOOKUP(H$2,'Summary Statistics'!$A$2:$AA$61,8,FALSE), 0)</f>
        <v>0.7385489458759964</v>
      </c>
      <c r="I8" s="6"/>
      <c r="J8" s="19" t="s">
        <v>100</v>
      </c>
      <c r="K8" s="9">
        <f>IFERROR(VLOOKUP(K$2,'Summary Statistics'!$A$2:$AA$61,8,FALSE), 0)</f>
        <v>0.99620491989562143</v>
      </c>
      <c r="M8" s="23" t="s">
        <v>100</v>
      </c>
      <c r="N8" s="9">
        <f>IFERROR(VLOOKUP(N$2,'Summary Statistics'!$A$2:$AA$61,8,FALSE), 0)</f>
        <v>0.83484710993672206</v>
      </c>
      <c r="O8" s="6"/>
      <c r="P8" s="29" t="s">
        <v>100</v>
      </c>
      <c r="Q8" s="9">
        <f>IFERROR(VLOOKUP(Q$2,'Summary Statistics'!$A$2:$AA$61,8,FALSE), 0)</f>
        <v>1.5050420310248867</v>
      </c>
      <c r="R8" s="6"/>
      <c r="S8" s="29" t="s">
        <v>100</v>
      </c>
      <c r="T8" s="9">
        <f>IFERROR(VLOOKUP(T$2,'Summary Statistics'!$A$2:$AA$61,8,FALSE), 0)</f>
        <v>1.0730867399773192</v>
      </c>
    </row>
    <row r="9" spans="1:20" x14ac:dyDescent="0.2">
      <c r="D9" s="14" t="s">
        <v>258</v>
      </c>
      <c r="E9" s="9">
        <f>IFERROR(VLOOKUP(E$2,'Summary Statistics'!$A$2:$AA$61,9, FALSE), 0)</f>
        <v>0.79411764705882348</v>
      </c>
      <c r="F9" s="6"/>
      <c r="G9" s="14" t="s">
        <v>258</v>
      </c>
      <c r="H9" s="9">
        <f>IFERROR(VLOOKUP(H$2,'Summary Statistics'!$A$2:$AA$61,9, FALSE), 0)</f>
        <v>0.87234042553191493</v>
      </c>
      <c r="I9" s="6"/>
      <c r="J9" s="14" t="s">
        <v>258</v>
      </c>
      <c r="K9" s="9">
        <f>IFERROR(VLOOKUP(K$2,'Summary Statistics'!$A$2:$AA$61,9, FALSE), 0)</f>
        <v>0.91666666666666663</v>
      </c>
      <c r="M9" s="24" t="s">
        <v>258</v>
      </c>
      <c r="N9" s="9">
        <f>IFERROR(VLOOKUP(N$2,'Summary Statistics'!$A$2:$AA$61,9, FALSE), 0)</f>
        <v>0.67441860465116277</v>
      </c>
      <c r="O9" s="6"/>
      <c r="P9" s="24" t="s">
        <v>258</v>
      </c>
      <c r="Q9" s="9">
        <f>IFERROR(VLOOKUP(Q$2,'Summary Statistics'!$A$2:$AA$61,9, FALSE), 0)</f>
        <v>0.95348837209302328</v>
      </c>
      <c r="R9" s="6"/>
      <c r="S9" s="24" t="s">
        <v>258</v>
      </c>
      <c r="T9" s="9">
        <f>IFERROR(VLOOKUP(T$2,'Summary Statistics'!$A$2:$AA$61,9, FALSE), 0)</f>
        <v>1</v>
      </c>
    </row>
    <row r="10" spans="1:20" x14ac:dyDescent="0.2">
      <c r="B10" s="5"/>
      <c r="D10" s="14" t="s">
        <v>113</v>
      </c>
      <c r="E10" s="9">
        <f>IFERROR(VLOOKUP(E$2,'Summary Statistics'!$A$2:$AA$61,10, FALSE), 0)</f>
        <v>1</v>
      </c>
      <c r="G10" s="19" t="s">
        <v>113</v>
      </c>
      <c r="H10" s="9">
        <f>IFERROR(VLOOKUP(H$2,'Summary Statistics'!$A$2:$AA$61,10, FALSE), 0)</f>
        <v>0</v>
      </c>
      <c r="J10" s="19" t="s">
        <v>113</v>
      </c>
      <c r="K10" s="9">
        <f>IFERROR(VLOOKUP(K$2,'Summary Statistics'!$A$2:$AA$61,10, FALSE), 0)</f>
        <v>1.75</v>
      </c>
      <c r="M10" s="24" t="s">
        <v>113</v>
      </c>
      <c r="N10" s="9">
        <f>IFERROR(VLOOKUP(N$2,'Summary Statistics'!$A$2:$AA$61,10, FALSE), 0)</f>
        <v>0</v>
      </c>
      <c r="P10" s="22" t="s">
        <v>113</v>
      </c>
      <c r="Q10" s="9">
        <f>IFERROR(VLOOKUP(Q$2,'Summary Statistics'!$A$2:$AA$61,10, FALSE), 0)</f>
        <v>0</v>
      </c>
      <c r="S10" s="22" t="s">
        <v>113</v>
      </c>
      <c r="T10" s="9">
        <f>IFERROR(VLOOKUP(T$2,'Summary Statistics'!$A$2:$AA$61,10, FALSE), 0)</f>
        <v>1.1666666666666667</v>
      </c>
    </row>
    <row r="11" spans="1:20" x14ac:dyDescent="0.2">
      <c r="A11" s="5" t="s">
        <v>101</v>
      </c>
      <c r="D11" s="14" t="s">
        <v>96</v>
      </c>
      <c r="E11" s="9">
        <f>IFERROR(VLOOKUP(E2,'Summary Statistics'!$A2:$AA$61,20,FALSE), 0)</f>
        <v>0.75</v>
      </c>
      <c r="F11" s="6"/>
      <c r="G11" s="19" t="s">
        <v>96</v>
      </c>
      <c r="H11" s="9">
        <f>IFERROR(VLOOKUP(H2,'Summary Statistics'!$A2:$AA$61,20,FALSE), 0)</f>
        <v>0.83333333333333337</v>
      </c>
      <c r="I11" s="6"/>
      <c r="J11" s="19" t="s">
        <v>96</v>
      </c>
      <c r="K11" s="9">
        <f>IFERROR(VLOOKUP(K2,'Summary Statistics'!$A2:$AA$61,20,FALSE), 0)</f>
        <v>0.75</v>
      </c>
      <c r="M11" s="23" t="s">
        <v>96</v>
      </c>
      <c r="N11" s="9">
        <f>IFERROR(VLOOKUP(N2,'Summary Statistics'!$A2:$AA$61,20,FALSE), 0)</f>
        <v>1</v>
      </c>
      <c r="O11" s="6"/>
      <c r="P11" s="29" t="s">
        <v>96</v>
      </c>
      <c r="Q11" s="9">
        <f>IFERROR(VLOOKUP(Q2,'Summary Statistics'!$A2:$AA$61,20,FALSE), 0)</f>
        <v>0.90909090909090906</v>
      </c>
      <c r="R11" s="6"/>
      <c r="S11" s="29" t="s">
        <v>96</v>
      </c>
      <c r="T11" s="9">
        <f>IFERROR(VLOOKUP(T2,'Summary Statistics'!$A2:$AA$61,20,FALSE), 0)</f>
        <v>1</v>
      </c>
    </row>
    <row r="12" spans="1:20" x14ac:dyDescent="0.2">
      <c r="D12" s="15" t="s">
        <v>177</v>
      </c>
      <c r="E12" s="9">
        <f>IFERROR(VLOOKUP(E2,'Summary Statistics'!$A2:$AA$61, 21, FALSE), 0)</f>
        <v>9</v>
      </c>
      <c r="F12" s="7"/>
      <c r="G12" s="20" t="s">
        <v>177</v>
      </c>
      <c r="H12" s="9">
        <f>IFERROR(VLOOKUP(H2,'Summary Statistics'!$A2:$AA$61, 21, FALSE), 0)</f>
        <v>10</v>
      </c>
      <c r="I12" s="7"/>
      <c r="J12" s="20" t="s">
        <v>177</v>
      </c>
      <c r="K12" s="9">
        <f>IFERROR(VLOOKUP(K2,'Summary Statistics'!$A2:$AA$61, 21, FALSE), 0)</f>
        <v>9</v>
      </c>
      <c r="M12" s="25" t="s">
        <v>177</v>
      </c>
      <c r="N12" s="9">
        <f>IFERROR(VLOOKUP(N2,'Summary Statistics'!$A2:$AA$61, 21, FALSE), 0)</f>
        <v>12</v>
      </c>
      <c r="O12" s="7"/>
      <c r="P12" s="30" t="s">
        <v>177</v>
      </c>
      <c r="Q12" s="9">
        <f>IFERROR(VLOOKUP(Q2,'Summary Statistics'!$A2:$AA$61, 21, FALSE), 0)</f>
        <v>10</v>
      </c>
      <c r="R12" s="7"/>
      <c r="S12" s="30" t="s">
        <v>177</v>
      </c>
      <c r="T12" s="9">
        <f>IFERROR(VLOOKUP(T2,'Summary Statistics'!$A2:$AA$61, 21, FALSE), 0)</f>
        <v>11</v>
      </c>
    </row>
    <row r="13" spans="1:20" x14ac:dyDescent="0.2">
      <c r="A13" s="5" t="s">
        <v>119</v>
      </c>
      <c r="D13" s="14" t="s">
        <v>124</v>
      </c>
      <c r="E13" s="9">
        <f>IFERROR(VLOOKUP(E$2,'Summary Statistics'!$A$2:$AA$61, 11, FALSE), 0)</f>
        <v>0</v>
      </c>
      <c r="G13" s="14" t="s">
        <v>124</v>
      </c>
      <c r="H13" s="9">
        <f>IFERROR(VLOOKUP(H$2,'Summary Statistics'!$A$2:$AA$61, 11, FALSE), 0)</f>
        <v>0</v>
      </c>
      <c r="J13" s="14" t="s">
        <v>124</v>
      </c>
      <c r="K13" s="9">
        <f>IFERROR(VLOOKUP(K$2,'Summary Statistics'!$A$2:$AA$61, 11, FALSE), 0)</f>
        <v>0</v>
      </c>
      <c r="M13" s="24" t="s">
        <v>124</v>
      </c>
      <c r="N13" s="9">
        <f>IFERROR(VLOOKUP(N$2,'Summary Statistics'!$A$2:$AA$61, 11, FALSE), 0)</f>
        <v>0</v>
      </c>
      <c r="P13" s="24" t="s">
        <v>124</v>
      </c>
      <c r="Q13" s="9">
        <f>IFERROR(VLOOKUP(Q$2,'Summary Statistics'!$A$2:$AA$61, 11, FALSE), 0)</f>
        <v>0</v>
      </c>
      <c r="S13" s="24" t="s">
        <v>124</v>
      </c>
      <c r="T13" s="9">
        <f>IFERROR(VLOOKUP(T$2,'Summary Statistics'!$A$2:$AA$61, 11, FALSE), 0)</f>
        <v>0</v>
      </c>
    </row>
    <row r="14" spans="1:20" x14ac:dyDescent="0.2">
      <c r="D14" s="14" t="s">
        <v>125</v>
      </c>
      <c r="E14" s="9">
        <f>IFERROR(VLOOKUP(E$2,'Summary Statistics'!$A$2:$AA$61, 12, FALSE), 0)</f>
        <v>0</v>
      </c>
      <c r="G14" s="14" t="s">
        <v>125</v>
      </c>
      <c r="H14" s="9">
        <f>IFERROR(VLOOKUP(H$2,'Summary Statistics'!$A$2:$AA$61, 12, FALSE), 0)</f>
        <v>1</v>
      </c>
      <c r="J14" s="14" t="s">
        <v>125</v>
      </c>
      <c r="K14" s="9">
        <f>IFERROR(VLOOKUP(K$2,'Summary Statistics'!$A$2:$AA$61, 12, FALSE), 0)</f>
        <v>1</v>
      </c>
      <c r="M14" s="24" t="s">
        <v>125</v>
      </c>
      <c r="N14" s="9">
        <f>IFERROR(VLOOKUP(N$2,'Summary Statistics'!$A$2:$AA$61, 12, FALSE), 0)</f>
        <v>1</v>
      </c>
      <c r="P14" s="24" t="s">
        <v>125</v>
      </c>
      <c r="Q14" s="9">
        <f>IFERROR(VLOOKUP(Q$2,'Summary Statistics'!$A$2:$AA$61, 12, FALSE), 0)</f>
        <v>1</v>
      </c>
      <c r="S14" s="24" t="s">
        <v>125</v>
      </c>
      <c r="T14" s="9">
        <f>IFERROR(VLOOKUP(T$2,'Summary Statistics'!$A$2:$AA$61, 12, FALSE), 0)</f>
        <v>0</v>
      </c>
    </row>
    <row r="15" spans="1:20" x14ac:dyDescent="0.2">
      <c r="D15" s="14" t="s">
        <v>120</v>
      </c>
      <c r="E15" s="9">
        <f>IFERROR(VLOOKUP(E$2,'Summary Statistics'!$A$2:$AA$61, 13, FALSE), 0)</f>
        <v>0</v>
      </c>
      <c r="G15" s="14" t="s">
        <v>120</v>
      </c>
      <c r="H15" s="9">
        <f>IFERROR(VLOOKUP(H$2,'Summary Statistics'!$A$2:$AA$61, 13, FALSE), 0)</f>
        <v>0.7142857142857143</v>
      </c>
      <c r="J15" s="14" t="s">
        <v>120</v>
      </c>
      <c r="K15" s="9">
        <f>IFERROR(VLOOKUP(K$2,'Summary Statistics'!$A$2:$AA$61, 13, FALSE), 0)</f>
        <v>0.5</v>
      </c>
      <c r="M15" s="24" t="s">
        <v>120</v>
      </c>
      <c r="N15" s="9">
        <f>IFERROR(VLOOKUP(N$2,'Summary Statistics'!$A$2:$AA$61, 13, FALSE), 0)</f>
        <v>0</v>
      </c>
      <c r="P15" s="24" t="s">
        <v>120</v>
      </c>
      <c r="Q15" s="9">
        <f>IFERROR(VLOOKUP(Q$2,'Summary Statistics'!$A$2:$AA$61, 13, FALSE), 0)</f>
        <v>0.5</v>
      </c>
      <c r="S15" s="24" t="s">
        <v>120</v>
      </c>
      <c r="T15" s="9">
        <f>IFERROR(VLOOKUP(T$2,'Summary Statistics'!$A$2:$AA$61, 13, FALSE), 0)</f>
        <v>0</v>
      </c>
    </row>
    <row r="16" spans="1:20" x14ac:dyDescent="0.2">
      <c r="D16" s="14" t="s">
        <v>121</v>
      </c>
      <c r="E16" s="9">
        <f>IFERROR(VLOOKUP(E$2,'Summary Statistics'!$A$2:$AA$61, 14, FALSE), 0)</f>
        <v>0</v>
      </c>
      <c r="G16" s="14" t="s">
        <v>121</v>
      </c>
      <c r="H16" s="9">
        <f>IFERROR(VLOOKUP(H$2,'Summary Statistics'!$A$2:$AA$61, 14, FALSE), 0)</f>
        <v>0.5714285714285714</v>
      </c>
      <c r="J16" s="14" t="s">
        <v>121</v>
      </c>
      <c r="K16" s="9">
        <f>IFERROR(VLOOKUP(K$2,'Summary Statistics'!$A$2:$AA$61, 14, FALSE), 0)</f>
        <v>1</v>
      </c>
      <c r="M16" s="24" t="s">
        <v>121</v>
      </c>
      <c r="N16" s="9">
        <f>IFERROR(VLOOKUP(N$2,'Summary Statistics'!$A$2:$AA$61, 14, FALSE), 0)</f>
        <v>0</v>
      </c>
      <c r="P16" s="24" t="s">
        <v>121</v>
      </c>
      <c r="Q16" s="9">
        <f>IFERROR(VLOOKUP(Q$2,'Summary Statistics'!$A$2:$AA$61, 14, FALSE), 0)</f>
        <v>0.5</v>
      </c>
      <c r="S16" s="24" t="s">
        <v>121</v>
      </c>
      <c r="T16" s="9">
        <f>IFERROR(VLOOKUP(T$2,'Summary Statistics'!$A$2:$AA$61, 14, FALSE), 0)</f>
        <v>1</v>
      </c>
    </row>
    <row r="17" spans="1:23" x14ac:dyDescent="0.2">
      <c r="D17" s="14" t="s">
        <v>126</v>
      </c>
      <c r="E17" s="9">
        <f>IFERROR(VLOOKUP(E$2,'Summary Statistics'!$A$2:$AA$61, 15, FALSE)+VLOOKUP(E$2, 'Summary Statistics'!$A$2:$AA$61, 16, FALSE), 0)</f>
        <v>0</v>
      </c>
      <c r="G17" s="14" t="s">
        <v>126</v>
      </c>
      <c r="H17" s="9">
        <f>IFERROR(VLOOKUP(H$2,'Summary Statistics'!$A$2:$AA$61, 15, FALSE)+VLOOKUP(H$2, 'Summary Statistics'!$A$2:$AA$61, 16, FALSE), 0)</f>
        <v>0</v>
      </c>
      <c r="J17" s="14" t="s">
        <v>126</v>
      </c>
      <c r="K17" s="9">
        <f>IFERROR(VLOOKUP(K$2,'Summary Statistics'!$A$2:$AA$61, 15, FALSE)+VLOOKUP(K$2, 'Summary Statistics'!$A$2:$AA$61, 16, FALSE), 0)</f>
        <v>0</v>
      </c>
      <c r="M17" s="24" t="s">
        <v>126</v>
      </c>
      <c r="N17" s="9">
        <f>IFERROR(VLOOKUP(N$2,'Summary Statistics'!$A$2:$AA$61, 15, FALSE)+VLOOKUP(N$2, 'Summary Statistics'!$A$2:$AA$61, 16, FALSE), 0)</f>
        <v>0</v>
      </c>
      <c r="P17" s="24" t="s">
        <v>126</v>
      </c>
      <c r="Q17" s="9">
        <f>IFERROR(VLOOKUP(Q$2,'Summary Statistics'!$A$2:$AA$61, 15, FALSE)+VLOOKUP(Q$2, 'Summary Statistics'!$A$2:$AA$61, 16, FALSE), 0)</f>
        <v>0</v>
      </c>
      <c r="S17" s="24" t="s">
        <v>126</v>
      </c>
      <c r="T17" s="9">
        <f>IFERROR(VLOOKUP(T$2,'Summary Statistics'!$A$2:$AA$61, 15, FALSE)+VLOOKUP(T$2, 'Summary Statistics'!$A$2:$AA$61, 16, FALSE), 0)</f>
        <v>0</v>
      </c>
    </row>
    <row r="18" spans="1:23" x14ac:dyDescent="0.2">
      <c r="D18" s="14" t="s">
        <v>134</v>
      </c>
      <c r="E18" s="9">
        <f>IFERROR(VLOOKUP(E$2,'Summary Statistics'!$A$2:$AA$61, 22, FALSE), 0)</f>
        <v>0</v>
      </c>
      <c r="G18" s="14" t="s">
        <v>134</v>
      </c>
      <c r="H18" s="9">
        <f>IFERROR(VLOOKUP(H$2,'Summary Statistics'!$A$2:$AA$61, 22, FALSE), 0)</f>
        <v>0.33333333333333331</v>
      </c>
      <c r="J18" s="14" t="s">
        <v>134</v>
      </c>
      <c r="K18" s="9">
        <f>IFERROR(VLOOKUP(K$2,'Summary Statistics'!$A$2:$AA$61, 22, FALSE), 0)</f>
        <v>8.3333333333333329E-2</v>
      </c>
      <c r="M18" s="24" t="s">
        <v>134</v>
      </c>
      <c r="N18" s="9">
        <f>IFERROR(VLOOKUP(N$2,'Summary Statistics'!$A$2:$AA$61, 22, FALSE), 0)</f>
        <v>0</v>
      </c>
      <c r="P18" s="24" t="s">
        <v>134</v>
      </c>
      <c r="Q18" s="9">
        <f>IFERROR(VLOOKUP(Q$2,'Summary Statistics'!$A$2:$AA$61, 22, FALSE), 0)</f>
        <v>8.3333333333333329E-2</v>
      </c>
      <c r="S18" s="24" t="s">
        <v>134</v>
      </c>
      <c r="T18" s="9">
        <f>IFERROR(VLOOKUP(T$2,'Summary Statistics'!$A$2:$AA$61, 22, FALSE), 0)</f>
        <v>0</v>
      </c>
    </row>
    <row r="19" spans="1:23" x14ac:dyDescent="0.2">
      <c r="D19" s="14" t="s">
        <v>135</v>
      </c>
      <c r="E19" s="9">
        <f>IFERROR(VLOOKUP(E$2,'Summary Statistics'!$A$2:$AA$61, 23, FALSE), 0)</f>
        <v>8.3333333333333329E-2</v>
      </c>
      <c r="G19" s="14" t="s">
        <v>135</v>
      </c>
      <c r="H19" s="9">
        <f>IFERROR(VLOOKUP(H$2,'Summary Statistics'!$A$2:$AA$61, 23, FALSE), 0)</f>
        <v>0.16666666666666666</v>
      </c>
      <c r="J19" s="14" t="s">
        <v>135</v>
      </c>
      <c r="K19" s="9">
        <f>IFERROR(VLOOKUP(K$2,'Summary Statistics'!$A$2:$AA$61, 23, FALSE), 0)</f>
        <v>0.25</v>
      </c>
      <c r="M19" s="24" t="s">
        <v>135</v>
      </c>
      <c r="N19" s="9">
        <f>IFERROR(VLOOKUP(N$2,'Summary Statistics'!$A$2:$AA$61, 23, FALSE), 0)</f>
        <v>0</v>
      </c>
      <c r="P19" s="24" t="s">
        <v>135</v>
      </c>
      <c r="Q19" s="9">
        <f>IFERROR(VLOOKUP(Q$2,'Summary Statistics'!$A$2:$AA$61, 23, FALSE), 0)</f>
        <v>8.3333333333333329E-2</v>
      </c>
      <c r="S19" s="24" t="s">
        <v>135</v>
      </c>
      <c r="T19" s="9">
        <f>IFERROR(VLOOKUP(T$2,'Summary Statistics'!$A$2:$AA$61, 23, FALSE), 0)</f>
        <v>0.16666666666666666</v>
      </c>
    </row>
    <row r="20" spans="1:23" x14ac:dyDescent="0.2">
      <c r="D20" s="14" t="s">
        <v>136</v>
      </c>
      <c r="E20" s="9">
        <f>IFERROR(VLOOKUP(E$2,'Summary Statistics'!$A$2:$AA$61, 24, FALSE), 0)</f>
        <v>0</v>
      </c>
      <c r="G20" s="14" t="s">
        <v>136</v>
      </c>
      <c r="H20" s="9">
        <f>IFERROR(VLOOKUP(H$2,'Summary Statistics'!$A$2:$AA$61, 24, FALSE), 0)</f>
        <v>0</v>
      </c>
      <c r="J20" s="14" t="s">
        <v>136</v>
      </c>
      <c r="K20" s="9">
        <f>IFERROR(VLOOKUP(K$2,'Summary Statistics'!$A$2:$AA$61, 24, FALSE), 0)</f>
        <v>0</v>
      </c>
      <c r="M20" s="24" t="s">
        <v>136</v>
      </c>
      <c r="N20" s="9">
        <f>IFERROR(VLOOKUP(N$2,'Summary Statistics'!$A$2:$AA$61, 24, FALSE), 0)</f>
        <v>0</v>
      </c>
      <c r="P20" s="24" t="s">
        <v>136</v>
      </c>
      <c r="Q20" s="9">
        <f>IFERROR(VLOOKUP(Q$2,'Summary Statistics'!$A$2:$AA$61, 24, FALSE), 0)</f>
        <v>0</v>
      </c>
      <c r="S20" s="24" t="s">
        <v>136</v>
      </c>
      <c r="T20" s="9">
        <f>IFERROR(VLOOKUP(T$2,'Summary Statistics'!$A$2:$AA$37, 25, FALSE), 0)</f>
        <v>12</v>
      </c>
    </row>
    <row r="21" spans="1:23" x14ac:dyDescent="0.2">
      <c r="D21" s="14" t="s">
        <v>127</v>
      </c>
      <c r="E21" s="11">
        <f>IFERROR(VLOOKUP(E$2,'Summary Statistics'!$A$2:$AA$61, 17, FALSE), 0)</f>
        <v>0</v>
      </c>
      <c r="G21" s="14" t="s">
        <v>127</v>
      </c>
      <c r="H21" s="11">
        <f>IFERROR(VLOOKUP(H$2,'Summary Statistics'!$A$2:$AA$61, 17, FALSE), 0)</f>
        <v>6.7</v>
      </c>
      <c r="J21" s="14" t="s">
        <v>127</v>
      </c>
      <c r="K21" s="11">
        <f>IFERROR(VLOOKUP(K$2,'Summary Statistics'!$A$2:$AA$61, 17, FALSE), 0)</f>
        <v>6.5</v>
      </c>
      <c r="M21" s="24" t="s">
        <v>127</v>
      </c>
      <c r="N21" s="11">
        <f>IFERROR(VLOOKUP(N$2,'Summary Statistics'!$A$2:$AA$61, 17, FALSE), 0)</f>
        <v>1.3333333333333333</v>
      </c>
      <c r="P21" s="24" t="s">
        <v>127</v>
      </c>
      <c r="Q21" s="11">
        <f>IFERROR(VLOOKUP(Q$2,'Summary Statistics'!$A$2:$AA$61, 17, FALSE), 0)</f>
        <v>6</v>
      </c>
      <c r="S21" s="24" t="s">
        <v>127</v>
      </c>
      <c r="T21" s="11">
        <f>IFERROR(VLOOKUP(T$2,'Summary Statistics'!$A$2:$AA$61, 17, FALSE), 0)</f>
        <v>0</v>
      </c>
    </row>
    <row r="22" spans="1:23" x14ac:dyDescent="0.2">
      <c r="D22" s="14" t="s">
        <v>128</v>
      </c>
      <c r="E22" s="9">
        <f>IFERROR(VLOOKUP(E$2,'Summary Statistics'!$A$2:$AA$61, 18, FALSE), 0)</f>
        <v>0</v>
      </c>
      <c r="G22" s="14" t="s">
        <v>128</v>
      </c>
      <c r="H22" s="9">
        <f>IFERROR(VLOOKUP(H$2,'Summary Statistics'!$A$2:$AA$61, 18, FALSE), 0)</f>
        <v>3.9454615277134146</v>
      </c>
      <c r="J22" s="14" t="s">
        <v>128</v>
      </c>
      <c r="K22" s="9">
        <f>IFERROR(VLOOKUP(K$2,'Summary Statistics'!$A$2:$AA$61, 18, FALSE), 0)</f>
        <v>6.5027466724234522</v>
      </c>
      <c r="M22" s="24" t="s">
        <v>128</v>
      </c>
      <c r="N22" s="9">
        <f>IFERROR(VLOOKUP(N$2,'Summary Statistics'!$A$2:$AA$61, 18, FALSE), 0)</f>
        <v>2.3094010767585034</v>
      </c>
      <c r="P22" s="24" t="s">
        <v>128</v>
      </c>
      <c r="Q22" s="9">
        <f>IFERROR(VLOOKUP(Q$2,'Summary Statistics'!$A$2:$AA$61, 18, FALSE), 0)</f>
        <v>2.9154759474226504</v>
      </c>
      <c r="S22" s="24" t="s">
        <v>128</v>
      </c>
      <c r="T22" s="9">
        <f>IFERROR(VLOOKUP(T$2,'Summary Statistics'!$A$2:$AA$61, 18, FALSE), 0)</f>
        <v>0</v>
      </c>
    </row>
    <row r="23" spans="1:23" x14ac:dyDescent="0.2">
      <c r="D23" s="16" t="s">
        <v>184</v>
      </c>
      <c r="E23" s="9">
        <f>IFERROR(VLOOKUP(E$2,'Summary Statistics'!$A$2:$AA$61, 27, FALSE), 0)</f>
        <v>0</v>
      </c>
      <c r="G23" s="16" t="s">
        <v>184</v>
      </c>
      <c r="H23" s="9">
        <f>IFERROR(VLOOKUP(H$2,'Summary Statistics'!$A$2:$AA$61, 27, FALSE), 0)</f>
        <v>5</v>
      </c>
      <c r="J23" s="16" t="s">
        <v>184</v>
      </c>
      <c r="K23" s="9">
        <f>IFERROR(VLOOKUP(K$2,'Summary Statistics'!$A$2:$AA$61, 27, FALSE), 0)</f>
        <v>5</v>
      </c>
      <c r="M23" s="26" t="s">
        <v>184</v>
      </c>
      <c r="N23" s="9">
        <f>IFERROR(VLOOKUP(N$2,'Summary Statistics'!$A$2:$AA$61, 27, FALSE), 0)</f>
        <v>1</v>
      </c>
      <c r="P23" s="26" t="s">
        <v>184</v>
      </c>
      <c r="Q23" s="9">
        <f>IFERROR(VLOOKUP(Q$2,'Summary Statistics'!$A$2:$AA$61, 27, FALSE), 0)</f>
        <v>7</v>
      </c>
      <c r="S23" s="26" t="s">
        <v>184</v>
      </c>
      <c r="T23" s="9">
        <f>IFERROR(VLOOKUP(T$2,'Summary Statistics'!$A$2:$AA$61, 27, FALSE), 0)</f>
        <v>0</v>
      </c>
    </row>
    <row r="24" spans="1:23" x14ac:dyDescent="0.2">
      <c r="D24" s="17" t="s">
        <v>146</v>
      </c>
      <c r="E24" s="9">
        <f>IFERROR(VLOOKUP(E$2,'Summary Statistics'!$A$2:$AA$61,25,FALSE), 0)</f>
        <v>12</v>
      </c>
      <c r="G24" s="17" t="s">
        <v>146</v>
      </c>
      <c r="H24" s="9">
        <f>IFERROR(VLOOKUP(H$2,'Summary Statistics'!$A$2:$AA$61,25,FALSE), 0)</f>
        <v>12</v>
      </c>
      <c r="J24" s="17" t="s">
        <v>146</v>
      </c>
      <c r="K24" s="9">
        <f>IFERROR(VLOOKUP(K$2,'Summary Statistics'!$A$2:$AA$61,25,FALSE), 0)</f>
        <v>12</v>
      </c>
      <c r="M24" s="27" t="s">
        <v>146</v>
      </c>
      <c r="N24" s="9">
        <f>IFERROR(VLOOKUP(N$2,'Summary Statistics'!$A$2:$AA$61,25,FALSE), 0)</f>
        <v>12</v>
      </c>
      <c r="P24" s="27" t="s">
        <v>146</v>
      </c>
      <c r="Q24" s="9">
        <f>IFERROR(VLOOKUP(Q$2,'Summary Statistics'!$A$2:$AA$61,25,FALSE), 0)</f>
        <v>12</v>
      </c>
      <c r="S24" s="27" t="s">
        <v>146</v>
      </c>
      <c r="T24" s="9">
        <f>IFERROR(VLOOKUP(T$2,'Summary Statistics'!$A$2:$AA$61,25,FALSE), 0)</f>
        <v>12</v>
      </c>
    </row>
    <row r="26" spans="1:23" x14ac:dyDescent="0.2">
      <c r="A26" s="1" t="s">
        <v>102</v>
      </c>
      <c r="B26" s="1"/>
      <c r="D26" s="1" t="s">
        <v>104</v>
      </c>
      <c r="G26" s="1" t="s">
        <v>105</v>
      </c>
      <c r="J26" s="1" t="s">
        <v>155</v>
      </c>
      <c r="M26" s="1" t="s">
        <v>171</v>
      </c>
      <c r="S26" s="1" t="s">
        <v>168</v>
      </c>
    </row>
    <row r="27" spans="1:23" x14ac:dyDescent="0.2">
      <c r="A27" t="s">
        <v>111</v>
      </c>
      <c r="D27" t="s">
        <v>107</v>
      </c>
      <c r="E27">
        <f>E6+H6+K6</f>
        <v>11</v>
      </c>
      <c r="G27" t="s">
        <v>107</v>
      </c>
      <c r="H27">
        <f>N6+Q6+T6</f>
        <v>10</v>
      </c>
      <c r="J27" t="s">
        <v>167</v>
      </c>
      <c r="K27">
        <f>_xlfn.T.DIST(T27,11,TRUE)</f>
        <v>0.72586544803250619</v>
      </c>
      <c r="M27" t="s">
        <v>160</v>
      </c>
      <c r="N27">
        <v>0.5</v>
      </c>
      <c r="O27">
        <f>_xlfn.T.INV.2T(1-N27,11)</f>
        <v>0.69744532755988053</v>
      </c>
      <c r="S27" t="s">
        <v>252</v>
      </c>
      <c r="T27">
        <f>(W27-12)/W30</f>
        <v>0.61939700181838298</v>
      </c>
      <c r="V27" t="s">
        <v>150</v>
      </c>
      <c r="W27">
        <f>E7+H7+K7+E3+H3+K3</f>
        <v>12.284848484848485</v>
      </c>
    </row>
    <row r="28" spans="1:23" x14ac:dyDescent="0.2">
      <c r="D28" t="s">
        <v>103</v>
      </c>
      <c r="E28">
        <f>SQRT((E8^2)+(H8^2)+(K8^2))</f>
        <v>1.5930721226230742</v>
      </c>
      <c r="G28" t="s">
        <v>103</v>
      </c>
      <c r="H28">
        <f>SQRT((N8^2)+(Q8^2)+(T8^2))</f>
        <v>2.0282101379384643</v>
      </c>
      <c r="J28" t="s">
        <v>105</v>
      </c>
      <c r="K28">
        <f>_xlfn.T.DIST(T28,11,TRUE)</f>
        <v>0.21377991329405721</v>
      </c>
      <c r="N28" t="s">
        <v>156</v>
      </c>
      <c r="O28" t="s">
        <v>157</v>
      </c>
      <c r="S28" t="s">
        <v>253</v>
      </c>
      <c r="T28">
        <f>(W28-12)/W31</f>
        <v>-0.82378874696270177</v>
      </c>
      <c r="V28" t="s">
        <v>151</v>
      </c>
      <c r="W28">
        <f>N7+Q7+T7+N3+Q3+T3</f>
        <v>11.517676767676766</v>
      </c>
    </row>
    <row r="29" spans="1:23" x14ac:dyDescent="0.2">
      <c r="A29" t="s">
        <v>111</v>
      </c>
      <c r="D29" t="s">
        <v>109</v>
      </c>
      <c r="E29">
        <f>E3+H3+K3</f>
        <v>1.8681818181818184</v>
      </c>
      <c r="G29" t="s">
        <v>109</v>
      </c>
      <c r="H29">
        <f>N3+Q3+T3</f>
        <v>1.7676767676767677</v>
      </c>
      <c r="J29" s="1" t="s">
        <v>194</v>
      </c>
      <c r="M29" t="s">
        <v>158</v>
      </c>
      <c r="N29">
        <f>W$27-($O$27*W$30)</f>
        <v>11.964107111808485</v>
      </c>
      <c r="O29">
        <f>W$27+($O$27*W$30)</f>
        <v>12.605589857888486</v>
      </c>
      <c r="S29" s="10"/>
    </row>
    <row r="30" spans="1:23" x14ac:dyDescent="0.2">
      <c r="A30" t="s">
        <v>110</v>
      </c>
      <c r="D30" t="s">
        <v>108</v>
      </c>
      <c r="E30">
        <f>IF(E27+E29&gt;=12,4,IF(E27+E29&gt;=6,3,IF(E27+E29&gt;=2,2,1)))</f>
        <v>4</v>
      </c>
      <c r="G30" t="s">
        <v>108</v>
      </c>
      <c r="H30">
        <f>IF(H27+H29&gt;=12,4,IF(H27+H29&gt;=6,3,IF(H27+H29&gt;=2,2,1)))</f>
        <v>3</v>
      </c>
      <c r="J30" t="s">
        <v>167</v>
      </c>
      <c r="K30">
        <f>1-_xlfn.NORM.DIST(6,W27,W30,TRUE)</f>
        <v>1</v>
      </c>
      <c r="M30" t="s">
        <v>159</v>
      </c>
      <c r="N30">
        <f>W$28-($O$27*W$31)</f>
        <v>11.109326828450602</v>
      </c>
      <c r="O30">
        <f>W$28+($O$27*W$31)</f>
        <v>11.926026706902931</v>
      </c>
      <c r="S30" s="10" t="s">
        <v>254</v>
      </c>
      <c r="T30">
        <f>(W27-6)/W30</f>
        <v>13.666270018843884</v>
      </c>
      <c r="V30" t="s">
        <v>152</v>
      </c>
      <c r="W30">
        <f>SQRT(((E8/SQRT(E24))^2)+((H8/SQRT(H24))^2)+((K8/SQRT(K24))^2))</f>
        <v>0.45988030941746022</v>
      </c>
    </row>
    <row r="31" spans="1:23" x14ac:dyDescent="0.2">
      <c r="D31" t="s">
        <v>112</v>
      </c>
      <c r="E31">
        <f>IF(E29&gt;=3,2,IF(E29&gt;=1,1,0))</f>
        <v>1</v>
      </c>
      <c r="G31" t="s">
        <v>112</v>
      </c>
      <c r="H31">
        <f>IF(H29&gt;=3,2,IF(H29&gt;=1,1,0))</f>
        <v>1</v>
      </c>
      <c r="J31" t="s">
        <v>105</v>
      </c>
      <c r="K31">
        <f>1-_xlfn.NORM.DIST(6,W28,W31,TRUE)</f>
        <v>1</v>
      </c>
      <c r="S31" s="10" t="s">
        <v>255</v>
      </c>
      <c r="T31">
        <f>(W28-6)/W31</f>
        <v>9.4239707440497291</v>
      </c>
      <c r="V31" t="s">
        <v>153</v>
      </c>
      <c r="W31">
        <f>SQRT(((N8/SQRT(N24))^2)+((Q8/SQRT(Q24))^2)+((T8/SQRT(T24))^2))</f>
        <v>0.58549383455595017</v>
      </c>
    </row>
    <row r="32" spans="1:23" x14ac:dyDescent="0.2">
      <c r="D32" t="s">
        <v>114</v>
      </c>
      <c r="E32">
        <f>E11+H11+K11</f>
        <v>2.3333333333333335</v>
      </c>
      <c r="G32" t="s">
        <v>114</v>
      </c>
      <c r="H32">
        <f>N11+Q11+T11</f>
        <v>2.9090909090909092</v>
      </c>
      <c r="J32" s="1" t="s">
        <v>154</v>
      </c>
      <c r="M32" s="1" t="s">
        <v>172</v>
      </c>
      <c r="S32" s="10"/>
    </row>
    <row r="33" spans="1:23" x14ac:dyDescent="0.2">
      <c r="D33" t="s">
        <v>134</v>
      </c>
      <c r="E33">
        <f>IF(E18+H18+K18 &gt;= 1, 1, 0)</f>
        <v>0</v>
      </c>
      <c r="G33" t="s">
        <v>134</v>
      </c>
      <c r="H33">
        <f>IF(N18+Q18+T18 &gt;= 1, 1, 0)</f>
        <v>0</v>
      </c>
      <c r="J33" t="s">
        <v>104</v>
      </c>
      <c r="K33">
        <f>1-_xlfn.NORM.DIST(40,W39,W42,TRUE)</f>
        <v>0</v>
      </c>
      <c r="M33" t="s">
        <v>160</v>
      </c>
      <c r="N33">
        <v>0.8</v>
      </c>
      <c r="O33">
        <f>_xlfn.T.INV.2T(1-N33,11)</f>
        <v>1.3634303180205409</v>
      </c>
    </row>
    <row r="34" spans="1:23" x14ac:dyDescent="0.2">
      <c r="D34" t="s">
        <v>135</v>
      </c>
      <c r="E34">
        <f>IF(E19+H19+K19&gt;=3,3,IF(E19+H19+K19=2,2,IF(E19+H19+K19=1,1,0)))</f>
        <v>0</v>
      </c>
      <c r="G34" t="s">
        <v>135</v>
      </c>
      <c r="H34">
        <f>IF(N19+Q19+T19&gt;=3,3,IF(N19+Q19+T19=2,2,IF(N19+Q19+T19=1,1,0)))</f>
        <v>0</v>
      </c>
      <c r="J34" t="s">
        <v>105</v>
      </c>
      <c r="K34">
        <f>1-_xlfn.NORM.DIST(40,W40,W43,TRUE)</f>
        <v>0</v>
      </c>
      <c r="N34" t="s">
        <v>156</v>
      </c>
      <c r="O34" t="s">
        <v>157</v>
      </c>
    </row>
    <row r="35" spans="1:23" x14ac:dyDescent="0.2">
      <c r="D35" t="s">
        <v>136</v>
      </c>
      <c r="E35">
        <f>IF(E20+H20+K20 &gt;=1, 1, 0)</f>
        <v>0</v>
      </c>
      <c r="G35" t="s">
        <v>136</v>
      </c>
      <c r="H35">
        <f>IF(N20+Q20+NT20 &gt;=1, 1, 0)</f>
        <v>0</v>
      </c>
      <c r="M35" t="s">
        <v>165</v>
      </c>
      <c r="N35">
        <f>W39-($O$33*$W42)</f>
        <v>9.0021122577618922</v>
      </c>
      <c r="O35">
        <f>W39+($O$33*$W42)</f>
        <v>10.997887742238108</v>
      </c>
    </row>
    <row r="36" spans="1:23" x14ac:dyDescent="0.2">
      <c r="D36" t="s">
        <v>144</v>
      </c>
      <c r="E36">
        <f>E9+H9+K9</f>
        <v>2.5831247392574048</v>
      </c>
      <c r="G36" t="s">
        <v>144</v>
      </c>
      <c r="H36">
        <f>N9+Q9+T9</f>
        <v>2.6279069767441863</v>
      </c>
      <c r="M36" t="s">
        <v>166</v>
      </c>
      <c r="N36">
        <f>W40-($O$33*$W43)</f>
        <v>7.5120396993225862</v>
      </c>
      <c r="O36">
        <f>W40+($O$33*$W43)</f>
        <v>8.4879603006774129</v>
      </c>
    </row>
    <row r="37" spans="1:23" x14ac:dyDescent="0.2">
      <c r="D37" t="s">
        <v>145</v>
      </c>
      <c r="E37">
        <f>E10+H10+K10</f>
        <v>2.75</v>
      </c>
      <c r="G37" t="s">
        <v>145</v>
      </c>
      <c r="H37">
        <f>N10+Q10+T10</f>
        <v>1.1666666666666667</v>
      </c>
    </row>
    <row r="38" spans="1:23" x14ac:dyDescent="0.2">
      <c r="D38" t="s">
        <v>149</v>
      </c>
      <c r="E38">
        <f>E23+H23+K23</f>
        <v>10</v>
      </c>
      <c r="G38" t="s">
        <v>149</v>
      </c>
      <c r="H38">
        <f>N23+Q23+T23</f>
        <v>8</v>
      </c>
      <c r="S38" s="1" t="s">
        <v>169</v>
      </c>
    </row>
    <row r="39" spans="1:23" x14ac:dyDescent="0.2">
      <c r="A39" t="s">
        <v>131</v>
      </c>
      <c r="D39" t="s">
        <v>71</v>
      </c>
      <c r="E39">
        <f>IFERROR(AVERAGE(E21, H21, K21), 0)</f>
        <v>4.3999999999999995</v>
      </c>
      <c r="G39" t="s">
        <v>71</v>
      </c>
      <c r="H39">
        <f>AVERAGE(N21, Q21, T21)</f>
        <v>2.4444444444444442</v>
      </c>
      <c r="V39" t="s">
        <v>161</v>
      </c>
      <c r="W39">
        <f>E23+H23+K23</f>
        <v>10</v>
      </c>
    </row>
    <row r="40" spans="1:23" x14ac:dyDescent="0.2">
      <c r="A40" t="s">
        <v>132</v>
      </c>
      <c r="D40" t="s">
        <v>130</v>
      </c>
      <c r="E40">
        <f>SQRT((E22^2)+(H22^2)+(K22^2))</f>
        <v>7.6060752660212971</v>
      </c>
      <c r="G40" t="s">
        <v>130</v>
      </c>
      <c r="H40">
        <f>SQRT((N22^2)+(Q22^2)+(T22^2))</f>
        <v>3.7193189340702331</v>
      </c>
      <c r="V40" t="s">
        <v>162</v>
      </c>
      <c r="W40">
        <f>N23+Q23+T23</f>
        <v>8</v>
      </c>
    </row>
    <row r="41" spans="1:23" x14ac:dyDescent="0.2">
      <c r="A41" t="s">
        <v>133</v>
      </c>
    </row>
    <row r="42" spans="1:23" x14ac:dyDescent="0.2">
      <c r="V42" t="s">
        <v>163</v>
      </c>
      <c r="W42">
        <f>(SQRT(((E22/SQRT(E24))^2)+((H22/SQRT(H24))^2)+((K22/SQRT(K24))^2)))/3</f>
        <v>0.73189493371899184</v>
      </c>
    </row>
    <row r="43" spans="1:23" x14ac:dyDescent="0.2">
      <c r="A43" s="1" t="s">
        <v>115</v>
      </c>
      <c r="D43" t="s">
        <v>116</v>
      </c>
      <c r="E43">
        <f>IF(AND(E3&gt;=H3, E3&gt;=K3), E3*60, IF(AND(H3&gt;=E3, H3&gt;=K3), H3*60, K3*60))</f>
        <v>49.090909090909093</v>
      </c>
      <c r="G43" t="s">
        <v>116</v>
      </c>
      <c r="H43">
        <f>H31 *60</f>
        <v>60</v>
      </c>
      <c r="V43" t="s">
        <v>164</v>
      </c>
      <c r="W43">
        <f>(SQRT(((N22/SQRT(N24))^2)+((Q22/SQRT(Q24))^2)+((T22/SQRT(T24))^2)))/3</f>
        <v>0.35789163129792018</v>
      </c>
    </row>
    <row r="44" spans="1:23" x14ac:dyDescent="0.2">
      <c r="D44" t="s">
        <v>117</v>
      </c>
      <c r="E44">
        <f>(E30 - E31) * 40</f>
        <v>120</v>
      </c>
      <c r="G44" t="s">
        <v>117</v>
      </c>
      <c r="H44">
        <f>(H30 - H31) * 40</f>
        <v>80</v>
      </c>
    </row>
    <row r="45" spans="1:23" x14ac:dyDescent="0.2">
      <c r="D45" t="s">
        <v>118</v>
      </c>
      <c r="E45">
        <f>E32 * 50</f>
        <v>116.66666666666667</v>
      </c>
      <c r="G45" t="s">
        <v>118</v>
      </c>
      <c r="H45">
        <f>H32 * 50</f>
        <v>145.45454545454547</v>
      </c>
    </row>
    <row r="46" spans="1:23" x14ac:dyDescent="0.2">
      <c r="D46" t="s">
        <v>140</v>
      </c>
      <c r="E46">
        <f>E39</f>
        <v>4.3999999999999995</v>
      </c>
      <c r="G46" t="s">
        <v>140</v>
      </c>
      <c r="H46">
        <f>H39</f>
        <v>2.4444444444444442</v>
      </c>
    </row>
    <row r="47" spans="1:23" x14ac:dyDescent="0.2">
      <c r="D47" s="1" t="s">
        <v>141</v>
      </c>
      <c r="E47" s="1">
        <f>SUM(E43:E46)</f>
        <v>290.15757575757573</v>
      </c>
      <c r="G47" s="1" t="s">
        <v>141</v>
      </c>
      <c r="H47" s="1">
        <f>SUM(H43:H46)</f>
        <v>287.89898989898995</v>
      </c>
    </row>
    <row r="49" spans="1:9" x14ac:dyDescent="0.2">
      <c r="A49" s="1" t="s">
        <v>142</v>
      </c>
      <c r="C49">
        <f>E2</f>
        <v>1712</v>
      </c>
      <c r="D49" t="s">
        <v>14</v>
      </c>
      <c r="E49" t="str">
        <f>IF(AND(E$15=E$16, E$15=E$17), "Ground, Hopper, Other", IF(AND(E$15=E$16, E$15&gt;E$17), "Ground, Hopper", IF(AND(E$15=E$17, E$15&gt;E$16), "Ground, Other", IF(AND(E$16=E$17, E$16&gt;E$15), "Hopper, Other", IF(AND(E$15&gt;E$16, E$15&gt;E$17), "Ground", IF(AND(E$16&gt;E$15, E$16&gt;E$17), "Hopper", "Other"))))))</f>
        <v>Ground, Hopper, Other</v>
      </c>
      <c r="G49">
        <f>N2</f>
        <v>4750</v>
      </c>
      <c r="H49" t="s">
        <v>14</v>
      </c>
      <c r="I49" t="str">
        <f>IF(AND(N$15=N$16, N$15=N$17), "Ground, Hopper, Other", IF(AND(N$15=N$16, N$15&gt;N$17), "Ground, Hopper", IF(AND(N$15=N$17, N$15&gt;N$16), "Ground, Other", IF(AND(N$16=N$17, N$16&gt;N$15), "Hopper, Other", IF(AND(N$15&gt;N$16, N$15&gt;N$17), "Ground", IF(AND(N$16&gt;N$15, N$16&gt;N$17), "Hopper", "Other"))))))</f>
        <v>Ground, Hopper, Other</v>
      </c>
    </row>
    <row r="50" spans="1:9" x14ac:dyDescent="0.2">
      <c r="C50">
        <f>H2</f>
        <v>303</v>
      </c>
      <c r="D50" t="s">
        <v>14</v>
      </c>
      <c r="E50" t="str">
        <f>IF(AND(H$15=H$16, H$15=H$17), "Ground, Hopper, Other", IF(AND(H$15=H$16, H$15&gt;H$17), "Ground, Hopper", IF(AND(H$15=H$17, H$15&gt;H$16), "Ground, Other", IF(AND(H$16=H$17, H$16&gt;H$15), "Hopper, Other", IF(AND(H$15&gt;H$16, H$15&gt;H$17), "Ground", IF(AND(H$16&gt;H$15, H$16&gt;H$17), "Hopper", "Other"))))))</f>
        <v>Ground</v>
      </c>
      <c r="G50">
        <f>Q2</f>
        <v>365</v>
      </c>
      <c r="H50" t="s">
        <v>14</v>
      </c>
      <c r="I50" t="str">
        <f>IF(AND(Q$15=Q$16, Q$15=Q$17), "Ground, Hopper, Other", IF(AND(Q$15=Q$16, Q$15&gt;Q$17), "Ground, Hopper", IF(AND(Q$15=Q$17, Q$15&gt;Q$16), "Ground, Other", IF(AND(Q$16=Q$17, Q$16&gt;Q$15), "Hopper, Other", IF(AND(Q$15&gt;Q$16, Q$15&gt;Q$17), "Ground", IF(AND(Q$16&gt;Q$15, Q$16&gt;Q$17), "Hopper", "Other"))))))</f>
        <v>Ground, Hopper</v>
      </c>
    </row>
    <row r="51" spans="1:9" x14ac:dyDescent="0.2">
      <c r="C51">
        <f>K2</f>
        <v>2590</v>
      </c>
      <c r="D51" t="s">
        <v>14</v>
      </c>
      <c r="E51" t="str">
        <f>IF(AND(K$15=K$16, K$15=K$17), "Ground, Hopper, Other", IF(AND(K$15=K$16, K$15&gt;K$17), "Ground, Hopper", IF(AND(K$15=K$17, K$15&gt;K$16), "Ground, Other", IF(AND(K$16=K$17, K$16&gt;K$15), "Hopper, Other", IF(AND(K$15&gt;K$16, K$15&gt;K$17), "Ground", IF(AND(K$16&gt;K$15, K$16&gt;K$17), "Hopper", "Other"))))))</f>
        <v>Hopper</v>
      </c>
      <c r="G51">
        <f>T2</f>
        <v>272</v>
      </c>
      <c r="H51" t="s">
        <v>14</v>
      </c>
      <c r="I51" t="str">
        <f>IF(AND(T$15=T$16, T$15=T$17), "Ground, Hopper, Other", IF(AND(T$15=T$16, T$15&gt;T$17), "Ground, Hopper", IF(AND(T$15=T$17, T$15&gt;T$16), "Ground, Other", IF(AND(T$16=T$17, T$16&gt;T$15), "Hopper, Other", IF(AND(T$15&gt;T$16, T$15&gt;T$17), "Ground", IF(AND(T$16&gt;T$15, T$16&gt;T$17), "Hopper", "Other"))))))</f>
        <v>Hopper</v>
      </c>
    </row>
  </sheetData>
  <conditionalFormatting sqref="M29:O29">
    <cfRule type="expression" dxfId="7" priority="8" stopIfTrue="1">
      <formula>$O$29&lt;$N$30</formula>
    </cfRule>
    <cfRule type="expression" dxfId="6" priority="9" stopIfTrue="1">
      <formula>$N$29&gt;$O$30</formula>
    </cfRule>
  </conditionalFormatting>
  <conditionalFormatting sqref="M30:O30">
    <cfRule type="expression" dxfId="5" priority="5" stopIfTrue="1">
      <formula>$N$30&gt;$O$29</formula>
    </cfRule>
    <cfRule type="expression" dxfId="4" priority="6" stopIfTrue="1">
      <formula>$O$30&lt;$N$29</formula>
    </cfRule>
  </conditionalFormatting>
  <conditionalFormatting sqref="M35:O35">
    <cfRule type="expression" dxfId="3" priority="3" stopIfTrue="1">
      <formula>$N$35&gt;$O$36</formula>
    </cfRule>
    <cfRule type="expression" dxfId="2" priority="4" stopIfTrue="1">
      <formula>$O$35&lt;$N$36</formula>
    </cfRule>
  </conditionalFormatting>
  <conditionalFormatting sqref="M36:O36">
    <cfRule type="expression" dxfId="1" priority="1" stopIfTrue="1">
      <formula>$N$36&gt;$O$35</formula>
    </cfRule>
    <cfRule type="expression" dxfId="0" priority="2" stopIfTrue="1">
      <formula>$O$36&lt;$N$35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3" name="Button 4">
              <controlPr defaultSize="0" autoFill="0" autoPict="0" macro="[0]!Button1_Click">
                <anchor moveWithCells="1" sizeWithCells="1">
                  <from>
                    <xdr:col>12</xdr:col>
                    <xdr:colOff>533400</xdr:colOff>
                    <xdr:row>41</xdr:row>
                    <xdr:rowOff>114300</xdr:rowOff>
                  </from>
                  <to>
                    <xdr:col>13</xdr:col>
                    <xdr:colOff>330200</xdr:colOff>
                    <xdr:row>46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AC61"/>
  <sheetViews>
    <sheetView workbookViewId="0">
      <selection activeCell="E25" sqref="E25"/>
    </sheetView>
  </sheetViews>
  <sheetFormatPr baseColWidth="10" defaultColWidth="11.5" defaultRowHeight="15" x14ac:dyDescent="0.2"/>
  <cols>
    <col min="8" max="15" width="11.5" customWidth="1"/>
  </cols>
  <sheetData>
    <row r="1" spans="1:29" x14ac:dyDescent="0.2">
      <c r="A1" t="s">
        <v>90</v>
      </c>
      <c r="B1" t="s">
        <v>176</v>
      </c>
      <c r="C1" t="s">
        <v>350</v>
      </c>
      <c r="D1" t="s">
        <v>55</v>
      </c>
      <c r="E1" t="s">
        <v>91</v>
      </c>
      <c r="F1" t="s">
        <v>92</v>
      </c>
      <c r="G1" t="s">
        <v>93</v>
      </c>
      <c r="H1" t="s">
        <v>103</v>
      </c>
      <c r="I1" t="s">
        <v>206</v>
      </c>
      <c r="J1" t="s">
        <v>143</v>
      </c>
      <c r="K1" t="s">
        <v>95</v>
      </c>
      <c r="L1" t="s">
        <v>197</v>
      </c>
      <c r="M1" t="s">
        <v>120</v>
      </c>
      <c r="N1" t="s">
        <v>121</v>
      </c>
      <c r="O1" t="s">
        <v>122</v>
      </c>
      <c r="P1" t="s">
        <v>123</v>
      </c>
      <c r="Q1" t="s">
        <v>129</v>
      </c>
      <c r="R1" t="s">
        <v>130</v>
      </c>
      <c r="T1" t="s">
        <v>94</v>
      </c>
      <c r="U1" s="2" t="s">
        <v>177</v>
      </c>
      <c r="V1" t="s">
        <v>137</v>
      </c>
      <c r="W1" t="s">
        <v>138</v>
      </c>
      <c r="X1" t="s">
        <v>139</v>
      </c>
      <c r="Y1" t="s">
        <v>146</v>
      </c>
      <c r="AA1" t="s">
        <v>184</v>
      </c>
      <c r="AC1" t="s">
        <v>251</v>
      </c>
    </row>
    <row r="2" spans="1:29" x14ac:dyDescent="0.2">
      <c r="A2">
        <v>3974</v>
      </c>
      <c r="B2">
        <f>'3974'!$D$19</f>
        <v>0.54545454545454541</v>
      </c>
      <c r="C2">
        <v>1</v>
      </c>
      <c r="D2">
        <f>'3974'!$K$19</f>
        <v>0.98076923076923073</v>
      </c>
      <c r="E2">
        <f>'3974'!$K$22</f>
        <v>4.25</v>
      </c>
      <c r="F2">
        <f>'3974'!$L$22</f>
        <v>4</v>
      </c>
      <c r="G2">
        <f>'3974'!$M$22</f>
        <v>6</v>
      </c>
      <c r="H2">
        <f>'3974'!$N$22</f>
        <v>0.96530729916342273</v>
      </c>
      <c r="I2">
        <f>'3974'!$K$16/('3974'!$L$16+'3974'!$K$16)</f>
        <v>0.94736842105263153</v>
      </c>
      <c r="J2">
        <f>'3974'!$M$16/'3974'!$A$31</f>
        <v>1.4166666666666667</v>
      </c>
      <c r="K2" t="e">
        <f>'3974'!$P$36</f>
        <v>#DIV/0!</v>
      </c>
      <c r="L2" t="e">
        <f>'3974'!$R$36</f>
        <v>#DIV/0!</v>
      </c>
      <c r="M2" t="e">
        <f>'3974'!$G$20</f>
        <v>#DIV/0!</v>
      </c>
      <c r="N2" t="e">
        <f>'3974'!$G$22</f>
        <v>#DIV/0!</v>
      </c>
      <c r="O2" t="e">
        <f>'3974'!$G$24</f>
        <v>#DIV/0!</v>
      </c>
      <c r="P2" t="e">
        <f>'3974'!$G$26</f>
        <v>#DIV/0!</v>
      </c>
      <c r="Q2" t="e">
        <f>'3974'!$P$31</f>
        <v>#DIV/0!</v>
      </c>
      <c r="R2" t="e">
        <f>'3974'!$S$31</f>
        <v>#DIV/0!</v>
      </c>
      <c r="T2">
        <f>'3974'!$P$19</f>
        <v>0.90909090909090906</v>
      </c>
      <c r="U2">
        <f>'3974'!$T$16</f>
        <v>10</v>
      </c>
      <c r="V2">
        <f>'3974'!$G$31</f>
        <v>0</v>
      </c>
      <c r="W2">
        <f>'3974'!$H$31</f>
        <v>8.3333333333333329E-2</v>
      </c>
      <c r="X2">
        <f>'3974'!$I$31</f>
        <v>0</v>
      </c>
      <c r="Y2">
        <f>'3974'!$A$31</f>
        <v>12</v>
      </c>
      <c r="AA2" t="e">
        <f>'3974'!$Q$34</f>
        <v>#NUM!</v>
      </c>
      <c r="AC2">
        <f t="shared" ref="AC2:AC33" si="0">IFERROR(B2,0)+E2</f>
        <v>4.795454545454545</v>
      </c>
    </row>
    <row r="3" spans="1:29" x14ac:dyDescent="0.2">
      <c r="A3">
        <v>2590</v>
      </c>
      <c r="B3">
        <f>'2590'!$D$19</f>
        <v>0.8</v>
      </c>
      <c r="C3">
        <v>1</v>
      </c>
      <c r="D3">
        <f>'2590'!$K$19</f>
        <v>0.90384615384615385</v>
      </c>
      <c r="E3">
        <f>'2590'!$K$22</f>
        <v>3.9166666666666665</v>
      </c>
      <c r="F3">
        <f>'2590'!$L$22</f>
        <v>4</v>
      </c>
      <c r="G3">
        <f>'2590'!$M$22</f>
        <v>6</v>
      </c>
      <c r="H3">
        <f>'2590'!$N$22</f>
        <v>0.99620491989562143</v>
      </c>
      <c r="I3">
        <f>'2590'!$K$16/('2590'!$L$16+'2590'!$K$16)</f>
        <v>0.91666666666666663</v>
      </c>
      <c r="J3">
        <f>'2590'!$M$16/'2590'!$A$31</f>
        <v>1.75</v>
      </c>
      <c r="K3">
        <f>'2590'!$P$36</f>
        <v>0</v>
      </c>
      <c r="L3">
        <f>'2590'!$R$36</f>
        <v>1</v>
      </c>
      <c r="M3">
        <f>'2590'!$G$20</f>
        <v>0.5</v>
      </c>
      <c r="N3">
        <f>'2590'!$G$22</f>
        <v>1</v>
      </c>
      <c r="O3">
        <f>'2590'!$G$24</f>
        <v>0</v>
      </c>
      <c r="P3">
        <f>'2590'!$G$26</f>
        <v>0</v>
      </c>
      <c r="Q3">
        <f>'2590'!$P$31</f>
        <v>6.5</v>
      </c>
      <c r="R3">
        <f>'2590'!$S$31</f>
        <v>6.5027466724234522</v>
      </c>
      <c r="T3">
        <f>'2590'!$P$19</f>
        <v>0.75</v>
      </c>
      <c r="U3">
        <f>'2590'!$T$16</f>
        <v>9</v>
      </c>
      <c r="V3">
        <f>'2590'!$G$31</f>
        <v>8.3333333333333329E-2</v>
      </c>
      <c r="W3">
        <f>'2590'!$H$31</f>
        <v>0.25</v>
      </c>
      <c r="X3">
        <f>'2590'!$I$31</f>
        <v>0</v>
      </c>
      <c r="Y3">
        <f>'2590'!$A$31</f>
        <v>12</v>
      </c>
      <c r="AA3">
        <f>'2590'!$Q$34</f>
        <v>5</v>
      </c>
      <c r="AC3">
        <f t="shared" si="0"/>
        <v>4.7166666666666668</v>
      </c>
    </row>
    <row r="4" spans="1:29" x14ac:dyDescent="0.2">
      <c r="A4">
        <v>193</v>
      </c>
      <c r="B4">
        <f>'193'!$D$19</f>
        <v>0.36363636363636365</v>
      </c>
      <c r="C4">
        <v>0</v>
      </c>
      <c r="D4">
        <f>'193'!$K$19</f>
        <v>0.98076923076923073</v>
      </c>
      <c r="E4">
        <f>'193'!$K$22</f>
        <v>4.25</v>
      </c>
      <c r="F4">
        <f>'193'!$L$22</f>
        <v>4</v>
      </c>
      <c r="G4">
        <f>'193'!$M$22</f>
        <v>7</v>
      </c>
      <c r="H4">
        <f>'193'!$N$22</f>
        <v>1.2880570286640687</v>
      </c>
      <c r="I4">
        <f>'193'!$K$16/('193'!$L16+'193'!$K$16)</f>
        <v>1</v>
      </c>
      <c r="J4">
        <f>'193'!$M$16/'193'!$A$31</f>
        <v>0.83333333333333337</v>
      </c>
      <c r="K4" t="e">
        <f>'193'!$P$36</f>
        <v>#DIV/0!</v>
      </c>
      <c r="L4" t="e">
        <f>'193'!$R$36</f>
        <v>#DIV/0!</v>
      </c>
      <c r="M4" t="e">
        <f>'193'!$G$20</f>
        <v>#DIV/0!</v>
      </c>
      <c r="N4" t="e">
        <f>'193'!$G$22</f>
        <v>#DIV/0!</v>
      </c>
      <c r="O4" t="e">
        <f>'193'!$G$24</f>
        <v>#DIV/0!</v>
      </c>
      <c r="P4" t="e">
        <f>'193'!$G$26</f>
        <v>#DIV/0!</v>
      </c>
      <c r="Q4" t="e">
        <f>'193'!$P$31</f>
        <v>#DIV/0!</v>
      </c>
      <c r="R4" t="e">
        <f>'193'!$S$31</f>
        <v>#DIV/0!</v>
      </c>
      <c r="T4">
        <f>'193'!$P$19</f>
        <v>0.91666666666666663</v>
      </c>
      <c r="U4">
        <f>'193'!$T$16</f>
        <v>11</v>
      </c>
      <c r="V4">
        <f>'193'!$G$31</f>
        <v>0</v>
      </c>
      <c r="W4">
        <f>'193'!$H$31</f>
        <v>8.3333333333333329E-2</v>
      </c>
      <c r="X4">
        <f>'193'!$I$31</f>
        <v>0</v>
      </c>
      <c r="Y4">
        <f>'193'!$A$31</f>
        <v>12</v>
      </c>
      <c r="AA4" t="e">
        <f>'193'!$Q$34</f>
        <v>#NUM!</v>
      </c>
      <c r="AC4">
        <f t="shared" si="0"/>
        <v>4.6136363636363633</v>
      </c>
    </row>
    <row r="5" spans="1:29" x14ac:dyDescent="0.2">
      <c r="A5" s="2">
        <v>1807</v>
      </c>
      <c r="B5">
        <f>'1807'!$D$19</f>
        <v>0.2</v>
      </c>
      <c r="C5">
        <v>0</v>
      </c>
      <c r="D5">
        <f>'1807'!$K$19</f>
        <v>0.97916666666666663</v>
      </c>
      <c r="E5">
        <f>'1807'!$K$22</f>
        <v>4.2727272727272725</v>
      </c>
      <c r="F5">
        <f>'1807'!$L$22</f>
        <v>4</v>
      </c>
      <c r="G5">
        <f>'1807'!$M$22</f>
        <v>6</v>
      </c>
      <c r="H5">
        <f>'1807'!$N$22</f>
        <v>1.0090499582190262</v>
      </c>
      <c r="I5">
        <f>'1807'!$K$16/('1807'!$L16+'1807'!$K$16)</f>
        <v>0.85416666666666663</v>
      </c>
      <c r="J5">
        <f>'1807'!$M$16/'1807'!$A$31</f>
        <v>0</v>
      </c>
      <c r="K5" t="e">
        <f>'1807'!$P$36</f>
        <v>#DIV/0!</v>
      </c>
      <c r="L5" t="e">
        <f>'1807'!$R$36</f>
        <v>#DIV/0!</v>
      </c>
      <c r="M5" t="e">
        <f>'1807'!$G$20</f>
        <v>#DIV/0!</v>
      </c>
      <c r="N5" t="e">
        <f>'1807'!$G$22</f>
        <v>#DIV/0!</v>
      </c>
      <c r="O5" t="e">
        <f>'1807'!$G$24</f>
        <v>#DIV/0!</v>
      </c>
      <c r="P5" t="e">
        <f>'1807'!$G$26</f>
        <v>#DIV/0!</v>
      </c>
      <c r="Q5" t="e">
        <f>'1807'!$P$31</f>
        <v>#DIV/0!</v>
      </c>
      <c r="R5" t="e">
        <f>'1807'!$S$31</f>
        <v>#DIV/0!</v>
      </c>
      <c r="T5">
        <f>'1807'!$P$19</f>
        <v>0.77777777777777779</v>
      </c>
      <c r="U5">
        <f>'1807'!$T$16</f>
        <v>7</v>
      </c>
      <c r="V5">
        <f>'1807'!$G$31</f>
        <v>0</v>
      </c>
      <c r="W5">
        <f>'1807'!$H$31</f>
        <v>9.0909090909090912E-2</v>
      </c>
      <c r="X5">
        <f>'1807'!$I$31</f>
        <v>0</v>
      </c>
      <c r="Y5">
        <f>'1807'!$A$31</f>
        <v>11</v>
      </c>
      <c r="AA5" t="e">
        <f>'1807'!$Q$34</f>
        <v>#NUM!</v>
      </c>
      <c r="AC5">
        <f t="shared" si="0"/>
        <v>4.4727272727272727</v>
      </c>
    </row>
    <row r="6" spans="1:29" x14ac:dyDescent="0.2">
      <c r="A6">
        <v>75</v>
      </c>
      <c r="B6">
        <f>'75'!$D$19</f>
        <v>0.5</v>
      </c>
      <c r="C6">
        <v>0</v>
      </c>
      <c r="D6">
        <f>'75'!$K$19</f>
        <v>0.97872340425531912</v>
      </c>
      <c r="E6">
        <f>'75'!$K$22</f>
        <v>3.8333333333333335</v>
      </c>
      <c r="F6">
        <f>'75'!$L$22</f>
        <v>4</v>
      </c>
      <c r="G6">
        <f>'75'!$M$22</f>
        <v>6</v>
      </c>
      <c r="H6">
        <f>'75'!$N$22</f>
        <v>1.3371158468430426</v>
      </c>
      <c r="I6">
        <f>'75'!$K16/('75'!$L16+'75'!$K$16)</f>
        <v>1</v>
      </c>
      <c r="J6">
        <f>'75'!$M$16/'75'!$A$31</f>
        <v>2.1666666666666665</v>
      </c>
      <c r="K6" t="e">
        <f>'75'!$P$36</f>
        <v>#DIV/0!</v>
      </c>
      <c r="L6" t="e">
        <f>'75'!$R$36</f>
        <v>#DIV/0!</v>
      </c>
      <c r="M6" t="e">
        <f>'75'!$G$20</f>
        <v>#DIV/0!</v>
      </c>
      <c r="N6" t="e">
        <f>'75'!$G$22</f>
        <v>#DIV/0!</v>
      </c>
      <c r="O6" t="e">
        <f>'75'!$G$24</f>
        <v>#DIV/0!</v>
      </c>
      <c r="P6" t="e">
        <f>'75'!$G$26</f>
        <v>#DIV/0!</v>
      </c>
      <c r="Q6" t="e">
        <f>'75'!$P$31</f>
        <v>#DIV/0!</v>
      </c>
      <c r="R6" t="e">
        <f>'75'!$S$31</f>
        <v>#DIV/0!</v>
      </c>
      <c r="T6">
        <f>'75'!$P$19</f>
        <v>1</v>
      </c>
      <c r="U6">
        <f>'75'!$T$16</f>
        <v>11</v>
      </c>
      <c r="V6">
        <f>'75'!$G$31</f>
        <v>0</v>
      </c>
      <c r="W6">
        <f>'75'!$H$31</f>
        <v>8.3333333333333329E-2</v>
      </c>
      <c r="X6">
        <f>'75'!$I$31</f>
        <v>0</v>
      </c>
      <c r="Y6">
        <f>'75'!$A$31</f>
        <v>12</v>
      </c>
      <c r="AA6" t="e">
        <f>'75'!$Q$34</f>
        <v>#NUM!</v>
      </c>
      <c r="AC6">
        <f t="shared" si="0"/>
        <v>4.3333333333333339</v>
      </c>
    </row>
    <row r="7" spans="1:29" x14ac:dyDescent="0.2">
      <c r="A7" s="2">
        <v>834</v>
      </c>
      <c r="B7">
        <f>'834'!$D$19</f>
        <v>0.25</v>
      </c>
      <c r="C7">
        <v>0</v>
      </c>
      <c r="D7">
        <f>'834'!$K$19</f>
        <v>1</v>
      </c>
      <c r="E7">
        <f>'834'!$K$22</f>
        <v>4</v>
      </c>
      <c r="F7">
        <f>'834'!$L$22</f>
        <v>4</v>
      </c>
      <c r="G7">
        <f>'834'!$M$22</f>
        <v>6</v>
      </c>
      <c r="H7">
        <f>'834'!$N$22</f>
        <v>0.95346258924559235</v>
      </c>
      <c r="I7">
        <f>'834'!$K$16/('834'!$L16+'834'!$K$16)</f>
        <v>0.89583333333333337</v>
      </c>
      <c r="J7">
        <f>'834'!$M$16/'834'!$A$31</f>
        <v>0</v>
      </c>
      <c r="K7" t="e">
        <f>'834'!$P$36</f>
        <v>#DIV/0!</v>
      </c>
      <c r="L7" t="e">
        <f>'834'!$R$36</f>
        <v>#DIV/0!</v>
      </c>
      <c r="M7" t="e">
        <f>'834'!$G$20</f>
        <v>#DIV/0!</v>
      </c>
      <c r="N7" t="e">
        <f>'834'!$G$22</f>
        <v>#DIV/0!</v>
      </c>
      <c r="O7" t="e">
        <f>'834'!$G$24</f>
        <v>#DIV/0!</v>
      </c>
      <c r="P7" t="e">
        <f>'834'!$G$26</f>
        <v>#DIV/0!</v>
      </c>
      <c r="Q7" t="e">
        <f>'834'!$P$31</f>
        <v>#DIV/0!</v>
      </c>
      <c r="R7" t="e">
        <f>'834'!$S$31</f>
        <v>#DIV/0!</v>
      </c>
      <c r="T7">
        <f>'834'!$P$19</f>
        <v>0.91666666666666663</v>
      </c>
      <c r="U7">
        <f>'834'!$T$16</f>
        <v>11</v>
      </c>
      <c r="V7">
        <f>'834'!$G$31</f>
        <v>8.3333333333333329E-2</v>
      </c>
      <c r="W7">
        <f>'834'!$H$31</f>
        <v>0.25</v>
      </c>
      <c r="X7">
        <f>'834'!$I$31</f>
        <v>0</v>
      </c>
      <c r="Y7">
        <f>'834'!$A$31</f>
        <v>12</v>
      </c>
      <c r="AA7" t="e">
        <f>'834'!$Q$34</f>
        <v>#NUM!</v>
      </c>
      <c r="AC7">
        <f t="shared" si="0"/>
        <v>4.25</v>
      </c>
    </row>
    <row r="8" spans="1:29" x14ac:dyDescent="0.2">
      <c r="A8">
        <v>2729</v>
      </c>
      <c r="B8">
        <f>'2729'!$D$19</f>
        <v>0.63636363636363635</v>
      </c>
      <c r="C8">
        <v>1</v>
      </c>
      <c r="D8">
        <f>'2729'!$K$19</f>
        <v>0.97777777777777775</v>
      </c>
      <c r="E8">
        <f>'2729'!$K$22</f>
        <v>3.5833333333333335</v>
      </c>
      <c r="F8">
        <f>'2729'!$L$22</f>
        <v>3.5</v>
      </c>
      <c r="G8">
        <f>'2729'!$M$22</f>
        <v>5</v>
      </c>
      <c r="H8">
        <f>'2729'!$N$22</f>
        <v>1.1645001528813146</v>
      </c>
      <c r="I8">
        <f>'2729'!$K$16/('2729'!$L$16+'2729'!$K$16)</f>
        <v>0.93617021276595747</v>
      </c>
      <c r="J8">
        <f>'2729'!$M$16/'2729'!$A$31</f>
        <v>0</v>
      </c>
      <c r="K8" t="e">
        <f>'2729'!$P$36</f>
        <v>#DIV/0!</v>
      </c>
      <c r="L8" t="e">
        <f>'2729'!$R$36</f>
        <v>#DIV/0!</v>
      </c>
      <c r="M8" t="e">
        <f>'2729'!$G$20</f>
        <v>#DIV/0!</v>
      </c>
      <c r="N8" t="e">
        <f>'2729'!$G$22</f>
        <v>#DIV/0!</v>
      </c>
      <c r="O8" t="e">
        <f>'2729'!$G$24</f>
        <v>#DIV/0!</v>
      </c>
      <c r="P8" t="e">
        <f>'2729'!$G$26</f>
        <v>#DIV/0!</v>
      </c>
      <c r="Q8" t="e">
        <f>'2729'!$P$31</f>
        <v>#REF!</v>
      </c>
      <c r="R8" t="e">
        <f>'2729'!$S$31</f>
        <v>#REF!</v>
      </c>
      <c r="T8">
        <f>'2729'!$P$19</f>
        <v>0.66666666666666663</v>
      </c>
      <c r="U8">
        <f>'2729'!$T$16</f>
        <v>8</v>
      </c>
      <c r="V8">
        <f>'2729'!$G$31</f>
        <v>0</v>
      </c>
      <c r="W8">
        <f>'2729'!$H$31</f>
        <v>0</v>
      </c>
      <c r="X8">
        <f>'2729'!$I$31</f>
        <v>0</v>
      </c>
      <c r="Y8">
        <f>'2729'!$A$31</f>
        <v>12</v>
      </c>
      <c r="AA8" t="e">
        <f>'2729'!$Q$34</f>
        <v>#NUM!</v>
      </c>
      <c r="AC8">
        <f t="shared" si="0"/>
        <v>4.2196969696969697</v>
      </c>
    </row>
    <row r="9" spans="1:29" x14ac:dyDescent="0.2">
      <c r="A9" s="2">
        <v>272</v>
      </c>
      <c r="B9">
        <f>'272'!$D$19</f>
        <v>0.54545454545454541</v>
      </c>
      <c r="C9">
        <v>1</v>
      </c>
      <c r="D9">
        <f>'272'!$K$19</f>
        <v>0.89795918367346939</v>
      </c>
      <c r="E9">
        <f>'272'!$K$22</f>
        <v>3.6666666666666665</v>
      </c>
      <c r="F9">
        <f>'272'!$L$22</f>
        <v>4</v>
      </c>
      <c r="G9">
        <f>'272'!$M$22</f>
        <v>5</v>
      </c>
      <c r="H9">
        <f>'272'!$N$22</f>
        <v>1.0730867399773192</v>
      </c>
      <c r="I9">
        <f>'272'!$K$16/('272'!$L16+'272'!$K$16)</f>
        <v>1</v>
      </c>
      <c r="J9">
        <f>'272'!$M$16/'272'!$A$31</f>
        <v>1.1666666666666667</v>
      </c>
      <c r="K9" t="e">
        <f>'272'!$P$36</f>
        <v>#DIV/0!</v>
      </c>
      <c r="L9" t="e">
        <f>'272'!$R$36</f>
        <v>#DIV/0!</v>
      </c>
      <c r="M9">
        <f>'272'!$G$20</f>
        <v>0</v>
      </c>
      <c r="N9">
        <f>'272'!$G$22</f>
        <v>1</v>
      </c>
      <c r="O9">
        <f>'272'!$G$24</f>
        <v>0</v>
      </c>
      <c r="P9">
        <f>'272'!$G$26</f>
        <v>0</v>
      </c>
      <c r="Q9" t="e">
        <f>'272'!$P$31</f>
        <v>#DIV/0!</v>
      </c>
      <c r="R9" t="e">
        <f>'272'!$S$31</f>
        <v>#DIV/0!</v>
      </c>
      <c r="T9">
        <f>'272'!$P$19</f>
        <v>1</v>
      </c>
      <c r="U9">
        <f>'272'!$T$16</f>
        <v>11</v>
      </c>
      <c r="V9">
        <f>'272'!$G$31</f>
        <v>0</v>
      </c>
      <c r="W9">
        <f>'272'!$H$31</f>
        <v>0.16666666666666666</v>
      </c>
      <c r="X9">
        <f>'272'!$I$31</f>
        <v>0</v>
      </c>
      <c r="Y9">
        <f>'272'!$A$31</f>
        <v>12</v>
      </c>
      <c r="AA9" t="e">
        <f>'272'!$Q$34</f>
        <v>#NUM!</v>
      </c>
      <c r="AC9">
        <f t="shared" si="0"/>
        <v>4.2121212121212119</v>
      </c>
    </row>
    <row r="10" spans="1:29" x14ac:dyDescent="0.2">
      <c r="A10">
        <v>2607</v>
      </c>
      <c r="B10">
        <f>'2607'!$D$19</f>
        <v>0.27272727272727271</v>
      </c>
      <c r="C10">
        <v>1</v>
      </c>
      <c r="D10">
        <f>'2607'!$K$19</f>
        <v>1</v>
      </c>
      <c r="E10">
        <f>'2607'!$K$22</f>
        <v>3.9166666666666665</v>
      </c>
      <c r="F10">
        <f>'2607'!$L$22</f>
        <v>4</v>
      </c>
      <c r="G10">
        <f>'2607'!$M$22</f>
        <v>5</v>
      </c>
      <c r="H10">
        <f>'2607'!$N$22</f>
        <v>0.79296146109875854</v>
      </c>
      <c r="I10">
        <f>'2607'!$K$16/('2607'!$L$16+'2607'!$K$16)</f>
        <v>0.92682926829268297</v>
      </c>
      <c r="J10">
        <f>'2607'!$M$16/'2607'!$A$31</f>
        <v>0.75</v>
      </c>
      <c r="K10" t="e">
        <f>'2607'!$P$36</f>
        <v>#DIV/0!</v>
      </c>
      <c r="L10" t="e">
        <f>'2607'!$R$36</f>
        <v>#DIV/0!</v>
      </c>
      <c r="M10" t="e">
        <f>'2607'!$G$20</f>
        <v>#DIV/0!</v>
      </c>
      <c r="N10" t="e">
        <f>'2607'!$G$22</f>
        <v>#DIV/0!</v>
      </c>
      <c r="O10" t="e">
        <f>'2607'!$G$24</f>
        <v>#DIV/0!</v>
      </c>
      <c r="P10" t="e">
        <f>'2607'!$G$26</f>
        <v>#DIV/0!</v>
      </c>
      <c r="Q10" t="e">
        <f>'2607'!$P$31</f>
        <v>#DIV/0!</v>
      </c>
      <c r="R10" t="e">
        <f>'2607'!$S$31</f>
        <v>#DIV/0!</v>
      </c>
      <c r="T10">
        <f>'2607'!$P$19</f>
        <v>0.83333333333333337</v>
      </c>
      <c r="U10">
        <f>'2607'!$T$16</f>
        <v>10</v>
      </c>
      <c r="V10">
        <f>'2607'!$G$31</f>
        <v>0</v>
      </c>
      <c r="W10">
        <f>'2607'!$H$31</f>
        <v>0.16666666666666666</v>
      </c>
      <c r="X10">
        <f>'2607'!$I$31</f>
        <v>0</v>
      </c>
      <c r="Y10">
        <f>'2607'!$A$31</f>
        <v>12</v>
      </c>
      <c r="AA10" t="e">
        <f>'2607'!$Q$34</f>
        <v>#NUM!</v>
      </c>
      <c r="AC10">
        <f t="shared" si="0"/>
        <v>4.1893939393939394</v>
      </c>
    </row>
    <row r="11" spans="1:29" x14ac:dyDescent="0.2">
      <c r="A11">
        <v>11</v>
      </c>
      <c r="B11">
        <f>'11'!$D$19</f>
        <v>0</v>
      </c>
      <c r="C11">
        <v>1</v>
      </c>
      <c r="D11">
        <f>'11'!$K$19</f>
        <v>0.94339622641509435</v>
      </c>
      <c r="E11">
        <f>'11'!$K$22</f>
        <v>4.166666666666667</v>
      </c>
      <c r="F11">
        <f>'11'!$L$22</f>
        <v>4</v>
      </c>
      <c r="G11">
        <f>'11'!$M$22</f>
        <v>6</v>
      </c>
      <c r="H11">
        <f>'11'!$N$22</f>
        <v>1.8504708655481241</v>
      </c>
      <c r="I11">
        <f>'11'!$K$16/('11'!$L$16+'11'!$K$16)</f>
        <v>0.96078431372549022</v>
      </c>
      <c r="J11">
        <f>'11'!$M$16/'11'!$A$31</f>
        <v>0</v>
      </c>
      <c r="K11" t="e">
        <f>'11'!$P$36</f>
        <v>#DIV/0!</v>
      </c>
      <c r="L11" t="e">
        <f>'11'!$R$36</f>
        <v>#DIV/0!</v>
      </c>
      <c r="M11" t="e">
        <f>'11'!$G$20</f>
        <v>#DIV/0!</v>
      </c>
      <c r="N11" t="e">
        <f>'11'!$G$22</f>
        <v>#DIV/0!</v>
      </c>
      <c r="O11" t="e">
        <f>'11'!$G$24</f>
        <v>#DIV/0!</v>
      </c>
      <c r="P11" t="e">
        <f>'11'!$G$26</f>
        <v>#DIV/0!</v>
      </c>
      <c r="Q11" t="e">
        <f>'11'!$P$31</f>
        <v>#DIV/0!</v>
      </c>
      <c r="R11" t="e">
        <f>'11'!$S$31</f>
        <v>#DIV/0!</v>
      </c>
      <c r="T11">
        <f>'11'!$P$19</f>
        <v>0.9</v>
      </c>
      <c r="U11">
        <f>'11'!$T$16</f>
        <v>9</v>
      </c>
      <c r="V11">
        <f>'11'!$G$31</f>
        <v>0</v>
      </c>
      <c r="W11">
        <f>'11'!$H$31</f>
        <v>0.16666666666666666</v>
      </c>
      <c r="X11">
        <f>'11'!$I$31</f>
        <v>0</v>
      </c>
      <c r="Y11">
        <f>'11'!$A$31</f>
        <v>12</v>
      </c>
      <c r="AA11" t="e">
        <f>'11'!$Q$34</f>
        <v>#NUM!</v>
      </c>
      <c r="AC11">
        <f t="shared" si="0"/>
        <v>4.166666666666667</v>
      </c>
    </row>
    <row r="12" spans="1:29" x14ac:dyDescent="0.2">
      <c r="A12" s="2">
        <v>222</v>
      </c>
      <c r="B12">
        <f>'222'!$D$19</f>
        <v>0.41666666666666669</v>
      </c>
      <c r="C12">
        <v>1</v>
      </c>
      <c r="D12">
        <f>'222'!$K$19</f>
        <v>0.95744680851063835</v>
      </c>
      <c r="E12">
        <f>'222'!$K$22</f>
        <v>3.75</v>
      </c>
      <c r="F12">
        <f>'222'!$L$22</f>
        <v>4</v>
      </c>
      <c r="G12">
        <f>'222'!$M$22</f>
        <v>5</v>
      </c>
      <c r="H12">
        <f>'222'!$N$22</f>
        <v>1.2154310870109943</v>
      </c>
      <c r="I12">
        <f>'222'!$K$16/('222'!$L16+'222'!$K$16)</f>
        <v>0.93023255813953487</v>
      </c>
      <c r="J12">
        <f>'222'!$M$16/'222'!$A$31</f>
        <v>0.66666666666666663</v>
      </c>
      <c r="K12" t="e">
        <f>'222'!$P$36</f>
        <v>#DIV/0!</v>
      </c>
      <c r="L12" t="e">
        <f>'222'!$R$36</f>
        <v>#DIV/0!</v>
      </c>
      <c r="M12" t="e">
        <f>'222'!$G$20</f>
        <v>#DIV/0!</v>
      </c>
      <c r="N12" t="e">
        <f>'222'!$G$22</f>
        <v>#DIV/0!</v>
      </c>
      <c r="O12" t="e">
        <f>'222'!$G$24</f>
        <v>#DIV/0!</v>
      </c>
      <c r="P12" t="e">
        <f>'222'!$G$26</f>
        <v>#DIV/0!</v>
      </c>
      <c r="Q12" t="e">
        <f>'222'!$P$31</f>
        <v>#DIV/0!</v>
      </c>
      <c r="R12" t="e">
        <f>'222'!$S$31</f>
        <v>#DIV/0!</v>
      </c>
      <c r="T12">
        <f>'222'!$P$19</f>
        <v>0.83333333333333337</v>
      </c>
      <c r="U12">
        <f>'222'!$T$16</f>
        <v>10</v>
      </c>
      <c r="V12">
        <f>'222'!$G$31</f>
        <v>0</v>
      </c>
      <c r="W12">
        <f>'222'!$H$31</f>
        <v>0</v>
      </c>
      <c r="X12">
        <f>'222'!$I$31</f>
        <v>0</v>
      </c>
      <c r="Y12">
        <f>'222'!$A$31</f>
        <v>12</v>
      </c>
      <c r="AA12" t="e">
        <f>'222'!$Q$34</f>
        <v>#NUM!</v>
      </c>
      <c r="AC12">
        <f t="shared" si="0"/>
        <v>4.166666666666667</v>
      </c>
    </row>
    <row r="13" spans="1:29" x14ac:dyDescent="0.2">
      <c r="A13" s="2">
        <v>1676</v>
      </c>
      <c r="B13">
        <f>'1676'!$D$19</f>
        <v>0.91666666666666663</v>
      </c>
      <c r="C13">
        <v>1</v>
      </c>
      <c r="D13">
        <f>'1676'!$K$19</f>
        <v>0.95121951219512191</v>
      </c>
      <c r="E13">
        <f>'1676'!$K$22</f>
        <v>3.25</v>
      </c>
      <c r="F13">
        <f>'1676'!$L$22</f>
        <v>3</v>
      </c>
      <c r="G13">
        <f>'1676'!$M$22</f>
        <v>5</v>
      </c>
      <c r="H13">
        <f>'1676'!$N$22</f>
        <v>1.0552897060221726</v>
      </c>
      <c r="I13">
        <f>'1676'!$K$16/('1676'!$L16+'1676'!$K$16)</f>
        <v>0.93478260869565222</v>
      </c>
      <c r="J13">
        <f>'1676'!$M$16/'1676'!$A$31</f>
        <v>0</v>
      </c>
      <c r="K13">
        <f>'1676'!$P$36</f>
        <v>0</v>
      </c>
      <c r="L13">
        <f>'1676'!$R$36</f>
        <v>1</v>
      </c>
      <c r="M13" t="e">
        <f>'1676'!$G$20</f>
        <v>#DIV/0!</v>
      </c>
      <c r="N13" t="e">
        <f>'1676'!$G$22</f>
        <v>#DIV/0!</v>
      </c>
      <c r="O13" t="e">
        <f>'1676'!$G$24</f>
        <v>#DIV/0!</v>
      </c>
      <c r="P13" t="e">
        <f>'1676'!$G$26</f>
        <v>#DIV/0!</v>
      </c>
      <c r="Q13">
        <f>'1676'!$P$31</f>
        <v>0.5</v>
      </c>
      <c r="R13">
        <f>'1676'!$S$31</f>
        <v>0.70710678118654757</v>
      </c>
      <c r="T13">
        <f>'1676'!$P$19</f>
        <v>1</v>
      </c>
      <c r="U13">
        <f>'1676'!$T$16</f>
        <v>11</v>
      </c>
      <c r="V13">
        <f>'1676'!$G$31</f>
        <v>0</v>
      </c>
      <c r="W13">
        <f>'1676'!$H$31</f>
        <v>0.16666666666666666</v>
      </c>
      <c r="X13">
        <f>'1676'!$I$31</f>
        <v>0</v>
      </c>
      <c r="Y13">
        <f>'1676'!$A$31</f>
        <v>12</v>
      </c>
      <c r="AA13">
        <f>'1676'!$Q$34</f>
        <v>0.5</v>
      </c>
      <c r="AC13">
        <f t="shared" si="0"/>
        <v>4.166666666666667</v>
      </c>
    </row>
    <row r="14" spans="1:29" x14ac:dyDescent="0.2">
      <c r="A14">
        <v>203</v>
      </c>
      <c r="B14">
        <f>'203'!$D$19</f>
        <v>0.75</v>
      </c>
      <c r="C14">
        <v>1</v>
      </c>
      <c r="D14">
        <f>'203'!$K$19</f>
        <v>0.95238095238095233</v>
      </c>
      <c r="E14">
        <f>'203'!$K$22</f>
        <v>3.3333333333333335</v>
      </c>
      <c r="F14">
        <f>'203'!$L$22</f>
        <v>3.5</v>
      </c>
      <c r="G14">
        <f>'203'!$M$22</f>
        <v>5</v>
      </c>
      <c r="H14">
        <f>'203'!$N$22</f>
        <v>1.0730867399773192</v>
      </c>
      <c r="I14">
        <f>'203'!$K$16/('203'!$L16+'203'!$K$16)</f>
        <v>0.95238095238095233</v>
      </c>
      <c r="J14">
        <f>'203'!$M$16/'203'!$A$31</f>
        <v>0.25</v>
      </c>
      <c r="K14" t="e">
        <f>'203'!$P$36</f>
        <v>#DIV/0!</v>
      </c>
      <c r="L14" t="e">
        <f>'203'!$R$36</f>
        <v>#DIV/0!</v>
      </c>
      <c r="M14" t="e">
        <f>'203'!$G$20</f>
        <v>#DIV/0!</v>
      </c>
      <c r="N14" t="e">
        <f>'203'!$G$22</f>
        <v>#DIV/0!</v>
      </c>
      <c r="O14" t="e">
        <f>'203'!$G$24</f>
        <v>#DIV/0!</v>
      </c>
      <c r="P14" t="e">
        <f>'203'!$G$26</f>
        <v>#DIV/0!</v>
      </c>
      <c r="Q14">
        <f>'203'!$P$31</f>
        <v>0.5</v>
      </c>
      <c r="R14">
        <f>'203'!$S$31</f>
        <v>0.70710678118654757</v>
      </c>
      <c r="T14">
        <f>'203'!$P$19</f>
        <v>0.9</v>
      </c>
      <c r="U14">
        <f>'203'!$T$16</f>
        <v>9</v>
      </c>
      <c r="V14">
        <f>'203'!$G$31</f>
        <v>8.3333333333333329E-2</v>
      </c>
      <c r="W14">
        <f>'203'!$H$31</f>
        <v>0</v>
      </c>
      <c r="X14">
        <f>'203'!$I$31</f>
        <v>0</v>
      </c>
      <c r="Y14">
        <f>'203'!$A$31</f>
        <v>12</v>
      </c>
      <c r="AA14">
        <f>'203'!$Q$34</f>
        <v>0.5</v>
      </c>
      <c r="AC14">
        <f t="shared" si="0"/>
        <v>4.0833333333333339</v>
      </c>
    </row>
    <row r="15" spans="1:29" x14ac:dyDescent="0.2">
      <c r="A15" s="2">
        <v>1257</v>
      </c>
      <c r="B15">
        <f>'1257'!$D$19</f>
        <v>0.7</v>
      </c>
      <c r="C15">
        <v>1</v>
      </c>
      <c r="D15">
        <f>'1257'!$K$19</f>
        <v>0.94871794871794868</v>
      </c>
      <c r="E15">
        <f>'1257'!$K$22</f>
        <v>3.3636363636363638</v>
      </c>
      <c r="F15">
        <f>'1257'!$L$22</f>
        <v>4</v>
      </c>
      <c r="G15">
        <f>'1257'!$M$22</f>
        <v>4</v>
      </c>
      <c r="H15">
        <f>'1257'!$N$22</f>
        <v>1.2060453783110545</v>
      </c>
      <c r="I15">
        <f>'1257'!$K$16/('1257'!$L16+'1257'!$K$16)</f>
        <v>0.90909090909090906</v>
      </c>
      <c r="J15">
        <f>'1257'!$M$16/'1257'!$A$31</f>
        <v>0</v>
      </c>
      <c r="K15" t="e">
        <f>'1257'!$P$36</f>
        <v>#DIV/0!</v>
      </c>
      <c r="L15" t="e">
        <f>'1257'!$R$36</f>
        <v>#DIV/0!</v>
      </c>
      <c r="M15" t="e">
        <f>'1257'!$G$20</f>
        <v>#DIV/0!</v>
      </c>
      <c r="N15" t="e">
        <f>'1257'!$G$22</f>
        <v>#DIV/0!</v>
      </c>
      <c r="O15" t="e">
        <f>'1257'!$G$24</f>
        <v>#DIV/0!</v>
      </c>
      <c r="P15" t="e">
        <f>'1257'!$G$26</f>
        <v>#DIV/0!</v>
      </c>
      <c r="Q15" t="e">
        <f>'1257'!$P$31</f>
        <v>#DIV/0!</v>
      </c>
      <c r="R15" t="e">
        <f>'1257'!$S$31</f>
        <v>#DIV/0!</v>
      </c>
      <c r="T15">
        <f>'1257'!$P$19</f>
        <v>1</v>
      </c>
      <c r="U15">
        <f>'1257'!$T$16</f>
        <v>10</v>
      </c>
      <c r="V15">
        <f>'1257'!$G$31</f>
        <v>0</v>
      </c>
      <c r="W15">
        <f>'1257'!$H$31</f>
        <v>0</v>
      </c>
      <c r="X15">
        <f>'1257'!$I$31</f>
        <v>0</v>
      </c>
      <c r="Y15">
        <f>'1257'!$A$31</f>
        <v>11</v>
      </c>
      <c r="AA15" t="e">
        <f>'1257'!$Q$34</f>
        <v>#NUM!</v>
      </c>
      <c r="AC15">
        <f t="shared" si="0"/>
        <v>4.0636363636363635</v>
      </c>
    </row>
    <row r="16" spans="1:29" x14ac:dyDescent="0.2">
      <c r="A16">
        <v>25</v>
      </c>
      <c r="B16">
        <f>'25'!$D$19</f>
        <v>0.83333333333333337</v>
      </c>
      <c r="C16">
        <v>0</v>
      </c>
      <c r="D16">
        <f>'25'!$K$19</f>
        <v>0.92682926829268297</v>
      </c>
      <c r="E16">
        <f>'25'!$K$22</f>
        <v>3.1666666666666665</v>
      </c>
      <c r="F16">
        <f>'25'!$L$22</f>
        <v>3.5</v>
      </c>
      <c r="G16">
        <f>'25'!$M$22</f>
        <v>5</v>
      </c>
      <c r="H16">
        <f>'25'!$N$22</f>
        <v>1.4668044012461756</v>
      </c>
      <c r="I16">
        <f>'25'!$K$16/('25'!$L16+'25'!$K$16)</f>
        <v>0.97674418604651159</v>
      </c>
      <c r="J16">
        <f>'25'!$M$16/'25'!$A$31</f>
        <v>0</v>
      </c>
      <c r="K16" t="e">
        <f>'25'!$P$36</f>
        <v>#DIV/0!</v>
      </c>
      <c r="L16" t="e">
        <f>'25'!$R$36</f>
        <v>#DIV/0!</v>
      </c>
      <c r="M16">
        <f>'25'!$G$20</f>
        <v>1</v>
      </c>
      <c r="N16">
        <f>'25'!$G$22</f>
        <v>0</v>
      </c>
      <c r="O16">
        <f>'25'!$G$24</f>
        <v>0</v>
      </c>
      <c r="P16">
        <f>'25'!$G$26</f>
        <v>0</v>
      </c>
      <c r="Q16" t="e">
        <f>'25'!$P$31</f>
        <v>#DIV/0!</v>
      </c>
      <c r="R16" t="e">
        <f>'25'!$S$31</f>
        <v>#DIV/0!</v>
      </c>
      <c r="T16">
        <f>'25'!$P$19</f>
        <v>0.90909090909090906</v>
      </c>
      <c r="U16">
        <f>'25'!$T$16</f>
        <v>10</v>
      </c>
      <c r="V16">
        <f>'25'!$G$31</f>
        <v>0</v>
      </c>
      <c r="W16">
        <f>'25'!$H$31</f>
        <v>0.16666666666666666</v>
      </c>
      <c r="X16">
        <f>'25'!$I$31</f>
        <v>0</v>
      </c>
      <c r="Y16">
        <f>'25'!$A$31</f>
        <v>12</v>
      </c>
      <c r="AA16" t="e">
        <f>'25'!$Q$34</f>
        <v>#NUM!</v>
      </c>
      <c r="AC16">
        <f t="shared" si="0"/>
        <v>4</v>
      </c>
    </row>
    <row r="17" spans="1:29" x14ac:dyDescent="0.2">
      <c r="A17">
        <v>103</v>
      </c>
      <c r="B17">
        <f>'103'!$D$19</f>
        <v>0.81818181818181823</v>
      </c>
      <c r="C17">
        <v>0</v>
      </c>
      <c r="D17">
        <f>'103'!$K$19</f>
        <v>1</v>
      </c>
      <c r="E17">
        <f>'103'!$K$22</f>
        <v>3.1666666666666665</v>
      </c>
      <c r="F17">
        <f>'103'!$L$22</f>
        <v>3</v>
      </c>
      <c r="G17">
        <f>'103'!$M$22</f>
        <v>5</v>
      </c>
      <c r="H17">
        <f>'103'!$N$22</f>
        <v>1.4668044012461756</v>
      </c>
      <c r="I17">
        <f>'103'!$K$16/('103'!$L16+'103'!$K$16)</f>
        <v>0.90697674418604646</v>
      </c>
      <c r="J17">
        <f>'103'!$M$16/'103'!$A$31</f>
        <v>0</v>
      </c>
      <c r="K17" t="e">
        <f>'103'!$P$36</f>
        <v>#DIV/0!</v>
      </c>
      <c r="L17" t="e">
        <f>'103'!$R$36</f>
        <v>#DIV/0!</v>
      </c>
      <c r="M17" t="e">
        <f>'103'!$G$20</f>
        <v>#DIV/0!</v>
      </c>
      <c r="N17" t="e">
        <f>'103'!$G$22</f>
        <v>#DIV/0!</v>
      </c>
      <c r="O17" t="e">
        <f>'103'!$G$24</f>
        <v>#DIV/0!</v>
      </c>
      <c r="P17" t="e">
        <f>'103'!$G$26</f>
        <v>#DIV/0!</v>
      </c>
      <c r="Q17">
        <f>'103'!$P$31</f>
        <v>2.5</v>
      </c>
      <c r="R17">
        <f>'103'!$S$31</f>
        <v>0.70710678118654757</v>
      </c>
      <c r="T17">
        <f>'103'!$P$19</f>
        <v>0.7</v>
      </c>
      <c r="U17">
        <f>'103'!$T$16</f>
        <v>7</v>
      </c>
      <c r="V17">
        <f>'103'!$G$31</f>
        <v>0</v>
      </c>
      <c r="W17">
        <f>'103'!$H$31</f>
        <v>8.3333333333333329E-2</v>
      </c>
      <c r="X17">
        <f>'103'!$I$31</f>
        <v>0</v>
      </c>
      <c r="Y17">
        <f>'103'!$A$31</f>
        <v>12</v>
      </c>
      <c r="AA17">
        <f>'103'!$Q$34</f>
        <v>2.5</v>
      </c>
      <c r="AC17">
        <f t="shared" si="0"/>
        <v>3.9848484848484849</v>
      </c>
    </row>
    <row r="18" spans="1:29" x14ac:dyDescent="0.2">
      <c r="A18" s="2">
        <v>365</v>
      </c>
      <c r="B18">
        <f>'365'!$D$19</f>
        <v>1</v>
      </c>
      <c r="C18">
        <v>0</v>
      </c>
      <c r="D18">
        <f>'365'!$K$19</f>
        <v>0.83333333333333337</v>
      </c>
      <c r="E18">
        <f>'365'!$K$22</f>
        <v>2.9166666666666665</v>
      </c>
      <c r="F18">
        <f>'365'!$L$22</f>
        <v>3</v>
      </c>
      <c r="G18">
        <f>'365'!$M$22</f>
        <v>5</v>
      </c>
      <c r="H18">
        <f>'365'!$N$22</f>
        <v>1.5050420310248867</v>
      </c>
      <c r="I18">
        <f>'365'!$K$16/('365'!$L16+'365'!$K$16)</f>
        <v>0.95348837209302328</v>
      </c>
      <c r="J18">
        <f>'365'!$M$16/'365'!$A$31</f>
        <v>0</v>
      </c>
      <c r="K18">
        <f>'365'!$P$36</f>
        <v>0</v>
      </c>
      <c r="L18">
        <f>'365'!$R$36</f>
        <v>1</v>
      </c>
      <c r="M18">
        <f>'365'!$G$20</f>
        <v>0.5</v>
      </c>
      <c r="N18">
        <f>'365'!$G$22</f>
        <v>0.5</v>
      </c>
      <c r="O18">
        <f>'365'!$G$24</f>
        <v>0</v>
      </c>
      <c r="P18">
        <f>'365'!$G$26</f>
        <v>0</v>
      </c>
      <c r="Q18">
        <f>'365'!$P$31</f>
        <v>6</v>
      </c>
      <c r="R18">
        <f>'365'!$S$31</f>
        <v>2.9154759474226504</v>
      </c>
      <c r="T18">
        <f>'365'!$P$19</f>
        <v>0.90909090909090906</v>
      </c>
      <c r="U18">
        <f>'365'!$T$16</f>
        <v>10</v>
      </c>
      <c r="V18">
        <f>'365'!$G$31</f>
        <v>8.3333333333333329E-2</v>
      </c>
      <c r="W18">
        <f>'365'!$H$31</f>
        <v>8.3333333333333329E-2</v>
      </c>
      <c r="X18">
        <f>'365'!$I$31</f>
        <v>0</v>
      </c>
      <c r="Y18">
        <f>'365'!$A$31</f>
        <v>12</v>
      </c>
      <c r="AA18">
        <f>'365'!$Q$34</f>
        <v>7</v>
      </c>
      <c r="AC18">
        <f t="shared" si="0"/>
        <v>3.9166666666666665</v>
      </c>
    </row>
    <row r="19" spans="1:29" x14ac:dyDescent="0.2">
      <c r="A19">
        <v>3929</v>
      </c>
      <c r="B19">
        <f>'3929'!$D$19</f>
        <v>0.3</v>
      </c>
      <c r="C19">
        <v>0</v>
      </c>
      <c r="D19">
        <f>'3929'!$K$19</f>
        <v>0.91489361702127658</v>
      </c>
      <c r="E19">
        <f>'3929'!$K$22</f>
        <v>3.5833333333333335</v>
      </c>
      <c r="F19">
        <f>'3929'!$L$22</f>
        <v>4</v>
      </c>
      <c r="G19">
        <f>'3929'!$M$22</f>
        <v>4</v>
      </c>
      <c r="H19">
        <f>'3929'!$N$22</f>
        <v>0.66855792342152087</v>
      </c>
      <c r="I19">
        <f>'3929'!$K$16/('3929'!$L$16+'3929'!$K$16)</f>
        <v>1</v>
      </c>
      <c r="J19">
        <f>'3929'!$M$16/'3929'!$A$31</f>
        <v>0</v>
      </c>
      <c r="K19" t="e">
        <f>'3929'!$P$36</f>
        <v>#DIV/0!</v>
      </c>
      <c r="L19" t="e">
        <f>'3929'!$R$36</f>
        <v>#DIV/0!</v>
      </c>
      <c r="M19" t="e">
        <f>'3929'!$G$20</f>
        <v>#DIV/0!</v>
      </c>
      <c r="N19" t="e">
        <f>'3929'!$G$22</f>
        <v>#DIV/0!</v>
      </c>
      <c r="O19" t="e">
        <f>'3929'!$G$24</f>
        <v>#DIV/0!</v>
      </c>
      <c r="P19" t="e">
        <f>'3929'!$G$26</f>
        <v>#DIV/0!</v>
      </c>
      <c r="Q19" t="e">
        <f>'3929'!$P$31</f>
        <v>#DIV/0!</v>
      </c>
      <c r="R19" t="e">
        <f>'3929'!$S$31</f>
        <v>#DIV/0!</v>
      </c>
      <c r="T19">
        <f>'3929'!$P$19</f>
        <v>1</v>
      </c>
      <c r="U19">
        <f>'3929'!$T$16</f>
        <v>12</v>
      </c>
      <c r="V19">
        <f>'3929'!$G$31</f>
        <v>0</v>
      </c>
      <c r="W19">
        <f>'3929'!$H$31</f>
        <v>0.33333333333333331</v>
      </c>
      <c r="X19">
        <f>'3929'!$I$31</f>
        <v>0</v>
      </c>
      <c r="Y19">
        <f>'3929'!$A$31</f>
        <v>12</v>
      </c>
      <c r="AA19" t="e">
        <f>'3929'!$Q$34</f>
        <v>#NUM!</v>
      </c>
      <c r="AC19">
        <f t="shared" si="0"/>
        <v>3.8833333333333333</v>
      </c>
    </row>
    <row r="20" spans="1:29" x14ac:dyDescent="0.2">
      <c r="A20" s="2">
        <v>708</v>
      </c>
      <c r="B20">
        <f>'708'!$D$19</f>
        <v>0.875</v>
      </c>
      <c r="C20">
        <v>0</v>
      </c>
      <c r="D20">
        <f>'708'!$K$19</f>
        <v>0.92307692307692313</v>
      </c>
      <c r="E20">
        <f>'708'!$K$22</f>
        <v>3</v>
      </c>
      <c r="F20">
        <f>'708'!$L$22</f>
        <v>3</v>
      </c>
      <c r="G20">
        <f>'708'!$M$22</f>
        <v>5</v>
      </c>
      <c r="H20">
        <f>'708'!$N$22</f>
        <v>1.2060453783110545</v>
      </c>
      <c r="I20">
        <f>'708'!$K$16/('708'!$L16+'708'!$K$16)</f>
        <v>1</v>
      </c>
      <c r="J20">
        <f>'708'!$M$16/'708'!$A$31</f>
        <v>1.5</v>
      </c>
      <c r="K20">
        <f>'708'!$P$36</f>
        <v>0</v>
      </c>
      <c r="L20">
        <f>'708'!$R$36</f>
        <v>1</v>
      </c>
      <c r="M20">
        <f>'708'!$G$20</f>
        <v>0.625</v>
      </c>
      <c r="N20">
        <f>'708'!$G$22</f>
        <v>0.375</v>
      </c>
      <c r="O20">
        <f>'708'!$G$24</f>
        <v>0</v>
      </c>
      <c r="P20">
        <f>'708'!$G$26</f>
        <v>0</v>
      </c>
      <c r="Q20">
        <f>'708'!$P$31</f>
        <v>3.1111111111111112</v>
      </c>
      <c r="R20">
        <f>'708'!$S$31</f>
        <v>2.3687784005919825</v>
      </c>
      <c r="T20">
        <f>'708'!$P$19</f>
        <v>1</v>
      </c>
      <c r="U20">
        <f>'708'!$T$16</f>
        <v>11</v>
      </c>
      <c r="V20">
        <f>'708'!$G$31</f>
        <v>0.16666666666666666</v>
      </c>
      <c r="W20">
        <f>'708'!$H$31</f>
        <v>0.25</v>
      </c>
      <c r="X20">
        <f>'708'!$I$31</f>
        <v>0</v>
      </c>
      <c r="Y20">
        <f>'708'!$A$31</f>
        <v>12</v>
      </c>
      <c r="AA20">
        <f>'708'!$Q$34</f>
        <v>3.333333333333333</v>
      </c>
      <c r="AC20">
        <f t="shared" si="0"/>
        <v>3.875</v>
      </c>
    </row>
    <row r="21" spans="1:29" x14ac:dyDescent="0.2">
      <c r="A21" s="2">
        <v>293</v>
      </c>
      <c r="B21">
        <f>'293'!$D$19</f>
        <v>0.27272727272727271</v>
      </c>
      <c r="C21">
        <v>1</v>
      </c>
      <c r="D21">
        <f>'293'!$K$19</f>
        <v>1.0238095238095237</v>
      </c>
      <c r="E21">
        <f>'293'!$K$22</f>
        <v>3.5833333333333335</v>
      </c>
      <c r="F21">
        <f>'293'!$L$22</f>
        <v>4</v>
      </c>
      <c r="G21">
        <f>'293'!$M$22</f>
        <v>5</v>
      </c>
      <c r="H21">
        <f>'293'!$N$22</f>
        <v>1.2401124093721452</v>
      </c>
      <c r="I21">
        <f>'293'!$K$16/('293'!$L16+'293'!$K$16)</f>
        <v>0.95238095238095233</v>
      </c>
      <c r="J21">
        <f>'293'!$M$16/'293'!$A$31</f>
        <v>0</v>
      </c>
      <c r="K21" t="e">
        <f>'293'!$P$36</f>
        <v>#DIV/0!</v>
      </c>
      <c r="L21" t="e">
        <f>'293'!$R$36</f>
        <v>#DIV/0!</v>
      </c>
      <c r="M21">
        <f>'293'!$G$20</f>
        <v>1</v>
      </c>
      <c r="N21">
        <f>'293'!$G$22</f>
        <v>0</v>
      </c>
      <c r="O21">
        <f>'293'!$G$24</f>
        <v>0</v>
      </c>
      <c r="P21">
        <f>'293'!$G$26</f>
        <v>0</v>
      </c>
      <c r="Q21" t="e">
        <f>'293'!$P$31</f>
        <v>#DIV/0!</v>
      </c>
      <c r="R21" t="e">
        <f>'293'!$S$31</f>
        <v>#DIV/0!</v>
      </c>
      <c r="T21">
        <f>'293'!$P$19</f>
        <v>0.90909090909090906</v>
      </c>
      <c r="U21">
        <f>'293'!$T$16</f>
        <v>10</v>
      </c>
      <c r="V21">
        <f>'293'!$G$31</f>
        <v>0</v>
      </c>
      <c r="W21">
        <f>'293'!$H$31</f>
        <v>0.41666666666666669</v>
      </c>
      <c r="X21">
        <f>'293'!$I$31</f>
        <v>0</v>
      </c>
      <c r="Y21">
        <f>'293'!$A$31</f>
        <v>12</v>
      </c>
      <c r="AA21" t="e">
        <f>'293'!$Q$34</f>
        <v>#NUM!</v>
      </c>
      <c r="AC21">
        <f t="shared" si="0"/>
        <v>3.8560606060606064</v>
      </c>
    </row>
    <row r="22" spans="1:29" x14ac:dyDescent="0.2">
      <c r="A22">
        <v>3314</v>
      </c>
      <c r="B22">
        <f>'3314'!$D$19</f>
        <v>0.91666666666666663</v>
      </c>
      <c r="C22">
        <v>0</v>
      </c>
      <c r="D22">
        <f>'3314'!$K$19</f>
        <v>0.97222222222222221</v>
      </c>
      <c r="E22">
        <f>'3314'!$K$22</f>
        <v>2.9166666666666665</v>
      </c>
      <c r="F22">
        <f>'3314'!$L$22</f>
        <v>3</v>
      </c>
      <c r="G22">
        <f>'3314'!$M$22</f>
        <v>4</v>
      </c>
      <c r="H22">
        <f>'3314'!$N$22</f>
        <v>1.1645001528813153</v>
      </c>
      <c r="I22">
        <f>'3314'!$K$16/('3314'!$L$16+'3314'!$K$16)</f>
        <v>0.94736842105263153</v>
      </c>
      <c r="J22">
        <f>'3314'!$M$16/'3314'!$A$31</f>
        <v>0.16666666666666666</v>
      </c>
      <c r="K22">
        <f>'3314'!$P$36</f>
        <v>0</v>
      </c>
      <c r="L22">
        <f>'3314'!$R$36</f>
        <v>1</v>
      </c>
      <c r="M22">
        <f>'3314'!$G$20</f>
        <v>0.25</v>
      </c>
      <c r="N22">
        <f>'3314'!$G$22</f>
        <v>0.75</v>
      </c>
      <c r="O22">
        <f>'3314'!$G$24</f>
        <v>0</v>
      </c>
      <c r="P22">
        <f>'3314'!$G$26</f>
        <v>0</v>
      </c>
      <c r="Q22">
        <f>'3314'!$P$31</f>
        <v>7.333333333333333</v>
      </c>
      <c r="R22">
        <f>'3314'!$S$31</f>
        <v>6.0802711263312075</v>
      </c>
      <c r="T22">
        <f>'3314'!$P$19</f>
        <v>0.90909090909090906</v>
      </c>
      <c r="U22">
        <f>'3314'!$T$16</f>
        <v>10</v>
      </c>
      <c r="V22">
        <f>'3314'!$G$31</f>
        <v>8.3333333333333329E-2</v>
      </c>
      <c r="W22">
        <f>'3314'!$H$31</f>
        <v>8.3333333333333329E-2</v>
      </c>
      <c r="X22">
        <f>'3314'!$I$31</f>
        <v>0</v>
      </c>
      <c r="Y22">
        <f>'3314'!$A$31</f>
        <v>12</v>
      </c>
      <c r="AA22">
        <f>'3314'!$Q$34</f>
        <v>4.5</v>
      </c>
      <c r="AC22">
        <f t="shared" si="0"/>
        <v>3.833333333333333</v>
      </c>
    </row>
    <row r="23" spans="1:29" x14ac:dyDescent="0.2">
      <c r="A23" s="2">
        <v>303</v>
      </c>
      <c r="B23">
        <f>'303'!$D$19</f>
        <v>0.81818181818181823</v>
      </c>
      <c r="C23">
        <v>0</v>
      </c>
      <c r="D23">
        <f>'303'!$K$19</f>
        <v>0.94736842105263153</v>
      </c>
      <c r="E23">
        <f>'303'!$K$22</f>
        <v>3</v>
      </c>
      <c r="F23">
        <f>'303'!$L$22</f>
        <v>3</v>
      </c>
      <c r="G23">
        <f>'303'!$M$22</f>
        <v>4</v>
      </c>
      <c r="H23">
        <f>'303'!$N$22</f>
        <v>0.7385489458759964</v>
      </c>
      <c r="I23">
        <f>'303'!$K$16/('303'!$L16+'303'!$K$16)</f>
        <v>0.87234042553191493</v>
      </c>
      <c r="J23">
        <f>'303'!$M$16/'303'!$A$31</f>
        <v>0</v>
      </c>
      <c r="K23">
        <f>'303'!$P$36</f>
        <v>0</v>
      </c>
      <c r="L23">
        <f>'303'!$R$36</f>
        <v>1</v>
      </c>
      <c r="M23">
        <f>'303'!$G$20</f>
        <v>0.7142857142857143</v>
      </c>
      <c r="N23">
        <f>'303'!$G$22</f>
        <v>0.5714285714285714</v>
      </c>
      <c r="O23">
        <f>'303'!$G$24</f>
        <v>0</v>
      </c>
      <c r="P23">
        <f>'303'!$G$26</f>
        <v>0</v>
      </c>
      <c r="Q23">
        <f>'303'!$P$31</f>
        <v>6.7</v>
      </c>
      <c r="R23">
        <f>'303'!$S$31</f>
        <v>3.9454615277134146</v>
      </c>
      <c r="T23">
        <f>'303'!$P$19</f>
        <v>0.83333333333333337</v>
      </c>
      <c r="U23">
        <f>'303'!$T$16</f>
        <v>10</v>
      </c>
      <c r="V23">
        <f>'303'!$G$31</f>
        <v>0.33333333333333331</v>
      </c>
      <c r="W23">
        <f>'303'!$H$31</f>
        <v>0.16666666666666666</v>
      </c>
      <c r="X23">
        <f>'303'!$I$31</f>
        <v>0</v>
      </c>
      <c r="Y23">
        <f>'303'!$A$31</f>
        <v>12</v>
      </c>
      <c r="AA23">
        <f>'303'!$Q$34</f>
        <v>5</v>
      </c>
      <c r="AC23">
        <f t="shared" si="0"/>
        <v>3.8181818181818183</v>
      </c>
    </row>
    <row r="24" spans="1:29" x14ac:dyDescent="0.2">
      <c r="A24" s="2">
        <v>1712</v>
      </c>
      <c r="B24">
        <f>'1712'!$D$19</f>
        <v>0.25</v>
      </c>
      <c r="C24">
        <v>0</v>
      </c>
      <c r="D24">
        <f>'1712'!$K$19</f>
        <v>0.97674418604651159</v>
      </c>
      <c r="E24">
        <f>'1712'!$K$22</f>
        <v>3.5</v>
      </c>
      <c r="F24">
        <f>'1712'!$L$22</f>
        <v>4</v>
      </c>
      <c r="G24">
        <f>'1712'!$M$22</f>
        <v>5</v>
      </c>
      <c r="H24">
        <f>'1712'!$N$22</f>
        <v>1</v>
      </c>
      <c r="I24">
        <f>'1712'!$K$16/('1712'!$L16+'1712'!$K$16)</f>
        <v>0.79411764705882348</v>
      </c>
      <c r="J24">
        <f>'1712'!$M$16/'1712'!$A$31</f>
        <v>1</v>
      </c>
      <c r="K24" t="e">
        <f>'1712'!$P$36</f>
        <v>#DIV/0!</v>
      </c>
      <c r="L24" t="e">
        <f>'1712'!$R$36</f>
        <v>#DIV/0!</v>
      </c>
      <c r="M24" t="e">
        <f>'1712'!$G$20</f>
        <v>#DIV/0!</v>
      </c>
      <c r="N24" t="e">
        <f>'1712'!$G$22</f>
        <v>#DIV/0!</v>
      </c>
      <c r="O24" t="e">
        <f>'1712'!$G$24</f>
        <v>#DIV/0!</v>
      </c>
      <c r="P24" t="e">
        <f>'1712'!$G$26</f>
        <v>#DIV/0!</v>
      </c>
      <c r="Q24" t="e">
        <f>'1712'!$P$31</f>
        <v>#DIV/0!</v>
      </c>
      <c r="R24" t="e">
        <f>'1712'!$S$31</f>
        <v>#DIV/0!</v>
      </c>
      <c r="T24">
        <f>'1712'!$P$19</f>
        <v>0.75</v>
      </c>
      <c r="U24">
        <f>'1712'!$T$16</f>
        <v>9</v>
      </c>
      <c r="V24">
        <f>'1712'!$G$31</f>
        <v>0</v>
      </c>
      <c r="W24">
        <f>'1712'!$H$31</f>
        <v>8.3333333333333329E-2</v>
      </c>
      <c r="X24">
        <f>'1712'!$I$31</f>
        <v>0</v>
      </c>
      <c r="Y24">
        <f>'1712'!$A$31</f>
        <v>12</v>
      </c>
      <c r="AA24" t="e">
        <f>'1712'!$Q$34</f>
        <v>#NUM!</v>
      </c>
      <c r="AC24">
        <f t="shared" si="0"/>
        <v>3.75</v>
      </c>
    </row>
    <row r="25" spans="1:29" x14ac:dyDescent="0.2">
      <c r="A25" s="2">
        <v>1640</v>
      </c>
      <c r="B25">
        <f>'1640'!$D$19</f>
        <v>0.33333333333333331</v>
      </c>
      <c r="C25">
        <v>1</v>
      </c>
      <c r="D25">
        <f>'1640'!$K$19</f>
        <v>0.93023255813953487</v>
      </c>
      <c r="E25">
        <f>'1640'!$K$22</f>
        <v>3.3333333333333335</v>
      </c>
      <c r="F25">
        <f>'1640'!$L$22</f>
        <v>3.5</v>
      </c>
      <c r="G25">
        <f>'1640'!$M$22</f>
        <v>5</v>
      </c>
      <c r="H25">
        <f>'1640'!$N$22</f>
        <v>1.230914909793327</v>
      </c>
      <c r="I25">
        <f>'1640'!$K$16/('1640'!$L16+'1640'!$K$16)</f>
        <v>0.94594594594594594</v>
      </c>
      <c r="J25">
        <f>'1640'!$M$16/'1640'!$A$31</f>
        <v>0</v>
      </c>
      <c r="K25">
        <f>'1640'!$P$36</f>
        <v>0</v>
      </c>
      <c r="L25">
        <f>'1640'!$R$36</f>
        <v>1</v>
      </c>
      <c r="M25">
        <f>'1640'!$G$20</f>
        <v>1</v>
      </c>
      <c r="N25">
        <f>'1640'!$G$22</f>
        <v>0</v>
      </c>
      <c r="O25">
        <f>'1640'!$G$24</f>
        <v>0</v>
      </c>
      <c r="P25">
        <f>'1640'!$G$26</f>
        <v>0</v>
      </c>
      <c r="Q25">
        <f>'1640'!$P$31</f>
        <v>3.1428571428571428</v>
      </c>
      <c r="R25">
        <f>'1640'!$S$31</f>
        <v>2.9113897843110044</v>
      </c>
      <c r="T25">
        <f>'1640'!$P$19</f>
        <v>0.91666666666666663</v>
      </c>
      <c r="U25">
        <f>'1640'!$T$16</f>
        <v>11</v>
      </c>
      <c r="V25">
        <f>'1640'!$G$31</f>
        <v>0</v>
      </c>
      <c r="W25">
        <f>'1640'!$H$31</f>
        <v>0.5</v>
      </c>
      <c r="X25">
        <f>'1640'!$I$31</f>
        <v>0</v>
      </c>
      <c r="Y25">
        <f>'1640'!$A$31</f>
        <v>12</v>
      </c>
      <c r="AA25">
        <f>'1640'!$Q$34</f>
        <v>2</v>
      </c>
      <c r="AC25">
        <f t="shared" si="0"/>
        <v>3.666666666666667</v>
      </c>
    </row>
    <row r="26" spans="1:29" x14ac:dyDescent="0.2">
      <c r="A26">
        <v>4285</v>
      </c>
      <c r="B26">
        <f>'4285'!$D$19</f>
        <v>0.72727272727272729</v>
      </c>
      <c r="C26">
        <v>0</v>
      </c>
      <c r="D26">
        <f>'4285'!$K$19</f>
        <v>0.97222222222222221</v>
      </c>
      <c r="E26">
        <f>'4285'!$K$22</f>
        <v>2.9166666666666665</v>
      </c>
      <c r="F26">
        <f>'4285'!$L$22</f>
        <v>3</v>
      </c>
      <c r="G26">
        <f>'4285'!$M$22</f>
        <v>4</v>
      </c>
      <c r="H26">
        <f>'4285'!$N$22</f>
        <v>0.66855792342152176</v>
      </c>
      <c r="I26">
        <f>'4285'!$K$16/('4285'!$L$16+'4285'!$K$16)</f>
        <v>0.97368421052631582</v>
      </c>
      <c r="J26">
        <f>'4285'!$M$16/'4285'!$A$31</f>
        <v>0</v>
      </c>
      <c r="K26" t="e">
        <f>'4285'!$P$36</f>
        <v>#DIV/0!</v>
      </c>
      <c r="L26" t="e">
        <f>'4285'!$R$36</f>
        <v>#DIV/0!</v>
      </c>
      <c r="M26" t="e">
        <f>'4285'!$G$20</f>
        <v>#DIV/0!</v>
      </c>
      <c r="N26" t="e">
        <f>'4285'!$G$22</f>
        <v>#DIV/0!</v>
      </c>
      <c r="O26" t="e">
        <f>'4285'!$G$24</f>
        <v>#DIV/0!</v>
      </c>
      <c r="P26" t="e">
        <f>'4285'!$G$26</f>
        <v>#DIV/0!</v>
      </c>
      <c r="Q26" t="e">
        <f>'4285'!$P$31</f>
        <v>#DIV/0!</v>
      </c>
      <c r="R26" t="e">
        <f>'4285'!$S$31</f>
        <v>#DIV/0!</v>
      </c>
      <c r="T26">
        <f>'4285'!$P$19</f>
        <v>0.91666666666666663</v>
      </c>
      <c r="U26">
        <f>'4285'!$T$16</f>
        <v>11</v>
      </c>
      <c r="V26">
        <f>'4285'!$G$31</f>
        <v>0</v>
      </c>
      <c r="W26">
        <f>'4285'!$H$31</f>
        <v>0</v>
      </c>
      <c r="X26">
        <f>'4285'!$I$31</f>
        <v>0</v>
      </c>
      <c r="Y26">
        <f>'4285'!$A$31</f>
        <v>12</v>
      </c>
      <c r="AA26" t="e">
        <f>'4285'!$Q$34</f>
        <v>#NUM!</v>
      </c>
      <c r="AC26">
        <f t="shared" si="0"/>
        <v>3.6439393939393936</v>
      </c>
    </row>
    <row r="27" spans="1:29" x14ac:dyDescent="0.2">
      <c r="A27" s="2">
        <v>1923</v>
      </c>
      <c r="B27">
        <f>'1923'!$D$19</f>
        <v>0.8</v>
      </c>
      <c r="C27">
        <v>0</v>
      </c>
      <c r="D27">
        <f>'1923'!$K$19</f>
        <v>0.94285714285714284</v>
      </c>
      <c r="E27">
        <f>'1923'!$K$22</f>
        <v>2.75</v>
      </c>
      <c r="F27">
        <f>'1923'!$L$22</f>
        <v>3</v>
      </c>
      <c r="G27">
        <f>'1923'!$M$22</f>
        <v>4</v>
      </c>
      <c r="H27">
        <f>'1923'!$N$22</f>
        <v>1.2154310870109943</v>
      </c>
      <c r="I27">
        <f>'1923'!$K$16/('1923'!$L$16+'1923'!$K$16)</f>
        <v>0.89189189189189189</v>
      </c>
      <c r="J27">
        <f>'1923'!$M$16/'1923'!$A$31</f>
        <v>0</v>
      </c>
      <c r="K27" t="e">
        <f>'1923'!$P$36</f>
        <v>#DIV/0!</v>
      </c>
      <c r="L27" t="e">
        <f>'1923'!$R$36</f>
        <v>#DIV/0!</v>
      </c>
      <c r="M27" t="e">
        <f>'1923'!$G$20</f>
        <v>#DIV/0!</v>
      </c>
      <c r="N27" t="e">
        <f>'1923'!$G$22</f>
        <v>#DIV/0!</v>
      </c>
      <c r="O27" t="e">
        <f>'1923'!$G$24</f>
        <v>#DIV/0!</v>
      </c>
      <c r="P27" t="e">
        <f>'1923'!$G$26</f>
        <v>#DIV/0!</v>
      </c>
      <c r="Q27" t="e">
        <f>'1923'!$P$31</f>
        <v>#DIV/0!</v>
      </c>
      <c r="R27" t="e">
        <f>'1923'!$S$31</f>
        <v>#DIV/0!</v>
      </c>
      <c r="T27">
        <f>'1923'!$P$19</f>
        <v>0.9</v>
      </c>
      <c r="U27">
        <f>'1923'!$T$16</f>
        <v>9</v>
      </c>
      <c r="V27">
        <f>'1923'!$G$31</f>
        <v>8.3333333333333329E-2</v>
      </c>
      <c r="W27">
        <f>'1923'!$H$31</f>
        <v>0.33333333333333331</v>
      </c>
      <c r="X27">
        <f>'1923'!$I$31</f>
        <v>0</v>
      </c>
      <c r="Y27">
        <f>'1923'!$A$31</f>
        <v>12</v>
      </c>
      <c r="AA27" t="e">
        <f>'1923'!$Q$34</f>
        <v>#NUM!</v>
      </c>
      <c r="AC27">
        <f t="shared" si="0"/>
        <v>3.55</v>
      </c>
    </row>
    <row r="28" spans="1:29" x14ac:dyDescent="0.2">
      <c r="A28">
        <v>219</v>
      </c>
      <c r="B28">
        <f>'219'!$D$19</f>
        <v>0.58333333333333337</v>
      </c>
      <c r="C28">
        <v>0</v>
      </c>
      <c r="D28">
        <f>'219'!$K$19</f>
        <v>1</v>
      </c>
      <c r="E28">
        <f>'219'!$K$22</f>
        <v>2.9166666666666665</v>
      </c>
      <c r="F28">
        <f>'219'!$L$22</f>
        <v>3</v>
      </c>
      <c r="G28">
        <f>'219'!$M$22</f>
        <v>4</v>
      </c>
      <c r="H28">
        <f>'219'!$N$22</f>
        <v>0.90033663737852021</v>
      </c>
      <c r="I28">
        <f>'219'!$K$16/('219'!$L16+'219'!$K$16)</f>
        <v>0.89189189189189189</v>
      </c>
      <c r="J28">
        <f>'219'!$M$16/'219'!$A$31</f>
        <v>0</v>
      </c>
      <c r="K28">
        <f>'219'!$P$36</f>
        <v>0</v>
      </c>
      <c r="L28">
        <f>'219'!$R$36</f>
        <v>1</v>
      </c>
      <c r="M28">
        <f>'219'!$G$20</f>
        <v>0.14285714285714285</v>
      </c>
      <c r="N28">
        <f>'219'!$G$22</f>
        <v>0.8571428571428571</v>
      </c>
      <c r="O28">
        <f>'219'!$G$24</f>
        <v>0</v>
      </c>
      <c r="P28">
        <f>'219'!$G$26</f>
        <v>0</v>
      </c>
      <c r="Q28">
        <f>'219'!$P$31</f>
        <v>7.8888888888888893</v>
      </c>
      <c r="R28">
        <f>'219'!$S$31</f>
        <v>8.4918261352379982</v>
      </c>
      <c r="T28">
        <f>'219'!$P$19</f>
        <v>0.91666666666666663</v>
      </c>
      <c r="U28">
        <f>'219'!$T$16</f>
        <v>11</v>
      </c>
      <c r="V28">
        <f>'219'!$G$31</f>
        <v>8.3333333333333329E-2</v>
      </c>
      <c r="W28">
        <f>'219'!$H$31</f>
        <v>0.41666666666666669</v>
      </c>
      <c r="X28">
        <f>'219'!$I$31</f>
        <v>0</v>
      </c>
      <c r="Y28">
        <f>'219'!$A$31</f>
        <v>12</v>
      </c>
      <c r="AA28">
        <f>'219'!$Q$34</f>
        <v>2</v>
      </c>
      <c r="AC28">
        <f t="shared" si="0"/>
        <v>3.5</v>
      </c>
    </row>
    <row r="29" spans="1:29" x14ac:dyDescent="0.2">
      <c r="A29" s="2">
        <v>816</v>
      </c>
      <c r="B29">
        <f>'816'!$D$19</f>
        <v>1</v>
      </c>
      <c r="C29">
        <v>1</v>
      </c>
      <c r="D29">
        <f>'816'!$K$19</f>
        <v>1</v>
      </c>
      <c r="E29">
        <f>'816'!$K$22</f>
        <v>2.5</v>
      </c>
      <c r="F29">
        <f>'816'!$L$22</f>
        <v>3</v>
      </c>
      <c r="G29">
        <f>'816'!$M$22</f>
        <v>4</v>
      </c>
      <c r="H29">
        <f>'816'!$N$22</f>
        <v>1.4459976109624424</v>
      </c>
      <c r="I29">
        <f>'816'!$K$16/('816'!$L16+'816'!$K$16)</f>
        <v>0.7567567567567568</v>
      </c>
      <c r="J29">
        <f>'816'!$M$16/'816'!$A$31</f>
        <v>0</v>
      </c>
      <c r="K29" t="e">
        <f>'816'!$P$36</f>
        <v>#DIV/0!</v>
      </c>
      <c r="L29" t="e">
        <f>'816'!$R$36</f>
        <v>#DIV/0!</v>
      </c>
      <c r="M29" t="e">
        <f>'816'!$G$20</f>
        <v>#DIV/0!</v>
      </c>
      <c r="N29" t="e">
        <f>'816'!$G$22</f>
        <v>#DIV/0!</v>
      </c>
      <c r="O29" t="e">
        <f>'816'!$G$24</f>
        <v>#DIV/0!</v>
      </c>
      <c r="P29" t="e">
        <f>'816'!$G$26</f>
        <v>#DIV/0!</v>
      </c>
      <c r="Q29" t="e">
        <f>'816'!$P$31</f>
        <v>#DIV/0!</v>
      </c>
      <c r="R29" t="e">
        <f>'816'!$S$31</f>
        <v>#DIV/0!</v>
      </c>
      <c r="T29">
        <f>'816'!$P$19</f>
        <v>0.63636363636363635</v>
      </c>
      <c r="U29">
        <f>'816'!$T$16</f>
        <v>7</v>
      </c>
      <c r="V29">
        <f>'816'!$G$31</f>
        <v>0</v>
      </c>
      <c r="W29">
        <f>'816'!$H$31</f>
        <v>8.3333333333333329E-2</v>
      </c>
      <c r="X29">
        <f>'816'!$I$31</f>
        <v>0</v>
      </c>
      <c r="Y29">
        <f>'816'!$A$31</f>
        <v>12</v>
      </c>
      <c r="AA29" t="e">
        <f>'816'!$Q$34</f>
        <v>#NUM!</v>
      </c>
      <c r="AC29">
        <f t="shared" si="0"/>
        <v>3.5</v>
      </c>
    </row>
    <row r="30" spans="1:29" x14ac:dyDescent="0.2">
      <c r="A30" s="2">
        <v>225</v>
      </c>
      <c r="B30">
        <f>'225'!$D$19</f>
        <v>1</v>
      </c>
      <c r="C30">
        <v>0</v>
      </c>
      <c r="D30">
        <f>'225'!$K$19</f>
        <v>1</v>
      </c>
      <c r="E30">
        <f>'225'!$K$22</f>
        <v>2.5</v>
      </c>
      <c r="F30">
        <f>'225'!$L$22</f>
        <v>3</v>
      </c>
      <c r="G30">
        <f>'225'!$M$22</f>
        <v>4</v>
      </c>
      <c r="H30">
        <f>'225'!$N$22</f>
        <v>0.90453403373329089</v>
      </c>
      <c r="I30">
        <f>'225'!$K$16/('225'!$L16+'225'!$K$16)</f>
        <v>0.77419354838709675</v>
      </c>
      <c r="J30">
        <f>'225'!$M$16/'225'!$A$31</f>
        <v>8.3333333333333329E-2</v>
      </c>
      <c r="K30">
        <f>'225'!$P$36</f>
        <v>0</v>
      </c>
      <c r="L30">
        <f>'225'!$R$36</f>
        <v>1</v>
      </c>
      <c r="M30">
        <f>'225'!$G$20</f>
        <v>0.47619047619047616</v>
      </c>
      <c r="N30">
        <f>'225'!$G$22</f>
        <v>0.7142857142857143</v>
      </c>
      <c r="O30">
        <f>'225'!$G$24</f>
        <v>0</v>
      </c>
      <c r="P30">
        <f>'225'!$G$26</f>
        <v>0</v>
      </c>
      <c r="Q30">
        <f>'225'!$P$31</f>
        <v>41.333333333333336</v>
      </c>
      <c r="R30">
        <f>'225'!$S$31</f>
        <v>6.3436916887900816</v>
      </c>
      <c r="T30">
        <f>'225'!$P$19</f>
        <v>0.75</v>
      </c>
      <c r="U30">
        <f>'225'!$T$16</f>
        <v>9</v>
      </c>
      <c r="V30">
        <f>'225'!$G$31</f>
        <v>8.3333333333333329E-2</v>
      </c>
      <c r="W30">
        <f>'225'!$H$31</f>
        <v>0.75</v>
      </c>
      <c r="X30">
        <f>'225'!$I$31</f>
        <v>0</v>
      </c>
      <c r="Y30">
        <f>'225'!$A$31</f>
        <v>12</v>
      </c>
      <c r="AA30">
        <f>'225'!$Q$34</f>
        <v>40</v>
      </c>
      <c r="AC30">
        <f t="shared" si="0"/>
        <v>3.5</v>
      </c>
    </row>
    <row r="31" spans="1:29" x14ac:dyDescent="0.2">
      <c r="A31">
        <v>5420</v>
      </c>
      <c r="B31">
        <f>'5420'!$D$19</f>
        <v>0.2857142857142857</v>
      </c>
      <c r="C31">
        <v>1</v>
      </c>
      <c r="D31">
        <f>'5420'!$K$19</f>
        <v>0.89743589743589747</v>
      </c>
      <c r="E31">
        <f>'5420'!$K$22</f>
        <v>3.1818181818181817</v>
      </c>
      <c r="F31">
        <f>'5420'!$L$22</f>
        <v>3</v>
      </c>
      <c r="G31">
        <f>'5420'!$M$22</f>
        <v>4</v>
      </c>
      <c r="H31">
        <f>'5420'!$N$22</f>
        <v>0.75075719352954862</v>
      </c>
      <c r="I31">
        <f>'5420'!$K$16/('5420'!$L$16+'5420'!$K$16)</f>
        <v>0.94594594594594594</v>
      </c>
      <c r="J31">
        <f>'5420'!$M$16/'5420'!$A$31</f>
        <v>0</v>
      </c>
      <c r="K31" t="e">
        <f>'5420'!$P$36</f>
        <v>#DIV/0!</v>
      </c>
      <c r="L31" t="e">
        <f>'5420'!$R$36</f>
        <v>#DIV/0!</v>
      </c>
      <c r="M31" t="e">
        <f>'5420'!$G$20</f>
        <v>#DIV/0!</v>
      </c>
      <c r="N31" t="e">
        <f>'5420'!$G$22</f>
        <v>#DIV/0!</v>
      </c>
      <c r="O31" t="e">
        <f>'5420'!$G$24</f>
        <v>#DIV/0!</v>
      </c>
      <c r="P31" t="e">
        <f>'5420'!$G$26</f>
        <v>#DIV/0!</v>
      </c>
      <c r="Q31" t="e">
        <f>'5420'!$P$31</f>
        <v>#DIV/0!</v>
      </c>
      <c r="R31" t="e">
        <f>'5420'!$S$31</f>
        <v>#DIV/0!</v>
      </c>
      <c r="T31">
        <f>'5420'!$P$19</f>
        <v>0.90909090909090906</v>
      </c>
      <c r="U31">
        <f>'5420'!$T$16</f>
        <v>10</v>
      </c>
      <c r="V31">
        <f>'5420'!$G$31</f>
        <v>0</v>
      </c>
      <c r="W31">
        <f>'5420'!$H$31</f>
        <v>0</v>
      </c>
      <c r="X31">
        <f>'5420'!$I$31</f>
        <v>0</v>
      </c>
      <c r="Y31">
        <f>'5420'!$A$31</f>
        <v>11</v>
      </c>
      <c r="AA31" t="e">
        <f>'5420'!$Q$34</f>
        <v>#NUM!</v>
      </c>
      <c r="AC31">
        <f t="shared" si="0"/>
        <v>3.4675324675324672</v>
      </c>
    </row>
    <row r="32" spans="1:29" x14ac:dyDescent="0.2">
      <c r="A32">
        <v>56</v>
      </c>
      <c r="B32">
        <f>'56'!$D$19</f>
        <v>0.58333333333333337</v>
      </c>
      <c r="C32">
        <v>1</v>
      </c>
      <c r="D32">
        <f>'56'!$K$19</f>
        <v>0.89473684210526316</v>
      </c>
      <c r="E32">
        <f>'56'!$K$22</f>
        <v>2.8333333333333335</v>
      </c>
      <c r="F32">
        <f>'56'!$L$22</f>
        <v>3</v>
      </c>
      <c r="G32">
        <f>'56'!$M$22</f>
        <v>5</v>
      </c>
      <c r="H32">
        <f>'56'!$N$22</f>
        <v>1.1934162828797104</v>
      </c>
      <c r="I32">
        <f>'56'!$K$16/('56'!$L16+'56'!$K$16)</f>
        <v>0.97368421052631582</v>
      </c>
      <c r="J32">
        <f>'56'!$M$16/'56'!$A$31</f>
        <v>0</v>
      </c>
      <c r="K32" t="e">
        <f>'56'!$P$36</f>
        <v>#DIV/0!</v>
      </c>
      <c r="L32" t="e">
        <f>'56'!$R$36</f>
        <v>#DIV/0!</v>
      </c>
      <c r="M32" t="e">
        <f>'56'!$G$20</f>
        <v>#DIV/0!</v>
      </c>
      <c r="N32" t="e">
        <f>'56'!$G$22</f>
        <v>#DIV/0!</v>
      </c>
      <c r="O32" t="e">
        <f>'56'!$G$24</f>
        <v>#DIV/0!</v>
      </c>
      <c r="P32" t="e">
        <f>'56'!$G$26</f>
        <v>#DIV/0!</v>
      </c>
      <c r="Q32" t="e">
        <f>'56'!$P$31</f>
        <v>#DIV/0!</v>
      </c>
      <c r="R32" t="e">
        <f>'56'!$S$31</f>
        <v>#DIV/0!</v>
      </c>
      <c r="T32">
        <f>'56'!$P$19</f>
        <v>1</v>
      </c>
      <c r="U32">
        <f>'56'!$T$16</f>
        <v>12</v>
      </c>
      <c r="V32">
        <f>'56'!$G$31</f>
        <v>0</v>
      </c>
      <c r="W32">
        <f>'56'!$H$31</f>
        <v>0</v>
      </c>
      <c r="X32">
        <f>'56'!$I$31</f>
        <v>0</v>
      </c>
      <c r="Y32">
        <f>'56'!$A$31</f>
        <v>12</v>
      </c>
      <c r="AA32" t="e">
        <f>'56'!$Q$34</f>
        <v>#NUM!</v>
      </c>
      <c r="AC32">
        <f t="shared" si="0"/>
        <v>3.416666666666667</v>
      </c>
    </row>
    <row r="33" spans="1:29" x14ac:dyDescent="0.2">
      <c r="A33">
        <v>2600</v>
      </c>
      <c r="B33">
        <f>'2600'!$D$19</f>
        <v>0</v>
      </c>
      <c r="C33">
        <v>1</v>
      </c>
      <c r="D33">
        <f>'2600'!$K$19</f>
        <v>0.95348837209302328</v>
      </c>
      <c r="E33">
        <f>'2600'!$K$22</f>
        <v>3.4166666666666665</v>
      </c>
      <c r="F33">
        <f>'2600'!$L$22</f>
        <v>3.5</v>
      </c>
      <c r="G33">
        <f>'2600'!$M$22</f>
        <v>4</v>
      </c>
      <c r="H33">
        <f>'2600'!$N$22</f>
        <v>0.66855792342152087</v>
      </c>
      <c r="I33">
        <f>'2600'!$K$16/('2600'!$L$16+'2600'!$K$16)</f>
        <v>0.97435897435897434</v>
      </c>
      <c r="J33">
        <f>'2600'!$M$16/'2600'!$A$31</f>
        <v>0</v>
      </c>
      <c r="K33" t="e">
        <f>'2600'!$P$36</f>
        <v>#DIV/0!</v>
      </c>
      <c r="L33" t="e">
        <f>'2600'!$R$36</f>
        <v>#DIV/0!</v>
      </c>
      <c r="M33" t="e">
        <f>'2600'!$G$20</f>
        <v>#DIV/0!</v>
      </c>
      <c r="N33" t="e">
        <f>'2600'!$G$22</f>
        <v>#DIV/0!</v>
      </c>
      <c r="O33" t="e">
        <f>'2600'!$G$24</f>
        <v>#DIV/0!</v>
      </c>
      <c r="P33" t="e">
        <f>'2600'!$G$26</f>
        <v>#DIV/0!</v>
      </c>
      <c r="Q33" t="e">
        <f>'2600'!$P$31</f>
        <v>#DIV/0!</v>
      </c>
      <c r="R33" t="e">
        <f>'2600'!$S$31</f>
        <v>#DIV/0!</v>
      </c>
      <c r="T33">
        <f>'2600'!$P$19</f>
        <v>0.66666666666666663</v>
      </c>
      <c r="U33">
        <f>'2600'!$T$16</f>
        <v>8</v>
      </c>
      <c r="V33">
        <f>'2600'!$G$31</f>
        <v>0</v>
      </c>
      <c r="W33">
        <f>'2600'!$H$31</f>
        <v>0.25</v>
      </c>
      <c r="X33">
        <f>'2600'!$I$31</f>
        <v>0</v>
      </c>
      <c r="Y33">
        <f>'2600'!$A$31</f>
        <v>12</v>
      </c>
      <c r="AA33" t="e">
        <f>'2600'!$Q$34</f>
        <v>#NUM!</v>
      </c>
      <c r="AC33">
        <f t="shared" si="0"/>
        <v>3.4166666666666665</v>
      </c>
    </row>
    <row r="34" spans="1:29" x14ac:dyDescent="0.2">
      <c r="A34" s="2">
        <v>341</v>
      </c>
      <c r="B34">
        <f>'341'!$D$19</f>
        <v>0.5</v>
      </c>
      <c r="C34">
        <v>0</v>
      </c>
      <c r="D34">
        <f>'341'!$K$19</f>
        <v>0.94594594594594594</v>
      </c>
      <c r="E34">
        <f>'341'!$K$22</f>
        <v>2.9166666666666665</v>
      </c>
      <c r="F34">
        <f>'341'!$L$22</f>
        <v>3</v>
      </c>
      <c r="G34">
        <f>'341'!$M$22</f>
        <v>5</v>
      </c>
      <c r="H34">
        <f>'341'!$N$22</f>
        <v>1.3789543689024493</v>
      </c>
      <c r="I34">
        <f>'341'!$K$16/('341'!$L16+'341'!$K$16)</f>
        <v>0.94285714285714284</v>
      </c>
      <c r="J34">
        <f>'341'!$M$16/'341'!$A$31</f>
        <v>0</v>
      </c>
      <c r="K34">
        <f>'341'!$P$36</f>
        <v>0</v>
      </c>
      <c r="L34">
        <f>'341'!$R$36</f>
        <v>1</v>
      </c>
      <c r="M34">
        <f>'341'!$G$20</f>
        <v>0.7142857142857143</v>
      </c>
      <c r="N34">
        <f>'341'!$G$22</f>
        <v>0.5714285714285714</v>
      </c>
      <c r="O34">
        <f>'341'!$G$24</f>
        <v>0</v>
      </c>
      <c r="P34">
        <f>'341'!$G$26</f>
        <v>0</v>
      </c>
      <c r="Q34">
        <f>'341'!$P$31</f>
        <v>11.8</v>
      </c>
      <c r="R34">
        <f>'341'!$S$31</f>
        <v>13.538422688366946</v>
      </c>
      <c r="T34">
        <f>'341'!$P$19</f>
        <v>0.90909090909090906</v>
      </c>
      <c r="U34">
        <f>'341'!$T$16</f>
        <v>10</v>
      </c>
      <c r="V34">
        <f>'341'!$G$31</f>
        <v>0</v>
      </c>
      <c r="W34">
        <f>'341'!$H$31</f>
        <v>0.16666666666666666</v>
      </c>
      <c r="X34">
        <f>'341'!$I$31</f>
        <v>0</v>
      </c>
      <c r="Y34">
        <f>'341'!$A$31</f>
        <v>12</v>
      </c>
      <c r="AA34">
        <f>'341'!$Q$34</f>
        <v>4</v>
      </c>
      <c r="AC34">
        <f t="shared" ref="AC34:AC61" si="1">IFERROR(B34,0)+E34</f>
        <v>3.4166666666666665</v>
      </c>
    </row>
    <row r="35" spans="1:29" x14ac:dyDescent="0.2">
      <c r="A35" s="2">
        <v>1391</v>
      </c>
      <c r="B35">
        <f>'1391'!$D$19</f>
        <v>0.5</v>
      </c>
      <c r="C35">
        <v>1</v>
      </c>
      <c r="D35">
        <f>'1391'!$K$19</f>
        <v>0.94594594594594594</v>
      </c>
      <c r="E35">
        <f>'1391'!$K$22</f>
        <v>2.9166666666666665</v>
      </c>
      <c r="F35">
        <f>'1391'!$L$22</f>
        <v>3.5</v>
      </c>
      <c r="G35">
        <f>'1391'!$M$22</f>
        <v>5</v>
      </c>
      <c r="H35">
        <f>'1391'!$N$22</f>
        <v>1.6213537179739279</v>
      </c>
      <c r="I35">
        <f>'1391'!$K$16/('1391'!$L16+'1391'!$K$16)</f>
        <v>0.92</v>
      </c>
      <c r="J35">
        <f>'1391'!$M$16/'1391'!$A$31</f>
        <v>1.1666666666666667</v>
      </c>
      <c r="K35" t="e">
        <f>'1391'!$P$36</f>
        <v>#DIV/0!</v>
      </c>
      <c r="L35" t="e">
        <f>'1391'!$R$36</f>
        <v>#DIV/0!</v>
      </c>
      <c r="M35" t="e">
        <f>'1391'!$G$20</f>
        <v>#DIV/0!</v>
      </c>
      <c r="N35" t="e">
        <f>'1391'!$G$22</f>
        <v>#DIV/0!</v>
      </c>
      <c r="O35" t="e">
        <f>'1391'!$G$24</f>
        <v>#DIV/0!</v>
      </c>
      <c r="P35" t="e">
        <f>'1391'!$G$26</f>
        <v>#DIV/0!</v>
      </c>
      <c r="Q35">
        <f>'1391'!$P$31</f>
        <v>1.8</v>
      </c>
      <c r="R35">
        <f>'1391'!$S$31</f>
        <v>1.3038404810405297</v>
      </c>
      <c r="T35">
        <f>'1391'!$P$19</f>
        <v>0.9</v>
      </c>
      <c r="U35">
        <f>'1391'!$T$16</f>
        <v>9</v>
      </c>
      <c r="V35">
        <f>'1391'!$G$31</f>
        <v>0</v>
      </c>
      <c r="W35">
        <f>'1391'!$H$31</f>
        <v>8.3333333333333329E-2</v>
      </c>
      <c r="X35">
        <f>'1391'!$I$31</f>
        <v>0</v>
      </c>
      <c r="Y35">
        <f>'1391'!$A$31</f>
        <v>12</v>
      </c>
      <c r="AA35">
        <f>'1391'!$Q$34</f>
        <v>2</v>
      </c>
      <c r="AC35">
        <f t="shared" si="1"/>
        <v>3.4166666666666665</v>
      </c>
    </row>
    <row r="36" spans="1:29" x14ac:dyDescent="0.2">
      <c r="A36">
        <v>4750</v>
      </c>
      <c r="B36">
        <f>'4750'!$D$19</f>
        <v>0.22222222222222221</v>
      </c>
      <c r="C36">
        <v>1</v>
      </c>
      <c r="D36">
        <f>'4750'!$K$19</f>
        <v>1</v>
      </c>
      <c r="E36">
        <f>'4750'!$K$22</f>
        <v>3.1666666666666665</v>
      </c>
      <c r="F36">
        <f>'4750'!$L$22</f>
        <v>3</v>
      </c>
      <c r="G36">
        <f>'4750'!$M$22</f>
        <v>4</v>
      </c>
      <c r="H36">
        <f>'4750'!$N$22</f>
        <v>0.83484710993672206</v>
      </c>
      <c r="I36">
        <f>'4750'!$K$16/('4750'!$L$16+'4750'!$K$16)</f>
        <v>0.67441860465116277</v>
      </c>
      <c r="J36">
        <f>'4750'!$M$16/'4750'!$A$31</f>
        <v>0</v>
      </c>
      <c r="K36">
        <f>'4750'!$P$36</f>
        <v>0</v>
      </c>
      <c r="L36">
        <f>'4750'!$R$36</f>
        <v>1</v>
      </c>
      <c r="M36" t="e">
        <f>'4750'!$G$20</f>
        <v>#DIV/0!</v>
      </c>
      <c r="N36" t="e">
        <f>'4750'!$G$22</f>
        <v>#DIV/0!</v>
      </c>
      <c r="O36" t="e">
        <f>'4750'!$G$24</f>
        <v>#DIV/0!</v>
      </c>
      <c r="P36" t="e">
        <f>'4750'!$G$26</f>
        <v>#DIV/0!</v>
      </c>
      <c r="Q36">
        <f>'4750'!$P$31</f>
        <v>1.3333333333333333</v>
      </c>
      <c r="R36">
        <f>'4750'!$S$31</f>
        <v>2.3094010767585034</v>
      </c>
      <c r="T36">
        <f>'4750'!$P$19</f>
        <v>1</v>
      </c>
      <c r="U36">
        <f>'4750'!$T$16</f>
        <v>12</v>
      </c>
      <c r="V36">
        <f>'4750'!$G$31</f>
        <v>0</v>
      </c>
      <c r="W36">
        <f>'4750'!$H$31</f>
        <v>0</v>
      </c>
      <c r="X36">
        <f>'4750'!$I$31</f>
        <v>0</v>
      </c>
      <c r="Y36">
        <f>'4750'!$A$31</f>
        <v>12</v>
      </c>
      <c r="AA36">
        <f>'4750'!$Q$34</f>
        <v>1</v>
      </c>
      <c r="AC36">
        <f t="shared" si="1"/>
        <v>3.3888888888888888</v>
      </c>
    </row>
    <row r="37" spans="1:29" x14ac:dyDescent="0.2">
      <c r="A37" s="2">
        <v>223</v>
      </c>
      <c r="B37">
        <f>'223'!$D$19</f>
        <v>0.6</v>
      </c>
      <c r="C37">
        <v>1</v>
      </c>
      <c r="D37">
        <f>'223'!$K$19</f>
        <v>0.86842105263157898</v>
      </c>
      <c r="E37">
        <f>'223'!$K$22</f>
        <v>2.75</v>
      </c>
      <c r="F37">
        <f>'223'!$L$22</f>
        <v>3</v>
      </c>
      <c r="G37">
        <f>'223'!$M$22</f>
        <v>4</v>
      </c>
      <c r="H37">
        <f>'223'!$N$22</f>
        <v>0.96530729916342273</v>
      </c>
      <c r="I37">
        <f>'223'!$K$16/('223'!$L16+'223'!$K$16)</f>
        <v>0.88095238095238093</v>
      </c>
      <c r="J37">
        <f>'223'!$M$16/'223'!$A$31</f>
        <v>8.3333333333333329E-2</v>
      </c>
      <c r="K37">
        <f>'223'!$P$36</f>
        <v>0</v>
      </c>
      <c r="L37">
        <f>'223'!$R$36</f>
        <v>1</v>
      </c>
      <c r="M37">
        <f>'223'!$G$20</f>
        <v>0</v>
      </c>
      <c r="N37">
        <f>'223'!$G$22</f>
        <v>1</v>
      </c>
      <c r="O37">
        <f>'223'!$G$24</f>
        <v>0</v>
      </c>
      <c r="P37">
        <f>'223'!$G$26</f>
        <v>0</v>
      </c>
      <c r="Q37">
        <f>'223'!$P$31</f>
        <v>1.75</v>
      </c>
      <c r="R37">
        <f>'223'!$S$31</f>
        <v>1.707825127659933</v>
      </c>
      <c r="T37">
        <f>'223'!$P$19</f>
        <v>0.90909090909090906</v>
      </c>
      <c r="U37">
        <f>'223'!$T$16</f>
        <v>10</v>
      </c>
      <c r="V37">
        <f>'223'!$G$31</f>
        <v>8.3333333333333329E-2</v>
      </c>
      <c r="W37">
        <f>'223'!$H$31</f>
        <v>0.25</v>
      </c>
      <c r="X37">
        <f>'223'!$I$31</f>
        <v>0</v>
      </c>
      <c r="Y37">
        <f>'223'!$A$31</f>
        <v>12</v>
      </c>
      <c r="AA37">
        <f>'223'!$Q$34</f>
        <v>3.5</v>
      </c>
      <c r="AC37">
        <f t="shared" si="1"/>
        <v>3.35</v>
      </c>
    </row>
    <row r="38" spans="1:29" x14ac:dyDescent="0.2">
      <c r="A38" s="2">
        <v>486</v>
      </c>
      <c r="B38">
        <f>'486'!$D$19</f>
        <v>0.33333333333333331</v>
      </c>
      <c r="C38">
        <v>0</v>
      </c>
      <c r="D38">
        <f>'486'!$K$19</f>
        <v>0.94736842105263153</v>
      </c>
      <c r="E38">
        <f>'486'!$K$22</f>
        <v>3</v>
      </c>
      <c r="F38">
        <f>'486'!$L$22</f>
        <v>3</v>
      </c>
      <c r="G38">
        <f>'486'!$M$22</f>
        <v>5</v>
      </c>
      <c r="H38">
        <f>'486'!$N$22</f>
        <v>1.4142135623730951</v>
      </c>
      <c r="I38">
        <f>'486'!$K$16/('486'!$L16+'486'!$K$16)</f>
        <v>1</v>
      </c>
      <c r="J38">
        <f>'486'!$M$16/'486'!$A$31</f>
        <v>1.5</v>
      </c>
      <c r="K38">
        <f>'486'!$P$36</f>
        <v>0</v>
      </c>
      <c r="L38">
        <f>'486'!$R$36</f>
        <v>1</v>
      </c>
      <c r="M38">
        <f>'486'!$G$20</f>
        <v>1</v>
      </c>
      <c r="N38">
        <f>'486'!$G$22</f>
        <v>0</v>
      </c>
      <c r="O38">
        <f>'486'!$G$24</f>
        <v>0</v>
      </c>
      <c r="P38">
        <f>'486'!$G$26</f>
        <v>0</v>
      </c>
      <c r="Q38">
        <f>'486'!$P$31</f>
        <v>2</v>
      </c>
      <c r="R38" t="e">
        <f>'486'!$S$31</f>
        <v>#DIV/0!</v>
      </c>
      <c r="T38">
        <f>'486'!$P$19</f>
        <v>0.54545454545454541</v>
      </c>
      <c r="U38">
        <f>'486'!$T$16</f>
        <v>6</v>
      </c>
      <c r="V38">
        <f>'486'!$G$31</f>
        <v>8.3333333333333329E-2</v>
      </c>
      <c r="W38">
        <f>'486'!$H$31</f>
        <v>0.33333333333333331</v>
      </c>
      <c r="X38">
        <f>'486'!$I$31</f>
        <v>0</v>
      </c>
      <c r="Y38">
        <f>'486'!$A$31</f>
        <v>12</v>
      </c>
      <c r="AA38">
        <f>'486'!$Q$34</f>
        <v>0.66666666666666663</v>
      </c>
      <c r="AC38">
        <f t="shared" si="1"/>
        <v>3.3333333333333335</v>
      </c>
    </row>
    <row r="39" spans="1:29" x14ac:dyDescent="0.2">
      <c r="A39" s="2">
        <v>1279</v>
      </c>
      <c r="B39">
        <f>'1279'!$D$19</f>
        <v>0.27272727272727271</v>
      </c>
      <c r="C39">
        <v>0</v>
      </c>
      <c r="D39">
        <f>'1279'!$K$19</f>
        <v>0.97297297297297303</v>
      </c>
      <c r="E39">
        <f>'1279'!$K$22</f>
        <v>3</v>
      </c>
      <c r="F39">
        <f>'1279'!$L$22</f>
        <v>3</v>
      </c>
      <c r="G39">
        <f>'1279'!$M$22</f>
        <v>4</v>
      </c>
      <c r="H39">
        <f>'1279'!$N$22</f>
        <v>0.95346258924559235</v>
      </c>
      <c r="I39">
        <f>'1279'!$K$16/('1279'!$L16+'1279'!$K$16)</f>
        <v>0.71111111111111114</v>
      </c>
      <c r="J39">
        <f>'1279'!$M$16/'1279'!$A$31</f>
        <v>0</v>
      </c>
      <c r="K39" t="e">
        <f>'1279'!$P$36</f>
        <v>#DIV/0!</v>
      </c>
      <c r="L39" t="e">
        <f>'1279'!$R$36</f>
        <v>#DIV/0!</v>
      </c>
      <c r="M39" t="e">
        <f>'1279'!$G$20</f>
        <v>#DIV/0!</v>
      </c>
      <c r="N39" t="e">
        <f>'1279'!$G$22</f>
        <v>#DIV/0!</v>
      </c>
      <c r="O39" t="e">
        <f>'1279'!$G$24</f>
        <v>#DIV/0!</v>
      </c>
      <c r="P39" t="e">
        <f>'1279'!$G$26</f>
        <v>#DIV/0!</v>
      </c>
      <c r="Q39" t="e">
        <f>'1279'!$P$31</f>
        <v>#DIV/0!</v>
      </c>
      <c r="R39" t="e">
        <f>'1279'!$S$31</f>
        <v>#DIV/0!</v>
      </c>
      <c r="T39">
        <f>'1279'!$P$19</f>
        <v>0.75</v>
      </c>
      <c r="U39">
        <f>'1279'!$T$16</f>
        <v>9</v>
      </c>
      <c r="V39">
        <f>'1279'!$G$31</f>
        <v>0</v>
      </c>
      <c r="W39">
        <f>'1279'!$H$31</f>
        <v>0</v>
      </c>
      <c r="X39">
        <f>'1279'!$I$31</f>
        <v>0</v>
      </c>
      <c r="Y39">
        <f>'1279'!$A$31</f>
        <v>11</v>
      </c>
      <c r="AA39" t="e">
        <f>'1279'!$Q$34</f>
        <v>#NUM!</v>
      </c>
      <c r="AC39">
        <f t="shared" si="1"/>
        <v>3.2727272727272725</v>
      </c>
    </row>
    <row r="40" spans="1:29" x14ac:dyDescent="0.2">
      <c r="A40">
        <v>4637</v>
      </c>
      <c r="B40">
        <f>'4637'!$D$19</f>
        <v>0.33333333333333331</v>
      </c>
      <c r="C40">
        <v>0</v>
      </c>
      <c r="D40">
        <f>'4637'!$K$19</f>
        <v>0.89743589743589747</v>
      </c>
      <c r="E40">
        <f>'4637'!$K$22</f>
        <v>2.9166666666666665</v>
      </c>
      <c r="F40">
        <f>'4637'!$L$22</f>
        <v>3</v>
      </c>
      <c r="G40">
        <f>'4637'!$M$22</f>
        <v>5</v>
      </c>
      <c r="H40">
        <f>'4637'!$N$22</f>
        <v>1.2401124093721456</v>
      </c>
      <c r="I40">
        <f>'4637'!$K$16/('4637'!$L$16+'4637'!$K$16)</f>
        <v>0.75862068965517238</v>
      </c>
      <c r="J40">
        <f>'4637'!$M$16/'4637'!$A$31</f>
        <v>0.83333333333333337</v>
      </c>
      <c r="K40" t="e">
        <f>'4637'!$P$36</f>
        <v>#DIV/0!</v>
      </c>
      <c r="L40" t="e">
        <f>'4637'!$R$36</f>
        <v>#DIV/0!</v>
      </c>
      <c r="M40" t="e">
        <f>'4637'!$G$20</f>
        <v>#DIV/0!</v>
      </c>
      <c r="N40" t="e">
        <f>'4637'!$G$22</f>
        <v>#DIV/0!</v>
      </c>
      <c r="O40" t="e">
        <f>'4637'!$G$24</f>
        <v>#DIV/0!</v>
      </c>
      <c r="P40" t="e">
        <f>'4637'!$G$26</f>
        <v>#DIV/0!</v>
      </c>
      <c r="Q40" t="e">
        <f>'4637'!$P$31</f>
        <v>#DIV/0!</v>
      </c>
      <c r="R40" t="e">
        <f>'4637'!$S$31</f>
        <v>#DIV/0!</v>
      </c>
      <c r="T40">
        <f>'4637'!$P$19</f>
        <v>0.90909090909090906</v>
      </c>
      <c r="U40">
        <f>'4637'!$T$16</f>
        <v>10</v>
      </c>
      <c r="V40">
        <f>'4637'!$G$31</f>
        <v>8.3333333333333329E-2</v>
      </c>
      <c r="W40">
        <f>'4637'!$H$31</f>
        <v>0.16666666666666666</v>
      </c>
      <c r="X40">
        <f>'4637'!$I$31</f>
        <v>0</v>
      </c>
      <c r="Y40">
        <f>'4637'!$A$31</f>
        <v>12</v>
      </c>
      <c r="AA40" t="e">
        <f>'4637'!$Q$34</f>
        <v>#NUM!</v>
      </c>
      <c r="AC40">
        <f t="shared" si="1"/>
        <v>3.25</v>
      </c>
    </row>
    <row r="41" spans="1:29" x14ac:dyDescent="0.2">
      <c r="A41" s="2">
        <v>555</v>
      </c>
      <c r="B41">
        <f>'555'!$D$19</f>
        <v>0.33333333333333331</v>
      </c>
      <c r="C41">
        <v>0</v>
      </c>
      <c r="D41">
        <f>'555'!$K$19</f>
        <v>0.92105263157894735</v>
      </c>
      <c r="E41">
        <f>'555'!$K$22</f>
        <v>2.9166666666666665</v>
      </c>
      <c r="F41">
        <f>'555'!$L$22</f>
        <v>3</v>
      </c>
      <c r="G41">
        <f>'555'!$M$22</f>
        <v>5</v>
      </c>
      <c r="H41">
        <f>'555'!$N$22</f>
        <v>1.1645001528813153</v>
      </c>
      <c r="I41">
        <f>'555'!$K$16/('555'!$L16+'555'!$K$16)</f>
        <v>0.80851063829787229</v>
      </c>
      <c r="J41">
        <f>'555'!$M$16/'555'!$A$31</f>
        <v>0</v>
      </c>
      <c r="K41" t="e">
        <f>'555'!$P$36</f>
        <v>#DIV/0!</v>
      </c>
      <c r="L41" t="e">
        <f>'555'!$R$36</f>
        <v>#DIV/0!</v>
      </c>
      <c r="M41" t="e">
        <f>'555'!$G$20</f>
        <v>#DIV/0!</v>
      </c>
      <c r="N41" t="e">
        <f>'555'!$G$22</f>
        <v>#DIV/0!</v>
      </c>
      <c r="O41" t="e">
        <f>'555'!$G$24</f>
        <v>#DIV/0!</v>
      </c>
      <c r="P41" t="e">
        <f>'555'!$G$26</f>
        <v>#DIV/0!</v>
      </c>
      <c r="Q41" t="e">
        <f>'555'!$P$31</f>
        <v>#DIV/0!</v>
      </c>
      <c r="R41" t="e">
        <f>'555'!$S$31</f>
        <v>#DIV/0!</v>
      </c>
      <c r="T41">
        <f>'555'!$P$19</f>
        <v>1</v>
      </c>
      <c r="U41">
        <f>'555'!$T$16</f>
        <v>12</v>
      </c>
      <c r="V41">
        <f>'555'!$G$31</f>
        <v>0</v>
      </c>
      <c r="W41">
        <f>'555'!$H$31</f>
        <v>8.3333333333333329E-2</v>
      </c>
      <c r="X41">
        <f>'555'!$I$31</f>
        <v>0</v>
      </c>
      <c r="Y41">
        <f>'555'!$A$31</f>
        <v>12</v>
      </c>
      <c r="AA41" t="e">
        <f>'555'!$Q$34</f>
        <v>#NUM!</v>
      </c>
      <c r="AC41">
        <f t="shared" si="1"/>
        <v>3.25</v>
      </c>
    </row>
    <row r="42" spans="1:29" x14ac:dyDescent="0.2">
      <c r="A42">
        <v>102</v>
      </c>
      <c r="B42">
        <f>'102'!$D$19</f>
        <v>0.22222222222222221</v>
      </c>
      <c r="C42">
        <v>0</v>
      </c>
      <c r="D42">
        <f>'102'!$K$19</f>
        <v>0.92307692307692313</v>
      </c>
      <c r="E42">
        <f>'102'!$K$22</f>
        <v>3</v>
      </c>
      <c r="F42">
        <f>'102'!$L$22</f>
        <v>3</v>
      </c>
      <c r="G42">
        <f>'102'!$M$22</f>
        <v>4</v>
      </c>
      <c r="H42">
        <f>'102'!$N$22</f>
        <v>1.2792042981336627</v>
      </c>
      <c r="I42">
        <f>'102'!$K$16/('102'!$L16+'102'!$K$16)</f>
        <v>0.7021276595744681</v>
      </c>
      <c r="J42">
        <f>'102'!$M$16/'102'!$A$31</f>
        <v>0</v>
      </c>
      <c r="K42" t="e">
        <f>'102'!$P$36</f>
        <v>#DIV/0!</v>
      </c>
      <c r="L42" t="e">
        <f>'102'!$R$36</f>
        <v>#DIV/0!</v>
      </c>
      <c r="M42" t="e">
        <f>'102'!$G$20</f>
        <v>#DIV/0!</v>
      </c>
      <c r="N42" t="e">
        <f>'102'!$G$22</f>
        <v>#DIV/0!</v>
      </c>
      <c r="O42" t="e">
        <f>'102'!$G$24</f>
        <v>#DIV/0!</v>
      </c>
      <c r="P42" t="e">
        <f>'102'!$G$26</f>
        <v>#DIV/0!</v>
      </c>
      <c r="Q42" t="e">
        <f>'102'!$P$31</f>
        <v>#DIV/0!</v>
      </c>
      <c r="R42" t="e">
        <f>'102'!$S$31</f>
        <v>#DIV/0!</v>
      </c>
      <c r="T42">
        <f>'102'!$P$19</f>
        <v>0.66666666666666663</v>
      </c>
      <c r="U42">
        <f>'102'!$T$16</f>
        <v>8</v>
      </c>
      <c r="V42">
        <f>'102'!$G$31</f>
        <v>0</v>
      </c>
      <c r="W42">
        <f>'102'!$H$31</f>
        <v>8.3333333333333329E-2</v>
      </c>
      <c r="X42">
        <f>'102'!$I$31</f>
        <v>0</v>
      </c>
      <c r="Y42">
        <f>'102'!$A$31</f>
        <v>12</v>
      </c>
      <c r="AA42" t="e">
        <f>'102'!$Q$34</f>
        <v>#NUM!</v>
      </c>
      <c r="AC42">
        <f t="shared" si="1"/>
        <v>3.2222222222222223</v>
      </c>
    </row>
    <row r="43" spans="1:29" x14ac:dyDescent="0.2">
      <c r="A43">
        <v>5401</v>
      </c>
      <c r="B43">
        <f>'5401'!$D$19</f>
        <v>0</v>
      </c>
      <c r="C43">
        <v>0</v>
      </c>
      <c r="D43">
        <f>'5401'!$K$19</f>
        <v>0.97435897435897434</v>
      </c>
      <c r="E43">
        <f>'5401'!$K$22</f>
        <v>3.1666666666666665</v>
      </c>
      <c r="F43">
        <f>'5401'!$L$22</f>
        <v>3</v>
      </c>
      <c r="G43">
        <f>'5401'!$M$22</f>
        <v>5</v>
      </c>
      <c r="H43">
        <f>'5401'!$N$22</f>
        <v>1.0298573010888747</v>
      </c>
      <c r="I43">
        <f>'5401'!$K$16/('5401'!$L$16+'5401'!$K$16)</f>
        <v>0.92105263157894735</v>
      </c>
      <c r="J43">
        <f>'5401'!$M$16/'5401'!$A$31</f>
        <v>0</v>
      </c>
      <c r="K43">
        <f>'5401'!$P$36</f>
        <v>0</v>
      </c>
      <c r="L43">
        <f>'5401'!$R$36</f>
        <v>1</v>
      </c>
      <c r="M43">
        <f>'5401'!$G$20</f>
        <v>0.2</v>
      </c>
      <c r="N43">
        <f>'5401'!$G$22</f>
        <v>0.66666666666666663</v>
      </c>
      <c r="O43">
        <f>'5401'!$G$24</f>
        <v>0</v>
      </c>
      <c r="P43">
        <f>'5401'!$G$26</f>
        <v>0.2</v>
      </c>
      <c r="Q43">
        <f>'5401'!$P$31</f>
        <v>14.833333333333334</v>
      </c>
      <c r="R43">
        <f>'5401'!$S$31</f>
        <v>9.3695185995801715</v>
      </c>
      <c r="T43">
        <f>'5401'!$P$19</f>
        <v>0.90909090909090906</v>
      </c>
      <c r="U43">
        <f>'5401'!$T$16</f>
        <v>10</v>
      </c>
      <c r="V43">
        <f>'5401'!$G$31</f>
        <v>0.5</v>
      </c>
      <c r="W43">
        <f>'5401'!$H$31</f>
        <v>0.25</v>
      </c>
      <c r="X43">
        <f>'5401'!$I$31</f>
        <v>0</v>
      </c>
      <c r="Y43">
        <f>'5401'!$A$31</f>
        <v>12</v>
      </c>
      <c r="AA43">
        <f>'5401'!$Q$34</f>
        <v>10.5</v>
      </c>
      <c r="AC43">
        <f t="shared" si="1"/>
        <v>3.1666666666666665</v>
      </c>
    </row>
    <row r="44" spans="1:29" x14ac:dyDescent="0.2">
      <c r="A44">
        <v>5895</v>
      </c>
      <c r="B44">
        <f>'5895'!$D$19</f>
        <v>0.5</v>
      </c>
      <c r="C44">
        <v>0</v>
      </c>
      <c r="D44">
        <f>'5895'!$K$19</f>
        <v>0.93333333333333335</v>
      </c>
      <c r="E44">
        <f>'5895'!$K$22</f>
        <v>2.6363636363636362</v>
      </c>
      <c r="F44">
        <f>'5895'!$L$22</f>
        <v>3</v>
      </c>
      <c r="G44">
        <f>'5895'!$M$22</f>
        <v>4</v>
      </c>
      <c r="H44">
        <f>'5895'!$N$22</f>
        <v>1.1200649331826502</v>
      </c>
      <c r="I44">
        <f>'5895'!$K$16/('5895'!$L$16+'5895'!$K$16)</f>
        <v>1</v>
      </c>
      <c r="J44">
        <f>'5895'!$M$16/'5895'!$A$31</f>
        <v>0</v>
      </c>
      <c r="K44">
        <f>'5895'!$P$36</f>
        <v>0</v>
      </c>
      <c r="L44">
        <f>'5895'!$R$36</f>
        <v>1</v>
      </c>
      <c r="M44">
        <f>'5895'!$G$20</f>
        <v>0</v>
      </c>
      <c r="N44">
        <f>'5895'!$G$22</f>
        <v>1</v>
      </c>
      <c r="O44">
        <f>'5895'!$G$24</f>
        <v>0</v>
      </c>
      <c r="P44">
        <f>'5895'!$G$26</f>
        <v>0</v>
      </c>
      <c r="Q44">
        <f>'5895'!$P$31</f>
        <v>15.625</v>
      </c>
      <c r="R44">
        <f>'5895'!$S$31</f>
        <v>14.480898748745831</v>
      </c>
      <c r="T44">
        <f>'5895'!$P$19</f>
        <v>0.9</v>
      </c>
      <c r="U44">
        <f>'5895'!$T$16</f>
        <v>9</v>
      </c>
      <c r="V44">
        <f>'5895'!$G$31</f>
        <v>0.27272727272727271</v>
      </c>
      <c r="W44">
        <f>'5895'!$H$31</f>
        <v>9.0909090909090912E-2</v>
      </c>
      <c r="X44">
        <f>'5895'!$I$31</f>
        <v>0</v>
      </c>
      <c r="Y44">
        <f>'5895'!$A$31</f>
        <v>11</v>
      </c>
      <c r="AA44">
        <f>'5895'!$Q$34</f>
        <v>11.5</v>
      </c>
      <c r="AC44">
        <f t="shared" si="1"/>
        <v>3.1363636363636362</v>
      </c>
    </row>
    <row r="45" spans="1:29" x14ac:dyDescent="0.2">
      <c r="A45">
        <v>5181</v>
      </c>
      <c r="B45">
        <f>'5181'!$D$19</f>
        <v>0.625</v>
      </c>
      <c r="C45">
        <v>0</v>
      </c>
      <c r="D45">
        <f>'5181'!$K$19</f>
        <v>0.967741935483871</v>
      </c>
      <c r="E45">
        <f>'5181'!$K$22</f>
        <v>2.5</v>
      </c>
      <c r="F45">
        <f>'5181'!$L$22</f>
        <v>3</v>
      </c>
      <c r="G45">
        <f>'5181'!$M$22</f>
        <v>4</v>
      </c>
      <c r="H45">
        <f>'5181'!$N$22</f>
        <v>1.4459976109624424</v>
      </c>
      <c r="I45">
        <f>'5181'!$K$16/('5181'!$L$16+'5181'!$K$16)</f>
        <v>0.75862068965517238</v>
      </c>
      <c r="J45">
        <f>'5181'!$M$16/'5181'!$A$31</f>
        <v>0</v>
      </c>
      <c r="K45" t="e">
        <f>'5181'!$P$36</f>
        <v>#DIV/0!</v>
      </c>
      <c r="L45" t="e">
        <f>'5181'!$R$36</f>
        <v>#DIV/0!</v>
      </c>
      <c r="M45" t="e">
        <f>'5181'!$G$20</f>
        <v>#DIV/0!</v>
      </c>
      <c r="N45" t="e">
        <f>'5181'!$G$22</f>
        <v>#DIV/0!</v>
      </c>
      <c r="O45" t="e">
        <f>'5181'!$G$24</f>
        <v>#DIV/0!</v>
      </c>
      <c r="P45" t="e">
        <f>'5181'!$G$26</f>
        <v>#DIV/0!</v>
      </c>
      <c r="Q45">
        <f>'5181'!$P$31</f>
        <v>2</v>
      </c>
      <c r="R45" t="e">
        <f>'5181'!$S$31</f>
        <v>#DIV/0!</v>
      </c>
      <c r="T45">
        <f>'5181'!$P$19</f>
        <v>0.75</v>
      </c>
      <c r="U45">
        <f>'5181'!$T$16</f>
        <v>6</v>
      </c>
      <c r="V45">
        <f>'5181'!$G$31</f>
        <v>0</v>
      </c>
      <c r="W45">
        <f>'5181'!$H$31</f>
        <v>0.25</v>
      </c>
      <c r="X45">
        <f>'5181'!$I$31</f>
        <v>0</v>
      </c>
      <c r="Y45">
        <f>'5181'!$A$31</f>
        <v>12</v>
      </c>
      <c r="AA45">
        <f>'5181'!$Q$34</f>
        <v>2</v>
      </c>
      <c r="AC45">
        <f t="shared" si="1"/>
        <v>3.125</v>
      </c>
    </row>
    <row r="46" spans="1:29" x14ac:dyDescent="0.2">
      <c r="A46">
        <v>2539</v>
      </c>
      <c r="B46">
        <f>'2539'!$D$19</f>
        <v>0.16666666666666666</v>
      </c>
      <c r="C46">
        <v>0</v>
      </c>
      <c r="D46">
        <f>'2539'!$K$19</f>
        <v>0.97222222222222221</v>
      </c>
      <c r="E46">
        <f>'2539'!$K$22</f>
        <v>2.9166666666666665</v>
      </c>
      <c r="F46">
        <f>'2539'!$L$22</f>
        <v>3</v>
      </c>
      <c r="G46">
        <f>'2539'!$M$22</f>
        <v>4</v>
      </c>
      <c r="H46">
        <f>'2539'!$N$22</f>
        <v>1.2401124093721456</v>
      </c>
      <c r="I46">
        <f>'2539'!$K$16/('2539'!$L$16+'2539'!$K$16)</f>
        <v>0.7</v>
      </c>
      <c r="J46">
        <f>'2539'!$M$16/'2539'!$A$31</f>
        <v>0</v>
      </c>
      <c r="K46" t="e">
        <f>'2539'!$P$36</f>
        <v>#DIV/0!</v>
      </c>
      <c r="L46" t="e">
        <f>'2539'!$R$36</f>
        <v>#DIV/0!</v>
      </c>
      <c r="M46">
        <f>'2539'!$G$20</f>
        <v>1</v>
      </c>
      <c r="N46">
        <f>'2539'!$G$22</f>
        <v>1</v>
      </c>
      <c r="O46">
        <f>'2539'!$G$24</f>
        <v>0</v>
      </c>
      <c r="P46">
        <f>'2539'!$G$26</f>
        <v>0</v>
      </c>
      <c r="Q46">
        <f>'2539'!$P$31</f>
        <v>3.5</v>
      </c>
      <c r="R46">
        <f>'2539'!$S$31</f>
        <v>2.5099800796022267</v>
      </c>
      <c r="T46">
        <f>'2539'!$P$19</f>
        <v>0.75</v>
      </c>
      <c r="U46">
        <f>'2539'!$T$16</f>
        <v>9</v>
      </c>
      <c r="V46">
        <f>'2539'!$G$31</f>
        <v>8.3333333333333329E-2</v>
      </c>
      <c r="W46">
        <f>'2539'!$H$31</f>
        <v>0.25</v>
      </c>
      <c r="X46">
        <f>'2539'!$I$31</f>
        <v>0</v>
      </c>
      <c r="Y46">
        <f>'2539'!$A$31</f>
        <v>12</v>
      </c>
      <c r="AA46">
        <f>'2539'!$Q$34</f>
        <v>4</v>
      </c>
      <c r="AC46">
        <f t="shared" si="1"/>
        <v>3.083333333333333</v>
      </c>
    </row>
    <row r="47" spans="1:29" x14ac:dyDescent="0.2">
      <c r="A47">
        <v>4342</v>
      </c>
      <c r="B47">
        <f>'4342'!$D$19</f>
        <v>0.72727272727272729</v>
      </c>
      <c r="C47">
        <v>0</v>
      </c>
      <c r="D47">
        <f>'4342'!$K$19</f>
        <v>0.96551724137931039</v>
      </c>
      <c r="E47">
        <f>'4342'!$K$22</f>
        <v>2.3333333333333335</v>
      </c>
      <c r="F47">
        <f>'4342'!$L$22</f>
        <v>2.5</v>
      </c>
      <c r="G47">
        <f>'4342'!$M$22</f>
        <v>4</v>
      </c>
      <c r="H47">
        <f>'4342'!$N$22</f>
        <v>1.3026778945578594</v>
      </c>
      <c r="I47">
        <f>'4342'!$K$16/('4342'!$L$16+'4342'!$K$16)</f>
        <v>0.967741935483871</v>
      </c>
      <c r="J47">
        <f>'4342'!$M$16/'4342'!$A$31</f>
        <v>0</v>
      </c>
      <c r="K47">
        <f>'4342'!$P$36</f>
        <v>0</v>
      </c>
      <c r="L47">
        <f>'4342'!$R$36</f>
        <v>1</v>
      </c>
      <c r="M47">
        <f>'4342'!$G$20</f>
        <v>0</v>
      </c>
      <c r="N47">
        <f>'4342'!$G$22</f>
        <v>1</v>
      </c>
      <c r="O47">
        <f>'4342'!$G$24</f>
        <v>0</v>
      </c>
      <c r="P47">
        <f>'4342'!$G$26</f>
        <v>0</v>
      </c>
      <c r="Q47">
        <f>'4342'!$P$31</f>
        <v>9.6666666666666661</v>
      </c>
      <c r="R47">
        <f>'4342'!$S$31</f>
        <v>15.01110699893027</v>
      </c>
      <c r="T47">
        <f>'4342'!$P$19</f>
        <v>0.81818181818181823</v>
      </c>
      <c r="U47">
        <f>'4342'!$T$16</f>
        <v>9</v>
      </c>
      <c r="V47">
        <f>'4342'!$G$31</f>
        <v>0</v>
      </c>
      <c r="W47">
        <f>'4342'!$H$31</f>
        <v>0.41666666666666669</v>
      </c>
      <c r="X47">
        <f>'4342'!$I$31</f>
        <v>0</v>
      </c>
      <c r="Y47">
        <f>'4342'!$A$31</f>
        <v>12</v>
      </c>
      <c r="AA47">
        <f>'4342'!$Q$34</f>
        <v>1</v>
      </c>
      <c r="AC47">
        <f t="shared" si="1"/>
        <v>3.0606060606060606</v>
      </c>
    </row>
    <row r="48" spans="1:29" x14ac:dyDescent="0.2">
      <c r="A48">
        <v>5407</v>
      </c>
      <c r="B48">
        <f>'5407'!$D$19</f>
        <v>0.36363636363636365</v>
      </c>
      <c r="C48">
        <v>0</v>
      </c>
      <c r="D48">
        <f>'5407'!$K$19</f>
        <v>0.88888888888888884</v>
      </c>
      <c r="E48">
        <f>'5407'!$K$22</f>
        <v>2.6666666666666665</v>
      </c>
      <c r="F48">
        <f>'5407'!$L$22</f>
        <v>3</v>
      </c>
      <c r="G48">
        <f>'5407'!$M$22</f>
        <v>3</v>
      </c>
      <c r="H48">
        <f>'5407'!$N$22</f>
        <v>0.65133894727892994</v>
      </c>
      <c r="I48">
        <f>'5407'!$K$16/('5407'!$L$16+'5407'!$K$16)</f>
        <v>0.89473684210526316</v>
      </c>
      <c r="J48">
        <f>'5407'!$M$16/'5407'!$A$31</f>
        <v>1.5</v>
      </c>
      <c r="K48">
        <f>'5407'!$P$36</f>
        <v>0</v>
      </c>
      <c r="L48">
        <f>'5407'!$R$36</f>
        <v>1</v>
      </c>
      <c r="M48" t="e">
        <f>'5407'!$G$20</f>
        <v>#DIV/0!</v>
      </c>
      <c r="N48" t="e">
        <f>'5407'!$G$22</f>
        <v>#DIV/0!</v>
      </c>
      <c r="O48" t="e">
        <f>'5407'!$G$24</f>
        <v>#DIV/0!</v>
      </c>
      <c r="P48" t="e">
        <f>'5407'!$G$26</f>
        <v>#DIV/0!</v>
      </c>
      <c r="Q48">
        <f>'5407'!$P$31</f>
        <v>1.3333333333333333</v>
      </c>
      <c r="R48">
        <f>'5407'!$S$31</f>
        <v>1.5275252316519468</v>
      </c>
      <c r="T48">
        <f>'5407'!$P$19</f>
        <v>0.83333333333333337</v>
      </c>
      <c r="U48">
        <f>'5407'!$T$16</f>
        <v>10</v>
      </c>
      <c r="V48">
        <f>'5407'!$G$31</f>
        <v>0</v>
      </c>
      <c r="W48">
        <f>'5407'!$H$31</f>
        <v>0</v>
      </c>
      <c r="X48">
        <f>'5407'!$I$31</f>
        <v>0</v>
      </c>
      <c r="Y48">
        <f>'5407'!$A$31</f>
        <v>12</v>
      </c>
      <c r="AA48">
        <f>'5407'!$Q$34</f>
        <v>3</v>
      </c>
      <c r="AC48">
        <f t="shared" si="1"/>
        <v>3.0303030303030303</v>
      </c>
    </row>
    <row r="49" spans="1:29" x14ac:dyDescent="0.2">
      <c r="A49">
        <v>3637</v>
      </c>
      <c r="B49">
        <f>'3637'!$D$19</f>
        <v>0.66666666666666663</v>
      </c>
      <c r="C49">
        <v>0</v>
      </c>
      <c r="D49">
        <f>'3637'!$K$19</f>
        <v>0.90322580645161288</v>
      </c>
      <c r="E49">
        <f>'3637'!$K$22</f>
        <v>2.3333333333333335</v>
      </c>
      <c r="F49">
        <f>'3637'!$L$22</f>
        <v>2</v>
      </c>
      <c r="G49">
        <f>'3637'!$M$22</f>
        <v>4</v>
      </c>
      <c r="H49">
        <f>'3637'!$N$22</f>
        <v>0.88762536459859476</v>
      </c>
      <c r="I49">
        <f>'3637'!$K$16/('3637'!$L$16+'3637'!$K$16)</f>
        <v>0.70967741935483875</v>
      </c>
      <c r="J49">
        <f>'3637'!$M$16/'3637'!$A$31</f>
        <v>0.66666666666666663</v>
      </c>
      <c r="K49" t="e">
        <f>'3637'!$P$36</f>
        <v>#DIV/0!</v>
      </c>
      <c r="L49" t="e">
        <f>'3637'!$R$36</f>
        <v>#DIV/0!</v>
      </c>
      <c r="M49" t="e">
        <f>'3637'!$G$20</f>
        <v>#DIV/0!</v>
      </c>
      <c r="N49" t="e">
        <f>'3637'!$G$22</f>
        <v>#DIV/0!</v>
      </c>
      <c r="O49" t="e">
        <f>'3637'!$G$24</f>
        <v>#DIV/0!</v>
      </c>
      <c r="P49" t="e">
        <f>'3637'!$G$26</f>
        <v>#DIV/0!</v>
      </c>
      <c r="Q49" t="e">
        <f>'3637'!$P$31</f>
        <v>#DIV/0!</v>
      </c>
      <c r="R49" t="e">
        <f>'3637'!$S$31</f>
        <v>#DIV/0!</v>
      </c>
      <c r="T49">
        <f>'3637'!$P$19</f>
        <v>0.90909090909090906</v>
      </c>
      <c r="U49">
        <f>'3637'!$T$16</f>
        <v>10</v>
      </c>
      <c r="V49">
        <f>'3637'!$G$31</f>
        <v>0</v>
      </c>
      <c r="W49">
        <f>'3637'!$H$31</f>
        <v>0.16666666666666666</v>
      </c>
      <c r="X49">
        <f>'3637'!$I$31</f>
        <v>0</v>
      </c>
      <c r="Y49">
        <f>'3637'!$A$31</f>
        <v>12</v>
      </c>
      <c r="AA49" t="e">
        <f>'3637'!$Q$34</f>
        <v>#NUM!</v>
      </c>
      <c r="AC49">
        <f t="shared" si="1"/>
        <v>3</v>
      </c>
    </row>
    <row r="50" spans="1:29" x14ac:dyDescent="0.2">
      <c r="A50" s="2">
        <v>5404</v>
      </c>
      <c r="B50">
        <f>'5404'!$D$19</f>
        <v>0.125</v>
      </c>
      <c r="C50">
        <v>0</v>
      </c>
      <c r="D50">
        <f>'5404'!$K$19</f>
        <v>0.89473684210526316</v>
      </c>
      <c r="E50">
        <f>'5404'!$K$22</f>
        <v>2.8333333333333335</v>
      </c>
      <c r="F50">
        <f>'5404'!$L$22</f>
        <v>3</v>
      </c>
      <c r="G50">
        <f>'5404'!$M$22</f>
        <v>4</v>
      </c>
      <c r="H50">
        <f>'5404'!$N$22</f>
        <v>0.83484710993672206</v>
      </c>
      <c r="I50">
        <f>'5404'!$K$16/('5404'!$L$16+'5404'!$K$16)</f>
        <v>0.91666666666666663</v>
      </c>
      <c r="J50">
        <f>'5404'!$M$16/'5404'!$A$31</f>
        <v>0</v>
      </c>
      <c r="K50" t="e">
        <f>'5404'!$P$36</f>
        <v>#DIV/0!</v>
      </c>
      <c r="L50" t="e">
        <f>'5404'!$R$36</f>
        <v>#DIV/0!</v>
      </c>
      <c r="M50" t="e">
        <f>'5404'!$G$20</f>
        <v>#DIV/0!</v>
      </c>
      <c r="N50" t="e">
        <f>'5404'!$G$22</f>
        <v>#DIV/0!</v>
      </c>
      <c r="O50" t="e">
        <f>'5404'!$G$24</f>
        <v>#DIV/0!</v>
      </c>
      <c r="P50" t="e">
        <f>'5404'!$G$26</f>
        <v>#DIV/0!</v>
      </c>
      <c r="Q50" t="e">
        <f>'5404'!$P$31</f>
        <v>#DIV/0!</v>
      </c>
      <c r="R50" t="e">
        <f>'5404'!$S$31</f>
        <v>#DIV/0!</v>
      </c>
      <c r="T50">
        <f>'5404'!$P$19</f>
        <v>0.83333333333333337</v>
      </c>
      <c r="U50">
        <f>'5404'!$T$16</f>
        <v>10</v>
      </c>
      <c r="V50">
        <f>'5404'!$G$31</f>
        <v>0</v>
      </c>
      <c r="W50">
        <f>'5404'!$H$31</f>
        <v>8.3333333333333329E-2</v>
      </c>
      <c r="X50">
        <f>'5404'!$I$31</f>
        <v>0</v>
      </c>
      <c r="Y50">
        <f>'5404'!$A$31</f>
        <v>12</v>
      </c>
      <c r="AA50" t="e">
        <f>'5404'!$Q$34</f>
        <v>#NUM!</v>
      </c>
      <c r="AC50">
        <f t="shared" si="1"/>
        <v>2.9583333333333335</v>
      </c>
    </row>
    <row r="51" spans="1:29" x14ac:dyDescent="0.2">
      <c r="A51" s="2">
        <v>1495</v>
      </c>
      <c r="B51">
        <f>'1495'!$D$19</f>
        <v>0.27272727272727271</v>
      </c>
      <c r="C51">
        <v>0</v>
      </c>
      <c r="D51">
        <f>'1495'!$K$19</f>
        <v>0.88571428571428568</v>
      </c>
      <c r="E51">
        <f>'1495'!$K$22</f>
        <v>2.5833333333333335</v>
      </c>
      <c r="F51">
        <f>'1495'!$L$22</f>
        <v>2.5</v>
      </c>
      <c r="G51">
        <f>'1495'!$M$22</f>
        <v>4</v>
      </c>
      <c r="H51">
        <f>'1495'!$N$22</f>
        <v>0.90033663737852021</v>
      </c>
      <c r="I51">
        <f>'1495'!$K$16/('1495'!$L16+'1495'!$K$16)</f>
        <v>0.8</v>
      </c>
      <c r="J51">
        <f>'1495'!$M$16/'1495'!$A$31</f>
        <v>0</v>
      </c>
      <c r="K51" t="e">
        <f>'1495'!$P$36</f>
        <v>#DIV/0!</v>
      </c>
      <c r="L51" t="e">
        <f>'1495'!$R$36</f>
        <v>#DIV/0!</v>
      </c>
      <c r="M51" t="e">
        <f>'1495'!$G$20</f>
        <v>#DIV/0!</v>
      </c>
      <c r="N51" t="e">
        <f>'1495'!$G$22</f>
        <v>#DIV/0!</v>
      </c>
      <c r="O51" t="e">
        <f>'1495'!$G$24</f>
        <v>#DIV/0!</v>
      </c>
      <c r="P51" t="e">
        <f>'1495'!$G$26</f>
        <v>#DIV/0!</v>
      </c>
      <c r="Q51" t="e">
        <f>'1495'!$P$31</f>
        <v>#DIV/0!</v>
      </c>
      <c r="R51" t="e">
        <f>'1495'!$S$31</f>
        <v>#DIV/0!</v>
      </c>
      <c r="T51">
        <f>'1495'!$P$19</f>
        <v>0.66666666666666663</v>
      </c>
      <c r="U51">
        <f>'1495'!$T$16</f>
        <v>8</v>
      </c>
      <c r="V51">
        <f>'1495'!$G$31</f>
        <v>0</v>
      </c>
      <c r="W51">
        <f>'1495'!$H$31</f>
        <v>8.3333333333333329E-2</v>
      </c>
      <c r="X51">
        <f>'1495'!$I$31</f>
        <v>0</v>
      </c>
      <c r="Y51">
        <f>'1495'!$A$31</f>
        <v>12</v>
      </c>
      <c r="AA51" t="e">
        <f>'1495'!$Q$34</f>
        <v>#NUM!</v>
      </c>
      <c r="AC51">
        <f t="shared" si="1"/>
        <v>2.8560606060606064</v>
      </c>
    </row>
    <row r="52" spans="1:29" x14ac:dyDescent="0.2">
      <c r="A52" s="2">
        <v>1403</v>
      </c>
      <c r="B52">
        <f>'1403'!$D$19</f>
        <v>0.5</v>
      </c>
      <c r="C52">
        <v>0</v>
      </c>
      <c r="D52">
        <f>'1403'!$K$19</f>
        <v>0.90322580645161288</v>
      </c>
      <c r="E52">
        <f>'1403'!$K$22</f>
        <v>2.3333333333333335</v>
      </c>
      <c r="F52">
        <f>'1403'!$L$22</f>
        <v>2.5</v>
      </c>
      <c r="G52">
        <f>'1403'!$M$22</f>
        <v>4</v>
      </c>
      <c r="H52">
        <f>'1403'!$N$22</f>
        <v>1.2309149097933274</v>
      </c>
      <c r="I52">
        <f>'1403'!$K$16/('1403'!$L16+'1403'!$K$16)</f>
        <v>0.8571428571428571</v>
      </c>
      <c r="J52">
        <f>'1403'!$M$16/'1403'!$A$31</f>
        <v>0</v>
      </c>
      <c r="K52" t="e">
        <f>'1403'!$P$36</f>
        <v>#DIV/0!</v>
      </c>
      <c r="L52" t="e">
        <f>'1403'!$R$36</f>
        <v>#DIV/0!</v>
      </c>
      <c r="M52" t="e">
        <f>'1403'!$G$20</f>
        <v>#DIV/0!</v>
      </c>
      <c r="N52" t="e">
        <f>'1403'!$G$22</f>
        <v>#DIV/0!</v>
      </c>
      <c r="O52" t="e">
        <f>'1403'!$G$24</f>
        <v>#DIV/0!</v>
      </c>
      <c r="P52" t="e">
        <f>'1403'!$G$26</f>
        <v>#DIV/0!</v>
      </c>
      <c r="Q52" t="e">
        <f>'1403'!$P$31</f>
        <v>#DIV/0!</v>
      </c>
      <c r="R52" t="e">
        <f>'1403'!$S$31</f>
        <v>#DIV/0!</v>
      </c>
      <c r="T52">
        <f>'1403'!$P$19</f>
        <v>1</v>
      </c>
      <c r="U52">
        <f>'1403'!$T$16</f>
        <v>11</v>
      </c>
      <c r="V52">
        <f>'1403'!$G$31</f>
        <v>0</v>
      </c>
      <c r="W52">
        <f>'1403'!$H$31</f>
        <v>0</v>
      </c>
      <c r="X52">
        <f>'1403'!$I$31</f>
        <v>0</v>
      </c>
      <c r="Y52">
        <f>'1403'!$A$31</f>
        <v>12</v>
      </c>
      <c r="AA52" t="e">
        <f>'1403'!$Q$34</f>
        <v>#NUM!</v>
      </c>
      <c r="AC52">
        <f t="shared" si="1"/>
        <v>2.8333333333333335</v>
      </c>
    </row>
    <row r="53" spans="1:29" x14ac:dyDescent="0.2">
      <c r="A53" s="2">
        <v>433</v>
      </c>
      <c r="B53">
        <f>'433'!$D$19</f>
        <v>0.18181818181818182</v>
      </c>
      <c r="C53">
        <v>0</v>
      </c>
      <c r="D53">
        <f>'433'!$K$19</f>
        <v>0.96875</v>
      </c>
      <c r="E53">
        <f>'433'!$K$22</f>
        <v>2.5833333333333335</v>
      </c>
      <c r="F53">
        <f>'433'!$L$22</f>
        <v>2.5</v>
      </c>
      <c r="G53">
        <f>'433'!$M$22</f>
        <v>5</v>
      </c>
      <c r="H53">
        <f>'433'!$N$22</f>
        <v>1.3789543689024493</v>
      </c>
      <c r="I53">
        <f>'433'!$K$16/('433'!$L16+'433'!$K$16)</f>
        <v>0.90909090909090906</v>
      </c>
      <c r="J53">
        <f>'433'!$M$16/'433'!$A$31</f>
        <v>0</v>
      </c>
      <c r="K53" t="e">
        <f>'433'!$P$36</f>
        <v>#DIV/0!</v>
      </c>
      <c r="L53" t="e">
        <f>'433'!$R$36</f>
        <v>#DIV/0!</v>
      </c>
      <c r="M53" t="e">
        <f>'433'!$G$20</f>
        <v>#DIV/0!</v>
      </c>
      <c r="N53" t="e">
        <f>'433'!$G$22</f>
        <v>#DIV/0!</v>
      </c>
      <c r="O53" t="e">
        <f>'433'!$G$24</f>
        <v>#DIV/0!</v>
      </c>
      <c r="P53" t="e">
        <f>'433'!$G$26</f>
        <v>#DIV/0!</v>
      </c>
      <c r="Q53" t="e">
        <f>'433'!$P$31</f>
        <v>#DIV/0!</v>
      </c>
      <c r="R53" t="e">
        <f>'433'!$S$31</f>
        <v>#DIV/0!</v>
      </c>
      <c r="T53">
        <f>'433'!$P$19</f>
        <v>0.72727272727272729</v>
      </c>
      <c r="U53">
        <f>'433'!$T$16</f>
        <v>8</v>
      </c>
      <c r="V53">
        <f>'433'!$G$31</f>
        <v>0</v>
      </c>
      <c r="W53">
        <f>'433'!$H$31</f>
        <v>0.16666666666666666</v>
      </c>
      <c r="X53">
        <f>'433'!$I$31</f>
        <v>0</v>
      </c>
      <c r="Y53">
        <f>'433'!$A$31</f>
        <v>12</v>
      </c>
      <c r="AA53" t="e">
        <f>'433'!$Q$34</f>
        <v>#NUM!</v>
      </c>
      <c r="AC53">
        <f t="shared" si="1"/>
        <v>2.7651515151515151</v>
      </c>
    </row>
    <row r="54" spans="1:29" x14ac:dyDescent="0.2">
      <c r="A54" s="2">
        <v>316</v>
      </c>
      <c r="B54">
        <f>'316'!$D$19</f>
        <v>0.25</v>
      </c>
      <c r="C54">
        <v>0</v>
      </c>
      <c r="D54">
        <f>'316'!$K$19</f>
        <v>0.83333333333333337</v>
      </c>
      <c r="E54">
        <f>'316'!$K$22</f>
        <v>2.5</v>
      </c>
      <c r="F54">
        <f>'316'!$L$22</f>
        <v>3</v>
      </c>
      <c r="G54">
        <f>'316'!$M$22</f>
        <v>4</v>
      </c>
      <c r="H54">
        <f>'316'!$N$22</f>
        <v>1.1677484162422844</v>
      </c>
      <c r="I54">
        <f>'316'!$K$16/('316'!$L16+'365'!$K$16)</f>
        <v>0.33333333333333331</v>
      </c>
      <c r="J54">
        <f>'316'!$M$16/'316'!$A$31</f>
        <v>1.4166666666666667</v>
      </c>
      <c r="K54" t="e">
        <f>'316'!$P$36</f>
        <v>#DIV/0!</v>
      </c>
      <c r="L54" t="e">
        <f>'316'!$R$36</f>
        <v>#DIV/0!</v>
      </c>
      <c r="M54">
        <f>'316'!$G$20</f>
        <v>1</v>
      </c>
      <c r="N54">
        <f>'316'!$G$22</f>
        <v>0</v>
      </c>
      <c r="O54">
        <f>'316'!$G$24</f>
        <v>0</v>
      </c>
      <c r="P54">
        <f>'316'!$G$26</f>
        <v>0</v>
      </c>
      <c r="Q54" t="e">
        <f>'316'!$P$31</f>
        <v>#DIV/0!</v>
      </c>
      <c r="R54" t="e">
        <f>'316'!$S$31</f>
        <v>#DIV/0!</v>
      </c>
      <c r="T54">
        <f>'316'!$P$19</f>
        <v>1</v>
      </c>
      <c r="U54">
        <f>'316'!$T$16</f>
        <v>12</v>
      </c>
      <c r="V54">
        <f>'316'!$G$31</f>
        <v>8.3333333333333329E-2</v>
      </c>
      <c r="W54">
        <f>'316'!$H$31</f>
        <v>0</v>
      </c>
      <c r="X54">
        <f>'316'!$I$31</f>
        <v>0</v>
      </c>
      <c r="Y54">
        <f>'316'!$A$31</f>
        <v>12</v>
      </c>
      <c r="AA54" t="e">
        <f>'316'!$Q$34</f>
        <v>#NUM!</v>
      </c>
      <c r="AC54">
        <f t="shared" si="1"/>
        <v>2.75</v>
      </c>
    </row>
    <row r="55" spans="1:29" x14ac:dyDescent="0.2">
      <c r="A55">
        <v>4575</v>
      </c>
      <c r="B55">
        <f>'4575'!$D$19</f>
        <v>0.25</v>
      </c>
      <c r="C55">
        <v>0</v>
      </c>
      <c r="D55">
        <f>'4575'!$K$19</f>
        <v>0.967741935483871</v>
      </c>
      <c r="E55">
        <f>'4575'!$K$22</f>
        <v>2.5</v>
      </c>
      <c r="F55">
        <f>'4575'!$L$22</f>
        <v>2.5</v>
      </c>
      <c r="G55">
        <f>'4575'!$M$22</f>
        <v>4</v>
      </c>
      <c r="H55">
        <f>'4575'!$N$22</f>
        <v>1.243163121016122</v>
      </c>
      <c r="I55">
        <f>'4575'!$K$16/('4575'!$L$16+'4575'!$K$16)</f>
        <v>0.92592592592592593</v>
      </c>
      <c r="J55">
        <f>'4575'!$M$16/'4575'!$A$31</f>
        <v>0</v>
      </c>
      <c r="K55">
        <f>'4575'!$P$36</f>
        <v>0</v>
      </c>
      <c r="L55">
        <f>'4575'!$R$36</f>
        <v>1</v>
      </c>
      <c r="M55">
        <f>'4575'!$G$20</f>
        <v>0.25</v>
      </c>
      <c r="N55">
        <f>'4575'!$G$22</f>
        <v>0.75</v>
      </c>
      <c r="O55">
        <f>'4575'!$G$24</f>
        <v>0</v>
      </c>
      <c r="P55">
        <f>'4575'!$G$26</f>
        <v>0</v>
      </c>
      <c r="Q55">
        <f>'4575'!$P$31</f>
        <v>8</v>
      </c>
      <c r="R55">
        <f>'4575'!$S$31</f>
        <v>9.2951600308978009</v>
      </c>
      <c r="T55">
        <f>'4575'!$P$19</f>
        <v>0.81818181818181823</v>
      </c>
      <c r="U55">
        <f>'4575'!$T$16</f>
        <v>9</v>
      </c>
      <c r="V55">
        <f>'4575'!$G$31</f>
        <v>8.3333333333333329E-2</v>
      </c>
      <c r="W55">
        <f>'4575'!$H$31</f>
        <v>8.3333333333333329E-2</v>
      </c>
      <c r="X55">
        <f>'4575'!$I$31</f>
        <v>0</v>
      </c>
      <c r="Y55">
        <f>'4575'!$A$31</f>
        <v>12</v>
      </c>
      <c r="AA55">
        <f>'4575'!$Q$34</f>
        <v>5.3333333333333339</v>
      </c>
      <c r="AC55">
        <f t="shared" si="1"/>
        <v>2.75</v>
      </c>
    </row>
    <row r="56" spans="1:29" x14ac:dyDescent="0.2">
      <c r="A56">
        <v>3142</v>
      </c>
      <c r="B56">
        <f>IFERROR('3142'!$D$19, 0)</f>
        <v>0</v>
      </c>
      <c r="C56">
        <v>0</v>
      </c>
      <c r="D56">
        <f>'3142'!$K$19</f>
        <v>0.88888888888888884</v>
      </c>
      <c r="E56">
        <f>'3142'!$K$22</f>
        <v>2.6666666666666665</v>
      </c>
      <c r="F56">
        <f>'3142'!$L$22</f>
        <v>3</v>
      </c>
      <c r="G56">
        <f>'3142'!$M$22</f>
        <v>5</v>
      </c>
      <c r="H56">
        <f>'3142'!$N$22</f>
        <v>1.3706888336846839</v>
      </c>
      <c r="I56">
        <f>'3142'!$K$16/('3142'!$L$16+'3142'!$K$16)</f>
        <v>0.76470588235294112</v>
      </c>
      <c r="J56">
        <f>'3142'!$M$16/'3142'!$A$31</f>
        <v>0</v>
      </c>
      <c r="K56" t="e">
        <f>'3142'!$P$36</f>
        <v>#DIV/0!</v>
      </c>
      <c r="L56" t="e">
        <f>'3142'!$R$36</f>
        <v>#DIV/0!</v>
      </c>
      <c r="M56" t="e">
        <f>'3142'!$G$20</f>
        <v>#DIV/0!</v>
      </c>
      <c r="N56" t="e">
        <f>'3142'!$G$22</f>
        <v>#DIV/0!</v>
      </c>
      <c r="O56" t="e">
        <f>'3142'!$G$24</f>
        <v>#DIV/0!</v>
      </c>
      <c r="P56" t="e">
        <f>'3142'!$G$26</f>
        <v>#DIV/0!</v>
      </c>
      <c r="Q56" t="e">
        <f>'3142'!$P$31</f>
        <v>#DIV/0!</v>
      </c>
      <c r="R56" t="e">
        <f>'3142'!$S$31</f>
        <v>#DIV/0!</v>
      </c>
      <c r="T56">
        <f>'3142'!$P$19</f>
        <v>0.72727272727272729</v>
      </c>
      <c r="U56">
        <f>'3142'!$T$16</f>
        <v>8</v>
      </c>
      <c r="V56">
        <f>'3142'!$G$31</f>
        <v>0</v>
      </c>
      <c r="W56">
        <f>'3142'!$H$31</f>
        <v>0</v>
      </c>
      <c r="X56">
        <f>'3142'!$I$31</f>
        <v>0</v>
      </c>
      <c r="Y56">
        <f>'3142'!$A$31</f>
        <v>12</v>
      </c>
      <c r="AA56" t="e">
        <f>'3142'!$Q$34</f>
        <v>#NUM!</v>
      </c>
      <c r="AC56">
        <f t="shared" si="1"/>
        <v>2.6666666666666665</v>
      </c>
    </row>
    <row r="57" spans="1:29" x14ac:dyDescent="0.2">
      <c r="A57" s="2">
        <v>747</v>
      </c>
      <c r="B57">
        <f>IFERROR('747'!$D$19, 0)</f>
        <v>0</v>
      </c>
      <c r="C57">
        <v>0</v>
      </c>
      <c r="D57">
        <f>'747'!$K$19</f>
        <v>0.9</v>
      </c>
      <c r="E57">
        <f>'747'!$K$22</f>
        <v>2.25</v>
      </c>
      <c r="F57">
        <f>'747'!$L$22</f>
        <v>2</v>
      </c>
      <c r="G57">
        <f>'747'!$M$22</f>
        <v>4</v>
      </c>
      <c r="H57">
        <f>'747'!$N$22</f>
        <v>1.2154310870109943</v>
      </c>
      <c r="I57">
        <f>'747'!$K$16/('747'!$L16+'747'!$K$16)</f>
        <v>0.7857142857142857</v>
      </c>
      <c r="J57">
        <f>'747'!$M$16/'747'!$A$31</f>
        <v>0</v>
      </c>
      <c r="K57">
        <f>'747'!$P$36</f>
        <v>0</v>
      </c>
      <c r="L57">
        <f>'747'!$R$36</f>
        <v>1</v>
      </c>
      <c r="M57">
        <f>'747'!$G$20</f>
        <v>0.78947368421052633</v>
      </c>
      <c r="N57">
        <f>'747'!$G$22</f>
        <v>0.36842105263157893</v>
      </c>
      <c r="O57">
        <f>'747'!$G$24</f>
        <v>0</v>
      </c>
      <c r="P57">
        <f>'747'!$G$26</f>
        <v>0</v>
      </c>
      <c r="Q57">
        <f>'747'!$P$31</f>
        <v>14.75</v>
      </c>
      <c r="R57">
        <f>'747'!$S$31</f>
        <v>12.592385866791956</v>
      </c>
      <c r="T57">
        <f>'747'!$P$19</f>
        <v>0.83333333333333337</v>
      </c>
      <c r="U57">
        <f>'747'!$T$16</f>
        <v>10</v>
      </c>
      <c r="V57">
        <f>'747'!$G$31</f>
        <v>0.33333333333333331</v>
      </c>
      <c r="W57">
        <f>'708'!$H$31</f>
        <v>0.25</v>
      </c>
      <c r="X57">
        <f>'747'!$I$31</f>
        <v>0</v>
      </c>
      <c r="Y57">
        <f>'747'!$A$31</f>
        <v>12</v>
      </c>
      <c r="AA57">
        <f>'747'!$Q$34</f>
        <v>8</v>
      </c>
      <c r="AC57">
        <f t="shared" si="1"/>
        <v>2.25</v>
      </c>
    </row>
    <row r="58" spans="1:29" x14ac:dyDescent="0.2">
      <c r="A58">
        <v>2458</v>
      </c>
      <c r="B58">
        <f>'2458'!$D$19</f>
        <v>0.5</v>
      </c>
      <c r="C58">
        <v>0</v>
      </c>
      <c r="D58">
        <f>'2458'!$K$19</f>
        <v>0.95454545454545459</v>
      </c>
      <c r="E58">
        <f>'2458'!$K$22</f>
        <v>1.75</v>
      </c>
      <c r="F58">
        <f>'2458'!$L$22</f>
        <v>2</v>
      </c>
      <c r="G58">
        <f>'2458'!$M$22</f>
        <v>3</v>
      </c>
      <c r="H58">
        <f>'2458'!$N$22</f>
        <v>0.96530729916342273</v>
      </c>
      <c r="I58">
        <f>'2458'!$K$16/('2458'!$L$16+'2458'!$K$16)</f>
        <v>0.94117647058823528</v>
      </c>
      <c r="J58">
        <f>'2458'!$M$16/'2458'!$A$31</f>
        <v>0.66666666666666663</v>
      </c>
      <c r="K58" t="e">
        <f>'2458'!$P$36</f>
        <v>#DIV/0!</v>
      </c>
      <c r="L58" t="e">
        <f>'2458'!$R$36</f>
        <v>#DIV/0!</v>
      </c>
      <c r="M58" t="e">
        <f>'2458'!$G$20</f>
        <v>#DIV/0!</v>
      </c>
      <c r="N58" t="e">
        <f>'2458'!$G$22</f>
        <v>#DIV/0!</v>
      </c>
      <c r="O58" t="e">
        <f>'2458'!$G$24</f>
        <v>#DIV/0!</v>
      </c>
      <c r="P58" t="e">
        <f>'2458'!$G$26</f>
        <v>#DIV/0!</v>
      </c>
      <c r="Q58" t="e">
        <f>'2458'!$P$31</f>
        <v>#DIV/0!</v>
      </c>
      <c r="R58" t="e">
        <f>'2458'!$S$31</f>
        <v>#DIV/0!</v>
      </c>
      <c r="T58">
        <f>'2458'!$P$19</f>
        <v>1</v>
      </c>
      <c r="U58">
        <f>'2458'!$T$16</f>
        <v>10</v>
      </c>
      <c r="V58">
        <f>'2458'!$G$31</f>
        <v>0</v>
      </c>
      <c r="W58">
        <f>'2458'!$H$31</f>
        <v>0.25</v>
      </c>
      <c r="X58">
        <f>'2458'!$I$31</f>
        <v>0</v>
      </c>
      <c r="Y58">
        <f>'2458'!$A$31</f>
        <v>12</v>
      </c>
      <c r="AA58" t="e">
        <f>'2458'!$Q$34</f>
        <v>#NUM!</v>
      </c>
      <c r="AC58">
        <f t="shared" si="1"/>
        <v>2.25</v>
      </c>
    </row>
    <row r="59" spans="1:29" x14ac:dyDescent="0.2">
      <c r="A59" s="2">
        <v>1370</v>
      </c>
      <c r="B59">
        <f>'1370'!$D$19</f>
        <v>0</v>
      </c>
      <c r="C59">
        <v>1</v>
      </c>
      <c r="D59">
        <f>'1370'!$K$19</f>
        <v>0.95238095238095233</v>
      </c>
      <c r="E59">
        <f>'1370'!$K$22</f>
        <v>1.6666666666666667</v>
      </c>
      <c r="F59">
        <f>'1370'!$L$22</f>
        <v>1.5</v>
      </c>
      <c r="G59">
        <f>'1370'!$M$22</f>
        <v>3</v>
      </c>
      <c r="H59">
        <f>'1370'!$N$22</f>
        <v>0.98473192783466179</v>
      </c>
      <c r="I59">
        <f>'1370'!$K$16/('1370'!$L16+'1370'!$K$16)</f>
        <v>0.8</v>
      </c>
      <c r="J59">
        <f>'1370'!$M$16/'1370'!$A$31</f>
        <v>0</v>
      </c>
      <c r="K59">
        <f>'1370'!$P$36</f>
        <v>0</v>
      </c>
      <c r="L59">
        <f>'1370'!$R$36</f>
        <v>1</v>
      </c>
      <c r="M59">
        <f>'1370'!$G$20</f>
        <v>0</v>
      </c>
      <c r="N59">
        <f>'1370'!$G$22</f>
        <v>0</v>
      </c>
      <c r="O59">
        <f>'1370'!$G$24</f>
        <v>0</v>
      </c>
      <c r="P59">
        <f>'1370'!$G$26</f>
        <v>1</v>
      </c>
      <c r="Q59">
        <f>'1370'!$P$31</f>
        <v>2</v>
      </c>
      <c r="R59">
        <f>'1370'!$S$31</f>
        <v>2.3452078799117149</v>
      </c>
      <c r="T59">
        <f>'1370'!$P$19</f>
        <v>1</v>
      </c>
      <c r="U59">
        <f>'1370'!$T$16</f>
        <v>11</v>
      </c>
      <c r="V59">
        <f>'1370'!$G$31</f>
        <v>0</v>
      </c>
      <c r="W59">
        <f>'1370'!$H$31</f>
        <v>8.3333333333333329E-2</v>
      </c>
      <c r="X59">
        <f>'1370'!$I$31</f>
        <v>0</v>
      </c>
      <c r="Y59">
        <f>'1370'!$A$31</f>
        <v>12</v>
      </c>
      <c r="AA59">
        <f>'1370'!$Q$34</f>
        <v>1</v>
      </c>
      <c r="AC59">
        <f t="shared" si="1"/>
        <v>1.6666666666666667</v>
      </c>
    </row>
    <row r="60" spans="1:29" x14ac:dyDescent="0.2">
      <c r="A60" s="2">
        <v>1218</v>
      </c>
      <c r="B60">
        <f>'1218'!$D$19</f>
        <v>0</v>
      </c>
      <c r="C60">
        <v>0</v>
      </c>
      <c r="D60">
        <f>'1218'!$K$19</f>
        <v>0.72</v>
      </c>
      <c r="E60">
        <f>'1218'!$K$22</f>
        <v>1.5</v>
      </c>
      <c r="F60">
        <f>'1218'!$L$22</f>
        <v>2</v>
      </c>
      <c r="G60">
        <f>'1218'!$M$22</f>
        <v>3</v>
      </c>
      <c r="H60">
        <f>'1218'!$N$22</f>
        <v>1.3816985594155149</v>
      </c>
      <c r="I60">
        <f>'1218'!$K$16/('1218'!$L16+'1218'!$K$16)</f>
        <v>1</v>
      </c>
      <c r="J60">
        <f>'1218'!$M$16/'1218'!$A$31</f>
        <v>0.66666666666666663</v>
      </c>
      <c r="K60">
        <f>'1218'!$P$36</f>
        <v>0</v>
      </c>
      <c r="L60">
        <f>'1218'!$R$36</f>
        <v>1</v>
      </c>
      <c r="M60">
        <f>'1218'!$G$20</f>
        <v>0.7142857142857143</v>
      </c>
      <c r="N60">
        <f>'1218'!$G$22</f>
        <v>0.2857142857142857</v>
      </c>
      <c r="O60">
        <f>'1218'!$G$24</f>
        <v>0</v>
      </c>
      <c r="P60">
        <f>'1218'!$G$26</f>
        <v>0</v>
      </c>
      <c r="Q60">
        <f>'1218'!$P$31</f>
        <v>4.2857142857142856</v>
      </c>
      <c r="R60">
        <f>'1218'!$S$31</f>
        <v>2.5634797778466227</v>
      </c>
      <c r="T60">
        <f>'1218'!$P$19</f>
        <v>1</v>
      </c>
      <c r="U60">
        <f>'1218'!$T$16</f>
        <v>9</v>
      </c>
      <c r="V60">
        <f>'1218'!$G$31</f>
        <v>8.3333333333333329E-2</v>
      </c>
      <c r="W60">
        <f>'1218'!$H$31</f>
        <v>0.25</v>
      </c>
      <c r="X60">
        <f>'1218'!$I$31</f>
        <v>0</v>
      </c>
      <c r="Y60">
        <f>'1218'!$A$31</f>
        <v>12</v>
      </c>
      <c r="AA60">
        <f>'1218'!$Q$34</f>
        <v>1</v>
      </c>
      <c r="AC60">
        <f t="shared" si="1"/>
        <v>1.5</v>
      </c>
    </row>
    <row r="61" spans="1:29" x14ac:dyDescent="0.2">
      <c r="A61">
        <v>6226</v>
      </c>
      <c r="B61">
        <f>'6226'!$D$19</f>
        <v>0</v>
      </c>
      <c r="C61">
        <v>0</v>
      </c>
      <c r="D61">
        <f>'6226'!$K$19</f>
        <v>0.83333333333333337</v>
      </c>
      <c r="E61">
        <f>'6226'!$K$22</f>
        <v>1.25</v>
      </c>
      <c r="F61">
        <f>'6226'!$L$22</f>
        <v>1</v>
      </c>
      <c r="G61">
        <f>'6226'!$M$22</f>
        <v>3</v>
      </c>
      <c r="H61">
        <f>'6226'!$N$22</f>
        <v>0.8660254037844386</v>
      </c>
      <c r="I61">
        <f>'6226'!$K$16/('6226'!$L$16+'6226'!$K$16)</f>
        <v>0.55000000000000004</v>
      </c>
      <c r="J61">
        <f>'6226'!$M$16/'6226'!$A$31</f>
        <v>0</v>
      </c>
      <c r="K61" t="e">
        <f>'6226'!$P$36</f>
        <v>#DIV/0!</v>
      </c>
      <c r="L61" t="e">
        <f>'6226'!$R$36</f>
        <v>#DIV/0!</v>
      </c>
      <c r="M61" t="e">
        <f>'6226'!$G$20</f>
        <v>#DIV/0!</v>
      </c>
      <c r="N61" t="e">
        <f>'6226'!$G$22</f>
        <v>#DIV/0!</v>
      </c>
      <c r="O61" t="e">
        <f>'6226'!$G$24</f>
        <v>#DIV/0!</v>
      </c>
      <c r="P61" t="e">
        <f>'6226'!$G$26</f>
        <v>#DIV/0!</v>
      </c>
      <c r="Q61" t="e">
        <f>'6226'!$P$31</f>
        <v>#DIV/0!</v>
      </c>
      <c r="R61" t="e">
        <f>'6226'!$S$31</f>
        <v>#DIV/0!</v>
      </c>
      <c r="T61">
        <f>'6226'!$P$19</f>
        <v>0.90909090909090906</v>
      </c>
      <c r="U61">
        <f>'6226'!$T$16</f>
        <v>10</v>
      </c>
      <c r="V61">
        <f>'6226'!$G$31</f>
        <v>0</v>
      </c>
      <c r="W61">
        <f>'6226'!$H$31</f>
        <v>8.3333333333333329E-2</v>
      </c>
      <c r="X61">
        <f>'6226'!$I$31</f>
        <v>0</v>
      </c>
      <c r="Y61">
        <f>'6226'!$A$31</f>
        <v>12</v>
      </c>
      <c r="AA61" t="e">
        <f>'6226'!$Q$34</f>
        <v>#NUM!</v>
      </c>
      <c r="AC61">
        <f t="shared" si="1"/>
        <v>1.25</v>
      </c>
    </row>
  </sheetData>
  <sortState ref="A2:AC61">
    <sortCondition descending="1" ref="AC2:AC61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W62"/>
  <sheetViews>
    <sheetView topLeftCell="A29" workbookViewId="0">
      <selection activeCell="B3" sqref="B3"/>
    </sheetView>
  </sheetViews>
  <sheetFormatPr baseColWidth="10" defaultColWidth="11.5" defaultRowHeight="15" x14ac:dyDescent="0.2"/>
  <cols>
    <col min="1" max="20" width="11.5" customWidth="1"/>
    <col min="21" max="21" width="13.33203125" customWidth="1"/>
    <col min="22" max="27" width="11.5" customWidth="1"/>
  </cols>
  <sheetData>
    <row r="1" spans="1:23" x14ac:dyDescent="0.2">
      <c r="A1" t="s">
        <v>316</v>
      </c>
      <c r="B1" t="s">
        <v>176</v>
      </c>
      <c r="C1" t="s">
        <v>204</v>
      </c>
      <c r="D1" t="s">
        <v>205</v>
      </c>
      <c r="E1" t="s">
        <v>55</v>
      </c>
      <c r="F1" t="s">
        <v>91</v>
      </c>
      <c r="G1" t="s">
        <v>92</v>
      </c>
      <c r="H1" t="s">
        <v>93</v>
      </c>
      <c r="I1" t="s">
        <v>103</v>
      </c>
      <c r="J1" t="s">
        <v>95</v>
      </c>
      <c r="K1" t="s">
        <v>197</v>
      </c>
      <c r="L1" t="s">
        <v>170</v>
      </c>
      <c r="M1" t="s">
        <v>183</v>
      </c>
      <c r="N1" t="s">
        <v>129</v>
      </c>
      <c r="O1" t="s">
        <v>130</v>
      </c>
      <c r="Q1" t="s">
        <v>94</v>
      </c>
      <c r="R1" t="s">
        <v>177</v>
      </c>
      <c r="S1" t="s">
        <v>195</v>
      </c>
      <c r="U1" t="s">
        <v>346</v>
      </c>
      <c r="V1" t="s">
        <v>348</v>
      </c>
      <c r="W1" t="s">
        <v>349</v>
      </c>
    </row>
    <row r="2" spans="1:23" x14ac:dyDescent="0.2">
      <c r="A2">
        <v>3974</v>
      </c>
      <c r="B2">
        <f>IFERROR('3974'!$D$19,0)</f>
        <v>0.54545454545454541</v>
      </c>
      <c r="C2">
        <f>'3974'!$D$29</f>
        <v>0.75</v>
      </c>
      <c r="D2">
        <f>'3974'!D$31</f>
        <v>0.42857142857142855</v>
      </c>
      <c r="E2">
        <f>'3974'!$K$19</f>
        <v>0.98076923076923073</v>
      </c>
      <c r="F2">
        <f>'3974'!$K$22</f>
        <v>4.25</v>
      </c>
      <c r="G2">
        <f>'3974'!$L$22</f>
        <v>4</v>
      </c>
      <c r="H2">
        <f>'3974'!$M$22</f>
        <v>6</v>
      </c>
      <c r="I2">
        <f>'3974'!$N$22</f>
        <v>0.96530729916342273</v>
      </c>
      <c r="J2" t="e">
        <f>'3974'!$P$36</f>
        <v>#DIV/0!</v>
      </c>
      <c r="K2" t="e">
        <f>'3974'!$R$36</f>
        <v>#DIV/0!</v>
      </c>
      <c r="L2">
        <f>'3974'!$G$16 + '3974'!$H$16/3</f>
        <v>0</v>
      </c>
      <c r="M2" t="e">
        <f>'3974'!$Q$34</f>
        <v>#NUM!</v>
      </c>
      <c r="N2" t="e">
        <f>'3974'!$P$31</f>
        <v>#DIV/0!</v>
      </c>
      <c r="O2" t="e">
        <f>'3974'!$S$31</f>
        <v>#DIV/0!</v>
      </c>
      <c r="Q2">
        <f>'3974'!$P$19</f>
        <v>0.90909090909090906</v>
      </c>
      <c r="R2">
        <f>'3974'!$T$16</f>
        <v>10</v>
      </c>
      <c r="S2">
        <f>'3974'!$T$16/'3974'!$A$31</f>
        <v>0.83333333333333337</v>
      </c>
      <c r="U2">
        <f t="shared" ref="U2:U33" si="0">IFERROR(LARGE(C2:D2,1),0)+F2</f>
        <v>5</v>
      </c>
      <c r="V2">
        <f t="shared" ref="V2:V33" si="1">((B2+F2)-($B$62+$F$62))/I2</f>
        <v>1.3933280934531467</v>
      </c>
      <c r="W2">
        <f t="shared" ref="W2:W33" si="2">(U2-$U$62)/I2</f>
        <v>1.5085813502152463</v>
      </c>
    </row>
    <row r="3" spans="1:23" x14ac:dyDescent="0.2">
      <c r="A3" s="2">
        <v>1807</v>
      </c>
      <c r="B3">
        <f>'1807'!$D$19</f>
        <v>0.2</v>
      </c>
      <c r="C3">
        <f>'1807'!$D$29</f>
        <v>0.66666666666666663</v>
      </c>
      <c r="D3">
        <f>'1807'!D$31</f>
        <v>0</v>
      </c>
      <c r="E3">
        <f>'1807'!$K$19</f>
        <v>0.97916666666666663</v>
      </c>
      <c r="F3">
        <f>'1807'!$K$22</f>
        <v>4.2727272727272725</v>
      </c>
      <c r="G3">
        <f>'1807'!$L$22</f>
        <v>4</v>
      </c>
      <c r="H3">
        <f>'1807'!$M$22</f>
        <v>6</v>
      </c>
      <c r="I3">
        <f>'1807'!$N$22</f>
        <v>1.0090499582190262</v>
      </c>
      <c r="J3" t="e">
        <f>'1807'!$P$36</f>
        <v>#DIV/0!</v>
      </c>
      <c r="K3" t="e">
        <f>'1807'!$R$36</f>
        <v>#DIV/0!</v>
      </c>
      <c r="L3">
        <f>'1807'!$G$16 + '1807'!$H$16/3</f>
        <v>0</v>
      </c>
      <c r="M3" t="e">
        <f>'1807'!$Q$34</f>
        <v>#NUM!</v>
      </c>
      <c r="N3" t="e">
        <f>'1807'!$P$31</f>
        <v>#DIV/0!</v>
      </c>
      <c r="O3" t="e">
        <f>'1807'!$S$31</f>
        <v>#DIV/0!</v>
      </c>
      <c r="Q3">
        <f>'1807'!$P$19</f>
        <v>0.77777777777777779</v>
      </c>
      <c r="R3">
        <f>'1807'!$T$16</f>
        <v>7</v>
      </c>
      <c r="S3">
        <f>'1807'!$T$16/'1807'!$A$31</f>
        <v>0.63636363636363635</v>
      </c>
      <c r="U3">
        <f t="shared" si="0"/>
        <v>4.9393939393939394</v>
      </c>
      <c r="V3">
        <f t="shared" si="1"/>
        <v>1.0130940472132812</v>
      </c>
      <c r="W3">
        <f t="shared" si="2"/>
        <v>1.3831213378194189</v>
      </c>
    </row>
    <row r="4" spans="1:23" x14ac:dyDescent="0.2">
      <c r="A4">
        <v>2607</v>
      </c>
      <c r="B4">
        <f>'2607'!$D$19</f>
        <v>0.27272727272727271</v>
      </c>
      <c r="C4">
        <f>'2607'!$D$29</f>
        <v>0.5</v>
      </c>
      <c r="D4">
        <f>'2607'!D$31</f>
        <v>0</v>
      </c>
      <c r="E4">
        <f>'2607'!$K$19</f>
        <v>1</v>
      </c>
      <c r="F4">
        <f>'2607'!$K$22</f>
        <v>3.9166666666666665</v>
      </c>
      <c r="G4">
        <f>'2607'!$L$22</f>
        <v>4</v>
      </c>
      <c r="H4">
        <f>'2607'!$M$22</f>
        <v>5</v>
      </c>
      <c r="I4">
        <f>'2607'!$N$22</f>
        <v>0.79296146109875854</v>
      </c>
      <c r="J4" t="e">
        <f>'2607'!$P$36</f>
        <v>#DIV/0!</v>
      </c>
      <c r="K4" t="e">
        <f>'2607'!$R$36</f>
        <v>#DIV/0!</v>
      </c>
      <c r="L4">
        <f>'2607'!$G$16 + '2607'!$H$16/3</f>
        <v>0</v>
      </c>
      <c r="M4" t="e">
        <f>'2607'!$Q$34</f>
        <v>#NUM!</v>
      </c>
      <c r="N4" t="e">
        <f>'2607'!$P$31</f>
        <v>#DIV/0!</v>
      </c>
      <c r="O4" t="e">
        <f>'2607'!$S$31</f>
        <v>#DIV/0!</v>
      </c>
      <c r="Q4">
        <f>'2607'!$P$19</f>
        <v>0.83333333333333337</v>
      </c>
      <c r="R4">
        <f>'2607'!$T$16</f>
        <v>10</v>
      </c>
      <c r="S4">
        <f>'2607'!$T$16/'2607'!$A$31</f>
        <v>0.83333333333333337</v>
      </c>
      <c r="U4">
        <f t="shared" si="0"/>
        <v>4.4166666666666661</v>
      </c>
      <c r="V4">
        <f t="shared" si="1"/>
        <v>0.93186013309560234</v>
      </c>
      <c r="W4">
        <f t="shared" si="2"/>
        <v>1.1008243126995287</v>
      </c>
    </row>
    <row r="5" spans="1:23" x14ac:dyDescent="0.2">
      <c r="A5" s="2">
        <v>834</v>
      </c>
      <c r="B5">
        <f>'834'!$D$19</f>
        <v>0.25</v>
      </c>
      <c r="C5">
        <f>'834'!$D$29</f>
        <v>0.5</v>
      </c>
      <c r="D5">
        <f>'834'!D$31</f>
        <v>0</v>
      </c>
      <c r="E5">
        <f>'834'!$K$19</f>
        <v>1</v>
      </c>
      <c r="F5">
        <f>'834'!$K$22</f>
        <v>4</v>
      </c>
      <c r="G5">
        <f>'834'!$L$22</f>
        <v>4</v>
      </c>
      <c r="H5">
        <f>'834'!$M$22</f>
        <v>6</v>
      </c>
      <c r="I5">
        <f>'834'!$N$22</f>
        <v>0.95346258924559235</v>
      </c>
      <c r="J5" t="e">
        <f>'834'!$P$36</f>
        <v>#DIV/0!</v>
      </c>
      <c r="K5" t="e">
        <f>'834'!$R$36</f>
        <v>#DIV/0!</v>
      </c>
      <c r="L5">
        <f>'834'!$G$16 + '834'!$H$16/3</f>
        <v>0</v>
      </c>
      <c r="M5" t="e">
        <f>'834'!$Q$34</f>
        <v>#NUM!</v>
      </c>
      <c r="N5" t="e">
        <f>'834'!$P$31</f>
        <v>#DIV/0!</v>
      </c>
      <c r="O5" t="e">
        <f>'834'!$S$31</f>
        <v>#DIV/0!</v>
      </c>
      <c r="Q5">
        <f>'834'!$P$19</f>
        <v>0.91666666666666663</v>
      </c>
      <c r="R5">
        <f>'834'!$T$16</f>
        <v>11</v>
      </c>
      <c r="S5">
        <f>'834'!$T$16/'834'!$A$31</f>
        <v>0.91666666666666663</v>
      </c>
      <c r="U5">
        <f t="shared" si="0"/>
        <v>4.5</v>
      </c>
      <c r="V5">
        <f t="shared" si="1"/>
        <v>0.83855962709333864</v>
      </c>
      <c r="W5">
        <f t="shared" si="2"/>
        <v>1.0029177856901526</v>
      </c>
    </row>
    <row r="6" spans="1:23" x14ac:dyDescent="0.2">
      <c r="A6" s="2">
        <v>222</v>
      </c>
      <c r="B6">
        <f>'222'!$D$19</f>
        <v>0.41666666666666669</v>
      </c>
      <c r="C6">
        <f>'222'!$D$29</f>
        <v>1</v>
      </c>
      <c r="D6">
        <f>'222'!D$31</f>
        <v>0.3</v>
      </c>
      <c r="E6">
        <f>'222'!$K$19</f>
        <v>0.95744680851063835</v>
      </c>
      <c r="F6">
        <f>'222'!$K$22</f>
        <v>3.75</v>
      </c>
      <c r="G6">
        <f>'222'!$L$22</f>
        <v>4</v>
      </c>
      <c r="H6">
        <f>'222'!$M$22</f>
        <v>5</v>
      </c>
      <c r="I6">
        <f>'222'!$N$22</f>
        <v>1.2154310870109943</v>
      </c>
      <c r="J6" t="e">
        <f>'222'!$P$36</f>
        <v>#DIV/0!</v>
      </c>
      <c r="K6" t="e">
        <f>'222'!$R$36</f>
        <v>#DIV/0!</v>
      </c>
      <c r="L6">
        <f>'222'!$G$16 + '222'!$H$16/3</f>
        <v>0</v>
      </c>
      <c r="M6" t="e">
        <f>'222'!$Q$34</f>
        <v>#NUM!</v>
      </c>
      <c r="N6" t="e">
        <f>'222'!$P$31</f>
        <v>#DIV/0!</v>
      </c>
      <c r="O6" t="e">
        <f>'222'!$S$31</f>
        <v>#DIV/0!</v>
      </c>
      <c r="Q6">
        <f>'222'!$P$19</f>
        <v>0.83333333333333337</v>
      </c>
      <c r="R6">
        <f>'222'!$T$16</f>
        <v>10</v>
      </c>
      <c r="S6">
        <f>'222'!$T$16/'222'!$A$31</f>
        <v>0.83333333333333337</v>
      </c>
      <c r="U6">
        <f t="shared" si="0"/>
        <v>4.75</v>
      </c>
      <c r="V6">
        <f t="shared" si="1"/>
        <v>0.58925751332656306</v>
      </c>
      <c r="W6">
        <f t="shared" si="2"/>
        <v>0.99244177776545361</v>
      </c>
    </row>
    <row r="7" spans="1:23" x14ac:dyDescent="0.2">
      <c r="A7" s="2">
        <v>1712</v>
      </c>
      <c r="B7">
        <f>'1712'!$D$19</f>
        <v>0.25</v>
      </c>
      <c r="C7">
        <f>'1712'!$D$29</f>
        <v>1</v>
      </c>
      <c r="D7">
        <f>'1712'!D$31</f>
        <v>0.1</v>
      </c>
      <c r="E7">
        <f>'1712'!$K$19</f>
        <v>0.97674418604651159</v>
      </c>
      <c r="F7">
        <f>'1712'!$K$22</f>
        <v>3.5</v>
      </c>
      <c r="G7">
        <f>'1712'!$L$22</f>
        <v>4</v>
      </c>
      <c r="H7">
        <f>'1712'!$M$22</f>
        <v>5</v>
      </c>
      <c r="I7">
        <f>'1712'!$N$22</f>
        <v>1</v>
      </c>
      <c r="J7" t="e">
        <f>'1712'!$P$36</f>
        <v>#DIV/0!</v>
      </c>
      <c r="K7" t="e">
        <f>'1712'!$R$36</f>
        <v>#DIV/0!</v>
      </c>
      <c r="L7">
        <f>'1712'!$G$16 + '1712'!$H$16/3</f>
        <v>0</v>
      </c>
      <c r="M7" t="e">
        <f>'1712'!$Q$34</f>
        <v>#NUM!</v>
      </c>
      <c r="N7" t="e">
        <f>'1712'!$P$31</f>
        <v>#DIV/0!</v>
      </c>
      <c r="O7" t="e">
        <f>'1712'!$S$31</f>
        <v>#DIV/0!</v>
      </c>
      <c r="Q7">
        <f>'1712'!$P$19</f>
        <v>0.75</v>
      </c>
      <c r="R7">
        <f>'1712'!$T$16</f>
        <v>9</v>
      </c>
      <c r="S7">
        <f>'1712'!$T$16/'1712'!$A$31</f>
        <v>0.75</v>
      </c>
      <c r="U7">
        <f t="shared" si="0"/>
        <v>4.5</v>
      </c>
      <c r="V7">
        <f t="shared" si="1"/>
        <v>0.29953523328523302</v>
      </c>
      <c r="W7">
        <f t="shared" si="2"/>
        <v>0.95624458874458895</v>
      </c>
    </row>
    <row r="8" spans="1:23" x14ac:dyDescent="0.2">
      <c r="A8" s="2">
        <v>272</v>
      </c>
      <c r="B8">
        <f>'272'!$D$19</f>
        <v>0.54545454545454541</v>
      </c>
      <c r="C8">
        <f>'272'!$D$29</f>
        <v>0.83333333333333337</v>
      </c>
      <c r="D8">
        <f>'272'!D$31</f>
        <v>0.2</v>
      </c>
      <c r="E8">
        <f>'272'!$K$19</f>
        <v>0.89795918367346939</v>
      </c>
      <c r="F8">
        <f>'272'!$K$22</f>
        <v>3.6666666666666665</v>
      </c>
      <c r="G8">
        <f>'272'!$L$22</f>
        <v>4</v>
      </c>
      <c r="H8">
        <f>'272'!$M$22</f>
        <v>5</v>
      </c>
      <c r="I8">
        <f>'272'!$N$22</f>
        <v>1.0730867399773192</v>
      </c>
      <c r="J8" t="e">
        <f>'272'!$P$36</f>
        <v>#DIV/0!</v>
      </c>
      <c r="K8" t="e">
        <f>'272'!$R$36</f>
        <v>#DIV/0!</v>
      </c>
      <c r="L8">
        <f>'272'!$G$16 + '272'!$H$16/3</f>
        <v>0</v>
      </c>
      <c r="M8" t="e">
        <f>'272'!$Q$34</f>
        <v>#NUM!</v>
      </c>
      <c r="N8" t="e">
        <f>'272'!$P$31</f>
        <v>#DIV/0!</v>
      </c>
      <c r="O8" t="e">
        <f>'272'!$S$31</f>
        <v>#DIV/0!</v>
      </c>
      <c r="Q8">
        <f>'272'!$P$19</f>
        <v>1</v>
      </c>
      <c r="R8">
        <f>'272'!$T$16</f>
        <v>11</v>
      </c>
      <c r="S8">
        <f>'272'!$T$16/'272'!$A$31</f>
        <v>0.91666666666666663</v>
      </c>
      <c r="U8">
        <f t="shared" si="0"/>
        <v>4.5</v>
      </c>
      <c r="V8">
        <f t="shared" si="1"/>
        <v>0.70978087514392674</v>
      </c>
      <c r="W8">
        <f t="shared" si="2"/>
        <v>0.89111583725729404</v>
      </c>
    </row>
    <row r="9" spans="1:23" x14ac:dyDescent="0.2">
      <c r="A9" s="2">
        <v>1676</v>
      </c>
      <c r="B9">
        <f>'1676'!$D$19</f>
        <v>0.91666666666666663</v>
      </c>
      <c r="C9">
        <f>'1676'!$D$29</f>
        <v>1</v>
      </c>
      <c r="D9">
        <f>'1676'!D$31</f>
        <v>0.75</v>
      </c>
      <c r="E9">
        <f>'1676'!$K$19</f>
        <v>0.95121951219512191</v>
      </c>
      <c r="F9">
        <f>'1676'!$K$22</f>
        <v>3.25</v>
      </c>
      <c r="G9">
        <f>'1676'!$L$22</f>
        <v>3</v>
      </c>
      <c r="H9">
        <f>'1676'!$M$22</f>
        <v>5</v>
      </c>
      <c r="I9">
        <f>'1676'!$N$22</f>
        <v>1.0552897060221726</v>
      </c>
      <c r="J9">
        <f>'1676'!$P$36</f>
        <v>0</v>
      </c>
      <c r="K9">
        <f>'1676'!$R$36</f>
        <v>1</v>
      </c>
      <c r="L9">
        <f>'1676'!$G$16 + '1676'!$H$16/3</f>
        <v>0</v>
      </c>
      <c r="M9">
        <f>'1676'!$Q$34</f>
        <v>0.5</v>
      </c>
      <c r="N9">
        <f>'1676'!$P$31</f>
        <v>0.5</v>
      </c>
      <c r="O9">
        <f>'1676'!$S$31</f>
        <v>0.70710678118654757</v>
      </c>
      <c r="Q9">
        <f>'1676'!$P$19</f>
        <v>1</v>
      </c>
      <c r="R9">
        <f>'1676'!$T$16</f>
        <v>11</v>
      </c>
      <c r="S9">
        <f>'1676'!$T$16/'1676'!$A$31</f>
        <v>0.91666666666666663</v>
      </c>
      <c r="U9">
        <f t="shared" si="0"/>
        <v>4.25</v>
      </c>
      <c r="V9">
        <f t="shared" si="1"/>
        <v>0.67867799322288835</v>
      </c>
      <c r="W9">
        <f t="shared" si="2"/>
        <v>0.66924237459561653</v>
      </c>
    </row>
    <row r="10" spans="1:23" x14ac:dyDescent="0.2">
      <c r="A10" s="2">
        <v>1640</v>
      </c>
      <c r="B10">
        <f>'1640'!$D$19</f>
        <v>0.33333333333333331</v>
      </c>
      <c r="C10">
        <f>'1640'!$D$29</f>
        <v>0</v>
      </c>
      <c r="D10">
        <f>'1640'!D$31</f>
        <v>1</v>
      </c>
      <c r="E10">
        <f>'1640'!$K$19</f>
        <v>0.93023255813953487</v>
      </c>
      <c r="F10">
        <f>'1640'!$K$22</f>
        <v>3.3333333333333335</v>
      </c>
      <c r="G10">
        <f>'1640'!$L$22</f>
        <v>3.5</v>
      </c>
      <c r="H10">
        <f>'1640'!$M$22</f>
        <v>5</v>
      </c>
      <c r="I10">
        <f>'1640'!$N$22</f>
        <v>1.230914909793327</v>
      </c>
      <c r="J10">
        <f>'1640'!$P$36</f>
        <v>0</v>
      </c>
      <c r="K10">
        <f>'1640'!$R$36</f>
        <v>1</v>
      </c>
      <c r="L10">
        <f>'1640'!$G$16 + '1640'!$H$16/3</f>
        <v>20</v>
      </c>
      <c r="M10">
        <f>'1640'!$Q$34</f>
        <v>2</v>
      </c>
      <c r="N10">
        <f>'1640'!$P$31</f>
        <v>3.1428571428571428</v>
      </c>
      <c r="O10">
        <f>'1640'!$S$31</f>
        <v>2.9113897843110044</v>
      </c>
      <c r="Q10">
        <f>'1640'!$P$19</f>
        <v>0.91666666666666663</v>
      </c>
      <c r="R10">
        <f>'1640'!$T$16</f>
        <v>11</v>
      </c>
      <c r="S10">
        <f>'1640'!$T$16/'1640'!$A$31</f>
        <v>0.91666666666666663</v>
      </c>
      <c r="U10">
        <f t="shared" si="0"/>
        <v>4.3333333333333339</v>
      </c>
      <c r="V10">
        <f t="shared" si="1"/>
        <v>0.17564325383644974</v>
      </c>
      <c r="W10">
        <f t="shared" si="2"/>
        <v>0.64145613624137066</v>
      </c>
    </row>
    <row r="11" spans="1:23" x14ac:dyDescent="0.2">
      <c r="A11">
        <v>75</v>
      </c>
      <c r="B11">
        <f>'75'!$D$19</f>
        <v>0.5</v>
      </c>
      <c r="C11">
        <f>'75'!$D$29</f>
        <v>0</v>
      </c>
      <c r="D11">
        <f>'75'!D$31</f>
        <v>0.54545454545454541</v>
      </c>
      <c r="E11">
        <f>'75'!$K$19</f>
        <v>0.97872340425531912</v>
      </c>
      <c r="F11">
        <f>'75'!$K$22</f>
        <v>3.8333333333333335</v>
      </c>
      <c r="G11">
        <f>'75'!$L$22</f>
        <v>4</v>
      </c>
      <c r="H11">
        <f>'75'!$M$22</f>
        <v>6</v>
      </c>
      <c r="I11">
        <f>'75'!$N$22</f>
        <v>1.3371158468430426</v>
      </c>
      <c r="J11" t="e">
        <f>'75'!$P$36</f>
        <v>#DIV/0!</v>
      </c>
      <c r="K11" t="e">
        <f>'75'!$R$36</f>
        <v>#DIV/0!</v>
      </c>
      <c r="L11">
        <f>'75'!$G$16 + '75'!$H$16/3</f>
        <v>0</v>
      </c>
      <c r="M11" t="e">
        <f>'75'!$Q$34</f>
        <v>#NUM!</v>
      </c>
      <c r="N11" t="e">
        <f>'75'!$P$31</f>
        <v>#DIV/0!</v>
      </c>
      <c r="O11" t="e">
        <f>'75'!$S$31</f>
        <v>#DIV/0!</v>
      </c>
      <c r="Q11">
        <f>'75'!$P$19</f>
        <v>1</v>
      </c>
      <c r="R11">
        <f>'75'!$T$16</f>
        <v>11</v>
      </c>
      <c r="S11">
        <f>'75'!$T$16/'75'!$A$31</f>
        <v>0.91666666666666663</v>
      </c>
      <c r="U11">
        <f t="shared" si="0"/>
        <v>4.3787878787878789</v>
      </c>
      <c r="V11">
        <f t="shared" si="1"/>
        <v>0.66027829129617854</v>
      </c>
      <c r="W11">
        <f t="shared" si="2"/>
        <v>0.62450270820138454</v>
      </c>
    </row>
    <row r="12" spans="1:23" x14ac:dyDescent="0.2">
      <c r="A12" s="2">
        <v>303</v>
      </c>
      <c r="B12">
        <f>'303'!$D$19</f>
        <v>0.81818181818181823</v>
      </c>
      <c r="C12">
        <f>'303'!$D$29</f>
        <v>1</v>
      </c>
      <c r="D12">
        <f>'303'!D$31</f>
        <v>0.7142857142857143</v>
      </c>
      <c r="E12">
        <f>'303'!$K$19</f>
        <v>0.94736842105263153</v>
      </c>
      <c r="F12">
        <f>'303'!$K$22</f>
        <v>3</v>
      </c>
      <c r="G12">
        <f>'303'!$L$22</f>
        <v>3</v>
      </c>
      <c r="H12">
        <f>'303'!$M$22</f>
        <v>4</v>
      </c>
      <c r="I12">
        <f>'303'!$N$22</f>
        <v>0.7385489458759964</v>
      </c>
      <c r="J12">
        <f>'303'!$P$36</f>
        <v>0</v>
      </c>
      <c r="K12">
        <f>'303'!$R$36</f>
        <v>1</v>
      </c>
      <c r="L12">
        <f>'303'!$G$16 + '303'!$H$16/3</f>
        <v>24</v>
      </c>
      <c r="M12">
        <f>'303'!$Q$34</f>
        <v>5</v>
      </c>
      <c r="N12">
        <f>'303'!$P$31</f>
        <v>6.7</v>
      </c>
      <c r="O12">
        <f>'303'!$S$31</f>
        <v>3.9454615277134146</v>
      </c>
      <c r="Q12">
        <f>'303'!$P$19</f>
        <v>0.83333333333333337</v>
      </c>
      <c r="R12">
        <f>'303'!$T$16</f>
        <v>10</v>
      </c>
      <c r="S12">
        <f>'303'!$T$16/'303'!$A$31</f>
        <v>0.83333333333333337</v>
      </c>
      <c r="U12">
        <f t="shared" si="0"/>
        <v>4</v>
      </c>
      <c r="V12">
        <f t="shared" si="1"/>
        <v>0.49789124135963719</v>
      </c>
      <c r="W12">
        <f t="shared" si="2"/>
        <v>0.61775809347806343</v>
      </c>
    </row>
    <row r="13" spans="1:23" x14ac:dyDescent="0.2">
      <c r="A13">
        <v>2729</v>
      </c>
      <c r="B13">
        <f>'2729'!$D$19</f>
        <v>0.63636363636363635</v>
      </c>
      <c r="C13">
        <f>'2729'!$D$29</f>
        <v>0.5</v>
      </c>
      <c r="D13">
        <f>'2729'!D$31</f>
        <v>0.66666666666666663</v>
      </c>
      <c r="E13">
        <f>'2729'!$K$19</f>
        <v>0.97777777777777775</v>
      </c>
      <c r="F13">
        <f>'2729'!$K$22</f>
        <v>3.5833333333333335</v>
      </c>
      <c r="G13">
        <f>'2729'!$L$22</f>
        <v>3.5</v>
      </c>
      <c r="H13">
        <f>'2729'!$M$22</f>
        <v>5</v>
      </c>
      <c r="I13">
        <f>'2729'!$N$22</f>
        <v>1.1645001528813146</v>
      </c>
      <c r="J13" t="e">
        <f>'2729'!$P$36</f>
        <v>#DIV/0!</v>
      </c>
      <c r="K13" t="e">
        <f>'2729'!$R$36</f>
        <v>#DIV/0!</v>
      </c>
      <c r="L13">
        <f>'2729'!$G$16 + '2729'!$H$16/3</f>
        <v>0</v>
      </c>
      <c r="M13" t="e">
        <f>'2729'!$Q$34</f>
        <v>#NUM!</v>
      </c>
      <c r="N13" t="e">
        <f>'2729'!$P$31</f>
        <v>#REF!</v>
      </c>
      <c r="O13" t="e">
        <f>'2729'!$S$31</f>
        <v>#REF!</v>
      </c>
      <c r="Q13">
        <f>'2729'!$P$19</f>
        <v>0.66666666666666663</v>
      </c>
      <c r="R13">
        <f>'2729'!$T$16</f>
        <v>8</v>
      </c>
      <c r="S13">
        <f>'2729'!$T$16/'2729'!$A$31</f>
        <v>0.66666666666666663</v>
      </c>
      <c r="U13">
        <f t="shared" si="0"/>
        <v>4.25</v>
      </c>
      <c r="V13">
        <f t="shared" si="1"/>
        <v>0.66056857191379226</v>
      </c>
      <c r="W13">
        <f t="shared" si="2"/>
        <v>0.60647874282981662</v>
      </c>
    </row>
    <row r="14" spans="1:23" x14ac:dyDescent="0.2">
      <c r="A14">
        <v>203</v>
      </c>
      <c r="B14">
        <f>'203'!$D$19</f>
        <v>0.75</v>
      </c>
      <c r="C14">
        <f>'203'!$D$29</f>
        <v>0</v>
      </c>
      <c r="D14">
        <f>'203'!D$31</f>
        <v>0.81818181818181823</v>
      </c>
      <c r="E14">
        <f>'203'!$K$19</f>
        <v>0.95238095238095233</v>
      </c>
      <c r="F14">
        <f>'203'!$K$22</f>
        <v>3.3333333333333335</v>
      </c>
      <c r="G14">
        <f>'203'!$L$22</f>
        <v>3.5</v>
      </c>
      <c r="H14">
        <f>'203'!$M$22</f>
        <v>5</v>
      </c>
      <c r="I14">
        <f>'203'!$N$22</f>
        <v>1.0730867399773192</v>
      </c>
      <c r="J14" t="e">
        <f>'203'!$P$36</f>
        <v>#DIV/0!</v>
      </c>
      <c r="K14" t="e">
        <f>'203'!$R$36</f>
        <v>#DIV/0!</v>
      </c>
      <c r="L14">
        <f>'203'!$G$16 + '203'!$H$16/3</f>
        <v>2</v>
      </c>
      <c r="M14">
        <f>'203'!$Q$34</f>
        <v>0.5</v>
      </c>
      <c r="N14">
        <f>'203'!$P$31</f>
        <v>0.5</v>
      </c>
      <c r="O14">
        <f>'203'!$S$31</f>
        <v>0.70710678118654757</v>
      </c>
      <c r="Q14">
        <f>'203'!$P$19</f>
        <v>0.9</v>
      </c>
      <c r="R14">
        <f>'203'!$T$16</f>
        <v>9</v>
      </c>
      <c r="S14">
        <f>'203'!$T$16/'203'!$A$31</f>
        <v>0.75</v>
      </c>
      <c r="U14">
        <f t="shared" si="0"/>
        <v>4.1515151515151514</v>
      </c>
      <c r="V14">
        <f t="shared" si="1"/>
        <v>0.5897645950148851</v>
      </c>
      <c r="W14">
        <f t="shared" si="2"/>
        <v>0.56636590279047339</v>
      </c>
    </row>
    <row r="15" spans="1:23" x14ac:dyDescent="0.2">
      <c r="A15">
        <v>3929</v>
      </c>
      <c r="B15">
        <f>'3929'!$D$19</f>
        <v>0.3</v>
      </c>
      <c r="C15">
        <f>'3929'!$D$29</f>
        <v>0.33333333333333331</v>
      </c>
      <c r="D15">
        <f>'3929'!D$31</f>
        <v>0.2857142857142857</v>
      </c>
      <c r="E15">
        <f>'3929'!$K$19</f>
        <v>0.91489361702127658</v>
      </c>
      <c r="F15">
        <f>'3929'!$K$22</f>
        <v>3.5833333333333335</v>
      </c>
      <c r="G15">
        <f>'3929'!$L$22</f>
        <v>4</v>
      </c>
      <c r="H15">
        <f>'3929'!$M$22</f>
        <v>4</v>
      </c>
      <c r="I15">
        <f>'3929'!$N$22</f>
        <v>0.66855792342152087</v>
      </c>
      <c r="J15" t="e">
        <f>'3929'!$P$36</f>
        <v>#DIV/0!</v>
      </c>
      <c r="K15" t="e">
        <f>'3929'!$R$36</f>
        <v>#DIV/0!</v>
      </c>
      <c r="L15">
        <f>'3929'!$G$16 + '3929'!$H$16/3</f>
        <v>0</v>
      </c>
      <c r="M15" t="e">
        <f>'3929'!$Q$34</f>
        <v>#NUM!</v>
      </c>
      <c r="N15" t="e">
        <f>'3929'!$P$31</f>
        <v>#DIV/0!</v>
      </c>
      <c r="O15" t="e">
        <f>'3929'!$S$31</f>
        <v>#DIV/0!</v>
      </c>
      <c r="Q15">
        <f>'3929'!$P$19</f>
        <v>1</v>
      </c>
      <c r="R15">
        <f>'3929'!$T$16</f>
        <v>12</v>
      </c>
      <c r="S15">
        <f>'3929'!$T$16/'3929'!$A$31</f>
        <v>1</v>
      </c>
      <c r="U15">
        <f t="shared" si="0"/>
        <v>3.916666666666667</v>
      </c>
      <c r="V15">
        <f t="shared" si="1"/>
        <v>0.64746606307984156</v>
      </c>
      <c r="W15">
        <f t="shared" si="2"/>
        <v>0.55778451252628125</v>
      </c>
    </row>
    <row r="16" spans="1:23" x14ac:dyDescent="0.2">
      <c r="A16">
        <v>193</v>
      </c>
      <c r="B16">
        <f>'193'!$D$19</f>
        <v>0.36363636363636365</v>
      </c>
      <c r="C16" t="e">
        <f>'193'!$D$29</f>
        <v>#DIV/0!</v>
      </c>
      <c r="D16">
        <f>'193'!D$31</f>
        <v>0.36363636363636365</v>
      </c>
      <c r="E16">
        <f>'193'!$K$19</f>
        <v>0.98076923076923073</v>
      </c>
      <c r="F16">
        <f>'193'!$K$22</f>
        <v>4.25</v>
      </c>
      <c r="G16">
        <f>'193'!$L$22</f>
        <v>4</v>
      </c>
      <c r="H16">
        <f>'193'!$M$22</f>
        <v>7</v>
      </c>
      <c r="I16">
        <f>'193'!$N$22</f>
        <v>1.2880570286640687</v>
      </c>
      <c r="J16" t="e">
        <f>'193'!$P$36</f>
        <v>#DIV/0!</v>
      </c>
      <c r="K16" t="e">
        <f>'193'!$R$36</f>
        <v>#DIV/0!</v>
      </c>
      <c r="L16">
        <f>'193'!$G$16 + '193'!$H$16/3</f>
        <v>0</v>
      </c>
      <c r="M16" t="e">
        <f>'193'!$Q$34</f>
        <v>#NUM!</v>
      </c>
      <c r="N16" t="e">
        <f>'193'!$P$31</f>
        <v>#DIV/0!</v>
      </c>
      <c r="O16" t="e">
        <f>'193'!$S$31</f>
        <v>#DIV/0!</v>
      </c>
      <c r="Q16">
        <f>'193'!$P$19</f>
        <v>0.91666666666666663</v>
      </c>
      <c r="R16">
        <f>'193'!$T$16</f>
        <v>11</v>
      </c>
      <c r="S16">
        <f>'193'!$T$16/'193'!$A$31</f>
        <v>0.91666666666666663</v>
      </c>
      <c r="U16">
        <f t="shared" si="0"/>
        <v>4.25</v>
      </c>
      <c r="V16">
        <f t="shared" si="1"/>
        <v>0.90304355400164271</v>
      </c>
      <c r="W16">
        <f t="shared" si="2"/>
        <v>0.54830226692453443</v>
      </c>
    </row>
    <row r="17" spans="1:23" x14ac:dyDescent="0.2">
      <c r="A17" s="2">
        <v>1257</v>
      </c>
      <c r="B17">
        <f>'1257'!$D$19</f>
        <v>0.7</v>
      </c>
      <c r="C17">
        <f>'1257'!$D$29</f>
        <v>0.77777777777777779</v>
      </c>
      <c r="D17">
        <f>'1257'!D$31</f>
        <v>0</v>
      </c>
      <c r="E17">
        <f>'1257'!$K$19</f>
        <v>0.94871794871794868</v>
      </c>
      <c r="F17">
        <f>'1257'!$K$22</f>
        <v>3.3636363636363638</v>
      </c>
      <c r="G17">
        <f>'1257'!$L$22</f>
        <v>4</v>
      </c>
      <c r="H17">
        <f>'1257'!$M$22</f>
        <v>4</v>
      </c>
      <c r="I17">
        <f>'1257'!$N$22</f>
        <v>1.2060453783110545</v>
      </c>
      <c r="J17" t="e">
        <f>'1257'!$P$36</f>
        <v>#DIV/0!</v>
      </c>
      <c r="K17" t="e">
        <f>'1257'!$R$36</f>
        <v>#DIV/0!</v>
      </c>
      <c r="L17">
        <f>'1257'!$G$16 + '1257'!$H$16/3</f>
        <v>0</v>
      </c>
      <c r="M17" t="e">
        <f>'1257'!$Q$34</f>
        <v>#NUM!</v>
      </c>
      <c r="N17" t="e">
        <f>'1257'!$P$31</f>
        <v>#DIV/0!</v>
      </c>
      <c r="O17" t="e">
        <f>'1257'!$S$31</f>
        <v>#DIV/0!</v>
      </c>
      <c r="Q17">
        <f>'1257'!$P$19</f>
        <v>1</v>
      </c>
      <c r="R17">
        <f>'1257'!$T$16</f>
        <v>10</v>
      </c>
      <c r="S17">
        <f>'1257'!$T$16/'1257'!$A$31</f>
        <v>0.90909090909090906</v>
      </c>
      <c r="U17">
        <f t="shared" si="0"/>
        <v>4.1414141414141419</v>
      </c>
      <c r="V17">
        <f t="shared" si="1"/>
        <v>0.50841502977299391</v>
      </c>
      <c r="W17">
        <f t="shared" si="2"/>
        <v>0.49555244015419375</v>
      </c>
    </row>
    <row r="18" spans="1:23" x14ac:dyDescent="0.2">
      <c r="A18" s="2">
        <v>293</v>
      </c>
      <c r="B18">
        <f>'293'!$D$19</f>
        <v>0.27272727272727271</v>
      </c>
      <c r="C18">
        <f>'293'!$D$29</f>
        <v>0.5</v>
      </c>
      <c r="D18">
        <f>'293'!D$31</f>
        <v>0.22222222222222221</v>
      </c>
      <c r="E18">
        <f>'293'!$K$19</f>
        <v>1.0238095238095237</v>
      </c>
      <c r="F18">
        <f>'293'!$K$22</f>
        <v>3.5833333333333335</v>
      </c>
      <c r="G18">
        <f>'293'!$L$22</f>
        <v>4</v>
      </c>
      <c r="H18">
        <f>'293'!$M$22</f>
        <v>5</v>
      </c>
      <c r="I18">
        <f>'293'!$N$22</f>
        <v>1.2401124093721452</v>
      </c>
      <c r="J18" t="e">
        <f>'293'!$P$36</f>
        <v>#DIV/0!</v>
      </c>
      <c r="K18" t="e">
        <f>'293'!$R$36</f>
        <v>#DIV/0!</v>
      </c>
      <c r="L18">
        <f>'293'!$G$16 + '293'!$H$16/3</f>
        <v>0</v>
      </c>
      <c r="M18" t="e">
        <f>'293'!$Q$34</f>
        <v>#NUM!</v>
      </c>
      <c r="N18" t="e">
        <f>'293'!$P$31</f>
        <v>#DIV/0!</v>
      </c>
      <c r="O18" t="e">
        <f>'293'!$S$31</f>
        <v>#DIV/0!</v>
      </c>
      <c r="Q18">
        <f>'293'!$P$19</f>
        <v>0.90909090909090906</v>
      </c>
      <c r="R18">
        <f>'293'!$T$16</f>
        <v>10</v>
      </c>
      <c r="S18">
        <f>'293'!$T$16/'293'!$A$31</f>
        <v>0.83333333333333337</v>
      </c>
      <c r="U18">
        <f t="shared" si="0"/>
        <v>4.0833333333333339</v>
      </c>
      <c r="V18">
        <f t="shared" si="1"/>
        <v>0.32706376960713424</v>
      </c>
      <c r="W18">
        <f t="shared" si="2"/>
        <v>0.43510404218203497</v>
      </c>
    </row>
    <row r="19" spans="1:23" x14ac:dyDescent="0.2">
      <c r="A19">
        <v>25</v>
      </c>
      <c r="B19">
        <f>'25'!$D$19</f>
        <v>0.83333333333333337</v>
      </c>
      <c r="C19">
        <f>'25'!$D$29</f>
        <v>1</v>
      </c>
      <c r="D19">
        <f>'25'!D$31</f>
        <v>0.77777777777777779</v>
      </c>
      <c r="E19">
        <f>'25'!$K$19</f>
        <v>0.92682926829268297</v>
      </c>
      <c r="F19">
        <f>'25'!$K$22</f>
        <v>3.1666666666666665</v>
      </c>
      <c r="G19">
        <f>'25'!$L$22</f>
        <v>3.5</v>
      </c>
      <c r="H19">
        <f>'25'!$M$22</f>
        <v>5</v>
      </c>
      <c r="I19">
        <f>'25'!$N$22</f>
        <v>1.4668044012461756</v>
      </c>
      <c r="J19" t="e">
        <f>'25'!$P$36</f>
        <v>#DIV/0!</v>
      </c>
      <c r="K19" t="e">
        <f>'25'!$R$36</f>
        <v>#DIV/0!</v>
      </c>
      <c r="L19">
        <f>'25'!$G$16 + '25'!$H$16/3</f>
        <v>0</v>
      </c>
      <c r="M19" t="e">
        <f>'25'!$Q$34</f>
        <v>#NUM!</v>
      </c>
      <c r="N19" t="e">
        <f>'25'!$P$31</f>
        <v>#DIV/0!</v>
      </c>
      <c r="O19" t="e">
        <f>'25'!$S$31</f>
        <v>#DIV/0!</v>
      </c>
      <c r="Q19">
        <f>'25'!$P$19</f>
        <v>0.90909090909090906</v>
      </c>
      <c r="R19">
        <f>'25'!$T$16</f>
        <v>10</v>
      </c>
      <c r="S19">
        <f>'25'!$T$16/'25'!$A$31</f>
        <v>0.83333333333333337</v>
      </c>
      <c r="U19">
        <f t="shared" si="0"/>
        <v>4.1666666666666661</v>
      </c>
      <c r="V19">
        <f t="shared" si="1"/>
        <v>0.37464793043868422</v>
      </c>
      <c r="W19">
        <f t="shared" si="2"/>
        <v>0.42467233864449733</v>
      </c>
    </row>
    <row r="20" spans="1:23" x14ac:dyDescent="0.2">
      <c r="A20">
        <v>103</v>
      </c>
      <c r="B20">
        <f>'103'!$D$19</f>
        <v>0.81818181818181823</v>
      </c>
      <c r="C20">
        <f>'103'!$D$29</f>
        <v>1</v>
      </c>
      <c r="D20">
        <f>'103'!D$31</f>
        <v>0.8</v>
      </c>
      <c r="E20">
        <f>'103'!$K$19</f>
        <v>1</v>
      </c>
      <c r="F20">
        <f>'103'!$K$22</f>
        <v>3.1666666666666665</v>
      </c>
      <c r="G20">
        <f>'103'!$L$22</f>
        <v>3</v>
      </c>
      <c r="H20">
        <f>'103'!$M$22</f>
        <v>5</v>
      </c>
      <c r="I20">
        <f>'103'!$N$22</f>
        <v>1.4668044012461756</v>
      </c>
      <c r="J20" t="e">
        <f>'103'!$P$36</f>
        <v>#DIV/0!</v>
      </c>
      <c r="K20" t="e">
        <f>'103'!$R$36</f>
        <v>#DIV/0!</v>
      </c>
      <c r="L20">
        <f>'103'!$G$16 + '103'!$H$16/3</f>
        <v>5</v>
      </c>
      <c r="M20">
        <f>'103'!$Q$34</f>
        <v>2.5</v>
      </c>
      <c r="N20">
        <f>'103'!$P$31</f>
        <v>2.5</v>
      </c>
      <c r="O20">
        <f>'103'!$S$31</f>
        <v>0.70710678118654757</v>
      </c>
      <c r="Q20">
        <f>'103'!$P$19</f>
        <v>0.7</v>
      </c>
      <c r="R20">
        <f>'103'!$T$16</f>
        <v>7</v>
      </c>
      <c r="S20">
        <f>'103'!$T$16/'103'!$A$31</f>
        <v>0.58333333333333337</v>
      </c>
      <c r="U20">
        <f t="shared" si="0"/>
        <v>4.1666666666666661</v>
      </c>
      <c r="V20">
        <f t="shared" si="1"/>
        <v>0.36431832197920411</v>
      </c>
      <c r="W20">
        <f t="shared" si="2"/>
        <v>0.42467233864449733</v>
      </c>
    </row>
    <row r="21" spans="1:23" x14ac:dyDescent="0.2">
      <c r="A21">
        <v>4285</v>
      </c>
      <c r="B21">
        <f>'4285'!$D$19</f>
        <v>0.72727272727272729</v>
      </c>
      <c r="C21">
        <f>'4285'!$D$29</f>
        <v>0.88888888888888884</v>
      </c>
      <c r="D21">
        <f>'4285'!D$31</f>
        <v>0</v>
      </c>
      <c r="E21">
        <f>'4285'!$K$19</f>
        <v>0.97222222222222221</v>
      </c>
      <c r="F21">
        <f>'4285'!$K$22</f>
        <v>2.9166666666666665</v>
      </c>
      <c r="G21">
        <f>'4285'!$L$22</f>
        <v>3</v>
      </c>
      <c r="H21">
        <f>'4285'!$M$22</f>
        <v>4</v>
      </c>
      <c r="I21">
        <f>'4285'!$N$22</f>
        <v>0.66855792342152176</v>
      </c>
      <c r="J21" t="e">
        <f>'4285'!$P$36</f>
        <v>#DIV/0!</v>
      </c>
      <c r="K21" t="e">
        <f>'4285'!$R$36</f>
        <v>#DIV/0!</v>
      </c>
      <c r="L21">
        <f>'4285'!$G$16 + '4285'!$H$16/3</f>
        <v>0</v>
      </c>
      <c r="M21" t="e">
        <f>'4285'!$Q$34</f>
        <v>#NUM!</v>
      </c>
      <c r="N21" t="e">
        <f>'4285'!$P$31</f>
        <v>#DIV/0!</v>
      </c>
      <c r="O21" t="e">
        <f>'4285'!$S$31</f>
        <v>#DIV/0!</v>
      </c>
      <c r="Q21">
        <f>'4285'!$P$19</f>
        <v>0.91666666666666663</v>
      </c>
      <c r="R21">
        <f>'4285'!$T$16</f>
        <v>11</v>
      </c>
      <c r="S21">
        <f>'4285'!$T$16/'4285'!$A$31</f>
        <v>0.91666666666666663</v>
      </c>
      <c r="U21">
        <f t="shared" si="0"/>
        <v>3.8055555555555554</v>
      </c>
      <c r="V21">
        <f t="shared" si="1"/>
        <v>0.28939097189136448</v>
      </c>
      <c r="W21">
        <f t="shared" si="2"/>
        <v>0.39158932252318979</v>
      </c>
    </row>
    <row r="22" spans="1:23" x14ac:dyDescent="0.2">
      <c r="A22" s="2">
        <v>708</v>
      </c>
      <c r="B22">
        <f>'708'!$D$19</f>
        <v>0.875</v>
      </c>
      <c r="C22">
        <f>'708'!$D$29</f>
        <v>0.8</v>
      </c>
      <c r="D22">
        <f>'708'!D$31</f>
        <v>1</v>
      </c>
      <c r="E22">
        <f>'708'!$K$19</f>
        <v>0.92307692307692313</v>
      </c>
      <c r="F22">
        <f>'708'!$K$22</f>
        <v>3</v>
      </c>
      <c r="G22">
        <f>'708'!$L$22</f>
        <v>3</v>
      </c>
      <c r="H22">
        <f>'708'!$M$22</f>
        <v>5</v>
      </c>
      <c r="I22">
        <f>'708'!$N$22</f>
        <v>1.2060453783110545</v>
      </c>
      <c r="J22">
        <f>'708'!$P$36</f>
        <v>0</v>
      </c>
      <c r="K22">
        <f>'708'!$R$36</f>
        <v>1</v>
      </c>
      <c r="L22">
        <f>'708'!$G$16 + '708'!$H$16/3</f>
        <v>9</v>
      </c>
      <c r="M22">
        <f>'708'!$Q$34</f>
        <v>3.333333333333333</v>
      </c>
      <c r="N22">
        <f>'708'!$P$31</f>
        <v>3.1111111111111112</v>
      </c>
      <c r="O22">
        <f>'708'!$S$31</f>
        <v>2.3687784005919825</v>
      </c>
      <c r="Q22">
        <f>'708'!$P$19</f>
        <v>1</v>
      </c>
      <c r="R22">
        <f>'708'!$T$16</f>
        <v>11</v>
      </c>
      <c r="S22">
        <f>'708'!$T$16/'708'!$A$31</f>
        <v>0.91666666666666663</v>
      </c>
      <c r="U22">
        <f t="shared" si="0"/>
        <v>4</v>
      </c>
      <c r="V22">
        <f t="shared" si="1"/>
        <v>0.35200601977327917</v>
      </c>
      <c r="W22">
        <f t="shared" si="2"/>
        <v>0.37829802837395199</v>
      </c>
    </row>
    <row r="23" spans="1:23" x14ac:dyDescent="0.2">
      <c r="A23">
        <v>2590</v>
      </c>
      <c r="B23">
        <f>'2590'!$D$19</f>
        <v>0.8</v>
      </c>
      <c r="C23" t="e">
        <f>'2590'!$D$29</f>
        <v>#DIV/0!</v>
      </c>
      <c r="D23">
        <f>'2590'!D$31</f>
        <v>0.8</v>
      </c>
      <c r="E23">
        <f>'2590'!$K$19</f>
        <v>0.90384615384615385</v>
      </c>
      <c r="F23">
        <f>'2590'!$K$22</f>
        <v>3.9166666666666665</v>
      </c>
      <c r="G23">
        <f>'2590'!$L$22</f>
        <v>4</v>
      </c>
      <c r="H23">
        <f>'2590'!$M$22</f>
        <v>6</v>
      </c>
      <c r="I23">
        <f>'2590'!$N$22</f>
        <v>0.99620491989562143</v>
      </c>
      <c r="J23">
        <f>'2590'!$P$36</f>
        <v>0</v>
      </c>
      <c r="K23">
        <f>'2590'!$R$36</f>
        <v>1</v>
      </c>
      <c r="L23">
        <f>'2590'!$G$16 + '2590'!$H$16/3</f>
        <v>60</v>
      </c>
      <c r="M23">
        <f>'2590'!$Q$34</f>
        <v>5</v>
      </c>
      <c r="N23">
        <f>'2590'!$P$31</f>
        <v>6.5</v>
      </c>
      <c r="O23">
        <f>'2590'!$S$31</f>
        <v>6.5027466724234522</v>
      </c>
      <c r="Q23">
        <f>'2590'!$P$19</f>
        <v>0.75</v>
      </c>
      <c r="R23">
        <f>'2590'!$T$16</f>
        <v>9</v>
      </c>
      <c r="S23">
        <f>'2590'!$T$16/'2590'!$A$31</f>
        <v>0.75</v>
      </c>
      <c r="U23">
        <f t="shared" si="0"/>
        <v>3.9166666666666665</v>
      </c>
      <c r="V23">
        <f t="shared" si="1"/>
        <v>1.2710255437049716</v>
      </c>
      <c r="W23">
        <f t="shared" si="2"/>
        <v>0.37433187486197889</v>
      </c>
    </row>
    <row r="24" spans="1:23" x14ac:dyDescent="0.2">
      <c r="A24">
        <v>11</v>
      </c>
      <c r="B24">
        <f>'11'!$D$19</f>
        <v>0</v>
      </c>
      <c r="C24">
        <f>'11'!$D$29</f>
        <v>0</v>
      </c>
      <c r="D24">
        <f>'11'!D$31</f>
        <v>0</v>
      </c>
      <c r="E24">
        <f>'11'!$K$19</f>
        <v>0.94339622641509435</v>
      </c>
      <c r="F24">
        <f>'11'!$K$22</f>
        <v>4.166666666666667</v>
      </c>
      <c r="G24">
        <f>'11'!$L$22</f>
        <v>4</v>
      </c>
      <c r="H24">
        <f>'11'!$M$22</f>
        <v>6</v>
      </c>
      <c r="I24">
        <f>'11'!$N$22</f>
        <v>1.8504708655481241</v>
      </c>
      <c r="J24" t="e">
        <f>'11'!$P$36</f>
        <v>#DIV/0!</v>
      </c>
      <c r="K24" t="e">
        <f>'11'!$R$36</f>
        <v>#DIV/0!</v>
      </c>
      <c r="L24">
        <f>'11'!$G$16 + '11'!$H$16/3</f>
        <v>0</v>
      </c>
      <c r="M24" t="e">
        <f>'11'!$Q$34</f>
        <v>#NUM!</v>
      </c>
      <c r="N24" t="e">
        <f>'11'!$P$31</f>
        <v>#DIV/0!</v>
      </c>
      <c r="O24" t="e">
        <f>'11'!$S$31</f>
        <v>#DIV/0!</v>
      </c>
      <c r="Q24">
        <f>'11'!$P$19</f>
        <v>0.9</v>
      </c>
      <c r="R24">
        <f>'11'!$T$16</f>
        <v>9</v>
      </c>
      <c r="S24">
        <f>'11'!$T$16/'11'!$A$31</f>
        <v>0.75</v>
      </c>
      <c r="U24">
        <f t="shared" si="0"/>
        <v>4.166666666666667</v>
      </c>
      <c r="V24">
        <f t="shared" si="1"/>
        <v>0.38703765257052847</v>
      </c>
      <c r="W24">
        <f t="shared" si="2"/>
        <v>0.33662310874953694</v>
      </c>
    </row>
    <row r="25" spans="1:23" x14ac:dyDescent="0.2">
      <c r="A25">
        <v>3314</v>
      </c>
      <c r="B25">
        <f>'3314'!$D$19</f>
        <v>0.91666666666666663</v>
      </c>
      <c r="C25">
        <f>'3314'!$D$29</f>
        <v>1</v>
      </c>
      <c r="D25">
        <f>'3314'!D$31</f>
        <v>0.9</v>
      </c>
      <c r="E25">
        <f>'3314'!$K$19</f>
        <v>0.97222222222222221</v>
      </c>
      <c r="F25">
        <f>'3314'!$K$22</f>
        <v>2.9166666666666665</v>
      </c>
      <c r="G25">
        <f>'3314'!$L$22</f>
        <v>3</v>
      </c>
      <c r="H25">
        <f>'3314'!$M$22</f>
        <v>4</v>
      </c>
      <c r="I25">
        <f>'3314'!$N$22</f>
        <v>1.1645001528813153</v>
      </c>
      <c r="J25">
        <f>'3314'!$P$36</f>
        <v>0</v>
      </c>
      <c r="K25">
        <f>'3314'!$R$36</f>
        <v>1</v>
      </c>
      <c r="L25">
        <f>'3314'!$G$16 + '3314'!$H$16/3</f>
        <v>60</v>
      </c>
      <c r="M25">
        <f>'3314'!$Q$34</f>
        <v>4.5</v>
      </c>
      <c r="N25">
        <f>'3314'!$P$31</f>
        <v>7.333333333333333</v>
      </c>
      <c r="O25">
        <f>'3314'!$S$31</f>
        <v>6.0802711263312075</v>
      </c>
      <c r="Q25">
        <f>'3314'!$P$19</f>
        <v>0.90909090909090906</v>
      </c>
      <c r="R25">
        <f>'3314'!$T$16</f>
        <v>10</v>
      </c>
      <c r="S25">
        <f>'3314'!$T$16/'3314'!$A$31</f>
        <v>0.83333333333333337</v>
      </c>
      <c r="U25">
        <f t="shared" si="0"/>
        <v>3.9166666666666665</v>
      </c>
      <c r="V25">
        <f t="shared" si="1"/>
        <v>0.32878361215431084</v>
      </c>
      <c r="W25">
        <f t="shared" si="2"/>
        <v>0.32023289519418574</v>
      </c>
    </row>
    <row r="26" spans="1:23" x14ac:dyDescent="0.2">
      <c r="A26" s="2">
        <v>341</v>
      </c>
      <c r="B26">
        <f>'341'!$D$19</f>
        <v>0.5</v>
      </c>
      <c r="C26">
        <f>'341'!$D$29</f>
        <v>1</v>
      </c>
      <c r="D26">
        <f>'341'!D$31</f>
        <v>0</v>
      </c>
      <c r="E26">
        <f>'341'!$K$19</f>
        <v>0.94594594594594594</v>
      </c>
      <c r="F26">
        <f>'341'!$K$22</f>
        <v>2.9166666666666665</v>
      </c>
      <c r="G26">
        <f>'341'!$L$22</f>
        <v>3</v>
      </c>
      <c r="H26">
        <f>'341'!$M$22</f>
        <v>5</v>
      </c>
      <c r="I26">
        <f>'341'!$N$22</f>
        <v>1.3789543689024493</v>
      </c>
      <c r="J26">
        <f>'341'!$P$36</f>
        <v>0</v>
      </c>
      <c r="K26">
        <f>'341'!$R$36</f>
        <v>1</v>
      </c>
      <c r="L26">
        <f>'341'!$G$16 + '341'!$H$16/3</f>
        <v>37</v>
      </c>
      <c r="M26">
        <f>'341'!$Q$34</f>
        <v>4</v>
      </c>
      <c r="N26">
        <f>'341'!$P$31</f>
        <v>11.8</v>
      </c>
      <c r="O26">
        <f>'341'!$S$31</f>
        <v>13.538422688366946</v>
      </c>
      <c r="Q26">
        <f>'341'!$P$19</f>
        <v>0.90909090909090906</v>
      </c>
      <c r="R26">
        <f>'341'!$T$16</f>
        <v>10</v>
      </c>
      <c r="S26">
        <f>'341'!$T$16/'341'!$A$31</f>
        <v>0.83333333333333337</v>
      </c>
      <c r="U26">
        <f t="shared" si="0"/>
        <v>3.9166666666666665</v>
      </c>
      <c r="V26">
        <f t="shared" si="1"/>
        <v>-2.4509948124680426E-2</v>
      </c>
      <c r="W26">
        <f t="shared" si="2"/>
        <v>0.27043045355305456</v>
      </c>
    </row>
    <row r="27" spans="1:23" x14ac:dyDescent="0.2">
      <c r="A27" s="2">
        <v>365</v>
      </c>
      <c r="B27">
        <f>'365'!$D$19</f>
        <v>1</v>
      </c>
      <c r="C27">
        <f>'365'!$D$29</f>
        <v>1</v>
      </c>
      <c r="D27">
        <f>'365'!D$31</f>
        <v>1</v>
      </c>
      <c r="E27">
        <f>'365'!$K$19</f>
        <v>0.83333333333333337</v>
      </c>
      <c r="F27">
        <f>'365'!$K$22</f>
        <v>2.9166666666666665</v>
      </c>
      <c r="G27">
        <f>'365'!$L$22</f>
        <v>3</v>
      </c>
      <c r="H27">
        <f>'365'!$M$22</f>
        <v>5</v>
      </c>
      <c r="I27">
        <f>'365'!$N$22</f>
        <v>1.5050420310248867</v>
      </c>
      <c r="J27">
        <f>'365'!$P$36</f>
        <v>0</v>
      </c>
      <c r="K27">
        <f>'365'!$R$36</f>
        <v>1</v>
      </c>
      <c r="L27">
        <f>'365'!$G$16 + '365'!$H$16/3</f>
        <v>32</v>
      </c>
      <c r="M27">
        <f>'365'!$Q$34</f>
        <v>7</v>
      </c>
      <c r="N27">
        <f>'365'!$P$31</f>
        <v>6</v>
      </c>
      <c r="O27">
        <f>'365'!$S$31</f>
        <v>2.9154759474226504</v>
      </c>
      <c r="Q27">
        <f>'365'!$P$19</f>
        <v>0.90909090909090906</v>
      </c>
      <c r="R27">
        <f>'365'!$T$16</f>
        <v>10</v>
      </c>
      <c r="S27">
        <f>'365'!$T$16/'365'!$A$31</f>
        <v>0.83333333333333337</v>
      </c>
      <c r="U27">
        <f t="shared" si="0"/>
        <v>3.9166666666666665</v>
      </c>
      <c r="V27">
        <f t="shared" si="1"/>
        <v>0.30976005343480711</v>
      </c>
      <c r="W27">
        <f t="shared" si="2"/>
        <v>0.24777464530828719</v>
      </c>
    </row>
    <row r="28" spans="1:23" x14ac:dyDescent="0.2">
      <c r="A28" s="2">
        <v>223</v>
      </c>
      <c r="B28">
        <f>'223'!$D$19</f>
        <v>0.6</v>
      </c>
      <c r="C28">
        <f>'223'!$D$29</f>
        <v>1</v>
      </c>
      <c r="D28">
        <f>'223'!D$31</f>
        <v>0.5</v>
      </c>
      <c r="E28">
        <f>'223'!$K$19</f>
        <v>0.86842105263157898</v>
      </c>
      <c r="F28">
        <f>'223'!$K$22</f>
        <v>2.75</v>
      </c>
      <c r="G28">
        <f>'223'!$L$22</f>
        <v>3</v>
      </c>
      <c r="H28">
        <f>'223'!$M$22</f>
        <v>4</v>
      </c>
      <c r="I28">
        <f>'223'!$N$22</f>
        <v>0.96530729916342273</v>
      </c>
      <c r="J28">
        <f>'223'!$P$36</f>
        <v>0</v>
      </c>
      <c r="K28">
        <f>'223'!$R$36</f>
        <v>1</v>
      </c>
      <c r="L28">
        <f>'223'!$G$16 + '223'!$H$16/3</f>
        <v>11</v>
      </c>
      <c r="M28">
        <f>'223'!$Q$34</f>
        <v>3.5</v>
      </c>
      <c r="N28">
        <f>'223'!$P$31</f>
        <v>1.75</v>
      </c>
      <c r="O28">
        <f>'223'!$S$31</f>
        <v>1.707825127659933</v>
      </c>
      <c r="Q28">
        <f>'223'!$P$19</f>
        <v>0.90909090909090906</v>
      </c>
      <c r="R28">
        <f>'223'!$T$16</f>
        <v>10</v>
      </c>
      <c r="S28">
        <f>'223'!$T$16/'223'!$A$31</f>
        <v>0.83333333333333337</v>
      </c>
      <c r="U28">
        <f t="shared" si="0"/>
        <v>3.75</v>
      </c>
      <c r="V28">
        <f t="shared" si="1"/>
        <v>-0.10407542427352827</v>
      </c>
      <c r="W28">
        <f t="shared" si="2"/>
        <v>0.21365692450821566</v>
      </c>
    </row>
    <row r="29" spans="1:23" x14ac:dyDescent="0.2">
      <c r="A29">
        <v>219</v>
      </c>
      <c r="B29">
        <f>'219'!$D$19</f>
        <v>0.58333333333333337</v>
      </c>
      <c r="C29">
        <f>'219'!$D$29</f>
        <v>0.42857142857142855</v>
      </c>
      <c r="D29">
        <f>'219'!D$31</f>
        <v>0.8</v>
      </c>
      <c r="E29">
        <f>'219'!$K$19</f>
        <v>1</v>
      </c>
      <c r="F29">
        <f>'219'!$K$22</f>
        <v>2.9166666666666665</v>
      </c>
      <c r="G29">
        <f>'219'!$L$22</f>
        <v>3</v>
      </c>
      <c r="H29">
        <f>'219'!$M$22</f>
        <v>4</v>
      </c>
      <c r="I29">
        <f>'219'!$N$22</f>
        <v>0.90033663737852021</v>
      </c>
      <c r="J29">
        <f>'219'!$P$36</f>
        <v>0</v>
      </c>
      <c r="K29">
        <f>'219'!$R$36</f>
        <v>1</v>
      </c>
      <c r="L29">
        <f>'219'!$G$16 + '219'!$H$16/3</f>
        <v>21</v>
      </c>
      <c r="M29">
        <f>'219'!$Q$34</f>
        <v>2</v>
      </c>
      <c r="N29">
        <f>'219'!$P$31</f>
        <v>7.8888888888888893</v>
      </c>
      <c r="O29">
        <f>'219'!$S$31</f>
        <v>8.4918261352379982</v>
      </c>
      <c r="Q29">
        <f>'219'!$P$19</f>
        <v>0.91666666666666663</v>
      </c>
      <c r="R29">
        <f>'219'!$T$16</f>
        <v>11</v>
      </c>
      <c r="S29">
        <f>'219'!$T$16/'219'!$A$31</f>
        <v>0.91666666666666663</v>
      </c>
      <c r="U29">
        <f t="shared" si="0"/>
        <v>3.7166666666666668</v>
      </c>
      <c r="V29">
        <f t="shared" si="1"/>
        <v>5.5018568864933767E-2</v>
      </c>
      <c r="W29">
        <f t="shared" si="2"/>
        <v>0.19205178178099649</v>
      </c>
    </row>
    <row r="30" spans="1:23" x14ac:dyDescent="0.2">
      <c r="A30" s="2">
        <v>1923</v>
      </c>
      <c r="B30">
        <f>'1923'!$D$19</f>
        <v>0.8</v>
      </c>
      <c r="C30">
        <f>'1923'!$D$29</f>
        <v>1</v>
      </c>
      <c r="D30">
        <f>'1923'!D$31</f>
        <v>0.5</v>
      </c>
      <c r="E30">
        <f>'1923'!$K$19</f>
        <v>0.94285714285714284</v>
      </c>
      <c r="F30">
        <f>'1923'!$K$22</f>
        <v>2.75</v>
      </c>
      <c r="G30">
        <f>'1923'!$L$22</f>
        <v>3</v>
      </c>
      <c r="H30">
        <f>'1923'!$M$22</f>
        <v>4</v>
      </c>
      <c r="I30">
        <f>'1923'!$N$22</f>
        <v>1.2154310870109943</v>
      </c>
      <c r="J30" t="e">
        <f>'1923'!$P$36</f>
        <v>#DIV/0!</v>
      </c>
      <c r="K30" t="e">
        <f>'1923'!$R$36</f>
        <v>#DIV/0!</v>
      </c>
      <c r="L30">
        <f>'1923'!$G$16 + '1923'!$H$16/3</f>
        <v>0</v>
      </c>
      <c r="M30" t="e">
        <f>'1923'!$Q$34</f>
        <v>#NUM!</v>
      </c>
      <c r="N30" t="e">
        <f>'1923'!$P$31</f>
        <v>#DIV/0!</v>
      </c>
      <c r="O30" t="e">
        <f>'1923'!$S$31</f>
        <v>#DIV/0!</v>
      </c>
      <c r="Q30">
        <f>'1923'!$P$19</f>
        <v>0.9</v>
      </c>
      <c r="R30">
        <f>'1923'!$T$16</f>
        <v>9</v>
      </c>
      <c r="S30">
        <f>'1923'!$T$16/'1923'!$A$31</f>
        <v>0.75</v>
      </c>
      <c r="U30">
        <f t="shared" si="0"/>
        <v>3.75</v>
      </c>
      <c r="V30">
        <f t="shared" si="1"/>
        <v>8.189294674863988E-2</v>
      </c>
      <c r="W30">
        <f t="shared" si="2"/>
        <v>0.16968842655801131</v>
      </c>
    </row>
    <row r="31" spans="1:23" x14ac:dyDescent="0.2">
      <c r="A31">
        <v>56</v>
      </c>
      <c r="B31">
        <f>'56'!$D$19</f>
        <v>0.58333333333333337</v>
      </c>
      <c r="C31">
        <f>'56'!$D$29</f>
        <v>0.8571428571428571</v>
      </c>
      <c r="D31">
        <f>'56'!D$31</f>
        <v>0.2</v>
      </c>
      <c r="E31">
        <f>'56'!$K$19</f>
        <v>0.89473684210526316</v>
      </c>
      <c r="F31">
        <f>'56'!$K$22</f>
        <v>2.8333333333333335</v>
      </c>
      <c r="G31">
        <f>'56'!$L$22</f>
        <v>3</v>
      </c>
      <c r="H31">
        <f>'56'!$M$22</f>
        <v>5</v>
      </c>
      <c r="I31">
        <f>'56'!$N$22</f>
        <v>1.1934162828797104</v>
      </c>
      <c r="J31" t="e">
        <f>'56'!$P$36</f>
        <v>#DIV/0!</v>
      </c>
      <c r="K31" t="e">
        <f>'56'!$R$36</f>
        <v>#DIV/0!</v>
      </c>
      <c r="L31">
        <f>'56'!$G$16 + '56'!$H$16/3</f>
        <v>0</v>
      </c>
      <c r="M31" t="e">
        <f>'56'!$Q$34</f>
        <v>#NUM!</v>
      </c>
      <c r="N31" t="e">
        <f>'56'!$P$31</f>
        <v>#DIV/0!</v>
      </c>
      <c r="O31" t="e">
        <f>'56'!$S$31</f>
        <v>#DIV/0!</v>
      </c>
      <c r="Q31">
        <f>'56'!$P$19</f>
        <v>1</v>
      </c>
      <c r="R31">
        <f>'56'!$T$16</f>
        <v>12</v>
      </c>
      <c r="S31">
        <f>'56'!$T$16/'56'!$A$31</f>
        <v>1</v>
      </c>
      <c r="U31">
        <f t="shared" si="0"/>
        <v>3.6904761904761907</v>
      </c>
      <c r="V31">
        <f t="shared" si="1"/>
        <v>-2.8320461630157497E-2</v>
      </c>
      <c r="W31">
        <f t="shared" si="2"/>
        <v>0.12294182786474371</v>
      </c>
    </row>
    <row r="32" spans="1:23" x14ac:dyDescent="0.2">
      <c r="A32">
        <v>5895</v>
      </c>
      <c r="B32">
        <f>'5895'!$D$19</f>
        <v>0.5</v>
      </c>
      <c r="C32">
        <f>'5895'!$D$29</f>
        <v>1</v>
      </c>
      <c r="D32">
        <f>'5895'!D$31</f>
        <v>0</v>
      </c>
      <c r="E32">
        <f>'5895'!$K$19</f>
        <v>0.93333333333333335</v>
      </c>
      <c r="F32">
        <f>'5895'!$K$22</f>
        <v>2.6363636363636362</v>
      </c>
      <c r="G32">
        <f>'5895'!$L$22</f>
        <v>3</v>
      </c>
      <c r="H32">
        <f>'5895'!$M$22</f>
        <v>4</v>
      </c>
      <c r="I32">
        <f>'5895'!$N$22</f>
        <v>1.1200649331826502</v>
      </c>
      <c r="J32">
        <f>'5895'!$P$36</f>
        <v>0</v>
      </c>
      <c r="K32">
        <f>'5895'!$R$36</f>
        <v>1</v>
      </c>
      <c r="L32">
        <f>'5895'!$G$16 + '5895'!$H$16/3</f>
        <v>63</v>
      </c>
      <c r="M32">
        <f>'5895'!$Q$34</f>
        <v>11.5</v>
      </c>
      <c r="N32">
        <f>'5895'!$P$31</f>
        <v>15.625</v>
      </c>
      <c r="O32">
        <f>'5895'!$S$31</f>
        <v>14.480898748745831</v>
      </c>
      <c r="Q32">
        <f>'5895'!$P$19</f>
        <v>0.9</v>
      </c>
      <c r="R32">
        <f>'5895'!$T$16</f>
        <v>9</v>
      </c>
      <c r="S32">
        <f>'5895'!$T$16/'5895'!$A$31</f>
        <v>0.81818181818181823</v>
      </c>
      <c r="U32">
        <f t="shared" si="0"/>
        <v>3.6363636363636362</v>
      </c>
      <c r="V32">
        <f t="shared" si="1"/>
        <v>-0.2804311795197591</v>
      </c>
      <c r="W32">
        <f t="shared" si="2"/>
        <v>8.2681121749861503E-2</v>
      </c>
    </row>
    <row r="33" spans="1:23" x14ac:dyDescent="0.2">
      <c r="A33" s="2">
        <v>816</v>
      </c>
      <c r="B33">
        <f>'816'!$D$19</f>
        <v>1</v>
      </c>
      <c r="C33">
        <f>'816'!$D$29</f>
        <v>1</v>
      </c>
      <c r="D33">
        <f>'816'!D$31</f>
        <v>1</v>
      </c>
      <c r="E33">
        <f>'816'!$K$19</f>
        <v>1</v>
      </c>
      <c r="F33">
        <f>'816'!$K$22</f>
        <v>2.5</v>
      </c>
      <c r="G33">
        <f>'816'!$L$22</f>
        <v>3</v>
      </c>
      <c r="H33">
        <f>'816'!$M$22</f>
        <v>4</v>
      </c>
      <c r="I33">
        <f>'816'!$N$22</f>
        <v>1.4459976109624424</v>
      </c>
      <c r="J33" t="e">
        <f>'816'!$P$36</f>
        <v>#DIV/0!</v>
      </c>
      <c r="K33" t="e">
        <f>'816'!$R$36</f>
        <v>#DIV/0!</v>
      </c>
      <c r="L33">
        <f>'816'!$G$16 + '816'!$H$16/3</f>
        <v>0</v>
      </c>
      <c r="M33" t="e">
        <f>'816'!$Q$34</f>
        <v>#NUM!</v>
      </c>
      <c r="N33" t="e">
        <f>'816'!$P$31</f>
        <v>#DIV/0!</v>
      </c>
      <c r="O33" t="e">
        <f>'816'!$S$31</f>
        <v>#DIV/0!</v>
      </c>
      <c r="Q33">
        <f>'816'!$P$19</f>
        <v>0.63636363636363635</v>
      </c>
      <c r="R33">
        <f>'816'!$T$16</f>
        <v>7</v>
      </c>
      <c r="S33">
        <f>'816'!$T$16/'816'!$A$31</f>
        <v>0.58333333333333337</v>
      </c>
      <c r="U33">
        <f t="shared" si="0"/>
        <v>3.5</v>
      </c>
      <c r="V33">
        <f t="shared" si="1"/>
        <v>3.4256787777306792E-2</v>
      </c>
      <c r="W33">
        <f t="shared" si="2"/>
        <v>-3.0259670502697344E-2</v>
      </c>
    </row>
    <row r="34" spans="1:23" x14ac:dyDescent="0.2">
      <c r="A34" s="2">
        <v>486</v>
      </c>
      <c r="B34">
        <f>'486'!$D$19</f>
        <v>0.33333333333333331</v>
      </c>
      <c r="C34">
        <f>'486'!$D$29</f>
        <v>0.5</v>
      </c>
      <c r="D34">
        <f>'486'!D$31</f>
        <v>0.3</v>
      </c>
      <c r="E34">
        <f>'486'!$K$19</f>
        <v>0.94736842105263153</v>
      </c>
      <c r="F34">
        <f>'486'!$K$22</f>
        <v>3</v>
      </c>
      <c r="G34">
        <f>'486'!$L$22</f>
        <v>3</v>
      </c>
      <c r="H34">
        <f>'486'!$M$22</f>
        <v>5</v>
      </c>
      <c r="I34">
        <f>'486'!$N$22</f>
        <v>1.4142135623730951</v>
      </c>
      <c r="J34">
        <f>'486'!$P$36</f>
        <v>0</v>
      </c>
      <c r="K34">
        <f>'486'!$R$36</f>
        <v>1</v>
      </c>
      <c r="L34">
        <f>'486'!$G$16 + '486'!$H$16/3</f>
        <v>0</v>
      </c>
      <c r="M34">
        <f>'486'!$Q$34</f>
        <v>0.66666666666666663</v>
      </c>
      <c r="N34">
        <f>'486'!$P$31</f>
        <v>2</v>
      </c>
      <c r="O34" t="e">
        <f>'486'!$S$31</f>
        <v>#DIV/0!</v>
      </c>
      <c r="Q34">
        <f>'486'!$P$19</f>
        <v>0.54545454545454541</v>
      </c>
      <c r="R34">
        <f>'486'!$T$16</f>
        <v>6</v>
      </c>
      <c r="S34">
        <f>'486'!$T$16/'486'!$A$31</f>
        <v>0.5</v>
      </c>
      <c r="U34">
        <f t="shared" ref="U34:U61" si="3">IFERROR(LARGE(C34:D34,1),0)+F34</f>
        <v>3.5</v>
      </c>
      <c r="V34">
        <f t="shared" ref="V34:V61" si="4">((B34+F34)-($B$62+$F$62))/I34</f>
        <v>-8.2824430834111964E-2</v>
      </c>
      <c r="W34">
        <f t="shared" ref="W34:W61" si="5">(U34-$U$62)/I34</f>
        <v>-3.0939748012307335E-2</v>
      </c>
    </row>
    <row r="35" spans="1:23" x14ac:dyDescent="0.2">
      <c r="A35">
        <v>5420</v>
      </c>
      <c r="B35">
        <f>'5420'!$D$19</f>
        <v>0.2857142857142857</v>
      </c>
      <c r="C35">
        <f>'5420'!$D$29</f>
        <v>0</v>
      </c>
      <c r="D35">
        <f>'5420'!D$31</f>
        <v>0.33333333333333331</v>
      </c>
      <c r="E35">
        <f>'5420'!$K$19</f>
        <v>0.89743589743589747</v>
      </c>
      <c r="F35">
        <f>'5420'!$K$22</f>
        <v>3.1818181818181817</v>
      </c>
      <c r="G35">
        <f>'5420'!$L$22</f>
        <v>3</v>
      </c>
      <c r="H35">
        <f>'5420'!$M$22</f>
        <v>4</v>
      </c>
      <c r="I35">
        <f>'5420'!$N$22</f>
        <v>0.75075719352954862</v>
      </c>
      <c r="J35" t="e">
        <f>'5420'!$P$36</f>
        <v>#DIV/0!</v>
      </c>
      <c r="K35" t="e">
        <f>'5420'!$R$36</f>
        <v>#DIV/0!</v>
      </c>
      <c r="L35">
        <f>'5420'!$G$16 + '5420'!$H$16/3</f>
        <v>0</v>
      </c>
      <c r="M35" t="e">
        <f>'5420'!$Q$34</f>
        <v>#NUM!</v>
      </c>
      <c r="N35" t="e">
        <f>'5420'!$P$31</f>
        <v>#DIV/0!</v>
      </c>
      <c r="O35" t="e">
        <f>'5420'!$S$31</f>
        <v>#DIV/0!</v>
      </c>
      <c r="Q35">
        <f>'5420'!$P$19</f>
        <v>0.90909090909090906</v>
      </c>
      <c r="R35">
        <f>'5420'!$T$16</f>
        <v>10</v>
      </c>
      <c r="S35">
        <f>'5420'!$T$16/'5420'!$A$31</f>
        <v>0.90909090909090906</v>
      </c>
      <c r="U35">
        <f t="shared" si="3"/>
        <v>3.5151515151515151</v>
      </c>
      <c r="V35">
        <f t="shared" si="4"/>
        <v>2.2733982391110453E-2</v>
      </c>
      <c r="W35">
        <f t="shared" si="5"/>
        <v>-3.8100062643981983E-2</v>
      </c>
    </row>
    <row r="36" spans="1:23" x14ac:dyDescent="0.2">
      <c r="A36" s="2">
        <v>1391</v>
      </c>
      <c r="B36">
        <f>'1391'!$D$19</f>
        <v>0.5</v>
      </c>
      <c r="C36">
        <f>'1391'!$D$29</f>
        <v>0.5</v>
      </c>
      <c r="D36">
        <f>'1391'!D$31</f>
        <v>0.5</v>
      </c>
      <c r="E36">
        <f>'1391'!$K$19</f>
        <v>0.94594594594594594</v>
      </c>
      <c r="F36">
        <f>'1391'!$K$22</f>
        <v>2.9166666666666665</v>
      </c>
      <c r="G36">
        <f>'1391'!$L$22</f>
        <v>3.5</v>
      </c>
      <c r="H36">
        <f>'1391'!$M$22</f>
        <v>5</v>
      </c>
      <c r="I36">
        <f>'1391'!$N$22</f>
        <v>1.6213537179739279</v>
      </c>
      <c r="J36" t="e">
        <f>'1391'!$P$36</f>
        <v>#DIV/0!</v>
      </c>
      <c r="K36" t="e">
        <f>'1391'!$R$36</f>
        <v>#DIV/0!</v>
      </c>
      <c r="L36">
        <f>'1391'!$G$16 + '1391'!$H$16/3</f>
        <v>18</v>
      </c>
      <c r="M36">
        <f>'1391'!$Q$34</f>
        <v>2</v>
      </c>
      <c r="N36">
        <f>'1391'!$P$31</f>
        <v>1.8</v>
      </c>
      <c r="O36">
        <f>'1391'!$S$31</f>
        <v>1.3038404810405297</v>
      </c>
      <c r="Q36">
        <f>'1391'!$P$19</f>
        <v>0.9</v>
      </c>
      <c r="R36">
        <f>'1391'!$T$16</f>
        <v>9</v>
      </c>
      <c r="S36">
        <f>'1391'!$T$16/'1391'!$A$31</f>
        <v>0.75</v>
      </c>
      <c r="U36">
        <f t="shared" si="3"/>
        <v>3.4166666666666665</v>
      </c>
      <c r="V36">
        <f t="shared" si="4"/>
        <v>-2.0845605541482438E-2</v>
      </c>
      <c r="W36">
        <f t="shared" si="5"/>
        <v>-7.8384342157957282E-2</v>
      </c>
    </row>
    <row r="37" spans="1:23" x14ac:dyDescent="0.2">
      <c r="A37">
        <v>5181</v>
      </c>
      <c r="B37">
        <f>'5181'!$D$19</f>
        <v>0.625</v>
      </c>
      <c r="C37">
        <f>'5181'!$D$29</f>
        <v>0.83333333333333337</v>
      </c>
      <c r="D37">
        <f>'5181'!D$31</f>
        <v>0</v>
      </c>
      <c r="E37">
        <f>'5181'!$K$19</f>
        <v>0.967741935483871</v>
      </c>
      <c r="F37">
        <f>'5181'!$K$22</f>
        <v>2.5</v>
      </c>
      <c r="G37">
        <f>'5181'!$L$22</f>
        <v>3</v>
      </c>
      <c r="H37">
        <f>'5181'!$M$22</f>
        <v>4</v>
      </c>
      <c r="I37">
        <f>'5181'!$N$22</f>
        <v>1.4459976109624424</v>
      </c>
      <c r="J37" t="e">
        <f>'5181'!$P$36</f>
        <v>#DIV/0!</v>
      </c>
      <c r="K37" t="e">
        <f>'5181'!$R$36</f>
        <v>#DIV/0!</v>
      </c>
      <c r="L37">
        <f>'5181'!$G$16 + '5181'!$H$16/3</f>
        <v>2</v>
      </c>
      <c r="M37">
        <f>'5181'!$Q$34</f>
        <v>2</v>
      </c>
      <c r="N37">
        <f>'5181'!$P$31</f>
        <v>2</v>
      </c>
      <c r="O37" t="e">
        <f>'5181'!$S$31</f>
        <v>#DIV/0!</v>
      </c>
      <c r="Q37">
        <f>'5181'!$P$19</f>
        <v>0.75</v>
      </c>
      <c r="R37">
        <f>'5181'!$T$16</f>
        <v>6</v>
      </c>
      <c r="S37">
        <f>'5181'!$T$16/'5181'!$A$31</f>
        <v>0.5</v>
      </c>
      <c r="U37">
        <f t="shared" si="3"/>
        <v>3.3333333333333335</v>
      </c>
      <c r="V37">
        <f t="shared" si="4"/>
        <v>-0.22507974027573993</v>
      </c>
      <c r="W37">
        <f t="shared" si="5"/>
        <v>-0.14552034963738467</v>
      </c>
    </row>
    <row r="38" spans="1:23" x14ac:dyDescent="0.2">
      <c r="A38">
        <v>4342</v>
      </c>
      <c r="B38">
        <f>'4342'!$D$19</f>
        <v>0.72727272727272729</v>
      </c>
      <c r="C38">
        <f>'4342'!$D$29</f>
        <v>1</v>
      </c>
      <c r="D38">
        <f>'4342'!D$31</f>
        <v>0.66666666666666663</v>
      </c>
      <c r="E38">
        <f>'4342'!$K$19</f>
        <v>0.96551724137931039</v>
      </c>
      <c r="F38">
        <f>'4342'!$K$22</f>
        <v>2.3333333333333335</v>
      </c>
      <c r="G38">
        <f>'4342'!$L$22</f>
        <v>2.5</v>
      </c>
      <c r="H38">
        <f>'4342'!$M$22</f>
        <v>4</v>
      </c>
      <c r="I38">
        <f>'4342'!$N$22</f>
        <v>1.3026778945578594</v>
      </c>
      <c r="J38">
        <f>'4342'!$P$36</f>
        <v>0</v>
      </c>
      <c r="K38">
        <f>'4342'!$R$36</f>
        <v>1</v>
      </c>
      <c r="L38">
        <f>'4342'!$G$16 + '4342'!$H$16/3</f>
        <v>0</v>
      </c>
      <c r="M38">
        <f>'4342'!$Q$34</f>
        <v>1</v>
      </c>
      <c r="N38">
        <f>'4342'!$P$31</f>
        <v>9.6666666666666661</v>
      </c>
      <c r="O38">
        <f>'4342'!$S$31</f>
        <v>15.01110699893027</v>
      </c>
      <c r="Q38">
        <f>'4342'!$P$19</f>
        <v>0.81818181818181823</v>
      </c>
      <c r="R38">
        <f>'4342'!$T$16</f>
        <v>9</v>
      </c>
      <c r="S38">
        <f>'4342'!$T$16/'4342'!$A$31</f>
        <v>0.75</v>
      </c>
      <c r="U38">
        <f t="shared" si="3"/>
        <v>3.3333333333333335</v>
      </c>
      <c r="V38">
        <f t="shared" si="4"/>
        <v>-0.29927483051443654</v>
      </c>
      <c r="W38">
        <f t="shared" si="5"/>
        <v>-0.16153039734622709</v>
      </c>
    </row>
    <row r="39" spans="1:23" x14ac:dyDescent="0.2">
      <c r="A39">
        <v>102</v>
      </c>
      <c r="B39">
        <f>'102'!$D$19</f>
        <v>0.22222222222222221</v>
      </c>
      <c r="C39">
        <f>'102'!$D$29</f>
        <v>0.33333333333333331</v>
      </c>
      <c r="D39">
        <f>'102'!D$31</f>
        <v>0</v>
      </c>
      <c r="E39">
        <f>'102'!$K$19</f>
        <v>0.92307692307692313</v>
      </c>
      <c r="F39">
        <f>'102'!$K$22</f>
        <v>3</v>
      </c>
      <c r="G39">
        <f>'102'!$L$22</f>
        <v>3</v>
      </c>
      <c r="H39">
        <f>'102'!$M$22</f>
        <v>4</v>
      </c>
      <c r="I39">
        <f>'102'!$N$22</f>
        <v>1.2792042981336627</v>
      </c>
      <c r="J39" t="e">
        <f>'102'!$P$36</f>
        <v>#DIV/0!</v>
      </c>
      <c r="K39" t="e">
        <f>'102'!$R$36</f>
        <v>#DIV/0!</v>
      </c>
      <c r="L39">
        <f>'102'!$G$16 + '102'!$H$16/3</f>
        <v>0</v>
      </c>
      <c r="M39" t="e">
        <f>'102'!$Q$34</f>
        <v>#NUM!</v>
      </c>
      <c r="N39" t="e">
        <f>'102'!$P$31</f>
        <v>#DIV/0!</v>
      </c>
      <c r="O39" t="e">
        <f>'102'!$S$31</f>
        <v>#DIV/0!</v>
      </c>
      <c r="Q39">
        <f>'102'!$P$19</f>
        <v>0.66666666666666663</v>
      </c>
      <c r="R39">
        <f>'102'!$T$16</f>
        <v>8</v>
      </c>
      <c r="S39">
        <f>'102'!$T$16/'102'!$A$31</f>
        <v>0.66666666666666663</v>
      </c>
      <c r="U39">
        <f t="shared" si="3"/>
        <v>3.3333333333333335</v>
      </c>
      <c r="V39">
        <f t="shared" si="4"/>
        <v>-0.17842540462500531</v>
      </c>
      <c r="W39">
        <f t="shared" si="5"/>
        <v>-0.16449450508341773</v>
      </c>
    </row>
    <row r="40" spans="1:23" x14ac:dyDescent="0.2">
      <c r="A40" s="2">
        <v>1279</v>
      </c>
      <c r="B40">
        <f>'1279'!$D$19</f>
        <v>0.27272727272727271</v>
      </c>
      <c r="C40">
        <f>'1279'!$D$29</f>
        <v>0.33333333333333331</v>
      </c>
      <c r="D40">
        <f>'1279'!D$31</f>
        <v>0.375</v>
      </c>
      <c r="E40">
        <f>'1279'!$K$19</f>
        <v>0.97297297297297303</v>
      </c>
      <c r="F40">
        <f>'1279'!$K$22</f>
        <v>3</v>
      </c>
      <c r="G40">
        <f>'1279'!$L$22</f>
        <v>3</v>
      </c>
      <c r="H40">
        <f>'1279'!$M$22</f>
        <v>4</v>
      </c>
      <c r="I40">
        <f>'1279'!$N$22</f>
        <v>0.95346258924559235</v>
      </c>
      <c r="J40" t="e">
        <f>'1279'!$P$36</f>
        <v>#DIV/0!</v>
      </c>
      <c r="K40" t="e">
        <f>'1279'!$R$36</f>
        <v>#DIV/0!</v>
      </c>
      <c r="L40">
        <f>'1279'!$G$16 + '1279'!$H$16/3</f>
        <v>0</v>
      </c>
      <c r="M40" t="e">
        <f>'1279'!$Q$34</f>
        <v>#NUM!</v>
      </c>
      <c r="N40" t="e">
        <f>'1279'!$P$31</f>
        <v>#DIV/0!</v>
      </c>
      <c r="O40" t="e">
        <f>'1279'!$S$31</f>
        <v>#DIV/0!</v>
      </c>
      <c r="Q40">
        <f>'1279'!$P$19</f>
        <v>0.75</v>
      </c>
      <c r="R40">
        <f>'1279'!$T$16</f>
        <v>9</v>
      </c>
      <c r="S40">
        <f>'1279'!$T$16/'1279'!$A$31</f>
        <v>0.81818181818181823</v>
      </c>
      <c r="U40">
        <f t="shared" si="3"/>
        <v>3.375</v>
      </c>
      <c r="V40">
        <f t="shared" si="4"/>
        <v>-0.18641265634567333</v>
      </c>
      <c r="W40">
        <f t="shared" si="5"/>
        <v>-0.17699216850126789</v>
      </c>
    </row>
    <row r="41" spans="1:23" x14ac:dyDescent="0.2">
      <c r="A41">
        <v>4637</v>
      </c>
      <c r="B41">
        <f>'4637'!$D$19</f>
        <v>0.33333333333333331</v>
      </c>
      <c r="C41">
        <f>'4637'!$D$29</f>
        <v>0</v>
      </c>
      <c r="D41">
        <f>'4637'!D$31</f>
        <v>0.4</v>
      </c>
      <c r="E41">
        <f>'4637'!$K$19</f>
        <v>0.89743589743589747</v>
      </c>
      <c r="F41">
        <f>'4637'!$K$22</f>
        <v>2.9166666666666665</v>
      </c>
      <c r="G41">
        <f>'4637'!$L$22</f>
        <v>3</v>
      </c>
      <c r="H41">
        <f>'4637'!$M$22</f>
        <v>5</v>
      </c>
      <c r="I41">
        <f>'4637'!$N$22</f>
        <v>1.2401124093721456</v>
      </c>
      <c r="J41" t="e">
        <f>'4637'!$P$36</f>
        <v>#DIV/0!</v>
      </c>
      <c r="K41" t="e">
        <f>'4637'!$R$36</f>
        <v>#DIV/0!</v>
      </c>
      <c r="L41">
        <f>'4637'!$G$16 + '4637'!$H$16/3</f>
        <v>0</v>
      </c>
      <c r="M41" t="e">
        <f>'4637'!$Q$34</f>
        <v>#NUM!</v>
      </c>
      <c r="N41" t="e">
        <f>'4637'!$P$31</f>
        <v>#DIV/0!</v>
      </c>
      <c r="O41" t="e">
        <f>'4637'!$S$31</f>
        <v>#DIV/0!</v>
      </c>
      <c r="Q41">
        <f>'4637'!$P$19</f>
        <v>0.90909090909090906</v>
      </c>
      <c r="R41">
        <f>'4637'!$T$16</f>
        <v>10</v>
      </c>
      <c r="S41">
        <f>'4637'!$T$16/'4637'!$A$31</f>
        <v>0.83333333333333337</v>
      </c>
      <c r="U41">
        <f t="shared" si="3"/>
        <v>3.3166666666666664</v>
      </c>
      <c r="V41">
        <f t="shared" si="4"/>
        <v>-0.16165048039174121</v>
      </c>
      <c r="W41">
        <f t="shared" si="5"/>
        <v>-0.1831194840665428</v>
      </c>
    </row>
    <row r="42" spans="1:23" x14ac:dyDescent="0.2">
      <c r="A42">
        <v>2600</v>
      </c>
      <c r="B42">
        <f>'2600'!$D$19</f>
        <v>0</v>
      </c>
      <c r="C42">
        <f>'2600'!$D$29</f>
        <v>0</v>
      </c>
      <c r="D42">
        <f>'2600'!D$31</f>
        <v>0</v>
      </c>
      <c r="E42">
        <f>'2600'!$K$19</f>
        <v>0.95348837209302328</v>
      </c>
      <c r="F42">
        <f>'2600'!$K$22</f>
        <v>3.4166666666666665</v>
      </c>
      <c r="G42">
        <f>'2600'!$L$22</f>
        <v>3.5</v>
      </c>
      <c r="H42">
        <f>'2600'!$M$22</f>
        <v>4</v>
      </c>
      <c r="I42">
        <f>'2600'!$N$22</f>
        <v>0.66855792342152087</v>
      </c>
      <c r="J42" t="e">
        <f>'2600'!$P$36</f>
        <v>#DIV/0!</v>
      </c>
      <c r="K42" t="e">
        <f>'2600'!$R$36</f>
        <v>#DIV/0!</v>
      </c>
      <c r="L42">
        <f>'2600'!$G$16 + '2600'!$H$16/3</f>
        <v>0</v>
      </c>
      <c r="M42" t="e">
        <f>'2600'!$Q$34</f>
        <v>#NUM!</v>
      </c>
      <c r="N42" t="e">
        <f>'2600'!$P$31</f>
        <v>#DIV/0!</v>
      </c>
      <c r="O42" t="e">
        <f>'2600'!$S$31</f>
        <v>#DIV/0!</v>
      </c>
      <c r="Q42">
        <f>'2600'!$P$19</f>
        <v>0.66666666666666663</v>
      </c>
      <c r="R42">
        <f>'2600'!$T$16</f>
        <v>8</v>
      </c>
      <c r="S42">
        <f>'2600'!$T$16/'2600'!$A$31</f>
        <v>0.66666666666666663</v>
      </c>
      <c r="U42">
        <f t="shared" si="3"/>
        <v>3.4166666666666665</v>
      </c>
      <c r="V42">
        <f t="shared" si="4"/>
        <v>-5.0553734933137591E-2</v>
      </c>
      <c r="W42">
        <f t="shared" si="5"/>
        <v>-0.19009384248762543</v>
      </c>
    </row>
    <row r="43" spans="1:23" x14ac:dyDescent="0.2">
      <c r="A43" s="2">
        <v>555</v>
      </c>
      <c r="B43">
        <f>'555'!$D$19</f>
        <v>0.33333333333333331</v>
      </c>
      <c r="C43">
        <f>'555'!$D$29</f>
        <v>0</v>
      </c>
      <c r="D43">
        <f>'555'!D$31</f>
        <v>0.375</v>
      </c>
      <c r="E43">
        <f>'555'!$K$19</f>
        <v>0.92105263157894735</v>
      </c>
      <c r="F43">
        <f>'555'!$K$22</f>
        <v>2.9166666666666665</v>
      </c>
      <c r="G43">
        <f>'555'!$L$22</f>
        <v>3</v>
      </c>
      <c r="H43">
        <f>'555'!$M$22</f>
        <v>5</v>
      </c>
      <c r="I43">
        <f>'555'!$N$22</f>
        <v>1.1645001528813153</v>
      </c>
      <c r="J43" t="e">
        <f>'555'!$P$36</f>
        <v>#DIV/0!</v>
      </c>
      <c r="K43" t="e">
        <f>'555'!$R$36</f>
        <v>#DIV/0!</v>
      </c>
      <c r="L43">
        <f>'555'!$G$16 + '555'!$H$16/3</f>
        <v>0</v>
      </c>
      <c r="M43" t="e">
        <f>'555'!$Q$34</f>
        <v>#NUM!</v>
      </c>
      <c r="N43" t="e">
        <f>'555'!$P$31</f>
        <v>#DIV/0!</v>
      </c>
      <c r="O43" t="e">
        <f>'555'!$S$31</f>
        <v>#DIV/0!</v>
      </c>
      <c r="Q43">
        <f>'555'!$P$19</f>
        <v>1</v>
      </c>
      <c r="R43">
        <f>'555'!$T$16</f>
        <v>12</v>
      </c>
      <c r="S43">
        <f>'555'!$T$16/'555'!$A$31</f>
        <v>1</v>
      </c>
      <c r="U43">
        <f t="shared" si="3"/>
        <v>3.2916666666666665</v>
      </c>
      <c r="V43">
        <f t="shared" si="4"/>
        <v>-0.17214662120804217</v>
      </c>
      <c r="W43">
        <f t="shared" si="5"/>
        <v>-0.21647806912262138</v>
      </c>
    </row>
    <row r="44" spans="1:23" x14ac:dyDescent="0.2">
      <c r="A44">
        <v>2539</v>
      </c>
      <c r="B44">
        <f>'2539'!$D$19</f>
        <v>0.16666666666666666</v>
      </c>
      <c r="C44">
        <f>'2539'!$D$29</f>
        <v>0</v>
      </c>
      <c r="D44">
        <f>'2539'!D$31</f>
        <v>0.2</v>
      </c>
      <c r="E44">
        <f>'2539'!$K$19</f>
        <v>0.97222222222222221</v>
      </c>
      <c r="F44">
        <f>'2539'!$K$22</f>
        <v>2.9166666666666665</v>
      </c>
      <c r="G44">
        <f>'2539'!$L$22</f>
        <v>3</v>
      </c>
      <c r="H44">
        <f>'2539'!$M$22</f>
        <v>4</v>
      </c>
      <c r="I44">
        <f>'2539'!$N$22</f>
        <v>1.2401124093721456</v>
      </c>
      <c r="J44" t="e">
        <f>'2539'!$P$36</f>
        <v>#DIV/0!</v>
      </c>
      <c r="K44" t="e">
        <f>'2539'!$R$36</f>
        <v>#DIV/0!</v>
      </c>
      <c r="L44">
        <f>'2539'!$G$16 + '2539'!$H$16/3</f>
        <v>20</v>
      </c>
      <c r="M44">
        <f>'2539'!$Q$34</f>
        <v>4</v>
      </c>
      <c r="N44">
        <f>'2539'!$P$31</f>
        <v>3.5</v>
      </c>
      <c r="O44">
        <f>'2539'!$S$31</f>
        <v>2.5099800796022267</v>
      </c>
      <c r="Q44">
        <f>'2539'!$P$19</f>
        <v>0.75</v>
      </c>
      <c r="R44">
        <f>'2539'!$T$16</f>
        <v>9</v>
      </c>
      <c r="S44">
        <f>'2539'!$T$16/'2539'!$A$31</f>
        <v>0.75</v>
      </c>
      <c r="U44">
        <f t="shared" si="3"/>
        <v>3.1166666666666667</v>
      </c>
      <c r="V44">
        <f t="shared" si="4"/>
        <v>-0.29604689914143212</v>
      </c>
      <c r="W44">
        <f t="shared" si="5"/>
        <v>-0.34439518656617135</v>
      </c>
    </row>
    <row r="45" spans="1:23" x14ac:dyDescent="0.2">
      <c r="A45">
        <v>5401</v>
      </c>
      <c r="B45">
        <f>'5401'!$D$19</f>
        <v>0</v>
      </c>
      <c r="C45" t="e">
        <f>'5401'!$D$29</f>
        <v>#DIV/0!</v>
      </c>
      <c r="D45">
        <f>'5401'!D$31</f>
        <v>0</v>
      </c>
      <c r="E45">
        <f>'5401'!$K$19</f>
        <v>0.97435897435897434</v>
      </c>
      <c r="F45">
        <f>'5401'!$K$22</f>
        <v>3.1666666666666665</v>
      </c>
      <c r="G45">
        <f>'5401'!$L$22</f>
        <v>3</v>
      </c>
      <c r="H45">
        <f>'5401'!$M$22</f>
        <v>5</v>
      </c>
      <c r="I45">
        <f>'5401'!$N$22</f>
        <v>1.0298573010888747</v>
      </c>
      <c r="J45">
        <f>'5401'!$P$36</f>
        <v>0</v>
      </c>
      <c r="K45">
        <f>'5401'!$R$36</f>
        <v>1</v>
      </c>
      <c r="L45">
        <f>'5401'!$G$16 + '5401'!$H$16/3</f>
        <v>56</v>
      </c>
      <c r="M45">
        <f>'5401'!$Q$34</f>
        <v>10.5</v>
      </c>
      <c r="N45">
        <f>'5401'!$P$31</f>
        <v>14.833333333333334</v>
      </c>
      <c r="O45">
        <f>'5401'!$S$31</f>
        <v>9.3695185995801715</v>
      </c>
      <c r="Q45">
        <f>'5401'!$P$19</f>
        <v>0.90909090909090906</v>
      </c>
      <c r="R45">
        <f>'5401'!$T$16</f>
        <v>10</v>
      </c>
      <c r="S45">
        <f>'5401'!$T$16/'5401'!$A$31</f>
        <v>0.83333333333333337</v>
      </c>
      <c r="U45">
        <f t="shared" si="3"/>
        <v>3.1666666666666665</v>
      </c>
      <c r="V45">
        <f t="shared" si="4"/>
        <v>-0.27557031420570494</v>
      </c>
      <c r="W45">
        <f t="shared" si="5"/>
        <v>-0.36615630552897588</v>
      </c>
    </row>
    <row r="46" spans="1:23" x14ac:dyDescent="0.2">
      <c r="A46" s="2">
        <v>1403</v>
      </c>
      <c r="B46">
        <f>'1403'!$D$19</f>
        <v>0.5</v>
      </c>
      <c r="C46">
        <f>'1403'!$D$29</f>
        <v>0.33333333333333331</v>
      </c>
      <c r="D46">
        <f>'1403'!D$31</f>
        <v>0.66666666666666663</v>
      </c>
      <c r="E46">
        <f>'1403'!$K$19</f>
        <v>0.90322580645161288</v>
      </c>
      <c r="F46">
        <f>'1403'!$K$22</f>
        <v>2.3333333333333335</v>
      </c>
      <c r="G46">
        <f>'1403'!$L$22</f>
        <v>2.5</v>
      </c>
      <c r="H46">
        <f>'1403'!$M$22</f>
        <v>4</v>
      </c>
      <c r="I46">
        <f>'1403'!$N$22</f>
        <v>1.2309149097933274</v>
      </c>
      <c r="J46" t="e">
        <f>'1403'!$P$36</f>
        <v>#DIV/0!</v>
      </c>
      <c r="K46" t="e">
        <f>'1403'!$R$36</f>
        <v>#DIV/0!</v>
      </c>
      <c r="L46">
        <f>'1403'!$G$16 + '1403'!$H$16/3</f>
        <v>0</v>
      </c>
      <c r="M46" t="e">
        <f>'1403'!$Q$34</f>
        <v>#NUM!</v>
      </c>
      <c r="N46" t="e">
        <f>'1403'!$P$31</f>
        <v>#DIV/0!</v>
      </c>
      <c r="O46" t="e">
        <f>'1403'!$S$31</f>
        <v>#DIV/0!</v>
      </c>
      <c r="Q46">
        <f>'1403'!$P$19</f>
        <v>1</v>
      </c>
      <c r="R46">
        <f>'1403'!$T$16</f>
        <v>11</v>
      </c>
      <c r="S46">
        <f>'1403'!$T$16/'1403'!$A$31</f>
        <v>0.91666666666666663</v>
      </c>
      <c r="U46">
        <f t="shared" si="3"/>
        <v>3</v>
      </c>
      <c r="V46">
        <f t="shared" si="4"/>
        <v>-0.50135994654988036</v>
      </c>
      <c r="W46">
        <f t="shared" si="5"/>
        <v>-0.44174898437675797</v>
      </c>
    </row>
    <row r="47" spans="1:23" x14ac:dyDescent="0.2">
      <c r="A47">
        <v>4750</v>
      </c>
      <c r="B47">
        <f>'4750'!$D$19</f>
        <v>0.22222222222222221</v>
      </c>
      <c r="C47" t="e">
        <f>'4750'!$D$29</f>
        <v>#DIV/0!</v>
      </c>
      <c r="D47">
        <f>'4750'!D$31</f>
        <v>0.22222222222222221</v>
      </c>
      <c r="E47">
        <f>'4750'!$K$19</f>
        <v>1</v>
      </c>
      <c r="F47">
        <f>'4750'!$K$22</f>
        <v>3.1666666666666665</v>
      </c>
      <c r="G47">
        <f>'4750'!$L$22</f>
        <v>3</v>
      </c>
      <c r="H47">
        <f>'4750'!$M$22</f>
        <v>4</v>
      </c>
      <c r="I47">
        <f>'4750'!$N$22</f>
        <v>0.83484710993672206</v>
      </c>
      <c r="J47">
        <f>'4750'!$P$36</f>
        <v>0</v>
      </c>
      <c r="K47">
        <f>'4750'!$R$36</f>
        <v>1</v>
      </c>
      <c r="L47">
        <f>'4750'!$G$16 + '4750'!$H$16/3</f>
        <v>5</v>
      </c>
      <c r="M47">
        <f>'4750'!$Q$34</f>
        <v>1</v>
      </c>
      <c r="N47">
        <f>'4750'!$P$31</f>
        <v>1.3333333333333333</v>
      </c>
      <c r="O47">
        <f>'4750'!$S$31</f>
        <v>2.3094010767585034</v>
      </c>
      <c r="Q47">
        <f>'4750'!$P$19</f>
        <v>1</v>
      </c>
      <c r="R47">
        <f>'4750'!$T$16</f>
        <v>12</v>
      </c>
      <c r="S47">
        <f>'4750'!$T$16/'4750'!$A$31</f>
        <v>1</v>
      </c>
      <c r="U47">
        <f t="shared" si="3"/>
        <v>3.1666666666666665</v>
      </c>
      <c r="V47">
        <f t="shared" si="4"/>
        <v>-7.3757071316381914E-2</v>
      </c>
      <c r="W47">
        <f t="shared" si="5"/>
        <v>-0.4516859914833104</v>
      </c>
    </row>
    <row r="48" spans="1:23" x14ac:dyDescent="0.2">
      <c r="A48" s="2">
        <v>316</v>
      </c>
      <c r="B48">
        <f>'316'!$D$19</f>
        <v>0.25</v>
      </c>
      <c r="C48">
        <f>'316'!$D$29</f>
        <v>0.5</v>
      </c>
      <c r="D48">
        <f>'316'!D$31</f>
        <v>0</v>
      </c>
      <c r="E48">
        <f>'316'!$K$19</f>
        <v>0.83333333333333337</v>
      </c>
      <c r="F48">
        <f>'316'!$K$22</f>
        <v>2.5</v>
      </c>
      <c r="G48">
        <f>'316'!$L$22</f>
        <v>3</v>
      </c>
      <c r="H48">
        <f>'316'!$M$22</f>
        <v>4</v>
      </c>
      <c r="I48">
        <f>'316'!$N$22</f>
        <v>1.1677484162422844</v>
      </c>
      <c r="J48" t="e">
        <f>'316'!$P$36</f>
        <v>#DIV/0!</v>
      </c>
      <c r="K48" t="e">
        <f>'316'!$R$36</f>
        <v>#DIV/0!</v>
      </c>
      <c r="L48">
        <f>'316'!$G$16 + '316'!$H$16/3</f>
        <v>0</v>
      </c>
      <c r="M48" t="e">
        <f>'316'!$Q$34</f>
        <v>#NUM!</v>
      </c>
      <c r="N48" t="e">
        <f>'316'!$P$31</f>
        <v>#DIV/0!</v>
      </c>
      <c r="O48" t="e">
        <f>'316'!$S$31</f>
        <v>#DIV/0!</v>
      </c>
      <c r="Q48">
        <f>'316'!$P$19</f>
        <v>1</v>
      </c>
      <c r="R48">
        <f>'316'!$T$16</f>
        <v>12</v>
      </c>
      <c r="S48">
        <f>'316'!$T$16/'316'!$A$31</f>
        <v>1</v>
      </c>
      <c r="U48">
        <f t="shared" si="3"/>
        <v>3</v>
      </c>
      <c r="V48">
        <f t="shared" si="4"/>
        <v>-0.59984218944077294</v>
      </c>
      <c r="W48">
        <f t="shared" si="5"/>
        <v>-0.46564431489889746</v>
      </c>
    </row>
    <row r="49" spans="1:23" x14ac:dyDescent="0.2">
      <c r="A49">
        <v>3637</v>
      </c>
      <c r="B49">
        <f>'3637'!$D$19</f>
        <v>0.66666666666666663</v>
      </c>
      <c r="C49">
        <f>'3637'!$D$29</f>
        <v>0</v>
      </c>
      <c r="D49">
        <f>'3637'!D$31</f>
        <v>0.75</v>
      </c>
      <c r="E49">
        <f>'3637'!$K$19</f>
        <v>0.90322580645161288</v>
      </c>
      <c r="F49">
        <f>'3637'!$K$22</f>
        <v>2.3333333333333335</v>
      </c>
      <c r="G49">
        <f>'3637'!$L$22</f>
        <v>2</v>
      </c>
      <c r="H49">
        <f>'3637'!$M$22</f>
        <v>4</v>
      </c>
      <c r="I49">
        <f>'3637'!$N$22</f>
        <v>0.88762536459859476</v>
      </c>
      <c r="J49" t="e">
        <f>'3637'!$P$36</f>
        <v>#DIV/0!</v>
      </c>
      <c r="K49" t="e">
        <f>'3637'!$R$36</f>
        <v>#DIV/0!</v>
      </c>
      <c r="L49">
        <f>'3637'!$G$16 + '3637'!$H$16/3</f>
        <v>0</v>
      </c>
      <c r="M49" t="e">
        <f>'3637'!$Q$34</f>
        <v>#NUM!</v>
      </c>
      <c r="N49" t="e">
        <f>'3637'!$P$31</f>
        <v>#DIV/0!</v>
      </c>
      <c r="O49" t="e">
        <f>'3637'!$S$31</f>
        <v>#DIV/0!</v>
      </c>
      <c r="Q49">
        <f>'3637'!$P$19</f>
        <v>0.90909090909090906</v>
      </c>
      <c r="R49">
        <f>'3637'!$T$16</f>
        <v>10</v>
      </c>
      <c r="S49">
        <f>'3637'!$T$16/'3637'!$A$31</f>
        <v>0.83333333333333337</v>
      </c>
      <c r="U49">
        <f t="shared" si="3"/>
        <v>3.0833333333333335</v>
      </c>
      <c r="V49">
        <f t="shared" si="4"/>
        <v>-0.50749424777702001</v>
      </c>
      <c r="W49">
        <f t="shared" si="5"/>
        <v>-0.51871216876535675</v>
      </c>
    </row>
    <row r="50" spans="1:23" x14ac:dyDescent="0.2">
      <c r="A50" s="2">
        <v>433</v>
      </c>
      <c r="B50">
        <f>'433'!$D$19</f>
        <v>0.18181818181818182</v>
      </c>
      <c r="C50">
        <f>'433'!$D$29</f>
        <v>0</v>
      </c>
      <c r="D50">
        <f>'433'!D$31</f>
        <v>0.2</v>
      </c>
      <c r="E50">
        <f>'433'!$K$19</f>
        <v>0.96875</v>
      </c>
      <c r="F50">
        <f>'433'!$K$22</f>
        <v>2.5833333333333335</v>
      </c>
      <c r="G50">
        <f>'433'!$L$22</f>
        <v>2.5</v>
      </c>
      <c r="H50">
        <f>'433'!$M$22</f>
        <v>5</v>
      </c>
      <c r="I50">
        <f>'433'!$N$22</f>
        <v>1.3789543689024493</v>
      </c>
      <c r="J50" t="e">
        <f>'433'!$P$36</f>
        <v>#DIV/0!</v>
      </c>
      <c r="K50" t="e">
        <f>'433'!$R$36</f>
        <v>#DIV/0!</v>
      </c>
      <c r="L50">
        <f>'433'!$G$16 + '433'!$H$16/3</f>
        <v>0</v>
      </c>
      <c r="M50" t="e">
        <f>'433'!$Q$34</f>
        <v>#NUM!</v>
      </c>
      <c r="N50" t="e">
        <f>'433'!$P$31</f>
        <v>#DIV/0!</v>
      </c>
      <c r="O50" t="e">
        <f>'433'!$S$31</f>
        <v>#DIV/0!</v>
      </c>
      <c r="Q50">
        <f>'433'!$P$19</f>
        <v>0.72727272727272729</v>
      </c>
      <c r="R50">
        <f>'433'!$T$16</f>
        <v>8</v>
      </c>
      <c r="S50">
        <f>'433'!$T$16/'433'!$A$31</f>
        <v>0.66666666666666663</v>
      </c>
      <c r="U50">
        <f t="shared" si="3"/>
        <v>2.7833333333333337</v>
      </c>
      <c r="V50">
        <f t="shared" si="4"/>
        <v>-0.49698036934225243</v>
      </c>
      <c r="W50">
        <f t="shared" si="5"/>
        <v>-0.55144832568123336</v>
      </c>
    </row>
    <row r="51" spans="1:23" x14ac:dyDescent="0.2">
      <c r="A51">
        <v>4575</v>
      </c>
      <c r="B51">
        <f>'4575'!$D$19</f>
        <v>0.25</v>
      </c>
      <c r="C51">
        <f>'4575'!$D$29</f>
        <v>0</v>
      </c>
      <c r="D51">
        <f>'4575'!D$31</f>
        <v>0.33333333333333331</v>
      </c>
      <c r="E51">
        <f>'4575'!$K$19</f>
        <v>0.967741935483871</v>
      </c>
      <c r="F51">
        <f>'4575'!$K$22</f>
        <v>2.5</v>
      </c>
      <c r="G51">
        <f>'4575'!$L$22</f>
        <v>2.5</v>
      </c>
      <c r="H51">
        <f>'4575'!$M$22</f>
        <v>4</v>
      </c>
      <c r="I51">
        <f>'4575'!$N$22</f>
        <v>1.243163121016122</v>
      </c>
      <c r="J51">
        <f>'4575'!$P$36</f>
        <v>0</v>
      </c>
      <c r="K51">
        <f>'4575'!$R$36</f>
        <v>1</v>
      </c>
      <c r="L51">
        <f>'4575'!$G$16 + '4575'!$H$16/3</f>
        <v>26</v>
      </c>
      <c r="M51">
        <f>'4575'!$Q$34</f>
        <v>5.3333333333333339</v>
      </c>
      <c r="N51">
        <f>'4575'!$P$31</f>
        <v>8</v>
      </c>
      <c r="O51">
        <f>'4575'!$S$31</f>
        <v>9.2951600308978009</v>
      </c>
      <c r="Q51">
        <f>'4575'!$P$19</f>
        <v>0.81818181818181823</v>
      </c>
      <c r="R51">
        <f>'4575'!$T$16</f>
        <v>9</v>
      </c>
      <c r="S51">
        <f>'4575'!$T$16/'4575'!$A$31</f>
        <v>0.75</v>
      </c>
      <c r="U51">
        <f t="shared" si="3"/>
        <v>2.8333333333333335</v>
      </c>
      <c r="V51">
        <f t="shared" si="4"/>
        <v>-0.56345362476826799</v>
      </c>
      <c r="W51">
        <f t="shared" si="5"/>
        <v>-0.57146328258306212</v>
      </c>
    </row>
    <row r="52" spans="1:23" x14ac:dyDescent="0.2">
      <c r="A52" s="2">
        <v>5404</v>
      </c>
      <c r="B52">
        <f>'5404'!$D$19</f>
        <v>0.125</v>
      </c>
      <c r="C52">
        <f>'5404'!$D$29</f>
        <v>0</v>
      </c>
      <c r="D52">
        <f>'5404'!D$31</f>
        <v>0.2</v>
      </c>
      <c r="E52">
        <f>'5404'!$K$19</f>
        <v>0.89473684210526316</v>
      </c>
      <c r="F52">
        <f>'5404'!$K$22</f>
        <v>2.8333333333333335</v>
      </c>
      <c r="G52">
        <f>'5404'!$L$22</f>
        <v>3</v>
      </c>
      <c r="H52">
        <f>'5404'!$M$22</f>
        <v>4</v>
      </c>
      <c r="I52">
        <f>'5404'!$N$22</f>
        <v>0.83484710993672206</v>
      </c>
      <c r="J52" t="e">
        <f>'5404'!$P$36</f>
        <v>#DIV/0!</v>
      </c>
      <c r="K52" t="e">
        <f>'5404'!$R$36</f>
        <v>#DIV/0!</v>
      </c>
      <c r="L52">
        <f>'5404'!$G$16 + '5404'!$H$16/3</f>
        <v>0</v>
      </c>
      <c r="M52" t="e">
        <f>'5404'!$Q$34</f>
        <v>#NUM!</v>
      </c>
      <c r="N52" t="e">
        <f>'5404'!$P$31</f>
        <v>#DIV/0!</v>
      </c>
      <c r="O52" t="e">
        <f>'5404'!$S$31</f>
        <v>#DIV/0!</v>
      </c>
      <c r="Q52">
        <f>'5404'!$P$19</f>
        <v>0.83333333333333337</v>
      </c>
      <c r="R52">
        <f>'5404'!$T$16</f>
        <v>10</v>
      </c>
      <c r="S52">
        <f>'5404'!$T$16/'5404'!$A$31</f>
        <v>0.83333333333333337</v>
      </c>
      <c r="U52">
        <f t="shared" si="3"/>
        <v>3.0333333333333337</v>
      </c>
      <c r="V52">
        <f t="shared" si="4"/>
        <v>-0.58948689828816081</v>
      </c>
      <c r="W52">
        <f t="shared" si="5"/>
        <v>-0.61139587338424783</v>
      </c>
    </row>
    <row r="53" spans="1:23" x14ac:dyDescent="0.2">
      <c r="A53" s="2">
        <v>1495</v>
      </c>
      <c r="B53">
        <f>'1495'!$D$19</f>
        <v>0.27272727272727271</v>
      </c>
      <c r="C53">
        <f>'1495'!$D$29</f>
        <v>0.4</v>
      </c>
      <c r="D53">
        <f>'1495'!D$31</f>
        <v>0.16666666666666666</v>
      </c>
      <c r="E53">
        <f>'1495'!$K$19</f>
        <v>0.88571428571428568</v>
      </c>
      <c r="F53">
        <f>'1495'!$K$22</f>
        <v>2.5833333333333335</v>
      </c>
      <c r="G53">
        <f>'1495'!$L$22</f>
        <v>2.5</v>
      </c>
      <c r="H53">
        <f>'1495'!$M$22</f>
        <v>4</v>
      </c>
      <c r="I53">
        <f>'1495'!$N$22</f>
        <v>0.90033663737852021</v>
      </c>
      <c r="J53" t="e">
        <f>'1495'!$P$36</f>
        <v>#DIV/0!</v>
      </c>
      <c r="K53" t="e">
        <f>'1495'!$R$36</f>
        <v>#DIV/0!</v>
      </c>
      <c r="L53">
        <f>'1495'!$G$16 + '1495'!$H$16/3</f>
        <v>0</v>
      </c>
      <c r="M53" t="e">
        <f>'1495'!$Q$34</f>
        <v>#NUM!</v>
      </c>
      <c r="N53" t="e">
        <f>'1495'!$P$31</f>
        <v>#DIV/0!</v>
      </c>
      <c r="O53" t="e">
        <f>'1495'!$S$31</f>
        <v>#DIV/0!</v>
      </c>
      <c r="Q53">
        <f>'1495'!$P$19</f>
        <v>0.66666666666666663</v>
      </c>
      <c r="R53">
        <f>'1495'!$T$16</f>
        <v>8</v>
      </c>
      <c r="S53">
        <f>'1495'!$T$16/'1495'!$A$31</f>
        <v>0.66666666666666663</v>
      </c>
      <c r="U53">
        <f t="shared" si="3"/>
        <v>2.9833333333333334</v>
      </c>
      <c r="V53">
        <f t="shared" si="4"/>
        <v>-0.6602021243796844</v>
      </c>
      <c r="W53">
        <f t="shared" si="5"/>
        <v>-0.62245837240816915</v>
      </c>
    </row>
    <row r="54" spans="1:23" x14ac:dyDescent="0.2">
      <c r="A54">
        <v>3142</v>
      </c>
      <c r="B54">
        <f>IFERROR('3142'!$D$19,0)</f>
        <v>0</v>
      </c>
      <c r="C54" t="e">
        <f>'3142'!$D$29</f>
        <v>#DIV/0!</v>
      </c>
      <c r="D54" t="e">
        <f>'3142'!D$31</f>
        <v>#DIV/0!</v>
      </c>
      <c r="E54">
        <f>'3142'!$K$19</f>
        <v>0.88888888888888884</v>
      </c>
      <c r="F54">
        <f>'3142'!$K$22</f>
        <v>2.6666666666666665</v>
      </c>
      <c r="G54">
        <f>'3142'!$L$22</f>
        <v>3</v>
      </c>
      <c r="H54">
        <f>'3142'!$M$22</f>
        <v>5</v>
      </c>
      <c r="I54">
        <f>'3142'!$N$22</f>
        <v>1.3706888336846839</v>
      </c>
      <c r="J54" t="e">
        <f>'3142'!$P$36</f>
        <v>#DIV/0!</v>
      </c>
      <c r="K54" t="e">
        <f>'3142'!$R$36</f>
        <v>#DIV/0!</v>
      </c>
      <c r="L54">
        <f>'3142'!$G$16 + '3142'!$H$16/3</f>
        <v>0</v>
      </c>
      <c r="M54" t="e">
        <f>'3142'!$Q$34</f>
        <v>#NUM!</v>
      </c>
      <c r="N54" t="e">
        <f>'3142'!$P$31</f>
        <v>#DIV/0!</v>
      </c>
      <c r="O54" t="e">
        <f>'3142'!$S$31</f>
        <v>#DIV/0!</v>
      </c>
      <c r="Q54">
        <f>'3142'!$P$19</f>
        <v>0.72727272727272729</v>
      </c>
      <c r="R54">
        <f>'3142'!$T$16</f>
        <v>8</v>
      </c>
      <c r="S54">
        <f>'3142'!$T$16/'3142'!$A$31</f>
        <v>0.66666666666666663</v>
      </c>
      <c r="U54">
        <f t="shared" si="3"/>
        <v>2.6666666666666665</v>
      </c>
      <c r="V54">
        <f t="shared" si="4"/>
        <v>-0.57182788739957524</v>
      </c>
      <c r="W54">
        <f t="shared" si="5"/>
        <v>-0.63988902735200359</v>
      </c>
    </row>
    <row r="55" spans="1:23" x14ac:dyDescent="0.2">
      <c r="A55" s="2">
        <v>747</v>
      </c>
      <c r="B55">
        <f>IFERROR('747'!$D$19,0)</f>
        <v>0</v>
      </c>
      <c r="C55" t="e">
        <f>'747'!$D$29</f>
        <v>#DIV/0!</v>
      </c>
      <c r="D55" t="e">
        <f>'747'!D$31</f>
        <v>#DIV/0!</v>
      </c>
      <c r="E55">
        <f>'747'!$K$19</f>
        <v>0.9</v>
      </c>
      <c r="F55">
        <f>'747'!$K$22</f>
        <v>2.25</v>
      </c>
      <c r="G55">
        <f>'747'!$L$22</f>
        <v>2</v>
      </c>
      <c r="H55">
        <f>'747'!$M$22</f>
        <v>4</v>
      </c>
      <c r="I55">
        <f>'747'!$N$22</f>
        <v>1.2154310870109943</v>
      </c>
      <c r="J55">
        <f>'747'!$P$36</f>
        <v>0</v>
      </c>
      <c r="K55">
        <f>'747'!$R$36</f>
        <v>1</v>
      </c>
      <c r="L55">
        <f>'747'!$G$16 + '747'!$H$16/3</f>
        <v>31</v>
      </c>
      <c r="M55">
        <f>'747'!$Q$34</f>
        <v>8</v>
      </c>
      <c r="N55">
        <f>'747'!$P$31</f>
        <v>14.75</v>
      </c>
      <c r="O55">
        <f>'747'!$S$31</f>
        <v>12.592385866791956</v>
      </c>
      <c r="Q55">
        <f>'747'!$P$19</f>
        <v>0.83333333333333337</v>
      </c>
      <c r="R55">
        <f>'747'!$T$16</f>
        <v>10</v>
      </c>
      <c r="S55">
        <f>'747'!$T$16/'747'!$A$31</f>
        <v>0.83333333333333337</v>
      </c>
      <c r="U55">
        <f t="shared" si="3"/>
        <v>2.25</v>
      </c>
      <c r="V55">
        <f t="shared" si="4"/>
        <v>-0.98768640982103495</v>
      </c>
      <c r="W55">
        <f t="shared" si="5"/>
        <v>-1.0644416002531523</v>
      </c>
    </row>
    <row r="56" spans="1:23" x14ac:dyDescent="0.2">
      <c r="A56" s="2">
        <v>225</v>
      </c>
      <c r="B56">
        <f>'225'!$D$19</f>
        <v>1</v>
      </c>
      <c r="C56" t="e">
        <f>'225'!$D$29</f>
        <v>#DIV/0!</v>
      </c>
      <c r="D56">
        <f>'225'!D$31</f>
        <v>1</v>
      </c>
      <c r="E56">
        <f>'225'!$K$19</f>
        <v>1</v>
      </c>
      <c r="F56">
        <f>'225'!$K$22</f>
        <v>2.5</v>
      </c>
      <c r="G56">
        <f>'225'!$L$22</f>
        <v>3</v>
      </c>
      <c r="H56">
        <f>'225'!$M$22</f>
        <v>4</v>
      </c>
      <c r="I56">
        <f>'225'!$N$22</f>
        <v>0.90453403373329089</v>
      </c>
      <c r="J56">
        <f>'225'!$P$36</f>
        <v>0</v>
      </c>
      <c r="K56">
        <f>'225'!$R$36</f>
        <v>1</v>
      </c>
      <c r="L56">
        <f>'225'!$G$16 + '225'!$H$16/3</f>
        <v>224</v>
      </c>
      <c r="M56">
        <f>'225'!$Q$34</f>
        <v>40</v>
      </c>
      <c r="N56">
        <f>'225'!$P$31</f>
        <v>41.333333333333336</v>
      </c>
      <c r="O56">
        <f>'225'!$S$31</f>
        <v>6.3436916887900816</v>
      </c>
      <c r="Q56">
        <f>'225'!$P$19</f>
        <v>0.75</v>
      </c>
      <c r="R56">
        <f>'225'!$T$16</f>
        <v>9</v>
      </c>
      <c r="S56">
        <f>'225'!$T$16/'225'!$A$31</f>
        <v>0.75</v>
      </c>
      <c r="U56">
        <f t="shared" si="3"/>
        <v>2.5</v>
      </c>
      <c r="V56">
        <f t="shared" si="4"/>
        <v>5.476326090328059E-2</v>
      </c>
      <c r="W56">
        <f t="shared" si="5"/>
        <v>-1.1539150240124305</v>
      </c>
    </row>
    <row r="57" spans="1:23" x14ac:dyDescent="0.2">
      <c r="A57">
        <v>5407</v>
      </c>
      <c r="B57">
        <f>'5407'!$D$19</f>
        <v>0.36363636363636365</v>
      </c>
      <c r="C57" t="e">
        <f>'5407'!$D$29</f>
        <v>#DIV/0!</v>
      </c>
      <c r="D57">
        <f>'5407'!D$31</f>
        <v>0.36363636363636365</v>
      </c>
      <c r="E57">
        <f>'5407'!$K$19</f>
        <v>0.88888888888888884</v>
      </c>
      <c r="F57">
        <f>'5407'!$K$22</f>
        <v>2.6666666666666665</v>
      </c>
      <c r="G57">
        <f>'5407'!$L$22</f>
        <v>3</v>
      </c>
      <c r="H57">
        <f>'5407'!$M$22</f>
        <v>3</v>
      </c>
      <c r="I57">
        <f>'5407'!$N$22</f>
        <v>0.65133894727892994</v>
      </c>
      <c r="J57">
        <f>'5407'!$P$36</f>
        <v>0</v>
      </c>
      <c r="K57">
        <f>'5407'!$R$36</f>
        <v>1</v>
      </c>
      <c r="L57">
        <f>'5407'!$G$16 + '5407'!$H$16/3</f>
        <v>11</v>
      </c>
      <c r="M57">
        <f>'5407'!$Q$34</f>
        <v>3</v>
      </c>
      <c r="N57">
        <f>'5407'!$P$31</f>
        <v>1.3333333333333333</v>
      </c>
      <c r="O57">
        <f>'5407'!$S$31</f>
        <v>1.5275252316519468</v>
      </c>
      <c r="Q57">
        <f>'5407'!$P$19</f>
        <v>0.83333333333333337</v>
      </c>
      <c r="R57">
        <f>'5407'!$T$16</f>
        <v>10</v>
      </c>
      <c r="S57">
        <f>'5407'!$T$16/'5407'!$A$31</f>
        <v>0.83333333333333337</v>
      </c>
      <c r="U57">
        <f t="shared" si="3"/>
        <v>2.6666666666666665</v>
      </c>
      <c r="V57">
        <f t="shared" si="4"/>
        <v>-0.64507387154879636</v>
      </c>
      <c r="W57">
        <f t="shared" si="5"/>
        <v>-1.3465934261307719</v>
      </c>
    </row>
    <row r="58" spans="1:23" x14ac:dyDescent="0.2">
      <c r="A58" s="2">
        <v>1218</v>
      </c>
      <c r="B58">
        <f>'1218'!$D$19</f>
        <v>0</v>
      </c>
      <c r="C58">
        <f>'1218'!$D$29</f>
        <v>0</v>
      </c>
      <c r="D58">
        <f>'1218'!D$31</f>
        <v>0</v>
      </c>
      <c r="E58">
        <f>'1218'!$K$19</f>
        <v>0.72</v>
      </c>
      <c r="F58">
        <f>'1218'!$K$22</f>
        <v>1.5</v>
      </c>
      <c r="G58">
        <f>'1218'!$L$22</f>
        <v>2</v>
      </c>
      <c r="H58">
        <f>'1218'!$M$22</f>
        <v>3</v>
      </c>
      <c r="I58">
        <f>'1218'!$N$22</f>
        <v>1.3816985594155149</v>
      </c>
      <c r="J58">
        <f>'1218'!$P$36</f>
        <v>0</v>
      </c>
      <c r="K58">
        <f>'1218'!$R$36</f>
        <v>1</v>
      </c>
      <c r="L58">
        <f>'1218'!$G$16 + '1218'!$H$16/3</f>
        <v>8</v>
      </c>
      <c r="M58">
        <f>'1218'!$Q$34</f>
        <v>1</v>
      </c>
      <c r="N58">
        <f>'1218'!$P$31</f>
        <v>4.2857142857142856</v>
      </c>
      <c r="O58">
        <f>'1218'!$S$31</f>
        <v>2.5634797778466227</v>
      </c>
      <c r="Q58">
        <f>'1218'!$P$19</f>
        <v>1</v>
      </c>
      <c r="R58">
        <f>'1218'!$T$16</f>
        <v>9</v>
      </c>
      <c r="S58">
        <f>'1218'!$T$16/'1218'!$A$31</f>
        <v>0.75</v>
      </c>
      <c r="U58">
        <f t="shared" si="3"/>
        <v>1.5</v>
      </c>
      <c r="V58">
        <f t="shared" si="4"/>
        <v>-1.4116427591412204</v>
      </c>
      <c r="W58">
        <f t="shared" si="5"/>
        <v>-1.4791615706105672</v>
      </c>
    </row>
    <row r="59" spans="1:23" x14ac:dyDescent="0.2">
      <c r="A59">
        <v>2458</v>
      </c>
      <c r="B59">
        <f>'2458'!$D$19</f>
        <v>0.5</v>
      </c>
      <c r="C59">
        <f>'2458'!$D$29</f>
        <v>0.5</v>
      </c>
      <c r="D59" t="e">
        <f>'2458'!D$31</f>
        <v>#DIV/0!</v>
      </c>
      <c r="E59">
        <f>'2458'!$K$19</f>
        <v>0.95454545454545459</v>
      </c>
      <c r="F59">
        <f>'2458'!$K$22</f>
        <v>1.75</v>
      </c>
      <c r="G59">
        <f>'2458'!$L$22</f>
        <v>2</v>
      </c>
      <c r="H59">
        <f>'2458'!$M$22</f>
        <v>3</v>
      </c>
      <c r="I59">
        <f>'2458'!$N$22</f>
        <v>0.96530729916342273</v>
      </c>
      <c r="J59" t="e">
        <f>'2458'!$P$36</f>
        <v>#DIV/0!</v>
      </c>
      <c r="K59" t="e">
        <f>'2458'!$R$36</f>
        <v>#DIV/0!</v>
      </c>
      <c r="L59">
        <f>'2458'!$G$16 + '2458'!$H$16/3</f>
        <v>0</v>
      </c>
      <c r="M59" t="e">
        <f>'2458'!$Q$34</f>
        <v>#NUM!</v>
      </c>
      <c r="N59" t="e">
        <f>'2458'!$P$31</f>
        <v>#DIV/0!</v>
      </c>
      <c r="O59" t="e">
        <f>'2458'!$S$31</f>
        <v>#DIV/0!</v>
      </c>
      <c r="Q59">
        <f>'2458'!$P$19</f>
        <v>1</v>
      </c>
      <c r="R59">
        <f>'2458'!$T$16</f>
        <v>10</v>
      </c>
      <c r="S59">
        <f>'2458'!$T$16/'2458'!$A$31</f>
        <v>0.83333333333333337</v>
      </c>
      <c r="U59">
        <f t="shared" si="3"/>
        <v>1.75</v>
      </c>
      <c r="V59">
        <f t="shared" si="4"/>
        <v>-1.2436089188957153</v>
      </c>
      <c r="W59">
        <f t="shared" si="5"/>
        <v>-1.8582221566230335</v>
      </c>
    </row>
    <row r="60" spans="1:23" x14ac:dyDescent="0.2">
      <c r="A60" s="2">
        <v>1370</v>
      </c>
      <c r="B60">
        <f>'1370'!$D$19</f>
        <v>0</v>
      </c>
      <c r="C60">
        <f>'1370'!$D$29</f>
        <v>0</v>
      </c>
      <c r="D60">
        <f>'1370'!D$31</f>
        <v>0</v>
      </c>
      <c r="E60">
        <f>'1370'!$K$19</f>
        <v>0.95238095238095233</v>
      </c>
      <c r="F60">
        <f>'1370'!$K$22</f>
        <v>1.6666666666666667</v>
      </c>
      <c r="G60">
        <f>'1370'!$L$22</f>
        <v>1.5</v>
      </c>
      <c r="H60">
        <f>'1370'!$M$22</f>
        <v>3</v>
      </c>
      <c r="I60">
        <f>'1370'!$N$22</f>
        <v>0.98473192783466179</v>
      </c>
      <c r="J60">
        <f>'1370'!$P$36</f>
        <v>0</v>
      </c>
      <c r="K60">
        <f>'1370'!$R$36</f>
        <v>1</v>
      </c>
      <c r="L60">
        <f>'1370'!$G$16 + '1370'!$H$16/3</f>
        <v>8</v>
      </c>
      <c r="M60">
        <f>'1370'!$Q$34</f>
        <v>1</v>
      </c>
      <c r="N60">
        <f>'1370'!$P$31</f>
        <v>2</v>
      </c>
      <c r="O60">
        <f>'1370'!$S$31</f>
        <v>2.3452078799117149</v>
      </c>
      <c r="Q60">
        <f>'1370'!$P$19</f>
        <v>1</v>
      </c>
      <c r="R60">
        <f>'1370'!$T$16</f>
        <v>11</v>
      </c>
      <c r="S60">
        <f>'1370'!$T$16/'1370'!$A$31</f>
        <v>0.91666666666666663</v>
      </c>
      <c r="U60">
        <f t="shared" si="3"/>
        <v>1.6666666666666667</v>
      </c>
      <c r="V60">
        <f t="shared" si="4"/>
        <v>-1.8114555338634284</v>
      </c>
      <c r="W60">
        <f t="shared" si="5"/>
        <v>-1.9061926312436077</v>
      </c>
    </row>
    <row r="61" spans="1:23" x14ac:dyDescent="0.2">
      <c r="A61">
        <v>6226</v>
      </c>
      <c r="B61">
        <f>'6226'!$D$19</f>
        <v>0</v>
      </c>
      <c r="C61" t="e">
        <f>'6226'!$D$29</f>
        <v>#DIV/0!</v>
      </c>
      <c r="D61">
        <f>'6226'!D$31</f>
        <v>0</v>
      </c>
      <c r="E61">
        <f>'6226'!$K$19</f>
        <v>0.83333333333333337</v>
      </c>
      <c r="F61">
        <f>'6226'!$K$22</f>
        <v>1.25</v>
      </c>
      <c r="G61">
        <f>'6226'!$L$22</f>
        <v>1</v>
      </c>
      <c r="H61">
        <f>'6226'!$M$22</f>
        <v>3</v>
      </c>
      <c r="I61">
        <f>'6226'!$N$22</f>
        <v>0.8660254037844386</v>
      </c>
      <c r="J61" t="e">
        <f>'6226'!$P$36</f>
        <v>#DIV/0!</v>
      </c>
      <c r="K61" t="e">
        <f>'6226'!$R$36</f>
        <v>#DIV/0!</v>
      </c>
      <c r="L61">
        <f>'6226'!$G$16 + '6226'!$H$16/3</f>
        <v>0</v>
      </c>
      <c r="M61" t="e">
        <f>'6226'!$Q$34</f>
        <v>#NUM!</v>
      </c>
      <c r="N61" t="e">
        <f>'6226'!$P$31</f>
        <v>#DIV/0!</v>
      </c>
      <c r="O61" t="e">
        <f>'6226'!$S$31</f>
        <v>#DIV/0!</v>
      </c>
      <c r="Q61">
        <f>'6226'!$P$19</f>
        <v>0.90909090909090906</v>
      </c>
      <c r="R61">
        <f>'6226'!$T$16</f>
        <v>10</v>
      </c>
      <c r="S61">
        <f>'6226'!$T$16/'6226'!$A$31</f>
        <v>0.83333333333333337</v>
      </c>
      <c r="U61">
        <f t="shared" si="3"/>
        <v>1.25</v>
      </c>
      <c r="V61">
        <f t="shared" si="4"/>
        <v>-2.5408778508101157</v>
      </c>
      <c r="W61">
        <f t="shared" si="5"/>
        <v>-2.6486006082869449</v>
      </c>
    </row>
    <row r="62" spans="1:23" x14ac:dyDescent="0.2">
      <c r="B62">
        <f>AVERAGE(B2:B61)</f>
        <v>0.44566678691678691</v>
      </c>
      <c r="F62">
        <f>AVERAGE(F2:F61)</f>
        <v>3.00479797979798</v>
      </c>
      <c r="U62">
        <f>AVERAGE(U2:U61)</f>
        <v>3.543755411255411</v>
      </c>
    </row>
  </sheetData>
  <sortState ref="A2:W61">
    <sortCondition descending="1" ref="W2:W6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BN50"/>
  <sheetViews>
    <sheetView workbookViewId="0">
      <selection activeCell="U15" sqref="U15"/>
    </sheetView>
  </sheetViews>
  <sheetFormatPr baseColWidth="10" defaultColWidth="8.83203125" defaultRowHeight="15" x14ac:dyDescent="0.2"/>
  <sheetData>
    <row r="1" spans="1:66" x14ac:dyDescent="0.2">
      <c r="A1" s="1" t="s">
        <v>0</v>
      </c>
      <c r="D1" t="s">
        <v>3</v>
      </c>
      <c r="K1" t="s">
        <v>11</v>
      </c>
      <c r="N1" t="s">
        <v>12</v>
      </c>
      <c r="P1" t="s">
        <v>14</v>
      </c>
      <c r="Q1" t="s">
        <v>17</v>
      </c>
      <c r="S1" t="s">
        <v>18</v>
      </c>
      <c r="Z1" t="s">
        <v>29</v>
      </c>
      <c r="AE1" t="s">
        <v>30</v>
      </c>
      <c r="AK1" t="s">
        <v>42</v>
      </c>
    </row>
    <row r="2" spans="1:66" x14ac:dyDescent="0.2">
      <c r="A2" t="s">
        <v>1</v>
      </c>
      <c r="B2" t="s">
        <v>1</v>
      </c>
      <c r="C2" t="s">
        <v>87</v>
      </c>
      <c r="D2" t="s">
        <v>54</v>
      </c>
      <c r="E2" t="s">
        <v>13</v>
      </c>
      <c r="F2" t="s">
        <v>198</v>
      </c>
      <c r="G2" t="s">
        <v>7</v>
      </c>
      <c r="H2" t="s">
        <v>8</v>
      </c>
      <c r="I2" t="s">
        <v>179</v>
      </c>
      <c r="J2" t="s">
        <v>178</v>
      </c>
      <c r="K2" t="s">
        <v>9</v>
      </c>
      <c r="L2" t="s">
        <v>196</v>
      </c>
      <c r="M2" t="s">
        <v>10</v>
      </c>
      <c r="N2" t="s">
        <v>54</v>
      </c>
      <c r="O2" t="s">
        <v>13</v>
      </c>
      <c r="P2" t="s">
        <v>15</v>
      </c>
      <c r="Q2" t="s">
        <v>8</v>
      </c>
      <c r="R2" t="s">
        <v>7</v>
      </c>
      <c r="S2" t="s">
        <v>181</v>
      </c>
      <c r="T2" t="s">
        <v>182</v>
      </c>
      <c r="U2" t="s">
        <v>19</v>
      </c>
      <c r="V2" t="s">
        <v>191</v>
      </c>
      <c r="W2" t="s">
        <v>192</v>
      </c>
      <c r="X2" t="s">
        <v>175</v>
      </c>
      <c r="Y2" t="s">
        <v>173</v>
      </c>
      <c r="Z2" t="str">
        <f t="shared" ref="Z2:Z13" si="0">LEFT(I4, 1)</f>
        <v/>
      </c>
      <c r="AA2" t="str">
        <f t="shared" ref="AA2:AA13" si="1">MID(I4, 4, 1)</f>
        <v/>
      </c>
      <c r="AB2" t="str">
        <f t="shared" ref="AB2:AB13" si="2">MID(I4, 7, 1)</f>
        <v/>
      </c>
      <c r="AC2" t="str">
        <f t="shared" ref="AC2:AC13" si="3">MID(I4, 10, 1)</f>
        <v/>
      </c>
      <c r="AE2" t="str">
        <f t="shared" ref="AE2:AE13" si="4">LEFT(J4, 1)</f>
        <v/>
      </c>
      <c r="AF2" t="str">
        <f t="shared" ref="AF2:AF13" si="5">MID(J4, 4, 1)</f>
        <v/>
      </c>
      <c r="AG2" t="str">
        <f t="shared" ref="AG2:AG13" si="6">MID(J4, 7, 1)</f>
        <v/>
      </c>
      <c r="AH2" t="str">
        <f t="shared" ref="AH2:AH13" si="7">MID(J4, 10, 1)</f>
        <v/>
      </c>
      <c r="AI2" t="str">
        <f t="shared" ref="AI2:AI13" si="8">MID(J4, 13, 1)</f>
        <v/>
      </c>
      <c r="AK2" t="str">
        <f t="shared" ref="AK2:AK13" si="9">LEFT(P4, 2)</f>
        <v/>
      </c>
      <c r="AL2" t="str">
        <f>MID($P4, 5, 2)</f>
        <v/>
      </c>
      <c r="AM2" t="str">
        <f t="shared" ref="AM2:AM13" si="10">MID($P4, 9, 2)</f>
        <v/>
      </c>
      <c r="AN2" t="str">
        <f t="shared" ref="AN2:AN13" si="11">MID($P4, 13, 2)</f>
        <v/>
      </c>
      <c r="AO2" t="str">
        <f t="shared" ref="AO2:AO13" si="12">MID($P4, 17, 2)</f>
        <v/>
      </c>
      <c r="AP2" t="str">
        <f t="shared" ref="AP2:AP13" si="13">MID($P4, 21, 2)</f>
        <v/>
      </c>
      <c r="AQ2" t="str">
        <f t="shared" ref="AQ2:AQ13" si="14">MID($P4, 25, 2)</f>
        <v/>
      </c>
      <c r="AR2" t="str">
        <f t="shared" ref="AR2:AR13" si="15">MID($P4, 29, 2)</f>
        <v/>
      </c>
      <c r="AS2" t="str">
        <f t="shared" ref="AS2:AS13" si="16">MID($P4, 33, 2)</f>
        <v/>
      </c>
      <c r="AT2" t="str">
        <f t="shared" ref="AT2:AT13" si="17">MID($P4, 37, 2)</f>
        <v/>
      </c>
      <c r="AU2" t="str">
        <f t="shared" ref="AU2:AU13" si="18">MID($P4, 41, 2)</f>
        <v/>
      </c>
      <c r="AV2" t="str">
        <f t="shared" ref="AV2:AV13" si="19">MID($P4, 45, 2)</f>
        <v/>
      </c>
      <c r="AW2" t="str">
        <f t="shared" ref="AW2:AW13" si="20">MID($P4, 49, 2)</f>
        <v/>
      </c>
      <c r="AX2" t="str">
        <f t="shared" ref="AX2:AX13" si="21">MID($P4, 53, 2)</f>
        <v/>
      </c>
      <c r="AY2" t="str">
        <f t="shared" ref="AY2:AY13" si="22">MID($P4, 57, 2)</f>
        <v/>
      </c>
      <c r="AZ2" t="str">
        <f t="shared" ref="AZ2:AZ13" si="23">MID($P4, 61, 2)</f>
        <v/>
      </c>
      <c r="BA2" t="str">
        <f t="shared" ref="BA2:BA13" si="24">MID($P4, 65, 2)</f>
        <v/>
      </c>
      <c r="BB2" t="str">
        <f t="shared" ref="BB2:BB13" si="25">MID($P4, 69, 2)</f>
        <v/>
      </c>
      <c r="BC2" t="str">
        <f t="shared" ref="BC2:BC13" si="26">MID($P4, 73, 2)</f>
        <v/>
      </c>
      <c r="BD2" t="str">
        <f t="shared" ref="BD2:BD13" si="27">MID($P4, 77, 2)</f>
        <v/>
      </c>
      <c r="BE2" t="str">
        <f t="shared" ref="BE2:BE13" si="28">MID($P4, 81, 2)</f>
        <v/>
      </c>
      <c r="BF2" t="str">
        <f t="shared" ref="BF2:BF13" si="29">MID($P4, 85, 2)</f>
        <v/>
      </c>
      <c r="BG2" t="str">
        <f t="shared" ref="BG2:BG13" si="30">MID($P4, 89, 2)</f>
        <v/>
      </c>
      <c r="BH2" t="str">
        <f t="shared" ref="BH2:BH13" si="31">MID($P4, 93, 2)</f>
        <v/>
      </c>
    </row>
    <row r="3" spans="1:66" x14ac:dyDescent="0.2">
      <c r="A3" t="s">
        <v>2</v>
      </c>
      <c r="B3" t="s">
        <v>6</v>
      </c>
      <c r="C3" t="s">
        <v>88</v>
      </c>
      <c r="D3" t="s">
        <v>6</v>
      </c>
      <c r="E3" t="s">
        <v>6</v>
      </c>
      <c r="F3" t="s">
        <v>4</v>
      </c>
      <c r="G3" t="s">
        <v>6</v>
      </c>
      <c r="H3" t="s">
        <v>6</v>
      </c>
      <c r="I3" t="s">
        <v>86</v>
      </c>
      <c r="J3" t="s">
        <v>86</v>
      </c>
      <c r="K3" t="s">
        <v>6</v>
      </c>
      <c r="L3" t="s">
        <v>6</v>
      </c>
      <c r="M3" t="s">
        <v>6</v>
      </c>
      <c r="N3" t="s">
        <v>6</v>
      </c>
      <c r="O3" t="s">
        <v>6</v>
      </c>
      <c r="P3" t="s">
        <v>16</v>
      </c>
      <c r="Q3" t="s">
        <v>6</v>
      </c>
      <c r="R3" t="s">
        <v>6</v>
      </c>
      <c r="S3" t="s">
        <v>4</v>
      </c>
      <c r="T3" t="s">
        <v>4</v>
      </c>
      <c r="U3" t="s">
        <v>6</v>
      </c>
      <c r="V3" t="s">
        <v>6</v>
      </c>
      <c r="W3" t="s">
        <v>6</v>
      </c>
      <c r="X3" t="s">
        <v>6</v>
      </c>
      <c r="Y3" t="s">
        <v>174</v>
      </c>
      <c r="Z3" t="str">
        <f t="shared" si="0"/>
        <v/>
      </c>
      <c r="AA3" t="str">
        <f t="shared" si="1"/>
        <v/>
      </c>
      <c r="AB3" t="str">
        <f t="shared" si="2"/>
        <v/>
      </c>
      <c r="AC3" t="str">
        <f t="shared" si="3"/>
        <v/>
      </c>
      <c r="AE3" t="str">
        <f t="shared" si="4"/>
        <v/>
      </c>
      <c r="AF3" t="str">
        <f t="shared" si="5"/>
        <v/>
      </c>
      <c r="AG3" t="str">
        <f t="shared" si="6"/>
        <v/>
      </c>
      <c r="AH3" t="str">
        <f t="shared" si="7"/>
        <v/>
      </c>
      <c r="AI3" t="str">
        <f t="shared" si="8"/>
        <v/>
      </c>
      <c r="AK3" t="str">
        <f t="shared" si="9"/>
        <v/>
      </c>
      <c r="AL3" t="str">
        <f t="shared" ref="AL3:AL13" si="32">MID(P5, 5, 2)</f>
        <v/>
      </c>
      <c r="AM3" t="str">
        <f t="shared" si="10"/>
        <v/>
      </c>
      <c r="AN3" t="str">
        <f t="shared" si="11"/>
        <v/>
      </c>
      <c r="AO3" t="str">
        <f t="shared" si="12"/>
        <v/>
      </c>
      <c r="AP3" t="str">
        <f t="shared" si="13"/>
        <v/>
      </c>
      <c r="AQ3" t="str">
        <f t="shared" si="14"/>
        <v/>
      </c>
      <c r="AR3" t="str">
        <f t="shared" si="15"/>
        <v/>
      </c>
      <c r="AS3" t="str">
        <f t="shared" si="16"/>
        <v/>
      </c>
      <c r="AT3" t="str">
        <f t="shared" si="17"/>
        <v/>
      </c>
      <c r="AU3" t="str">
        <f t="shared" si="18"/>
        <v/>
      </c>
      <c r="AV3" t="str">
        <f t="shared" si="19"/>
        <v/>
      </c>
      <c r="AW3" t="str">
        <f t="shared" si="20"/>
        <v/>
      </c>
      <c r="AX3" t="str">
        <f t="shared" si="21"/>
        <v/>
      </c>
      <c r="AY3" t="str">
        <f t="shared" si="22"/>
        <v/>
      </c>
      <c r="AZ3" t="str">
        <f t="shared" si="23"/>
        <v/>
      </c>
      <c r="BA3" t="str">
        <f t="shared" si="24"/>
        <v/>
      </c>
      <c r="BB3" t="str">
        <f t="shared" si="25"/>
        <v/>
      </c>
      <c r="BC3" t="str">
        <f t="shared" si="26"/>
        <v/>
      </c>
      <c r="BD3" t="str">
        <f t="shared" si="27"/>
        <v/>
      </c>
      <c r="BE3" t="str">
        <f t="shared" si="28"/>
        <v/>
      </c>
      <c r="BF3" t="str">
        <f t="shared" si="29"/>
        <v/>
      </c>
      <c r="BG3" t="str">
        <f t="shared" si="30"/>
        <v/>
      </c>
      <c r="BH3" t="str">
        <f t="shared" si="31"/>
        <v/>
      </c>
    </row>
    <row r="4" spans="1:66" x14ac:dyDescent="0.2">
      <c r="A4">
        <v>1</v>
      </c>
      <c r="B4">
        <v>7</v>
      </c>
      <c r="C4" t="s">
        <v>39</v>
      </c>
      <c r="D4">
        <v>1</v>
      </c>
      <c r="K4">
        <v>1</v>
      </c>
      <c r="N4">
        <v>1</v>
      </c>
      <c r="X4">
        <f t="shared" ref="X4:X15" si="33">G4+H4+Q4+R4</f>
        <v>0</v>
      </c>
      <c r="Z4" t="str">
        <f t="shared" si="0"/>
        <v/>
      </c>
      <c r="AA4" t="str">
        <f t="shared" si="1"/>
        <v/>
      </c>
      <c r="AB4" t="str">
        <f t="shared" si="2"/>
        <v/>
      </c>
      <c r="AC4" t="str">
        <f t="shared" si="3"/>
        <v/>
      </c>
      <c r="AE4" t="str">
        <f t="shared" si="4"/>
        <v/>
      </c>
      <c r="AF4" t="str">
        <f t="shared" si="5"/>
        <v/>
      </c>
      <c r="AG4" t="str">
        <f t="shared" si="6"/>
        <v/>
      </c>
      <c r="AH4" t="str">
        <f t="shared" si="7"/>
        <v/>
      </c>
      <c r="AI4" t="str">
        <f t="shared" si="8"/>
        <v/>
      </c>
      <c r="AK4" t="str">
        <f t="shared" si="9"/>
        <v/>
      </c>
      <c r="AL4" t="str">
        <f t="shared" si="32"/>
        <v/>
      </c>
      <c r="AM4" t="str">
        <f t="shared" si="10"/>
        <v/>
      </c>
      <c r="AN4" t="str">
        <f t="shared" si="11"/>
        <v/>
      </c>
      <c r="AO4" t="str">
        <f t="shared" si="12"/>
        <v/>
      </c>
      <c r="AP4" t="str">
        <f t="shared" si="13"/>
        <v/>
      </c>
      <c r="AQ4" t="str">
        <f t="shared" si="14"/>
        <v/>
      </c>
      <c r="AR4" t="str">
        <f t="shared" si="15"/>
        <v/>
      </c>
      <c r="AS4" t="str">
        <f t="shared" si="16"/>
        <v/>
      </c>
      <c r="AT4" t="str">
        <f t="shared" si="17"/>
        <v/>
      </c>
      <c r="AU4" t="str">
        <f t="shared" si="18"/>
        <v/>
      </c>
      <c r="AV4" t="str">
        <f t="shared" si="19"/>
        <v/>
      </c>
      <c r="AW4" t="str">
        <f t="shared" si="20"/>
        <v/>
      </c>
      <c r="AX4" t="str">
        <f t="shared" si="21"/>
        <v/>
      </c>
      <c r="AY4" t="str">
        <f t="shared" si="22"/>
        <v/>
      </c>
      <c r="AZ4" t="str">
        <f t="shared" si="23"/>
        <v/>
      </c>
      <c r="BA4" t="str">
        <f t="shared" si="24"/>
        <v/>
      </c>
      <c r="BB4" t="str">
        <f t="shared" si="25"/>
        <v/>
      </c>
      <c r="BC4" t="str">
        <f t="shared" si="26"/>
        <v/>
      </c>
      <c r="BD4" t="str">
        <f t="shared" si="27"/>
        <v/>
      </c>
      <c r="BE4" t="str">
        <f t="shared" si="28"/>
        <v/>
      </c>
      <c r="BF4" t="str">
        <f t="shared" si="29"/>
        <v/>
      </c>
      <c r="BG4" t="str">
        <f t="shared" si="30"/>
        <v/>
      </c>
      <c r="BH4" t="str">
        <f t="shared" si="31"/>
        <v/>
      </c>
    </row>
    <row r="5" spans="1:66" x14ac:dyDescent="0.2">
      <c r="A5">
        <v>2</v>
      </c>
      <c r="B5">
        <v>15</v>
      </c>
      <c r="C5" t="s">
        <v>207</v>
      </c>
      <c r="K5">
        <v>4</v>
      </c>
      <c r="L5">
        <v>1</v>
      </c>
      <c r="N5">
        <v>4</v>
      </c>
      <c r="O5">
        <v>4</v>
      </c>
      <c r="S5">
        <v>1</v>
      </c>
      <c r="T5">
        <v>1</v>
      </c>
      <c r="X5">
        <f t="shared" si="33"/>
        <v>0</v>
      </c>
      <c r="Z5" t="str">
        <f t="shared" si="0"/>
        <v/>
      </c>
      <c r="AA5" t="str">
        <f t="shared" si="1"/>
        <v/>
      </c>
      <c r="AB5" t="str">
        <f t="shared" si="2"/>
        <v/>
      </c>
      <c r="AC5" t="str">
        <f t="shared" si="3"/>
        <v/>
      </c>
      <c r="AE5" t="str">
        <f t="shared" si="4"/>
        <v/>
      </c>
      <c r="AF5" t="str">
        <f t="shared" si="5"/>
        <v/>
      </c>
      <c r="AG5" t="str">
        <f t="shared" si="6"/>
        <v/>
      </c>
      <c r="AH5" t="str">
        <f t="shared" si="7"/>
        <v/>
      </c>
      <c r="AI5" t="str">
        <f t="shared" si="8"/>
        <v/>
      </c>
      <c r="AK5" t="str">
        <f t="shared" si="9"/>
        <v/>
      </c>
      <c r="AL5" t="str">
        <f t="shared" si="32"/>
        <v/>
      </c>
      <c r="AM5" t="str">
        <f t="shared" si="10"/>
        <v/>
      </c>
      <c r="AN5" t="str">
        <f t="shared" si="11"/>
        <v/>
      </c>
      <c r="AO5" t="str">
        <f t="shared" si="12"/>
        <v/>
      </c>
      <c r="AP5" t="str">
        <f t="shared" si="13"/>
        <v/>
      </c>
      <c r="AQ5" t="str">
        <f t="shared" si="14"/>
        <v/>
      </c>
      <c r="AR5" t="str">
        <f t="shared" si="15"/>
        <v/>
      </c>
      <c r="AS5" t="str">
        <f t="shared" si="16"/>
        <v/>
      </c>
      <c r="AT5" t="str">
        <f t="shared" si="17"/>
        <v/>
      </c>
      <c r="AU5" t="str">
        <f t="shared" si="18"/>
        <v/>
      </c>
      <c r="AV5" t="str">
        <f t="shared" si="19"/>
        <v/>
      </c>
      <c r="AW5" t="str">
        <f t="shared" si="20"/>
        <v/>
      </c>
      <c r="AX5" t="str">
        <f t="shared" si="21"/>
        <v/>
      </c>
      <c r="AY5" t="str">
        <f t="shared" si="22"/>
        <v/>
      </c>
      <c r="AZ5" t="str">
        <f t="shared" si="23"/>
        <v/>
      </c>
      <c r="BA5" t="str">
        <f t="shared" si="24"/>
        <v/>
      </c>
      <c r="BB5" t="str">
        <f t="shared" si="25"/>
        <v/>
      </c>
      <c r="BC5" t="str">
        <f t="shared" si="26"/>
        <v/>
      </c>
      <c r="BD5" t="str">
        <f t="shared" si="27"/>
        <v/>
      </c>
      <c r="BE5" t="str">
        <f t="shared" si="28"/>
        <v/>
      </c>
      <c r="BF5" t="str">
        <f t="shared" si="29"/>
        <v/>
      </c>
      <c r="BG5" t="str">
        <f t="shared" si="30"/>
        <v/>
      </c>
      <c r="BH5" t="str">
        <f t="shared" si="31"/>
        <v/>
      </c>
    </row>
    <row r="6" spans="1:66" x14ac:dyDescent="0.2">
      <c r="A6">
        <v>3</v>
      </c>
      <c r="B6">
        <v>24</v>
      </c>
      <c r="C6" t="s">
        <v>39</v>
      </c>
      <c r="D6">
        <v>1</v>
      </c>
      <c r="F6">
        <v>1</v>
      </c>
      <c r="K6">
        <v>2</v>
      </c>
      <c r="N6">
        <v>2</v>
      </c>
      <c r="O6">
        <v>2</v>
      </c>
      <c r="S6">
        <v>1</v>
      </c>
      <c r="T6">
        <v>1</v>
      </c>
      <c r="U6">
        <v>45</v>
      </c>
      <c r="X6">
        <f t="shared" si="33"/>
        <v>0</v>
      </c>
      <c r="Z6" t="str">
        <f t="shared" si="0"/>
        <v/>
      </c>
      <c r="AA6" t="str">
        <f t="shared" si="1"/>
        <v/>
      </c>
      <c r="AB6" t="str">
        <f t="shared" si="2"/>
        <v/>
      </c>
      <c r="AC6" t="str">
        <f t="shared" si="3"/>
        <v/>
      </c>
      <c r="AE6" t="str">
        <f t="shared" si="4"/>
        <v/>
      </c>
      <c r="AF6" t="str">
        <f t="shared" si="5"/>
        <v/>
      </c>
      <c r="AG6" t="str">
        <f t="shared" si="6"/>
        <v/>
      </c>
      <c r="AH6" t="str">
        <f t="shared" si="7"/>
        <v/>
      </c>
      <c r="AI6" t="str">
        <f t="shared" si="8"/>
        <v/>
      </c>
      <c r="AK6" t="str">
        <f t="shared" si="9"/>
        <v/>
      </c>
      <c r="AL6" t="str">
        <f t="shared" si="32"/>
        <v/>
      </c>
      <c r="AM6" t="str">
        <f t="shared" si="10"/>
        <v/>
      </c>
      <c r="AN6" t="str">
        <f t="shared" si="11"/>
        <v/>
      </c>
      <c r="AO6" t="str">
        <f t="shared" si="12"/>
        <v/>
      </c>
      <c r="AP6" t="str">
        <f t="shared" si="13"/>
        <v/>
      </c>
      <c r="AQ6" t="str">
        <f t="shared" si="14"/>
        <v/>
      </c>
      <c r="AR6" t="str">
        <f t="shared" si="15"/>
        <v/>
      </c>
      <c r="AS6" t="str">
        <f t="shared" si="16"/>
        <v/>
      </c>
      <c r="AT6" t="str">
        <f t="shared" si="17"/>
        <v/>
      </c>
      <c r="AU6" t="str">
        <f t="shared" si="18"/>
        <v/>
      </c>
      <c r="AV6" t="str">
        <f t="shared" si="19"/>
        <v/>
      </c>
      <c r="AW6" t="str">
        <f t="shared" si="20"/>
        <v/>
      </c>
      <c r="AX6" t="str">
        <f t="shared" si="21"/>
        <v/>
      </c>
      <c r="AY6" t="str">
        <f t="shared" si="22"/>
        <v/>
      </c>
      <c r="AZ6" t="str">
        <f t="shared" si="23"/>
        <v/>
      </c>
      <c r="BA6" t="str">
        <f t="shared" si="24"/>
        <v/>
      </c>
      <c r="BB6" t="str">
        <f t="shared" si="25"/>
        <v/>
      </c>
      <c r="BC6" t="str">
        <f t="shared" si="26"/>
        <v/>
      </c>
      <c r="BD6" t="str">
        <f t="shared" si="27"/>
        <v/>
      </c>
      <c r="BE6" t="str">
        <f t="shared" si="28"/>
        <v/>
      </c>
      <c r="BF6" t="str">
        <f t="shared" si="29"/>
        <v/>
      </c>
      <c r="BG6" t="str">
        <f t="shared" si="30"/>
        <v/>
      </c>
      <c r="BH6" t="str">
        <f t="shared" si="31"/>
        <v/>
      </c>
    </row>
    <row r="7" spans="1:66" x14ac:dyDescent="0.2">
      <c r="A7">
        <v>4</v>
      </c>
      <c r="B7">
        <v>39</v>
      </c>
      <c r="C7" t="s">
        <v>207</v>
      </c>
      <c r="K7">
        <v>4</v>
      </c>
      <c r="L7">
        <v>1</v>
      </c>
      <c r="N7">
        <v>5</v>
      </c>
      <c r="O7">
        <v>5</v>
      </c>
      <c r="S7">
        <v>1</v>
      </c>
      <c r="T7">
        <v>1</v>
      </c>
      <c r="U7">
        <v>1</v>
      </c>
      <c r="X7">
        <f t="shared" si="33"/>
        <v>0</v>
      </c>
      <c r="Z7" t="str">
        <f t="shared" si="0"/>
        <v/>
      </c>
      <c r="AA7" t="str">
        <f t="shared" si="1"/>
        <v/>
      </c>
      <c r="AB7" t="str">
        <f t="shared" si="2"/>
        <v/>
      </c>
      <c r="AC7" t="str">
        <f t="shared" si="3"/>
        <v/>
      </c>
      <c r="AE7" t="str">
        <f t="shared" si="4"/>
        <v/>
      </c>
      <c r="AF7" t="str">
        <f t="shared" si="5"/>
        <v/>
      </c>
      <c r="AG7" t="str">
        <f t="shared" si="6"/>
        <v/>
      </c>
      <c r="AH7" t="str">
        <f t="shared" si="7"/>
        <v/>
      </c>
      <c r="AI7" t="str">
        <f t="shared" si="8"/>
        <v/>
      </c>
      <c r="AK7" t="str">
        <f t="shared" si="9"/>
        <v/>
      </c>
      <c r="AL7" t="str">
        <f t="shared" si="32"/>
        <v/>
      </c>
      <c r="AM7" t="str">
        <f t="shared" si="10"/>
        <v/>
      </c>
      <c r="AN7" t="str">
        <f t="shared" si="11"/>
        <v/>
      </c>
      <c r="AO7" t="str">
        <f t="shared" si="12"/>
        <v/>
      </c>
      <c r="AP7" t="str">
        <f t="shared" si="13"/>
        <v/>
      </c>
      <c r="AQ7" t="str">
        <f t="shared" si="14"/>
        <v/>
      </c>
      <c r="AR7" t="str">
        <f t="shared" si="15"/>
        <v/>
      </c>
      <c r="AS7" t="str">
        <f t="shared" si="16"/>
        <v/>
      </c>
      <c r="AT7" t="str">
        <f t="shared" si="17"/>
        <v/>
      </c>
      <c r="AU7" t="str">
        <f t="shared" si="18"/>
        <v/>
      </c>
      <c r="AV7" t="str">
        <f t="shared" si="19"/>
        <v/>
      </c>
      <c r="AW7" t="str">
        <f t="shared" si="20"/>
        <v/>
      </c>
      <c r="AX7" t="str">
        <f t="shared" si="21"/>
        <v/>
      </c>
      <c r="AY7" t="str">
        <f t="shared" si="22"/>
        <v/>
      </c>
      <c r="AZ7" t="str">
        <f t="shared" si="23"/>
        <v/>
      </c>
      <c r="BA7" t="str">
        <f t="shared" si="24"/>
        <v/>
      </c>
      <c r="BB7" t="str">
        <f t="shared" si="25"/>
        <v/>
      </c>
      <c r="BC7" t="str">
        <f t="shared" si="26"/>
        <v/>
      </c>
      <c r="BD7" t="str">
        <f t="shared" si="27"/>
        <v/>
      </c>
      <c r="BE7" t="str">
        <f t="shared" si="28"/>
        <v/>
      </c>
      <c r="BF7" t="str">
        <f t="shared" si="29"/>
        <v/>
      </c>
      <c r="BG7" t="str">
        <f t="shared" si="30"/>
        <v/>
      </c>
      <c r="BH7" t="str">
        <f t="shared" si="31"/>
        <v/>
      </c>
    </row>
    <row r="8" spans="1:66" x14ac:dyDescent="0.2">
      <c r="A8">
        <v>5</v>
      </c>
      <c r="B8">
        <v>46</v>
      </c>
      <c r="C8" t="s">
        <v>39</v>
      </c>
      <c r="K8">
        <v>3</v>
      </c>
      <c r="N8">
        <v>4</v>
      </c>
      <c r="O8">
        <v>4</v>
      </c>
      <c r="S8">
        <v>1</v>
      </c>
      <c r="T8">
        <v>1</v>
      </c>
      <c r="X8">
        <f t="shared" si="33"/>
        <v>0</v>
      </c>
      <c r="Z8" t="str">
        <f t="shared" si="0"/>
        <v/>
      </c>
      <c r="AA8" t="str">
        <f t="shared" si="1"/>
        <v/>
      </c>
      <c r="AB8" t="str">
        <f t="shared" si="2"/>
        <v/>
      </c>
      <c r="AC8" t="str">
        <f t="shared" si="3"/>
        <v/>
      </c>
      <c r="AE8" t="str">
        <f t="shared" si="4"/>
        <v>2</v>
      </c>
      <c r="AF8" t="str">
        <f t="shared" si="5"/>
        <v/>
      </c>
      <c r="AG8" t="str">
        <f t="shared" si="6"/>
        <v/>
      </c>
      <c r="AH8" t="str">
        <f t="shared" si="7"/>
        <v/>
      </c>
      <c r="AI8" t="str">
        <f t="shared" si="8"/>
        <v/>
      </c>
      <c r="AK8" t="str">
        <f t="shared" si="9"/>
        <v/>
      </c>
      <c r="AL8" t="str">
        <f t="shared" si="32"/>
        <v/>
      </c>
      <c r="AM8" t="str">
        <f t="shared" si="10"/>
        <v/>
      </c>
      <c r="AN8" t="str">
        <f t="shared" si="11"/>
        <v/>
      </c>
      <c r="AO8" t="str">
        <f t="shared" si="12"/>
        <v/>
      </c>
      <c r="AP8" t="str">
        <f t="shared" si="13"/>
        <v/>
      </c>
      <c r="AQ8" t="str">
        <f t="shared" si="14"/>
        <v/>
      </c>
      <c r="AR8" t="str">
        <f t="shared" si="15"/>
        <v/>
      </c>
      <c r="AS8" t="str">
        <f t="shared" si="16"/>
        <v/>
      </c>
      <c r="AT8" t="str">
        <f t="shared" si="17"/>
        <v/>
      </c>
      <c r="AU8" t="str">
        <f t="shared" si="18"/>
        <v/>
      </c>
      <c r="AV8" t="str">
        <f t="shared" si="19"/>
        <v/>
      </c>
      <c r="AW8" t="str">
        <f t="shared" si="20"/>
        <v/>
      </c>
      <c r="AX8" t="str">
        <f t="shared" si="21"/>
        <v/>
      </c>
      <c r="AY8" t="str">
        <f t="shared" si="22"/>
        <v/>
      </c>
      <c r="AZ8" t="str">
        <f t="shared" si="23"/>
        <v/>
      </c>
      <c r="BA8" t="str">
        <f t="shared" si="24"/>
        <v/>
      </c>
      <c r="BB8" t="str">
        <f t="shared" si="25"/>
        <v/>
      </c>
      <c r="BC8" t="str">
        <f t="shared" si="26"/>
        <v/>
      </c>
      <c r="BD8" t="str">
        <f t="shared" si="27"/>
        <v/>
      </c>
      <c r="BE8" t="str">
        <f t="shared" si="28"/>
        <v/>
      </c>
      <c r="BF8" t="str">
        <f t="shared" si="29"/>
        <v/>
      </c>
      <c r="BG8" t="str">
        <f t="shared" si="30"/>
        <v/>
      </c>
      <c r="BH8" t="str">
        <f t="shared" si="31"/>
        <v/>
      </c>
    </row>
    <row r="9" spans="1:66" x14ac:dyDescent="0.2">
      <c r="A9">
        <v>6</v>
      </c>
      <c r="B9">
        <v>58</v>
      </c>
      <c r="C9" t="s">
        <v>39</v>
      </c>
      <c r="D9">
        <v>1</v>
      </c>
      <c r="F9">
        <v>1</v>
      </c>
      <c r="K9">
        <v>5</v>
      </c>
      <c r="N9">
        <v>6</v>
      </c>
      <c r="O9">
        <v>6</v>
      </c>
      <c r="S9">
        <v>1</v>
      </c>
      <c r="T9">
        <v>1</v>
      </c>
      <c r="U9">
        <v>4</v>
      </c>
      <c r="X9">
        <f t="shared" si="33"/>
        <v>0</v>
      </c>
      <c r="Z9" t="str">
        <f t="shared" si="0"/>
        <v/>
      </c>
      <c r="AA9" t="str">
        <f t="shared" si="1"/>
        <v/>
      </c>
      <c r="AB9" t="str">
        <f t="shared" si="2"/>
        <v/>
      </c>
      <c r="AC9" t="str">
        <f t="shared" si="3"/>
        <v/>
      </c>
      <c r="AE9" t="str">
        <f t="shared" si="4"/>
        <v>1</v>
      </c>
      <c r="AF9" t="str">
        <f t="shared" si="5"/>
        <v/>
      </c>
      <c r="AG9" t="str">
        <f t="shared" si="6"/>
        <v/>
      </c>
      <c r="AH9" t="str">
        <f t="shared" si="7"/>
        <v/>
      </c>
      <c r="AI9" t="str">
        <f t="shared" si="8"/>
        <v/>
      </c>
      <c r="AK9" t="str">
        <f t="shared" si="9"/>
        <v/>
      </c>
      <c r="AL9" t="str">
        <f t="shared" si="32"/>
        <v/>
      </c>
      <c r="AM9" t="str">
        <f t="shared" si="10"/>
        <v/>
      </c>
      <c r="AN9" t="str">
        <f t="shared" si="11"/>
        <v/>
      </c>
      <c r="AO9" t="str">
        <f t="shared" si="12"/>
        <v/>
      </c>
      <c r="AP9" t="str">
        <f t="shared" si="13"/>
        <v/>
      </c>
      <c r="AQ9" t="str">
        <f t="shared" si="14"/>
        <v/>
      </c>
      <c r="AR9" t="str">
        <f t="shared" si="15"/>
        <v/>
      </c>
      <c r="AS9" t="str">
        <f t="shared" si="16"/>
        <v/>
      </c>
      <c r="AT9" t="str">
        <f t="shared" si="17"/>
        <v/>
      </c>
      <c r="AU9" t="str">
        <f t="shared" si="18"/>
        <v/>
      </c>
      <c r="AV9" t="str">
        <f t="shared" si="19"/>
        <v/>
      </c>
      <c r="AW9" t="str">
        <f t="shared" si="20"/>
        <v/>
      </c>
      <c r="AX9" t="str">
        <f t="shared" si="21"/>
        <v/>
      </c>
      <c r="AY9" t="str">
        <f t="shared" si="22"/>
        <v/>
      </c>
      <c r="AZ9" t="str">
        <f t="shared" si="23"/>
        <v/>
      </c>
      <c r="BA9" t="str">
        <f t="shared" si="24"/>
        <v/>
      </c>
      <c r="BB9" t="str">
        <f t="shared" si="25"/>
        <v/>
      </c>
      <c r="BC9" t="str">
        <f t="shared" si="26"/>
        <v/>
      </c>
      <c r="BD9" t="str">
        <f t="shared" si="27"/>
        <v/>
      </c>
      <c r="BE9" t="str">
        <f t="shared" si="28"/>
        <v/>
      </c>
      <c r="BF9" t="str">
        <f t="shared" si="29"/>
        <v/>
      </c>
      <c r="BG9" t="str">
        <f t="shared" si="30"/>
        <v/>
      </c>
      <c r="BH9" t="str">
        <f t="shared" si="31"/>
        <v/>
      </c>
    </row>
    <row r="10" spans="1:66" x14ac:dyDescent="0.2">
      <c r="A10">
        <v>7</v>
      </c>
      <c r="B10">
        <v>65</v>
      </c>
      <c r="C10" t="s">
        <v>39</v>
      </c>
      <c r="D10">
        <v>1</v>
      </c>
      <c r="F10">
        <v>1</v>
      </c>
      <c r="J10">
        <v>2</v>
      </c>
      <c r="K10">
        <v>5</v>
      </c>
      <c r="N10">
        <v>6</v>
      </c>
      <c r="O10">
        <v>6</v>
      </c>
      <c r="S10">
        <v>1</v>
      </c>
      <c r="T10">
        <v>1</v>
      </c>
      <c r="U10">
        <v>6</v>
      </c>
      <c r="X10">
        <f t="shared" si="33"/>
        <v>0</v>
      </c>
      <c r="Z10" t="str">
        <f t="shared" si="0"/>
        <v/>
      </c>
      <c r="AA10" t="str">
        <f t="shared" si="1"/>
        <v/>
      </c>
      <c r="AB10" t="str">
        <f t="shared" si="2"/>
        <v/>
      </c>
      <c r="AC10" t="str">
        <f t="shared" si="3"/>
        <v/>
      </c>
      <c r="AE10" t="str">
        <f t="shared" si="4"/>
        <v/>
      </c>
      <c r="AF10" t="str">
        <f t="shared" si="5"/>
        <v/>
      </c>
      <c r="AG10" t="str">
        <f t="shared" si="6"/>
        <v/>
      </c>
      <c r="AH10" t="str">
        <f t="shared" si="7"/>
        <v/>
      </c>
      <c r="AI10" t="str">
        <f t="shared" si="8"/>
        <v/>
      </c>
      <c r="AK10" t="str">
        <f t="shared" si="9"/>
        <v/>
      </c>
      <c r="AL10" t="str">
        <f t="shared" si="32"/>
        <v/>
      </c>
      <c r="AM10" t="str">
        <f t="shared" si="10"/>
        <v/>
      </c>
      <c r="AN10" t="str">
        <f t="shared" si="11"/>
        <v/>
      </c>
      <c r="AO10" t="str">
        <f t="shared" si="12"/>
        <v/>
      </c>
      <c r="AP10" t="str">
        <f t="shared" si="13"/>
        <v/>
      </c>
      <c r="AQ10" t="str">
        <f t="shared" si="14"/>
        <v/>
      </c>
      <c r="AR10" t="str">
        <f t="shared" si="15"/>
        <v/>
      </c>
      <c r="AS10" t="str">
        <f t="shared" si="16"/>
        <v/>
      </c>
      <c r="AT10" t="str">
        <f t="shared" si="17"/>
        <v/>
      </c>
      <c r="AU10" t="str">
        <f t="shared" si="18"/>
        <v/>
      </c>
      <c r="AV10" t="str">
        <f t="shared" si="19"/>
        <v/>
      </c>
      <c r="AW10" t="str">
        <f t="shared" si="20"/>
        <v/>
      </c>
      <c r="AX10" t="str">
        <f t="shared" si="21"/>
        <v/>
      </c>
      <c r="AY10" t="str">
        <f t="shared" si="22"/>
        <v/>
      </c>
      <c r="AZ10" t="str">
        <f t="shared" si="23"/>
        <v/>
      </c>
      <c r="BA10" t="str">
        <f t="shared" si="24"/>
        <v/>
      </c>
      <c r="BB10" t="str">
        <f t="shared" si="25"/>
        <v/>
      </c>
      <c r="BC10" t="str">
        <f t="shared" si="26"/>
        <v/>
      </c>
      <c r="BD10" t="str">
        <f t="shared" si="27"/>
        <v/>
      </c>
      <c r="BE10" t="str">
        <f t="shared" si="28"/>
        <v/>
      </c>
      <c r="BF10" t="str">
        <f t="shared" si="29"/>
        <v/>
      </c>
      <c r="BG10" t="str">
        <f t="shared" si="30"/>
        <v/>
      </c>
      <c r="BH10" t="str">
        <f t="shared" si="31"/>
        <v/>
      </c>
    </row>
    <row r="11" spans="1:66" x14ac:dyDescent="0.2">
      <c r="A11">
        <v>8</v>
      </c>
      <c r="B11">
        <v>74</v>
      </c>
      <c r="C11" t="s">
        <v>207</v>
      </c>
      <c r="J11">
        <v>1</v>
      </c>
      <c r="K11">
        <v>5</v>
      </c>
      <c r="N11">
        <v>4</v>
      </c>
      <c r="O11">
        <v>3</v>
      </c>
      <c r="S11">
        <v>1</v>
      </c>
      <c r="X11">
        <f t="shared" si="33"/>
        <v>0</v>
      </c>
      <c r="Z11" t="str">
        <f t="shared" si="0"/>
        <v/>
      </c>
      <c r="AA11" t="str">
        <f t="shared" si="1"/>
        <v/>
      </c>
      <c r="AB11" t="str">
        <f t="shared" si="2"/>
        <v/>
      </c>
      <c r="AC11" t="str">
        <f t="shared" si="3"/>
        <v/>
      </c>
      <c r="AE11" t="str">
        <f t="shared" si="4"/>
        <v/>
      </c>
      <c r="AF11" t="str">
        <f t="shared" si="5"/>
        <v/>
      </c>
      <c r="AG11" t="str">
        <f t="shared" si="6"/>
        <v/>
      </c>
      <c r="AH11" t="str">
        <f t="shared" si="7"/>
        <v/>
      </c>
      <c r="AI11" t="str">
        <f t="shared" si="8"/>
        <v/>
      </c>
      <c r="AK11" t="str">
        <f t="shared" si="9"/>
        <v/>
      </c>
      <c r="AL11" t="str">
        <f t="shared" si="32"/>
        <v/>
      </c>
      <c r="AM11" t="str">
        <f t="shared" si="10"/>
        <v/>
      </c>
      <c r="AN11" t="str">
        <f t="shared" si="11"/>
        <v/>
      </c>
      <c r="AO11" t="str">
        <f t="shared" si="12"/>
        <v/>
      </c>
      <c r="AP11" t="str">
        <f t="shared" si="13"/>
        <v/>
      </c>
      <c r="AQ11" t="str">
        <f t="shared" si="14"/>
        <v/>
      </c>
      <c r="AR11" t="str">
        <f t="shared" si="15"/>
        <v/>
      </c>
      <c r="AS11" t="str">
        <f t="shared" si="16"/>
        <v/>
      </c>
      <c r="AT11" t="str">
        <f t="shared" si="17"/>
        <v/>
      </c>
      <c r="AU11" t="str">
        <f t="shared" si="18"/>
        <v/>
      </c>
      <c r="AV11" t="str">
        <f t="shared" si="19"/>
        <v/>
      </c>
      <c r="AW11" t="str">
        <f t="shared" si="20"/>
        <v/>
      </c>
      <c r="AX11" t="str">
        <f t="shared" si="21"/>
        <v/>
      </c>
      <c r="AY11" t="str">
        <f t="shared" si="22"/>
        <v/>
      </c>
      <c r="AZ11" t="str">
        <f t="shared" si="23"/>
        <v/>
      </c>
      <c r="BA11" t="str">
        <f t="shared" si="24"/>
        <v/>
      </c>
      <c r="BB11" t="str">
        <f t="shared" si="25"/>
        <v/>
      </c>
      <c r="BC11" t="str">
        <f t="shared" si="26"/>
        <v/>
      </c>
      <c r="BD11" t="str">
        <f t="shared" si="27"/>
        <v/>
      </c>
      <c r="BE11" t="str">
        <f t="shared" si="28"/>
        <v/>
      </c>
      <c r="BF11" t="str">
        <f t="shared" si="29"/>
        <v/>
      </c>
      <c r="BG11" t="str">
        <f t="shared" si="30"/>
        <v/>
      </c>
      <c r="BH11" t="str">
        <f t="shared" si="31"/>
        <v/>
      </c>
    </row>
    <row r="12" spans="1:66" x14ac:dyDescent="0.2">
      <c r="A12">
        <v>9</v>
      </c>
      <c r="B12">
        <v>89</v>
      </c>
      <c r="C12" t="s">
        <v>207</v>
      </c>
      <c r="D12">
        <v>1</v>
      </c>
      <c r="F12">
        <v>1</v>
      </c>
      <c r="K12">
        <v>6</v>
      </c>
      <c r="N12">
        <v>5</v>
      </c>
      <c r="O12">
        <v>4</v>
      </c>
      <c r="S12">
        <v>1</v>
      </c>
      <c r="T12">
        <v>1</v>
      </c>
      <c r="U12">
        <v>4</v>
      </c>
      <c r="X12">
        <f t="shared" si="33"/>
        <v>0</v>
      </c>
      <c r="Z12" t="str">
        <f t="shared" si="0"/>
        <v/>
      </c>
      <c r="AA12" t="str">
        <f t="shared" si="1"/>
        <v/>
      </c>
      <c r="AB12" t="str">
        <f t="shared" si="2"/>
        <v/>
      </c>
      <c r="AC12" t="str">
        <f t="shared" si="3"/>
        <v/>
      </c>
      <c r="AE12" t="str">
        <f t="shared" si="4"/>
        <v/>
      </c>
      <c r="AF12" t="str">
        <f t="shared" si="5"/>
        <v/>
      </c>
      <c r="AG12" t="str">
        <f t="shared" si="6"/>
        <v/>
      </c>
      <c r="AH12" t="str">
        <f t="shared" si="7"/>
        <v/>
      </c>
      <c r="AI12" t="str">
        <f t="shared" si="8"/>
        <v/>
      </c>
      <c r="AK12" t="str">
        <f t="shared" si="9"/>
        <v/>
      </c>
      <c r="AL12" t="str">
        <f t="shared" si="32"/>
        <v/>
      </c>
      <c r="AM12" t="str">
        <f t="shared" si="10"/>
        <v/>
      </c>
      <c r="AN12" t="str">
        <f t="shared" si="11"/>
        <v/>
      </c>
      <c r="AO12" t="str">
        <f t="shared" si="12"/>
        <v/>
      </c>
      <c r="AP12" t="str">
        <f t="shared" si="13"/>
        <v/>
      </c>
      <c r="AQ12" t="str">
        <f t="shared" si="14"/>
        <v/>
      </c>
      <c r="AR12" t="str">
        <f t="shared" si="15"/>
        <v/>
      </c>
      <c r="AS12" t="str">
        <f t="shared" si="16"/>
        <v/>
      </c>
      <c r="AT12" t="str">
        <f t="shared" si="17"/>
        <v/>
      </c>
      <c r="AU12" t="str">
        <f t="shared" si="18"/>
        <v/>
      </c>
      <c r="AV12" t="str">
        <f t="shared" si="19"/>
        <v/>
      </c>
      <c r="AW12" t="str">
        <f t="shared" si="20"/>
        <v/>
      </c>
      <c r="AX12" t="str">
        <f t="shared" si="21"/>
        <v/>
      </c>
      <c r="AY12" t="str">
        <f t="shared" si="22"/>
        <v/>
      </c>
      <c r="AZ12" t="str">
        <f t="shared" si="23"/>
        <v/>
      </c>
      <c r="BA12" t="str">
        <f t="shared" si="24"/>
        <v/>
      </c>
      <c r="BB12" t="str">
        <f t="shared" si="25"/>
        <v/>
      </c>
      <c r="BC12" t="str">
        <f t="shared" si="26"/>
        <v/>
      </c>
      <c r="BD12" t="str">
        <f t="shared" si="27"/>
        <v/>
      </c>
      <c r="BE12" t="str">
        <f t="shared" si="28"/>
        <v/>
      </c>
      <c r="BF12" t="str">
        <f t="shared" si="29"/>
        <v/>
      </c>
      <c r="BG12" t="str">
        <f t="shared" si="30"/>
        <v/>
      </c>
      <c r="BH12" t="str">
        <f t="shared" si="31"/>
        <v/>
      </c>
    </row>
    <row r="13" spans="1:66" x14ac:dyDescent="0.2">
      <c r="A13">
        <v>10</v>
      </c>
      <c r="B13">
        <v>95</v>
      </c>
      <c r="C13" t="s">
        <v>207</v>
      </c>
      <c r="K13">
        <v>5</v>
      </c>
      <c r="N13">
        <v>6</v>
      </c>
      <c r="O13">
        <v>6</v>
      </c>
      <c r="X13">
        <f t="shared" si="33"/>
        <v>0</v>
      </c>
      <c r="Z13" t="str">
        <f t="shared" si="0"/>
        <v/>
      </c>
      <c r="AA13" t="str">
        <f t="shared" si="1"/>
        <v/>
      </c>
      <c r="AB13" t="str">
        <f t="shared" si="2"/>
        <v/>
      </c>
      <c r="AC13" t="str">
        <f t="shared" si="3"/>
        <v/>
      </c>
      <c r="AE13" t="str">
        <f t="shared" si="4"/>
        <v/>
      </c>
      <c r="AF13" t="str">
        <f t="shared" si="5"/>
        <v/>
      </c>
      <c r="AG13" t="str">
        <f t="shared" si="6"/>
        <v/>
      </c>
      <c r="AH13" t="str">
        <f t="shared" si="7"/>
        <v/>
      </c>
      <c r="AI13" t="str">
        <f t="shared" si="8"/>
        <v/>
      </c>
      <c r="AK13" t="str">
        <f t="shared" si="9"/>
        <v/>
      </c>
      <c r="AL13" t="str">
        <f t="shared" si="32"/>
        <v/>
      </c>
      <c r="AM13" t="str">
        <f t="shared" si="10"/>
        <v/>
      </c>
      <c r="AN13" t="str">
        <f t="shared" si="11"/>
        <v/>
      </c>
      <c r="AO13" t="str">
        <f t="shared" si="12"/>
        <v/>
      </c>
      <c r="AP13" t="str">
        <f t="shared" si="13"/>
        <v/>
      </c>
      <c r="AQ13" t="str">
        <f t="shared" si="14"/>
        <v/>
      </c>
      <c r="AR13" t="str">
        <f t="shared" si="15"/>
        <v/>
      </c>
      <c r="AS13" t="str">
        <f t="shared" si="16"/>
        <v/>
      </c>
      <c r="AT13" t="str">
        <f t="shared" si="17"/>
        <v/>
      </c>
      <c r="AU13" t="str">
        <f t="shared" si="18"/>
        <v/>
      </c>
      <c r="AV13" t="str">
        <f t="shared" si="19"/>
        <v/>
      </c>
      <c r="AW13" t="str">
        <f t="shared" si="20"/>
        <v/>
      </c>
      <c r="AX13" t="str">
        <f t="shared" si="21"/>
        <v/>
      </c>
      <c r="AY13" t="str">
        <f t="shared" si="22"/>
        <v/>
      </c>
      <c r="AZ13" t="str">
        <f t="shared" si="23"/>
        <v/>
      </c>
      <c r="BA13" t="str">
        <f t="shared" si="24"/>
        <v/>
      </c>
      <c r="BB13" t="str">
        <f t="shared" si="25"/>
        <v/>
      </c>
      <c r="BC13" t="str">
        <f t="shared" si="26"/>
        <v/>
      </c>
      <c r="BD13" t="str">
        <f t="shared" si="27"/>
        <v/>
      </c>
      <c r="BE13" t="str">
        <f t="shared" si="28"/>
        <v/>
      </c>
      <c r="BF13" t="str">
        <f t="shared" si="29"/>
        <v/>
      </c>
      <c r="BG13" t="str">
        <f t="shared" si="30"/>
        <v/>
      </c>
      <c r="BH13" t="str">
        <f t="shared" si="31"/>
        <v/>
      </c>
    </row>
    <row r="14" spans="1:66" x14ac:dyDescent="0.2">
      <c r="A14">
        <v>11</v>
      </c>
      <c r="B14">
        <v>103</v>
      </c>
      <c r="C14" t="s">
        <v>207</v>
      </c>
      <c r="D14">
        <v>1</v>
      </c>
      <c r="F14">
        <v>1</v>
      </c>
      <c r="K14">
        <v>4</v>
      </c>
      <c r="N14">
        <v>4</v>
      </c>
      <c r="O14">
        <v>4</v>
      </c>
      <c r="S14">
        <v>1</v>
      </c>
      <c r="T14">
        <v>1</v>
      </c>
      <c r="U14">
        <v>8</v>
      </c>
      <c r="X14">
        <f t="shared" si="33"/>
        <v>0</v>
      </c>
      <c r="Z14" t="s">
        <v>31</v>
      </c>
      <c r="AE14" t="s">
        <v>34</v>
      </c>
      <c r="AK14" t="s">
        <v>43</v>
      </c>
      <c r="AP14" t="s">
        <v>84</v>
      </c>
    </row>
    <row r="15" spans="1:66" x14ac:dyDescent="0.2">
      <c r="A15">
        <v>12</v>
      </c>
      <c r="B15">
        <v>120</v>
      </c>
      <c r="C15" t="s">
        <v>39</v>
      </c>
      <c r="K15">
        <v>5</v>
      </c>
      <c r="N15">
        <v>6</v>
      </c>
      <c r="O15">
        <v>6</v>
      </c>
      <c r="S15">
        <v>1</v>
      </c>
      <c r="T15">
        <v>1</v>
      </c>
      <c r="X15">
        <f t="shared" si="33"/>
        <v>0</v>
      </c>
      <c r="Z15" t="s">
        <v>21</v>
      </c>
      <c r="AA15" t="s">
        <v>22</v>
      </c>
      <c r="AE15" t="s">
        <v>21</v>
      </c>
      <c r="AF15" t="s">
        <v>22</v>
      </c>
      <c r="AG15" t="s">
        <v>35</v>
      </c>
      <c r="AK15" t="s">
        <v>10</v>
      </c>
      <c r="AL15" t="s">
        <v>25</v>
      </c>
      <c r="AM15" t="s">
        <v>26</v>
      </c>
      <c r="AN15" t="s">
        <v>27</v>
      </c>
      <c r="AP15" t="s">
        <v>15</v>
      </c>
      <c r="AQ15" t="s">
        <v>85</v>
      </c>
    </row>
    <row r="16" spans="1:66" x14ac:dyDescent="0.2">
      <c r="A16" t="s">
        <v>28</v>
      </c>
      <c r="D16">
        <f>SUM(D4:D15)</f>
        <v>6</v>
      </c>
      <c r="E16">
        <f>SUM(E4:E15)</f>
        <v>0</v>
      </c>
      <c r="F16">
        <f>SUM(F4:F15)</f>
        <v>5</v>
      </c>
      <c r="G16">
        <f>SUM(G4:G15)</f>
        <v>0</v>
      </c>
      <c r="H16">
        <f>SUM(H4:H15)</f>
        <v>0</v>
      </c>
      <c r="K16">
        <f>SUM(K4:K15)</f>
        <v>49</v>
      </c>
      <c r="L16">
        <f>SUM(L4:L15)</f>
        <v>2</v>
      </c>
      <c r="M16">
        <f>SUM(M4:M15)</f>
        <v>0</v>
      </c>
      <c r="N16">
        <f>SUM(N4:N15)</f>
        <v>53</v>
      </c>
      <c r="O16">
        <f>SUM(O4:O15)</f>
        <v>50</v>
      </c>
      <c r="Q16">
        <f t="shared" ref="Q16:R16" si="34">SUM(Q4:Q15)</f>
        <v>0</v>
      </c>
      <c r="R16">
        <f t="shared" si="34"/>
        <v>0</v>
      </c>
      <c r="S16">
        <f>SUM(S4:S15)</f>
        <v>10</v>
      </c>
      <c r="T16">
        <f>SUM(T4:T15)</f>
        <v>9</v>
      </c>
      <c r="U16">
        <f>SUM(U4:U15)</f>
        <v>68</v>
      </c>
      <c r="V16">
        <f>SUM(V4:V15)</f>
        <v>0</v>
      </c>
      <c r="W16">
        <f>SUM(W4:W15)</f>
        <v>0</v>
      </c>
      <c r="Z16">
        <f t="shared" ref="Z16:Z27" si="35">COUNTIF(Z2:AC2, "3")*COUNTIF(C4, "r")+COUNTIF(Z2:AC2, "5")*COUNTIF(C4, "b")</f>
        <v>0</v>
      </c>
      <c r="AA16">
        <f t="shared" ref="AA16:AA27" si="36">COUNTIF(Z2:AC2, "1")+COUNTIF(Z2:AC2, "2")+COUNTIF(Z2:AC2, "4")</f>
        <v>0</v>
      </c>
      <c r="AE16">
        <f t="shared" ref="AE16:AE27" si="37">COUNTIF(AE2:AI2, "3")*COUNTIF(C4, "r") + COUNTIF(AE2:AI2, "5")*COUNTIF(C4, "b")</f>
        <v>0</v>
      </c>
      <c r="AF16">
        <f t="shared" ref="AF16:AF27" si="38">COUNTIF(AE2:AI2, "1")+COUNTIF(AE2:AI2, "2")+COUNTIF(AE2:AI2, "4")</f>
        <v>0</v>
      </c>
      <c r="AG16">
        <f t="shared" ref="AG16:AG27" si="39">COUNTIF(AE2:AI2, "3")*COUNTIF(AE2:AI2, "b")+COUNTIF(AE2:AI2, "5")*COUNTIF(AE2:AI2, "r")</f>
        <v>0</v>
      </c>
      <c r="AK16">
        <f t="shared" ref="AK16:AK27" si="40">SUMPRODUCT(LEN($AK2:$BH2) - LEN(SUBSTITUTE($AK2:$BH2, "g", "")))</f>
        <v>0</v>
      </c>
      <c r="AL16">
        <f t="shared" ref="AL16:AL27" si="41">SUMPRODUCT(LEN($AK2:$BH2) - LEN(SUBSTITUTE($AK2:$BH2, "h", "")))</f>
        <v>0</v>
      </c>
      <c r="AM16">
        <f t="shared" ref="AM16:AM27" si="42">SUMPRODUCT(LEN($AK2:$BH2) - LEN(SUBSTITUTE($AK2:$BH2, "v", "")))</f>
        <v>0</v>
      </c>
      <c r="AN16">
        <f t="shared" ref="AN16:AN27" si="43">SUMPRODUCT(LEN($AK2:$BH2) - LEN(SUBSTITUTE($AK2:$BH2, "r", "")))</f>
        <v>0</v>
      </c>
      <c r="AP16">
        <f>MAX(AQ16:BN16)</f>
        <v>0</v>
      </c>
      <c r="AQ16" s="4">
        <f>_xlfn.NUMBERVALUE(RIGHT(AK2,1))</f>
        <v>0</v>
      </c>
      <c r="AR16" s="4">
        <f t="shared" ref="AR16:BN27" si="44">_xlfn.NUMBERVALUE(RIGHT(AL2,1))</f>
        <v>0</v>
      </c>
      <c r="AS16" s="4">
        <f t="shared" si="44"/>
        <v>0</v>
      </c>
      <c r="AT16" s="4">
        <f t="shared" si="44"/>
        <v>0</v>
      </c>
      <c r="AU16" s="4">
        <f t="shared" si="44"/>
        <v>0</v>
      </c>
      <c r="AV16" s="4">
        <f t="shared" si="44"/>
        <v>0</v>
      </c>
      <c r="AW16" s="4">
        <f t="shared" si="44"/>
        <v>0</v>
      </c>
      <c r="AX16" s="4">
        <f t="shared" si="44"/>
        <v>0</v>
      </c>
      <c r="AY16" s="4">
        <f t="shared" si="44"/>
        <v>0</v>
      </c>
      <c r="AZ16" s="4">
        <f t="shared" si="44"/>
        <v>0</v>
      </c>
      <c r="BA16" s="4">
        <f t="shared" si="44"/>
        <v>0</v>
      </c>
      <c r="BB16" s="4">
        <f t="shared" si="44"/>
        <v>0</v>
      </c>
      <c r="BC16" s="4">
        <f t="shared" si="44"/>
        <v>0</v>
      </c>
      <c r="BD16" s="4">
        <f t="shared" si="44"/>
        <v>0</v>
      </c>
      <c r="BE16" s="4">
        <f t="shared" si="44"/>
        <v>0</v>
      </c>
      <c r="BF16" s="4">
        <f t="shared" si="44"/>
        <v>0</v>
      </c>
      <c r="BG16" s="4">
        <f t="shared" si="44"/>
        <v>0</v>
      </c>
      <c r="BH16" s="4">
        <f t="shared" si="44"/>
        <v>0</v>
      </c>
      <c r="BI16" s="4">
        <f t="shared" si="44"/>
        <v>0</v>
      </c>
      <c r="BJ16" s="4">
        <f t="shared" si="44"/>
        <v>0</v>
      </c>
      <c r="BK16" s="4">
        <f t="shared" si="44"/>
        <v>0</v>
      </c>
      <c r="BL16" s="4">
        <f t="shared" si="44"/>
        <v>0</v>
      </c>
      <c r="BM16" s="4">
        <f t="shared" si="44"/>
        <v>0</v>
      </c>
      <c r="BN16" s="4">
        <f t="shared" si="44"/>
        <v>0</v>
      </c>
    </row>
    <row r="17" spans="1:66" x14ac:dyDescent="0.2">
      <c r="A17" s="1" t="s">
        <v>20</v>
      </c>
      <c r="D17" s="1" t="s">
        <v>49</v>
      </c>
      <c r="G17" s="1" t="s">
        <v>52</v>
      </c>
      <c r="K17" s="3" t="s">
        <v>74</v>
      </c>
      <c r="P17" s="1" t="s">
        <v>66</v>
      </c>
      <c r="Z17">
        <f t="shared" si="35"/>
        <v>0</v>
      </c>
      <c r="AA17">
        <f t="shared" si="36"/>
        <v>0</v>
      </c>
      <c r="AE17">
        <f t="shared" si="37"/>
        <v>0</v>
      </c>
      <c r="AF17">
        <f t="shared" si="38"/>
        <v>0</v>
      </c>
      <c r="AG17">
        <f t="shared" si="39"/>
        <v>0</v>
      </c>
      <c r="AK17">
        <f t="shared" si="40"/>
        <v>0</v>
      </c>
      <c r="AL17">
        <f t="shared" si="41"/>
        <v>0</v>
      </c>
      <c r="AM17">
        <f t="shared" si="42"/>
        <v>0</v>
      </c>
      <c r="AN17">
        <f t="shared" si="43"/>
        <v>0</v>
      </c>
      <c r="AP17">
        <f t="shared" ref="AP17:AP27" si="45">MAX(AQ17:BN17)</f>
        <v>0</v>
      </c>
      <c r="AQ17" s="4">
        <f t="shared" ref="AQ17:AQ27" si="46">_xlfn.NUMBERVALUE(RIGHT(AK3,1))</f>
        <v>0</v>
      </c>
      <c r="AR17" s="4">
        <f t="shared" si="44"/>
        <v>0</v>
      </c>
      <c r="AS17" s="4">
        <f t="shared" si="44"/>
        <v>0</v>
      </c>
      <c r="AT17" s="4">
        <f t="shared" si="44"/>
        <v>0</v>
      </c>
      <c r="AU17" s="4">
        <f t="shared" si="44"/>
        <v>0</v>
      </c>
      <c r="AV17" s="4">
        <f t="shared" si="44"/>
        <v>0</v>
      </c>
      <c r="AW17" s="4">
        <f t="shared" si="44"/>
        <v>0</v>
      </c>
      <c r="AX17" s="4">
        <f t="shared" si="44"/>
        <v>0</v>
      </c>
      <c r="AY17" s="4">
        <f t="shared" si="44"/>
        <v>0</v>
      </c>
      <c r="AZ17" s="4">
        <f t="shared" si="44"/>
        <v>0</v>
      </c>
      <c r="BA17" s="4">
        <f t="shared" si="44"/>
        <v>0</v>
      </c>
      <c r="BB17" s="4">
        <f t="shared" si="44"/>
        <v>0</v>
      </c>
      <c r="BC17" s="4">
        <f t="shared" si="44"/>
        <v>0</v>
      </c>
      <c r="BD17" s="4">
        <f t="shared" si="44"/>
        <v>0</v>
      </c>
      <c r="BE17" s="4">
        <f t="shared" si="44"/>
        <v>0</v>
      </c>
      <c r="BF17" s="4">
        <f t="shared" si="44"/>
        <v>0</v>
      </c>
      <c r="BG17" s="4">
        <f t="shared" si="44"/>
        <v>0</v>
      </c>
      <c r="BH17" s="4">
        <f t="shared" si="44"/>
        <v>0</v>
      </c>
      <c r="BI17" s="4">
        <f t="shared" si="44"/>
        <v>0</v>
      </c>
      <c r="BJ17" s="4">
        <f t="shared" si="44"/>
        <v>0</v>
      </c>
      <c r="BK17" s="4">
        <f t="shared" si="44"/>
        <v>0</v>
      </c>
      <c r="BL17" s="4">
        <f t="shared" si="44"/>
        <v>0</v>
      </c>
      <c r="BM17" s="4">
        <f t="shared" si="44"/>
        <v>0</v>
      </c>
      <c r="BN17" s="4">
        <f t="shared" ref="BN17:BN27" si="47">_xlfn.NUMBERVALUE(RIGHT(BH3,1))</f>
        <v>0</v>
      </c>
    </row>
    <row r="18" spans="1:66" x14ac:dyDescent="0.2">
      <c r="A18" t="s">
        <v>32</v>
      </c>
      <c r="B18" t="s">
        <v>21</v>
      </c>
      <c r="D18" t="s">
        <v>180</v>
      </c>
      <c r="G18" s="3" t="s">
        <v>53</v>
      </c>
      <c r="K18" t="s">
        <v>55</v>
      </c>
      <c r="M18" t="s">
        <v>65</v>
      </c>
      <c r="P18" t="s">
        <v>67</v>
      </c>
      <c r="Z18">
        <f t="shared" si="35"/>
        <v>0</v>
      </c>
      <c r="AA18">
        <f t="shared" si="36"/>
        <v>0</v>
      </c>
      <c r="AE18">
        <f t="shared" si="37"/>
        <v>0</v>
      </c>
      <c r="AF18">
        <f t="shared" si="38"/>
        <v>0</v>
      </c>
      <c r="AG18">
        <f t="shared" si="39"/>
        <v>0</v>
      </c>
      <c r="AK18">
        <f t="shared" si="40"/>
        <v>0</v>
      </c>
      <c r="AL18">
        <f t="shared" si="41"/>
        <v>0</v>
      </c>
      <c r="AM18">
        <f t="shared" si="42"/>
        <v>0</v>
      </c>
      <c r="AN18">
        <f t="shared" si="43"/>
        <v>0</v>
      </c>
      <c r="AP18">
        <f t="shared" si="45"/>
        <v>0</v>
      </c>
      <c r="AQ18" s="4">
        <f t="shared" si="46"/>
        <v>0</v>
      </c>
      <c r="AR18" s="4">
        <f t="shared" si="44"/>
        <v>0</v>
      </c>
      <c r="AS18" s="4">
        <f t="shared" si="44"/>
        <v>0</v>
      </c>
      <c r="AT18" s="4">
        <f t="shared" si="44"/>
        <v>0</v>
      </c>
      <c r="AU18" s="4">
        <f t="shared" si="44"/>
        <v>0</v>
      </c>
      <c r="AV18" s="4">
        <f t="shared" si="44"/>
        <v>0</v>
      </c>
      <c r="AW18" s="4">
        <f t="shared" si="44"/>
        <v>0</v>
      </c>
      <c r="AX18" s="4">
        <f t="shared" si="44"/>
        <v>0</v>
      </c>
      <c r="AY18" s="4">
        <f t="shared" si="44"/>
        <v>0</v>
      </c>
      <c r="AZ18" s="4">
        <f t="shared" si="44"/>
        <v>0</v>
      </c>
      <c r="BA18" s="4">
        <f t="shared" si="44"/>
        <v>0</v>
      </c>
      <c r="BB18" s="4">
        <f t="shared" si="44"/>
        <v>0</v>
      </c>
      <c r="BC18" s="4">
        <f t="shared" si="44"/>
        <v>0</v>
      </c>
      <c r="BD18" s="4">
        <f t="shared" si="44"/>
        <v>0</v>
      </c>
      <c r="BE18" s="4">
        <f t="shared" si="44"/>
        <v>0</v>
      </c>
      <c r="BF18" s="4">
        <f t="shared" si="44"/>
        <v>0</v>
      </c>
      <c r="BG18" s="4">
        <f t="shared" si="44"/>
        <v>0</v>
      </c>
      <c r="BH18" s="4">
        <f t="shared" si="44"/>
        <v>0</v>
      </c>
      <c r="BI18" s="4">
        <f t="shared" si="44"/>
        <v>0</v>
      </c>
      <c r="BJ18" s="4">
        <f t="shared" si="44"/>
        <v>0</v>
      </c>
      <c r="BK18" s="4">
        <f t="shared" si="44"/>
        <v>0</v>
      </c>
      <c r="BL18" s="4">
        <f t="shared" si="44"/>
        <v>0</v>
      </c>
      <c r="BM18" s="4">
        <f t="shared" ref="BM18:BM27" si="48">_xlfn.NUMBERVALUE(RIGHT(BG4,1))</f>
        <v>0</v>
      </c>
      <c r="BN18" s="4">
        <f t="shared" si="47"/>
        <v>0</v>
      </c>
    </row>
    <row r="19" spans="1:66" x14ac:dyDescent="0.2">
      <c r="A19" t="s">
        <v>40</v>
      </c>
      <c r="B19" t="s">
        <v>22</v>
      </c>
      <c r="D19">
        <f>E16/D16</f>
        <v>0</v>
      </c>
      <c r="G19" t="s">
        <v>75</v>
      </c>
      <c r="K19">
        <f>O16/N16</f>
        <v>0.94339622641509435</v>
      </c>
      <c r="M19">
        <f>SUM(M39:M50)</f>
        <v>-1</v>
      </c>
      <c r="P19">
        <f>T16/S16</f>
        <v>0.9</v>
      </c>
      <c r="Z19">
        <f t="shared" si="35"/>
        <v>0</v>
      </c>
      <c r="AA19">
        <f t="shared" si="36"/>
        <v>0</v>
      </c>
      <c r="AE19">
        <f t="shared" si="37"/>
        <v>0</v>
      </c>
      <c r="AF19">
        <f t="shared" si="38"/>
        <v>0</v>
      </c>
      <c r="AG19">
        <f t="shared" si="39"/>
        <v>0</v>
      </c>
      <c r="AK19">
        <f t="shared" si="40"/>
        <v>0</v>
      </c>
      <c r="AL19">
        <f t="shared" si="41"/>
        <v>0</v>
      </c>
      <c r="AM19">
        <f t="shared" si="42"/>
        <v>0</v>
      </c>
      <c r="AN19">
        <f t="shared" si="43"/>
        <v>0</v>
      </c>
      <c r="AP19">
        <f t="shared" si="45"/>
        <v>0</v>
      </c>
      <c r="AQ19" s="4">
        <f t="shared" si="46"/>
        <v>0</v>
      </c>
      <c r="AR19" s="4">
        <f t="shared" si="44"/>
        <v>0</v>
      </c>
      <c r="AS19" s="4">
        <f t="shared" si="44"/>
        <v>0</v>
      </c>
      <c r="AT19" s="4">
        <f t="shared" si="44"/>
        <v>0</v>
      </c>
      <c r="AU19" s="4">
        <f t="shared" si="44"/>
        <v>0</v>
      </c>
      <c r="AV19" s="4">
        <f t="shared" si="44"/>
        <v>0</v>
      </c>
      <c r="AW19" s="4">
        <f t="shared" si="44"/>
        <v>0</v>
      </c>
      <c r="AX19" s="4">
        <f t="shared" si="44"/>
        <v>0</v>
      </c>
      <c r="AY19" s="4">
        <f t="shared" si="44"/>
        <v>0</v>
      </c>
      <c r="AZ19" s="4">
        <f t="shared" si="44"/>
        <v>0</v>
      </c>
      <c r="BA19" s="4">
        <f t="shared" si="44"/>
        <v>0</v>
      </c>
      <c r="BB19" s="4">
        <f t="shared" si="44"/>
        <v>0</v>
      </c>
      <c r="BC19" s="4">
        <f t="shared" si="44"/>
        <v>0</v>
      </c>
      <c r="BD19" s="4">
        <f t="shared" si="44"/>
        <v>0</v>
      </c>
      <c r="BE19" s="4">
        <f t="shared" si="44"/>
        <v>0</v>
      </c>
      <c r="BF19" s="4">
        <f t="shared" si="44"/>
        <v>0</v>
      </c>
      <c r="BG19" s="4">
        <f t="shared" si="44"/>
        <v>0</v>
      </c>
      <c r="BH19" s="4">
        <f t="shared" si="44"/>
        <v>0</v>
      </c>
      <c r="BI19" s="4">
        <f t="shared" si="44"/>
        <v>0</v>
      </c>
      <c r="BJ19" s="4">
        <f t="shared" si="44"/>
        <v>0</v>
      </c>
      <c r="BK19" s="4">
        <f t="shared" si="44"/>
        <v>0</v>
      </c>
      <c r="BL19" s="4">
        <f t="shared" si="44"/>
        <v>0</v>
      </c>
      <c r="BM19" s="4">
        <f t="shared" si="48"/>
        <v>0</v>
      </c>
      <c r="BN19" s="4">
        <f t="shared" si="47"/>
        <v>0</v>
      </c>
    </row>
    <row r="20" spans="1:66" x14ac:dyDescent="0.2">
      <c r="A20" t="s">
        <v>41</v>
      </c>
      <c r="B20" t="s">
        <v>23</v>
      </c>
      <c r="D20" t="s">
        <v>47</v>
      </c>
      <c r="G20" t="e">
        <f>AK28/AP28</f>
        <v>#DIV/0!</v>
      </c>
      <c r="K20" t="s">
        <v>13</v>
      </c>
      <c r="Z20">
        <f t="shared" si="35"/>
        <v>0</v>
      </c>
      <c r="AA20">
        <f t="shared" si="36"/>
        <v>0</v>
      </c>
      <c r="AE20">
        <f t="shared" si="37"/>
        <v>0</v>
      </c>
      <c r="AF20">
        <f t="shared" si="38"/>
        <v>0</v>
      </c>
      <c r="AG20">
        <f t="shared" si="39"/>
        <v>0</v>
      </c>
      <c r="AK20">
        <f t="shared" si="40"/>
        <v>0</v>
      </c>
      <c r="AL20">
        <f t="shared" si="41"/>
        <v>0</v>
      </c>
      <c r="AM20">
        <f t="shared" si="42"/>
        <v>0</v>
      </c>
      <c r="AN20">
        <f t="shared" si="43"/>
        <v>0</v>
      </c>
      <c r="AP20">
        <f t="shared" si="45"/>
        <v>0</v>
      </c>
      <c r="AQ20" s="4">
        <f t="shared" si="46"/>
        <v>0</v>
      </c>
      <c r="AR20" s="4">
        <f t="shared" si="44"/>
        <v>0</v>
      </c>
      <c r="AS20" s="4">
        <f t="shared" si="44"/>
        <v>0</v>
      </c>
      <c r="AT20" s="4">
        <f t="shared" si="44"/>
        <v>0</v>
      </c>
      <c r="AU20" s="4">
        <f t="shared" si="44"/>
        <v>0</v>
      </c>
      <c r="AV20" s="4">
        <f t="shared" si="44"/>
        <v>0</v>
      </c>
      <c r="AW20" s="4">
        <f t="shared" si="44"/>
        <v>0</v>
      </c>
      <c r="AX20" s="4">
        <f t="shared" si="44"/>
        <v>0</v>
      </c>
      <c r="AY20" s="4">
        <f t="shared" si="44"/>
        <v>0</v>
      </c>
      <c r="AZ20" s="4">
        <f t="shared" si="44"/>
        <v>0</v>
      </c>
      <c r="BA20" s="4">
        <f t="shared" si="44"/>
        <v>0</v>
      </c>
      <c r="BB20" s="4">
        <f t="shared" si="44"/>
        <v>0</v>
      </c>
      <c r="BC20" s="4">
        <f t="shared" si="44"/>
        <v>0</v>
      </c>
      <c r="BD20" s="4">
        <f t="shared" si="44"/>
        <v>0</v>
      </c>
      <c r="BE20" s="4">
        <f t="shared" si="44"/>
        <v>0</v>
      </c>
      <c r="BF20" s="4">
        <f t="shared" si="44"/>
        <v>0</v>
      </c>
      <c r="BG20" s="4">
        <f t="shared" si="44"/>
        <v>0</v>
      </c>
      <c r="BH20" s="4">
        <f t="shared" si="44"/>
        <v>0</v>
      </c>
      <c r="BI20" s="4">
        <f t="shared" si="44"/>
        <v>0</v>
      </c>
      <c r="BJ20" s="4">
        <f t="shared" si="44"/>
        <v>0</v>
      </c>
      <c r="BK20" s="4">
        <f t="shared" si="44"/>
        <v>0</v>
      </c>
      <c r="BL20" s="4">
        <f t="shared" si="44"/>
        <v>0</v>
      </c>
      <c r="BM20" s="4">
        <f t="shared" si="48"/>
        <v>0</v>
      </c>
      <c r="BN20" s="4">
        <f t="shared" si="47"/>
        <v>0</v>
      </c>
    </row>
    <row r="21" spans="1:66" x14ac:dyDescent="0.2">
      <c r="A21" s="1" t="s">
        <v>24</v>
      </c>
      <c r="D21">
        <f>G16/A31</f>
        <v>0</v>
      </c>
      <c r="G21" t="s">
        <v>76</v>
      </c>
      <c r="K21" t="s">
        <v>57</v>
      </c>
      <c r="L21" t="s">
        <v>58</v>
      </c>
      <c r="M21" t="s">
        <v>59</v>
      </c>
      <c r="N21" t="s">
        <v>60</v>
      </c>
      <c r="Z21">
        <f t="shared" si="35"/>
        <v>0</v>
      </c>
      <c r="AA21">
        <f t="shared" si="36"/>
        <v>0</v>
      </c>
      <c r="AE21">
        <f t="shared" si="37"/>
        <v>0</v>
      </c>
      <c r="AF21">
        <f t="shared" si="38"/>
        <v>0</v>
      </c>
      <c r="AG21">
        <f t="shared" si="39"/>
        <v>0</v>
      </c>
      <c r="AK21">
        <f t="shared" si="40"/>
        <v>0</v>
      </c>
      <c r="AL21">
        <f t="shared" si="41"/>
        <v>0</v>
      </c>
      <c r="AM21">
        <f t="shared" si="42"/>
        <v>0</v>
      </c>
      <c r="AN21">
        <f t="shared" si="43"/>
        <v>0</v>
      </c>
      <c r="AP21">
        <f t="shared" si="45"/>
        <v>0</v>
      </c>
      <c r="AQ21" s="4">
        <f t="shared" si="46"/>
        <v>0</v>
      </c>
      <c r="AR21" s="4">
        <f t="shared" si="44"/>
        <v>0</v>
      </c>
      <c r="AS21" s="4">
        <f t="shared" si="44"/>
        <v>0</v>
      </c>
      <c r="AT21" s="4">
        <f t="shared" si="44"/>
        <v>0</v>
      </c>
      <c r="AU21" s="4">
        <f t="shared" si="44"/>
        <v>0</v>
      </c>
      <c r="AV21" s="4">
        <f t="shared" si="44"/>
        <v>0</v>
      </c>
      <c r="AW21" s="4">
        <f t="shared" si="44"/>
        <v>0</v>
      </c>
      <c r="AX21" s="4">
        <f t="shared" si="44"/>
        <v>0</v>
      </c>
      <c r="AY21" s="4">
        <f t="shared" si="44"/>
        <v>0</v>
      </c>
      <c r="AZ21" s="4">
        <f t="shared" si="44"/>
        <v>0</v>
      </c>
      <c r="BA21" s="4">
        <f t="shared" si="44"/>
        <v>0</v>
      </c>
      <c r="BB21" s="4">
        <f t="shared" si="44"/>
        <v>0</v>
      </c>
      <c r="BC21" s="4">
        <f t="shared" si="44"/>
        <v>0</v>
      </c>
      <c r="BD21" s="4">
        <f t="shared" si="44"/>
        <v>0</v>
      </c>
      <c r="BE21" s="4">
        <f t="shared" si="44"/>
        <v>0</v>
      </c>
      <c r="BF21" s="4">
        <f t="shared" si="44"/>
        <v>0</v>
      </c>
      <c r="BG21" s="4">
        <f t="shared" si="44"/>
        <v>0</v>
      </c>
      <c r="BH21" s="4">
        <f t="shared" si="44"/>
        <v>0</v>
      </c>
      <c r="BI21" s="4">
        <f t="shared" si="44"/>
        <v>0</v>
      </c>
      <c r="BJ21" s="4">
        <f t="shared" si="44"/>
        <v>0</v>
      </c>
      <c r="BK21" s="4">
        <f t="shared" si="44"/>
        <v>0</v>
      </c>
      <c r="BL21" s="4">
        <f t="shared" si="44"/>
        <v>0</v>
      </c>
      <c r="BM21" s="4">
        <f t="shared" si="48"/>
        <v>0</v>
      </c>
      <c r="BN21" s="4">
        <f t="shared" si="47"/>
        <v>0</v>
      </c>
    </row>
    <row r="22" spans="1:66" x14ac:dyDescent="0.2">
      <c r="A22" t="s">
        <v>36</v>
      </c>
      <c r="B22" t="s">
        <v>10</v>
      </c>
      <c r="D22" t="s">
        <v>48</v>
      </c>
      <c r="G22" t="e">
        <f>AL28/AP28</f>
        <v>#DIV/0!</v>
      </c>
      <c r="K22">
        <f>AVERAGE(C39:C50)</f>
        <v>4.166666666666667</v>
      </c>
      <c r="L22">
        <f>MEDIAN(C39:C50)</f>
        <v>4</v>
      </c>
      <c r="M22">
        <f>MAX(C39:C50)</f>
        <v>6</v>
      </c>
      <c r="N22">
        <f>_xlfn.STDEV.S(C39:C50)</f>
        <v>1.8504708655481241</v>
      </c>
      <c r="Z22">
        <f t="shared" si="35"/>
        <v>0</v>
      </c>
      <c r="AA22">
        <f t="shared" si="36"/>
        <v>0</v>
      </c>
      <c r="AE22">
        <f t="shared" si="37"/>
        <v>0</v>
      </c>
      <c r="AF22">
        <f t="shared" si="38"/>
        <v>1</v>
      </c>
      <c r="AG22">
        <f t="shared" si="39"/>
        <v>0</v>
      </c>
      <c r="AK22">
        <f t="shared" si="40"/>
        <v>0</v>
      </c>
      <c r="AL22">
        <f t="shared" si="41"/>
        <v>0</v>
      </c>
      <c r="AM22">
        <f t="shared" si="42"/>
        <v>0</v>
      </c>
      <c r="AN22">
        <f t="shared" si="43"/>
        <v>0</v>
      </c>
      <c r="AP22">
        <f t="shared" si="45"/>
        <v>0</v>
      </c>
      <c r="AQ22" s="4">
        <f t="shared" si="46"/>
        <v>0</v>
      </c>
      <c r="AR22" s="4">
        <f t="shared" si="44"/>
        <v>0</v>
      </c>
      <c r="AS22" s="4">
        <f t="shared" si="44"/>
        <v>0</v>
      </c>
      <c r="AT22" s="4">
        <f t="shared" si="44"/>
        <v>0</v>
      </c>
      <c r="AU22" s="4">
        <f t="shared" si="44"/>
        <v>0</v>
      </c>
      <c r="AV22" s="4">
        <f t="shared" si="44"/>
        <v>0</v>
      </c>
      <c r="AW22" s="4">
        <f t="shared" si="44"/>
        <v>0</v>
      </c>
      <c r="AX22" s="4">
        <f t="shared" si="44"/>
        <v>0</v>
      </c>
      <c r="AY22" s="4">
        <f t="shared" si="44"/>
        <v>0</v>
      </c>
      <c r="AZ22" s="4">
        <f t="shared" si="44"/>
        <v>0</v>
      </c>
      <c r="BA22" s="4">
        <f t="shared" si="44"/>
        <v>0</v>
      </c>
      <c r="BB22" s="4">
        <f t="shared" si="44"/>
        <v>0</v>
      </c>
      <c r="BC22" s="4">
        <f t="shared" si="44"/>
        <v>0</v>
      </c>
      <c r="BD22" s="4">
        <f t="shared" si="44"/>
        <v>0</v>
      </c>
      <c r="BE22" s="4">
        <f t="shared" si="44"/>
        <v>0</v>
      </c>
      <c r="BF22" s="4">
        <f t="shared" si="44"/>
        <v>0</v>
      </c>
      <c r="BG22" s="4">
        <f t="shared" si="44"/>
        <v>0</v>
      </c>
      <c r="BH22" s="4">
        <f t="shared" si="44"/>
        <v>0</v>
      </c>
      <c r="BI22" s="4">
        <f t="shared" si="44"/>
        <v>0</v>
      </c>
      <c r="BJ22" s="4">
        <f t="shared" si="44"/>
        <v>0</v>
      </c>
      <c r="BK22" s="4">
        <f t="shared" si="44"/>
        <v>0</v>
      </c>
      <c r="BL22" s="4">
        <f t="shared" si="44"/>
        <v>0</v>
      </c>
      <c r="BM22" s="4">
        <f t="shared" si="48"/>
        <v>0</v>
      </c>
      <c r="BN22" s="4">
        <f t="shared" si="47"/>
        <v>0</v>
      </c>
    </row>
    <row r="23" spans="1:66" x14ac:dyDescent="0.2">
      <c r="A23" t="s">
        <v>37</v>
      </c>
      <c r="B23" t="s">
        <v>25</v>
      </c>
      <c r="D23">
        <f>H16/A31</f>
        <v>0</v>
      </c>
      <c r="G23" t="s">
        <v>77</v>
      </c>
      <c r="K23" t="s">
        <v>8</v>
      </c>
      <c r="Z23">
        <f t="shared" si="35"/>
        <v>0</v>
      </c>
      <c r="AA23">
        <f t="shared" si="36"/>
        <v>0</v>
      </c>
      <c r="AE23">
        <f t="shared" si="37"/>
        <v>0</v>
      </c>
      <c r="AF23">
        <f t="shared" si="38"/>
        <v>1</v>
      </c>
      <c r="AG23">
        <f t="shared" si="39"/>
        <v>0</v>
      </c>
      <c r="AK23">
        <f t="shared" si="40"/>
        <v>0</v>
      </c>
      <c r="AL23">
        <f t="shared" si="41"/>
        <v>0</v>
      </c>
      <c r="AM23">
        <f t="shared" si="42"/>
        <v>0</v>
      </c>
      <c r="AN23">
        <f t="shared" si="43"/>
        <v>0</v>
      </c>
      <c r="AP23">
        <f t="shared" si="45"/>
        <v>0</v>
      </c>
      <c r="AQ23" s="4">
        <f t="shared" si="46"/>
        <v>0</v>
      </c>
      <c r="AR23" s="4">
        <f t="shared" si="44"/>
        <v>0</v>
      </c>
      <c r="AS23" s="4">
        <f t="shared" si="44"/>
        <v>0</v>
      </c>
      <c r="AT23" s="4">
        <f t="shared" si="44"/>
        <v>0</v>
      </c>
      <c r="AU23" s="4">
        <f t="shared" si="44"/>
        <v>0</v>
      </c>
      <c r="AV23" s="4">
        <f t="shared" si="44"/>
        <v>0</v>
      </c>
      <c r="AW23" s="4">
        <f t="shared" si="44"/>
        <v>0</v>
      </c>
      <c r="AX23" s="4">
        <f t="shared" si="44"/>
        <v>0</v>
      </c>
      <c r="AY23" s="4">
        <f t="shared" si="44"/>
        <v>0</v>
      </c>
      <c r="AZ23" s="4">
        <f t="shared" si="44"/>
        <v>0</v>
      </c>
      <c r="BA23" s="4">
        <f t="shared" si="44"/>
        <v>0</v>
      </c>
      <c r="BB23" s="4">
        <f t="shared" si="44"/>
        <v>0</v>
      </c>
      <c r="BC23" s="4">
        <f t="shared" si="44"/>
        <v>0</v>
      </c>
      <c r="BD23" s="4">
        <f t="shared" si="44"/>
        <v>0</v>
      </c>
      <c r="BE23" s="4">
        <f t="shared" si="44"/>
        <v>0</v>
      </c>
      <c r="BF23" s="4">
        <f t="shared" si="44"/>
        <v>0</v>
      </c>
      <c r="BG23" s="4">
        <f t="shared" si="44"/>
        <v>0</v>
      </c>
      <c r="BH23" s="4">
        <f t="shared" si="44"/>
        <v>0</v>
      </c>
      <c r="BI23" s="4">
        <f t="shared" si="44"/>
        <v>0</v>
      </c>
      <c r="BJ23" s="4">
        <f t="shared" si="44"/>
        <v>0</v>
      </c>
      <c r="BK23" s="4">
        <f t="shared" si="44"/>
        <v>0</v>
      </c>
      <c r="BL23" s="4">
        <f t="shared" si="44"/>
        <v>0</v>
      </c>
      <c r="BM23" s="4">
        <f t="shared" si="48"/>
        <v>0</v>
      </c>
      <c r="BN23" s="4">
        <f t="shared" si="47"/>
        <v>0</v>
      </c>
    </row>
    <row r="24" spans="1:66" x14ac:dyDescent="0.2">
      <c r="A24" t="s">
        <v>38</v>
      </c>
      <c r="B24" t="s">
        <v>26</v>
      </c>
      <c r="D24" t="s">
        <v>50</v>
      </c>
      <c r="G24" t="e">
        <f>AM28/AP28</f>
        <v>#DIV/0!</v>
      </c>
      <c r="K24" t="s">
        <v>57</v>
      </c>
      <c r="L24" t="s">
        <v>61</v>
      </c>
      <c r="M24" t="s">
        <v>59</v>
      </c>
      <c r="N24" t="s">
        <v>60</v>
      </c>
      <c r="Z24">
        <f t="shared" si="35"/>
        <v>0</v>
      </c>
      <c r="AA24">
        <f t="shared" si="36"/>
        <v>0</v>
      </c>
      <c r="AE24">
        <f t="shared" si="37"/>
        <v>0</v>
      </c>
      <c r="AF24">
        <f t="shared" si="38"/>
        <v>0</v>
      </c>
      <c r="AG24">
        <f t="shared" si="39"/>
        <v>0</v>
      </c>
      <c r="AK24">
        <f t="shared" si="40"/>
        <v>0</v>
      </c>
      <c r="AL24">
        <f t="shared" si="41"/>
        <v>0</v>
      </c>
      <c r="AM24">
        <f t="shared" si="42"/>
        <v>0</v>
      </c>
      <c r="AN24">
        <f t="shared" si="43"/>
        <v>0</v>
      </c>
      <c r="AP24">
        <f t="shared" si="45"/>
        <v>0</v>
      </c>
      <c r="AQ24" s="4">
        <f t="shared" si="46"/>
        <v>0</v>
      </c>
      <c r="AR24" s="4">
        <f t="shared" si="44"/>
        <v>0</v>
      </c>
      <c r="AS24" s="4">
        <f t="shared" si="44"/>
        <v>0</v>
      </c>
      <c r="AT24" s="4">
        <f t="shared" si="44"/>
        <v>0</v>
      </c>
      <c r="AU24" s="4">
        <f t="shared" si="44"/>
        <v>0</v>
      </c>
      <c r="AV24" s="4">
        <f t="shared" si="44"/>
        <v>0</v>
      </c>
      <c r="AW24" s="4">
        <f t="shared" si="44"/>
        <v>0</v>
      </c>
      <c r="AX24" s="4">
        <f t="shared" si="44"/>
        <v>0</v>
      </c>
      <c r="AY24" s="4">
        <f t="shared" si="44"/>
        <v>0</v>
      </c>
      <c r="AZ24" s="4">
        <f t="shared" si="44"/>
        <v>0</v>
      </c>
      <c r="BA24" s="4">
        <f t="shared" si="44"/>
        <v>0</v>
      </c>
      <c r="BB24" s="4">
        <f t="shared" si="44"/>
        <v>0</v>
      </c>
      <c r="BC24" s="4">
        <f t="shared" si="44"/>
        <v>0</v>
      </c>
      <c r="BD24" s="4">
        <f t="shared" si="44"/>
        <v>0</v>
      </c>
      <c r="BE24" s="4">
        <f t="shared" si="44"/>
        <v>0</v>
      </c>
      <c r="BF24" s="4">
        <f t="shared" si="44"/>
        <v>0</v>
      </c>
      <c r="BG24" s="4">
        <f t="shared" si="44"/>
        <v>0</v>
      </c>
      <c r="BH24" s="4">
        <f t="shared" si="44"/>
        <v>0</v>
      </c>
      <c r="BI24" s="4">
        <f t="shared" si="44"/>
        <v>0</v>
      </c>
      <c r="BJ24" s="4">
        <f t="shared" si="44"/>
        <v>0</v>
      </c>
      <c r="BK24" s="4">
        <f t="shared" si="44"/>
        <v>0</v>
      </c>
      <c r="BL24" s="4">
        <f t="shared" si="44"/>
        <v>0</v>
      </c>
      <c r="BM24" s="4">
        <f t="shared" si="48"/>
        <v>0</v>
      </c>
      <c r="BN24" s="4">
        <f t="shared" si="47"/>
        <v>0</v>
      </c>
    </row>
    <row r="25" spans="1:66" x14ac:dyDescent="0.2">
      <c r="A25" t="s">
        <v>39</v>
      </c>
      <c r="B25" t="s">
        <v>27</v>
      </c>
      <c r="D25">
        <f>Z28/A31</f>
        <v>0</v>
      </c>
      <c r="G25" t="s">
        <v>78</v>
      </c>
      <c r="K25">
        <f>AVERAGE(E39:E50)</f>
        <v>0</v>
      </c>
      <c r="L25">
        <f>MEDIAN(E39:E50)</f>
        <v>0</v>
      </c>
      <c r="M25">
        <f>MAX(E39:E50)</f>
        <v>0</v>
      </c>
      <c r="N25">
        <f>_xlfn.STDEV.S(E39:E50)</f>
        <v>0</v>
      </c>
      <c r="Z25">
        <f t="shared" si="35"/>
        <v>0</v>
      </c>
      <c r="AA25">
        <f t="shared" si="36"/>
        <v>0</v>
      </c>
      <c r="AE25">
        <f t="shared" si="37"/>
        <v>0</v>
      </c>
      <c r="AF25">
        <f t="shared" si="38"/>
        <v>0</v>
      </c>
      <c r="AG25">
        <f t="shared" si="39"/>
        <v>0</v>
      </c>
      <c r="AK25">
        <f t="shared" si="40"/>
        <v>0</v>
      </c>
      <c r="AL25">
        <f t="shared" si="41"/>
        <v>0</v>
      </c>
      <c r="AM25">
        <f t="shared" si="42"/>
        <v>0</v>
      </c>
      <c r="AN25">
        <f t="shared" si="43"/>
        <v>0</v>
      </c>
      <c r="AP25">
        <f t="shared" si="45"/>
        <v>0</v>
      </c>
      <c r="AQ25" s="4">
        <f t="shared" si="46"/>
        <v>0</v>
      </c>
      <c r="AR25" s="4">
        <f t="shared" si="44"/>
        <v>0</v>
      </c>
      <c r="AS25" s="4">
        <f t="shared" si="44"/>
        <v>0</v>
      </c>
      <c r="AT25" s="4">
        <f t="shared" si="44"/>
        <v>0</v>
      </c>
      <c r="AU25" s="4">
        <f t="shared" si="44"/>
        <v>0</v>
      </c>
      <c r="AV25" s="4">
        <f t="shared" si="44"/>
        <v>0</v>
      </c>
      <c r="AW25" s="4">
        <f t="shared" si="44"/>
        <v>0</v>
      </c>
      <c r="AX25" s="4">
        <f t="shared" si="44"/>
        <v>0</v>
      </c>
      <c r="AY25" s="4">
        <f t="shared" si="44"/>
        <v>0</v>
      </c>
      <c r="AZ25" s="4">
        <f t="shared" si="44"/>
        <v>0</v>
      </c>
      <c r="BA25" s="4">
        <f t="shared" si="44"/>
        <v>0</v>
      </c>
      <c r="BB25" s="4">
        <f t="shared" si="44"/>
        <v>0</v>
      </c>
      <c r="BC25" s="4">
        <f t="shared" si="44"/>
        <v>0</v>
      </c>
      <c r="BD25" s="4">
        <f t="shared" si="44"/>
        <v>0</v>
      </c>
      <c r="BE25" s="4">
        <f t="shared" si="44"/>
        <v>0</v>
      </c>
      <c r="BF25" s="4">
        <f t="shared" si="44"/>
        <v>0</v>
      </c>
      <c r="BG25" s="4">
        <f t="shared" si="44"/>
        <v>0</v>
      </c>
      <c r="BH25" s="4">
        <f t="shared" si="44"/>
        <v>0</v>
      </c>
      <c r="BI25" s="4">
        <f t="shared" si="44"/>
        <v>0</v>
      </c>
      <c r="BJ25" s="4">
        <f t="shared" si="44"/>
        <v>0</v>
      </c>
      <c r="BK25" s="4">
        <f t="shared" si="44"/>
        <v>0</v>
      </c>
      <c r="BL25" s="4">
        <f t="shared" si="44"/>
        <v>0</v>
      </c>
      <c r="BM25" s="4">
        <f t="shared" si="48"/>
        <v>0</v>
      </c>
      <c r="BN25" s="4">
        <f t="shared" si="47"/>
        <v>0</v>
      </c>
    </row>
    <row r="26" spans="1:66" x14ac:dyDescent="0.2">
      <c r="A26" t="s">
        <v>44</v>
      </c>
      <c r="D26" t="s">
        <v>51</v>
      </c>
      <c r="G26" t="e">
        <f>AN28/AP28</f>
        <v>#DIV/0!</v>
      </c>
      <c r="K26" t="s">
        <v>62</v>
      </c>
      <c r="P26" t="s">
        <v>19</v>
      </c>
      <c r="Z26">
        <f t="shared" si="35"/>
        <v>0</v>
      </c>
      <c r="AA26">
        <f t="shared" si="36"/>
        <v>0</v>
      </c>
      <c r="AE26">
        <f t="shared" si="37"/>
        <v>0</v>
      </c>
      <c r="AF26">
        <f t="shared" si="38"/>
        <v>0</v>
      </c>
      <c r="AG26">
        <f t="shared" si="39"/>
        <v>0</v>
      </c>
      <c r="AK26">
        <f t="shared" si="40"/>
        <v>0</v>
      </c>
      <c r="AL26">
        <f t="shared" si="41"/>
        <v>0</v>
      </c>
      <c r="AM26">
        <f t="shared" si="42"/>
        <v>0</v>
      </c>
      <c r="AN26">
        <f t="shared" si="43"/>
        <v>0</v>
      </c>
      <c r="AP26">
        <f t="shared" si="45"/>
        <v>0</v>
      </c>
      <c r="AQ26" s="4">
        <f t="shared" si="46"/>
        <v>0</v>
      </c>
      <c r="AR26" s="4">
        <f t="shared" si="44"/>
        <v>0</v>
      </c>
      <c r="AS26" s="4">
        <f t="shared" si="44"/>
        <v>0</v>
      </c>
      <c r="AT26" s="4">
        <f t="shared" si="44"/>
        <v>0</v>
      </c>
      <c r="AU26" s="4">
        <f t="shared" si="44"/>
        <v>0</v>
      </c>
      <c r="AV26" s="4">
        <f t="shared" si="44"/>
        <v>0</v>
      </c>
      <c r="AW26" s="4">
        <f t="shared" si="44"/>
        <v>0</v>
      </c>
      <c r="AX26" s="4">
        <f t="shared" si="44"/>
        <v>0</v>
      </c>
      <c r="AY26" s="4">
        <f t="shared" si="44"/>
        <v>0</v>
      </c>
      <c r="AZ26" s="4">
        <f t="shared" si="44"/>
        <v>0</v>
      </c>
      <c r="BA26" s="4">
        <f t="shared" si="44"/>
        <v>0</v>
      </c>
      <c r="BB26" s="4">
        <f t="shared" si="44"/>
        <v>0</v>
      </c>
      <c r="BC26" s="4">
        <f t="shared" si="44"/>
        <v>0</v>
      </c>
      <c r="BD26" s="4">
        <f t="shared" si="44"/>
        <v>0</v>
      </c>
      <c r="BE26" s="4">
        <f t="shared" si="44"/>
        <v>0</v>
      </c>
      <c r="BF26" s="4">
        <f t="shared" si="44"/>
        <v>0</v>
      </c>
      <c r="BG26" s="4">
        <f t="shared" si="44"/>
        <v>0</v>
      </c>
      <c r="BH26" s="4">
        <f t="shared" si="44"/>
        <v>0</v>
      </c>
      <c r="BI26" s="4">
        <f t="shared" si="44"/>
        <v>0</v>
      </c>
      <c r="BJ26" s="4">
        <f t="shared" si="44"/>
        <v>0</v>
      </c>
      <c r="BK26" s="4">
        <f t="shared" si="44"/>
        <v>0</v>
      </c>
      <c r="BL26" s="4">
        <f t="shared" si="44"/>
        <v>0</v>
      </c>
      <c r="BM26" s="4">
        <f t="shared" si="48"/>
        <v>0</v>
      </c>
      <c r="BN26" s="4">
        <f t="shared" si="47"/>
        <v>0</v>
      </c>
    </row>
    <row r="27" spans="1:66" x14ac:dyDescent="0.2">
      <c r="A27" t="s">
        <v>45</v>
      </c>
      <c r="D27">
        <f>AA28/A31</f>
        <v>0</v>
      </c>
      <c r="G27" t="s">
        <v>56</v>
      </c>
      <c r="K27" t="s">
        <v>57</v>
      </c>
      <c r="L27" t="s">
        <v>58</v>
      </c>
      <c r="M27" t="s">
        <v>59</v>
      </c>
      <c r="N27" t="s">
        <v>60</v>
      </c>
      <c r="P27" t="s">
        <v>57</v>
      </c>
      <c r="Q27" t="s">
        <v>58</v>
      </c>
      <c r="R27" t="s">
        <v>59</v>
      </c>
      <c r="S27" t="s">
        <v>60</v>
      </c>
      <c r="Z27">
        <f t="shared" si="35"/>
        <v>0</v>
      </c>
      <c r="AA27">
        <f t="shared" si="36"/>
        <v>0</v>
      </c>
      <c r="AE27">
        <f t="shared" si="37"/>
        <v>0</v>
      </c>
      <c r="AF27">
        <f t="shared" si="38"/>
        <v>0</v>
      </c>
      <c r="AG27">
        <f t="shared" si="39"/>
        <v>0</v>
      </c>
      <c r="AK27">
        <f t="shared" si="40"/>
        <v>0</v>
      </c>
      <c r="AL27">
        <f t="shared" si="41"/>
        <v>0</v>
      </c>
      <c r="AM27">
        <f t="shared" si="42"/>
        <v>0</v>
      </c>
      <c r="AN27">
        <f t="shared" si="43"/>
        <v>0</v>
      </c>
      <c r="AP27">
        <f t="shared" si="45"/>
        <v>0</v>
      </c>
      <c r="AQ27" s="4">
        <f t="shared" si="46"/>
        <v>0</v>
      </c>
      <c r="AR27" s="4">
        <f t="shared" si="44"/>
        <v>0</v>
      </c>
      <c r="AS27" s="4">
        <f t="shared" si="44"/>
        <v>0</v>
      </c>
      <c r="AT27" s="4">
        <f t="shared" si="44"/>
        <v>0</v>
      </c>
      <c r="AU27" s="4">
        <f t="shared" si="44"/>
        <v>0</v>
      </c>
      <c r="AV27" s="4">
        <f t="shared" si="44"/>
        <v>0</v>
      </c>
      <c r="AW27" s="4">
        <f t="shared" si="44"/>
        <v>0</v>
      </c>
      <c r="AX27" s="4">
        <f t="shared" si="44"/>
        <v>0</v>
      </c>
      <c r="AY27" s="4">
        <f t="shared" si="44"/>
        <v>0</v>
      </c>
      <c r="AZ27" s="4">
        <f t="shared" si="44"/>
        <v>0</v>
      </c>
      <c r="BA27" s="4">
        <f t="shared" si="44"/>
        <v>0</v>
      </c>
      <c r="BB27" s="4">
        <f t="shared" si="44"/>
        <v>0</v>
      </c>
      <c r="BC27" s="4">
        <f t="shared" si="44"/>
        <v>0</v>
      </c>
      <c r="BD27" s="4">
        <f t="shared" si="44"/>
        <v>0</v>
      </c>
      <c r="BE27" s="4">
        <f t="shared" si="44"/>
        <v>0</v>
      </c>
      <c r="BF27" s="4">
        <f t="shared" si="44"/>
        <v>0</v>
      </c>
      <c r="BG27" s="4">
        <f t="shared" si="44"/>
        <v>0</v>
      </c>
      <c r="BH27" s="4">
        <f t="shared" si="44"/>
        <v>0</v>
      </c>
      <c r="BI27" s="4">
        <f t="shared" si="44"/>
        <v>0</v>
      </c>
      <c r="BJ27" s="4">
        <f t="shared" si="44"/>
        <v>0</v>
      </c>
      <c r="BK27" s="4">
        <f t="shared" si="44"/>
        <v>0</v>
      </c>
      <c r="BL27" s="4">
        <f t="shared" si="44"/>
        <v>0</v>
      </c>
      <c r="BM27" s="4">
        <f t="shared" si="48"/>
        <v>0</v>
      </c>
      <c r="BN27" s="4">
        <f t="shared" si="47"/>
        <v>0</v>
      </c>
    </row>
    <row r="28" spans="1:66" x14ac:dyDescent="0.2">
      <c r="A28" t="s">
        <v>46</v>
      </c>
      <c r="D28" t="s">
        <v>202</v>
      </c>
      <c r="G28" t="s">
        <v>57</v>
      </c>
      <c r="H28" t="s">
        <v>58</v>
      </c>
      <c r="I28" t="s">
        <v>59</v>
      </c>
      <c r="J28" t="s">
        <v>60</v>
      </c>
      <c r="K28">
        <f>AVERAGE(G39:G50)</f>
        <v>0</v>
      </c>
      <c r="L28">
        <f>MEDIAN(G39:G50)</f>
        <v>0</v>
      </c>
      <c r="M28">
        <f>MAX(G39:G50)</f>
        <v>0</v>
      </c>
      <c r="N28">
        <f>_xlfn.STDEV.S(G39:G50)</f>
        <v>0</v>
      </c>
      <c r="P28">
        <f>AVERAGE(N39:N50)</f>
        <v>5.666666666666667</v>
      </c>
      <c r="Q28">
        <f>MEDIAN(N39:N50)</f>
        <v>0.5</v>
      </c>
      <c r="R28">
        <f>MAX(N39:N50)</f>
        <v>45</v>
      </c>
      <c r="S28">
        <f>_xlfn.STDEV.S(N39:N50)</f>
        <v>12.694546669791528</v>
      </c>
      <c r="Y28" t="s">
        <v>33</v>
      </c>
      <c r="Z28">
        <f>SUM(Z16:Z27)</f>
        <v>0</v>
      </c>
      <c r="AA28">
        <f>SUM(AA16:AA27)</f>
        <v>0</v>
      </c>
      <c r="AE28">
        <f>SUM(AE16:AE27)</f>
        <v>0</v>
      </c>
      <c r="AF28">
        <f>SUM(AF16:AF27)</f>
        <v>2</v>
      </c>
      <c r="AG28">
        <f>SUM(AG16:AG27)</f>
        <v>0</v>
      </c>
      <c r="AK28">
        <f>SUM(AK16:AK27)</f>
        <v>0</v>
      </c>
      <c r="AL28">
        <f>SUM(AL16:AL27)</f>
        <v>0</v>
      </c>
      <c r="AM28">
        <f>SUM(AM16:AM27)</f>
        <v>0</v>
      </c>
      <c r="AN28">
        <f>SUM(AN16:AN27)</f>
        <v>0</v>
      </c>
      <c r="AP28">
        <f>SUM(AP16:AP27)</f>
        <v>0</v>
      </c>
    </row>
    <row r="29" spans="1:66" x14ac:dyDescent="0.2">
      <c r="D29">
        <f>SUM(O39:O50)/F16</f>
        <v>0</v>
      </c>
      <c r="G29">
        <f>AVERAGE(A39:A50)</f>
        <v>0.16666666666666666</v>
      </c>
      <c r="H29">
        <f>MEDIAN(A39:A50)</f>
        <v>0</v>
      </c>
      <c r="I29">
        <f>MAX(A39:A50)</f>
        <v>1</v>
      </c>
      <c r="J29">
        <f>_xlfn.STDEV.S(A39:A50)</f>
        <v>0.38924947208076149</v>
      </c>
      <c r="K29" t="s">
        <v>63</v>
      </c>
      <c r="P29" t="s">
        <v>148</v>
      </c>
    </row>
    <row r="30" spans="1:66" x14ac:dyDescent="0.2">
      <c r="A30" t="s">
        <v>147</v>
      </c>
      <c r="D30" t="s">
        <v>203</v>
      </c>
      <c r="G30" t="s">
        <v>50</v>
      </c>
      <c r="H30" t="s">
        <v>51</v>
      </c>
      <c r="I30" t="s">
        <v>89</v>
      </c>
      <c r="K30" t="s">
        <v>57</v>
      </c>
      <c r="L30" t="s">
        <v>58</v>
      </c>
      <c r="M30" t="s">
        <v>59</v>
      </c>
      <c r="N30" t="s">
        <v>60</v>
      </c>
      <c r="P30" t="s">
        <v>57</v>
      </c>
      <c r="Q30" t="s">
        <v>58</v>
      </c>
      <c r="R30" t="s">
        <v>59</v>
      </c>
      <c r="S30" t="s">
        <v>60</v>
      </c>
      <c r="W30" t="s">
        <v>148</v>
      </c>
      <c r="Y30" t="s">
        <v>149</v>
      </c>
      <c r="AH30" t="s">
        <v>79</v>
      </c>
    </row>
    <row r="31" spans="1:66" x14ac:dyDescent="0.2">
      <c r="A31">
        <f>COUNT(B4:B15)</f>
        <v>12</v>
      </c>
      <c r="D31" s="2">
        <f>SUM(S39:S50)/SUM(Q39:Q50)</f>
        <v>0</v>
      </c>
      <c r="G31">
        <f>AE28/A31</f>
        <v>0</v>
      </c>
      <c r="H31">
        <f>AF28/A31</f>
        <v>0.16666666666666666</v>
      </c>
      <c r="I31">
        <f>AG28/A31</f>
        <v>0</v>
      </c>
      <c r="K31" t="e">
        <f>AVERAGE(I39:I50)</f>
        <v>#DIV/0!</v>
      </c>
      <c r="L31" t="e">
        <f>MEDIAN(I39:I50)</f>
        <v>#NUM!</v>
      </c>
      <c r="M31">
        <f>MAX(I39:I50)</f>
        <v>0</v>
      </c>
      <c r="N31" t="e">
        <f>_xlfn.STDEV.S(I39:I50)</f>
        <v>#DIV/0!</v>
      </c>
      <c r="P31" t="e">
        <f>AVERAGE(W31:W42)</f>
        <v>#DIV/0!</v>
      </c>
      <c r="Q31" t="e">
        <f>MEDIAN(W31:W42)</f>
        <v>#NUM!</v>
      </c>
      <c r="R31">
        <f>MAX(W31:W42)</f>
        <v>0</v>
      </c>
      <c r="S31" t="e">
        <f>_xlfn.STDEV.S(W31:W42)</f>
        <v>#DIV/0!</v>
      </c>
      <c r="W31" t="str">
        <f t="shared" ref="W31:W33" si="49">IF(AND(ISBLANK(Q4), ISBLANK(R4), ISBLANK(G4), ISBLANK(H4)), "", U4)</f>
        <v/>
      </c>
      <c r="Y31" t="str">
        <f t="shared" ref="Y31:Y42" si="50">IF(ISBLANK(Y4), IF(X4 = 0, "", (G4 + H4/3 + V4/9 + W4/3)), U4)</f>
        <v/>
      </c>
      <c r="AH31" t="s">
        <v>80</v>
      </c>
    </row>
    <row r="32" spans="1:66" x14ac:dyDescent="0.2">
      <c r="A32" t="s">
        <v>214</v>
      </c>
      <c r="D32" s="3"/>
      <c r="K32" t="s">
        <v>64</v>
      </c>
      <c r="P32" t="s">
        <v>149</v>
      </c>
      <c r="W32" t="str">
        <f t="shared" si="49"/>
        <v/>
      </c>
      <c r="Y32" t="str">
        <f t="shared" si="50"/>
        <v/>
      </c>
      <c r="AH32" t="s">
        <v>81</v>
      </c>
    </row>
    <row r="33" spans="1:34" x14ac:dyDescent="0.2">
      <c r="A33" t="s">
        <v>233</v>
      </c>
      <c r="D33" s="3"/>
      <c r="K33" t="s">
        <v>57</v>
      </c>
      <c r="L33" t="s">
        <v>58</v>
      </c>
      <c r="M33" t="s">
        <v>59</v>
      </c>
      <c r="N33" t="s">
        <v>60</v>
      </c>
      <c r="P33" t="s">
        <v>57</v>
      </c>
      <c r="Q33" t="s">
        <v>58</v>
      </c>
      <c r="R33" t="s">
        <v>59</v>
      </c>
      <c r="S33" t="s">
        <v>60</v>
      </c>
      <c r="W33" t="str">
        <f t="shared" si="49"/>
        <v/>
      </c>
      <c r="Y33" t="str">
        <f t="shared" si="50"/>
        <v/>
      </c>
      <c r="AH33" t="s">
        <v>82</v>
      </c>
    </row>
    <row r="34" spans="1:34" x14ac:dyDescent="0.2">
      <c r="A34" t="s">
        <v>290</v>
      </c>
      <c r="D34" s="3"/>
      <c r="K34">
        <f>AVERAGE(K39:K50)</f>
        <v>0</v>
      </c>
      <c r="L34">
        <f>MEDIAN(K39:K50)</f>
        <v>0</v>
      </c>
      <c r="M34">
        <f>MAX(K39:K50)</f>
        <v>0</v>
      </c>
      <c r="N34">
        <f>_xlfn.STDEV.S(K39:K50)</f>
        <v>0</v>
      </c>
      <c r="P34" t="e">
        <f>AVERAGE(Y31:Y42)</f>
        <v>#DIV/0!</v>
      </c>
      <c r="Q34" t="e">
        <f>MEDIAN(Y31:Y42)</f>
        <v>#NUM!</v>
      </c>
      <c r="R34">
        <f>MAX(Y31:Y42)</f>
        <v>0</v>
      </c>
      <c r="S34" t="e">
        <f>_xlfn.STDEV.S(Y31:Y42)</f>
        <v>#DIV/0!</v>
      </c>
      <c r="W34" t="str">
        <f>IF(AND(ISBLANK(Q7), ISBLANK(R7), ISBLANK(G7), ISBLANK(H7)), "", U7)</f>
        <v/>
      </c>
      <c r="Y34" t="str">
        <f t="shared" si="50"/>
        <v/>
      </c>
      <c r="AH34" t="s">
        <v>83</v>
      </c>
    </row>
    <row r="35" spans="1:34" x14ac:dyDescent="0.2">
      <c r="A35" t="s">
        <v>318</v>
      </c>
      <c r="P35" t="s">
        <v>95</v>
      </c>
      <c r="R35" t="s">
        <v>197</v>
      </c>
      <c r="W35" t="str">
        <f>IF(AND(ISBLANK(Q8), ISBLANK(R8), ISBLANK(G8), ISBLANK(H8)), "", U8)</f>
        <v/>
      </c>
      <c r="Y35" t="str">
        <f t="shared" si="50"/>
        <v/>
      </c>
    </row>
    <row r="36" spans="1:34" x14ac:dyDescent="0.2">
      <c r="P36" t="e">
        <f>Q16/(Q16+R16)</f>
        <v>#DIV/0!</v>
      </c>
      <c r="R36" t="e">
        <f>R16/(Q16+R16)</f>
        <v>#DIV/0!</v>
      </c>
      <c r="W36" t="str">
        <f t="shared" ref="W36:W42" si="51">IF(AND(ISBLANK(Q9), ISBLANK(R9), ISBLANK(G9), ISBLANK(H9)), "", U9)</f>
        <v/>
      </c>
      <c r="Y36" t="str">
        <f t="shared" si="50"/>
        <v/>
      </c>
    </row>
    <row r="37" spans="1:34" x14ac:dyDescent="0.2">
      <c r="W37" t="str">
        <f t="shared" si="51"/>
        <v/>
      </c>
      <c r="Y37" t="str">
        <f t="shared" si="50"/>
        <v/>
      </c>
    </row>
    <row r="38" spans="1:34" x14ac:dyDescent="0.2">
      <c r="A38" t="s">
        <v>68</v>
      </c>
      <c r="C38" t="s">
        <v>69</v>
      </c>
      <c r="E38" t="s">
        <v>72</v>
      </c>
      <c r="G38" t="s">
        <v>250</v>
      </c>
      <c r="K38" t="s">
        <v>73</v>
      </c>
      <c r="M38" t="s">
        <v>70</v>
      </c>
      <c r="N38" t="s">
        <v>71</v>
      </c>
      <c r="O38" t="s">
        <v>199</v>
      </c>
      <c r="Q38" t="s">
        <v>200</v>
      </c>
      <c r="S38" t="s">
        <v>201</v>
      </c>
      <c r="W38" t="str">
        <f t="shared" si="51"/>
        <v/>
      </c>
      <c r="Y38" t="str">
        <f t="shared" si="50"/>
        <v/>
      </c>
    </row>
    <row r="39" spans="1:34" x14ac:dyDescent="0.2">
      <c r="A39">
        <f t="shared" ref="A39:A50" si="52">IF(ISBLANK(B4), "", SUM(AE16+AF16+AG16))</f>
        <v>0</v>
      </c>
      <c r="C39">
        <f t="shared" ref="C39:C50" si="53">IF(ISBLANK(B4), "", O4)</f>
        <v>0</v>
      </c>
      <c r="E39">
        <f t="shared" ref="E39:E50" si="54">IF(ISBLANK(B4), "", Q4)</f>
        <v>0</v>
      </c>
      <c r="G39">
        <f t="shared" ref="G39:G50" si="55">IF(ISBLANK(B4), "", R4)</f>
        <v>0</v>
      </c>
      <c r="K39">
        <f t="shared" ref="K39:K50" si="56">IF(ISBLANK(B4), "", SUM(Q4 + R4))</f>
        <v>0</v>
      </c>
      <c r="M39">
        <f t="shared" ref="M39:M50" si="57">IF(ISBLANK(B4), "", SUM(K4+M4) - O4)</f>
        <v>1</v>
      </c>
      <c r="N39">
        <f t="shared" ref="N39:N50" si="58">IF(ISBLANK(B4), "", U4)</f>
        <v>0</v>
      </c>
      <c r="O39">
        <f t="shared" ref="O39:O50" si="59">COUNTIF(E4, "1")*COUNTIF(F4, "1")</f>
        <v>0</v>
      </c>
      <c r="Q39">
        <f t="shared" ref="Q39:Q50" si="60">COUNTIF(D4, "1")*COUNTIF(F4, "")</f>
        <v>1</v>
      </c>
      <c r="S39">
        <f t="shared" ref="S39:S50" si="61">COUNTIF(E4, "1")*COUNTIF(F4, "")</f>
        <v>0</v>
      </c>
      <c r="W39" t="str">
        <f t="shared" si="51"/>
        <v/>
      </c>
      <c r="Y39" t="str">
        <f t="shared" si="50"/>
        <v/>
      </c>
    </row>
    <row r="40" spans="1:34" x14ac:dyDescent="0.2">
      <c r="A40">
        <f t="shared" si="52"/>
        <v>0</v>
      </c>
      <c r="C40">
        <f t="shared" si="53"/>
        <v>4</v>
      </c>
      <c r="E40">
        <f t="shared" si="54"/>
        <v>0</v>
      </c>
      <c r="G40">
        <f t="shared" si="55"/>
        <v>0</v>
      </c>
      <c r="K40">
        <f t="shared" si="56"/>
        <v>0</v>
      </c>
      <c r="M40">
        <f t="shared" si="57"/>
        <v>0</v>
      </c>
      <c r="N40">
        <f t="shared" si="58"/>
        <v>0</v>
      </c>
      <c r="O40">
        <f t="shared" si="59"/>
        <v>0</v>
      </c>
      <c r="Q40">
        <f t="shared" si="60"/>
        <v>0</v>
      </c>
      <c r="S40">
        <f t="shared" si="61"/>
        <v>0</v>
      </c>
      <c r="W40" t="str">
        <f t="shared" si="51"/>
        <v/>
      </c>
      <c r="Y40" t="str">
        <f t="shared" si="50"/>
        <v/>
      </c>
    </row>
    <row r="41" spans="1:34" x14ac:dyDescent="0.2">
      <c r="A41">
        <f t="shared" si="52"/>
        <v>0</v>
      </c>
      <c r="C41">
        <f t="shared" si="53"/>
        <v>2</v>
      </c>
      <c r="E41">
        <f t="shared" si="54"/>
        <v>0</v>
      </c>
      <c r="G41">
        <f t="shared" si="55"/>
        <v>0</v>
      </c>
      <c r="K41">
        <f t="shared" si="56"/>
        <v>0</v>
      </c>
      <c r="M41">
        <f t="shared" si="57"/>
        <v>0</v>
      </c>
      <c r="N41">
        <f t="shared" si="58"/>
        <v>45</v>
      </c>
      <c r="O41">
        <f t="shared" si="59"/>
        <v>0</v>
      </c>
      <c r="Q41">
        <f t="shared" si="60"/>
        <v>0</v>
      </c>
      <c r="S41">
        <f t="shared" si="61"/>
        <v>0</v>
      </c>
      <c r="W41" t="str">
        <f t="shared" si="51"/>
        <v/>
      </c>
      <c r="Y41" t="str">
        <f t="shared" si="50"/>
        <v/>
      </c>
    </row>
    <row r="42" spans="1:34" x14ac:dyDescent="0.2">
      <c r="A42">
        <f t="shared" si="52"/>
        <v>0</v>
      </c>
      <c r="C42">
        <f t="shared" si="53"/>
        <v>5</v>
      </c>
      <c r="E42">
        <f t="shared" si="54"/>
        <v>0</v>
      </c>
      <c r="G42">
        <f t="shared" si="55"/>
        <v>0</v>
      </c>
      <c r="K42">
        <f t="shared" si="56"/>
        <v>0</v>
      </c>
      <c r="M42">
        <f t="shared" si="57"/>
        <v>-1</v>
      </c>
      <c r="N42">
        <f t="shared" si="58"/>
        <v>1</v>
      </c>
      <c r="O42">
        <f t="shared" si="59"/>
        <v>0</v>
      </c>
      <c r="Q42">
        <f t="shared" si="60"/>
        <v>0</v>
      </c>
      <c r="S42">
        <f t="shared" si="61"/>
        <v>0</v>
      </c>
      <c r="W42" t="str">
        <f t="shared" si="51"/>
        <v/>
      </c>
      <c r="Y42" t="str">
        <f t="shared" si="50"/>
        <v/>
      </c>
    </row>
    <row r="43" spans="1:34" x14ac:dyDescent="0.2">
      <c r="A43">
        <f t="shared" si="52"/>
        <v>0</v>
      </c>
      <c r="C43">
        <f t="shared" si="53"/>
        <v>4</v>
      </c>
      <c r="E43">
        <f t="shared" si="54"/>
        <v>0</v>
      </c>
      <c r="G43">
        <f t="shared" si="55"/>
        <v>0</v>
      </c>
      <c r="K43">
        <f t="shared" si="56"/>
        <v>0</v>
      </c>
      <c r="M43">
        <f t="shared" si="57"/>
        <v>-1</v>
      </c>
      <c r="N43">
        <f t="shared" si="58"/>
        <v>0</v>
      </c>
      <c r="O43">
        <f t="shared" si="59"/>
        <v>0</v>
      </c>
      <c r="Q43">
        <f t="shared" si="60"/>
        <v>0</v>
      </c>
      <c r="S43">
        <f t="shared" si="61"/>
        <v>0</v>
      </c>
    </row>
    <row r="44" spans="1:34" x14ac:dyDescent="0.2">
      <c r="A44">
        <f t="shared" si="52"/>
        <v>0</v>
      </c>
      <c r="C44">
        <f t="shared" si="53"/>
        <v>6</v>
      </c>
      <c r="E44">
        <f t="shared" si="54"/>
        <v>0</v>
      </c>
      <c r="G44">
        <f t="shared" si="55"/>
        <v>0</v>
      </c>
      <c r="K44">
        <f t="shared" si="56"/>
        <v>0</v>
      </c>
      <c r="M44">
        <f t="shared" si="57"/>
        <v>-1</v>
      </c>
      <c r="N44">
        <f t="shared" si="58"/>
        <v>4</v>
      </c>
      <c r="O44">
        <f t="shared" si="59"/>
        <v>0</v>
      </c>
      <c r="Q44">
        <f t="shared" si="60"/>
        <v>0</v>
      </c>
      <c r="S44">
        <f t="shared" si="61"/>
        <v>0</v>
      </c>
    </row>
    <row r="45" spans="1:34" x14ac:dyDescent="0.2">
      <c r="A45">
        <f t="shared" si="52"/>
        <v>1</v>
      </c>
      <c r="C45">
        <f t="shared" si="53"/>
        <v>6</v>
      </c>
      <c r="E45">
        <f t="shared" si="54"/>
        <v>0</v>
      </c>
      <c r="G45">
        <f t="shared" si="55"/>
        <v>0</v>
      </c>
      <c r="K45">
        <f t="shared" si="56"/>
        <v>0</v>
      </c>
      <c r="M45">
        <f t="shared" si="57"/>
        <v>-1</v>
      </c>
      <c r="N45">
        <f t="shared" si="58"/>
        <v>6</v>
      </c>
      <c r="O45">
        <f t="shared" si="59"/>
        <v>0</v>
      </c>
      <c r="Q45">
        <f t="shared" si="60"/>
        <v>0</v>
      </c>
      <c r="S45">
        <f t="shared" si="61"/>
        <v>0</v>
      </c>
    </row>
    <row r="46" spans="1:34" x14ac:dyDescent="0.2">
      <c r="A46">
        <f t="shared" si="52"/>
        <v>1</v>
      </c>
      <c r="C46">
        <f t="shared" si="53"/>
        <v>3</v>
      </c>
      <c r="E46">
        <f t="shared" si="54"/>
        <v>0</v>
      </c>
      <c r="G46">
        <f t="shared" si="55"/>
        <v>0</v>
      </c>
      <c r="K46">
        <f t="shared" si="56"/>
        <v>0</v>
      </c>
      <c r="M46">
        <f t="shared" si="57"/>
        <v>2</v>
      </c>
      <c r="N46">
        <f t="shared" si="58"/>
        <v>0</v>
      </c>
      <c r="O46">
        <f t="shared" si="59"/>
        <v>0</v>
      </c>
      <c r="Q46">
        <f t="shared" si="60"/>
        <v>0</v>
      </c>
      <c r="S46">
        <f t="shared" si="61"/>
        <v>0</v>
      </c>
    </row>
    <row r="47" spans="1:34" x14ac:dyDescent="0.2">
      <c r="A47">
        <f t="shared" si="52"/>
        <v>0</v>
      </c>
      <c r="C47">
        <f t="shared" si="53"/>
        <v>4</v>
      </c>
      <c r="E47">
        <f t="shared" si="54"/>
        <v>0</v>
      </c>
      <c r="G47">
        <f t="shared" si="55"/>
        <v>0</v>
      </c>
      <c r="K47">
        <f t="shared" si="56"/>
        <v>0</v>
      </c>
      <c r="M47">
        <f t="shared" si="57"/>
        <v>2</v>
      </c>
      <c r="N47">
        <f t="shared" si="58"/>
        <v>4</v>
      </c>
      <c r="O47">
        <f t="shared" si="59"/>
        <v>0</v>
      </c>
      <c r="Q47">
        <f t="shared" si="60"/>
        <v>0</v>
      </c>
      <c r="S47">
        <f t="shared" si="61"/>
        <v>0</v>
      </c>
    </row>
    <row r="48" spans="1:34" x14ac:dyDescent="0.2">
      <c r="A48">
        <f t="shared" si="52"/>
        <v>0</v>
      </c>
      <c r="C48">
        <f t="shared" si="53"/>
        <v>6</v>
      </c>
      <c r="E48">
        <f t="shared" si="54"/>
        <v>0</v>
      </c>
      <c r="G48">
        <f t="shared" si="55"/>
        <v>0</v>
      </c>
      <c r="K48">
        <f t="shared" si="56"/>
        <v>0</v>
      </c>
      <c r="M48">
        <f t="shared" si="57"/>
        <v>-1</v>
      </c>
      <c r="N48">
        <f t="shared" si="58"/>
        <v>0</v>
      </c>
      <c r="O48">
        <f t="shared" si="59"/>
        <v>0</v>
      </c>
      <c r="Q48">
        <f t="shared" si="60"/>
        <v>0</v>
      </c>
      <c r="S48">
        <f t="shared" si="61"/>
        <v>0</v>
      </c>
    </row>
    <row r="49" spans="1:19" x14ac:dyDescent="0.2">
      <c r="A49">
        <f t="shared" si="52"/>
        <v>0</v>
      </c>
      <c r="C49">
        <f t="shared" si="53"/>
        <v>4</v>
      </c>
      <c r="E49">
        <f t="shared" si="54"/>
        <v>0</v>
      </c>
      <c r="G49">
        <f t="shared" si="55"/>
        <v>0</v>
      </c>
      <c r="K49">
        <f t="shared" si="56"/>
        <v>0</v>
      </c>
      <c r="M49">
        <f t="shared" si="57"/>
        <v>0</v>
      </c>
      <c r="N49">
        <f t="shared" si="58"/>
        <v>8</v>
      </c>
      <c r="O49">
        <f t="shared" si="59"/>
        <v>0</v>
      </c>
      <c r="Q49">
        <f t="shared" si="60"/>
        <v>0</v>
      </c>
      <c r="S49">
        <f t="shared" si="61"/>
        <v>0</v>
      </c>
    </row>
    <row r="50" spans="1:19" x14ac:dyDescent="0.2">
      <c r="A50">
        <f t="shared" si="52"/>
        <v>0</v>
      </c>
      <c r="C50">
        <f t="shared" si="53"/>
        <v>6</v>
      </c>
      <c r="E50">
        <f t="shared" si="54"/>
        <v>0</v>
      </c>
      <c r="G50">
        <f t="shared" si="55"/>
        <v>0</v>
      </c>
      <c r="K50">
        <f t="shared" si="56"/>
        <v>0</v>
      </c>
      <c r="M50">
        <f t="shared" si="57"/>
        <v>-1</v>
      </c>
      <c r="N50">
        <f t="shared" si="58"/>
        <v>0</v>
      </c>
      <c r="O50">
        <f t="shared" si="59"/>
        <v>0</v>
      </c>
      <c r="Q50">
        <f t="shared" si="60"/>
        <v>0</v>
      </c>
      <c r="S50">
        <f t="shared" si="61"/>
        <v>0</v>
      </c>
    </row>
  </sheetData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BN50"/>
  <sheetViews>
    <sheetView workbookViewId="0">
      <selection activeCell="U15" sqref="U15"/>
    </sheetView>
  </sheetViews>
  <sheetFormatPr baseColWidth="10" defaultColWidth="8.83203125" defaultRowHeight="15" x14ac:dyDescent="0.2"/>
  <sheetData>
    <row r="1" spans="1:66" x14ac:dyDescent="0.2">
      <c r="A1" s="1" t="s">
        <v>0</v>
      </c>
      <c r="D1" t="s">
        <v>3</v>
      </c>
      <c r="K1" t="s">
        <v>11</v>
      </c>
      <c r="N1" t="s">
        <v>12</v>
      </c>
      <c r="P1" t="s">
        <v>14</v>
      </c>
      <c r="Q1" t="s">
        <v>17</v>
      </c>
      <c r="S1" t="s">
        <v>18</v>
      </c>
      <c r="Z1" t="s">
        <v>29</v>
      </c>
      <c r="AE1" t="s">
        <v>30</v>
      </c>
      <c r="AK1" t="s">
        <v>42</v>
      </c>
    </row>
    <row r="2" spans="1:66" x14ac:dyDescent="0.2">
      <c r="A2" t="s">
        <v>1</v>
      </c>
      <c r="B2" t="s">
        <v>1</v>
      </c>
      <c r="C2" t="s">
        <v>87</v>
      </c>
      <c r="D2" t="s">
        <v>54</v>
      </c>
      <c r="E2" t="s">
        <v>13</v>
      </c>
      <c r="F2" t="s">
        <v>198</v>
      </c>
      <c r="G2" t="s">
        <v>7</v>
      </c>
      <c r="H2" t="s">
        <v>8</v>
      </c>
      <c r="I2" t="s">
        <v>179</v>
      </c>
      <c r="J2" t="s">
        <v>178</v>
      </c>
      <c r="K2" t="s">
        <v>9</v>
      </c>
      <c r="L2" t="s">
        <v>196</v>
      </c>
      <c r="M2" t="s">
        <v>10</v>
      </c>
      <c r="N2" t="s">
        <v>54</v>
      </c>
      <c r="O2" t="s">
        <v>13</v>
      </c>
      <c r="P2" t="s">
        <v>15</v>
      </c>
      <c r="Q2" t="s">
        <v>8</v>
      </c>
      <c r="R2" t="s">
        <v>7</v>
      </c>
      <c r="S2" t="s">
        <v>181</v>
      </c>
      <c r="T2" t="s">
        <v>182</v>
      </c>
      <c r="U2" t="s">
        <v>19</v>
      </c>
      <c r="V2" t="s">
        <v>191</v>
      </c>
      <c r="W2" t="s">
        <v>192</v>
      </c>
      <c r="X2" t="s">
        <v>175</v>
      </c>
      <c r="Y2" t="s">
        <v>173</v>
      </c>
      <c r="Z2" t="str">
        <f t="shared" ref="Z2:Z13" si="0">LEFT(I4, 1)</f>
        <v/>
      </c>
      <c r="AA2" t="str">
        <f t="shared" ref="AA2:AA13" si="1">MID(I4, 4, 1)</f>
        <v/>
      </c>
      <c r="AB2" t="str">
        <f t="shared" ref="AB2:AB13" si="2">MID(I4, 7, 1)</f>
        <v/>
      </c>
      <c r="AC2" t="str">
        <f t="shared" ref="AC2:AC13" si="3">MID(I4, 10, 1)</f>
        <v/>
      </c>
      <c r="AE2" t="str">
        <f t="shared" ref="AE2:AE13" si="4">LEFT(J4, 1)</f>
        <v/>
      </c>
      <c r="AF2" t="str">
        <f t="shared" ref="AF2:AF13" si="5">MID(J4, 4, 1)</f>
        <v/>
      </c>
      <c r="AG2" t="str">
        <f t="shared" ref="AG2:AG13" si="6">MID(J4, 7, 1)</f>
        <v/>
      </c>
      <c r="AH2" t="str">
        <f t="shared" ref="AH2:AH13" si="7">MID(J4, 10, 1)</f>
        <v/>
      </c>
      <c r="AI2" t="str">
        <f t="shared" ref="AI2:AI13" si="8">MID(J4, 13, 1)</f>
        <v/>
      </c>
      <c r="AK2" t="str">
        <f t="shared" ref="AK2:AK13" si="9">LEFT(P4, 2)</f>
        <v/>
      </c>
      <c r="AL2" t="str">
        <f>MID($P4, 5, 2)</f>
        <v/>
      </c>
      <c r="AM2" t="str">
        <f t="shared" ref="AM2:AM13" si="10">MID($P4, 9, 2)</f>
        <v/>
      </c>
      <c r="AN2" t="str">
        <f t="shared" ref="AN2:AN13" si="11">MID($P4, 13, 2)</f>
        <v/>
      </c>
      <c r="AO2" t="str">
        <f t="shared" ref="AO2:AO13" si="12">MID($P4, 17, 2)</f>
        <v/>
      </c>
      <c r="AP2" t="str">
        <f t="shared" ref="AP2:AP13" si="13">MID($P4, 21, 2)</f>
        <v/>
      </c>
      <c r="AQ2" t="str">
        <f t="shared" ref="AQ2:AQ13" si="14">MID($P4, 25, 2)</f>
        <v/>
      </c>
      <c r="AR2" t="str">
        <f t="shared" ref="AR2:AR13" si="15">MID($P4, 29, 2)</f>
        <v/>
      </c>
      <c r="AS2" t="str">
        <f t="shared" ref="AS2:AS13" si="16">MID($P4, 33, 2)</f>
        <v/>
      </c>
      <c r="AT2" t="str">
        <f t="shared" ref="AT2:AT13" si="17">MID($P4, 37, 2)</f>
        <v/>
      </c>
      <c r="AU2" t="str">
        <f t="shared" ref="AU2:AU13" si="18">MID($P4, 41, 2)</f>
        <v/>
      </c>
      <c r="AV2" t="str">
        <f t="shared" ref="AV2:AV13" si="19">MID($P4, 45, 2)</f>
        <v/>
      </c>
      <c r="AW2" t="str">
        <f t="shared" ref="AW2:AW13" si="20">MID($P4, 49, 2)</f>
        <v/>
      </c>
      <c r="AX2" t="str">
        <f t="shared" ref="AX2:AX13" si="21">MID($P4, 53, 2)</f>
        <v/>
      </c>
      <c r="AY2" t="str">
        <f t="shared" ref="AY2:AY13" si="22">MID($P4, 57, 2)</f>
        <v/>
      </c>
      <c r="AZ2" t="str">
        <f t="shared" ref="AZ2:AZ13" si="23">MID($P4, 61, 2)</f>
        <v/>
      </c>
      <c r="BA2" t="str">
        <f t="shared" ref="BA2:BA13" si="24">MID($P4, 65, 2)</f>
        <v/>
      </c>
      <c r="BB2" t="str">
        <f t="shared" ref="BB2:BB13" si="25">MID($P4, 69, 2)</f>
        <v/>
      </c>
      <c r="BC2" t="str">
        <f t="shared" ref="BC2:BC13" si="26">MID($P4, 73, 2)</f>
        <v/>
      </c>
      <c r="BD2" t="str">
        <f t="shared" ref="BD2:BD13" si="27">MID($P4, 77, 2)</f>
        <v/>
      </c>
      <c r="BE2" t="str">
        <f t="shared" ref="BE2:BE13" si="28">MID($P4, 81, 2)</f>
        <v/>
      </c>
      <c r="BF2" t="str">
        <f t="shared" ref="BF2:BF13" si="29">MID($P4, 85, 2)</f>
        <v/>
      </c>
      <c r="BG2" t="str">
        <f t="shared" ref="BG2:BG13" si="30">MID($P4, 89, 2)</f>
        <v/>
      </c>
      <c r="BH2" t="str">
        <f t="shared" ref="BH2:BH13" si="31">MID($P4, 93, 2)</f>
        <v/>
      </c>
    </row>
    <row r="3" spans="1:66" x14ac:dyDescent="0.2">
      <c r="A3" t="s">
        <v>2</v>
      </c>
      <c r="B3" t="s">
        <v>6</v>
      </c>
      <c r="C3" t="s">
        <v>88</v>
      </c>
      <c r="D3" t="s">
        <v>6</v>
      </c>
      <c r="E3" t="s">
        <v>6</v>
      </c>
      <c r="F3" t="s">
        <v>4</v>
      </c>
      <c r="G3" t="s">
        <v>6</v>
      </c>
      <c r="H3" t="s">
        <v>6</v>
      </c>
      <c r="I3" t="s">
        <v>86</v>
      </c>
      <c r="J3" t="s">
        <v>86</v>
      </c>
      <c r="K3" t="s">
        <v>6</v>
      </c>
      <c r="L3" t="s">
        <v>6</v>
      </c>
      <c r="M3" t="s">
        <v>6</v>
      </c>
      <c r="N3" t="s">
        <v>6</v>
      </c>
      <c r="O3" t="s">
        <v>6</v>
      </c>
      <c r="P3" t="s">
        <v>16</v>
      </c>
      <c r="Q3" t="s">
        <v>6</v>
      </c>
      <c r="R3" t="s">
        <v>6</v>
      </c>
      <c r="S3" t="s">
        <v>4</v>
      </c>
      <c r="T3" t="s">
        <v>4</v>
      </c>
      <c r="U3" t="s">
        <v>6</v>
      </c>
      <c r="V3" t="s">
        <v>6</v>
      </c>
      <c r="W3" t="s">
        <v>6</v>
      </c>
      <c r="X3" t="s">
        <v>6</v>
      </c>
      <c r="Y3" t="s">
        <v>174</v>
      </c>
      <c r="Z3" t="str">
        <f t="shared" si="0"/>
        <v/>
      </c>
      <c r="AA3" t="str">
        <f t="shared" si="1"/>
        <v/>
      </c>
      <c r="AB3" t="str">
        <f t="shared" si="2"/>
        <v/>
      </c>
      <c r="AC3" t="str">
        <f t="shared" si="3"/>
        <v/>
      </c>
      <c r="AE3" t="str">
        <f t="shared" si="4"/>
        <v/>
      </c>
      <c r="AF3" t="str">
        <f t="shared" si="5"/>
        <v/>
      </c>
      <c r="AG3" t="str">
        <f t="shared" si="6"/>
        <v/>
      </c>
      <c r="AH3" t="str">
        <f t="shared" si="7"/>
        <v/>
      </c>
      <c r="AI3" t="str">
        <f t="shared" si="8"/>
        <v/>
      </c>
      <c r="AK3" t="str">
        <f t="shared" si="9"/>
        <v/>
      </c>
      <c r="AL3" t="str">
        <f t="shared" ref="AL3:AL13" si="32">MID(P5, 5, 2)</f>
        <v/>
      </c>
      <c r="AM3" t="str">
        <f t="shared" si="10"/>
        <v/>
      </c>
      <c r="AN3" t="str">
        <f t="shared" si="11"/>
        <v/>
      </c>
      <c r="AO3" t="str">
        <f t="shared" si="12"/>
        <v/>
      </c>
      <c r="AP3" t="str">
        <f t="shared" si="13"/>
        <v/>
      </c>
      <c r="AQ3" t="str">
        <f t="shared" si="14"/>
        <v/>
      </c>
      <c r="AR3" t="str">
        <f t="shared" si="15"/>
        <v/>
      </c>
      <c r="AS3" t="str">
        <f t="shared" si="16"/>
        <v/>
      </c>
      <c r="AT3" t="str">
        <f t="shared" si="17"/>
        <v/>
      </c>
      <c r="AU3" t="str">
        <f t="shared" si="18"/>
        <v/>
      </c>
      <c r="AV3" t="str">
        <f t="shared" si="19"/>
        <v/>
      </c>
      <c r="AW3" t="str">
        <f t="shared" si="20"/>
        <v/>
      </c>
      <c r="AX3" t="str">
        <f t="shared" si="21"/>
        <v/>
      </c>
      <c r="AY3" t="str">
        <f t="shared" si="22"/>
        <v/>
      </c>
      <c r="AZ3" t="str">
        <f t="shared" si="23"/>
        <v/>
      </c>
      <c r="BA3" t="str">
        <f t="shared" si="24"/>
        <v/>
      </c>
      <c r="BB3" t="str">
        <f t="shared" si="25"/>
        <v/>
      </c>
      <c r="BC3" t="str">
        <f t="shared" si="26"/>
        <v/>
      </c>
      <c r="BD3" t="str">
        <f t="shared" si="27"/>
        <v/>
      </c>
      <c r="BE3" t="str">
        <f t="shared" si="28"/>
        <v/>
      </c>
      <c r="BF3" t="str">
        <f t="shared" si="29"/>
        <v/>
      </c>
      <c r="BG3" t="str">
        <f t="shared" si="30"/>
        <v/>
      </c>
      <c r="BH3" t="str">
        <f t="shared" si="31"/>
        <v/>
      </c>
    </row>
    <row r="4" spans="1:66" x14ac:dyDescent="0.2">
      <c r="A4">
        <v>1</v>
      </c>
      <c r="B4">
        <v>10</v>
      </c>
      <c r="C4" t="s">
        <v>39</v>
      </c>
      <c r="D4">
        <v>1</v>
      </c>
      <c r="E4">
        <v>1</v>
      </c>
      <c r="F4">
        <v>1</v>
      </c>
      <c r="S4">
        <v>1</v>
      </c>
      <c r="U4">
        <v>9</v>
      </c>
      <c r="X4">
        <f t="shared" ref="X4:X15" si="33">G4+H4+Q4+R4</f>
        <v>0</v>
      </c>
      <c r="Z4" t="str">
        <f t="shared" si="0"/>
        <v/>
      </c>
      <c r="AA4" t="str">
        <f t="shared" si="1"/>
        <v/>
      </c>
      <c r="AB4" t="str">
        <f t="shared" si="2"/>
        <v/>
      </c>
      <c r="AC4" t="str">
        <f t="shared" si="3"/>
        <v/>
      </c>
      <c r="AE4" t="str">
        <f t="shared" si="4"/>
        <v>4</v>
      </c>
      <c r="AF4" t="str">
        <f t="shared" si="5"/>
        <v/>
      </c>
      <c r="AG4" t="str">
        <f t="shared" si="6"/>
        <v/>
      </c>
      <c r="AH4" t="str">
        <f t="shared" si="7"/>
        <v/>
      </c>
      <c r="AI4" t="str">
        <f t="shared" si="8"/>
        <v/>
      </c>
      <c r="AK4" t="str">
        <f t="shared" si="9"/>
        <v/>
      </c>
      <c r="AL4" t="str">
        <f t="shared" si="32"/>
        <v/>
      </c>
      <c r="AM4" t="str">
        <f t="shared" si="10"/>
        <v/>
      </c>
      <c r="AN4" t="str">
        <f t="shared" si="11"/>
        <v/>
      </c>
      <c r="AO4" t="str">
        <f t="shared" si="12"/>
        <v/>
      </c>
      <c r="AP4" t="str">
        <f t="shared" si="13"/>
        <v/>
      </c>
      <c r="AQ4" t="str">
        <f t="shared" si="14"/>
        <v/>
      </c>
      <c r="AR4" t="str">
        <f t="shared" si="15"/>
        <v/>
      </c>
      <c r="AS4" t="str">
        <f t="shared" si="16"/>
        <v/>
      </c>
      <c r="AT4" t="str">
        <f t="shared" si="17"/>
        <v/>
      </c>
      <c r="AU4" t="str">
        <f t="shared" si="18"/>
        <v/>
      </c>
      <c r="AV4" t="str">
        <f t="shared" si="19"/>
        <v/>
      </c>
      <c r="AW4" t="str">
        <f t="shared" si="20"/>
        <v/>
      </c>
      <c r="AX4" t="str">
        <f t="shared" si="21"/>
        <v/>
      </c>
      <c r="AY4" t="str">
        <f t="shared" si="22"/>
        <v/>
      </c>
      <c r="AZ4" t="str">
        <f t="shared" si="23"/>
        <v/>
      </c>
      <c r="BA4" t="str">
        <f t="shared" si="24"/>
        <v/>
      </c>
      <c r="BB4" t="str">
        <f t="shared" si="25"/>
        <v/>
      </c>
      <c r="BC4" t="str">
        <f t="shared" si="26"/>
        <v/>
      </c>
      <c r="BD4" t="str">
        <f t="shared" si="27"/>
        <v/>
      </c>
      <c r="BE4" t="str">
        <f t="shared" si="28"/>
        <v/>
      </c>
      <c r="BF4" t="str">
        <f t="shared" si="29"/>
        <v/>
      </c>
      <c r="BG4" t="str">
        <f t="shared" si="30"/>
        <v/>
      </c>
      <c r="BH4" t="str">
        <f t="shared" si="31"/>
        <v/>
      </c>
    </row>
    <row r="5" spans="1:66" x14ac:dyDescent="0.2">
      <c r="A5">
        <v>2</v>
      </c>
      <c r="B5">
        <v>15</v>
      </c>
      <c r="C5" t="s">
        <v>39</v>
      </c>
      <c r="D5">
        <v>1</v>
      </c>
      <c r="E5">
        <v>1</v>
      </c>
      <c r="K5">
        <v>4</v>
      </c>
      <c r="N5">
        <v>4</v>
      </c>
      <c r="O5">
        <v>4</v>
      </c>
      <c r="X5">
        <f t="shared" si="33"/>
        <v>0</v>
      </c>
      <c r="Z5" t="str">
        <f t="shared" si="0"/>
        <v/>
      </c>
      <c r="AA5" t="str">
        <f t="shared" si="1"/>
        <v/>
      </c>
      <c r="AB5" t="str">
        <f t="shared" si="2"/>
        <v/>
      </c>
      <c r="AC5" t="str">
        <f t="shared" si="3"/>
        <v/>
      </c>
      <c r="AE5" t="str">
        <f t="shared" si="4"/>
        <v/>
      </c>
      <c r="AF5" t="str">
        <f t="shared" si="5"/>
        <v/>
      </c>
      <c r="AG5" t="str">
        <f t="shared" si="6"/>
        <v/>
      </c>
      <c r="AH5" t="str">
        <f t="shared" si="7"/>
        <v/>
      </c>
      <c r="AI5" t="str">
        <f t="shared" si="8"/>
        <v/>
      </c>
      <c r="AK5" t="str">
        <f t="shared" si="9"/>
        <v/>
      </c>
      <c r="AL5" t="str">
        <f t="shared" si="32"/>
        <v/>
      </c>
      <c r="AM5" t="str">
        <f t="shared" si="10"/>
        <v/>
      </c>
      <c r="AN5" t="str">
        <f t="shared" si="11"/>
        <v/>
      </c>
      <c r="AO5" t="str">
        <f t="shared" si="12"/>
        <v/>
      </c>
      <c r="AP5" t="str">
        <f t="shared" si="13"/>
        <v/>
      </c>
      <c r="AQ5" t="str">
        <f t="shared" si="14"/>
        <v/>
      </c>
      <c r="AR5" t="str">
        <f t="shared" si="15"/>
        <v/>
      </c>
      <c r="AS5" t="str">
        <f t="shared" si="16"/>
        <v/>
      </c>
      <c r="AT5" t="str">
        <f t="shared" si="17"/>
        <v/>
      </c>
      <c r="AU5" t="str">
        <f t="shared" si="18"/>
        <v/>
      </c>
      <c r="AV5" t="str">
        <f t="shared" si="19"/>
        <v/>
      </c>
      <c r="AW5" t="str">
        <f t="shared" si="20"/>
        <v/>
      </c>
      <c r="AX5" t="str">
        <f t="shared" si="21"/>
        <v/>
      </c>
      <c r="AY5" t="str">
        <f t="shared" si="22"/>
        <v/>
      </c>
      <c r="AZ5" t="str">
        <f t="shared" si="23"/>
        <v/>
      </c>
      <c r="BA5" t="str">
        <f t="shared" si="24"/>
        <v/>
      </c>
      <c r="BB5" t="str">
        <f t="shared" si="25"/>
        <v/>
      </c>
      <c r="BC5" t="str">
        <f t="shared" si="26"/>
        <v/>
      </c>
      <c r="BD5" t="str">
        <f t="shared" si="27"/>
        <v/>
      </c>
      <c r="BE5" t="str">
        <f t="shared" si="28"/>
        <v/>
      </c>
      <c r="BF5" t="str">
        <f t="shared" si="29"/>
        <v/>
      </c>
      <c r="BG5" t="str">
        <f t="shared" si="30"/>
        <v/>
      </c>
      <c r="BH5" t="str">
        <f t="shared" si="31"/>
        <v/>
      </c>
    </row>
    <row r="6" spans="1:66" x14ac:dyDescent="0.2">
      <c r="A6">
        <v>3</v>
      </c>
      <c r="B6">
        <v>27</v>
      </c>
      <c r="C6" t="s">
        <v>39</v>
      </c>
      <c r="D6">
        <v>1</v>
      </c>
      <c r="E6">
        <v>1</v>
      </c>
      <c r="J6">
        <v>4</v>
      </c>
      <c r="K6">
        <v>4</v>
      </c>
      <c r="N6">
        <v>3</v>
      </c>
      <c r="O6">
        <v>2</v>
      </c>
      <c r="S6">
        <v>1</v>
      </c>
      <c r="T6">
        <v>1</v>
      </c>
      <c r="X6">
        <f t="shared" si="33"/>
        <v>0</v>
      </c>
      <c r="Z6" t="str">
        <f t="shared" si="0"/>
        <v/>
      </c>
      <c r="AA6" t="str">
        <f t="shared" si="1"/>
        <v/>
      </c>
      <c r="AB6" t="str">
        <f t="shared" si="2"/>
        <v/>
      </c>
      <c r="AC6" t="str">
        <f t="shared" si="3"/>
        <v/>
      </c>
      <c r="AE6" t="str">
        <f t="shared" si="4"/>
        <v/>
      </c>
      <c r="AF6" t="str">
        <f t="shared" si="5"/>
        <v/>
      </c>
      <c r="AG6" t="str">
        <f t="shared" si="6"/>
        <v/>
      </c>
      <c r="AH6" t="str">
        <f t="shared" si="7"/>
        <v/>
      </c>
      <c r="AI6" t="str">
        <f t="shared" si="8"/>
        <v/>
      </c>
      <c r="AK6" t="str">
        <f t="shared" si="9"/>
        <v/>
      </c>
      <c r="AL6" t="str">
        <f t="shared" si="32"/>
        <v/>
      </c>
      <c r="AM6" t="str">
        <f t="shared" si="10"/>
        <v/>
      </c>
      <c r="AN6" t="str">
        <f t="shared" si="11"/>
        <v/>
      </c>
      <c r="AO6" t="str">
        <f t="shared" si="12"/>
        <v/>
      </c>
      <c r="AP6" t="str">
        <f t="shared" si="13"/>
        <v/>
      </c>
      <c r="AQ6" t="str">
        <f t="shared" si="14"/>
        <v/>
      </c>
      <c r="AR6" t="str">
        <f t="shared" si="15"/>
        <v/>
      </c>
      <c r="AS6" t="str">
        <f t="shared" si="16"/>
        <v/>
      </c>
      <c r="AT6" t="str">
        <f t="shared" si="17"/>
        <v/>
      </c>
      <c r="AU6" t="str">
        <f t="shared" si="18"/>
        <v/>
      </c>
      <c r="AV6" t="str">
        <f t="shared" si="19"/>
        <v/>
      </c>
      <c r="AW6" t="str">
        <f t="shared" si="20"/>
        <v/>
      </c>
      <c r="AX6" t="str">
        <f t="shared" si="21"/>
        <v/>
      </c>
      <c r="AY6" t="str">
        <f t="shared" si="22"/>
        <v/>
      </c>
      <c r="AZ6" t="str">
        <f t="shared" si="23"/>
        <v/>
      </c>
      <c r="BA6" t="str">
        <f t="shared" si="24"/>
        <v/>
      </c>
      <c r="BB6" t="str">
        <f t="shared" si="25"/>
        <v/>
      </c>
      <c r="BC6" t="str">
        <f t="shared" si="26"/>
        <v/>
      </c>
      <c r="BD6" t="str">
        <f t="shared" si="27"/>
        <v/>
      </c>
      <c r="BE6" t="str">
        <f t="shared" si="28"/>
        <v/>
      </c>
      <c r="BF6" t="str">
        <f t="shared" si="29"/>
        <v/>
      </c>
      <c r="BG6" t="str">
        <f t="shared" si="30"/>
        <v/>
      </c>
      <c r="BH6" t="str">
        <f t="shared" si="31"/>
        <v/>
      </c>
    </row>
    <row r="7" spans="1:66" x14ac:dyDescent="0.2">
      <c r="A7">
        <v>4</v>
      </c>
      <c r="B7">
        <v>32</v>
      </c>
      <c r="C7" t="s">
        <v>207</v>
      </c>
      <c r="D7">
        <v>1</v>
      </c>
      <c r="E7">
        <v>1</v>
      </c>
      <c r="K7">
        <v>2</v>
      </c>
      <c r="N7">
        <v>2</v>
      </c>
      <c r="O7">
        <v>2</v>
      </c>
      <c r="S7">
        <v>1</v>
      </c>
      <c r="T7">
        <v>1</v>
      </c>
      <c r="U7">
        <v>29</v>
      </c>
      <c r="X7">
        <f t="shared" si="33"/>
        <v>0</v>
      </c>
      <c r="Z7" t="str">
        <f t="shared" si="0"/>
        <v/>
      </c>
      <c r="AA7" t="str">
        <f t="shared" si="1"/>
        <v/>
      </c>
      <c r="AB7" t="str">
        <f t="shared" si="2"/>
        <v/>
      </c>
      <c r="AC7" t="str">
        <f t="shared" si="3"/>
        <v/>
      </c>
      <c r="AE7" t="str">
        <f t="shared" si="4"/>
        <v/>
      </c>
      <c r="AF7" t="str">
        <f t="shared" si="5"/>
        <v/>
      </c>
      <c r="AG7" t="str">
        <f t="shared" si="6"/>
        <v/>
      </c>
      <c r="AH7" t="str">
        <f t="shared" si="7"/>
        <v/>
      </c>
      <c r="AI7" t="str">
        <f t="shared" si="8"/>
        <v/>
      </c>
      <c r="AK7" t="str">
        <f t="shared" si="9"/>
        <v/>
      </c>
      <c r="AL7" t="str">
        <f t="shared" si="32"/>
        <v/>
      </c>
      <c r="AM7" t="str">
        <f t="shared" si="10"/>
        <v/>
      </c>
      <c r="AN7" t="str">
        <f t="shared" si="11"/>
        <v/>
      </c>
      <c r="AO7" t="str">
        <f t="shared" si="12"/>
        <v/>
      </c>
      <c r="AP7" t="str">
        <f t="shared" si="13"/>
        <v/>
      </c>
      <c r="AQ7" t="str">
        <f t="shared" si="14"/>
        <v/>
      </c>
      <c r="AR7" t="str">
        <f t="shared" si="15"/>
        <v/>
      </c>
      <c r="AS7" t="str">
        <f t="shared" si="16"/>
        <v/>
      </c>
      <c r="AT7" t="str">
        <f t="shared" si="17"/>
        <v/>
      </c>
      <c r="AU7" t="str">
        <f t="shared" si="18"/>
        <v/>
      </c>
      <c r="AV7" t="str">
        <f t="shared" si="19"/>
        <v/>
      </c>
      <c r="AW7" t="str">
        <f t="shared" si="20"/>
        <v/>
      </c>
      <c r="AX7" t="str">
        <f t="shared" si="21"/>
        <v/>
      </c>
      <c r="AY7" t="str">
        <f t="shared" si="22"/>
        <v/>
      </c>
      <c r="AZ7" t="str">
        <f t="shared" si="23"/>
        <v/>
      </c>
      <c r="BA7" t="str">
        <f t="shared" si="24"/>
        <v/>
      </c>
      <c r="BB7" t="str">
        <f t="shared" si="25"/>
        <v/>
      </c>
      <c r="BC7" t="str">
        <f t="shared" si="26"/>
        <v/>
      </c>
      <c r="BD7" t="str">
        <f t="shared" si="27"/>
        <v/>
      </c>
      <c r="BE7" t="str">
        <f t="shared" si="28"/>
        <v/>
      </c>
      <c r="BF7" t="str">
        <f t="shared" si="29"/>
        <v/>
      </c>
      <c r="BG7" t="str">
        <f t="shared" si="30"/>
        <v/>
      </c>
      <c r="BH7" t="str">
        <f t="shared" si="31"/>
        <v/>
      </c>
    </row>
    <row r="8" spans="1:66" x14ac:dyDescent="0.2">
      <c r="A8">
        <v>5</v>
      </c>
      <c r="B8">
        <v>49</v>
      </c>
      <c r="C8" t="s">
        <v>39</v>
      </c>
      <c r="D8">
        <v>1</v>
      </c>
      <c r="E8">
        <v>1</v>
      </c>
      <c r="F8">
        <v>1</v>
      </c>
      <c r="K8">
        <v>3</v>
      </c>
      <c r="N8">
        <v>3</v>
      </c>
      <c r="O8">
        <v>2</v>
      </c>
      <c r="S8">
        <v>1</v>
      </c>
      <c r="T8">
        <v>1</v>
      </c>
      <c r="U8">
        <v>4</v>
      </c>
      <c r="X8">
        <f t="shared" si="33"/>
        <v>0</v>
      </c>
      <c r="Z8" t="str">
        <f t="shared" si="0"/>
        <v/>
      </c>
      <c r="AA8" t="str">
        <f t="shared" si="1"/>
        <v/>
      </c>
      <c r="AB8" t="str">
        <f t="shared" si="2"/>
        <v/>
      </c>
      <c r="AC8" t="str">
        <f t="shared" si="3"/>
        <v/>
      </c>
      <c r="AE8" t="str">
        <f t="shared" si="4"/>
        <v/>
      </c>
      <c r="AF8" t="str">
        <f t="shared" si="5"/>
        <v/>
      </c>
      <c r="AG8" t="str">
        <f t="shared" si="6"/>
        <v/>
      </c>
      <c r="AH8" t="str">
        <f t="shared" si="7"/>
        <v/>
      </c>
      <c r="AI8" t="str">
        <f t="shared" si="8"/>
        <v/>
      </c>
      <c r="AK8" t="str">
        <f t="shared" si="9"/>
        <v/>
      </c>
      <c r="AL8" t="str">
        <f t="shared" si="32"/>
        <v/>
      </c>
      <c r="AM8" t="str">
        <f t="shared" si="10"/>
        <v/>
      </c>
      <c r="AN8" t="str">
        <f t="shared" si="11"/>
        <v/>
      </c>
      <c r="AO8" t="str">
        <f t="shared" si="12"/>
        <v/>
      </c>
      <c r="AP8" t="str">
        <f t="shared" si="13"/>
        <v/>
      </c>
      <c r="AQ8" t="str">
        <f t="shared" si="14"/>
        <v/>
      </c>
      <c r="AR8" t="str">
        <f t="shared" si="15"/>
        <v/>
      </c>
      <c r="AS8" t="str">
        <f t="shared" si="16"/>
        <v/>
      </c>
      <c r="AT8" t="str">
        <f t="shared" si="17"/>
        <v/>
      </c>
      <c r="AU8" t="str">
        <f t="shared" si="18"/>
        <v/>
      </c>
      <c r="AV8" t="str">
        <f t="shared" si="19"/>
        <v/>
      </c>
      <c r="AW8" t="str">
        <f t="shared" si="20"/>
        <v/>
      </c>
      <c r="AX8" t="str">
        <f t="shared" si="21"/>
        <v/>
      </c>
      <c r="AY8" t="str">
        <f t="shared" si="22"/>
        <v/>
      </c>
      <c r="AZ8" t="str">
        <f t="shared" si="23"/>
        <v/>
      </c>
      <c r="BA8" t="str">
        <f t="shared" si="24"/>
        <v/>
      </c>
      <c r="BB8" t="str">
        <f t="shared" si="25"/>
        <v/>
      </c>
      <c r="BC8" t="str">
        <f t="shared" si="26"/>
        <v/>
      </c>
      <c r="BD8" t="str">
        <f t="shared" si="27"/>
        <v/>
      </c>
      <c r="BE8" t="str">
        <f t="shared" si="28"/>
        <v/>
      </c>
      <c r="BF8" t="str">
        <f t="shared" si="29"/>
        <v/>
      </c>
      <c r="BG8" t="str">
        <f t="shared" si="30"/>
        <v/>
      </c>
      <c r="BH8" t="str">
        <f t="shared" si="31"/>
        <v/>
      </c>
    </row>
    <row r="9" spans="1:66" x14ac:dyDescent="0.2">
      <c r="A9">
        <v>6</v>
      </c>
      <c r="B9">
        <v>54</v>
      </c>
      <c r="C9" t="s">
        <v>207</v>
      </c>
      <c r="D9">
        <v>1</v>
      </c>
      <c r="E9">
        <v>1</v>
      </c>
      <c r="K9">
        <v>5</v>
      </c>
      <c r="N9">
        <v>3</v>
      </c>
      <c r="O9">
        <v>3</v>
      </c>
      <c r="S9">
        <v>1</v>
      </c>
      <c r="T9">
        <v>1</v>
      </c>
      <c r="U9">
        <v>1</v>
      </c>
      <c r="X9">
        <f t="shared" si="33"/>
        <v>0</v>
      </c>
      <c r="Z9" t="str">
        <f t="shared" si="0"/>
        <v/>
      </c>
      <c r="AA9" t="str">
        <f t="shared" si="1"/>
        <v/>
      </c>
      <c r="AB9" t="str">
        <f t="shared" si="2"/>
        <v/>
      </c>
      <c r="AC9" t="str">
        <f t="shared" si="3"/>
        <v/>
      </c>
      <c r="AE9" t="str">
        <f t="shared" si="4"/>
        <v/>
      </c>
      <c r="AF9" t="str">
        <f t="shared" si="5"/>
        <v/>
      </c>
      <c r="AG9" t="str">
        <f t="shared" si="6"/>
        <v/>
      </c>
      <c r="AH9" t="str">
        <f t="shared" si="7"/>
        <v/>
      </c>
      <c r="AI9" t="str">
        <f t="shared" si="8"/>
        <v/>
      </c>
      <c r="AK9" t="str">
        <f t="shared" si="9"/>
        <v>g1</v>
      </c>
      <c r="AL9" t="str">
        <f t="shared" si="32"/>
        <v/>
      </c>
      <c r="AM9" t="str">
        <f t="shared" si="10"/>
        <v/>
      </c>
      <c r="AN9" t="str">
        <f t="shared" si="11"/>
        <v/>
      </c>
      <c r="AO9" t="str">
        <f t="shared" si="12"/>
        <v/>
      </c>
      <c r="AP9" t="str">
        <f t="shared" si="13"/>
        <v/>
      </c>
      <c r="AQ9" t="str">
        <f t="shared" si="14"/>
        <v/>
      </c>
      <c r="AR9" t="str">
        <f t="shared" si="15"/>
        <v/>
      </c>
      <c r="AS9" t="str">
        <f t="shared" si="16"/>
        <v/>
      </c>
      <c r="AT9" t="str">
        <f t="shared" si="17"/>
        <v/>
      </c>
      <c r="AU9" t="str">
        <f t="shared" si="18"/>
        <v/>
      </c>
      <c r="AV9" t="str">
        <f t="shared" si="19"/>
        <v/>
      </c>
      <c r="AW9" t="str">
        <f t="shared" si="20"/>
        <v/>
      </c>
      <c r="AX9" t="str">
        <f t="shared" si="21"/>
        <v/>
      </c>
      <c r="AY9" t="str">
        <f t="shared" si="22"/>
        <v/>
      </c>
      <c r="AZ9" t="str">
        <f t="shared" si="23"/>
        <v/>
      </c>
      <c r="BA9" t="str">
        <f t="shared" si="24"/>
        <v/>
      </c>
      <c r="BB9" t="str">
        <f t="shared" si="25"/>
        <v/>
      </c>
      <c r="BC9" t="str">
        <f t="shared" si="26"/>
        <v/>
      </c>
      <c r="BD9" t="str">
        <f t="shared" si="27"/>
        <v/>
      </c>
      <c r="BE9" t="str">
        <f t="shared" si="28"/>
        <v/>
      </c>
      <c r="BF9" t="str">
        <f t="shared" si="29"/>
        <v/>
      </c>
      <c r="BG9" t="str">
        <f t="shared" si="30"/>
        <v/>
      </c>
      <c r="BH9" t="str">
        <f t="shared" si="31"/>
        <v/>
      </c>
    </row>
    <row r="10" spans="1:66" x14ac:dyDescent="0.2">
      <c r="A10">
        <v>7</v>
      </c>
      <c r="B10">
        <v>70</v>
      </c>
      <c r="C10" t="s">
        <v>39</v>
      </c>
      <c r="D10">
        <v>1</v>
      </c>
      <c r="E10">
        <v>1</v>
      </c>
      <c r="K10">
        <v>4</v>
      </c>
      <c r="N10">
        <v>4</v>
      </c>
      <c r="O10">
        <v>4</v>
      </c>
      <c r="S10">
        <v>1</v>
      </c>
      <c r="T10">
        <v>1</v>
      </c>
      <c r="X10">
        <f t="shared" si="33"/>
        <v>0</v>
      </c>
      <c r="Z10" t="str">
        <f t="shared" si="0"/>
        <v/>
      </c>
      <c r="AA10" t="str">
        <f t="shared" si="1"/>
        <v/>
      </c>
      <c r="AB10" t="str">
        <f t="shared" si="2"/>
        <v/>
      </c>
      <c r="AC10" t="str">
        <f t="shared" si="3"/>
        <v/>
      </c>
      <c r="AE10" t="str">
        <f t="shared" si="4"/>
        <v>1</v>
      </c>
      <c r="AF10" t="str">
        <f t="shared" si="5"/>
        <v/>
      </c>
      <c r="AG10" t="str">
        <f t="shared" si="6"/>
        <v/>
      </c>
      <c r="AH10" t="str">
        <f t="shared" si="7"/>
        <v/>
      </c>
      <c r="AI10" t="str">
        <f t="shared" si="8"/>
        <v/>
      </c>
      <c r="AK10" t="str">
        <f t="shared" si="9"/>
        <v/>
      </c>
      <c r="AL10" t="str">
        <f t="shared" si="32"/>
        <v/>
      </c>
      <c r="AM10" t="str">
        <f t="shared" si="10"/>
        <v/>
      </c>
      <c r="AN10" t="str">
        <f t="shared" si="11"/>
        <v/>
      </c>
      <c r="AO10" t="str">
        <f t="shared" si="12"/>
        <v/>
      </c>
      <c r="AP10" t="str">
        <f t="shared" si="13"/>
        <v/>
      </c>
      <c r="AQ10" t="str">
        <f t="shared" si="14"/>
        <v/>
      </c>
      <c r="AR10" t="str">
        <f t="shared" si="15"/>
        <v/>
      </c>
      <c r="AS10" t="str">
        <f t="shared" si="16"/>
        <v/>
      </c>
      <c r="AT10" t="str">
        <f t="shared" si="17"/>
        <v/>
      </c>
      <c r="AU10" t="str">
        <f t="shared" si="18"/>
        <v/>
      </c>
      <c r="AV10" t="str">
        <f t="shared" si="19"/>
        <v/>
      </c>
      <c r="AW10" t="str">
        <f t="shared" si="20"/>
        <v/>
      </c>
      <c r="AX10" t="str">
        <f t="shared" si="21"/>
        <v/>
      </c>
      <c r="AY10" t="str">
        <f t="shared" si="22"/>
        <v/>
      </c>
      <c r="AZ10" t="str">
        <f t="shared" si="23"/>
        <v/>
      </c>
      <c r="BA10" t="str">
        <f t="shared" si="24"/>
        <v/>
      </c>
      <c r="BB10" t="str">
        <f t="shared" si="25"/>
        <v/>
      </c>
      <c r="BC10" t="str">
        <f t="shared" si="26"/>
        <v/>
      </c>
      <c r="BD10" t="str">
        <f t="shared" si="27"/>
        <v/>
      </c>
      <c r="BE10" t="str">
        <f t="shared" si="28"/>
        <v/>
      </c>
      <c r="BF10" t="str">
        <f t="shared" si="29"/>
        <v/>
      </c>
      <c r="BG10" t="str">
        <f t="shared" si="30"/>
        <v/>
      </c>
      <c r="BH10" t="str">
        <f t="shared" si="31"/>
        <v/>
      </c>
    </row>
    <row r="11" spans="1:66" x14ac:dyDescent="0.2">
      <c r="A11">
        <v>8</v>
      </c>
      <c r="B11">
        <v>77</v>
      </c>
      <c r="C11" t="s">
        <v>39</v>
      </c>
      <c r="D11">
        <v>1</v>
      </c>
      <c r="E11">
        <v>1</v>
      </c>
      <c r="K11">
        <v>3</v>
      </c>
      <c r="N11">
        <v>3</v>
      </c>
      <c r="O11">
        <v>3</v>
      </c>
      <c r="P11" t="s">
        <v>218</v>
      </c>
      <c r="S11">
        <v>1</v>
      </c>
      <c r="T11">
        <v>1</v>
      </c>
      <c r="U11">
        <v>1</v>
      </c>
      <c r="X11">
        <f t="shared" si="33"/>
        <v>0</v>
      </c>
      <c r="Z11" t="str">
        <f t="shared" si="0"/>
        <v/>
      </c>
      <c r="AA11" t="str">
        <f t="shared" si="1"/>
        <v/>
      </c>
      <c r="AB11" t="str">
        <f t="shared" si="2"/>
        <v/>
      </c>
      <c r="AC11" t="str">
        <f t="shared" si="3"/>
        <v/>
      </c>
      <c r="AE11" t="str">
        <f t="shared" si="4"/>
        <v/>
      </c>
      <c r="AF11" t="str">
        <f t="shared" si="5"/>
        <v/>
      </c>
      <c r="AG11" t="str">
        <f t="shared" si="6"/>
        <v/>
      </c>
      <c r="AH11" t="str">
        <f t="shared" si="7"/>
        <v/>
      </c>
      <c r="AI11" t="str">
        <f t="shared" si="8"/>
        <v/>
      </c>
      <c r="AK11" t="str">
        <f t="shared" si="9"/>
        <v/>
      </c>
      <c r="AL11" t="str">
        <f t="shared" si="32"/>
        <v/>
      </c>
      <c r="AM11" t="str">
        <f t="shared" si="10"/>
        <v/>
      </c>
      <c r="AN11" t="str">
        <f t="shared" si="11"/>
        <v/>
      </c>
      <c r="AO11" t="str">
        <f t="shared" si="12"/>
        <v/>
      </c>
      <c r="AP11" t="str">
        <f t="shared" si="13"/>
        <v/>
      </c>
      <c r="AQ11" t="str">
        <f t="shared" si="14"/>
        <v/>
      </c>
      <c r="AR11" t="str">
        <f t="shared" si="15"/>
        <v/>
      </c>
      <c r="AS11" t="str">
        <f t="shared" si="16"/>
        <v/>
      </c>
      <c r="AT11" t="str">
        <f t="shared" si="17"/>
        <v/>
      </c>
      <c r="AU11" t="str">
        <f t="shared" si="18"/>
        <v/>
      </c>
      <c r="AV11" t="str">
        <f t="shared" si="19"/>
        <v/>
      </c>
      <c r="AW11" t="str">
        <f t="shared" si="20"/>
        <v/>
      </c>
      <c r="AX11" t="str">
        <f t="shared" si="21"/>
        <v/>
      </c>
      <c r="AY11" t="str">
        <f t="shared" si="22"/>
        <v/>
      </c>
      <c r="AZ11" t="str">
        <f t="shared" si="23"/>
        <v/>
      </c>
      <c r="BA11" t="str">
        <f t="shared" si="24"/>
        <v/>
      </c>
      <c r="BB11" t="str">
        <f t="shared" si="25"/>
        <v/>
      </c>
      <c r="BC11" t="str">
        <f t="shared" si="26"/>
        <v/>
      </c>
      <c r="BD11" t="str">
        <f t="shared" si="27"/>
        <v/>
      </c>
      <c r="BE11" t="str">
        <f t="shared" si="28"/>
        <v/>
      </c>
      <c r="BF11" t="str">
        <f t="shared" si="29"/>
        <v/>
      </c>
      <c r="BG11" t="str">
        <f t="shared" si="30"/>
        <v/>
      </c>
      <c r="BH11" t="str">
        <f t="shared" si="31"/>
        <v/>
      </c>
    </row>
    <row r="12" spans="1:66" x14ac:dyDescent="0.2">
      <c r="A12">
        <v>9</v>
      </c>
      <c r="B12">
        <v>82</v>
      </c>
      <c r="C12" t="s">
        <v>207</v>
      </c>
      <c r="D12">
        <v>1</v>
      </c>
      <c r="J12">
        <v>1</v>
      </c>
      <c r="K12">
        <v>5</v>
      </c>
      <c r="N12">
        <v>6</v>
      </c>
      <c r="O12">
        <v>5</v>
      </c>
      <c r="S12">
        <v>1</v>
      </c>
      <c r="T12">
        <v>1</v>
      </c>
      <c r="X12">
        <f t="shared" si="33"/>
        <v>0</v>
      </c>
      <c r="Z12" t="str">
        <f t="shared" si="0"/>
        <v/>
      </c>
      <c r="AA12" t="str">
        <f t="shared" si="1"/>
        <v/>
      </c>
      <c r="AB12" t="str">
        <f t="shared" si="2"/>
        <v/>
      </c>
      <c r="AC12" t="str">
        <f t="shared" si="3"/>
        <v/>
      </c>
      <c r="AE12" t="str">
        <f t="shared" si="4"/>
        <v/>
      </c>
      <c r="AF12" t="str">
        <f t="shared" si="5"/>
        <v/>
      </c>
      <c r="AG12" t="str">
        <f t="shared" si="6"/>
        <v/>
      </c>
      <c r="AH12" t="str">
        <f t="shared" si="7"/>
        <v/>
      </c>
      <c r="AI12" t="str">
        <f t="shared" si="8"/>
        <v/>
      </c>
      <c r="AK12" t="str">
        <f t="shared" si="9"/>
        <v/>
      </c>
      <c r="AL12" t="str">
        <f t="shared" si="32"/>
        <v/>
      </c>
      <c r="AM12" t="str">
        <f t="shared" si="10"/>
        <v/>
      </c>
      <c r="AN12" t="str">
        <f t="shared" si="11"/>
        <v/>
      </c>
      <c r="AO12" t="str">
        <f t="shared" si="12"/>
        <v/>
      </c>
      <c r="AP12" t="str">
        <f t="shared" si="13"/>
        <v/>
      </c>
      <c r="AQ12" t="str">
        <f t="shared" si="14"/>
        <v/>
      </c>
      <c r="AR12" t="str">
        <f t="shared" si="15"/>
        <v/>
      </c>
      <c r="AS12" t="str">
        <f t="shared" si="16"/>
        <v/>
      </c>
      <c r="AT12" t="str">
        <f t="shared" si="17"/>
        <v/>
      </c>
      <c r="AU12" t="str">
        <f t="shared" si="18"/>
        <v/>
      </c>
      <c r="AV12" t="str">
        <f t="shared" si="19"/>
        <v/>
      </c>
      <c r="AW12" t="str">
        <f t="shared" si="20"/>
        <v/>
      </c>
      <c r="AX12" t="str">
        <f t="shared" si="21"/>
        <v/>
      </c>
      <c r="AY12" t="str">
        <f t="shared" si="22"/>
        <v/>
      </c>
      <c r="AZ12" t="str">
        <f t="shared" si="23"/>
        <v/>
      </c>
      <c r="BA12" t="str">
        <f t="shared" si="24"/>
        <v/>
      </c>
      <c r="BB12" t="str">
        <f t="shared" si="25"/>
        <v/>
      </c>
      <c r="BC12" t="str">
        <f t="shared" si="26"/>
        <v/>
      </c>
      <c r="BD12" t="str">
        <f t="shared" si="27"/>
        <v/>
      </c>
      <c r="BE12" t="str">
        <f t="shared" si="28"/>
        <v/>
      </c>
      <c r="BF12" t="str">
        <f t="shared" si="29"/>
        <v/>
      </c>
      <c r="BG12" t="str">
        <f t="shared" si="30"/>
        <v/>
      </c>
      <c r="BH12" t="str">
        <f t="shared" si="31"/>
        <v/>
      </c>
    </row>
    <row r="13" spans="1:66" x14ac:dyDescent="0.2">
      <c r="A13">
        <v>10</v>
      </c>
      <c r="B13">
        <v>96</v>
      </c>
      <c r="C13" t="s">
        <v>207</v>
      </c>
      <c r="D13">
        <v>1</v>
      </c>
      <c r="E13">
        <v>1</v>
      </c>
      <c r="K13">
        <v>4</v>
      </c>
      <c r="L13">
        <v>1</v>
      </c>
      <c r="N13">
        <v>4</v>
      </c>
      <c r="O13">
        <v>4</v>
      </c>
      <c r="S13">
        <v>1</v>
      </c>
      <c r="T13">
        <v>1</v>
      </c>
      <c r="X13">
        <f t="shared" si="33"/>
        <v>0</v>
      </c>
      <c r="Z13" t="str">
        <f t="shared" si="0"/>
        <v/>
      </c>
      <c r="AA13" t="str">
        <f t="shared" si="1"/>
        <v/>
      </c>
      <c r="AB13" t="str">
        <f t="shared" si="2"/>
        <v/>
      </c>
      <c r="AC13" t="str">
        <f t="shared" si="3"/>
        <v/>
      </c>
      <c r="AE13" t="str">
        <f t="shared" si="4"/>
        <v/>
      </c>
      <c r="AF13" t="str">
        <f t="shared" si="5"/>
        <v/>
      </c>
      <c r="AG13" t="str">
        <f t="shared" si="6"/>
        <v/>
      </c>
      <c r="AH13" t="str">
        <f t="shared" si="7"/>
        <v/>
      </c>
      <c r="AI13" t="str">
        <f t="shared" si="8"/>
        <v/>
      </c>
      <c r="AK13" t="str">
        <f t="shared" si="9"/>
        <v/>
      </c>
      <c r="AL13" t="str">
        <f t="shared" si="32"/>
        <v/>
      </c>
      <c r="AM13" t="str">
        <f t="shared" si="10"/>
        <v/>
      </c>
      <c r="AN13" t="str">
        <f t="shared" si="11"/>
        <v/>
      </c>
      <c r="AO13" t="str">
        <f t="shared" si="12"/>
        <v/>
      </c>
      <c r="AP13" t="str">
        <f t="shared" si="13"/>
        <v/>
      </c>
      <c r="AQ13" t="str">
        <f t="shared" si="14"/>
        <v/>
      </c>
      <c r="AR13" t="str">
        <f t="shared" si="15"/>
        <v/>
      </c>
      <c r="AS13" t="str">
        <f t="shared" si="16"/>
        <v/>
      </c>
      <c r="AT13" t="str">
        <f t="shared" si="17"/>
        <v/>
      </c>
      <c r="AU13" t="str">
        <f t="shared" si="18"/>
        <v/>
      </c>
      <c r="AV13" t="str">
        <f t="shared" si="19"/>
        <v/>
      </c>
      <c r="AW13" t="str">
        <f t="shared" si="20"/>
        <v/>
      </c>
      <c r="AX13" t="str">
        <f t="shared" si="21"/>
        <v/>
      </c>
      <c r="AY13" t="str">
        <f t="shared" si="22"/>
        <v/>
      </c>
      <c r="AZ13" t="str">
        <f t="shared" si="23"/>
        <v/>
      </c>
      <c r="BA13" t="str">
        <f t="shared" si="24"/>
        <v/>
      </c>
      <c r="BB13" t="str">
        <f t="shared" si="25"/>
        <v/>
      </c>
      <c r="BC13" t="str">
        <f t="shared" si="26"/>
        <v/>
      </c>
      <c r="BD13" t="str">
        <f t="shared" si="27"/>
        <v/>
      </c>
      <c r="BE13" t="str">
        <f t="shared" si="28"/>
        <v/>
      </c>
      <c r="BF13" t="str">
        <f t="shared" si="29"/>
        <v/>
      </c>
      <c r="BG13" t="str">
        <f t="shared" si="30"/>
        <v/>
      </c>
      <c r="BH13" t="str">
        <f t="shared" si="31"/>
        <v/>
      </c>
    </row>
    <row r="14" spans="1:66" x14ac:dyDescent="0.2">
      <c r="A14">
        <v>11</v>
      </c>
      <c r="B14">
        <v>110</v>
      </c>
      <c r="C14" t="s">
        <v>207</v>
      </c>
      <c r="D14">
        <v>1</v>
      </c>
      <c r="K14">
        <v>3</v>
      </c>
      <c r="N14">
        <v>4</v>
      </c>
      <c r="O14">
        <v>4</v>
      </c>
      <c r="S14">
        <v>1</v>
      </c>
      <c r="T14">
        <v>1</v>
      </c>
      <c r="U14">
        <v>1</v>
      </c>
      <c r="X14">
        <f t="shared" si="33"/>
        <v>0</v>
      </c>
      <c r="Z14" t="s">
        <v>31</v>
      </c>
      <c r="AE14" t="s">
        <v>34</v>
      </c>
      <c r="AK14" t="s">
        <v>43</v>
      </c>
      <c r="AP14" t="s">
        <v>84</v>
      </c>
    </row>
    <row r="15" spans="1:66" x14ac:dyDescent="0.2">
      <c r="A15">
        <v>12</v>
      </c>
      <c r="B15">
        <v>116</v>
      </c>
      <c r="C15" t="s">
        <v>207</v>
      </c>
      <c r="D15">
        <v>1</v>
      </c>
      <c r="E15">
        <v>1</v>
      </c>
      <c r="F15">
        <v>1</v>
      </c>
      <c r="K15">
        <v>5</v>
      </c>
      <c r="N15">
        <v>5</v>
      </c>
      <c r="O15">
        <v>5</v>
      </c>
      <c r="S15">
        <v>1</v>
      </c>
      <c r="T15">
        <v>1</v>
      </c>
      <c r="X15">
        <f t="shared" si="33"/>
        <v>0</v>
      </c>
      <c r="Z15" t="s">
        <v>21</v>
      </c>
      <c r="AA15" t="s">
        <v>22</v>
      </c>
      <c r="AE15" t="s">
        <v>21</v>
      </c>
      <c r="AF15" t="s">
        <v>22</v>
      </c>
      <c r="AG15" t="s">
        <v>35</v>
      </c>
      <c r="AK15" t="s">
        <v>10</v>
      </c>
      <c r="AL15" t="s">
        <v>25</v>
      </c>
      <c r="AM15" t="s">
        <v>26</v>
      </c>
      <c r="AN15" t="s">
        <v>27</v>
      </c>
      <c r="AP15" t="s">
        <v>15</v>
      </c>
      <c r="AQ15" t="s">
        <v>85</v>
      </c>
    </row>
    <row r="16" spans="1:66" x14ac:dyDescent="0.2">
      <c r="A16" t="s">
        <v>28</v>
      </c>
      <c r="D16">
        <f>SUM(D4:D15)</f>
        <v>12</v>
      </c>
      <c r="E16">
        <f>SUM(E4:E15)</f>
        <v>10</v>
      </c>
      <c r="F16">
        <f>SUM(F4:F15)</f>
        <v>3</v>
      </c>
      <c r="G16">
        <f>SUM(G4:G15)</f>
        <v>0</v>
      </c>
      <c r="H16">
        <f>SUM(H4:H15)</f>
        <v>0</v>
      </c>
      <c r="K16">
        <f>SUM(K4:K15)</f>
        <v>42</v>
      </c>
      <c r="L16">
        <f>SUM(L4:L15)</f>
        <v>1</v>
      </c>
      <c r="M16">
        <f>SUM(M4:M15)</f>
        <v>0</v>
      </c>
      <c r="N16">
        <f>SUM(N4:N15)</f>
        <v>41</v>
      </c>
      <c r="O16">
        <f>SUM(O4:O15)</f>
        <v>38</v>
      </c>
      <c r="Q16">
        <f t="shared" ref="Q16:R16" si="34">SUM(Q4:Q15)</f>
        <v>0</v>
      </c>
      <c r="R16">
        <f t="shared" si="34"/>
        <v>0</v>
      </c>
      <c r="S16">
        <f>SUM(S4:S15)</f>
        <v>11</v>
      </c>
      <c r="T16">
        <f>SUM(T4:T15)</f>
        <v>10</v>
      </c>
      <c r="U16">
        <f>SUM(U4:U15)</f>
        <v>45</v>
      </c>
      <c r="V16">
        <f>SUM(V4:V15)</f>
        <v>0</v>
      </c>
      <c r="W16">
        <f>SUM(W4:W15)</f>
        <v>0</v>
      </c>
      <c r="Z16">
        <f t="shared" ref="Z16:Z27" si="35">COUNTIF(Z2:AC2, "3")*COUNTIF(C4, "r")+COUNTIF(Z2:AC2, "5")*COUNTIF(C4, "b")</f>
        <v>0</v>
      </c>
      <c r="AA16">
        <f t="shared" ref="AA16:AA27" si="36">COUNTIF(Z2:AC2, "1")+COUNTIF(Z2:AC2, "2")+COUNTIF(Z2:AC2, "4")</f>
        <v>0</v>
      </c>
      <c r="AE16">
        <f t="shared" ref="AE16:AE27" si="37">COUNTIF(AE2:AI2, "3")*COUNTIF(C4, "r") + COUNTIF(AE2:AI2, "5")*COUNTIF(C4, "b")</f>
        <v>0</v>
      </c>
      <c r="AF16">
        <f t="shared" ref="AF16:AF27" si="38">COUNTIF(AE2:AI2, "1")+COUNTIF(AE2:AI2, "2")+COUNTIF(AE2:AI2, "4")</f>
        <v>0</v>
      </c>
      <c r="AG16">
        <f t="shared" ref="AG16:AG27" si="39">COUNTIF(AE2:AI2, "3")*COUNTIF(AE2:AI2, "b")+COUNTIF(AE2:AI2, "5")*COUNTIF(AE2:AI2, "r")</f>
        <v>0</v>
      </c>
      <c r="AK16">
        <f t="shared" ref="AK16:AK27" si="40">SUMPRODUCT(LEN($AK2:$BH2) - LEN(SUBSTITUTE($AK2:$BH2, "g", "")))</f>
        <v>0</v>
      </c>
      <c r="AL16">
        <f t="shared" ref="AL16:AL27" si="41">SUMPRODUCT(LEN($AK2:$BH2) - LEN(SUBSTITUTE($AK2:$BH2, "h", "")))</f>
        <v>0</v>
      </c>
      <c r="AM16">
        <f t="shared" ref="AM16:AM27" si="42">SUMPRODUCT(LEN($AK2:$BH2) - LEN(SUBSTITUTE($AK2:$BH2, "v", "")))</f>
        <v>0</v>
      </c>
      <c r="AN16">
        <f t="shared" ref="AN16:AN27" si="43">SUMPRODUCT(LEN($AK2:$BH2) - LEN(SUBSTITUTE($AK2:$BH2, "r", "")))</f>
        <v>0</v>
      </c>
      <c r="AP16">
        <f>MAX(AQ16:BN16)</f>
        <v>0</v>
      </c>
      <c r="AQ16" s="4">
        <f>_xlfn.NUMBERVALUE(RIGHT(AK2,1))</f>
        <v>0</v>
      </c>
      <c r="AR16" s="4">
        <f t="shared" ref="AR16:BG27" si="44">_xlfn.NUMBERVALUE(RIGHT(AL2,1))</f>
        <v>0</v>
      </c>
      <c r="AS16" s="4">
        <f t="shared" si="44"/>
        <v>0</v>
      </c>
      <c r="AT16" s="4">
        <f t="shared" si="44"/>
        <v>0</v>
      </c>
      <c r="AU16" s="4">
        <f t="shared" si="44"/>
        <v>0</v>
      </c>
      <c r="AV16" s="4">
        <f t="shared" si="44"/>
        <v>0</v>
      </c>
      <c r="AW16" s="4">
        <f t="shared" si="44"/>
        <v>0</v>
      </c>
      <c r="AX16" s="4">
        <f t="shared" si="44"/>
        <v>0</v>
      </c>
      <c r="AY16" s="4">
        <f t="shared" si="44"/>
        <v>0</v>
      </c>
      <c r="AZ16" s="4">
        <f t="shared" si="44"/>
        <v>0</v>
      </c>
      <c r="BA16" s="4">
        <f t="shared" si="44"/>
        <v>0</v>
      </c>
      <c r="BB16" s="4">
        <f t="shared" si="44"/>
        <v>0</v>
      </c>
      <c r="BC16" s="4">
        <f t="shared" si="44"/>
        <v>0</v>
      </c>
      <c r="BD16" s="4">
        <f t="shared" si="44"/>
        <v>0</v>
      </c>
      <c r="BE16" s="4">
        <f t="shared" si="44"/>
        <v>0</v>
      </c>
      <c r="BF16" s="4">
        <f t="shared" si="44"/>
        <v>0</v>
      </c>
      <c r="BG16" s="4">
        <f t="shared" si="44"/>
        <v>0</v>
      </c>
      <c r="BH16" s="4">
        <f t="shared" ref="BH16:BN27" si="45">_xlfn.NUMBERVALUE(RIGHT(BB2,1))</f>
        <v>0</v>
      </c>
      <c r="BI16" s="4">
        <f t="shared" si="45"/>
        <v>0</v>
      </c>
      <c r="BJ16" s="4">
        <f t="shared" si="45"/>
        <v>0</v>
      </c>
      <c r="BK16" s="4">
        <f t="shared" si="45"/>
        <v>0</v>
      </c>
      <c r="BL16" s="4">
        <f t="shared" si="45"/>
        <v>0</v>
      </c>
      <c r="BM16" s="4">
        <f t="shared" si="45"/>
        <v>0</v>
      </c>
      <c r="BN16" s="4">
        <f t="shared" si="45"/>
        <v>0</v>
      </c>
    </row>
    <row r="17" spans="1:66" x14ac:dyDescent="0.2">
      <c r="A17" s="1" t="s">
        <v>20</v>
      </c>
      <c r="D17" s="1" t="s">
        <v>49</v>
      </c>
      <c r="G17" s="1" t="s">
        <v>52</v>
      </c>
      <c r="K17" s="3" t="s">
        <v>74</v>
      </c>
      <c r="P17" s="1" t="s">
        <v>66</v>
      </c>
      <c r="Z17">
        <f t="shared" si="35"/>
        <v>0</v>
      </c>
      <c r="AA17">
        <f t="shared" si="36"/>
        <v>0</v>
      </c>
      <c r="AE17">
        <f t="shared" si="37"/>
        <v>0</v>
      </c>
      <c r="AF17">
        <f t="shared" si="38"/>
        <v>0</v>
      </c>
      <c r="AG17">
        <f t="shared" si="39"/>
        <v>0</v>
      </c>
      <c r="AK17">
        <f t="shared" si="40"/>
        <v>0</v>
      </c>
      <c r="AL17">
        <f t="shared" si="41"/>
        <v>0</v>
      </c>
      <c r="AM17">
        <f t="shared" si="42"/>
        <v>0</v>
      </c>
      <c r="AN17">
        <f t="shared" si="43"/>
        <v>0</v>
      </c>
      <c r="AP17">
        <f t="shared" ref="AP17:AP27" si="46">MAX(AQ17:BN17)</f>
        <v>0</v>
      </c>
      <c r="AQ17" s="4">
        <f t="shared" ref="AQ17:AQ27" si="47">_xlfn.NUMBERVALUE(RIGHT(AK3,1))</f>
        <v>0</v>
      </c>
      <c r="AR17" s="4">
        <f t="shared" si="44"/>
        <v>0</v>
      </c>
      <c r="AS17" s="4">
        <f t="shared" si="44"/>
        <v>0</v>
      </c>
      <c r="AT17" s="4">
        <f t="shared" si="44"/>
        <v>0</v>
      </c>
      <c r="AU17" s="4">
        <f t="shared" si="44"/>
        <v>0</v>
      </c>
      <c r="AV17" s="4">
        <f t="shared" si="44"/>
        <v>0</v>
      </c>
      <c r="AW17" s="4">
        <f t="shared" si="44"/>
        <v>0</v>
      </c>
      <c r="AX17" s="4">
        <f t="shared" si="44"/>
        <v>0</v>
      </c>
      <c r="AY17" s="4">
        <f t="shared" si="44"/>
        <v>0</v>
      </c>
      <c r="AZ17" s="4">
        <f t="shared" si="44"/>
        <v>0</v>
      </c>
      <c r="BA17" s="4">
        <f t="shared" si="44"/>
        <v>0</v>
      </c>
      <c r="BB17" s="4">
        <f t="shared" si="44"/>
        <v>0</v>
      </c>
      <c r="BC17" s="4">
        <f t="shared" si="44"/>
        <v>0</v>
      </c>
      <c r="BD17" s="4">
        <f t="shared" si="44"/>
        <v>0</v>
      </c>
      <c r="BE17" s="4">
        <f t="shared" si="44"/>
        <v>0</v>
      </c>
      <c r="BF17" s="4">
        <f t="shared" si="44"/>
        <v>0</v>
      </c>
      <c r="BG17" s="4">
        <f t="shared" si="44"/>
        <v>0</v>
      </c>
      <c r="BH17" s="4">
        <f t="shared" si="45"/>
        <v>0</v>
      </c>
      <c r="BI17" s="4">
        <f t="shared" si="45"/>
        <v>0</v>
      </c>
      <c r="BJ17" s="4">
        <f t="shared" si="45"/>
        <v>0</v>
      </c>
      <c r="BK17" s="4">
        <f t="shared" si="45"/>
        <v>0</v>
      </c>
      <c r="BL17" s="4">
        <f t="shared" si="45"/>
        <v>0</v>
      </c>
      <c r="BM17" s="4">
        <f t="shared" si="45"/>
        <v>0</v>
      </c>
      <c r="BN17" s="4">
        <f t="shared" si="45"/>
        <v>0</v>
      </c>
    </row>
    <row r="18" spans="1:66" x14ac:dyDescent="0.2">
      <c r="A18" t="s">
        <v>32</v>
      </c>
      <c r="B18" t="s">
        <v>21</v>
      </c>
      <c r="D18" t="s">
        <v>180</v>
      </c>
      <c r="G18" s="3" t="s">
        <v>53</v>
      </c>
      <c r="K18" t="s">
        <v>55</v>
      </c>
      <c r="M18" t="s">
        <v>65</v>
      </c>
      <c r="P18" t="s">
        <v>67</v>
      </c>
      <c r="Z18">
        <f t="shared" si="35"/>
        <v>0</v>
      </c>
      <c r="AA18">
        <f t="shared" si="36"/>
        <v>0</v>
      </c>
      <c r="AE18">
        <f t="shared" si="37"/>
        <v>0</v>
      </c>
      <c r="AF18">
        <f t="shared" si="38"/>
        <v>1</v>
      </c>
      <c r="AG18">
        <f t="shared" si="39"/>
        <v>0</v>
      </c>
      <c r="AK18">
        <f t="shared" si="40"/>
        <v>0</v>
      </c>
      <c r="AL18">
        <f t="shared" si="41"/>
        <v>0</v>
      </c>
      <c r="AM18">
        <f t="shared" si="42"/>
        <v>0</v>
      </c>
      <c r="AN18">
        <f t="shared" si="43"/>
        <v>0</v>
      </c>
      <c r="AP18">
        <f t="shared" si="46"/>
        <v>0</v>
      </c>
      <c r="AQ18" s="4">
        <f t="shared" si="47"/>
        <v>0</v>
      </c>
      <c r="AR18" s="4">
        <f t="shared" si="44"/>
        <v>0</v>
      </c>
      <c r="AS18" s="4">
        <f t="shared" si="44"/>
        <v>0</v>
      </c>
      <c r="AT18" s="4">
        <f t="shared" si="44"/>
        <v>0</v>
      </c>
      <c r="AU18" s="4">
        <f t="shared" si="44"/>
        <v>0</v>
      </c>
      <c r="AV18" s="4">
        <f t="shared" si="44"/>
        <v>0</v>
      </c>
      <c r="AW18" s="4">
        <f t="shared" si="44"/>
        <v>0</v>
      </c>
      <c r="AX18" s="4">
        <f t="shared" si="44"/>
        <v>0</v>
      </c>
      <c r="AY18" s="4">
        <f t="shared" si="44"/>
        <v>0</v>
      </c>
      <c r="AZ18" s="4">
        <f t="shared" si="44"/>
        <v>0</v>
      </c>
      <c r="BA18" s="4">
        <f t="shared" si="44"/>
        <v>0</v>
      </c>
      <c r="BB18" s="4">
        <f t="shared" si="44"/>
        <v>0</v>
      </c>
      <c r="BC18" s="4">
        <f t="shared" si="44"/>
        <v>0</v>
      </c>
      <c r="BD18" s="4">
        <f t="shared" si="44"/>
        <v>0</v>
      </c>
      <c r="BE18" s="4">
        <f t="shared" si="44"/>
        <v>0</v>
      </c>
      <c r="BF18" s="4">
        <f t="shared" si="44"/>
        <v>0</v>
      </c>
      <c r="BG18" s="4">
        <f t="shared" si="44"/>
        <v>0</v>
      </c>
      <c r="BH18" s="4">
        <f t="shared" si="45"/>
        <v>0</v>
      </c>
      <c r="BI18" s="4">
        <f t="shared" si="45"/>
        <v>0</v>
      </c>
      <c r="BJ18" s="4">
        <f t="shared" si="45"/>
        <v>0</v>
      </c>
      <c r="BK18" s="4">
        <f t="shared" si="45"/>
        <v>0</v>
      </c>
      <c r="BL18" s="4">
        <f t="shared" si="45"/>
        <v>0</v>
      </c>
      <c r="BM18" s="4">
        <f t="shared" si="45"/>
        <v>0</v>
      </c>
      <c r="BN18" s="4">
        <f t="shared" si="45"/>
        <v>0</v>
      </c>
    </row>
    <row r="19" spans="1:66" x14ac:dyDescent="0.2">
      <c r="A19" t="s">
        <v>40</v>
      </c>
      <c r="B19" t="s">
        <v>22</v>
      </c>
      <c r="D19">
        <f>E16/D16</f>
        <v>0.83333333333333337</v>
      </c>
      <c r="G19" t="s">
        <v>75</v>
      </c>
      <c r="K19">
        <f>O16/N16</f>
        <v>0.92682926829268297</v>
      </c>
      <c r="M19">
        <f>SUM(M39:M50)</f>
        <v>4</v>
      </c>
      <c r="P19">
        <f>T16/S16</f>
        <v>0.90909090909090906</v>
      </c>
      <c r="Z19">
        <f t="shared" si="35"/>
        <v>0</v>
      </c>
      <c r="AA19">
        <f t="shared" si="36"/>
        <v>0</v>
      </c>
      <c r="AE19">
        <f t="shared" si="37"/>
        <v>0</v>
      </c>
      <c r="AF19">
        <f t="shared" si="38"/>
        <v>0</v>
      </c>
      <c r="AG19">
        <f t="shared" si="39"/>
        <v>0</v>
      </c>
      <c r="AK19">
        <f t="shared" si="40"/>
        <v>0</v>
      </c>
      <c r="AL19">
        <f t="shared" si="41"/>
        <v>0</v>
      </c>
      <c r="AM19">
        <f t="shared" si="42"/>
        <v>0</v>
      </c>
      <c r="AN19">
        <f t="shared" si="43"/>
        <v>0</v>
      </c>
      <c r="AP19">
        <f t="shared" si="46"/>
        <v>0</v>
      </c>
      <c r="AQ19" s="4">
        <f t="shared" si="47"/>
        <v>0</v>
      </c>
      <c r="AR19" s="4">
        <f t="shared" si="44"/>
        <v>0</v>
      </c>
      <c r="AS19" s="4">
        <f t="shared" si="44"/>
        <v>0</v>
      </c>
      <c r="AT19" s="4">
        <f t="shared" si="44"/>
        <v>0</v>
      </c>
      <c r="AU19" s="4">
        <f t="shared" si="44"/>
        <v>0</v>
      </c>
      <c r="AV19" s="4">
        <f t="shared" si="44"/>
        <v>0</v>
      </c>
      <c r="AW19" s="4">
        <f t="shared" si="44"/>
        <v>0</v>
      </c>
      <c r="AX19" s="4">
        <f t="shared" si="44"/>
        <v>0</v>
      </c>
      <c r="AY19" s="4">
        <f t="shared" si="44"/>
        <v>0</v>
      </c>
      <c r="AZ19" s="4">
        <f t="shared" si="44"/>
        <v>0</v>
      </c>
      <c r="BA19" s="4">
        <f t="shared" si="44"/>
        <v>0</v>
      </c>
      <c r="BB19" s="4">
        <f t="shared" si="44"/>
        <v>0</v>
      </c>
      <c r="BC19" s="4">
        <f t="shared" si="44"/>
        <v>0</v>
      </c>
      <c r="BD19" s="4">
        <f t="shared" si="44"/>
        <v>0</v>
      </c>
      <c r="BE19" s="4">
        <f t="shared" si="44"/>
        <v>0</v>
      </c>
      <c r="BF19" s="4">
        <f t="shared" si="44"/>
        <v>0</v>
      </c>
      <c r="BG19" s="4">
        <f t="shared" si="44"/>
        <v>0</v>
      </c>
      <c r="BH19" s="4">
        <f t="shared" si="45"/>
        <v>0</v>
      </c>
      <c r="BI19" s="4">
        <f t="shared" si="45"/>
        <v>0</v>
      </c>
      <c r="BJ19" s="4">
        <f t="shared" si="45"/>
        <v>0</v>
      </c>
      <c r="BK19" s="4">
        <f t="shared" si="45"/>
        <v>0</v>
      </c>
      <c r="BL19" s="4">
        <f t="shared" si="45"/>
        <v>0</v>
      </c>
      <c r="BM19" s="4">
        <f t="shared" si="45"/>
        <v>0</v>
      </c>
      <c r="BN19" s="4">
        <f t="shared" si="45"/>
        <v>0</v>
      </c>
    </row>
    <row r="20" spans="1:66" x14ac:dyDescent="0.2">
      <c r="A20" t="s">
        <v>41</v>
      </c>
      <c r="B20" t="s">
        <v>23</v>
      </c>
      <c r="D20" t="s">
        <v>47</v>
      </c>
      <c r="G20">
        <f>AK28/AP28</f>
        <v>1</v>
      </c>
      <c r="K20" t="s">
        <v>13</v>
      </c>
      <c r="Z20">
        <f t="shared" si="35"/>
        <v>0</v>
      </c>
      <c r="AA20">
        <f t="shared" si="36"/>
        <v>0</v>
      </c>
      <c r="AE20">
        <f t="shared" si="37"/>
        <v>0</v>
      </c>
      <c r="AF20">
        <f t="shared" si="38"/>
        <v>0</v>
      </c>
      <c r="AG20">
        <f t="shared" si="39"/>
        <v>0</v>
      </c>
      <c r="AK20">
        <f t="shared" si="40"/>
        <v>0</v>
      </c>
      <c r="AL20">
        <f t="shared" si="41"/>
        <v>0</v>
      </c>
      <c r="AM20">
        <f t="shared" si="42"/>
        <v>0</v>
      </c>
      <c r="AN20">
        <f t="shared" si="43"/>
        <v>0</v>
      </c>
      <c r="AP20">
        <f t="shared" si="46"/>
        <v>0</v>
      </c>
      <c r="AQ20" s="4">
        <f t="shared" si="47"/>
        <v>0</v>
      </c>
      <c r="AR20" s="4">
        <f t="shared" si="44"/>
        <v>0</v>
      </c>
      <c r="AS20" s="4">
        <f t="shared" si="44"/>
        <v>0</v>
      </c>
      <c r="AT20" s="4">
        <f t="shared" si="44"/>
        <v>0</v>
      </c>
      <c r="AU20" s="4">
        <f t="shared" si="44"/>
        <v>0</v>
      </c>
      <c r="AV20" s="4">
        <f t="shared" si="44"/>
        <v>0</v>
      </c>
      <c r="AW20" s="4">
        <f t="shared" si="44"/>
        <v>0</v>
      </c>
      <c r="AX20" s="4">
        <f t="shared" si="44"/>
        <v>0</v>
      </c>
      <c r="AY20" s="4">
        <f t="shared" si="44"/>
        <v>0</v>
      </c>
      <c r="AZ20" s="4">
        <f t="shared" si="44"/>
        <v>0</v>
      </c>
      <c r="BA20" s="4">
        <f t="shared" si="44"/>
        <v>0</v>
      </c>
      <c r="BB20" s="4">
        <f t="shared" si="44"/>
        <v>0</v>
      </c>
      <c r="BC20" s="4">
        <f t="shared" si="44"/>
        <v>0</v>
      </c>
      <c r="BD20" s="4">
        <f t="shared" si="44"/>
        <v>0</v>
      </c>
      <c r="BE20" s="4">
        <f t="shared" si="44"/>
        <v>0</v>
      </c>
      <c r="BF20" s="4">
        <f t="shared" si="44"/>
        <v>0</v>
      </c>
      <c r="BG20" s="4">
        <f t="shared" si="44"/>
        <v>0</v>
      </c>
      <c r="BH20" s="4">
        <f t="shared" si="45"/>
        <v>0</v>
      </c>
      <c r="BI20" s="4">
        <f t="shared" si="45"/>
        <v>0</v>
      </c>
      <c r="BJ20" s="4">
        <f t="shared" si="45"/>
        <v>0</v>
      </c>
      <c r="BK20" s="4">
        <f t="shared" si="45"/>
        <v>0</v>
      </c>
      <c r="BL20" s="4">
        <f t="shared" si="45"/>
        <v>0</v>
      </c>
      <c r="BM20" s="4">
        <f t="shared" si="45"/>
        <v>0</v>
      </c>
      <c r="BN20" s="4">
        <f t="shared" si="45"/>
        <v>0</v>
      </c>
    </row>
    <row r="21" spans="1:66" x14ac:dyDescent="0.2">
      <c r="A21" s="1" t="s">
        <v>24</v>
      </c>
      <c r="D21">
        <f>G16/A31</f>
        <v>0</v>
      </c>
      <c r="G21" t="s">
        <v>76</v>
      </c>
      <c r="K21" t="s">
        <v>57</v>
      </c>
      <c r="L21" t="s">
        <v>58</v>
      </c>
      <c r="M21" t="s">
        <v>59</v>
      </c>
      <c r="N21" t="s">
        <v>60</v>
      </c>
      <c r="Z21">
        <f t="shared" si="35"/>
        <v>0</v>
      </c>
      <c r="AA21">
        <f t="shared" si="36"/>
        <v>0</v>
      </c>
      <c r="AE21">
        <f t="shared" si="37"/>
        <v>0</v>
      </c>
      <c r="AF21">
        <f t="shared" si="38"/>
        <v>0</v>
      </c>
      <c r="AG21">
        <f t="shared" si="39"/>
        <v>0</v>
      </c>
      <c r="AK21">
        <f t="shared" si="40"/>
        <v>0</v>
      </c>
      <c r="AL21">
        <f t="shared" si="41"/>
        <v>0</v>
      </c>
      <c r="AM21">
        <f t="shared" si="42"/>
        <v>0</v>
      </c>
      <c r="AN21">
        <f t="shared" si="43"/>
        <v>0</v>
      </c>
      <c r="AP21">
        <f t="shared" si="46"/>
        <v>0</v>
      </c>
      <c r="AQ21" s="4">
        <f t="shared" si="47"/>
        <v>0</v>
      </c>
      <c r="AR21" s="4">
        <f t="shared" si="44"/>
        <v>0</v>
      </c>
      <c r="AS21" s="4">
        <f t="shared" si="44"/>
        <v>0</v>
      </c>
      <c r="AT21" s="4">
        <f t="shared" si="44"/>
        <v>0</v>
      </c>
      <c r="AU21" s="4">
        <f t="shared" si="44"/>
        <v>0</v>
      </c>
      <c r="AV21" s="4">
        <f t="shared" si="44"/>
        <v>0</v>
      </c>
      <c r="AW21" s="4">
        <f t="shared" si="44"/>
        <v>0</v>
      </c>
      <c r="AX21" s="4">
        <f t="shared" si="44"/>
        <v>0</v>
      </c>
      <c r="AY21" s="4">
        <f t="shared" si="44"/>
        <v>0</v>
      </c>
      <c r="AZ21" s="4">
        <f t="shared" si="44"/>
        <v>0</v>
      </c>
      <c r="BA21" s="4">
        <f t="shared" si="44"/>
        <v>0</v>
      </c>
      <c r="BB21" s="4">
        <f t="shared" si="44"/>
        <v>0</v>
      </c>
      <c r="BC21" s="4">
        <f t="shared" si="44"/>
        <v>0</v>
      </c>
      <c r="BD21" s="4">
        <f t="shared" si="44"/>
        <v>0</v>
      </c>
      <c r="BE21" s="4">
        <f t="shared" si="44"/>
        <v>0</v>
      </c>
      <c r="BF21" s="4">
        <f t="shared" si="44"/>
        <v>0</v>
      </c>
      <c r="BG21" s="4">
        <f t="shared" si="44"/>
        <v>0</v>
      </c>
      <c r="BH21" s="4">
        <f t="shared" si="45"/>
        <v>0</v>
      </c>
      <c r="BI21" s="4">
        <f t="shared" si="45"/>
        <v>0</v>
      </c>
      <c r="BJ21" s="4">
        <f t="shared" si="45"/>
        <v>0</v>
      </c>
      <c r="BK21" s="4">
        <f t="shared" si="45"/>
        <v>0</v>
      </c>
      <c r="BL21" s="4">
        <f t="shared" si="45"/>
        <v>0</v>
      </c>
      <c r="BM21" s="4">
        <f t="shared" si="45"/>
        <v>0</v>
      </c>
      <c r="BN21" s="4">
        <f t="shared" si="45"/>
        <v>0</v>
      </c>
    </row>
    <row r="22" spans="1:66" x14ac:dyDescent="0.2">
      <c r="A22" t="s">
        <v>36</v>
      </c>
      <c r="B22" t="s">
        <v>10</v>
      </c>
      <c r="D22" t="s">
        <v>48</v>
      </c>
      <c r="G22">
        <f>AL28/AP28</f>
        <v>0</v>
      </c>
      <c r="K22">
        <f>AVERAGE(C39:C50)</f>
        <v>3.1666666666666665</v>
      </c>
      <c r="L22">
        <f>MEDIAN(C39:C50)</f>
        <v>3.5</v>
      </c>
      <c r="M22">
        <f>MAX(C39:C50)</f>
        <v>5</v>
      </c>
      <c r="N22">
        <f>_xlfn.STDEV.S(C39:C50)</f>
        <v>1.4668044012461756</v>
      </c>
      <c r="Z22">
        <f t="shared" si="35"/>
        <v>0</v>
      </c>
      <c r="AA22">
        <f t="shared" si="36"/>
        <v>0</v>
      </c>
      <c r="AE22">
        <f t="shared" si="37"/>
        <v>0</v>
      </c>
      <c r="AF22">
        <f t="shared" si="38"/>
        <v>0</v>
      </c>
      <c r="AG22">
        <f t="shared" si="39"/>
        <v>0</v>
      </c>
      <c r="AK22">
        <f t="shared" si="40"/>
        <v>0</v>
      </c>
      <c r="AL22">
        <f t="shared" si="41"/>
        <v>0</v>
      </c>
      <c r="AM22">
        <f t="shared" si="42"/>
        <v>0</v>
      </c>
      <c r="AN22">
        <f t="shared" si="43"/>
        <v>0</v>
      </c>
      <c r="AP22">
        <f t="shared" si="46"/>
        <v>0</v>
      </c>
      <c r="AQ22" s="4">
        <f t="shared" si="47"/>
        <v>0</v>
      </c>
      <c r="AR22" s="4">
        <f t="shared" si="44"/>
        <v>0</v>
      </c>
      <c r="AS22" s="4">
        <f t="shared" si="44"/>
        <v>0</v>
      </c>
      <c r="AT22" s="4">
        <f t="shared" si="44"/>
        <v>0</v>
      </c>
      <c r="AU22" s="4">
        <f t="shared" si="44"/>
        <v>0</v>
      </c>
      <c r="AV22" s="4">
        <f t="shared" si="44"/>
        <v>0</v>
      </c>
      <c r="AW22" s="4">
        <f t="shared" si="44"/>
        <v>0</v>
      </c>
      <c r="AX22" s="4">
        <f t="shared" si="44"/>
        <v>0</v>
      </c>
      <c r="AY22" s="4">
        <f t="shared" si="44"/>
        <v>0</v>
      </c>
      <c r="AZ22" s="4">
        <f t="shared" si="44"/>
        <v>0</v>
      </c>
      <c r="BA22" s="4">
        <f t="shared" si="44"/>
        <v>0</v>
      </c>
      <c r="BB22" s="4">
        <f t="shared" si="44"/>
        <v>0</v>
      </c>
      <c r="BC22" s="4">
        <f t="shared" si="44"/>
        <v>0</v>
      </c>
      <c r="BD22" s="4">
        <f t="shared" si="44"/>
        <v>0</v>
      </c>
      <c r="BE22" s="4">
        <f t="shared" si="44"/>
        <v>0</v>
      </c>
      <c r="BF22" s="4">
        <f t="shared" si="44"/>
        <v>0</v>
      </c>
      <c r="BG22" s="4">
        <f t="shared" si="44"/>
        <v>0</v>
      </c>
      <c r="BH22" s="4">
        <f t="shared" si="45"/>
        <v>0</v>
      </c>
      <c r="BI22" s="4">
        <f t="shared" si="45"/>
        <v>0</v>
      </c>
      <c r="BJ22" s="4">
        <f t="shared" si="45"/>
        <v>0</v>
      </c>
      <c r="BK22" s="4">
        <f t="shared" si="45"/>
        <v>0</v>
      </c>
      <c r="BL22" s="4">
        <f t="shared" si="45"/>
        <v>0</v>
      </c>
      <c r="BM22" s="4">
        <f t="shared" si="45"/>
        <v>0</v>
      </c>
      <c r="BN22" s="4">
        <f t="shared" si="45"/>
        <v>0</v>
      </c>
    </row>
    <row r="23" spans="1:66" x14ac:dyDescent="0.2">
      <c r="A23" t="s">
        <v>37</v>
      </c>
      <c r="B23" t="s">
        <v>25</v>
      </c>
      <c r="D23">
        <f>H16/A31</f>
        <v>0</v>
      </c>
      <c r="G23" t="s">
        <v>77</v>
      </c>
      <c r="K23" t="s">
        <v>8</v>
      </c>
      <c r="Z23">
        <f t="shared" si="35"/>
        <v>0</v>
      </c>
      <c r="AA23">
        <f t="shared" si="36"/>
        <v>0</v>
      </c>
      <c r="AE23">
        <f t="shared" si="37"/>
        <v>0</v>
      </c>
      <c r="AF23">
        <f t="shared" si="38"/>
        <v>0</v>
      </c>
      <c r="AG23">
        <f t="shared" si="39"/>
        <v>0</v>
      </c>
      <c r="AK23">
        <f t="shared" si="40"/>
        <v>1</v>
      </c>
      <c r="AL23">
        <f t="shared" si="41"/>
        <v>0</v>
      </c>
      <c r="AM23">
        <f t="shared" si="42"/>
        <v>0</v>
      </c>
      <c r="AN23">
        <f t="shared" si="43"/>
        <v>0</v>
      </c>
      <c r="AP23">
        <f t="shared" si="46"/>
        <v>1</v>
      </c>
      <c r="AQ23" s="4">
        <f t="shared" si="47"/>
        <v>1</v>
      </c>
      <c r="AR23" s="4">
        <f t="shared" si="44"/>
        <v>0</v>
      </c>
      <c r="AS23" s="4">
        <f t="shared" si="44"/>
        <v>0</v>
      </c>
      <c r="AT23" s="4">
        <f t="shared" si="44"/>
        <v>0</v>
      </c>
      <c r="AU23" s="4">
        <f t="shared" si="44"/>
        <v>0</v>
      </c>
      <c r="AV23" s="4">
        <f t="shared" si="44"/>
        <v>0</v>
      </c>
      <c r="AW23" s="4">
        <f t="shared" si="44"/>
        <v>0</v>
      </c>
      <c r="AX23" s="4">
        <f t="shared" si="44"/>
        <v>0</v>
      </c>
      <c r="AY23" s="4">
        <f t="shared" si="44"/>
        <v>0</v>
      </c>
      <c r="AZ23" s="4">
        <f t="shared" si="44"/>
        <v>0</v>
      </c>
      <c r="BA23" s="4">
        <f t="shared" si="44"/>
        <v>0</v>
      </c>
      <c r="BB23" s="4">
        <f t="shared" si="44"/>
        <v>0</v>
      </c>
      <c r="BC23" s="4">
        <f t="shared" si="44"/>
        <v>0</v>
      </c>
      <c r="BD23" s="4">
        <f t="shared" si="44"/>
        <v>0</v>
      </c>
      <c r="BE23" s="4">
        <f t="shared" si="44"/>
        <v>0</v>
      </c>
      <c r="BF23" s="4">
        <f t="shared" si="44"/>
        <v>0</v>
      </c>
      <c r="BG23" s="4">
        <f t="shared" si="44"/>
        <v>0</v>
      </c>
      <c r="BH23" s="4">
        <f t="shared" si="45"/>
        <v>0</v>
      </c>
      <c r="BI23" s="4">
        <f t="shared" si="45"/>
        <v>0</v>
      </c>
      <c r="BJ23" s="4">
        <f t="shared" si="45"/>
        <v>0</v>
      </c>
      <c r="BK23" s="4">
        <f t="shared" si="45"/>
        <v>0</v>
      </c>
      <c r="BL23" s="4">
        <f t="shared" si="45"/>
        <v>0</v>
      </c>
      <c r="BM23" s="4">
        <f t="shared" si="45"/>
        <v>0</v>
      </c>
      <c r="BN23" s="4">
        <f t="shared" si="45"/>
        <v>0</v>
      </c>
    </row>
    <row r="24" spans="1:66" x14ac:dyDescent="0.2">
      <c r="A24" t="s">
        <v>38</v>
      </c>
      <c r="B24" t="s">
        <v>26</v>
      </c>
      <c r="D24" t="s">
        <v>50</v>
      </c>
      <c r="G24">
        <f>AM28/AP28</f>
        <v>0</v>
      </c>
      <c r="K24" t="s">
        <v>57</v>
      </c>
      <c r="L24" t="s">
        <v>61</v>
      </c>
      <c r="M24" t="s">
        <v>59</v>
      </c>
      <c r="N24" t="s">
        <v>60</v>
      </c>
      <c r="Z24">
        <f t="shared" si="35"/>
        <v>0</v>
      </c>
      <c r="AA24">
        <f t="shared" si="36"/>
        <v>0</v>
      </c>
      <c r="AE24">
        <f t="shared" si="37"/>
        <v>0</v>
      </c>
      <c r="AF24">
        <f t="shared" si="38"/>
        <v>1</v>
      </c>
      <c r="AG24">
        <f t="shared" si="39"/>
        <v>0</v>
      </c>
      <c r="AK24">
        <f t="shared" si="40"/>
        <v>0</v>
      </c>
      <c r="AL24">
        <f t="shared" si="41"/>
        <v>0</v>
      </c>
      <c r="AM24">
        <f t="shared" si="42"/>
        <v>0</v>
      </c>
      <c r="AN24">
        <f t="shared" si="43"/>
        <v>0</v>
      </c>
      <c r="AP24">
        <f t="shared" si="46"/>
        <v>0</v>
      </c>
      <c r="AQ24" s="4">
        <f t="shared" si="47"/>
        <v>0</v>
      </c>
      <c r="AR24" s="4">
        <f t="shared" si="44"/>
        <v>0</v>
      </c>
      <c r="AS24" s="4">
        <f t="shared" si="44"/>
        <v>0</v>
      </c>
      <c r="AT24" s="4">
        <f t="shared" si="44"/>
        <v>0</v>
      </c>
      <c r="AU24" s="4">
        <f t="shared" si="44"/>
        <v>0</v>
      </c>
      <c r="AV24" s="4">
        <f t="shared" si="44"/>
        <v>0</v>
      </c>
      <c r="AW24" s="4">
        <f t="shared" si="44"/>
        <v>0</v>
      </c>
      <c r="AX24" s="4">
        <f t="shared" si="44"/>
        <v>0</v>
      </c>
      <c r="AY24" s="4">
        <f t="shared" si="44"/>
        <v>0</v>
      </c>
      <c r="AZ24" s="4">
        <f t="shared" si="44"/>
        <v>0</v>
      </c>
      <c r="BA24" s="4">
        <f t="shared" si="44"/>
        <v>0</v>
      </c>
      <c r="BB24" s="4">
        <f t="shared" si="44"/>
        <v>0</v>
      </c>
      <c r="BC24" s="4">
        <f t="shared" si="44"/>
        <v>0</v>
      </c>
      <c r="BD24" s="4">
        <f t="shared" si="44"/>
        <v>0</v>
      </c>
      <c r="BE24" s="4">
        <f t="shared" si="44"/>
        <v>0</v>
      </c>
      <c r="BF24" s="4">
        <f t="shared" si="44"/>
        <v>0</v>
      </c>
      <c r="BG24" s="4">
        <f t="shared" si="44"/>
        <v>0</v>
      </c>
      <c r="BH24" s="4">
        <f t="shared" si="45"/>
        <v>0</v>
      </c>
      <c r="BI24" s="4">
        <f t="shared" si="45"/>
        <v>0</v>
      </c>
      <c r="BJ24" s="4">
        <f t="shared" si="45"/>
        <v>0</v>
      </c>
      <c r="BK24" s="4">
        <f t="shared" si="45"/>
        <v>0</v>
      </c>
      <c r="BL24" s="4">
        <f t="shared" si="45"/>
        <v>0</v>
      </c>
      <c r="BM24" s="4">
        <f t="shared" si="45"/>
        <v>0</v>
      </c>
      <c r="BN24" s="4">
        <f t="shared" si="45"/>
        <v>0</v>
      </c>
    </row>
    <row r="25" spans="1:66" x14ac:dyDescent="0.2">
      <c r="A25" t="s">
        <v>39</v>
      </c>
      <c r="B25" t="s">
        <v>27</v>
      </c>
      <c r="D25">
        <f>Z28/A31</f>
        <v>0</v>
      </c>
      <c r="G25" t="s">
        <v>78</v>
      </c>
      <c r="K25">
        <f>AVERAGE(E39:E50)</f>
        <v>0</v>
      </c>
      <c r="L25">
        <f>MEDIAN(E39:E50)</f>
        <v>0</v>
      </c>
      <c r="M25">
        <f>MAX(E39:E50)</f>
        <v>0</v>
      </c>
      <c r="N25">
        <f>_xlfn.STDEV.S(E39:E50)</f>
        <v>0</v>
      </c>
      <c r="Z25">
        <f t="shared" si="35"/>
        <v>0</v>
      </c>
      <c r="AA25">
        <f t="shared" si="36"/>
        <v>0</v>
      </c>
      <c r="AE25">
        <f t="shared" si="37"/>
        <v>0</v>
      </c>
      <c r="AF25">
        <f t="shared" si="38"/>
        <v>0</v>
      </c>
      <c r="AG25">
        <f t="shared" si="39"/>
        <v>0</v>
      </c>
      <c r="AK25">
        <f t="shared" si="40"/>
        <v>0</v>
      </c>
      <c r="AL25">
        <f t="shared" si="41"/>
        <v>0</v>
      </c>
      <c r="AM25">
        <f t="shared" si="42"/>
        <v>0</v>
      </c>
      <c r="AN25">
        <f t="shared" si="43"/>
        <v>0</v>
      </c>
      <c r="AP25">
        <f t="shared" si="46"/>
        <v>0</v>
      </c>
      <c r="AQ25" s="4">
        <f t="shared" si="47"/>
        <v>0</v>
      </c>
      <c r="AR25" s="4">
        <f t="shared" si="44"/>
        <v>0</v>
      </c>
      <c r="AS25" s="4">
        <f t="shared" si="44"/>
        <v>0</v>
      </c>
      <c r="AT25" s="4">
        <f t="shared" si="44"/>
        <v>0</v>
      </c>
      <c r="AU25" s="4">
        <f t="shared" si="44"/>
        <v>0</v>
      </c>
      <c r="AV25" s="4">
        <f t="shared" si="44"/>
        <v>0</v>
      </c>
      <c r="AW25" s="4">
        <f t="shared" si="44"/>
        <v>0</v>
      </c>
      <c r="AX25" s="4">
        <f t="shared" si="44"/>
        <v>0</v>
      </c>
      <c r="AY25" s="4">
        <f t="shared" si="44"/>
        <v>0</v>
      </c>
      <c r="AZ25" s="4">
        <f t="shared" si="44"/>
        <v>0</v>
      </c>
      <c r="BA25" s="4">
        <f t="shared" si="44"/>
        <v>0</v>
      </c>
      <c r="BB25" s="4">
        <f t="shared" si="44"/>
        <v>0</v>
      </c>
      <c r="BC25" s="4">
        <f t="shared" si="44"/>
        <v>0</v>
      </c>
      <c r="BD25" s="4">
        <f t="shared" si="44"/>
        <v>0</v>
      </c>
      <c r="BE25" s="4">
        <f t="shared" si="44"/>
        <v>0</v>
      </c>
      <c r="BF25" s="4">
        <f t="shared" si="44"/>
        <v>0</v>
      </c>
      <c r="BG25" s="4">
        <f t="shared" si="44"/>
        <v>0</v>
      </c>
      <c r="BH25" s="4">
        <f t="shared" si="45"/>
        <v>0</v>
      </c>
      <c r="BI25" s="4">
        <f t="shared" si="45"/>
        <v>0</v>
      </c>
      <c r="BJ25" s="4">
        <f t="shared" si="45"/>
        <v>0</v>
      </c>
      <c r="BK25" s="4">
        <f t="shared" si="45"/>
        <v>0</v>
      </c>
      <c r="BL25" s="4">
        <f t="shared" si="45"/>
        <v>0</v>
      </c>
      <c r="BM25" s="4">
        <f t="shared" si="45"/>
        <v>0</v>
      </c>
      <c r="BN25" s="4">
        <f t="shared" si="45"/>
        <v>0</v>
      </c>
    </row>
    <row r="26" spans="1:66" x14ac:dyDescent="0.2">
      <c r="A26" t="s">
        <v>44</v>
      </c>
      <c r="D26" t="s">
        <v>51</v>
      </c>
      <c r="G26">
        <f>AN28/AP28</f>
        <v>0</v>
      </c>
      <c r="K26" t="s">
        <v>62</v>
      </c>
      <c r="P26" t="s">
        <v>19</v>
      </c>
      <c r="Z26">
        <f t="shared" si="35"/>
        <v>0</v>
      </c>
      <c r="AA26">
        <f t="shared" si="36"/>
        <v>0</v>
      </c>
      <c r="AE26">
        <f t="shared" si="37"/>
        <v>0</v>
      </c>
      <c r="AF26">
        <f t="shared" si="38"/>
        <v>0</v>
      </c>
      <c r="AG26">
        <f t="shared" si="39"/>
        <v>0</v>
      </c>
      <c r="AK26">
        <f t="shared" si="40"/>
        <v>0</v>
      </c>
      <c r="AL26">
        <f t="shared" si="41"/>
        <v>0</v>
      </c>
      <c r="AM26">
        <f t="shared" si="42"/>
        <v>0</v>
      </c>
      <c r="AN26">
        <f t="shared" si="43"/>
        <v>0</v>
      </c>
      <c r="AP26">
        <f t="shared" si="46"/>
        <v>0</v>
      </c>
      <c r="AQ26" s="4">
        <f t="shared" si="47"/>
        <v>0</v>
      </c>
      <c r="AR26" s="4">
        <f t="shared" si="44"/>
        <v>0</v>
      </c>
      <c r="AS26" s="4">
        <f t="shared" si="44"/>
        <v>0</v>
      </c>
      <c r="AT26" s="4">
        <f t="shared" si="44"/>
        <v>0</v>
      </c>
      <c r="AU26" s="4">
        <f t="shared" si="44"/>
        <v>0</v>
      </c>
      <c r="AV26" s="4">
        <f t="shared" si="44"/>
        <v>0</v>
      </c>
      <c r="AW26" s="4">
        <f t="shared" si="44"/>
        <v>0</v>
      </c>
      <c r="AX26" s="4">
        <f t="shared" si="44"/>
        <v>0</v>
      </c>
      <c r="AY26" s="4">
        <f t="shared" si="44"/>
        <v>0</v>
      </c>
      <c r="AZ26" s="4">
        <f t="shared" si="44"/>
        <v>0</v>
      </c>
      <c r="BA26" s="4">
        <f t="shared" si="44"/>
        <v>0</v>
      </c>
      <c r="BB26" s="4">
        <f t="shared" si="44"/>
        <v>0</v>
      </c>
      <c r="BC26" s="4">
        <f t="shared" si="44"/>
        <v>0</v>
      </c>
      <c r="BD26" s="4">
        <f t="shared" si="44"/>
        <v>0</v>
      </c>
      <c r="BE26" s="4">
        <f t="shared" si="44"/>
        <v>0</v>
      </c>
      <c r="BF26" s="4">
        <f t="shared" si="44"/>
        <v>0</v>
      </c>
      <c r="BG26" s="4">
        <f t="shared" si="44"/>
        <v>0</v>
      </c>
      <c r="BH26" s="4">
        <f t="shared" si="45"/>
        <v>0</v>
      </c>
      <c r="BI26" s="4">
        <f t="shared" si="45"/>
        <v>0</v>
      </c>
      <c r="BJ26" s="4">
        <f t="shared" si="45"/>
        <v>0</v>
      </c>
      <c r="BK26" s="4">
        <f t="shared" si="45"/>
        <v>0</v>
      </c>
      <c r="BL26" s="4">
        <f t="shared" si="45"/>
        <v>0</v>
      </c>
      <c r="BM26" s="4">
        <f t="shared" si="45"/>
        <v>0</v>
      </c>
      <c r="BN26" s="4">
        <f t="shared" si="45"/>
        <v>0</v>
      </c>
    </row>
    <row r="27" spans="1:66" x14ac:dyDescent="0.2">
      <c r="A27" t="s">
        <v>45</v>
      </c>
      <c r="D27">
        <f>AA28/A31</f>
        <v>0</v>
      </c>
      <c r="G27" t="s">
        <v>56</v>
      </c>
      <c r="K27" t="s">
        <v>57</v>
      </c>
      <c r="L27" t="s">
        <v>58</v>
      </c>
      <c r="M27" t="s">
        <v>59</v>
      </c>
      <c r="N27" t="s">
        <v>60</v>
      </c>
      <c r="P27" t="s">
        <v>57</v>
      </c>
      <c r="Q27" t="s">
        <v>58</v>
      </c>
      <c r="R27" t="s">
        <v>59</v>
      </c>
      <c r="S27" t="s">
        <v>60</v>
      </c>
      <c r="Z27">
        <f t="shared" si="35"/>
        <v>0</v>
      </c>
      <c r="AA27">
        <f t="shared" si="36"/>
        <v>0</v>
      </c>
      <c r="AE27">
        <f t="shared" si="37"/>
        <v>0</v>
      </c>
      <c r="AF27">
        <f t="shared" si="38"/>
        <v>0</v>
      </c>
      <c r="AG27">
        <f t="shared" si="39"/>
        <v>0</v>
      </c>
      <c r="AK27">
        <f t="shared" si="40"/>
        <v>0</v>
      </c>
      <c r="AL27">
        <f t="shared" si="41"/>
        <v>0</v>
      </c>
      <c r="AM27">
        <f t="shared" si="42"/>
        <v>0</v>
      </c>
      <c r="AN27">
        <f t="shared" si="43"/>
        <v>0</v>
      </c>
      <c r="AP27">
        <f t="shared" si="46"/>
        <v>0</v>
      </c>
      <c r="AQ27" s="4">
        <f t="shared" si="47"/>
        <v>0</v>
      </c>
      <c r="AR27" s="4">
        <f t="shared" si="44"/>
        <v>0</v>
      </c>
      <c r="AS27" s="4">
        <f t="shared" si="44"/>
        <v>0</v>
      </c>
      <c r="AT27" s="4">
        <f t="shared" si="44"/>
        <v>0</v>
      </c>
      <c r="AU27" s="4">
        <f t="shared" si="44"/>
        <v>0</v>
      </c>
      <c r="AV27" s="4">
        <f t="shared" si="44"/>
        <v>0</v>
      </c>
      <c r="AW27" s="4">
        <f t="shared" si="44"/>
        <v>0</v>
      </c>
      <c r="AX27" s="4">
        <f t="shared" si="44"/>
        <v>0</v>
      </c>
      <c r="AY27" s="4">
        <f t="shared" si="44"/>
        <v>0</v>
      </c>
      <c r="AZ27" s="4">
        <f t="shared" si="44"/>
        <v>0</v>
      </c>
      <c r="BA27" s="4">
        <f t="shared" si="44"/>
        <v>0</v>
      </c>
      <c r="BB27" s="4">
        <f t="shared" si="44"/>
        <v>0</v>
      </c>
      <c r="BC27" s="4">
        <f t="shared" si="44"/>
        <v>0</v>
      </c>
      <c r="BD27" s="4">
        <f t="shared" si="44"/>
        <v>0</v>
      </c>
      <c r="BE27" s="4">
        <f t="shared" si="44"/>
        <v>0</v>
      </c>
      <c r="BF27" s="4">
        <f t="shared" si="44"/>
        <v>0</v>
      </c>
      <c r="BG27" s="4">
        <f t="shared" si="44"/>
        <v>0</v>
      </c>
      <c r="BH27" s="4">
        <f t="shared" si="45"/>
        <v>0</v>
      </c>
      <c r="BI27" s="4">
        <f t="shared" si="45"/>
        <v>0</v>
      </c>
      <c r="BJ27" s="4">
        <f t="shared" si="45"/>
        <v>0</v>
      </c>
      <c r="BK27" s="4">
        <f t="shared" si="45"/>
        <v>0</v>
      </c>
      <c r="BL27" s="4">
        <f t="shared" si="45"/>
        <v>0</v>
      </c>
      <c r="BM27" s="4">
        <f t="shared" si="45"/>
        <v>0</v>
      </c>
      <c r="BN27" s="4">
        <f t="shared" si="45"/>
        <v>0</v>
      </c>
    </row>
    <row r="28" spans="1:66" x14ac:dyDescent="0.2">
      <c r="A28" t="s">
        <v>46</v>
      </c>
      <c r="D28" t="s">
        <v>202</v>
      </c>
      <c r="G28" t="s">
        <v>57</v>
      </c>
      <c r="H28" t="s">
        <v>58</v>
      </c>
      <c r="I28" t="s">
        <v>59</v>
      </c>
      <c r="J28" t="s">
        <v>60</v>
      </c>
      <c r="K28">
        <f>AVERAGE(G39:G50)</f>
        <v>0</v>
      </c>
      <c r="L28">
        <f>MEDIAN(G39:G50)</f>
        <v>0</v>
      </c>
      <c r="M28">
        <f>MAX(G39:G50)</f>
        <v>0</v>
      </c>
      <c r="N28">
        <f>_xlfn.STDEV.S(G39:G50)</f>
        <v>0</v>
      </c>
      <c r="P28">
        <f>AVERAGE(N39:N50)</f>
        <v>3.75</v>
      </c>
      <c r="Q28">
        <f>MEDIAN(N39:N50)</f>
        <v>0.5</v>
      </c>
      <c r="R28">
        <f>MAX(N39:N50)</f>
        <v>29</v>
      </c>
      <c r="S28">
        <f>_xlfn.STDEV.S(N39:N50)</f>
        <v>8.3788152775046569</v>
      </c>
      <c r="Y28" t="s">
        <v>33</v>
      </c>
      <c r="Z28">
        <f>SUM(Z16:Z27)</f>
        <v>0</v>
      </c>
      <c r="AA28">
        <f>SUM(AA16:AA27)</f>
        <v>0</v>
      </c>
      <c r="AE28">
        <f>SUM(AE16:AE27)</f>
        <v>0</v>
      </c>
      <c r="AF28">
        <f>SUM(AF16:AF27)</f>
        <v>2</v>
      </c>
      <c r="AG28">
        <f>SUM(AG16:AG27)</f>
        <v>0</v>
      </c>
      <c r="AK28">
        <f>SUM(AK16:AK27)</f>
        <v>1</v>
      </c>
      <c r="AL28">
        <f>SUM(AL16:AL27)</f>
        <v>0</v>
      </c>
      <c r="AM28">
        <f>SUM(AM16:AM27)</f>
        <v>0</v>
      </c>
      <c r="AN28">
        <f>SUM(AN16:AN27)</f>
        <v>0</v>
      </c>
      <c r="AP28">
        <f>SUM(AP16:AP27)</f>
        <v>1</v>
      </c>
    </row>
    <row r="29" spans="1:66" x14ac:dyDescent="0.2">
      <c r="D29">
        <f>SUM(O39:O50)/F16</f>
        <v>1</v>
      </c>
      <c r="G29">
        <f>AVERAGE(A39:A50)</f>
        <v>0.16666666666666666</v>
      </c>
      <c r="H29">
        <f>MEDIAN(A39:A50)</f>
        <v>0</v>
      </c>
      <c r="I29">
        <f>MAX(A39:A50)</f>
        <v>1</v>
      </c>
      <c r="J29">
        <f>_xlfn.STDEV.S(A39:A50)</f>
        <v>0.38924947208076149</v>
      </c>
      <c r="K29" t="s">
        <v>63</v>
      </c>
      <c r="P29" t="s">
        <v>148</v>
      </c>
    </row>
    <row r="30" spans="1:66" x14ac:dyDescent="0.2">
      <c r="A30" t="s">
        <v>147</v>
      </c>
      <c r="D30" t="s">
        <v>203</v>
      </c>
      <c r="G30" t="s">
        <v>50</v>
      </c>
      <c r="H30" t="s">
        <v>51</v>
      </c>
      <c r="I30" t="s">
        <v>89</v>
      </c>
      <c r="K30" t="s">
        <v>57</v>
      </c>
      <c r="L30" t="s">
        <v>58</v>
      </c>
      <c r="M30" t="s">
        <v>59</v>
      </c>
      <c r="N30" t="s">
        <v>60</v>
      </c>
      <c r="P30" t="s">
        <v>57</v>
      </c>
      <c r="Q30" t="s">
        <v>58</v>
      </c>
      <c r="R30" t="s">
        <v>59</v>
      </c>
      <c r="S30" t="s">
        <v>60</v>
      </c>
      <c r="W30" t="s">
        <v>148</v>
      </c>
      <c r="Y30" t="s">
        <v>149</v>
      </c>
      <c r="AH30" t="s">
        <v>79</v>
      </c>
    </row>
    <row r="31" spans="1:66" x14ac:dyDescent="0.2">
      <c r="A31">
        <f>COUNT(B4:B15)</f>
        <v>12</v>
      </c>
      <c r="D31" s="2">
        <f>SUM(S39:S50)/SUM(Q39:Q50)</f>
        <v>0.77777777777777779</v>
      </c>
      <c r="G31">
        <f>AE28/A31</f>
        <v>0</v>
      </c>
      <c r="H31">
        <f>AF28/A31</f>
        <v>0.16666666666666666</v>
      </c>
      <c r="I31">
        <f>AG28/A31</f>
        <v>0</v>
      </c>
      <c r="K31" t="e">
        <f>AVERAGE(I39:I50)</f>
        <v>#DIV/0!</v>
      </c>
      <c r="L31" t="e">
        <f>MEDIAN(I39:I50)</f>
        <v>#NUM!</v>
      </c>
      <c r="M31">
        <f>MAX(I39:I50)</f>
        <v>0</v>
      </c>
      <c r="N31" t="e">
        <f>_xlfn.STDEV.S(I39:I50)</f>
        <v>#DIV/0!</v>
      </c>
      <c r="P31" t="e">
        <f>AVERAGE(W31:W42)</f>
        <v>#DIV/0!</v>
      </c>
      <c r="Q31" t="e">
        <f>MEDIAN(W31:W42)</f>
        <v>#NUM!</v>
      </c>
      <c r="R31">
        <f>MAX(W31:W42)</f>
        <v>0</v>
      </c>
      <c r="S31" t="e">
        <f>_xlfn.STDEV.S(W31:W42)</f>
        <v>#DIV/0!</v>
      </c>
      <c r="W31" t="str">
        <f t="shared" ref="W31:W33" si="48">IF(AND(ISBLANK(Q4), ISBLANK(R4), ISBLANK(G4), ISBLANK(H4)), "", U4)</f>
        <v/>
      </c>
      <c r="Y31" t="str">
        <f t="shared" ref="Y31:Y42" si="49">IF(ISBLANK(Y4), IF(X4 = 0, "", (G4 + H4/3 + V4/9 + W4/3)), U4)</f>
        <v/>
      </c>
      <c r="AH31" t="s">
        <v>80</v>
      </c>
    </row>
    <row r="32" spans="1:66" x14ac:dyDescent="0.2">
      <c r="A32" t="s">
        <v>246</v>
      </c>
      <c r="D32" s="3"/>
      <c r="K32" t="s">
        <v>64</v>
      </c>
      <c r="P32" t="s">
        <v>149</v>
      </c>
      <c r="W32" t="str">
        <f t="shared" si="48"/>
        <v/>
      </c>
      <c r="Y32" t="str">
        <f t="shared" si="49"/>
        <v/>
      </c>
      <c r="AH32" t="s">
        <v>81</v>
      </c>
    </row>
    <row r="33" spans="1:34" x14ac:dyDescent="0.2">
      <c r="A33" t="s">
        <v>299</v>
      </c>
      <c r="D33" s="3"/>
      <c r="K33" t="s">
        <v>57</v>
      </c>
      <c r="L33" t="s">
        <v>58</v>
      </c>
      <c r="M33" t="s">
        <v>59</v>
      </c>
      <c r="N33" t="s">
        <v>60</v>
      </c>
      <c r="P33" t="s">
        <v>57</v>
      </c>
      <c r="Q33" t="s">
        <v>58</v>
      </c>
      <c r="R33" t="s">
        <v>59</v>
      </c>
      <c r="S33" t="s">
        <v>60</v>
      </c>
      <c r="W33" t="str">
        <f t="shared" si="48"/>
        <v/>
      </c>
      <c r="Y33" t="str">
        <f t="shared" si="49"/>
        <v/>
      </c>
      <c r="AH33" t="s">
        <v>82</v>
      </c>
    </row>
    <row r="34" spans="1:34" x14ac:dyDescent="0.2">
      <c r="D34" s="3"/>
      <c r="K34">
        <f>AVERAGE(K39:K50)</f>
        <v>0</v>
      </c>
      <c r="L34">
        <f>MEDIAN(K39:K50)</f>
        <v>0</v>
      </c>
      <c r="M34">
        <f>MAX(K39:K50)</f>
        <v>0</v>
      </c>
      <c r="N34">
        <f>_xlfn.STDEV.S(K39:K50)</f>
        <v>0</v>
      </c>
      <c r="P34" t="e">
        <f>AVERAGE(Y31:Y42)</f>
        <v>#DIV/0!</v>
      </c>
      <c r="Q34" t="e">
        <f>MEDIAN(Y31:Y42)</f>
        <v>#NUM!</v>
      </c>
      <c r="R34">
        <f>MAX(Y31:Y42)</f>
        <v>0</v>
      </c>
      <c r="S34" t="e">
        <f>_xlfn.STDEV.S(Y31:Y42)</f>
        <v>#DIV/0!</v>
      </c>
      <c r="W34" t="str">
        <f>IF(AND(ISBLANK(Q7), ISBLANK(R7), ISBLANK(G7), ISBLANK(H7)), "", U7)</f>
        <v/>
      </c>
      <c r="Y34" t="str">
        <f t="shared" si="49"/>
        <v/>
      </c>
      <c r="AH34" t="s">
        <v>83</v>
      </c>
    </row>
    <row r="35" spans="1:34" x14ac:dyDescent="0.2">
      <c r="P35" t="s">
        <v>95</v>
      </c>
      <c r="R35" t="s">
        <v>197</v>
      </c>
      <c r="W35" t="str">
        <f t="shared" ref="W35:W42" si="50">IF(AND(ISBLANK(Q8), ISBLANK(R8), ISBLANK(G8), ISBLANK(H8)), "", U8)</f>
        <v/>
      </c>
      <c r="Y35" t="str">
        <f t="shared" si="49"/>
        <v/>
      </c>
    </row>
    <row r="36" spans="1:34" x14ac:dyDescent="0.2">
      <c r="P36" t="e">
        <f>Q16/(Q16+R16)</f>
        <v>#DIV/0!</v>
      </c>
      <c r="R36" t="e">
        <f>R16/(Q16+R16)</f>
        <v>#DIV/0!</v>
      </c>
      <c r="W36" t="str">
        <f t="shared" si="50"/>
        <v/>
      </c>
      <c r="Y36" t="str">
        <f t="shared" si="49"/>
        <v/>
      </c>
    </row>
    <row r="37" spans="1:34" x14ac:dyDescent="0.2">
      <c r="W37" t="str">
        <f t="shared" si="50"/>
        <v/>
      </c>
      <c r="Y37" t="str">
        <f t="shared" si="49"/>
        <v/>
      </c>
    </row>
    <row r="38" spans="1:34" x14ac:dyDescent="0.2">
      <c r="A38" t="s">
        <v>68</v>
      </c>
      <c r="C38" t="s">
        <v>69</v>
      </c>
      <c r="E38" t="s">
        <v>72</v>
      </c>
      <c r="G38" t="s">
        <v>250</v>
      </c>
      <c r="K38" t="s">
        <v>73</v>
      </c>
      <c r="M38" t="s">
        <v>70</v>
      </c>
      <c r="N38" t="s">
        <v>71</v>
      </c>
      <c r="O38" t="s">
        <v>199</v>
      </c>
      <c r="Q38" t="s">
        <v>200</v>
      </c>
      <c r="S38" t="s">
        <v>201</v>
      </c>
      <c r="W38" t="str">
        <f t="shared" si="50"/>
        <v/>
      </c>
      <c r="Y38" t="str">
        <f t="shared" si="49"/>
        <v/>
      </c>
    </row>
    <row r="39" spans="1:34" x14ac:dyDescent="0.2">
      <c r="A39">
        <f t="shared" ref="A39:A50" si="51">IF(ISBLANK(B4), "", SUM(AE16+AF16+AG16))</f>
        <v>0</v>
      </c>
      <c r="C39">
        <f t="shared" ref="C39:C50" si="52">IF(ISBLANK(B4), "", O4)</f>
        <v>0</v>
      </c>
      <c r="E39">
        <f t="shared" ref="E39:E50" si="53">IF(ISBLANK(B4), "", Q4)</f>
        <v>0</v>
      </c>
      <c r="G39">
        <f t="shared" ref="G39:G50" si="54">IF(ISBLANK(B4), "", R4)</f>
        <v>0</v>
      </c>
      <c r="K39">
        <f t="shared" ref="K39:K50" si="55">IF(ISBLANK(B4), "", SUM(Q4 + R4))</f>
        <v>0</v>
      </c>
      <c r="M39">
        <f t="shared" ref="M39:M50" si="56">IF(ISBLANK(B4), "", SUM(K4+M4) - O4)</f>
        <v>0</v>
      </c>
      <c r="N39">
        <f t="shared" ref="N39:N50" si="57">IF(ISBLANK(B4), "", U4)</f>
        <v>9</v>
      </c>
      <c r="O39">
        <f t="shared" ref="O39:O50" si="58">COUNTIF(E4, "1")*COUNTIF(F4, "1")</f>
        <v>1</v>
      </c>
      <c r="Q39">
        <f t="shared" ref="Q39:Q50" si="59">COUNTIF(D4, "1")*COUNTIF(F4, "")</f>
        <v>0</v>
      </c>
      <c r="S39">
        <f t="shared" ref="S39:S50" si="60">COUNTIF(E4, "1")*COUNTIF(F4, "")</f>
        <v>0</v>
      </c>
      <c r="W39" t="str">
        <f t="shared" si="50"/>
        <v/>
      </c>
      <c r="Y39" t="str">
        <f t="shared" si="49"/>
        <v/>
      </c>
    </row>
    <row r="40" spans="1:34" x14ac:dyDescent="0.2">
      <c r="A40">
        <f t="shared" si="51"/>
        <v>0</v>
      </c>
      <c r="C40">
        <f t="shared" si="52"/>
        <v>4</v>
      </c>
      <c r="E40">
        <f t="shared" si="53"/>
        <v>0</v>
      </c>
      <c r="G40">
        <f t="shared" si="54"/>
        <v>0</v>
      </c>
      <c r="K40">
        <f t="shared" si="55"/>
        <v>0</v>
      </c>
      <c r="M40">
        <f t="shared" si="56"/>
        <v>0</v>
      </c>
      <c r="N40">
        <f t="shared" si="57"/>
        <v>0</v>
      </c>
      <c r="O40">
        <f t="shared" si="58"/>
        <v>0</v>
      </c>
      <c r="Q40">
        <f t="shared" si="59"/>
        <v>1</v>
      </c>
      <c r="S40">
        <f t="shared" si="60"/>
        <v>1</v>
      </c>
      <c r="W40" t="str">
        <f t="shared" si="50"/>
        <v/>
      </c>
      <c r="Y40" t="str">
        <f t="shared" si="49"/>
        <v/>
      </c>
    </row>
    <row r="41" spans="1:34" x14ac:dyDescent="0.2">
      <c r="A41">
        <f t="shared" si="51"/>
        <v>1</v>
      </c>
      <c r="C41">
        <f t="shared" si="52"/>
        <v>2</v>
      </c>
      <c r="E41">
        <f t="shared" si="53"/>
        <v>0</v>
      </c>
      <c r="G41">
        <f t="shared" si="54"/>
        <v>0</v>
      </c>
      <c r="K41">
        <f t="shared" si="55"/>
        <v>0</v>
      </c>
      <c r="M41">
        <f t="shared" si="56"/>
        <v>2</v>
      </c>
      <c r="N41">
        <f t="shared" si="57"/>
        <v>0</v>
      </c>
      <c r="O41">
        <f t="shared" si="58"/>
        <v>0</v>
      </c>
      <c r="Q41">
        <f t="shared" si="59"/>
        <v>1</v>
      </c>
      <c r="S41">
        <f t="shared" si="60"/>
        <v>1</v>
      </c>
      <c r="W41" t="str">
        <f t="shared" si="50"/>
        <v/>
      </c>
      <c r="Y41" t="str">
        <f t="shared" si="49"/>
        <v/>
      </c>
    </row>
    <row r="42" spans="1:34" x14ac:dyDescent="0.2">
      <c r="A42">
        <f t="shared" si="51"/>
        <v>0</v>
      </c>
      <c r="C42">
        <f t="shared" si="52"/>
        <v>2</v>
      </c>
      <c r="E42">
        <f t="shared" si="53"/>
        <v>0</v>
      </c>
      <c r="G42">
        <f t="shared" si="54"/>
        <v>0</v>
      </c>
      <c r="K42">
        <f t="shared" si="55"/>
        <v>0</v>
      </c>
      <c r="M42">
        <f t="shared" si="56"/>
        <v>0</v>
      </c>
      <c r="N42">
        <f t="shared" si="57"/>
        <v>29</v>
      </c>
      <c r="O42">
        <f t="shared" si="58"/>
        <v>0</v>
      </c>
      <c r="Q42">
        <f t="shared" si="59"/>
        <v>1</v>
      </c>
      <c r="S42">
        <f t="shared" si="60"/>
        <v>1</v>
      </c>
      <c r="W42" t="str">
        <f t="shared" si="50"/>
        <v/>
      </c>
      <c r="Y42" t="str">
        <f t="shared" si="49"/>
        <v/>
      </c>
    </row>
    <row r="43" spans="1:34" x14ac:dyDescent="0.2">
      <c r="A43">
        <f t="shared" si="51"/>
        <v>0</v>
      </c>
      <c r="C43">
        <f t="shared" si="52"/>
        <v>2</v>
      </c>
      <c r="E43">
        <f t="shared" si="53"/>
        <v>0</v>
      </c>
      <c r="G43">
        <f t="shared" si="54"/>
        <v>0</v>
      </c>
      <c r="K43">
        <f t="shared" si="55"/>
        <v>0</v>
      </c>
      <c r="M43">
        <f t="shared" si="56"/>
        <v>1</v>
      </c>
      <c r="N43">
        <f t="shared" si="57"/>
        <v>4</v>
      </c>
      <c r="O43">
        <f t="shared" si="58"/>
        <v>1</v>
      </c>
      <c r="Q43">
        <f t="shared" si="59"/>
        <v>0</v>
      </c>
      <c r="S43">
        <f t="shared" si="60"/>
        <v>0</v>
      </c>
    </row>
    <row r="44" spans="1:34" x14ac:dyDescent="0.2">
      <c r="A44">
        <f t="shared" si="51"/>
        <v>0</v>
      </c>
      <c r="C44">
        <f t="shared" si="52"/>
        <v>3</v>
      </c>
      <c r="E44">
        <f t="shared" si="53"/>
        <v>0</v>
      </c>
      <c r="G44">
        <f t="shared" si="54"/>
        <v>0</v>
      </c>
      <c r="K44">
        <f t="shared" si="55"/>
        <v>0</v>
      </c>
      <c r="M44">
        <f t="shared" si="56"/>
        <v>2</v>
      </c>
      <c r="N44">
        <f t="shared" si="57"/>
        <v>1</v>
      </c>
      <c r="O44">
        <f t="shared" si="58"/>
        <v>0</v>
      </c>
      <c r="Q44">
        <f t="shared" si="59"/>
        <v>1</v>
      </c>
      <c r="S44">
        <f t="shared" si="60"/>
        <v>1</v>
      </c>
    </row>
    <row r="45" spans="1:34" x14ac:dyDescent="0.2">
      <c r="A45">
        <f t="shared" si="51"/>
        <v>0</v>
      </c>
      <c r="C45">
        <f t="shared" si="52"/>
        <v>4</v>
      </c>
      <c r="E45">
        <f t="shared" si="53"/>
        <v>0</v>
      </c>
      <c r="G45">
        <f t="shared" si="54"/>
        <v>0</v>
      </c>
      <c r="K45">
        <f t="shared" si="55"/>
        <v>0</v>
      </c>
      <c r="M45">
        <f t="shared" si="56"/>
        <v>0</v>
      </c>
      <c r="N45">
        <f t="shared" si="57"/>
        <v>0</v>
      </c>
      <c r="O45">
        <f t="shared" si="58"/>
        <v>0</v>
      </c>
      <c r="Q45">
        <f t="shared" si="59"/>
        <v>1</v>
      </c>
      <c r="S45">
        <f t="shared" si="60"/>
        <v>1</v>
      </c>
    </row>
    <row r="46" spans="1:34" x14ac:dyDescent="0.2">
      <c r="A46">
        <f t="shared" si="51"/>
        <v>0</v>
      </c>
      <c r="C46">
        <f t="shared" si="52"/>
        <v>3</v>
      </c>
      <c r="E46">
        <f t="shared" si="53"/>
        <v>0</v>
      </c>
      <c r="G46">
        <f t="shared" si="54"/>
        <v>0</v>
      </c>
      <c r="K46">
        <f t="shared" si="55"/>
        <v>0</v>
      </c>
      <c r="M46">
        <f t="shared" si="56"/>
        <v>0</v>
      </c>
      <c r="N46">
        <f t="shared" si="57"/>
        <v>1</v>
      </c>
      <c r="O46">
        <f t="shared" si="58"/>
        <v>0</v>
      </c>
      <c r="Q46">
        <f t="shared" si="59"/>
        <v>1</v>
      </c>
      <c r="S46">
        <f t="shared" si="60"/>
        <v>1</v>
      </c>
    </row>
    <row r="47" spans="1:34" x14ac:dyDescent="0.2">
      <c r="A47">
        <f t="shared" si="51"/>
        <v>1</v>
      </c>
      <c r="C47">
        <f t="shared" si="52"/>
        <v>5</v>
      </c>
      <c r="E47">
        <f t="shared" si="53"/>
        <v>0</v>
      </c>
      <c r="G47">
        <f t="shared" si="54"/>
        <v>0</v>
      </c>
      <c r="K47">
        <f t="shared" si="55"/>
        <v>0</v>
      </c>
      <c r="M47">
        <f t="shared" si="56"/>
        <v>0</v>
      </c>
      <c r="N47">
        <f t="shared" si="57"/>
        <v>0</v>
      </c>
      <c r="O47">
        <f t="shared" si="58"/>
        <v>0</v>
      </c>
      <c r="Q47">
        <f t="shared" si="59"/>
        <v>1</v>
      </c>
      <c r="S47">
        <f t="shared" si="60"/>
        <v>0</v>
      </c>
    </row>
    <row r="48" spans="1:34" x14ac:dyDescent="0.2">
      <c r="A48">
        <f t="shared" si="51"/>
        <v>0</v>
      </c>
      <c r="C48">
        <f t="shared" si="52"/>
        <v>4</v>
      </c>
      <c r="E48">
        <f t="shared" si="53"/>
        <v>0</v>
      </c>
      <c r="G48">
        <f t="shared" si="54"/>
        <v>0</v>
      </c>
      <c r="K48">
        <f t="shared" si="55"/>
        <v>0</v>
      </c>
      <c r="M48">
        <f t="shared" si="56"/>
        <v>0</v>
      </c>
      <c r="N48">
        <f t="shared" si="57"/>
        <v>0</v>
      </c>
      <c r="O48">
        <f t="shared" si="58"/>
        <v>0</v>
      </c>
      <c r="Q48">
        <f t="shared" si="59"/>
        <v>1</v>
      </c>
      <c r="S48">
        <f t="shared" si="60"/>
        <v>1</v>
      </c>
    </row>
    <row r="49" spans="1:19" x14ac:dyDescent="0.2">
      <c r="A49">
        <f t="shared" si="51"/>
        <v>0</v>
      </c>
      <c r="C49">
        <f t="shared" si="52"/>
        <v>4</v>
      </c>
      <c r="E49">
        <f t="shared" si="53"/>
        <v>0</v>
      </c>
      <c r="G49">
        <f t="shared" si="54"/>
        <v>0</v>
      </c>
      <c r="K49">
        <f t="shared" si="55"/>
        <v>0</v>
      </c>
      <c r="M49">
        <f t="shared" si="56"/>
        <v>-1</v>
      </c>
      <c r="N49">
        <f t="shared" si="57"/>
        <v>1</v>
      </c>
      <c r="O49">
        <f t="shared" si="58"/>
        <v>0</v>
      </c>
      <c r="Q49">
        <f t="shared" si="59"/>
        <v>1</v>
      </c>
      <c r="S49">
        <f t="shared" si="60"/>
        <v>0</v>
      </c>
    </row>
    <row r="50" spans="1:19" x14ac:dyDescent="0.2">
      <c r="A50">
        <f t="shared" si="51"/>
        <v>0</v>
      </c>
      <c r="C50">
        <f t="shared" si="52"/>
        <v>5</v>
      </c>
      <c r="E50">
        <f t="shared" si="53"/>
        <v>0</v>
      </c>
      <c r="G50">
        <f t="shared" si="54"/>
        <v>0</v>
      </c>
      <c r="K50">
        <f t="shared" si="55"/>
        <v>0</v>
      </c>
      <c r="M50">
        <f t="shared" si="56"/>
        <v>0</v>
      </c>
      <c r="N50">
        <f t="shared" si="57"/>
        <v>0</v>
      </c>
      <c r="O50">
        <f t="shared" si="58"/>
        <v>1</v>
      </c>
      <c r="Q50">
        <f t="shared" si="59"/>
        <v>0</v>
      </c>
      <c r="S50">
        <f t="shared" si="60"/>
        <v>0</v>
      </c>
    </row>
  </sheetData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BN50"/>
  <sheetViews>
    <sheetView topLeftCell="C1" workbookViewId="0">
      <selection activeCell="U15" sqref="U15"/>
    </sheetView>
  </sheetViews>
  <sheetFormatPr baseColWidth="10" defaultColWidth="11.5" defaultRowHeight="15" x14ac:dyDescent="0.2"/>
  <sheetData>
    <row r="1" spans="1:66" x14ac:dyDescent="0.2">
      <c r="A1" s="1" t="s">
        <v>0</v>
      </c>
      <c r="D1" t="s">
        <v>3</v>
      </c>
      <c r="K1" t="s">
        <v>11</v>
      </c>
      <c r="N1" t="s">
        <v>12</v>
      </c>
      <c r="P1" t="s">
        <v>14</v>
      </c>
      <c r="Q1" t="s">
        <v>17</v>
      </c>
      <c r="S1" t="s">
        <v>18</v>
      </c>
      <c r="Z1" t="s">
        <v>29</v>
      </c>
      <c r="AE1" t="s">
        <v>30</v>
      </c>
      <c r="AK1" t="s">
        <v>42</v>
      </c>
    </row>
    <row r="2" spans="1:66" x14ac:dyDescent="0.2">
      <c r="A2" t="s">
        <v>1</v>
      </c>
      <c r="B2" t="s">
        <v>1</v>
      </c>
      <c r="C2" t="s">
        <v>87</v>
      </c>
      <c r="D2" t="s">
        <v>54</v>
      </c>
      <c r="E2" t="s">
        <v>13</v>
      </c>
      <c r="F2" t="s">
        <v>198</v>
      </c>
      <c r="G2" t="s">
        <v>7</v>
      </c>
      <c r="H2" t="s">
        <v>8</v>
      </c>
      <c r="I2" t="s">
        <v>179</v>
      </c>
      <c r="J2" t="s">
        <v>178</v>
      </c>
      <c r="K2" t="s">
        <v>9</v>
      </c>
      <c r="L2" t="s">
        <v>196</v>
      </c>
      <c r="M2" t="s">
        <v>10</v>
      </c>
      <c r="N2" t="s">
        <v>54</v>
      </c>
      <c r="O2" t="s">
        <v>13</v>
      </c>
      <c r="P2" t="s">
        <v>15</v>
      </c>
      <c r="Q2" t="s">
        <v>8</v>
      </c>
      <c r="R2" t="s">
        <v>7</v>
      </c>
      <c r="S2" t="s">
        <v>181</v>
      </c>
      <c r="T2" t="s">
        <v>182</v>
      </c>
      <c r="U2" t="s">
        <v>19</v>
      </c>
      <c r="V2" t="s">
        <v>191</v>
      </c>
      <c r="W2" t="s">
        <v>192</v>
      </c>
      <c r="X2" t="s">
        <v>175</v>
      </c>
      <c r="Y2" t="s">
        <v>173</v>
      </c>
      <c r="Z2" t="str">
        <f t="shared" ref="Z2:Z13" si="0">LEFT(I4, 1)</f>
        <v/>
      </c>
      <c r="AA2" t="str">
        <f t="shared" ref="AA2:AA13" si="1">MID(I4, 4, 1)</f>
        <v/>
      </c>
      <c r="AB2" t="str">
        <f t="shared" ref="AB2:AB13" si="2">MID(I4, 7, 1)</f>
        <v/>
      </c>
      <c r="AC2" t="str">
        <f t="shared" ref="AC2:AC13" si="3">MID(I4, 10, 1)</f>
        <v/>
      </c>
      <c r="AE2" t="str">
        <f t="shared" ref="AE2:AE13" si="4">LEFT(J4, 1)</f>
        <v/>
      </c>
      <c r="AF2" t="str">
        <f t="shared" ref="AF2:AF13" si="5">MID(J4, 4, 1)</f>
        <v/>
      </c>
      <c r="AG2" t="str">
        <f t="shared" ref="AG2:AG13" si="6">MID(J4, 7, 1)</f>
        <v/>
      </c>
      <c r="AH2" t="str">
        <f t="shared" ref="AH2:AH13" si="7">MID(J4, 10, 1)</f>
        <v/>
      </c>
      <c r="AI2" t="str">
        <f t="shared" ref="AI2:AI13" si="8">MID(J4, 13, 1)</f>
        <v/>
      </c>
      <c r="AK2" t="str">
        <f t="shared" ref="AK2:AK13" si="9">LEFT(P4, 2)</f>
        <v/>
      </c>
      <c r="AL2" t="str">
        <f>MID($P4, 5, 2)</f>
        <v/>
      </c>
      <c r="AM2" t="str">
        <f t="shared" ref="AM2:AM13" si="10">MID($P4, 9, 2)</f>
        <v/>
      </c>
      <c r="AN2" t="str">
        <f t="shared" ref="AN2:AN13" si="11">MID($P4, 13, 2)</f>
        <v/>
      </c>
      <c r="AO2" t="str">
        <f t="shared" ref="AO2:AO13" si="12">MID($P4, 17, 2)</f>
        <v/>
      </c>
      <c r="AP2" t="str">
        <f t="shared" ref="AP2:AP13" si="13">MID($P4, 21, 2)</f>
        <v/>
      </c>
      <c r="AQ2" t="str">
        <f t="shared" ref="AQ2:AQ13" si="14">MID($P4, 25, 2)</f>
        <v/>
      </c>
      <c r="AR2" t="str">
        <f t="shared" ref="AR2:AR13" si="15">MID($P4, 29, 2)</f>
        <v/>
      </c>
      <c r="AS2" t="str">
        <f t="shared" ref="AS2:AS13" si="16">MID($P4, 33, 2)</f>
        <v/>
      </c>
      <c r="AT2" t="str">
        <f t="shared" ref="AT2:AT13" si="17">MID($P4, 37, 2)</f>
        <v/>
      </c>
      <c r="AU2" t="str">
        <f t="shared" ref="AU2:AU13" si="18">MID($P4, 41, 2)</f>
        <v/>
      </c>
      <c r="AV2" t="str">
        <f t="shared" ref="AV2:AV13" si="19">MID($P4, 45, 2)</f>
        <v/>
      </c>
      <c r="AW2" t="str">
        <f t="shared" ref="AW2:AW13" si="20">MID($P4, 49, 2)</f>
        <v/>
      </c>
      <c r="AX2" t="str">
        <f t="shared" ref="AX2:AX13" si="21">MID($P4, 53, 2)</f>
        <v/>
      </c>
      <c r="AY2" t="str">
        <f t="shared" ref="AY2:AY13" si="22">MID($P4, 57, 2)</f>
        <v/>
      </c>
      <c r="AZ2" t="str">
        <f t="shared" ref="AZ2:AZ13" si="23">MID($P4, 61, 2)</f>
        <v/>
      </c>
      <c r="BA2" t="str">
        <f t="shared" ref="BA2:BA13" si="24">MID($P4, 65, 2)</f>
        <v/>
      </c>
      <c r="BB2" t="str">
        <f t="shared" ref="BB2:BB13" si="25">MID($P4, 69, 2)</f>
        <v/>
      </c>
      <c r="BC2" t="str">
        <f t="shared" ref="BC2:BC13" si="26">MID($P4, 73, 2)</f>
        <v/>
      </c>
      <c r="BD2" t="str">
        <f t="shared" ref="BD2:BD13" si="27">MID($P4, 77, 2)</f>
        <v/>
      </c>
      <c r="BE2" t="str">
        <f t="shared" ref="BE2:BE13" si="28">MID($P4, 81, 2)</f>
        <v/>
      </c>
      <c r="BF2" t="str">
        <f t="shared" ref="BF2:BF13" si="29">MID($P4, 85, 2)</f>
        <v/>
      </c>
      <c r="BG2" t="str">
        <f t="shared" ref="BG2:BG13" si="30">MID($P4, 89, 2)</f>
        <v/>
      </c>
      <c r="BH2" t="str">
        <f t="shared" ref="BH2:BH13" si="31">MID($P4, 93, 2)</f>
        <v/>
      </c>
    </row>
    <row r="3" spans="1:66" x14ac:dyDescent="0.2">
      <c r="A3" t="s">
        <v>2</v>
      </c>
      <c r="B3" t="s">
        <v>6</v>
      </c>
      <c r="C3" t="s">
        <v>88</v>
      </c>
      <c r="D3" t="s">
        <v>6</v>
      </c>
      <c r="E3" t="s">
        <v>6</v>
      </c>
      <c r="F3" t="s">
        <v>4</v>
      </c>
      <c r="G3" t="s">
        <v>6</v>
      </c>
      <c r="H3" t="s">
        <v>6</v>
      </c>
      <c r="I3" t="s">
        <v>86</v>
      </c>
      <c r="J3" t="s">
        <v>86</v>
      </c>
      <c r="K3" t="s">
        <v>6</v>
      </c>
      <c r="L3" t="s">
        <v>6</v>
      </c>
      <c r="M3" t="s">
        <v>6</v>
      </c>
      <c r="N3" t="s">
        <v>6</v>
      </c>
      <c r="O3" t="s">
        <v>6</v>
      </c>
      <c r="P3" t="s">
        <v>16</v>
      </c>
      <c r="Q3" t="s">
        <v>6</v>
      </c>
      <c r="R3" t="s">
        <v>6</v>
      </c>
      <c r="S3" t="s">
        <v>4</v>
      </c>
      <c r="T3" t="s">
        <v>4</v>
      </c>
      <c r="U3" t="s">
        <v>6</v>
      </c>
      <c r="V3" t="s">
        <v>6</v>
      </c>
      <c r="W3" t="s">
        <v>6</v>
      </c>
      <c r="X3" t="s">
        <v>6</v>
      </c>
      <c r="Y3" t="s">
        <v>174</v>
      </c>
      <c r="Z3" t="str">
        <f t="shared" si="0"/>
        <v/>
      </c>
      <c r="AA3" t="str">
        <f t="shared" si="1"/>
        <v/>
      </c>
      <c r="AB3" t="str">
        <f t="shared" si="2"/>
        <v/>
      </c>
      <c r="AC3" t="str">
        <f t="shared" si="3"/>
        <v/>
      </c>
      <c r="AE3" t="str">
        <f t="shared" si="4"/>
        <v/>
      </c>
      <c r="AF3" t="str">
        <f t="shared" si="5"/>
        <v/>
      </c>
      <c r="AG3" t="str">
        <f t="shared" si="6"/>
        <v/>
      </c>
      <c r="AH3" t="str">
        <f t="shared" si="7"/>
        <v/>
      </c>
      <c r="AI3" t="str">
        <f t="shared" si="8"/>
        <v/>
      </c>
      <c r="AK3" t="str">
        <f t="shared" si="9"/>
        <v/>
      </c>
      <c r="AL3" t="str">
        <f t="shared" ref="AL3:AL13" si="32">MID(P5, 5, 2)</f>
        <v/>
      </c>
      <c r="AM3" t="str">
        <f t="shared" si="10"/>
        <v/>
      </c>
      <c r="AN3" t="str">
        <f t="shared" si="11"/>
        <v/>
      </c>
      <c r="AO3" t="str">
        <f t="shared" si="12"/>
        <v/>
      </c>
      <c r="AP3" t="str">
        <f t="shared" si="13"/>
        <v/>
      </c>
      <c r="AQ3" t="str">
        <f t="shared" si="14"/>
        <v/>
      </c>
      <c r="AR3" t="str">
        <f t="shared" si="15"/>
        <v/>
      </c>
      <c r="AS3" t="str">
        <f t="shared" si="16"/>
        <v/>
      </c>
      <c r="AT3" t="str">
        <f t="shared" si="17"/>
        <v/>
      </c>
      <c r="AU3" t="str">
        <f t="shared" si="18"/>
        <v/>
      </c>
      <c r="AV3" t="str">
        <f t="shared" si="19"/>
        <v/>
      </c>
      <c r="AW3" t="str">
        <f t="shared" si="20"/>
        <v/>
      </c>
      <c r="AX3" t="str">
        <f t="shared" si="21"/>
        <v/>
      </c>
      <c r="AY3" t="str">
        <f t="shared" si="22"/>
        <v/>
      </c>
      <c r="AZ3" t="str">
        <f t="shared" si="23"/>
        <v/>
      </c>
      <c r="BA3" t="str">
        <f t="shared" si="24"/>
        <v/>
      </c>
      <c r="BB3" t="str">
        <f t="shared" si="25"/>
        <v/>
      </c>
      <c r="BC3" t="str">
        <f t="shared" si="26"/>
        <v/>
      </c>
      <c r="BD3" t="str">
        <f t="shared" si="27"/>
        <v/>
      </c>
      <c r="BE3" t="str">
        <f t="shared" si="28"/>
        <v/>
      </c>
      <c r="BF3" t="str">
        <f t="shared" si="29"/>
        <v/>
      </c>
      <c r="BG3" t="str">
        <f t="shared" si="30"/>
        <v/>
      </c>
      <c r="BH3" t="str">
        <f t="shared" si="31"/>
        <v/>
      </c>
    </row>
    <row r="4" spans="1:66" x14ac:dyDescent="0.2">
      <c r="A4">
        <v>1</v>
      </c>
      <c r="B4">
        <v>8</v>
      </c>
      <c r="C4" t="s">
        <v>207</v>
      </c>
      <c r="D4">
        <v>1</v>
      </c>
      <c r="K4">
        <v>3</v>
      </c>
      <c r="N4">
        <v>3</v>
      </c>
      <c r="O4">
        <v>3</v>
      </c>
      <c r="S4">
        <v>1</v>
      </c>
      <c r="T4">
        <v>1</v>
      </c>
      <c r="U4">
        <v>23</v>
      </c>
      <c r="X4">
        <f t="shared" ref="X4:X15" si="33">G4+H4+Q4+R4</f>
        <v>0</v>
      </c>
      <c r="Z4" t="str">
        <f t="shared" si="0"/>
        <v/>
      </c>
      <c r="AA4" t="str">
        <f t="shared" si="1"/>
        <v/>
      </c>
      <c r="AB4" t="str">
        <f t="shared" si="2"/>
        <v/>
      </c>
      <c r="AC4" t="str">
        <f t="shared" si="3"/>
        <v/>
      </c>
      <c r="AE4" t="str">
        <f t="shared" si="4"/>
        <v/>
      </c>
      <c r="AF4" t="str">
        <f t="shared" si="5"/>
        <v/>
      </c>
      <c r="AG4" t="str">
        <f t="shared" si="6"/>
        <v/>
      </c>
      <c r="AH4" t="str">
        <f t="shared" si="7"/>
        <v/>
      </c>
      <c r="AI4" t="str">
        <f t="shared" si="8"/>
        <v/>
      </c>
      <c r="AK4" t="str">
        <f t="shared" si="9"/>
        <v/>
      </c>
      <c r="AL4" t="str">
        <f t="shared" si="32"/>
        <v/>
      </c>
      <c r="AM4" t="str">
        <f t="shared" si="10"/>
        <v/>
      </c>
      <c r="AN4" t="str">
        <f t="shared" si="11"/>
        <v/>
      </c>
      <c r="AO4" t="str">
        <f t="shared" si="12"/>
        <v/>
      </c>
      <c r="AP4" t="str">
        <f t="shared" si="13"/>
        <v/>
      </c>
      <c r="AQ4" t="str">
        <f t="shared" si="14"/>
        <v/>
      </c>
      <c r="AR4" t="str">
        <f t="shared" si="15"/>
        <v/>
      </c>
      <c r="AS4" t="str">
        <f t="shared" si="16"/>
        <v/>
      </c>
      <c r="AT4" t="str">
        <f t="shared" si="17"/>
        <v/>
      </c>
      <c r="AU4" t="str">
        <f t="shared" si="18"/>
        <v/>
      </c>
      <c r="AV4" t="str">
        <f t="shared" si="19"/>
        <v/>
      </c>
      <c r="AW4" t="str">
        <f t="shared" si="20"/>
        <v/>
      </c>
      <c r="AX4" t="str">
        <f t="shared" si="21"/>
        <v/>
      </c>
      <c r="AY4" t="str">
        <f t="shared" si="22"/>
        <v/>
      </c>
      <c r="AZ4" t="str">
        <f t="shared" si="23"/>
        <v/>
      </c>
      <c r="BA4" t="str">
        <f t="shared" si="24"/>
        <v/>
      </c>
      <c r="BB4" t="str">
        <f t="shared" si="25"/>
        <v/>
      </c>
      <c r="BC4" t="str">
        <f t="shared" si="26"/>
        <v/>
      </c>
      <c r="BD4" t="str">
        <f t="shared" si="27"/>
        <v/>
      </c>
      <c r="BE4" t="str">
        <f t="shared" si="28"/>
        <v/>
      </c>
      <c r="BF4" t="str">
        <f t="shared" si="29"/>
        <v/>
      </c>
      <c r="BG4" t="str">
        <f t="shared" si="30"/>
        <v/>
      </c>
      <c r="BH4" t="str">
        <f t="shared" si="31"/>
        <v/>
      </c>
    </row>
    <row r="5" spans="1:66" x14ac:dyDescent="0.2">
      <c r="A5">
        <v>2</v>
      </c>
      <c r="B5">
        <v>19</v>
      </c>
      <c r="C5" t="s">
        <v>207</v>
      </c>
      <c r="D5">
        <v>1</v>
      </c>
      <c r="E5">
        <v>1</v>
      </c>
      <c r="F5">
        <v>1</v>
      </c>
      <c r="K5">
        <v>4</v>
      </c>
      <c r="N5">
        <v>4</v>
      </c>
      <c r="O5">
        <v>4</v>
      </c>
      <c r="S5">
        <v>1</v>
      </c>
      <c r="T5">
        <v>1</v>
      </c>
      <c r="X5">
        <f t="shared" si="33"/>
        <v>0</v>
      </c>
      <c r="Z5" t="str">
        <f t="shared" si="0"/>
        <v/>
      </c>
      <c r="AA5" t="str">
        <f t="shared" si="1"/>
        <v/>
      </c>
      <c r="AB5" t="str">
        <f t="shared" si="2"/>
        <v/>
      </c>
      <c r="AC5" t="str">
        <f t="shared" si="3"/>
        <v/>
      </c>
      <c r="AE5" t="str">
        <f t="shared" si="4"/>
        <v/>
      </c>
      <c r="AF5" t="str">
        <f t="shared" si="5"/>
        <v/>
      </c>
      <c r="AG5" t="str">
        <f t="shared" si="6"/>
        <v/>
      </c>
      <c r="AH5" t="str">
        <f t="shared" si="7"/>
        <v/>
      </c>
      <c r="AI5" t="str">
        <f t="shared" si="8"/>
        <v/>
      </c>
      <c r="AK5" t="str">
        <f t="shared" si="9"/>
        <v/>
      </c>
      <c r="AL5" t="str">
        <f t="shared" si="32"/>
        <v/>
      </c>
      <c r="AM5" t="str">
        <f t="shared" si="10"/>
        <v/>
      </c>
      <c r="AN5" t="str">
        <f t="shared" si="11"/>
        <v/>
      </c>
      <c r="AO5" t="str">
        <f t="shared" si="12"/>
        <v/>
      </c>
      <c r="AP5" t="str">
        <f t="shared" si="13"/>
        <v/>
      </c>
      <c r="AQ5" t="str">
        <f t="shared" si="14"/>
        <v/>
      </c>
      <c r="AR5" t="str">
        <f t="shared" si="15"/>
        <v/>
      </c>
      <c r="AS5" t="str">
        <f t="shared" si="16"/>
        <v/>
      </c>
      <c r="AT5" t="str">
        <f t="shared" si="17"/>
        <v/>
      </c>
      <c r="AU5" t="str">
        <f t="shared" si="18"/>
        <v/>
      </c>
      <c r="AV5" t="str">
        <f t="shared" si="19"/>
        <v/>
      </c>
      <c r="AW5" t="str">
        <f t="shared" si="20"/>
        <v/>
      </c>
      <c r="AX5" t="str">
        <f t="shared" si="21"/>
        <v/>
      </c>
      <c r="AY5" t="str">
        <f t="shared" si="22"/>
        <v/>
      </c>
      <c r="AZ5" t="str">
        <f t="shared" si="23"/>
        <v/>
      </c>
      <c r="BA5" t="str">
        <f t="shared" si="24"/>
        <v/>
      </c>
      <c r="BB5" t="str">
        <f t="shared" si="25"/>
        <v/>
      </c>
      <c r="BC5" t="str">
        <f t="shared" si="26"/>
        <v/>
      </c>
      <c r="BD5" t="str">
        <f t="shared" si="27"/>
        <v/>
      </c>
      <c r="BE5" t="str">
        <f t="shared" si="28"/>
        <v/>
      </c>
      <c r="BF5" t="str">
        <f t="shared" si="29"/>
        <v/>
      </c>
      <c r="BG5" t="str">
        <f t="shared" si="30"/>
        <v/>
      </c>
      <c r="BH5" t="str">
        <f t="shared" si="31"/>
        <v/>
      </c>
    </row>
    <row r="6" spans="1:66" x14ac:dyDescent="0.2">
      <c r="A6">
        <v>3</v>
      </c>
      <c r="B6">
        <v>29</v>
      </c>
      <c r="C6" t="s">
        <v>207</v>
      </c>
      <c r="D6">
        <v>1</v>
      </c>
      <c r="E6">
        <v>1</v>
      </c>
      <c r="F6">
        <v>1</v>
      </c>
      <c r="K6">
        <v>4</v>
      </c>
      <c r="N6">
        <v>3</v>
      </c>
      <c r="O6">
        <v>3</v>
      </c>
      <c r="S6">
        <v>1</v>
      </c>
      <c r="T6">
        <v>1</v>
      </c>
      <c r="U6">
        <v>9</v>
      </c>
      <c r="X6">
        <f t="shared" si="33"/>
        <v>0</v>
      </c>
      <c r="Z6" t="str">
        <f t="shared" si="0"/>
        <v/>
      </c>
      <c r="AA6" t="str">
        <f t="shared" si="1"/>
        <v/>
      </c>
      <c r="AB6" t="str">
        <f t="shared" si="2"/>
        <v/>
      </c>
      <c r="AC6" t="str">
        <f t="shared" si="3"/>
        <v/>
      </c>
      <c r="AE6" t="str">
        <f t="shared" si="4"/>
        <v/>
      </c>
      <c r="AF6" t="str">
        <f t="shared" si="5"/>
        <v/>
      </c>
      <c r="AG6" t="str">
        <f t="shared" si="6"/>
        <v/>
      </c>
      <c r="AH6" t="str">
        <f t="shared" si="7"/>
        <v/>
      </c>
      <c r="AI6" t="str">
        <f t="shared" si="8"/>
        <v/>
      </c>
      <c r="AK6" t="str">
        <f t="shared" si="9"/>
        <v/>
      </c>
      <c r="AL6" t="str">
        <f t="shared" si="32"/>
        <v/>
      </c>
      <c r="AM6" t="str">
        <f t="shared" si="10"/>
        <v/>
      </c>
      <c r="AN6" t="str">
        <f t="shared" si="11"/>
        <v/>
      </c>
      <c r="AO6" t="str">
        <f t="shared" si="12"/>
        <v/>
      </c>
      <c r="AP6" t="str">
        <f t="shared" si="13"/>
        <v/>
      </c>
      <c r="AQ6" t="str">
        <f t="shared" si="14"/>
        <v/>
      </c>
      <c r="AR6" t="str">
        <f t="shared" si="15"/>
        <v/>
      </c>
      <c r="AS6" t="str">
        <f t="shared" si="16"/>
        <v/>
      </c>
      <c r="AT6" t="str">
        <f t="shared" si="17"/>
        <v/>
      </c>
      <c r="AU6" t="str">
        <f t="shared" si="18"/>
        <v/>
      </c>
      <c r="AV6" t="str">
        <f t="shared" si="19"/>
        <v/>
      </c>
      <c r="AW6" t="str">
        <f t="shared" si="20"/>
        <v/>
      </c>
      <c r="AX6" t="str">
        <f t="shared" si="21"/>
        <v/>
      </c>
      <c r="AY6" t="str">
        <f t="shared" si="22"/>
        <v/>
      </c>
      <c r="AZ6" t="str">
        <f t="shared" si="23"/>
        <v/>
      </c>
      <c r="BA6" t="str">
        <f t="shared" si="24"/>
        <v/>
      </c>
      <c r="BB6" t="str">
        <f t="shared" si="25"/>
        <v/>
      </c>
      <c r="BC6" t="str">
        <f t="shared" si="26"/>
        <v/>
      </c>
      <c r="BD6" t="str">
        <f t="shared" si="27"/>
        <v/>
      </c>
      <c r="BE6" t="str">
        <f t="shared" si="28"/>
        <v/>
      </c>
      <c r="BF6" t="str">
        <f t="shared" si="29"/>
        <v/>
      </c>
      <c r="BG6" t="str">
        <f t="shared" si="30"/>
        <v/>
      </c>
      <c r="BH6" t="str">
        <f t="shared" si="31"/>
        <v/>
      </c>
    </row>
    <row r="7" spans="1:66" x14ac:dyDescent="0.2">
      <c r="A7">
        <v>4</v>
      </c>
      <c r="B7">
        <v>39</v>
      </c>
      <c r="C7" t="s">
        <v>207</v>
      </c>
      <c r="D7">
        <v>1</v>
      </c>
      <c r="K7">
        <v>2</v>
      </c>
      <c r="N7">
        <v>3</v>
      </c>
      <c r="O7">
        <v>2</v>
      </c>
      <c r="S7">
        <v>1</v>
      </c>
      <c r="T7">
        <v>1</v>
      </c>
      <c r="U7">
        <v>1</v>
      </c>
      <c r="X7">
        <f t="shared" si="33"/>
        <v>0</v>
      </c>
      <c r="Z7" t="str">
        <f t="shared" si="0"/>
        <v/>
      </c>
      <c r="AA7" t="str">
        <f t="shared" si="1"/>
        <v/>
      </c>
      <c r="AB7" t="str">
        <f t="shared" si="2"/>
        <v/>
      </c>
      <c r="AC7" t="str">
        <f t="shared" si="3"/>
        <v/>
      </c>
      <c r="AE7" t="str">
        <f t="shared" si="4"/>
        <v/>
      </c>
      <c r="AF7" t="str">
        <f t="shared" si="5"/>
        <v/>
      </c>
      <c r="AG7" t="str">
        <f t="shared" si="6"/>
        <v/>
      </c>
      <c r="AH7" t="str">
        <f t="shared" si="7"/>
        <v/>
      </c>
      <c r="AI7" t="str">
        <f t="shared" si="8"/>
        <v/>
      </c>
      <c r="AK7" t="str">
        <f t="shared" si="9"/>
        <v/>
      </c>
      <c r="AL7" t="str">
        <f t="shared" si="32"/>
        <v/>
      </c>
      <c r="AM7" t="str">
        <f t="shared" si="10"/>
        <v/>
      </c>
      <c r="AN7" t="str">
        <f t="shared" si="11"/>
        <v/>
      </c>
      <c r="AO7" t="str">
        <f t="shared" si="12"/>
        <v/>
      </c>
      <c r="AP7" t="str">
        <f t="shared" si="13"/>
        <v/>
      </c>
      <c r="AQ7" t="str">
        <f t="shared" si="14"/>
        <v/>
      </c>
      <c r="AR7" t="str">
        <f t="shared" si="15"/>
        <v/>
      </c>
      <c r="AS7" t="str">
        <f t="shared" si="16"/>
        <v/>
      </c>
      <c r="AT7" t="str">
        <f t="shared" si="17"/>
        <v/>
      </c>
      <c r="AU7" t="str">
        <f t="shared" si="18"/>
        <v/>
      </c>
      <c r="AV7" t="str">
        <f t="shared" si="19"/>
        <v/>
      </c>
      <c r="AW7" t="str">
        <f t="shared" si="20"/>
        <v/>
      </c>
      <c r="AX7" t="str">
        <f t="shared" si="21"/>
        <v/>
      </c>
      <c r="AY7" t="str">
        <f t="shared" si="22"/>
        <v/>
      </c>
      <c r="AZ7" t="str">
        <f t="shared" si="23"/>
        <v/>
      </c>
      <c r="BA7" t="str">
        <f t="shared" si="24"/>
        <v/>
      </c>
      <c r="BB7" t="str">
        <f t="shared" si="25"/>
        <v/>
      </c>
      <c r="BC7" t="str">
        <f t="shared" si="26"/>
        <v/>
      </c>
      <c r="BD7" t="str">
        <f t="shared" si="27"/>
        <v/>
      </c>
      <c r="BE7" t="str">
        <f t="shared" si="28"/>
        <v/>
      </c>
      <c r="BF7" t="str">
        <f t="shared" si="29"/>
        <v/>
      </c>
      <c r="BG7" t="str">
        <f t="shared" si="30"/>
        <v/>
      </c>
      <c r="BH7" t="str">
        <f t="shared" si="31"/>
        <v/>
      </c>
    </row>
    <row r="8" spans="1:66" x14ac:dyDescent="0.2">
      <c r="A8">
        <v>5</v>
      </c>
      <c r="B8">
        <v>48</v>
      </c>
      <c r="C8" t="s">
        <v>39</v>
      </c>
      <c r="D8">
        <v>1</v>
      </c>
      <c r="E8">
        <v>1</v>
      </c>
      <c r="F8">
        <v>1</v>
      </c>
      <c r="K8">
        <v>3</v>
      </c>
      <c r="N8">
        <v>4</v>
      </c>
      <c r="O8">
        <v>3</v>
      </c>
      <c r="S8">
        <v>1</v>
      </c>
      <c r="T8">
        <v>1</v>
      </c>
      <c r="U8">
        <v>1</v>
      </c>
      <c r="X8">
        <f t="shared" si="33"/>
        <v>0</v>
      </c>
      <c r="Z8" t="str">
        <f t="shared" si="0"/>
        <v/>
      </c>
      <c r="AA8" t="str">
        <f t="shared" si="1"/>
        <v/>
      </c>
      <c r="AB8" t="str">
        <f t="shared" si="2"/>
        <v/>
      </c>
      <c r="AC8" t="str">
        <f t="shared" si="3"/>
        <v/>
      </c>
      <c r="AE8" t="str">
        <f t="shared" si="4"/>
        <v/>
      </c>
      <c r="AF8" t="str">
        <f t="shared" si="5"/>
        <v/>
      </c>
      <c r="AG8" t="str">
        <f t="shared" si="6"/>
        <v/>
      </c>
      <c r="AH8" t="str">
        <f t="shared" si="7"/>
        <v/>
      </c>
      <c r="AI8" t="str">
        <f t="shared" si="8"/>
        <v/>
      </c>
      <c r="AK8" t="str">
        <f t="shared" si="9"/>
        <v/>
      </c>
      <c r="AL8" t="str">
        <f t="shared" si="32"/>
        <v/>
      </c>
      <c r="AM8" t="str">
        <f t="shared" si="10"/>
        <v/>
      </c>
      <c r="AN8" t="str">
        <f t="shared" si="11"/>
        <v/>
      </c>
      <c r="AO8" t="str">
        <f t="shared" si="12"/>
        <v/>
      </c>
      <c r="AP8" t="str">
        <f t="shared" si="13"/>
        <v/>
      </c>
      <c r="AQ8" t="str">
        <f t="shared" si="14"/>
        <v/>
      </c>
      <c r="AR8" t="str">
        <f t="shared" si="15"/>
        <v/>
      </c>
      <c r="AS8" t="str">
        <f t="shared" si="16"/>
        <v/>
      </c>
      <c r="AT8" t="str">
        <f t="shared" si="17"/>
        <v/>
      </c>
      <c r="AU8" t="str">
        <f t="shared" si="18"/>
        <v/>
      </c>
      <c r="AV8" t="str">
        <f t="shared" si="19"/>
        <v/>
      </c>
      <c r="AW8" t="str">
        <f t="shared" si="20"/>
        <v/>
      </c>
      <c r="AX8" t="str">
        <f t="shared" si="21"/>
        <v/>
      </c>
      <c r="AY8" t="str">
        <f t="shared" si="22"/>
        <v/>
      </c>
      <c r="AZ8" t="str">
        <f t="shared" si="23"/>
        <v/>
      </c>
      <c r="BA8" t="str">
        <f t="shared" si="24"/>
        <v/>
      </c>
      <c r="BB8" t="str">
        <f t="shared" si="25"/>
        <v/>
      </c>
      <c r="BC8" t="str">
        <f t="shared" si="26"/>
        <v/>
      </c>
      <c r="BD8" t="str">
        <f t="shared" si="27"/>
        <v/>
      </c>
      <c r="BE8" t="str">
        <f t="shared" si="28"/>
        <v/>
      </c>
      <c r="BF8" t="str">
        <f t="shared" si="29"/>
        <v/>
      </c>
      <c r="BG8" t="str">
        <f t="shared" si="30"/>
        <v/>
      </c>
      <c r="BH8" t="str">
        <f t="shared" si="31"/>
        <v/>
      </c>
    </row>
    <row r="9" spans="1:66" x14ac:dyDescent="0.2">
      <c r="A9">
        <v>6</v>
      </c>
      <c r="B9">
        <v>58</v>
      </c>
      <c r="C9" t="s">
        <v>207</v>
      </c>
      <c r="D9">
        <v>1</v>
      </c>
      <c r="E9">
        <v>1</v>
      </c>
      <c r="F9">
        <v>1</v>
      </c>
      <c r="K9">
        <v>4</v>
      </c>
      <c r="N9">
        <v>4</v>
      </c>
      <c r="O9">
        <v>3</v>
      </c>
      <c r="S9">
        <v>1</v>
      </c>
      <c r="T9">
        <v>1</v>
      </c>
      <c r="U9">
        <v>14</v>
      </c>
      <c r="X9">
        <f t="shared" si="33"/>
        <v>0</v>
      </c>
      <c r="Z9" t="str">
        <f t="shared" si="0"/>
        <v/>
      </c>
      <c r="AA9" t="str">
        <f t="shared" si="1"/>
        <v/>
      </c>
      <c r="AB9" t="str">
        <f t="shared" si="2"/>
        <v/>
      </c>
      <c r="AC9" t="str">
        <f t="shared" si="3"/>
        <v/>
      </c>
      <c r="AE9" t="str">
        <f t="shared" si="4"/>
        <v/>
      </c>
      <c r="AF9" t="str">
        <f t="shared" si="5"/>
        <v/>
      </c>
      <c r="AG9" t="str">
        <f t="shared" si="6"/>
        <v/>
      </c>
      <c r="AH9" t="str">
        <f t="shared" si="7"/>
        <v/>
      </c>
      <c r="AI9" t="str">
        <f t="shared" si="8"/>
        <v/>
      </c>
      <c r="AK9" t="str">
        <f t="shared" si="9"/>
        <v/>
      </c>
      <c r="AL9" t="str">
        <f t="shared" si="32"/>
        <v/>
      </c>
      <c r="AM9" t="str">
        <f t="shared" si="10"/>
        <v/>
      </c>
      <c r="AN9" t="str">
        <f t="shared" si="11"/>
        <v/>
      </c>
      <c r="AO9" t="str">
        <f t="shared" si="12"/>
        <v/>
      </c>
      <c r="AP9" t="str">
        <f t="shared" si="13"/>
        <v/>
      </c>
      <c r="AQ9" t="str">
        <f t="shared" si="14"/>
        <v/>
      </c>
      <c r="AR9" t="str">
        <f t="shared" si="15"/>
        <v/>
      </c>
      <c r="AS9" t="str">
        <f t="shared" si="16"/>
        <v/>
      </c>
      <c r="AT9" t="str">
        <f t="shared" si="17"/>
        <v/>
      </c>
      <c r="AU9" t="str">
        <f t="shared" si="18"/>
        <v/>
      </c>
      <c r="AV9" t="str">
        <f t="shared" si="19"/>
        <v/>
      </c>
      <c r="AW9" t="str">
        <f t="shared" si="20"/>
        <v/>
      </c>
      <c r="AX9" t="str">
        <f t="shared" si="21"/>
        <v/>
      </c>
      <c r="AY9" t="str">
        <f t="shared" si="22"/>
        <v/>
      </c>
      <c r="AZ9" t="str">
        <f t="shared" si="23"/>
        <v/>
      </c>
      <c r="BA9" t="str">
        <f t="shared" si="24"/>
        <v/>
      </c>
      <c r="BB9" t="str">
        <f t="shared" si="25"/>
        <v/>
      </c>
      <c r="BC9" t="str">
        <f t="shared" si="26"/>
        <v/>
      </c>
      <c r="BD9" t="str">
        <f t="shared" si="27"/>
        <v/>
      </c>
      <c r="BE9" t="str">
        <f t="shared" si="28"/>
        <v/>
      </c>
      <c r="BF9" t="str">
        <f t="shared" si="29"/>
        <v/>
      </c>
      <c r="BG9" t="str">
        <f t="shared" si="30"/>
        <v/>
      </c>
      <c r="BH9" t="str">
        <f t="shared" si="31"/>
        <v/>
      </c>
    </row>
    <row r="10" spans="1:66" x14ac:dyDescent="0.2">
      <c r="A10">
        <v>7</v>
      </c>
      <c r="B10">
        <v>68</v>
      </c>
      <c r="C10" t="s">
        <v>39</v>
      </c>
      <c r="D10">
        <v>1</v>
      </c>
      <c r="F10">
        <v>1</v>
      </c>
      <c r="K10">
        <v>4</v>
      </c>
      <c r="N10">
        <v>5</v>
      </c>
      <c r="O10">
        <v>5</v>
      </c>
      <c r="S10">
        <v>1</v>
      </c>
      <c r="T10">
        <v>1</v>
      </c>
      <c r="X10">
        <f t="shared" si="33"/>
        <v>0</v>
      </c>
      <c r="Z10" t="str">
        <f t="shared" si="0"/>
        <v/>
      </c>
      <c r="AA10" t="str">
        <f t="shared" si="1"/>
        <v/>
      </c>
      <c r="AB10" t="str">
        <f t="shared" si="2"/>
        <v/>
      </c>
      <c r="AC10" t="str">
        <f t="shared" si="3"/>
        <v/>
      </c>
      <c r="AE10" t="str">
        <f t="shared" si="4"/>
        <v/>
      </c>
      <c r="AF10" t="str">
        <f t="shared" si="5"/>
        <v/>
      </c>
      <c r="AG10" t="str">
        <f t="shared" si="6"/>
        <v/>
      </c>
      <c r="AH10" t="str">
        <f t="shared" si="7"/>
        <v/>
      </c>
      <c r="AI10" t="str">
        <f t="shared" si="8"/>
        <v/>
      </c>
      <c r="AK10" t="str">
        <f t="shared" si="9"/>
        <v/>
      </c>
      <c r="AL10" t="str">
        <f t="shared" si="32"/>
        <v/>
      </c>
      <c r="AM10" t="str">
        <f t="shared" si="10"/>
        <v/>
      </c>
      <c r="AN10" t="str">
        <f t="shared" si="11"/>
        <v/>
      </c>
      <c r="AO10" t="str">
        <f t="shared" si="12"/>
        <v/>
      </c>
      <c r="AP10" t="str">
        <f t="shared" si="13"/>
        <v/>
      </c>
      <c r="AQ10" t="str">
        <f t="shared" si="14"/>
        <v/>
      </c>
      <c r="AR10" t="str">
        <f t="shared" si="15"/>
        <v/>
      </c>
      <c r="AS10" t="str">
        <f t="shared" si="16"/>
        <v/>
      </c>
      <c r="AT10" t="str">
        <f t="shared" si="17"/>
        <v/>
      </c>
      <c r="AU10" t="str">
        <f t="shared" si="18"/>
        <v/>
      </c>
      <c r="AV10" t="str">
        <f t="shared" si="19"/>
        <v/>
      </c>
      <c r="AW10" t="str">
        <f t="shared" si="20"/>
        <v/>
      </c>
      <c r="AX10" t="str">
        <f t="shared" si="21"/>
        <v/>
      </c>
      <c r="AY10" t="str">
        <f t="shared" si="22"/>
        <v/>
      </c>
      <c r="AZ10" t="str">
        <f t="shared" si="23"/>
        <v/>
      </c>
      <c r="BA10" t="str">
        <f t="shared" si="24"/>
        <v/>
      </c>
      <c r="BB10" t="str">
        <f t="shared" si="25"/>
        <v/>
      </c>
      <c r="BC10" t="str">
        <f t="shared" si="26"/>
        <v/>
      </c>
      <c r="BD10" t="str">
        <f t="shared" si="27"/>
        <v/>
      </c>
      <c r="BE10" t="str">
        <f t="shared" si="28"/>
        <v/>
      </c>
      <c r="BF10" t="str">
        <f t="shared" si="29"/>
        <v/>
      </c>
      <c r="BG10" t="str">
        <f t="shared" si="30"/>
        <v/>
      </c>
      <c r="BH10" t="str">
        <f t="shared" si="31"/>
        <v/>
      </c>
    </row>
    <row r="11" spans="1:66" x14ac:dyDescent="0.2">
      <c r="A11">
        <v>8</v>
      </c>
      <c r="B11">
        <v>79</v>
      </c>
      <c r="C11" t="s">
        <v>39</v>
      </c>
      <c r="D11">
        <v>1</v>
      </c>
      <c r="K11">
        <v>4</v>
      </c>
      <c r="L11">
        <v>1</v>
      </c>
      <c r="N11">
        <v>3</v>
      </c>
      <c r="O11">
        <v>3</v>
      </c>
      <c r="S11">
        <v>1</v>
      </c>
      <c r="T11">
        <v>1</v>
      </c>
      <c r="U11">
        <v>4</v>
      </c>
      <c r="X11">
        <f t="shared" si="33"/>
        <v>0</v>
      </c>
      <c r="Z11" t="str">
        <f t="shared" si="0"/>
        <v/>
      </c>
      <c r="AA11" t="str">
        <f t="shared" si="1"/>
        <v/>
      </c>
      <c r="AB11" t="str">
        <f t="shared" si="2"/>
        <v/>
      </c>
      <c r="AC11" t="str">
        <f t="shared" si="3"/>
        <v/>
      </c>
      <c r="AE11" t="str">
        <f t="shared" si="4"/>
        <v/>
      </c>
      <c r="AF11" t="str">
        <f t="shared" si="5"/>
        <v/>
      </c>
      <c r="AG11" t="str">
        <f t="shared" si="6"/>
        <v/>
      </c>
      <c r="AH11" t="str">
        <f t="shared" si="7"/>
        <v/>
      </c>
      <c r="AI11" t="str">
        <f t="shared" si="8"/>
        <v/>
      </c>
      <c r="AK11" t="str">
        <f t="shared" si="9"/>
        <v/>
      </c>
      <c r="AL11" t="str">
        <f t="shared" si="32"/>
        <v/>
      </c>
      <c r="AM11" t="str">
        <f t="shared" si="10"/>
        <v/>
      </c>
      <c r="AN11" t="str">
        <f t="shared" si="11"/>
        <v/>
      </c>
      <c r="AO11" t="str">
        <f t="shared" si="12"/>
        <v/>
      </c>
      <c r="AP11" t="str">
        <f t="shared" si="13"/>
        <v/>
      </c>
      <c r="AQ11" t="str">
        <f t="shared" si="14"/>
        <v/>
      </c>
      <c r="AR11" t="str">
        <f t="shared" si="15"/>
        <v/>
      </c>
      <c r="AS11" t="str">
        <f t="shared" si="16"/>
        <v/>
      </c>
      <c r="AT11" t="str">
        <f t="shared" si="17"/>
        <v/>
      </c>
      <c r="AU11" t="str">
        <f t="shared" si="18"/>
        <v/>
      </c>
      <c r="AV11" t="str">
        <f t="shared" si="19"/>
        <v/>
      </c>
      <c r="AW11" t="str">
        <f t="shared" si="20"/>
        <v/>
      </c>
      <c r="AX11" t="str">
        <f t="shared" si="21"/>
        <v/>
      </c>
      <c r="AY11" t="str">
        <f t="shared" si="22"/>
        <v/>
      </c>
      <c r="AZ11" t="str">
        <f t="shared" si="23"/>
        <v/>
      </c>
      <c r="BA11" t="str">
        <f t="shared" si="24"/>
        <v/>
      </c>
      <c r="BB11" t="str">
        <f t="shared" si="25"/>
        <v/>
      </c>
      <c r="BC11" t="str">
        <f t="shared" si="26"/>
        <v/>
      </c>
      <c r="BD11" t="str">
        <f t="shared" si="27"/>
        <v/>
      </c>
      <c r="BE11" t="str">
        <f t="shared" si="28"/>
        <v/>
      </c>
      <c r="BF11" t="str">
        <f t="shared" si="29"/>
        <v/>
      </c>
      <c r="BG11" t="str">
        <f t="shared" si="30"/>
        <v/>
      </c>
      <c r="BH11" t="str">
        <f t="shared" si="31"/>
        <v/>
      </c>
    </row>
    <row r="12" spans="1:66" x14ac:dyDescent="0.2">
      <c r="A12">
        <v>9</v>
      </c>
      <c r="B12">
        <v>87</v>
      </c>
      <c r="C12" t="s">
        <v>39</v>
      </c>
      <c r="D12">
        <v>1</v>
      </c>
      <c r="S12">
        <v>1</v>
      </c>
      <c r="T12">
        <v>1</v>
      </c>
      <c r="X12">
        <f t="shared" si="33"/>
        <v>0</v>
      </c>
      <c r="Z12" t="str">
        <f t="shared" si="0"/>
        <v/>
      </c>
      <c r="AA12" t="str">
        <f t="shared" si="1"/>
        <v/>
      </c>
      <c r="AB12" t="str">
        <f t="shared" si="2"/>
        <v/>
      </c>
      <c r="AC12" t="str">
        <f t="shared" si="3"/>
        <v/>
      </c>
      <c r="AE12" t="str">
        <f t="shared" si="4"/>
        <v/>
      </c>
      <c r="AF12" t="str">
        <f t="shared" si="5"/>
        <v/>
      </c>
      <c r="AG12" t="str">
        <f t="shared" si="6"/>
        <v/>
      </c>
      <c r="AH12" t="str">
        <f t="shared" si="7"/>
        <v/>
      </c>
      <c r="AI12" t="str">
        <f t="shared" si="8"/>
        <v/>
      </c>
      <c r="AK12" t="str">
        <f t="shared" si="9"/>
        <v/>
      </c>
      <c r="AL12" t="str">
        <f t="shared" si="32"/>
        <v/>
      </c>
      <c r="AM12" t="str">
        <f t="shared" si="10"/>
        <v/>
      </c>
      <c r="AN12" t="str">
        <f t="shared" si="11"/>
        <v/>
      </c>
      <c r="AO12" t="str">
        <f t="shared" si="12"/>
        <v/>
      </c>
      <c r="AP12" t="str">
        <f t="shared" si="13"/>
        <v/>
      </c>
      <c r="AQ12" t="str">
        <f t="shared" si="14"/>
        <v/>
      </c>
      <c r="AR12" t="str">
        <f t="shared" si="15"/>
        <v/>
      </c>
      <c r="AS12" t="str">
        <f t="shared" si="16"/>
        <v/>
      </c>
      <c r="AT12" t="str">
        <f t="shared" si="17"/>
        <v/>
      </c>
      <c r="AU12" t="str">
        <f t="shared" si="18"/>
        <v/>
      </c>
      <c r="AV12" t="str">
        <f t="shared" si="19"/>
        <v/>
      </c>
      <c r="AW12" t="str">
        <f t="shared" si="20"/>
        <v/>
      </c>
      <c r="AX12" t="str">
        <f t="shared" si="21"/>
        <v/>
      </c>
      <c r="AY12" t="str">
        <f t="shared" si="22"/>
        <v/>
      </c>
      <c r="AZ12" t="str">
        <f t="shared" si="23"/>
        <v/>
      </c>
      <c r="BA12" t="str">
        <f t="shared" si="24"/>
        <v/>
      </c>
      <c r="BB12" t="str">
        <f t="shared" si="25"/>
        <v/>
      </c>
      <c r="BC12" t="str">
        <f t="shared" si="26"/>
        <v/>
      </c>
      <c r="BD12" t="str">
        <f t="shared" si="27"/>
        <v/>
      </c>
      <c r="BE12" t="str">
        <f t="shared" si="28"/>
        <v/>
      </c>
      <c r="BF12" t="str">
        <f t="shared" si="29"/>
        <v/>
      </c>
      <c r="BG12" t="str">
        <f t="shared" si="30"/>
        <v/>
      </c>
      <c r="BH12" t="str">
        <f t="shared" si="31"/>
        <v/>
      </c>
    </row>
    <row r="13" spans="1:66" x14ac:dyDescent="0.2">
      <c r="A13">
        <v>10</v>
      </c>
      <c r="B13">
        <v>98</v>
      </c>
      <c r="C13" t="s">
        <v>39</v>
      </c>
      <c r="D13">
        <v>1</v>
      </c>
      <c r="E13">
        <v>1</v>
      </c>
      <c r="F13">
        <v>1</v>
      </c>
      <c r="K13">
        <v>4</v>
      </c>
      <c r="N13">
        <v>4</v>
      </c>
      <c r="O13">
        <v>3</v>
      </c>
      <c r="S13">
        <v>1</v>
      </c>
      <c r="T13">
        <v>1</v>
      </c>
      <c r="U13">
        <v>1</v>
      </c>
      <c r="X13">
        <f t="shared" si="33"/>
        <v>0</v>
      </c>
      <c r="Z13" t="str">
        <f t="shared" si="0"/>
        <v/>
      </c>
      <c r="AA13" t="str">
        <f t="shared" si="1"/>
        <v/>
      </c>
      <c r="AB13" t="str">
        <f t="shared" si="2"/>
        <v/>
      </c>
      <c r="AC13" t="str">
        <f t="shared" si="3"/>
        <v/>
      </c>
      <c r="AE13" t="str">
        <f t="shared" si="4"/>
        <v/>
      </c>
      <c r="AF13" t="str">
        <f t="shared" si="5"/>
        <v/>
      </c>
      <c r="AG13" t="str">
        <f t="shared" si="6"/>
        <v/>
      </c>
      <c r="AH13" t="str">
        <f t="shared" si="7"/>
        <v/>
      </c>
      <c r="AI13" t="str">
        <f t="shared" si="8"/>
        <v/>
      </c>
      <c r="AK13" t="str">
        <f t="shared" si="9"/>
        <v/>
      </c>
      <c r="AL13" t="str">
        <f t="shared" si="32"/>
        <v/>
      </c>
      <c r="AM13" t="str">
        <f t="shared" si="10"/>
        <v/>
      </c>
      <c r="AN13" t="str">
        <f t="shared" si="11"/>
        <v/>
      </c>
      <c r="AO13" t="str">
        <f t="shared" si="12"/>
        <v/>
      </c>
      <c r="AP13" t="str">
        <f t="shared" si="13"/>
        <v/>
      </c>
      <c r="AQ13" t="str">
        <f t="shared" si="14"/>
        <v/>
      </c>
      <c r="AR13" t="str">
        <f t="shared" si="15"/>
        <v/>
      </c>
      <c r="AS13" t="str">
        <f t="shared" si="16"/>
        <v/>
      </c>
      <c r="AT13" t="str">
        <f t="shared" si="17"/>
        <v/>
      </c>
      <c r="AU13" t="str">
        <f t="shared" si="18"/>
        <v/>
      </c>
      <c r="AV13" t="str">
        <f t="shared" si="19"/>
        <v/>
      </c>
      <c r="AW13" t="str">
        <f t="shared" si="20"/>
        <v/>
      </c>
      <c r="AX13" t="str">
        <f t="shared" si="21"/>
        <v/>
      </c>
      <c r="AY13" t="str">
        <f t="shared" si="22"/>
        <v/>
      </c>
      <c r="AZ13" t="str">
        <f t="shared" si="23"/>
        <v/>
      </c>
      <c r="BA13" t="str">
        <f t="shared" si="24"/>
        <v/>
      </c>
      <c r="BB13" t="str">
        <f t="shared" si="25"/>
        <v/>
      </c>
      <c r="BC13" t="str">
        <f t="shared" si="26"/>
        <v/>
      </c>
      <c r="BD13" t="str">
        <f t="shared" si="27"/>
        <v/>
      </c>
      <c r="BE13" t="str">
        <f t="shared" si="28"/>
        <v/>
      </c>
      <c r="BF13" t="str">
        <f t="shared" si="29"/>
        <v/>
      </c>
      <c r="BG13" t="str">
        <f t="shared" si="30"/>
        <v/>
      </c>
      <c r="BH13" t="str">
        <f t="shared" si="31"/>
        <v/>
      </c>
    </row>
    <row r="14" spans="1:66" x14ac:dyDescent="0.2">
      <c r="A14">
        <v>11</v>
      </c>
      <c r="B14">
        <v>110</v>
      </c>
      <c r="C14" t="s">
        <v>207</v>
      </c>
      <c r="D14">
        <v>1</v>
      </c>
      <c r="E14">
        <v>1</v>
      </c>
      <c r="F14">
        <v>1</v>
      </c>
      <c r="K14">
        <v>3</v>
      </c>
      <c r="N14">
        <v>3</v>
      </c>
      <c r="O14">
        <v>3</v>
      </c>
      <c r="S14">
        <v>1</v>
      </c>
      <c r="T14">
        <v>1</v>
      </c>
      <c r="U14">
        <v>1</v>
      </c>
      <c r="X14">
        <f t="shared" si="33"/>
        <v>0</v>
      </c>
      <c r="Z14" t="s">
        <v>31</v>
      </c>
      <c r="AE14" t="s">
        <v>34</v>
      </c>
      <c r="AK14" t="s">
        <v>43</v>
      </c>
      <c r="AP14" t="s">
        <v>84</v>
      </c>
    </row>
    <row r="15" spans="1:66" x14ac:dyDescent="0.2">
      <c r="A15">
        <v>12</v>
      </c>
      <c r="B15">
        <v>116</v>
      </c>
      <c r="C15" t="s">
        <v>39</v>
      </c>
      <c r="D15">
        <v>1</v>
      </c>
      <c r="E15">
        <v>1</v>
      </c>
      <c r="K15">
        <v>2</v>
      </c>
      <c r="N15">
        <v>2</v>
      </c>
      <c r="O15">
        <v>2</v>
      </c>
      <c r="S15">
        <v>1</v>
      </c>
      <c r="T15">
        <v>1</v>
      </c>
      <c r="X15">
        <f t="shared" si="33"/>
        <v>0</v>
      </c>
      <c r="Z15" t="s">
        <v>21</v>
      </c>
      <c r="AA15" t="s">
        <v>22</v>
      </c>
      <c r="AE15" t="s">
        <v>21</v>
      </c>
      <c r="AF15" t="s">
        <v>22</v>
      </c>
      <c r="AG15" t="s">
        <v>35</v>
      </c>
      <c r="AK15" t="s">
        <v>10</v>
      </c>
      <c r="AL15" t="s">
        <v>25</v>
      </c>
      <c r="AM15" t="s">
        <v>26</v>
      </c>
      <c r="AN15" t="s">
        <v>27</v>
      </c>
      <c r="AP15" t="s">
        <v>15</v>
      </c>
      <c r="AQ15" t="s">
        <v>85</v>
      </c>
    </row>
    <row r="16" spans="1:66" x14ac:dyDescent="0.2">
      <c r="A16" t="s">
        <v>28</v>
      </c>
      <c r="D16">
        <f>SUM(D4:D15)</f>
        <v>12</v>
      </c>
      <c r="E16">
        <f>SUM(E4:E15)</f>
        <v>7</v>
      </c>
      <c r="F16">
        <f>SUM(F4:F15)</f>
        <v>7</v>
      </c>
      <c r="G16">
        <f>SUM(G4:G15)</f>
        <v>0</v>
      </c>
      <c r="H16">
        <f>SUM(H4:H15)</f>
        <v>0</v>
      </c>
      <c r="K16">
        <f>SUM(K4:K15)</f>
        <v>37</v>
      </c>
      <c r="L16">
        <f>SUM(L4:L15)</f>
        <v>1</v>
      </c>
      <c r="M16">
        <f>SUM(M4:M15)</f>
        <v>0</v>
      </c>
      <c r="N16">
        <f>SUM(N4:N15)</f>
        <v>38</v>
      </c>
      <c r="O16">
        <f>SUM(O4:O15)</f>
        <v>34</v>
      </c>
      <c r="Q16">
        <f t="shared" ref="Q16:R16" si="34">SUM(Q4:Q15)</f>
        <v>0</v>
      </c>
      <c r="R16">
        <f t="shared" si="34"/>
        <v>0</v>
      </c>
      <c r="S16">
        <f>SUM(S4:S15)</f>
        <v>12</v>
      </c>
      <c r="T16">
        <f>SUM(T4:T15)</f>
        <v>12</v>
      </c>
      <c r="U16">
        <f>SUM(U4:U15)</f>
        <v>54</v>
      </c>
      <c r="V16">
        <f>SUM(V4:V15)</f>
        <v>0</v>
      </c>
      <c r="W16">
        <f>SUM(W4:W15)</f>
        <v>0</v>
      </c>
      <c r="Z16">
        <f t="shared" ref="Z16:Z27" si="35">COUNTIF(Z2:AC2, "3")*COUNTIF(C4, "r")+COUNTIF(Z2:AC2, "5")*COUNTIF(C4, "b")</f>
        <v>0</v>
      </c>
      <c r="AA16">
        <f t="shared" ref="AA16:AA27" si="36">COUNTIF(Z2:AC2, "1")+COUNTIF(Z2:AC2, "2")+COUNTIF(Z2:AC2, "4")</f>
        <v>0</v>
      </c>
      <c r="AE16">
        <f t="shared" ref="AE16:AE27" si="37">COUNTIF(AE2:AI2, "3")*COUNTIF(C4, "r") + COUNTIF(AE2:AI2, "5")*COUNTIF(C4, "b")</f>
        <v>0</v>
      </c>
      <c r="AF16">
        <f t="shared" ref="AF16:AF27" si="38">COUNTIF(AE2:AI2, "1")+COUNTIF(AE2:AI2, "2")+COUNTIF(AE2:AI2, "4")</f>
        <v>0</v>
      </c>
      <c r="AG16">
        <f t="shared" ref="AG16:AG27" si="39">COUNTIF(AE2:AI2, "3")*COUNTIF(AE2:AI2, "b")+COUNTIF(AE2:AI2, "5")*COUNTIF(AE2:AI2, "r")</f>
        <v>0</v>
      </c>
      <c r="AK16">
        <f t="shared" ref="AK16:AK27" si="40">SUMPRODUCT(LEN($AK2:$BH2) - LEN(SUBSTITUTE($AK2:$BH2, "g", "")))</f>
        <v>0</v>
      </c>
      <c r="AL16">
        <f t="shared" ref="AL16:AL27" si="41">SUMPRODUCT(LEN($AK2:$BH2) - LEN(SUBSTITUTE($AK2:$BH2, "h", "")))</f>
        <v>0</v>
      </c>
      <c r="AM16">
        <f t="shared" ref="AM16:AM27" si="42">SUMPRODUCT(LEN($AK2:$BH2) - LEN(SUBSTITUTE($AK2:$BH2, "v", "")))</f>
        <v>0</v>
      </c>
      <c r="AN16">
        <f t="shared" ref="AN16:AN27" si="43">SUMPRODUCT(LEN($AK2:$BH2) - LEN(SUBSTITUTE($AK2:$BH2, "r", "")))</f>
        <v>0</v>
      </c>
      <c r="AP16">
        <f>MAX(AQ16:BN16)</f>
        <v>0</v>
      </c>
      <c r="AQ16" s="4">
        <f>_xlfn.NUMBERVALUE(RIGHT(AK2,1))</f>
        <v>0</v>
      </c>
      <c r="AR16" s="4">
        <f t="shared" ref="AR16:BG27" si="44">_xlfn.NUMBERVALUE(RIGHT(AL2,1))</f>
        <v>0</v>
      </c>
      <c r="AS16" s="4">
        <f t="shared" si="44"/>
        <v>0</v>
      </c>
      <c r="AT16" s="4">
        <f t="shared" si="44"/>
        <v>0</v>
      </c>
      <c r="AU16" s="4">
        <f t="shared" si="44"/>
        <v>0</v>
      </c>
      <c r="AV16" s="4">
        <f t="shared" si="44"/>
        <v>0</v>
      </c>
      <c r="AW16" s="4">
        <f t="shared" si="44"/>
        <v>0</v>
      </c>
      <c r="AX16" s="4">
        <f t="shared" si="44"/>
        <v>0</v>
      </c>
      <c r="AY16" s="4">
        <f t="shared" si="44"/>
        <v>0</v>
      </c>
      <c r="AZ16" s="4">
        <f t="shared" si="44"/>
        <v>0</v>
      </c>
      <c r="BA16" s="4">
        <f t="shared" si="44"/>
        <v>0</v>
      </c>
      <c r="BB16" s="4">
        <f t="shared" si="44"/>
        <v>0</v>
      </c>
      <c r="BC16" s="4">
        <f t="shared" si="44"/>
        <v>0</v>
      </c>
      <c r="BD16" s="4">
        <f t="shared" si="44"/>
        <v>0</v>
      </c>
      <c r="BE16" s="4">
        <f t="shared" si="44"/>
        <v>0</v>
      </c>
      <c r="BF16" s="4">
        <f t="shared" si="44"/>
        <v>0</v>
      </c>
      <c r="BG16" s="4">
        <f t="shared" si="44"/>
        <v>0</v>
      </c>
      <c r="BH16" s="4">
        <f t="shared" ref="BH16:BN27" si="45">_xlfn.NUMBERVALUE(RIGHT(BB2,1))</f>
        <v>0</v>
      </c>
      <c r="BI16" s="4">
        <f t="shared" si="45"/>
        <v>0</v>
      </c>
      <c r="BJ16" s="4">
        <f t="shared" si="45"/>
        <v>0</v>
      </c>
      <c r="BK16" s="4">
        <f t="shared" si="45"/>
        <v>0</v>
      </c>
      <c r="BL16" s="4">
        <f t="shared" si="45"/>
        <v>0</v>
      </c>
      <c r="BM16" s="4">
        <f t="shared" si="45"/>
        <v>0</v>
      </c>
      <c r="BN16" s="4">
        <f t="shared" si="45"/>
        <v>0</v>
      </c>
    </row>
    <row r="17" spans="1:66" x14ac:dyDescent="0.2">
      <c r="A17" s="1" t="s">
        <v>20</v>
      </c>
      <c r="D17" s="1" t="s">
        <v>49</v>
      </c>
      <c r="G17" s="1" t="s">
        <v>52</v>
      </c>
      <c r="K17" s="3" t="s">
        <v>74</v>
      </c>
      <c r="P17" s="1" t="s">
        <v>66</v>
      </c>
      <c r="Z17">
        <f t="shared" si="35"/>
        <v>0</v>
      </c>
      <c r="AA17">
        <f t="shared" si="36"/>
        <v>0</v>
      </c>
      <c r="AE17">
        <f t="shared" si="37"/>
        <v>0</v>
      </c>
      <c r="AF17">
        <f t="shared" si="38"/>
        <v>0</v>
      </c>
      <c r="AG17">
        <f t="shared" si="39"/>
        <v>0</v>
      </c>
      <c r="AK17">
        <f t="shared" si="40"/>
        <v>0</v>
      </c>
      <c r="AL17">
        <f t="shared" si="41"/>
        <v>0</v>
      </c>
      <c r="AM17">
        <f t="shared" si="42"/>
        <v>0</v>
      </c>
      <c r="AN17">
        <f t="shared" si="43"/>
        <v>0</v>
      </c>
      <c r="AP17">
        <f t="shared" ref="AP17:AP27" si="46">MAX(AQ17:BN17)</f>
        <v>0</v>
      </c>
      <c r="AQ17" s="4">
        <f t="shared" ref="AQ17:AQ27" si="47">_xlfn.NUMBERVALUE(RIGHT(AK3,1))</f>
        <v>0</v>
      </c>
      <c r="AR17" s="4">
        <f t="shared" si="44"/>
        <v>0</v>
      </c>
      <c r="AS17" s="4">
        <f t="shared" si="44"/>
        <v>0</v>
      </c>
      <c r="AT17" s="4">
        <f t="shared" si="44"/>
        <v>0</v>
      </c>
      <c r="AU17" s="4">
        <f t="shared" si="44"/>
        <v>0</v>
      </c>
      <c r="AV17" s="4">
        <f t="shared" si="44"/>
        <v>0</v>
      </c>
      <c r="AW17" s="4">
        <f t="shared" si="44"/>
        <v>0</v>
      </c>
      <c r="AX17" s="4">
        <f t="shared" si="44"/>
        <v>0</v>
      </c>
      <c r="AY17" s="4">
        <f t="shared" si="44"/>
        <v>0</v>
      </c>
      <c r="AZ17" s="4">
        <f t="shared" si="44"/>
        <v>0</v>
      </c>
      <c r="BA17" s="4">
        <f t="shared" si="44"/>
        <v>0</v>
      </c>
      <c r="BB17" s="4">
        <f t="shared" si="44"/>
        <v>0</v>
      </c>
      <c r="BC17" s="4">
        <f t="shared" si="44"/>
        <v>0</v>
      </c>
      <c r="BD17" s="4">
        <f t="shared" si="44"/>
        <v>0</v>
      </c>
      <c r="BE17" s="4">
        <f t="shared" si="44"/>
        <v>0</v>
      </c>
      <c r="BF17" s="4">
        <f t="shared" si="44"/>
        <v>0</v>
      </c>
      <c r="BG17" s="4">
        <f t="shared" si="44"/>
        <v>0</v>
      </c>
      <c r="BH17" s="4">
        <f t="shared" si="45"/>
        <v>0</v>
      </c>
      <c r="BI17" s="4">
        <f t="shared" si="45"/>
        <v>0</v>
      </c>
      <c r="BJ17" s="4">
        <f t="shared" si="45"/>
        <v>0</v>
      </c>
      <c r="BK17" s="4">
        <f t="shared" si="45"/>
        <v>0</v>
      </c>
      <c r="BL17" s="4">
        <f t="shared" si="45"/>
        <v>0</v>
      </c>
      <c r="BM17" s="4">
        <f t="shared" si="45"/>
        <v>0</v>
      </c>
      <c r="BN17" s="4">
        <f t="shared" si="45"/>
        <v>0</v>
      </c>
    </row>
    <row r="18" spans="1:66" x14ac:dyDescent="0.2">
      <c r="A18" t="s">
        <v>32</v>
      </c>
      <c r="B18" t="s">
        <v>21</v>
      </c>
      <c r="D18" t="s">
        <v>180</v>
      </c>
      <c r="G18" s="3" t="s">
        <v>53</v>
      </c>
      <c r="K18" t="s">
        <v>55</v>
      </c>
      <c r="M18" t="s">
        <v>65</v>
      </c>
      <c r="P18" t="s">
        <v>67</v>
      </c>
      <c r="Z18">
        <f t="shared" si="35"/>
        <v>0</v>
      </c>
      <c r="AA18">
        <f t="shared" si="36"/>
        <v>0</v>
      </c>
      <c r="AE18">
        <f t="shared" si="37"/>
        <v>0</v>
      </c>
      <c r="AF18">
        <f t="shared" si="38"/>
        <v>0</v>
      </c>
      <c r="AG18">
        <f t="shared" si="39"/>
        <v>0</v>
      </c>
      <c r="AK18">
        <f t="shared" si="40"/>
        <v>0</v>
      </c>
      <c r="AL18">
        <f t="shared" si="41"/>
        <v>0</v>
      </c>
      <c r="AM18">
        <f t="shared" si="42"/>
        <v>0</v>
      </c>
      <c r="AN18">
        <f t="shared" si="43"/>
        <v>0</v>
      </c>
      <c r="AP18">
        <f t="shared" si="46"/>
        <v>0</v>
      </c>
      <c r="AQ18" s="4">
        <f t="shared" si="47"/>
        <v>0</v>
      </c>
      <c r="AR18" s="4">
        <f t="shared" si="44"/>
        <v>0</v>
      </c>
      <c r="AS18" s="4">
        <f t="shared" si="44"/>
        <v>0</v>
      </c>
      <c r="AT18" s="4">
        <f t="shared" si="44"/>
        <v>0</v>
      </c>
      <c r="AU18" s="4">
        <f t="shared" si="44"/>
        <v>0</v>
      </c>
      <c r="AV18" s="4">
        <f t="shared" si="44"/>
        <v>0</v>
      </c>
      <c r="AW18" s="4">
        <f t="shared" si="44"/>
        <v>0</v>
      </c>
      <c r="AX18" s="4">
        <f t="shared" si="44"/>
        <v>0</v>
      </c>
      <c r="AY18" s="4">
        <f t="shared" si="44"/>
        <v>0</v>
      </c>
      <c r="AZ18" s="4">
        <f t="shared" si="44"/>
        <v>0</v>
      </c>
      <c r="BA18" s="4">
        <f t="shared" si="44"/>
        <v>0</v>
      </c>
      <c r="BB18" s="4">
        <f t="shared" si="44"/>
        <v>0</v>
      </c>
      <c r="BC18" s="4">
        <f t="shared" si="44"/>
        <v>0</v>
      </c>
      <c r="BD18" s="4">
        <f t="shared" si="44"/>
        <v>0</v>
      </c>
      <c r="BE18" s="4">
        <f t="shared" si="44"/>
        <v>0</v>
      </c>
      <c r="BF18" s="4">
        <f t="shared" si="44"/>
        <v>0</v>
      </c>
      <c r="BG18" s="4">
        <f t="shared" si="44"/>
        <v>0</v>
      </c>
      <c r="BH18" s="4">
        <f t="shared" si="45"/>
        <v>0</v>
      </c>
      <c r="BI18" s="4">
        <f t="shared" si="45"/>
        <v>0</v>
      </c>
      <c r="BJ18" s="4">
        <f t="shared" si="45"/>
        <v>0</v>
      </c>
      <c r="BK18" s="4">
        <f t="shared" si="45"/>
        <v>0</v>
      </c>
      <c r="BL18" s="4">
        <f t="shared" si="45"/>
        <v>0</v>
      </c>
      <c r="BM18" s="4">
        <f t="shared" si="45"/>
        <v>0</v>
      </c>
      <c r="BN18" s="4">
        <f t="shared" si="45"/>
        <v>0</v>
      </c>
    </row>
    <row r="19" spans="1:66" x14ac:dyDescent="0.2">
      <c r="A19" t="s">
        <v>40</v>
      </c>
      <c r="B19" t="s">
        <v>22</v>
      </c>
      <c r="D19">
        <f>E16/D16</f>
        <v>0.58333333333333337</v>
      </c>
      <c r="G19" t="s">
        <v>75</v>
      </c>
      <c r="K19">
        <f>O16/N16</f>
        <v>0.89473684210526316</v>
      </c>
      <c r="M19">
        <f>SUM(M39:M50)</f>
        <v>3</v>
      </c>
      <c r="P19">
        <f>T16/S16</f>
        <v>1</v>
      </c>
      <c r="Z19">
        <f t="shared" si="35"/>
        <v>0</v>
      </c>
      <c r="AA19">
        <f t="shared" si="36"/>
        <v>0</v>
      </c>
      <c r="AE19">
        <f t="shared" si="37"/>
        <v>0</v>
      </c>
      <c r="AF19">
        <f t="shared" si="38"/>
        <v>0</v>
      </c>
      <c r="AG19">
        <f t="shared" si="39"/>
        <v>0</v>
      </c>
      <c r="AK19">
        <f t="shared" si="40"/>
        <v>0</v>
      </c>
      <c r="AL19">
        <f t="shared" si="41"/>
        <v>0</v>
      </c>
      <c r="AM19">
        <f t="shared" si="42"/>
        <v>0</v>
      </c>
      <c r="AN19">
        <f t="shared" si="43"/>
        <v>0</v>
      </c>
      <c r="AP19">
        <f t="shared" si="46"/>
        <v>0</v>
      </c>
      <c r="AQ19" s="4">
        <f t="shared" si="47"/>
        <v>0</v>
      </c>
      <c r="AR19" s="4">
        <f t="shared" si="44"/>
        <v>0</v>
      </c>
      <c r="AS19" s="4">
        <f t="shared" si="44"/>
        <v>0</v>
      </c>
      <c r="AT19" s="4">
        <f t="shared" si="44"/>
        <v>0</v>
      </c>
      <c r="AU19" s="4">
        <f t="shared" si="44"/>
        <v>0</v>
      </c>
      <c r="AV19" s="4">
        <f t="shared" si="44"/>
        <v>0</v>
      </c>
      <c r="AW19" s="4">
        <f t="shared" si="44"/>
        <v>0</v>
      </c>
      <c r="AX19" s="4">
        <f t="shared" si="44"/>
        <v>0</v>
      </c>
      <c r="AY19" s="4">
        <f t="shared" si="44"/>
        <v>0</v>
      </c>
      <c r="AZ19" s="4">
        <f t="shared" si="44"/>
        <v>0</v>
      </c>
      <c r="BA19" s="4">
        <f t="shared" si="44"/>
        <v>0</v>
      </c>
      <c r="BB19" s="4">
        <f t="shared" si="44"/>
        <v>0</v>
      </c>
      <c r="BC19" s="4">
        <f t="shared" si="44"/>
        <v>0</v>
      </c>
      <c r="BD19" s="4">
        <f t="shared" si="44"/>
        <v>0</v>
      </c>
      <c r="BE19" s="4">
        <f t="shared" si="44"/>
        <v>0</v>
      </c>
      <c r="BF19" s="4">
        <f t="shared" si="44"/>
        <v>0</v>
      </c>
      <c r="BG19" s="4">
        <f t="shared" si="44"/>
        <v>0</v>
      </c>
      <c r="BH19" s="4">
        <f t="shared" si="45"/>
        <v>0</v>
      </c>
      <c r="BI19" s="4">
        <f t="shared" si="45"/>
        <v>0</v>
      </c>
      <c r="BJ19" s="4">
        <f t="shared" si="45"/>
        <v>0</v>
      </c>
      <c r="BK19" s="4">
        <f t="shared" si="45"/>
        <v>0</v>
      </c>
      <c r="BL19" s="4">
        <f t="shared" si="45"/>
        <v>0</v>
      </c>
      <c r="BM19" s="4">
        <f t="shared" si="45"/>
        <v>0</v>
      </c>
      <c r="BN19" s="4">
        <f t="shared" si="45"/>
        <v>0</v>
      </c>
    </row>
    <row r="20" spans="1:66" x14ac:dyDescent="0.2">
      <c r="A20" t="s">
        <v>41</v>
      </c>
      <c r="B20" t="s">
        <v>23</v>
      </c>
      <c r="D20" t="s">
        <v>47</v>
      </c>
      <c r="G20" t="e">
        <f>AK28/AP28</f>
        <v>#DIV/0!</v>
      </c>
      <c r="K20" t="s">
        <v>13</v>
      </c>
      <c r="Z20">
        <f t="shared" si="35"/>
        <v>0</v>
      </c>
      <c r="AA20">
        <f t="shared" si="36"/>
        <v>0</v>
      </c>
      <c r="AE20">
        <f t="shared" si="37"/>
        <v>0</v>
      </c>
      <c r="AF20">
        <f t="shared" si="38"/>
        <v>0</v>
      </c>
      <c r="AG20">
        <f t="shared" si="39"/>
        <v>0</v>
      </c>
      <c r="AK20">
        <f t="shared" si="40"/>
        <v>0</v>
      </c>
      <c r="AL20">
        <f t="shared" si="41"/>
        <v>0</v>
      </c>
      <c r="AM20">
        <f t="shared" si="42"/>
        <v>0</v>
      </c>
      <c r="AN20">
        <f t="shared" si="43"/>
        <v>0</v>
      </c>
      <c r="AP20">
        <f t="shared" si="46"/>
        <v>0</v>
      </c>
      <c r="AQ20" s="4">
        <f t="shared" si="47"/>
        <v>0</v>
      </c>
      <c r="AR20" s="4">
        <f t="shared" si="44"/>
        <v>0</v>
      </c>
      <c r="AS20" s="4">
        <f t="shared" si="44"/>
        <v>0</v>
      </c>
      <c r="AT20" s="4">
        <f t="shared" si="44"/>
        <v>0</v>
      </c>
      <c r="AU20" s="4">
        <f t="shared" si="44"/>
        <v>0</v>
      </c>
      <c r="AV20" s="4">
        <f t="shared" si="44"/>
        <v>0</v>
      </c>
      <c r="AW20" s="4">
        <f t="shared" si="44"/>
        <v>0</v>
      </c>
      <c r="AX20" s="4">
        <f t="shared" si="44"/>
        <v>0</v>
      </c>
      <c r="AY20" s="4">
        <f t="shared" si="44"/>
        <v>0</v>
      </c>
      <c r="AZ20" s="4">
        <f t="shared" si="44"/>
        <v>0</v>
      </c>
      <c r="BA20" s="4">
        <f t="shared" si="44"/>
        <v>0</v>
      </c>
      <c r="BB20" s="4">
        <f t="shared" si="44"/>
        <v>0</v>
      </c>
      <c r="BC20" s="4">
        <f t="shared" si="44"/>
        <v>0</v>
      </c>
      <c r="BD20" s="4">
        <f t="shared" si="44"/>
        <v>0</v>
      </c>
      <c r="BE20" s="4">
        <f t="shared" si="44"/>
        <v>0</v>
      </c>
      <c r="BF20" s="4">
        <f t="shared" si="44"/>
        <v>0</v>
      </c>
      <c r="BG20" s="4">
        <f t="shared" si="44"/>
        <v>0</v>
      </c>
      <c r="BH20" s="4">
        <f t="shared" si="45"/>
        <v>0</v>
      </c>
      <c r="BI20" s="4">
        <f t="shared" si="45"/>
        <v>0</v>
      </c>
      <c r="BJ20" s="4">
        <f t="shared" si="45"/>
        <v>0</v>
      </c>
      <c r="BK20" s="4">
        <f t="shared" si="45"/>
        <v>0</v>
      </c>
      <c r="BL20" s="4">
        <f t="shared" si="45"/>
        <v>0</v>
      </c>
      <c r="BM20" s="4">
        <f t="shared" si="45"/>
        <v>0</v>
      </c>
      <c r="BN20" s="4">
        <f t="shared" si="45"/>
        <v>0</v>
      </c>
    </row>
    <row r="21" spans="1:66" x14ac:dyDescent="0.2">
      <c r="A21" s="1" t="s">
        <v>24</v>
      </c>
      <c r="D21">
        <f>G16/A31</f>
        <v>0</v>
      </c>
      <c r="G21" t="s">
        <v>76</v>
      </c>
      <c r="K21" t="s">
        <v>57</v>
      </c>
      <c r="L21" t="s">
        <v>58</v>
      </c>
      <c r="M21" t="s">
        <v>59</v>
      </c>
      <c r="N21" t="s">
        <v>60</v>
      </c>
      <c r="Z21">
        <f t="shared" si="35"/>
        <v>0</v>
      </c>
      <c r="AA21">
        <f t="shared" si="36"/>
        <v>0</v>
      </c>
      <c r="AE21">
        <f t="shared" si="37"/>
        <v>0</v>
      </c>
      <c r="AF21">
        <f t="shared" si="38"/>
        <v>0</v>
      </c>
      <c r="AG21">
        <f t="shared" si="39"/>
        <v>0</v>
      </c>
      <c r="AK21">
        <f t="shared" si="40"/>
        <v>0</v>
      </c>
      <c r="AL21">
        <f t="shared" si="41"/>
        <v>0</v>
      </c>
      <c r="AM21">
        <f t="shared" si="42"/>
        <v>0</v>
      </c>
      <c r="AN21">
        <f t="shared" si="43"/>
        <v>0</v>
      </c>
      <c r="AP21">
        <f t="shared" si="46"/>
        <v>0</v>
      </c>
      <c r="AQ21" s="4">
        <f t="shared" si="47"/>
        <v>0</v>
      </c>
      <c r="AR21" s="4">
        <f t="shared" si="44"/>
        <v>0</v>
      </c>
      <c r="AS21" s="4">
        <f t="shared" si="44"/>
        <v>0</v>
      </c>
      <c r="AT21" s="4">
        <f t="shared" si="44"/>
        <v>0</v>
      </c>
      <c r="AU21" s="4">
        <f t="shared" si="44"/>
        <v>0</v>
      </c>
      <c r="AV21" s="4">
        <f t="shared" si="44"/>
        <v>0</v>
      </c>
      <c r="AW21" s="4">
        <f t="shared" si="44"/>
        <v>0</v>
      </c>
      <c r="AX21" s="4">
        <f t="shared" si="44"/>
        <v>0</v>
      </c>
      <c r="AY21" s="4">
        <f t="shared" si="44"/>
        <v>0</v>
      </c>
      <c r="AZ21" s="4">
        <f t="shared" si="44"/>
        <v>0</v>
      </c>
      <c r="BA21" s="4">
        <f t="shared" si="44"/>
        <v>0</v>
      </c>
      <c r="BB21" s="4">
        <f t="shared" si="44"/>
        <v>0</v>
      </c>
      <c r="BC21" s="4">
        <f t="shared" si="44"/>
        <v>0</v>
      </c>
      <c r="BD21" s="4">
        <f t="shared" si="44"/>
        <v>0</v>
      </c>
      <c r="BE21" s="4">
        <f t="shared" si="44"/>
        <v>0</v>
      </c>
      <c r="BF21" s="4">
        <f t="shared" si="44"/>
        <v>0</v>
      </c>
      <c r="BG21" s="4">
        <f t="shared" si="44"/>
        <v>0</v>
      </c>
      <c r="BH21" s="4">
        <f t="shared" si="45"/>
        <v>0</v>
      </c>
      <c r="BI21" s="4">
        <f t="shared" si="45"/>
        <v>0</v>
      </c>
      <c r="BJ21" s="4">
        <f t="shared" si="45"/>
        <v>0</v>
      </c>
      <c r="BK21" s="4">
        <f t="shared" si="45"/>
        <v>0</v>
      </c>
      <c r="BL21" s="4">
        <f t="shared" si="45"/>
        <v>0</v>
      </c>
      <c r="BM21" s="4">
        <f t="shared" si="45"/>
        <v>0</v>
      </c>
      <c r="BN21" s="4">
        <f t="shared" si="45"/>
        <v>0</v>
      </c>
    </row>
    <row r="22" spans="1:66" x14ac:dyDescent="0.2">
      <c r="A22" t="s">
        <v>36</v>
      </c>
      <c r="B22" t="s">
        <v>10</v>
      </c>
      <c r="D22" t="s">
        <v>48</v>
      </c>
      <c r="G22" t="e">
        <f>AL28/AP28</f>
        <v>#DIV/0!</v>
      </c>
      <c r="K22">
        <f>AVERAGE(C39:C50)</f>
        <v>2.8333333333333335</v>
      </c>
      <c r="L22">
        <f>MEDIAN(C39:C50)</f>
        <v>3</v>
      </c>
      <c r="M22">
        <f>MAX(C39:C50)</f>
        <v>5</v>
      </c>
      <c r="N22">
        <f>_xlfn.STDEV.S(C39:C50)</f>
        <v>1.1934162828797104</v>
      </c>
      <c r="Z22">
        <f t="shared" si="35"/>
        <v>0</v>
      </c>
      <c r="AA22">
        <f t="shared" si="36"/>
        <v>0</v>
      </c>
      <c r="AE22">
        <f t="shared" si="37"/>
        <v>0</v>
      </c>
      <c r="AF22">
        <f t="shared" si="38"/>
        <v>0</v>
      </c>
      <c r="AG22">
        <f t="shared" si="39"/>
        <v>0</v>
      </c>
      <c r="AK22">
        <f t="shared" si="40"/>
        <v>0</v>
      </c>
      <c r="AL22">
        <f t="shared" si="41"/>
        <v>0</v>
      </c>
      <c r="AM22">
        <f t="shared" si="42"/>
        <v>0</v>
      </c>
      <c r="AN22">
        <f t="shared" si="43"/>
        <v>0</v>
      </c>
      <c r="AP22">
        <f t="shared" si="46"/>
        <v>0</v>
      </c>
      <c r="AQ22" s="4">
        <f t="shared" si="47"/>
        <v>0</v>
      </c>
      <c r="AR22" s="4">
        <f t="shared" si="44"/>
        <v>0</v>
      </c>
      <c r="AS22" s="4">
        <f t="shared" si="44"/>
        <v>0</v>
      </c>
      <c r="AT22" s="4">
        <f t="shared" si="44"/>
        <v>0</v>
      </c>
      <c r="AU22" s="4">
        <f t="shared" si="44"/>
        <v>0</v>
      </c>
      <c r="AV22" s="4">
        <f t="shared" si="44"/>
        <v>0</v>
      </c>
      <c r="AW22" s="4">
        <f t="shared" si="44"/>
        <v>0</v>
      </c>
      <c r="AX22" s="4">
        <f t="shared" si="44"/>
        <v>0</v>
      </c>
      <c r="AY22" s="4">
        <f t="shared" si="44"/>
        <v>0</v>
      </c>
      <c r="AZ22" s="4">
        <f t="shared" si="44"/>
        <v>0</v>
      </c>
      <c r="BA22" s="4">
        <f t="shared" si="44"/>
        <v>0</v>
      </c>
      <c r="BB22" s="4">
        <f t="shared" si="44"/>
        <v>0</v>
      </c>
      <c r="BC22" s="4">
        <f t="shared" si="44"/>
        <v>0</v>
      </c>
      <c r="BD22" s="4">
        <f t="shared" si="44"/>
        <v>0</v>
      </c>
      <c r="BE22" s="4">
        <f t="shared" si="44"/>
        <v>0</v>
      </c>
      <c r="BF22" s="4">
        <f t="shared" si="44"/>
        <v>0</v>
      </c>
      <c r="BG22" s="4">
        <f t="shared" si="44"/>
        <v>0</v>
      </c>
      <c r="BH22" s="4">
        <f t="shared" si="45"/>
        <v>0</v>
      </c>
      <c r="BI22" s="4">
        <f t="shared" si="45"/>
        <v>0</v>
      </c>
      <c r="BJ22" s="4">
        <f t="shared" si="45"/>
        <v>0</v>
      </c>
      <c r="BK22" s="4">
        <f t="shared" si="45"/>
        <v>0</v>
      </c>
      <c r="BL22" s="4">
        <f t="shared" si="45"/>
        <v>0</v>
      </c>
      <c r="BM22" s="4">
        <f t="shared" si="45"/>
        <v>0</v>
      </c>
      <c r="BN22" s="4">
        <f t="shared" si="45"/>
        <v>0</v>
      </c>
    </row>
    <row r="23" spans="1:66" x14ac:dyDescent="0.2">
      <c r="A23" t="s">
        <v>37</v>
      </c>
      <c r="B23" t="s">
        <v>25</v>
      </c>
      <c r="D23">
        <f>H16/A31</f>
        <v>0</v>
      </c>
      <c r="G23" t="s">
        <v>77</v>
      </c>
      <c r="K23" t="s">
        <v>8</v>
      </c>
      <c r="Z23">
        <f t="shared" si="35"/>
        <v>0</v>
      </c>
      <c r="AA23">
        <f t="shared" si="36"/>
        <v>0</v>
      </c>
      <c r="AE23">
        <f t="shared" si="37"/>
        <v>0</v>
      </c>
      <c r="AF23">
        <f t="shared" si="38"/>
        <v>0</v>
      </c>
      <c r="AG23">
        <f t="shared" si="39"/>
        <v>0</v>
      </c>
      <c r="AK23">
        <f t="shared" si="40"/>
        <v>0</v>
      </c>
      <c r="AL23">
        <f t="shared" si="41"/>
        <v>0</v>
      </c>
      <c r="AM23">
        <f t="shared" si="42"/>
        <v>0</v>
      </c>
      <c r="AN23">
        <f t="shared" si="43"/>
        <v>0</v>
      </c>
      <c r="AP23">
        <f t="shared" si="46"/>
        <v>0</v>
      </c>
      <c r="AQ23" s="4">
        <f t="shared" si="47"/>
        <v>0</v>
      </c>
      <c r="AR23" s="4">
        <f t="shared" si="44"/>
        <v>0</v>
      </c>
      <c r="AS23" s="4">
        <f t="shared" si="44"/>
        <v>0</v>
      </c>
      <c r="AT23" s="4">
        <f t="shared" si="44"/>
        <v>0</v>
      </c>
      <c r="AU23" s="4">
        <f t="shared" si="44"/>
        <v>0</v>
      </c>
      <c r="AV23" s="4">
        <f t="shared" si="44"/>
        <v>0</v>
      </c>
      <c r="AW23" s="4">
        <f t="shared" si="44"/>
        <v>0</v>
      </c>
      <c r="AX23" s="4">
        <f t="shared" si="44"/>
        <v>0</v>
      </c>
      <c r="AY23" s="4">
        <f t="shared" si="44"/>
        <v>0</v>
      </c>
      <c r="AZ23" s="4">
        <f t="shared" si="44"/>
        <v>0</v>
      </c>
      <c r="BA23" s="4">
        <f t="shared" si="44"/>
        <v>0</v>
      </c>
      <c r="BB23" s="4">
        <f t="shared" si="44"/>
        <v>0</v>
      </c>
      <c r="BC23" s="4">
        <f t="shared" si="44"/>
        <v>0</v>
      </c>
      <c r="BD23" s="4">
        <f t="shared" si="44"/>
        <v>0</v>
      </c>
      <c r="BE23" s="4">
        <f t="shared" si="44"/>
        <v>0</v>
      </c>
      <c r="BF23" s="4">
        <f t="shared" si="44"/>
        <v>0</v>
      </c>
      <c r="BG23" s="4">
        <f t="shared" si="44"/>
        <v>0</v>
      </c>
      <c r="BH23" s="4">
        <f t="shared" si="45"/>
        <v>0</v>
      </c>
      <c r="BI23" s="4">
        <f t="shared" si="45"/>
        <v>0</v>
      </c>
      <c r="BJ23" s="4">
        <f t="shared" si="45"/>
        <v>0</v>
      </c>
      <c r="BK23" s="4">
        <f t="shared" si="45"/>
        <v>0</v>
      </c>
      <c r="BL23" s="4">
        <f t="shared" si="45"/>
        <v>0</v>
      </c>
      <c r="BM23" s="4">
        <f t="shared" si="45"/>
        <v>0</v>
      </c>
      <c r="BN23" s="4">
        <f t="shared" si="45"/>
        <v>0</v>
      </c>
    </row>
    <row r="24" spans="1:66" x14ac:dyDescent="0.2">
      <c r="A24" t="s">
        <v>38</v>
      </c>
      <c r="B24" t="s">
        <v>26</v>
      </c>
      <c r="D24" t="s">
        <v>50</v>
      </c>
      <c r="G24" t="e">
        <f>AM28/AP28</f>
        <v>#DIV/0!</v>
      </c>
      <c r="K24" t="s">
        <v>57</v>
      </c>
      <c r="L24" t="s">
        <v>61</v>
      </c>
      <c r="M24" t="s">
        <v>59</v>
      </c>
      <c r="N24" t="s">
        <v>60</v>
      </c>
      <c r="Z24">
        <f t="shared" si="35"/>
        <v>0</v>
      </c>
      <c r="AA24">
        <f t="shared" si="36"/>
        <v>0</v>
      </c>
      <c r="AE24">
        <f t="shared" si="37"/>
        <v>0</v>
      </c>
      <c r="AF24">
        <f t="shared" si="38"/>
        <v>0</v>
      </c>
      <c r="AG24">
        <f t="shared" si="39"/>
        <v>0</v>
      </c>
      <c r="AK24">
        <f t="shared" si="40"/>
        <v>0</v>
      </c>
      <c r="AL24">
        <f t="shared" si="41"/>
        <v>0</v>
      </c>
      <c r="AM24">
        <f t="shared" si="42"/>
        <v>0</v>
      </c>
      <c r="AN24">
        <f t="shared" si="43"/>
        <v>0</v>
      </c>
      <c r="AP24">
        <f t="shared" si="46"/>
        <v>0</v>
      </c>
      <c r="AQ24" s="4">
        <f t="shared" si="47"/>
        <v>0</v>
      </c>
      <c r="AR24" s="4">
        <f t="shared" si="44"/>
        <v>0</v>
      </c>
      <c r="AS24" s="4">
        <f t="shared" si="44"/>
        <v>0</v>
      </c>
      <c r="AT24" s="4">
        <f t="shared" si="44"/>
        <v>0</v>
      </c>
      <c r="AU24" s="4">
        <f t="shared" si="44"/>
        <v>0</v>
      </c>
      <c r="AV24" s="4">
        <f t="shared" si="44"/>
        <v>0</v>
      </c>
      <c r="AW24" s="4">
        <f t="shared" si="44"/>
        <v>0</v>
      </c>
      <c r="AX24" s="4">
        <f t="shared" si="44"/>
        <v>0</v>
      </c>
      <c r="AY24" s="4">
        <f t="shared" si="44"/>
        <v>0</v>
      </c>
      <c r="AZ24" s="4">
        <f t="shared" si="44"/>
        <v>0</v>
      </c>
      <c r="BA24" s="4">
        <f t="shared" si="44"/>
        <v>0</v>
      </c>
      <c r="BB24" s="4">
        <f t="shared" si="44"/>
        <v>0</v>
      </c>
      <c r="BC24" s="4">
        <f t="shared" si="44"/>
        <v>0</v>
      </c>
      <c r="BD24" s="4">
        <f t="shared" si="44"/>
        <v>0</v>
      </c>
      <c r="BE24" s="4">
        <f t="shared" si="44"/>
        <v>0</v>
      </c>
      <c r="BF24" s="4">
        <f t="shared" si="44"/>
        <v>0</v>
      </c>
      <c r="BG24" s="4">
        <f t="shared" si="44"/>
        <v>0</v>
      </c>
      <c r="BH24" s="4">
        <f t="shared" si="45"/>
        <v>0</v>
      </c>
      <c r="BI24" s="4">
        <f t="shared" si="45"/>
        <v>0</v>
      </c>
      <c r="BJ24" s="4">
        <f t="shared" si="45"/>
        <v>0</v>
      </c>
      <c r="BK24" s="4">
        <f t="shared" si="45"/>
        <v>0</v>
      </c>
      <c r="BL24" s="4">
        <f t="shared" si="45"/>
        <v>0</v>
      </c>
      <c r="BM24" s="4">
        <f t="shared" si="45"/>
        <v>0</v>
      </c>
      <c r="BN24" s="4">
        <f t="shared" si="45"/>
        <v>0</v>
      </c>
    </row>
    <row r="25" spans="1:66" x14ac:dyDescent="0.2">
      <c r="A25" t="s">
        <v>39</v>
      </c>
      <c r="B25" t="s">
        <v>27</v>
      </c>
      <c r="D25">
        <f>Z28/A31</f>
        <v>0</v>
      </c>
      <c r="G25" t="s">
        <v>78</v>
      </c>
      <c r="K25">
        <f>AVERAGE(E39:E50)</f>
        <v>0</v>
      </c>
      <c r="L25">
        <f>MEDIAN(E39:E50)</f>
        <v>0</v>
      </c>
      <c r="M25">
        <f>MAX(E39:E50)</f>
        <v>0</v>
      </c>
      <c r="N25">
        <f>_xlfn.STDEV.S(E39:E50)</f>
        <v>0</v>
      </c>
      <c r="Z25">
        <f t="shared" si="35"/>
        <v>0</v>
      </c>
      <c r="AA25">
        <f t="shared" si="36"/>
        <v>0</v>
      </c>
      <c r="AE25">
        <f t="shared" si="37"/>
        <v>0</v>
      </c>
      <c r="AF25">
        <f t="shared" si="38"/>
        <v>0</v>
      </c>
      <c r="AG25">
        <f t="shared" si="39"/>
        <v>0</v>
      </c>
      <c r="AK25">
        <f t="shared" si="40"/>
        <v>0</v>
      </c>
      <c r="AL25">
        <f t="shared" si="41"/>
        <v>0</v>
      </c>
      <c r="AM25">
        <f t="shared" si="42"/>
        <v>0</v>
      </c>
      <c r="AN25">
        <f t="shared" si="43"/>
        <v>0</v>
      </c>
      <c r="AP25">
        <f t="shared" si="46"/>
        <v>0</v>
      </c>
      <c r="AQ25" s="4">
        <f t="shared" si="47"/>
        <v>0</v>
      </c>
      <c r="AR25" s="4">
        <f t="shared" si="44"/>
        <v>0</v>
      </c>
      <c r="AS25" s="4">
        <f t="shared" si="44"/>
        <v>0</v>
      </c>
      <c r="AT25" s="4">
        <f t="shared" si="44"/>
        <v>0</v>
      </c>
      <c r="AU25" s="4">
        <f t="shared" si="44"/>
        <v>0</v>
      </c>
      <c r="AV25" s="4">
        <f t="shared" si="44"/>
        <v>0</v>
      </c>
      <c r="AW25" s="4">
        <f t="shared" si="44"/>
        <v>0</v>
      </c>
      <c r="AX25" s="4">
        <f t="shared" si="44"/>
        <v>0</v>
      </c>
      <c r="AY25" s="4">
        <f t="shared" si="44"/>
        <v>0</v>
      </c>
      <c r="AZ25" s="4">
        <f t="shared" si="44"/>
        <v>0</v>
      </c>
      <c r="BA25" s="4">
        <f t="shared" si="44"/>
        <v>0</v>
      </c>
      <c r="BB25" s="4">
        <f t="shared" si="44"/>
        <v>0</v>
      </c>
      <c r="BC25" s="4">
        <f t="shared" si="44"/>
        <v>0</v>
      </c>
      <c r="BD25" s="4">
        <f t="shared" si="44"/>
        <v>0</v>
      </c>
      <c r="BE25" s="4">
        <f t="shared" si="44"/>
        <v>0</v>
      </c>
      <c r="BF25" s="4">
        <f t="shared" si="44"/>
        <v>0</v>
      </c>
      <c r="BG25" s="4">
        <f t="shared" si="44"/>
        <v>0</v>
      </c>
      <c r="BH25" s="4">
        <f t="shared" si="45"/>
        <v>0</v>
      </c>
      <c r="BI25" s="4">
        <f t="shared" si="45"/>
        <v>0</v>
      </c>
      <c r="BJ25" s="4">
        <f t="shared" si="45"/>
        <v>0</v>
      </c>
      <c r="BK25" s="4">
        <f t="shared" si="45"/>
        <v>0</v>
      </c>
      <c r="BL25" s="4">
        <f t="shared" si="45"/>
        <v>0</v>
      </c>
      <c r="BM25" s="4">
        <f t="shared" si="45"/>
        <v>0</v>
      </c>
      <c r="BN25" s="4">
        <f t="shared" si="45"/>
        <v>0</v>
      </c>
    </row>
    <row r="26" spans="1:66" x14ac:dyDescent="0.2">
      <c r="A26" t="s">
        <v>44</v>
      </c>
      <c r="D26" t="s">
        <v>51</v>
      </c>
      <c r="G26" t="e">
        <f>AN28/AP28</f>
        <v>#DIV/0!</v>
      </c>
      <c r="K26" t="s">
        <v>62</v>
      </c>
      <c r="P26" t="s">
        <v>19</v>
      </c>
      <c r="Z26">
        <f t="shared" si="35"/>
        <v>0</v>
      </c>
      <c r="AA26">
        <f t="shared" si="36"/>
        <v>0</v>
      </c>
      <c r="AE26">
        <f t="shared" si="37"/>
        <v>0</v>
      </c>
      <c r="AF26">
        <f t="shared" si="38"/>
        <v>0</v>
      </c>
      <c r="AG26">
        <f t="shared" si="39"/>
        <v>0</v>
      </c>
      <c r="AK26">
        <f t="shared" si="40"/>
        <v>0</v>
      </c>
      <c r="AL26">
        <f t="shared" si="41"/>
        <v>0</v>
      </c>
      <c r="AM26">
        <f t="shared" si="42"/>
        <v>0</v>
      </c>
      <c r="AN26">
        <f t="shared" si="43"/>
        <v>0</v>
      </c>
      <c r="AP26">
        <f t="shared" si="46"/>
        <v>0</v>
      </c>
      <c r="AQ26" s="4">
        <f t="shared" si="47"/>
        <v>0</v>
      </c>
      <c r="AR26" s="4">
        <f t="shared" si="44"/>
        <v>0</v>
      </c>
      <c r="AS26" s="4">
        <f t="shared" si="44"/>
        <v>0</v>
      </c>
      <c r="AT26" s="4">
        <f t="shared" si="44"/>
        <v>0</v>
      </c>
      <c r="AU26" s="4">
        <f t="shared" si="44"/>
        <v>0</v>
      </c>
      <c r="AV26" s="4">
        <f t="shared" si="44"/>
        <v>0</v>
      </c>
      <c r="AW26" s="4">
        <f t="shared" si="44"/>
        <v>0</v>
      </c>
      <c r="AX26" s="4">
        <f t="shared" si="44"/>
        <v>0</v>
      </c>
      <c r="AY26" s="4">
        <f t="shared" si="44"/>
        <v>0</v>
      </c>
      <c r="AZ26" s="4">
        <f t="shared" si="44"/>
        <v>0</v>
      </c>
      <c r="BA26" s="4">
        <f t="shared" si="44"/>
        <v>0</v>
      </c>
      <c r="BB26" s="4">
        <f t="shared" si="44"/>
        <v>0</v>
      </c>
      <c r="BC26" s="4">
        <f t="shared" si="44"/>
        <v>0</v>
      </c>
      <c r="BD26" s="4">
        <f t="shared" si="44"/>
        <v>0</v>
      </c>
      <c r="BE26" s="4">
        <f t="shared" si="44"/>
        <v>0</v>
      </c>
      <c r="BF26" s="4">
        <f t="shared" si="44"/>
        <v>0</v>
      </c>
      <c r="BG26" s="4">
        <f t="shared" si="44"/>
        <v>0</v>
      </c>
      <c r="BH26" s="4">
        <f t="shared" si="45"/>
        <v>0</v>
      </c>
      <c r="BI26" s="4">
        <f t="shared" si="45"/>
        <v>0</v>
      </c>
      <c r="BJ26" s="4">
        <f t="shared" si="45"/>
        <v>0</v>
      </c>
      <c r="BK26" s="4">
        <f t="shared" si="45"/>
        <v>0</v>
      </c>
      <c r="BL26" s="4">
        <f t="shared" si="45"/>
        <v>0</v>
      </c>
      <c r="BM26" s="4">
        <f t="shared" si="45"/>
        <v>0</v>
      </c>
      <c r="BN26" s="4">
        <f t="shared" si="45"/>
        <v>0</v>
      </c>
    </row>
    <row r="27" spans="1:66" x14ac:dyDescent="0.2">
      <c r="A27" t="s">
        <v>45</v>
      </c>
      <c r="D27">
        <f>AA28/A31</f>
        <v>0</v>
      </c>
      <c r="G27" t="s">
        <v>56</v>
      </c>
      <c r="K27" t="s">
        <v>57</v>
      </c>
      <c r="L27" t="s">
        <v>58</v>
      </c>
      <c r="M27" t="s">
        <v>59</v>
      </c>
      <c r="N27" t="s">
        <v>60</v>
      </c>
      <c r="P27" t="s">
        <v>57</v>
      </c>
      <c r="Q27" t="s">
        <v>58</v>
      </c>
      <c r="R27" t="s">
        <v>59</v>
      </c>
      <c r="S27" t="s">
        <v>60</v>
      </c>
      <c r="Z27">
        <f t="shared" si="35"/>
        <v>0</v>
      </c>
      <c r="AA27">
        <f t="shared" si="36"/>
        <v>0</v>
      </c>
      <c r="AE27">
        <f t="shared" si="37"/>
        <v>0</v>
      </c>
      <c r="AF27">
        <f t="shared" si="38"/>
        <v>0</v>
      </c>
      <c r="AG27">
        <f t="shared" si="39"/>
        <v>0</v>
      </c>
      <c r="AK27">
        <f t="shared" si="40"/>
        <v>0</v>
      </c>
      <c r="AL27">
        <f t="shared" si="41"/>
        <v>0</v>
      </c>
      <c r="AM27">
        <f t="shared" si="42"/>
        <v>0</v>
      </c>
      <c r="AN27">
        <f t="shared" si="43"/>
        <v>0</v>
      </c>
      <c r="AP27">
        <f t="shared" si="46"/>
        <v>0</v>
      </c>
      <c r="AQ27" s="4">
        <f t="shared" si="47"/>
        <v>0</v>
      </c>
      <c r="AR27" s="4">
        <f t="shared" si="44"/>
        <v>0</v>
      </c>
      <c r="AS27" s="4">
        <f t="shared" si="44"/>
        <v>0</v>
      </c>
      <c r="AT27" s="4">
        <f t="shared" si="44"/>
        <v>0</v>
      </c>
      <c r="AU27" s="4">
        <f t="shared" si="44"/>
        <v>0</v>
      </c>
      <c r="AV27" s="4">
        <f t="shared" si="44"/>
        <v>0</v>
      </c>
      <c r="AW27" s="4">
        <f t="shared" si="44"/>
        <v>0</v>
      </c>
      <c r="AX27" s="4">
        <f t="shared" si="44"/>
        <v>0</v>
      </c>
      <c r="AY27" s="4">
        <f t="shared" si="44"/>
        <v>0</v>
      </c>
      <c r="AZ27" s="4">
        <f t="shared" si="44"/>
        <v>0</v>
      </c>
      <c r="BA27" s="4">
        <f t="shared" si="44"/>
        <v>0</v>
      </c>
      <c r="BB27" s="4">
        <f t="shared" si="44"/>
        <v>0</v>
      </c>
      <c r="BC27" s="4">
        <f t="shared" si="44"/>
        <v>0</v>
      </c>
      <c r="BD27" s="4">
        <f t="shared" si="44"/>
        <v>0</v>
      </c>
      <c r="BE27" s="4">
        <f t="shared" si="44"/>
        <v>0</v>
      </c>
      <c r="BF27" s="4">
        <f t="shared" si="44"/>
        <v>0</v>
      </c>
      <c r="BG27" s="4">
        <f t="shared" si="44"/>
        <v>0</v>
      </c>
      <c r="BH27" s="4">
        <f t="shared" si="45"/>
        <v>0</v>
      </c>
      <c r="BI27" s="4">
        <f t="shared" si="45"/>
        <v>0</v>
      </c>
      <c r="BJ27" s="4">
        <f t="shared" si="45"/>
        <v>0</v>
      </c>
      <c r="BK27" s="4">
        <f t="shared" si="45"/>
        <v>0</v>
      </c>
      <c r="BL27" s="4">
        <f t="shared" si="45"/>
        <v>0</v>
      </c>
      <c r="BM27" s="4">
        <f t="shared" si="45"/>
        <v>0</v>
      </c>
      <c r="BN27" s="4">
        <f t="shared" si="45"/>
        <v>0</v>
      </c>
    </row>
    <row r="28" spans="1:66" x14ac:dyDescent="0.2">
      <c r="A28" t="s">
        <v>46</v>
      </c>
      <c r="D28" t="s">
        <v>202</v>
      </c>
      <c r="G28" t="s">
        <v>57</v>
      </c>
      <c r="H28" t="s">
        <v>58</v>
      </c>
      <c r="I28" t="s">
        <v>59</v>
      </c>
      <c r="J28" t="s">
        <v>60</v>
      </c>
      <c r="K28">
        <f>AVERAGE(G39:G50)</f>
        <v>0</v>
      </c>
      <c r="L28">
        <f>MEDIAN(G39:G50)</f>
        <v>0</v>
      </c>
      <c r="M28">
        <f>MAX(G39:G50)</f>
        <v>0</v>
      </c>
      <c r="N28">
        <f>_xlfn.STDEV.S(G39:G50)</f>
        <v>0</v>
      </c>
      <c r="P28">
        <f>AVERAGE(N39:N50)</f>
        <v>4.5</v>
      </c>
      <c r="Q28">
        <f>MEDIAN(N39:N50)</f>
        <v>1</v>
      </c>
      <c r="R28">
        <f>MAX(N39:N50)</f>
        <v>23</v>
      </c>
      <c r="S28">
        <f>_xlfn.STDEV.S(N39:N50)</f>
        <v>7.2801098892805181</v>
      </c>
      <c r="Y28" t="s">
        <v>33</v>
      </c>
      <c r="Z28">
        <f>SUM(Z16:Z27)</f>
        <v>0</v>
      </c>
      <c r="AA28">
        <f>SUM(AA16:AA27)</f>
        <v>0</v>
      </c>
      <c r="AE28">
        <f>SUM(AE16:AE27)</f>
        <v>0</v>
      </c>
      <c r="AF28">
        <f>SUM(AF16:AF27)</f>
        <v>0</v>
      </c>
      <c r="AG28">
        <f>SUM(AG16:AG27)</f>
        <v>0</v>
      </c>
      <c r="AK28">
        <f>SUM(AK16:AK27)</f>
        <v>0</v>
      </c>
      <c r="AL28">
        <f>SUM(AL16:AL27)</f>
        <v>0</v>
      </c>
      <c r="AM28">
        <f>SUM(AM16:AM27)</f>
        <v>0</v>
      </c>
      <c r="AN28">
        <f>SUM(AN16:AN27)</f>
        <v>0</v>
      </c>
      <c r="AP28">
        <f>SUM(AP16:AP27)</f>
        <v>0</v>
      </c>
    </row>
    <row r="29" spans="1:66" x14ac:dyDescent="0.2">
      <c r="D29">
        <f>SUM(O39:O50)/F16</f>
        <v>0.8571428571428571</v>
      </c>
      <c r="G29">
        <f>AVERAGE(A39:A50)</f>
        <v>0</v>
      </c>
      <c r="H29">
        <f>MEDIAN(A39:A50)</f>
        <v>0</v>
      </c>
      <c r="I29">
        <f>MAX(A39:A50)</f>
        <v>0</v>
      </c>
      <c r="J29">
        <f>_xlfn.STDEV.S(A39:A50)</f>
        <v>0</v>
      </c>
      <c r="K29" t="s">
        <v>63</v>
      </c>
      <c r="P29" t="s">
        <v>148</v>
      </c>
    </row>
    <row r="30" spans="1:66" x14ac:dyDescent="0.2">
      <c r="A30" t="s">
        <v>147</v>
      </c>
      <c r="D30" t="s">
        <v>203</v>
      </c>
      <c r="G30" t="s">
        <v>50</v>
      </c>
      <c r="H30" t="s">
        <v>51</v>
      </c>
      <c r="I30" t="s">
        <v>89</v>
      </c>
      <c r="K30" t="s">
        <v>57</v>
      </c>
      <c r="L30" t="s">
        <v>58</v>
      </c>
      <c r="M30" t="s">
        <v>59</v>
      </c>
      <c r="N30" t="s">
        <v>60</v>
      </c>
      <c r="P30" t="s">
        <v>57</v>
      </c>
      <c r="Q30" t="s">
        <v>58</v>
      </c>
      <c r="R30" t="s">
        <v>59</v>
      </c>
      <c r="S30" t="s">
        <v>60</v>
      </c>
      <c r="W30" t="s">
        <v>148</v>
      </c>
      <c r="Y30" t="s">
        <v>149</v>
      </c>
      <c r="AH30" t="s">
        <v>79</v>
      </c>
    </row>
    <row r="31" spans="1:66" x14ac:dyDescent="0.2">
      <c r="A31">
        <f>COUNT(B4:B15)</f>
        <v>12</v>
      </c>
      <c r="D31" s="2">
        <f>SUM(S39:S50)/SUM(Q39:Q50)</f>
        <v>0.2</v>
      </c>
      <c r="G31">
        <f>AE28/A31</f>
        <v>0</v>
      </c>
      <c r="H31">
        <f>AF28/A31</f>
        <v>0</v>
      </c>
      <c r="I31">
        <f>AG28/A31</f>
        <v>0</v>
      </c>
      <c r="K31" t="e">
        <f>AVERAGE(I39:I50)</f>
        <v>#DIV/0!</v>
      </c>
      <c r="L31" t="e">
        <f>MEDIAN(I39:I50)</f>
        <v>#NUM!</v>
      </c>
      <c r="M31">
        <f>MAX(I39:I50)</f>
        <v>0</v>
      </c>
      <c r="N31" t="e">
        <f>_xlfn.STDEV.S(I39:I50)</f>
        <v>#DIV/0!</v>
      </c>
      <c r="P31" t="e">
        <f>AVERAGE(W31:W42)</f>
        <v>#DIV/0!</v>
      </c>
      <c r="Q31" t="e">
        <f>MEDIAN(W31:W42)</f>
        <v>#NUM!</v>
      </c>
      <c r="R31">
        <f>MAX(W31:W42)</f>
        <v>0</v>
      </c>
      <c r="S31" t="e">
        <f>_xlfn.STDEV.S(W31:W42)</f>
        <v>#DIV/0!</v>
      </c>
      <c r="W31" t="str">
        <f t="shared" ref="W31:W33" si="48">IF(AND(ISBLANK(Q4), ISBLANK(R4), ISBLANK(G4), ISBLANK(H4)), "", U4)</f>
        <v/>
      </c>
      <c r="Y31" t="str">
        <f t="shared" ref="Y31:Y42" si="49">IF(ISBLANK(Y4), IF(X4 = 0, "", (G4 + H4/3 + V4/9 + W4/3)), U4)</f>
        <v/>
      </c>
      <c r="AH31" t="s">
        <v>80</v>
      </c>
    </row>
    <row r="32" spans="1:66" x14ac:dyDescent="0.2">
      <c r="A32" t="s">
        <v>303</v>
      </c>
      <c r="D32" s="3"/>
      <c r="K32" t="s">
        <v>64</v>
      </c>
      <c r="P32" t="s">
        <v>149</v>
      </c>
      <c r="W32" t="str">
        <f t="shared" si="48"/>
        <v/>
      </c>
      <c r="Y32" t="str">
        <f t="shared" si="49"/>
        <v/>
      </c>
      <c r="AH32" t="s">
        <v>81</v>
      </c>
    </row>
    <row r="33" spans="1:34" x14ac:dyDescent="0.2">
      <c r="A33" t="s">
        <v>311</v>
      </c>
      <c r="D33" s="3"/>
      <c r="K33" t="s">
        <v>57</v>
      </c>
      <c r="L33" t="s">
        <v>58</v>
      </c>
      <c r="M33" t="s">
        <v>59</v>
      </c>
      <c r="N33" t="s">
        <v>60</v>
      </c>
      <c r="P33" t="s">
        <v>57</v>
      </c>
      <c r="Q33" t="s">
        <v>58</v>
      </c>
      <c r="R33" t="s">
        <v>59</v>
      </c>
      <c r="S33" t="s">
        <v>60</v>
      </c>
      <c r="W33" t="str">
        <f t="shared" si="48"/>
        <v/>
      </c>
      <c r="Y33" t="str">
        <f t="shared" si="49"/>
        <v/>
      </c>
      <c r="AH33" t="s">
        <v>82</v>
      </c>
    </row>
    <row r="34" spans="1:34" x14ac:dyDescent="0.2">
      <c r="D34" s="3"/>
      <c r="K34">
        <f>AVERAGE(K39:K50)</f>
        <v>0</v>
      </c>
      <c r="L34">
        <f>MEDIAN(K39:K50)</f>
        <v>0</v>
      </c>
      <c r="M34">
        <f>MAX(K39:K50)</f>
        <v>0</v>
      </c>
      <c r="N34">
        <f>_xlfn.STDEV.S(K39:K50)</f>
        <v>0</v>
      </c>
      <c r="P34" t="e">
        <f>AVERAGE(Y31:Y42)</f>
        <v>#DIV/0!</v>
      </c>
      <c r="Q34" t="e">
        <f>MEDIAN(Y31:Y42)</f>
        <v>#NUM!</v>
      </c>
      <c r="R34">
        <f>MAX(Y31:Y42)</f>
        <v>0</v>
      </c>
      <c r="S34" t="e">
        <f>_xlfn.STDEV.S(Y31:Y42)</f>
        <v>#DIV/0!</v>
      </c>
      <c r="W34" t="str">
        <f>IF(AND(ISBLANK(Q7), ISBLANK(R7), ISBLANK(G7), ISBLANK(H7)), "", U7)</f>
        <v/>
      </c>
      <c r="Y34" t="str">
        <f t="shared" si="49"/>
        <v/>
      </c>
      <c r="AH34" t="s">
        <v>83</v>
      </c>
    </row>
    <row r="35" spans="1:34" x14ac:dyDescent="0.2">
      <c r="P35" t="s">
        <v>95</v>
      </c>
      <c r="R35" t="s">
        <v>197</v>
      </c>
      <c r="W35" t="str">
        <f t="shared" ref="W35:W42" si="50">IF(AND(ISBLANK(Q8), ISBLANK(R8), ISBLANK(G8), ISBLANK(H8)), "", U8)</f>
        <v/>
      </c>
      <c r="Y35" t="str">
        <f t="shared" si="49"/>
        <v/>
      </c>
    </row>
    <row r="36" spans="1:34" x14ac:dyDescent="0.2">
      <c r="P36" t="e">
        <f>Q16/(Q16+R16)</f>
        <v>#DIV/0!</v>
      </c>
      <c r="R36" t="e">
        <f>R16/(Q16+R16)</f>
        <v>#DIV/0!</v>
      </c>
      <c r="W36" t="str">
        <f t="shared" si="50"/>
        <v/>
      </c>
      <c r="Y36" t="str">
        <f t="shared" si="49"/>
        <v/>
      </c>
    </row>
    <row r="37" spans="1:34" x14ac:dyDescent="0.2">
      <c r="W37" t="str">
        <f t="shared" si="50"/>
        <v/>
      </c>
      <c r="Y37" t="str">
        <f t="shared" si="49"/>
        <v/>
      </c>
    </row>
    <row r="38" spans="1:34" x14ac:dyDescent="0.2">
      <c r="A38" t="s">
        <v>68</v>
      </c>
      <c r="C38" t="s">
        <v>69</v>
      </c>
      <c r="E38" t="s">
        <v>72</v>
      </c>
      <c r="G38" t="s">
        <v>250</v>
      </c>
      <c r="K38" t="s">
        <v>73</v>
      </c>
      <c r="M38" t="s">
        <v>70</v>
      </c>
      <c r="N38" t="s">
        <v>71</v>
      </c>
      <c r="O38" t="s">
        <v>199</v>
      </c>
      <c r="Q38" t="s">
        <v>200</v>
      </c>
      <c r="S38" t="s">
        <v>201</v>
      </c>
      <c r="W38" t="str">
        <f t="shared" si="50"/>
        <v/>
      </c>
      <c r="Y38" t="str">
        <f t="shared" si="49"/>
        <v/>
      </c>
    </row>
    <row r="39" spans="1:34" x14ac:dyDescent="0.2">
      <c r="A39">
        <f t="shared" ref="A39:A50" si="51">IF(ISBLANK(B4), "", SUM(AE16+AF16+AG16))</f>
        <v>0</v>
      </c>
      <c r="C39">
        <f t="shared" ref="C39:C50" si="52">IF(ISBLANK(B4), "", O4)</f>
        <v>3</v>
      </c>
      <c r="E39">
        <f t="shared" ref="E39:E50" si="53">IF(ISBLANK(B4), "", Q4)</f>
        <v>0</v>
      </c>
      <c r="G39">
        <f t="shared" ref="G39:G50" si="54">IF(ISBLANK(B4), "", R4)</f>
        <v>0</v>
      </c>
      <c r="K39">
        <f t="shared" ref="K39:K50" si="55">IF(ISBLANK(B4), "", SUM(Q4 + R4))</f>
        <v>0</v>
      </c>
      <c r="M39">
        <f t="shared" ref="M39:M50" si="56">IF(ISBLANK(B4), "", SUM(K4+M4) - O4)</f>
        <v>0</v>
      </c>
      <c r="N39">
        <f t="shared" ref="N39:N50" si="57">IF(ISBLANK(B4), "", U4)</f>
        <v>23</v>
      </c>
      <c r="O39">
        <f t="shared" ref="O39:O50" si="58">COUNTIF(E4, "1")*COUNTIF(F4, "1")</f>
        <v>0</v>
      </c>
      <c r="Q39">
        <f t="shared" ref="Q39:Q50" si="59">COUNTIF(D4, "1")*COUNTIF(F4, "")</f>
        <v>1</v>
      </c>
      <c r="S39">
        <f t="shared" ref="S39:S50" si="60">COUNTIF(E4, "1")*COUNTIF(F4, "")</f>
        <v>0</v>
      </c>
      <c r="W39" t="str">
        <f t="shared" si="50"/>
        <v/>
      </c>
      <c r="Y39" t="str">
        <f t="shared" si="49"/>
        <v/>
      </c>
    </row>
    <row r="40" spans="1:34" x14ac:dyDescent="0.2">
      <c r="A40">
        <f t="shared" si="51"/>
        <v>0</v>
      </c>
      <c r="C40">
        <f t="shared" si="52"/>
        <v>4</v>
      </c>
      <c r="E40">
        <f t="shared" si="53"/>
        <v>0</v>
      </c>
      <c r="G40">
        <f t="shared" si="54"/>
        <v>0</v>
      </c>
      <c r="K40">
        <f t="shared" si="55"/>
        <v>0</v>
      </c>
      <c r="M40">
        <f t="shared" si="56"/>
        <v>0</v>
      </c>
      <c r="N40">
        <f t="shared" si="57"/>
        <v>0</v>
      </c>
      <c r="O40">
        <f t="shared" si="58"/>
        <v>1</v>
      </c>
      <c r="Q40">
        <f t="shared" si="59"/>
        <v>0</v>
      </c>
      <c r="S40">
        <f t="shared" si="60"/>
        <v>0</v>
      </c>
      <c r="W40" t="str">
        <f t="shared" si="50"/>
        <v/>
      </c>
      <c r="Y40" t="str">
        <f t="shared" si="49"/>
        <v/>
      </c>
    </row>
    <row r="41" spans="1:34" x14ac:dyDescent="0.2">
      <c r="A41">
        <f t="shared" si="51"/>
        <v>0</v>
      </c>
      <c r="C41">
        <f t="shared" si="52"/>
        <v>3</v>
      </c>
      <c r="E41">
        <f t="shared" si="53"/>
        <v>0</v>
      </c>
      <c r="G41">
        <f t="shared" si="54"/>
        <v>0</v>
      </c>
      <c r="K41">
        <f t="shared" si="55"/>
        <v>0</v>
      </c>
      <c r="M41">
        <f t="shared" si="56"/>
        <v>1</v>
      </c>
      <c r="N41">
        <f t="shared" si="57"/>
        <v>9</v>
      </c>
      <c r="O41">
        <f t="shared" si="58"/>
        <v>1</v>
      </c>
      <c r="Q41">
        <f t="shared" si="59"/>
        <v>0</v>
      </c>
      <c r="S41">
        <f t="shared" si="60"/>
        <v>0</v>
      </c>
      <c r="W41" t="str">
        <f t="shared" si="50"/>
        <v/>
      </c>
      <c r="Y41" t="str">
        <f t="shared" si="49"/>
        <v/>
      </c>
    </row>
    <row r="42" spans="1:34" x14ac:dyDescent="0.2">
      <c r="A42">
        <f t="shared" si="51"/>
        <v>0</v>
      </c>
      <c r="C42">
        <f t="shared" si="52"/>
        <v>2</v>
      </c>
      <c r="E42">
        <f t="shared" si="53"/>
        <v>0</v>
      </c>
      <c r="G42">
        <f t="shared" si="54"/>
        <v>0</v>
      </c>
      <c r="K42">
        <f t="shared" si="55"/>
        <v>0</v>
      </c>
      <c r="M42">
        <f t="shared" si="56"/>
        <v>0</v>
      </c>
      <c r="N42">
        <f t="shared" si="57"/>
        <v>1</v>
      </c>
      <c r="O42">
        <f t="shared" si="58"/>
        <v>0</v>
      </c>
      <c r="Q42">
        <f t="shared" si="59"/>
        <v>1</v>
      </c>
      <c r="S42">
        <f t="shared" si="60"/>
        <v>0</v>
      </c>
      <c r="W42" t="str">
        <f t="shared" si="50"/>
        <v/>
      </c>
      <c r="Y42" t="str">
        <f t="shared" si="49"/>
        <v/>
      </c>
    </row>
    <row r="43" spans="1:34" x14ac:dyDescent="0.2">
      <c r="A43">
        <f t="shared" si="51"/>
        <v>0</v>
      </c>
      <c r="C43">
        <f t="shared" si="52"/>
        <v>3</v>
      </c>
      <c r="E43">
        <f t="shared" si="53"/>
        <v>0</v>
      </c>
      <c r="G43">
        <f t="shared" si="54"/>
        <v>0</v>
      </c>
      <c r="K43">
        <f t="shared" si="55"/>
        <v>0</v>
      </c>
      <c r="M43">
        <f t="shared" si="56"/>
        <v>0</v>
      </c>
      <c r="N43">
        <f t="shared" si="57"/>
        <v>1</v>
      </c>
      <c r="O43">
        <f t="shared" si="58"/>
        <v>1</v>
      </c>
      <c r="Q43">
        <f t="shared" si="59"/>
        <v>0</v>
      </c>
      <c r="S43">
        <f t="shared" si="60"/>
        <v>0</v>
      </c>
    </row>
    <row r="44" spans="1:34" x14ac:dyDescent="0.2">
      <c r="A44">
        <f t="shared" si="51"/>
        <v>0</v>
      </c>
      <c r="C44">
        <f t="shared" si="52"/>
        <v>3</v>
      </c>
      <c r="E44">
        <f t="shared" si="53"/>
        <v>0</v>
      </c>
      <c r="G44">
        <f t="shared" si="54"/>
        <v>0</v>
      </c>
      <c r="K44">
        <f t="shared" si="55"/>
        <v>0</v>
      </c>
      <c r="M44">
        <f t="shared" si="56"/>
        <v>1</v>
      </c>
      <c r="N44">
        <f t="shared" si="57"/>
        <v>14</v>
      </c>
      <c r="O44">
        <f t="shared" si="58"/>
        <v>1</v>
      </c>
      <c r="Q44">
        <f t="shared" si="59"/>
        <v>0</v>
      </c>
      <c r="S44">
        <f t="shared" si="60"/>
        <v>0</v>
      </c>
    </row>
    <row r="45" spans="1:34" x14ac:dyDescent="0.2">
      <c r="A45">
        <f t="shared" si="51"/>
        <v>0</v>
      </c>
      <c r="C45">
        <f t="shared" si="52"/>
        <v>5</v>
      </c>
      <c r="E45">
        <f t="shared" si="53"/>
        <v>0</v>
      </c>
      <c r="G45">
        <f t="shared" si="54"/>
        <v>0</v>
      </c>
      <c r="K45">
        <f t="shared" si="55"/>
        <v>0</v>
      </c>
      <c r="M45">
        <f t="shared" si="56"/>
        <v>-1</v>
      </c>
      <c r="N45">
        <f t="shared" si="57"/>
        <v>0</v>
      </c>
      <c r="O45">
        <f t="shared" si="58"/>
        <v>0</v>
      </c>
      <c r="Q45">
        <f t="shared" si="59"/>
        <v>0</v>
      </c>
      <c r="S45">
        <f t="shared" si="60"/>
        <v>0</v>
      </c>
    </row>
    <row r="46" spans="1:34" x14ac:dyDescent="0.2">
      <c r="A46">
        <f t="shared" si="51"/>
        <v>0</v>
      </c>
      <c r="C46">
        <f t="shared" si="52"/>
        <v>3</v>
      </c>
      <c r="E46">
        <f t="shared" si="53"/>
        <v>0</v>
      </c>
      <c r="G46">
        <f t="shared" si="54"/>
        <v>0</v>
      </c>
      <c r="K46">
        <f t="shared" si="55"/>
        <v>0</v>
      </c>
      <c r="M46">
        <f t="shared" si="56"/>
        <v>1</v>
      </c>
      <c r="N46">
        <f t="shared" si="57"/>
        <v>4</v>
      </c>
      <c r="O46">
        <f t="shared" si="58"/>
        <v>0</v>
      </c>
      <c r="Q46">
        <f t="shared" si="59"/>
        <v>1</v>
      </c>
      <c r="S46">
        <f t="shared" si="60"/>
        <v>0</v>
      </c>
    </row>
    <row r="47" spans="1:34" x14ac:dyDescent="0.2">
      <c r="A47">
        <f t="shared" si="51"/>
        <v>0</v>
      </c>
      <c r="C47">
        <f t="shared" si="52"/>
        <v>0</v>
      </c>
      <c r="E47">
        <f t="shared" si="53"/>
        <v>0</v>
      </c>
      <c r="G47">
        <f t="shared" si="54"/>
        <v>0</v>
      </c>
      <c r="K47">
        <f t="shared" si="55"/>
        <v>0</v>
      </c>
      <c r="M47">
        <f t="shared" si="56"/>
        <v>0</v>
      </c>
      <c r="N47">
        <f t="shared" si="57"/>
        <v>0</v>
      </c>
      <c r="O47">
        <f t="shared" si="58"/>
        <v>0</v>
      </c>
      <c r="Q47">
        <f t="shared" si="59"/>
        <v>1</v>
      </c>
      <c r="S47">
        <f t="shared" si="60"/>
        <v>0</v>
      </c>
    </row>
    <row r="48" spans="1:34" x14ac:dyDescent="0.2">
      <c r="A48">
        <f t="shared" si="51"/>
        <v>0</v>
      </c>
      <c r="C48">
        <f t="shared" si="52"/>
        <v>3</v>
      </c>
      <c r="E48">
        <f t="shared" si="53"/>
        <v>0</v>
      </c>
      <c r="G48">
        <f t="shared" si="54"/>
        <v>0</v>
      </c>
      <c r="K48">
        <f t="shared" si="55"/>
        <v>0</v>
      </c>
      <c r="M48">
        <f t="shared" si="56"/>
        <v>1</v>
      </c>
      <c r="N48">
        <f t="shared" si="57"/>
        <v>1</v>
      </c>
      <c r="O48">
        <f t="shared" si="58"/>
        <v>1</v>
      </c>
      <c r="Q48">
        <f t="shared" si="59"/>
        <v>0</v>
      </c>
      <c r="S48">
        <f t="shared" si="60"/>
        <v>0</v>
      </c>
    </row>
    <row r="49" spans="1:19" x14ac:dyDescent="0.2">
      <c r="A49">
        <f t="shared" si="51"/>
        <v>0</v>
      </c>
      <c r="C49">
        <f t="shared" si="52"/>
        <v>3</v>
      </c>
      <c r="E49">
        <f t="shared" si="53"/>
        <v>0</v>
      </c>
      <c r="G49">
        <f t="shared" si="54"/>
        <v>0</v>
      </c>
      <c r="K49">
        <f t="shared" si="55"/>
        <v>0</v>
      </c>
      <c r="M49">
        <f t="shared" si="56"/>
        <v>0</v>
      </c>
      <c r="N49">
        <f t="shared" si="57"/>
        <v>1</v>
      </c>
      <c r="O49">
        <f t="shared" si="58"/>
        <v>1</v>
      </c>
      <c r="Q49">
        <f t="shared" si="59"/>
        <v>0</v>
      </c>
      <c r="S49">
        <f t="shared" si="60"/>
        <v>0</v>
      </c>
    </row>
    <row r="50" spans="1:19" x14ac:dyDescent="0.2">
      <c r="A50">
        <f t="shared" si="51"/>
        <v>0</v>
      </c>
      <c r="C50">
        <f t="shared" si="52"/>
        <v>2</v>
      </c>
      <c r="E50">
        <f t="shared" si="53"/>
        <v>0</v>
      </c>
      <c r="G50">
        <f t="shared" si="54"/>
        <v>0</v>
      </c>
      <c r="K50">
        <f t="shared" si="55"/>
        <v>0</v>
      </c>
      <c r="M50">
        <f t="shared" si="56"/>
        <v>0</v>
      </c>
      <c r="N50">
        <f t="shared" si="57"/>
        <v>0</v>
      </c>
      <c r="O50">
        <f t="shared" si="58"/>
        <v>0</v>
      </c>
      <c r="Q50">
        <f t="shared" si="59"/>
        <v>1</v>
      </c>
      <c r="S50">
        <f t="shared" si="60"/>
        <v>1</v>
      </c>
    </row>
  </sheetData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/>
  <dimension ref="A1:BN50"/>
  <sheetViews>
    <sheetView workbookViewId="0">
      <selection activeCell="F15" sqref="F15"/>
    </sheetView>
  </sheetViews>
  <sheetFormatPr baseColWidth="10" defaultColWidth="11.5" defaultRowHeight="15" x14ac:dyDescent="0.2"/>
  <sheetData>
    <row r="1" spans="1:66" x14ac:dyDescent="0.2">
      <c r="A1" s="1" t="s">
        <v>0</v>
      </c>
      <c r="D1" t="s">
        <v>3</v>
      </c>
      <c r="K1" t="s">
        <v>11</v>
      </c>
      <c r="N1" t="s">
        <v>12</v>
      </c>
      <c r="P1" t="s">
        <v>14</v>
      </c>
      <c r="Q1" t="s">
        <v>17</v>
      </c>
      <c r="S1" t="s">
        <v>18</v>
      </c>
      <c r="Z1" t="s">
        <v>29</v>
      </c>
      <c r="AE1" t="s">
        <v>30</v>
      </c>
      <c r="AK1" t="s">
        <v>42</v>
      </c>
    </row>
    <row r="2" spans="1:66" x14ac:dyDescent="0.2">
      <c r="A2" t="s">
        <v>1</v>
      </c>
      <c r="B2" t="s">
        <v>1</v>
      </c>
      <c r="C2" t="s">
        <v>87</v>
      </c>
      <c r="D2" t="s">
        <v>54</v>
      </c>
      <c r="E2" t="s">
        <v>13</v>
      </c>
      <c r="F2" t="s">
        <v>198</v>
      </c>
      <c r="G2" t="s">
        <v>7</v>
      </c>
      <c r="H2" t="s">
        <v>8</v>
      </c>
      <c r="I2" t="s">
        <v>179</v>
      </c>
      <c r="J2" t="s">
        <v>178</v>
      </c>
      <c r="K2" t="s">
        <v>9</v>
      </c>
      <c r="L2" t="s">
        <v>196</v>
      </c>
      <c r="M2" t="s">
        <v>10</v>
      </c>
      <c r="N2" t="s">
        <v>54</v>
      </c>
      <c r="O2" t="s">
        <v>13</v>
      </c>
      <c r="P2" t="s">
        <v>15</v>
      </c>
      <c r="Q2" t="s">
        <v>8</v>
      </c>
      <c r="R2" t="s">
        <v>7</v>
      </c>
      <c r="S2" t="s">
        <v>181</v>
      </c>
      <c r="T2" t="s">
        <v>182</v>
      </c>
      <c r="U2" t="s">
        <v>19</v>
      </c>
      <c r="V2" t="s">
        <v>191</v>
      </c>
      <c r="W2" t="s">
        <v>192</v>
      </c>
      <c r="X2" t="s">
        <v>175</v>
      </c>
      <c r="Y2" t="s">
        <v>173</v>
      </c>
      <c r="Z2" t="str">
        <f t="shared" ref="Z2:Z13" si="0">LEFT(I4, 1)</f>
        <v/>
      </c>
      <c r="AA2" t="str">
        <f t="shared" ref="AA2:AA13" si="1">MID(I4, 4, 1)</f>
        <v/>
      </c>
      <c r="AB2" t="str">
        <f t="shared" ref="AB2:AB13" si="2">MID(I4, 7, 1)</f>
        <v/>
      </c>
      <c r="AC2" t="str">
        <f t="shared" ref="AC2:AC13" si="3">MID(I4, 10, 1)</f>
        <v/>
      </c>
      <c r="AE2" t="str">
        <f t="shared" ref="AE2:AE13" si="4">LEFT(J4, 1)</f>
        <v/>
      </c>
      <c r="AF2" t="str">
        <f t="shared" ref="AF2:AF13" si="5">MID(J4, 4, 1)</f>
        <v/>
      </c>
      <c r="AG2" t="str">
        <f t="shared" ref="AG2:AG13" si="6">MID(J4, 7, 1)</f>
        <v/>
      </c>
      <c r="AH2" t="str">
        <f t="shared" ref="AH2:AH13" si="7">MID(J4, 10, 1)</f>
        <v/>
      </c>
      <c r="AI2" t="str">
        <f t="shared" ref="AI2:AI13" si="8">MID(J4, 13, 1)</f>
        <v/>
      </c>
      <c r="AK2" t="str">
        <f t="shared" ref="AK2:AK13" si="9">LEFT(P4, 2)</f>
        <v/>
      </c>
      <c r="AL2" t="str">
        <f>MID($P4, 5, 2)</f>
        <v/>
      </c>
      <c r="AM2" t="str">
        <f t="shared" ref="AM2:AM13" si="10">MID($P4, 9, 2)</f>
        <v/>
      </c>
      <c r="AN2" t="str">
        <f t="shared" ref="AN2:AN13" si="11">MID($P4, 13, 2)</f>
        <v/>
      </c>
      <c r="AO2" t="str">
        <f t="shared" ref="AO2:AO13" si="12">MID($P4, 17, 2)</f>
        <v/>
      </c>
      <c r="AP2" t="str">
        <f t="shared" ref="AP2:AP13" si="13">MID($P4, 21, 2)</f>
        <v/>
      </c>
      <c r="AQ2" t="str">
        <f t="shared" ref="AQ2:AQ13" si="14">MID($P4, 25, 2)</f>
        <v/>
      </c>
      <c r="AR2" t="str">
        <f t="shared" ref="AR2:AR13" si="15">MID($P4, 29, 2)</f>
        <v/>
      </c>
      <c r="AS2" t="str">
        <f t="shared" ref="AS2:AS13" si="16">MID($P4, 33, 2)</f>
        <v/>
      </c>
      <c r="AT2" t="str">
        <f t="shared" ref="AT2:AT13" si="17">MID($P4, 37, 2)</f>
        <v/>
      </c>
      <c r="AU2" t="str">
        <f t="shared" ref="AU2:AU13" si="18">MID($P4, 41, 2)</f>
        <v/>
      </c>
      <c r="AV2" t="str">
        <f t="shared" ref="AV2:AV13" si="19">MID($P4, 45, 2)</f>
        <v/>
      </c>
      <c r="AW2" t="str">
        <f t="shared" ref="AW2:AW13" si="20">MID($P4, 49, 2)</f>
        <v/>
      </c>
      <c r="AX2" t="str">
        <f t="shared" ref="AX2:AX13" si="21">MID($P4, 53, 2)</f>
        <v/>
      </c>
      <c r="AY2" t="str">
        <f t="shared" ref="AY2:AY13" si="22">MID($P4, 57, 2)</f>
        <v/>
      </c>
      <c r="AZ2" t="str">
        <f t="shared" ref="AZ2:AZ13" si="23">MID($P4, 61, 2)</f>
        <v/>
      </c>
      <c r="BA2" t="str">
        <f t="shared" ref="BA2:BA13" si="24">MID($P4, 65, 2)</f>
        <v/>
      </c>
      <c r="BB2" t="str">
        <f t="shared" ref="BB2:BB13" si="25">MID($P4, 69, 2)</f>
        <v/>
      </c>
      <c r="BC2" t="str">
        <f t="shared" ref="BC2:BC13" si="26">MID($P4, 73, 2)</f>
        <v/>
      </c>
      <c r="BD2" t="str">
        <f t="shared" ref="BD2:BD13" si="27">MID($P4, 77, 2)</f>
        <v/>
      </c>
      <c r="BE2" t="str">
        <f t="shared" ref="BE2:BE13" si="28">MID($P4, 81, 2)</f>
        <v/>
      </c>
      <c r="BF2" t="str">
        <f t="shared" ref="BF2:BF13" si="29">MID($P4, 85, 2)</f>
        <v/>
      </c>
      <c r="BG2" t="str">
        <f t="shared" ref="BG2:BG13" si="30">MID($P4, 89, 2)</f>
        <v/>
      </c>
      <c r="BH2" t="str">
        <f t="shared" ref="BH2:BH13" si="31">MID($P4, 93, 2)</f>
        <v/>
      </c>
    </row>
    <row r="3" spans="1:66" x14ac:dyDescent="0.2">
      <c r="A3" t="s">
        <v>2</v>
      </c>
      <c r="B3" t="s">
        <v>6</v>
      </c>
      <c r="C3" t="s">
        <v>88</v>
      </c>
      <c r="D3" t="s">
        <v>6</v>
      </c>
      <c r="E3" t="s">
        <v>6</v>
      </c>
      <c r="F3" t="s">
        <v>4</v>
      </c>
      <c r="G3" t="s">
        <v>6</v>
      </c>
      <c r="H3" t="s">
        <v>6</v>
      </c>
      <c r="I3" t="s">
        <v>86</v>
      </c>
      <c r="J3" t="s">
        <v>86</v>
      </c>
      <c r="K3" t="s">
        <v>6</v>
      </c>
      <c r="L3" t="s">
        <v>6</v>
      </c>
      <c r="M3" t="s">
        <v>6</v>
      </c>
      <c r="N3" t="s">
        <v>6</v>
      </c>
      <c r="O3" t="s">
        <v>6</v>
      </c>
      <c r="P3" t="s">
        <v>16</v>
      </c>
      <c r="Q3" t="s">
        <v>6</v>
      </c>
      <c r="R3" t="s">
        <v>6</v>
      </c>
      <c r="S3" t="s">
        <v>4</v>
      </c>
      <c r="T3" t="s">
        <v>4</v>
      </c>
      <c r="U3" t="s">
        <v>6</v>
      </c>
      <c r="V3" t="s">
        <v>6</v>
      </c>
      <c r="W3" t="s">
        <v>6</v>
      </c>
      <c r="X3" t="s">
        <v>6</v>
      </c>
      <c r="Y3" t="s">
        <v>174</v>
      </c>
      <c r="Z3" t="str">
        <f t="shared" si="0"/>
        <v/>
      </c>
      <c r="AA3" t="str">
        <f t="shared" si="1"/>
        <v/>
      </c>
      <c r="AB3" t="str">
        <f t="shared" si="2"/>
        <v/>
      </c>
      <c r="AC3" t="str">
        <f t="shared" si="3"/>
        <v/>
      </c>
      <c r="AE3" t="str">
        <f t="shared" si="4"/>
        <v/>
      </c>
      <c r="AF3" t="str">
        <f t="shared" si="5"/>
        <v/>
      </c>
      <c r="AG3" t="str">
        <f t="shared" si="6"/>
        <v/>
      </c>
      <c r="AH3" t="str">
        <f t="shared" si="7"/>
        <v/>
      </c>
      <c r="AI3" t="str">
        <f t="shared" si="8"/>
        <v/>
      </c>
      <c r="AK3" t="str">
        <f t="shared" si="9"/>
        <v/>
      </c>
      <c r="AL3" t="str">
        <f t="shared" ref="AL3:AL13" si="32">MID(P5, 5, 2)</f>
        <v/>
      </c>
      <c r="AM3" t="str">
        <f t="shared" si="10"/>
        <v/>
      </c>
      <c r="AN3" t="str">
        <f t="shared" si="11"/>
        <v/>
      </c>
      <c r="AO3" t="str">
        <f t="shared" si="12"/>
        <v/>
      </c>
      <c r="AP3" t="str">
        <f t="shared" si="13"/>
        <v/>
      </c>
      <c r="AQ3" t="str">
        <f t="shared" si="14"/>
        <v/>
      </c>
      <c r="AR3" t="str">
        <f t="shared" si="15"/>
        <v/>
      </c>
      <c r="AS3" t="str">
        <f t="shared" si="16"/>
        <v/>
      </c>
      <c r="AT3" t="str">
        <f t="shared" si="17"/>
        <v/>
      </c>
      <c r="AU3" t="str">
        <f t="shared" si="18"/>
        <v/>
      </c>
      <c r="AV3" t="str">
        <f t="shared" si="19"/>
        <v/>
      </c>
      <c r="AW3" t="str">
        <f t="shared" si="20"/>
        <v/>
      </c>
      <c r="AX3" t="str">
        <f t="shared" si="21"/>
        <v/>
      </c>
      <c r="AY3" t="str">
        <f t="shared" si="22"/>
        <v/>
      </c>
      <c r="AZ3" t="str">
        <f t="shared" si="23"/>
        <v/>
      </c>
      <c r="BA3" t="str">
        <f t="shared" si="24"/>
        <v/>
      </c>
      <c r="BB3" t="str">
        <f t="shared" si="25"/>
        <v/>
      </c>
      <c r="BC3" t="str">
        <f t="shared" si="26"/>
        <v/>
      </c>
      <c r="BD3" t="str">
        <f t="shared" si="27"/>
        <v/>
      </c>
      <c r="BE3" t="str">
        <f t="shared" si="28"/>
        <v/>
      </c>
      <c r="BF3" t="str">
        <f t="shared" si="29"/>
        <v/>
      </c>
      <c r="BG3" t="str">
        <f t="shared" si="30"/>
        <v/>
      </c>
      <c r="BH3" t="str">
        <f t="shared" si="31"/>
        <v/>
      </c>
    </row>
    <row r="4" spans="1:66" x14ac:dyDescent="0.2">
      <c r="A4">
        <v>1</v>
      </c>
      <c r="B4">
        <v>4</v>
      </c>
      <c r="C4" t="s">
        <v>207</v>
      </c>
      <c r="D4">
        <v>1</v>
      </c>
      <c r="E4">
        <v>1</v>
      </c>
      <c r="M4">
        <v>3</v>
      </c>
      <c r="N4">
        <v>3</v>
      </c>
      <c r="O4">
        <v>3</v>
      </c>
      <c r="S4">
        <v>1</v>
      </c>
      <c r="T4">
        <v>1</v>
      </c>
      <c r="X4">
        <f t="shared" ref="X4:X15" si="33">G4+H4+Q4+R4</f>
        <v>0</v>
      </c>
      <c r="Z4" t="str">
        <f t="shared" si="0"/>
        <v/>
      </c>
      <c r="AA4" t="str">
        <f t="shared" si="1"/>
        <v/>
      </c>
      <c r="AB4" t="str">
        <f t="shared" si="2"/>
        <v/>
      </c>
      <c r="AC4" t="str">
        <f t="shared" si="3"/>
        <v/>
      </c>
      <c r="AE4" t="str">
        <f t="shared" si="4"/>
        <v/>
      </c>
      <c r="AF4" t="str">
        <f t="shared" si="5"/>
        <v/>
      </c>
      <c r="AG4" t="str">
        <f t="shared" si="6"/>
        <v/>
      </c>
      <c r="AH4" t="str">
        <f t="shared" si="7"/>
        <v/>
      </c>
      <c r="AI4" t="str">
        <f t="shared" si="8"/>
        <v/>
      </c>
      <c r="AK4" t="str">
        <f t="shared" si="9"/>
        <v/>
      </c>
      <c r="AL4" t="str">
        <f t="shared" si="32"/>
        <v/>
      </c>
      <c r="AM4" t="str">
        <f t="shared" si="10"/>
        <v/>
      </c>
      <c r="AN4" t="str">
        <f t="shared" si="11"/>
        <v/>
      </c>
      <c r="AO4" t="str">
        <f t="shared" si="12"/>
        <v/>
      </c>
      <c r="AP4" t="str">
        <f t="shared" si="13"/>
        <v/>
      </c>
      <c r="AQ4" t="str">
        <f t="shared" si="14"/>
        <v/>
      </c>
      <c r="AR4" t="str">
        <f t="shared" si="15"/>
        <v/>
      </c>
      <c r="AS4" t="str">
        <f t="shared" si="16"/>
        <v/>
      </c>
      <c r="AT4" t="str">
        <f t="shared" si="17"/>
        <v/>
      </c>
      <c r="AU4" t="str">
        <f t="shared" si="18"/>
        <v/>
      </c>
      <c r="AV4" t="str">
        <f t="shared" si="19"/>
        <v/>
      </c>
      <c r="AW4" t="str">
        <f t="shared" si="20"/>
        <v/>
      </c>
      <c r="AX4" t="str">
        <f t="shared" si="21"/>
        <v/>
      </c>
      <c r="AY4" t="str">
        <f t="shared" si="22"/>
        <v/>
      </c>
      <c r="AZ4" t="str">
        <f t="shared" si="23"/>
        <v/>
      </c>
      <c r="BA4" t="str">
        <f t="shared" si="24"/>
        <v/>
      </c>
      <c r="BB4" t="str">
        <f t="shared" si="25"/>
        <v/>
      </c>
      <c r="BC4" t="str">
        <f t="shared" si="26"/>
        <v/>
      </c>
      <c r="BD4" t="str">
        <f t="shared" si="27"/>
        <v/>
      </c>
      <c r="BE4" t="str">
        <f t="shared" si="28"/>
        <v/>
      </c>
      <c r="BF4" t="str">
        <f t="shared" si="29"/>
        <v/>
      </c>
      <c r="BG4" t="str">
        <f t="shared" si="30"/>
        <v/>
      </c>
      <c r="BH4" t="str">
        <f t="shared" si="31"/>
        <v/>
      </c>
    </row>
    <row r="5" spans="1:66" x14ac:dyDescent="0.2">
      <c r="A5">
        <v>2</v>
      </c>
      <c r="B5">
        <v>20</v>
      </c>
      <c r="C5" t="s">
        <v>207</v>
      </c>
      <c r="D5">
        <v>1</v>
      </c>
      <c r="M5">
        <v>3</v>
      </c>
      <c r="N5">
        <v>5</v>
      </c>
      <c r="O5">
        <v>4</v>
      </c>
      <c r="S5">
        <v>1</v>
      </c>
      <c r="T5">
        <v>1</v>
      </c>
      <c r="U5">
        <v>6</v>
      </c>
      <c r="X5">
        <f t="shared" si="33"/>
        <v>0</v>
      </c>
      <c r="Z5" t="str">
        <f t="shared" si="0"/>
        <v/>
      </c>
      <c r="AA5" t="str">
        <f t="shared" si="1"/>
        <v/>
      </c>
      <c r="AB5" t="str">
        <f t="shared" si="2"/>
        <v/>
      </c>
      <c r="AC5" t="str">
        <f t="shared" si="3"/>
        <v/>
      </c>
      <c r="AE5" t="str">
        <f t="shared" si="4"/>
        <v/>
      </c>
      <c r="AF5" t="str">
        <f t="shared" si="5"/>
        <v/>
      </c>
      <c r="AG5" t="str">
        <f t="shared" si="6"/>
        <v/>
      </c>
      <c r="AH5" t="str">
        <f t="shared" si="7"/>
        <v/>
      </c>
      <c r="AI5" t="str">
        <f t="shared" si="8"/>
        <v/>
      </c>
      <c r="AK5" t="str">
        <f t="shared" si="9"/>
        <v/>
      </c>
      <c r="AL5" t="str">
        <f t="shared" si="32"/>
        <v/>
      </c>
      <c r="AM5" t="str">
        <f t="shared" si="10"/>
        <v/>
      </c>
      <c r="AN5" t="str">
        <f t="shared" si="11"/>
        <v/>
      </c>
      <c r="AO5" t="str">
        <f t="shared" si="12"/>
        <v/>
      </c>
      <c r="AP5" t="str">
        <f t="shared" si="13"/>
        <v/>
      </c>
      <c r="AQ5" t="str">
        <f t="shared" si="14"/>
        <v/>
      </c>
      <c r="AR5" t="str">
        <f t="shared" si="15"/>
        <v/>
      </c>
      <c r="AS5" t="str">
        <f t="shared" si="16"/>
        <v/>
      </c>
      <c r="AT5" t="str">
        <f t="shared" si="17"/>
        <v/>
      </c>
      <c r="AU5" t="str">
        <f t="shared" si="18"/>
        <v/>
      </c>
      <c r="AV5" t="str">
        <f t="shared" si="19"/>
        <v/>
      </c>
      <c r="AW5" t="str">
        <f t="shared" si="20"/>
        <v/>
      </c>
      <c r="AX5" t="str">
        <f t="shared" si="21"/>
        <v/>
      </c>
      <c r="AY5" t="str">
        <f t="shared" si="22"/>
        <v/>
      </c>
      <c r="AZ5" t="str">
        <f t="shared" si="23"/>
        <v/>
      </c>
      <c r="BA5" t="str">
        <f t="shared" si="24"/>
        <v/>
      </c>
      <c r="BB5" t="str">
        <f t="shared" si="25"/>
        <v/>
      </c>
      <c r="BC5" t="str">
        <f t="shared" si="26"/>
        <v/>
      </c>
      <c r="BD5" t="str">
        <f t="shared" si="27"/>
        <v/>
      </c>
      <c r="BE5" t="str">
        <f t="shared" si="28"/>
        <v/>
      </c>
      <c r="BF5" t="str">
        <f t="shared" si="29"/>
        <v/>
      </c>
      <c r="BG5" t="str">
        <f t="shared" si="30"/>
        <v/>
      </c>
      <c r="BH5" t="str">
        <f t="shared" si="31"/>
        <v/>
      </c>
    </row>
    <row r="6" spans="1:66" x14ac:dyDescent="0.2">
      <c r="A6">
        <v>3</v>
      </c>
      <c r="B6">
        <v>26</v>
      </c>
      <c r="C6" t="s">
        <v>39</v>
      </c>
      <c r="D6">
        <v>1</v>
      </c>
      <c r="E6">
        <v>1</v>
      </c>
      <c r="K6">
        <v>3</v>
      </c>
      <c r="N6">
        <v>3</v>
      </c>
      <c r="O6">
        <v>3</v>
      </c>
      <c r="S6">
        <v>1</v>
      </c>
      <c r="T6">
        <v>1</v>
      </c>
      <c r="X6">
        <f t="shared" si="33"/>
        <v>0</v>
      </c>
      <c r="Z6" t="str">
        <f t="shared" si="0"/>
        <v/>
      </c>
      <c r="AA6" t="str">
        <f t="shared" si="1"/>
        <v/>
      </c>
      <c r="AB6" t="str">
        <f t="shared" si="2"/>
        <v/>
      </c>
      <c r="AC6" t="str">
        <f t="shared" si="3"/>
        <v/>
      </c>
      <c r="AE6" t="str">
        <f t="shared" si="4"/>
        <v/>
      </c>
      <c r="AF6" t="str">
        <f t="shared" si="5"/>
        <v/>
      </c>
      <c r="AG6" t="str">
        <f t="shared" si="6"/>
        <v/>
      </c>
      <c r="AH6" t="str">
        <f t="shared" si="7"/>
        <v/>
      </c>
      <c r="AI6" t="str">
        <f t="shared" si="8"/>
        <v/>
      </c>
      <c r="AK6" t="str">
        <f t="shared" si="9"/>
        <v/>
      </c>
      <c r="AL6" t="str">
        <f t="shared" si="32"/>
        <v/>
      </c>
      <c r="AM6" t="str">
        <f t="shared" si="10"/>
        <v/>
      </c>
      <c r="AN6" t="str">
        <f t="shared" si="11"/>
        <v/>
      </c>
      <c r="AO6" t="str">
        <f t="shared" si="12"/>
        <v/>
      </c>
      <c r="AP6" t="str">
        <f t="shared" si="13"/>
        <v/>
      </c>
      <c r="AQ6" t="str">
        <f t="shared" si="14"/>
        <v/>
      </c>
      <c r="AR6" t="str">
        <f t="shared" si="15"/>
        <v/>
      </c>
      <c r="AS6" t="str">
        <f t="shared" si="16"/>
        <v/>
      </c>
      <c r="AT6" t="str">
        <f t="shared" si="17"/>
        <v/>
      </c>
      <c r="AU6" t="str">
        <f t="shared" si="18"/>
        <v/>
      </c>
      <c r="AV6" t="str">
        <f t="shared" si="19"/>
        <v/>
      </c>
      <c r="AW6" t="str">
        <f t="shared" si="20"/>
        <v/>
      </c>
      <c r="AX6" t="str">
        <f t="shared" si="21"/>
        <v/>
      </c>
      <c r="AY6" t="str">
        <f t="shared" si="22"/>
        <v/>
      </c>
      <c r="AZ6" t="str">
        <f t="shared" si="23"/>
        <v/>
      </c>
      <c r="BA6" t="str">
        <f t="shared" si="24"/>
        <v/>
      </c>
      <c r="BB6" t="str">
        <f t="shared" si="25"/>
        <v/>
      </c>
      <c r="BC6" t="str">
        <f t="shared" si="26"/>
        <v/>
      </c>
      <c r="BD6" t="str">
        <f t="shared" si="27"/>
        <v/>
      </c>
      <c r="BE6" t="str">
        <f t="shared" si="28"/>
        <v/>
      </c>
      <c r="BF6" t="str">
        <f t="shared" si="29"/>
        <v/>
      </c>
      <c r="BG6" t="str">
        <f t="shared" si="30"/>
        <v/>
      </c>
      <c r="BH6" t="str">
        <f t="shared" si="31"/>
        <v/>
      </c>
    </row>
    <row r="7" spans="1:66" x14ac:dyDescent="0.2">
      <c r="A7">
        <v>4</v>
      </c>
      <c r="B7">
        <v>31</v>
      </c>
      <c r="C7" t="s">
        <v>207</v>
      </c>
      <c r="D7">
        <v>1</v>
      </c>
      <c r="E7">
        <v>1</v>
      </c>
      <c r="M7">
        <v>3</v>
      </c>
      <c r="N7">
        <v>3</v>
      </c>
      <c r="O7">
        <v>3</v>
      </c>
      <c r="X7">
        <f t="shared" si="33"/>
        <v>0</v>
      </c>
      <c r="Z7" t="str">
        <f t="shared" si="0"/>
        <v/>
      </c>
      <c r="AA7" t="str">
        <f t="shared" si="1"/>
        <v/>
      </c>
      <c r="AB7" t="str">
        <f t="shared" si="2"/>
        <v/>
      </c>
      <c r="AC7" t="str">
        <f t="shared" si="3"/>
        <v/>
      </c>
      <c r="AE7" t="str">
        <f t="shared" si="4"/>
        <v/>
      </c>
      <c r="AF7" t="str">
        <f t="shared" si="5"/>
        <v/>
      </c>
      <c r="AG7" t="str">
        <f t="shared" si="6"/>
        <v/>
      </c>
      <c r="AH7" t="str">
        <f t="shared" si="7"/>
        <v/>
      </c>
      <c r="AI7" t="str">
        <f t="shared" si="8"/>
        <v/>
      </c>
      <c r="AK7" t="str">
        <f t="shared" si="9"/>
        <v/>
      </c>
      <c r="AL7" t="str">
        <f t="shared" si="32"/>
        <v/>
      </c>
      <c r="AM7" t="str">
        <f t="shared" si="10"/>
        <v/>
      </c>
      <c r="AN7" t="str">
        <f t="shared" si="11"/>
        <v/>
      </c>
      <c r="AO7" t="str">
        <f t="shared" si="12"/>
        <v/>
      </c>
      <c r="AP7" t="str">
        <f t="shared" si="13"/>
        <v/>
      </c>
      <c r="AQ7" t="str">
        <f t="shared" si="14"/>
        <v/>
      </c>
      <c r="AR7" t="str">
        <f t="shared" si="15"/>
        <v/>
      </c>
      <c r="AS7" t="str">
        <f t="shared" si="16"/>
        <v/>
      </c>
      <c r="AT7" t="str">
        <f t="shared" si="17"/>
        <v/>
      </c>
      <c r="AU7" t="str">
        <f t="shared" si="18"/>
        <v/>
      </c>
      <c r="AV7" t="str">
        <f t="shared" si="19"/>
        <v/>
      </c>
      <c r="AW7" t="str">
        <f t="shared" si="20"/>
        <v/>
      </c>
      <c r="AX7" t="str">
        <f t="shared" si="21"/>
        <v/>
      </c>
      <c r="AY7" t="str">
        <f t="shared" si="22"/>
        <v/>
      </c>
      <c r="AZ7" t="str">
        <f t="shared" si="23"/>
        <v/>
      </c>
      <c r="BA7" t="str">
        <f t="shared" si="24"/>
        <v/>
      </c>
      <c r="BB7" t="str">
        <f t="shared" si="25"/>
        <v/>
      </c>
      <c r="BC7" t="str">
        <f t="shared" si="26"/>
        <v/>
      </c>
      <c r="BD7" t="str">
        <f t="shared" si="27"/>
        <v/>
      </c>
      <c r="BE7" t="str">
        <f t="shared" si="28"/>
        <v/>
      </c>
      <c r="BF7" t="str">
        <f t="shared" si="29"/>
        <v/>
      </c>
      <c r="BG7" t="str">
        <f t="shared" si="30"/>
        <v/>
      </c>
      <c r="BH7" t="str">
        <f t="shared" si="31"/>
        <v/>
      </c>
    </row>
    <row r="8" spans="1:66" x14ac:dyDescent="0.2">
      <c r="A8">
        <v>5</v>
      </c>
      <c r="B8">
        <v>44</v>
      </c>
      <c r="C8" t="s">
        <v>39</v>
      </c>
      <c r="D8">
        <v>1</v>
      </c>
      <c r="F8">
        <v>1</v>
      </c>
      <c r="K8">
        <v>3</v>
      </c>
      <c r="M8">
        <v>1</v>
      </c>
      <c r="N8">
        <v>4</v>
      </c>
      <c r="O8">
        <v>4</v>
      </c>
      <c r="S8">
        <v>1</v>
      </c>
      <c r="T8">
        <v>1</v>
      </c>
      <c r="X8">
        <f t="shared" si="33"/>
        <v>0</v>
      </c>
      <c r="Z8" t="str">
        <f t="shared" si="0"/>
        <v/>
      </c>
      <c r="AA8" t="str">
        <f t="shared" si="1"/>
        <v/>
      </c>
      <c r="AB8" t="str">
        <f t="shared" si="2"/>
        <v/>
      </c>
      <c r="AC8" t="str">
        <f t="shared" si="3"/>
        <v/>
      </c>
      <c r="AE8" t="str">
        <f t="shared" si="4"/>
        <v/>
      </c>
      <c r="AF8" t="str">
        <f t="shared" si="5"/>
        <v/>
      </c>
      <c r="AG8" t="str">
        <f t="shared" si="6"/>
        <v/>
      </c>
      <c r="AH8" t="str">
        <f t="shared" si="7"/>
        <v/>
      </c>
      <c r="AI8" t="str">
        <f t="shared" si="8"/>
        <v/>
      </c>
      <c r="AK8" t="str">
        <f t="shared" si="9"/>
        <v/>
      </c>
      <c r="AL8" t="str">
        <f t="shared" si="32"/>
        <v/>
      </c>
      <c r="AM8" t="str">
        <f t="shared" si="10"/>
        <v/>
      </c>
      <c r="AN8" t="str">
        <f t="shared" si="11"/>
        <v/>
      </c>
      <c r="AO8" t="str">
        <f t="shared" si="12"/>
        <v/>
      </c>
      <c r="AP8" t="str">
        <f t="shared" si="13"/>
        <v/>
      </c>
      <c r="AQ8" t="str">
        <f t="shared" si="14"/>
        <v/>
      </c>
      <c r="AR8" t="str">
        <f t="shared" si="15"/>
        <v/>
      </c>
      <c r="AS8" t="str">
        <f t="shared" si="16"/>
        <v/>
      </c>
      <c r="AT8" t="str">
        <f t="shared" si="17"/>
        <v/>
      </c>
      <c r="AU8" t="str">
        <f t="shared" si="18"/>
        <v/>
      </c>
      <c r="AV8" t="str">
        <f t="shared" si="19"/>
        <v/>
      </c>
      <c r="AW8" t="str">
        <f t="shared" si="20"/>
        <v/>
      </c>
      <c r="AX8" t="str">
        <f t="shared" si="21"/>
        <v/>
      </c>
      <c r="AY8" t="str">
        <f t="shared" si="22"/>
        <v/>
      </c>
      <c r="AZ8" t="str">
        <f t="shared" si="23"/>
        <v/>
      </c>
      <c r="BA8" t="str">
        <f t="shared" si="24"/>
        <v/>
      </c>
      <c r="BB8" t="str">
        <f t="shared" si="25"/>
        <v/>
      </c>
      <c r="BC8" t="str">
        <f t="shared" si="26"/>
        <v/>
      </c>
      <c r="BD8" t="str">
        <f t="shared" si="27"/>
        <v/>
      </c>
      <c r="BE8" t="str">
        <f t="shared" si="28"/>
        <v/>
      </c>
      <c r="BF8" t="str">
        <f t="shared" si="29"/>
        <v/>
      </c>
      <c r="BG8" t="str">
        <f t="shared" si="30"/>
        <v/>
      </c>
      <c r="BH8" t="str">
        <f t="shared" si="31"/>
        <v/>
      </c>
    </row>
    <row r="9" spans="1:66" x14ac:dyDescent="0.2">
      <c r="A9">
        <v>6</v>
      </c>
      <c r="B9">
        <v>54</v>
      </c>
      <c r="C9" t="s">
        <v>39</v>
      </c>
      <c r="D9">
        <v>1</v>
      </c>
      <c r="E9">
        <v>1</v>
      </c>
      <c r="K9">
        <v>1</v>
      </c>
      <c r="M9">
        <v>5</v>
      </c>
      <c r="N9">
        <v>6</v>
      </c>
      <c r="O9">
        <v>6</v>
      </c>
      <c r="S9">
        <v>1</v>
      </c>
      <c r="T9">
        <v>1</v>
      </c>
      <c r="X9">
        <f t="shared" si="33"/>
        <v>0</v>
      </c>
      <c r="Z9" t="str">
        <f t="shared" si="0"/>
        <v/>
      </c>
      <c r="AA9" t="str">
        <f t="shared" si="1"/>
        <v/>
      </c>
      <c r="AB9" t="str">
        <f t="shared" si="2"/>
        <v/>
      </c>
      <c r="AC9" t="str">
        <f t="shared" si="3"/>
        <v/>
      </c>
      <c r="AE9" t="str">
        <f t="shared" si="4"/>
        <v/>
      </c>
      <c r="AF9" t="str">
        <f t="shared" si="5"/>
        <v/>
      </c>
      <c r="AG9" t="str">
        <f t="shared" si="6"/>
        <v/>
      </c>
      <c r="AH9" t="str">
        <f t="shared" si="7"/>
        <v/>
      </c>
      <c r="AI9" t="str">
        <f t="shared" si="8"/>
        <v/>
      </c>
      <c r="AK9" t="str">
        <f t="shared" si="9"/>
        <v/>
      </c>
      <c r="AL9" t="str">
        <f t="shared" si="32"/>
        <v/>
      </c>
      <c r="AM9" t="str">
        <f t="shared" si="10"/>
        <v/>
      </c>
      <c r="AN9" t="str">
        <f t="shared" si="11"/>
        <v/>
      </c>
      <c r="AO9" t="str">
        <f t="shared" si="12"/>
        <v/>
      </c>
      <c r="AP9" t="str">
        <f t="shared" si="13"/>
        <v/>
      </c>
      <c r="AQ9" t="str">
        <f t="shared" si="14"/>
        <v/>
      </c>
      <c r="AR9" t="str">
        <f t="shared" si="15"/>
        <v/>
      </c>
      <c r="AS9" t="str">
        <f t="shared" si="16"/>
        <v/>
      </c>
      <c r="AT9" t="str">
        <f t="shared" si="17"/>
        <v/>
      </c>
      <c r="AU9" t="str">
        <f t="shared" si="18"/>
        <v/>
      </c>
      <c r="AV9" t="str">
        <f t="shared" si="19"/>
        <v/>
      </c>
      <c r="AW9" t="str">
        <f t="shared" si="20"/>
        <v/>
      </c>
      <c r="AX9" t="str">
        <f t="shared" si="21"/>
        <v/>
      </c>
      <c r="AY9" t="str">
        <f t="shared" si="22"/>
        <v/>
      </c>
      <c r="AZ9" t="str">
        <f t="shared" si="23"/>
        <v/>
      </c>
      <c r="BA9" t="str">
        <f t="shared" si="24"/>
        <v/>
      </c>
      <c r="BB9" t="str">
        <f t="shared" si="25"/>
        <v/>
      </c>
      <c r="BC9" t="str">
        <f t="shared" si="26"/>
        <v/>
      </c>
      <c r="BD9" t="str">
        <f t="shared" si="27"/>
        <v/>
      </c>
      <c r="BE9" t="str">
        <f t="shared" si="28"/>
        <v/>
      </c>
      <c r="BF9" t="str">
        <f t="shared" si="29"/>
        <v/>
      </c>
      <c r="BG9" t="str">
        <f t="shared" si="30"/>
        <v/>
      </c>
      <c r="BH9" t="str">
        <f t="shared" si="31"/>
        <v/>
      </c>
    </row>
    <row r="10" spans="1:66" x14ac:dyDescent="0.2">
      <c r="A10">
        <v>7</v>
      </c>
      <c r="B10">
        <v>69</v>
      </c>
      <c r="C10" t="s">
        <v>207</v>
      </c>
      <c r="D10">
        <v>1</v>
      </c>
      <c r="K10">
        <v>2</v>
      </c>
      <c r="M10">
        <v>3</v>
      </c>
      <c r="N10">
        <v>5</v>
      </c>
      <c r="O10">
        <v>5</v>
      </c>
      <c r="S10">
        <v>1</v>
      </c>
      <c r="T10">
        <v>1</v>
      </c>
      <c r="X10">
        <f t="shared" si="33"/>
        <v>0</v>
      </c>
      <c r="Z10" t="str">
        <f t="shared" si="0"/>
        <v/>
      </c>
      <c r="AA10" t="str">
        <f t="shared" si="1"/>
        <v/>
      </c>
      <c r="AB10" t="str">
        <f t="shared" si="2"/>
        <v/>
      </c>
      <c r="AC10" t="str">
        <f t="shared" si="3"/>
        <v/>
      </c>
      <c r="AE10" t="str">
        <f t="shared" si="4"/>
        <v>2</v>
      </c>
      <c r="AF10" t="str">
        <f t="shared" si="5"/>
        <v/>
      </c>
      <c r="AG10" t="str">
        <f t="shared" si="6"/>
        <v/>
      </c>
      <c r="AH10" t="str">
        <f t="shared" si="7"/>
        <v/>
      </c>
      <c r="AI10" t="str">
        <f t="shared" si="8"/>
        <v/>
      </c>
      <c r="AK10" t="str">
        <f t="shared" si="9"/>
        <v/>
      </c>
      <c r="AL10" t="str">
        <f t="shared" si="32"/>
        <v/>
      </c>
      <c r="AM10" t="str">
        <f t="shared" si="10"/>
        <v/>
      </c>
      <c r="AN10" t="str">
        <f t="shared" si="11"/>
        <v/>
      </c>
      <c r="AO10" t="str">
        <f t="shared" si="12"/>
        <v/>
      </c>
      <c r="AP10" t="str">
        <f t="shared" si="13"/>
        <v/>
      </c>
      <c r="AQ10" t="str">
        <f t="shared" si="14"/>
        <v/>
      </c>
      <c r="AR10" t="str">
        <f t="shared" si="15"/>
        <v/>
      </c>
      <c r="AS10" t="str">
        <f t="shared" si="16"/>
        <v/>
      </c>
      <c r="AT10" t="str">
        <f t="shared" si="17"/>
        <v/>
      </c>
      <c r="AU10" t="str">
        <f t="shared" si="18"/>
        <v/>
      </c>
      <c r="AV10" t="str">
        <f t="shared" si="19"/>
        <v/>
      </c>
      <c r="AW10" t="str">
        <f t="shared" si="20"/>
        <v/>
      </c>
      <c r="AX10" t="str">
        <f t="shared" si="21"/>
        <v/>
      </c>
      <c r="AY10" t="str">
        <f t="shared" si="22"/>
        <v/>
      </c>
      <c r="AZ10" t="str">
        <f t="shared" si="23"/>
        <v/>
      </c>
      <c r="BA10" t="str">
        <f t="shared" si="24"/>
        <v/>
      </c>
      <c r="BB10" t="str">
        <f t="shared" si="25"/>
        <v/>
      </c>
      <c r="BC10" t="str">
        <f t="shared" si="26"/>
        <v/>
      </c>
      <c r="BD10" t="str">
        <f t="shared" si="27"/>
        <v/>
      </c>
      <c r="BE10" t="str">
        <f t="shared" si="28"/>
        <v/>
      </c>
      <c r="BF10" t="str">
        <f t="shared" si="29"/>
        <v/>
      </c>
      <c r="BG10" t="str">
        <f t="shared" si="30"/>
        <v/>
      </c>
      <c r="BH10" t="str">
        <f t="shared" si="31"/>
        <v/>
      </c>
    </row>
    <row r="11" spans="1:66" x14ac:dyDescent="0.2">
      <c r="A11">
        <v>8</v>
      </c>
      <c r="B11">
        <v>76</v>
      </c>
      <c r="C11" t="s">
        <v>207</v>
      </c>
      <c r="D11">
        <v>1</v>
      </c>
      <c r="E11">
        <v>1</v>
      </c>
      <c r="K11">
        <v>2</v>
      </c>
      <c r="N11">
        <v>2</v>
      </c>
      <c r="O11">
        <v>2</v>
      </c>
      <c r="S11">
        <v>1</v>
      </c>
      <c r="T11">
        <v>1</v>
      </c>
      <c r="U11">
        <v>49</v>
      </c>
      <c r="X11">
        <f t="shared" si="33"/>
        <v>0</v>
      </c>
      <c r="Z11" t="str">
        <f t="shared" si="0"/>
        <v/>
      </c>
      <c r="AA11" t="str">
        <f t="shared" si="1"/>
        <v/>
      </c>
      <c r="AB11" t="str">
        <f t="shared" si="2"/>
        <v/>
      </c>
      <c r="AC11" t="str">
        <f t="shared" si="3"/>
        <v/>
      </c>
      <c r="AE11" t="str">
        <f t="shared" si="4"/>
        <v/>
      </c>
      <c r="AF11" t="str">
        <f t="shared" si="5"/>
        <v/>
      </c>
      <c r="AG11" t="str">
        <f t="shared" si="6"/>
        <v/>
      </c>
      <c r="AH11" t="str">
        <f t="shared" si="7"/>
        <v/>
      </c>
      <c r="AI11" t="str">
        <f t="shared" si="8"/>
        <v/>
      </c>
      <c r="AK11" t="str">
        <f t="shared" si="9"/>
        <v/>
      </c>
      <c r="AL11" t="str">
        <f t="shared" si="32"/>
        <v/>
      </c>
      <c r="AM11" t="str">
        <f t="shared" si="10"/>
        <v/>
      </c>
      <c r="AN11" t="str">
        <f t="shared" si="11"/>
        <v/>
      </c>
      <c r="AO11" t="str">
        <f t="shared" si="12"/>
        <v/>
      </c>
      <c r="AP11" t="str">
        <f t="shared" si="13"/>
        <v/>
      </c>
      <c r="AQ11" t="str">
        <f t="shared" si="14"/>
        <v/>
      </c>
      <c r="AR11" t="str">
        <f t="shared" si="15"/>
        <v/>
      </c>
      <c r="AS11" t="str">
        <f t="shared" si="16"/>
        <v/>
      </c>
      <c r="AT11" t="str">
        <f t="shared" si="17"/>
        <v/>
      </c>
      <c r="AU11" t="str">
        <f t="shared" si="18"/>
        <v/>
      </c>
      <c r="AV11" t="str">
        <f t="shared" si="19"/>
        <v/>
      </c>
      <c r="AW11" t="str">
        <f t="shared" si="20"/>
        <v/>
      </c>
      <c r="AX11" t="str">
        <f t="shared" si="21"/>
        <v/>
      </c>
      <c r="AY11" t="str">
        <f t="shared" si="22"/>
        <v/>
      </c>
      <c r="AZ11" t="str">
        <f t="shared" si="23"/>
        <v/>
      </c>
      <c r="BA11" t="str">
        <f t="shared" si="24"/>
        <v/>
      </c>
      <c r="BB11" t="str">
        <f t="shared" si="25"/>
        <v/>
      </c>
      <c r="BC11" t="str">
        <f t="shared" si="26"/>
        <v/>
      </c>
      <c r="BD11" t="str">
        <f t="shared" si="27"/>
        <v/>
      </c>
      <c r="BE11" t="str">
        <f t="shared" si="28"/>
        <v/>
      </c>
      <c r="BF11" t="str">
        <f t="shared" si="29"/>
        <v/>
      </c>
      <c r="BG11" t="str">
        <f t="shared" si="30"/>
        <v/>
      </c>
      <c r="BH11" t="str">
        <f t="shared" si="31"/>
        <v/>
      </c>
    </row>
    <row r="12" spans="1:66" x14ac:dyDescent="0.2">
      <c r="A12">
        <v>9</v>
      </c>
      <c r="B12">
        <v>81</v>
      </c>
      <c r="C12" t="s">
        <v>39</v>
      </c>
      <c r="D12">
        <v>1</v>
      </c>
      <c r="J12">
        <v>2</v>
      </c>
      <c r="K12">
        <v>3</v>
      </c>
      <c r="N12">
        <v>4</v>
      </c>
      <c r="O12">
        <v>4</v>
      </c>
      <c r="S12">
        <v>1</v>
      </c>
      <c r="T12">
        <v>1</v>
      </c>
      <c r="X12">
        <f t="shared" si="33"/>
        <v>0</v>
      </c>
      <c r="Z12" t="str">
        <f t="shared" si="0"/>
        <v/>
      </c>
      <c r="AA12" t="str">
        <f t="shared" si="1"/>
        <v/>
      </c>
      <c r="AB12" t="str">
        <f t="shared" si="2"/>
        <v/>
      </c>
      <c r="AC12" t="str">
        <f t="shared" si="3"/>
        <v/>
      </c>
      <c r="AE12" t="str">
        <f t="shared" si="4"/>
        <v/>
      </c>
      <c r="AF12" t="str">
        <f t="shared" si="5"/>
        <v/>
      </c>
      <c r="AG12" t="str">
        <f t="shared" si="6"/>
        <v/>
      </c>
      <c r="AH12" t="str">
        <f t="shared" si="7"/>
        <v/>
      </c>
      <c r="AI12" t="str">
        <f t="shared" si="8"/>
        <v/>
      </c>
      <c r="AK12" t="str">
        <f t="shared" si="9"/>
        <v/>
      </c>
      <c r="AL12" t="str">
        <f t="shared" si="32"/>
        <v/>
      </c>
      <c r="AM12" t="str">
        <f t="shared" si="10"/>
        <v/>
      </c>
      <c r="AN12" t="str">
        <f t="shared" si="11"/>
        <v/>
      </c>
      <c r="AO12" t="str">
        <f t="shared" si="12"/>
        <v/>
      </c>
      <c r="AP12" t="str">
        <f t="shared" si="13"/>
        <v/>
      </c>
      <c r="AQ12" t="str">
        <f t="shared" si="14"/>
        <v/>
      </c>
      <c r="AR12" t="str">
        <f t="shared" si="15"/>
        <v/>
      </c>
      <c r="AS12" t="str">
        <f t="shared" si="16"/>
        <v/>
      </c>
      <c r="AT12" t="str">
        <f t="shared" si="17"/>
        <v/>
      </c>
      <c r="AU12" t="str">
        <f t="shared" si="18"/>
        <v/>
      </c>
      <c r="AV12" t="str">
        <f t="shared" si="19"/>
        <v/>
      </c>
      <c r="AW12" t="str">
        <f t="shared" si="20"/>
        <v/>
      </c>
      <c r="AX12" t="str">
        <f t="shared" si="21"/>
        <v/>
      </c>
      <c r="AY12" t="str">
        <f t="shared" si="22"/>
        <v/>
      </c>
      <c r="AZ12" t="str">
        <f t="shared" si="23"/>
        <v/>
      </c>
      <c r="BA12" t="str">
        <f t="shared" si="24"/>
        <v/>
      </c>
      <c r="BB12" t="str">
        <f t="shared" si="25"/>
        <v/>
      </c>
      <c r="BC12" t="str">
        <f t="shared" si="26"/>
        <v/>
      </c>
      <c r="BD12" t="str">
        <f t="shared" si="27"/>
        <v/>
      </c>
      <c r="BE12" t="str">
        <f t="shared" si="28"/>
        <v/>
      </c>
      <c r="BF12" t="str">
        <f t="shared" si="29"/>
        <v/>
      </c>
      <c r="BG12" t="str">
        <f t="shared" si="30"/>
        <v/>
      </c>
      <c r="BH12" t="str">
        <f t="shared" si="31"/>
        <v/>
      </c>
    </row>
    <row r="13" spans="1:66" x14ac:dyDescent="0.2">
      <c r="A13">
        <v>10</v>
      </c>
      <c r="B13">
        <v>97</v>
      </c>
      <c r="C13" t="s">
        <v>39</v>
      </c>
      <c r="D13">
        <v>1</v>
      </c>
      <c r="E13">
        <v>1</v>
      </c>
      <c r="K13">
        <v>4</v>
      </c>
      <c r="N13">
        <v>4</v>
      </c>
      <c r="O13">
        <v>4</v>
      </c>
      <c r="S13">
        <v>1</v>
      </c>
      <c r="T13">
        <v>1</v>
      </c>
      <c r="X13">
        <f t="shared" si="33"/>
        <v>0</v>
      </c>
      <c r="Z13" t="str">
        <f t="shared" si="0"/>
        <v/>
      </c>
      <c r="AA13" t="str">
        <f t="shared" si="1"/>
        <v/>
      </c>
      <c r="AB13" t="str">
        <f t="shared" si="2"/>
        <v/>
      </c>
      <c r="AC13" t="str">
        <f t="shared" si="3"/>
        <v/>
      </c>
      <c r="AE13" t="str">
        <f t="shared" si="4"/>
        <v/>
      </c>
      <c r="AF13" t="str">
        <f t="shared" si="5"/>
        <v/>
      </c>
      <c r="AG13" t="str">
        <f t="shared" si="6"/>
        <v/>
      </c>
      <c r="AH13" t="str">
        <f t="shared" si="7"/>
        <v/>
      </c>
      <c r="AI13" t="str">
        <f t="shared" si="8"/>
        <v/>
      </c>
      <c r="AK13" t="str">
        <f t="shared" si="9"/>
        <v/>
      </c>
      <c r="AL13" t="str">
        <f t="shared" si="32"/>
        <v/>
      </c>
      <c r="AM13" t="str">
        <f t="shared" si="10"/>
        <v/>
      </c>
      <c r="AN13" t="str">
        <f t="shared" si="11"/>
        <v/>
      </c>
      <c r="AO13" t="str">
        <f t="shared" si="12"/>
        <v/>
      </c>
      <c r="AP13" t="str">
        <f t="shared" si="13"/>
        <v/>
      </c>
      <c r="AQ13" t="str">
        <f t="shared" si="14"/>
        <v/>
      </c>
      <c r="AR13" t="str">
        <f t="shared" si="15"/>
        <v/>
      </c>
      <c r="AS13" t="str">
        <f t="shared" si="16"/>
        <v/>
      </c>
      <c r="AT13" t="str">
        <f t="shared" si="17"/>
        <v/>
      </c>
      <c r="AU13" t="str">
        <f t="shared" si="18"/>
        <v/>
      </c>
      <c r="AV13" t="str">
        <f t="shared" si="19"/>
        <v/>
      </c>
      <c r="AW13" t="str">
        <f t="shared" si="20"/>
        <v/>
      </c>
      <c r="AX13" t="str">
        <f t="shared" si="21"/>
        <v/>
      </c>
      <c r="AY13" t="str">
        <f t="shared" si="22"/>
        <v/>
      </c>
      <c r="AZ13" t="str">
        <f t="shared" si="23"/>
        <v/>
      </c>
      <c r="BA13" t="str">
        <f t="shared" si="24"/>
        <v/>
      </c>
      <c r="BB13" t="str">
        <f t="shared" si="25"/>
        <v/>
      </c>
      <c r="BC13" t="str">
        <f t="shared" si="26"/>
        <v/>
      </c>
      <c r="BD13" t="str">
        <f t="shared" si="27"/>
        <v/>
      </c>
      <c r="BE13" t="str">
        <f t="shared" si="28"/>
        <v/>
      </c>
      <c r="BF13" t="str">
        <f t="shared" si="29"/>
        <v/>
      </c>
      <c r="BG13" t="str">
        <f t="shared" si="30"/>
        <v/>
      </c>
      <c r="BH13" t="str">
        <f t="shared" si="31"/>
        <v/>
      </c>
    </row>
    <row r="14" spans="1:66" x14ac:dyDescent="0.2">
      <c r="A14">
        <v>11</v>
      </c>
      <c r="B14">
        <v>109</v>
      </c>
      <c r="C14" t="s">
        <v>207</v>
      </c>
      <c r="D14">
        <v>1</v>
      </c>
      <c r="M14">
        <v>7</v>
      </c>
      <c r="N14">
        <v>6</v>
      </c>
      <c r="O14">
        <v>6</v>
      </c>
      <c r="S14">
        <v>1</v>
      </c>
      <c r="T14">
        <v>1</v>
      </c>
      <c r="U14">
        <v>3</v>
      </c>
      <c r="X14">
        <f t="shared" si="33"/>
        <v>0</v>
      </c>
      <c r="Z14" t="s">
        <v>31</v>
      </c>
      <c r="AE14" t="s">
        <v>34</v>
      </c>
      <c r="AK14" t="s">
        <v>43</v>
      </c>
      <c r="AP14" t="s">
        <v>84</v>
      </c>
    </row>
    <row r="15" spans="1:66" x14ac:dyDescent="0.2">
      <c r="A15">
        <v>12</v>
      </c>
      <c r="B15">
        <v>114</v>
      </c>
      <c r="C15" t="s">
        <v>39</v>
      </c>
      <c r="D15">
        <v>1</v>
      </c>
      <c r="K15">
        <v>2</v>
      </c>
      <c r="M15">
        <v>1</v>
      </c>
      <c r="N15">
        <v>2</v>
      </c>
      <c r="O15">
        <v>2</v>
      </c>
      <c r="S15">
        <v>1</v>
      </c>
      <c r="T15">
        <v>1</v>
      </c>
      <c r="X15">
        <f t="shared" si="33"/>
        <v>0</v>
      </c>
      <c r="Z15" t="s">
        <v>21</v>
      </c>
      <c r="AA15" t="s">
        <v>22</v>
      </c>
      <c r="AE15" t="s">
        <v>21</v>
      </c>
      <c r="AF15" t="s">
        <v>22</v>
      </c>
      <c r="AG15" t="s">
        <v>35</v>
      </c>
      <c r="AK15" t="s">
        <v>10</v>
      </c>
      <c r="AL15" t="s">
        <v>25</v>
      </c>
      <c r="AM15" t="s">
        <v>26</v>
      </c>
      <c r="AN15" t="s">
        <v>27</v>
      </c>
      <c r="AP15" t="s">
        <v>15</v>
      </c>
      <c r="AQ15" t="s">
        <v>85</v>
      </c>
    </row>
    <row r="16" spans="1:66" x14ac:dyDescent="0.2">
      <c r="A16" t="s">
        <v>28</v>
      </c>
      <c r="D16">
        <f>SUM(D4:D15)</f>
        <v>12</v>
      </c>
      <c r="E16">
        <f>SUM(E4:E15)</f>
        <v>6</v>
      </c>
      <c r="F16">
        <f>SUM(F4:F15)</f>
        <v>1</v>
      </c>
      <c r="G16">
        <f>SUM(G4:G15)</f>
        <v>0</v>
      </c>
      <c r="H16">
        <f>SUM(H4:H15)</f>
        <v>0</v>
      </c>
      <c r="K16">
        <f>SUM(K4:K15)</f>
        <v>20</v>
      </c>
      <c r="L16">
        <f>SUM(L4:L15)</f>
        <v>0</v>
      </c>
      <c r="M16">
        <f>SUM(M4:M15)</f>
        <v>26</v>
      </c>
      <c r="N16">
        <f>SUM(N4:N15)</f>
        <v>47</v>
      </c>
      <c r="O16">
        <f>SUM(O4:O15)</f>
        <v>46</v>
      </c>
      <c r="Q16">
        <f t="shared" ref="Q16:R16" si="34">SUM(Q4:Q15)</f>
        <v>0</v>
      </c>
      <c r="R16">
        <f t="shared" si="34"/>
        <v>0</v>
      </c>
      <c r="S16">
        <f>SUM(S4:S15)</f>
        <v>11</v>
      </c>
      <c r="T16">
        <f>SUM(T4:T15)</f>
        <v>11</v>
      </c>
      <c r="U16">
        <f>SUM(U4:U15)</f>
        <v>58</v>
      </c>
      <c r="V16">
        <f>SUM(V4:V15)</f>
        <v>0</v>
      </c>
      <c r="W16">
        <f>SUM(W4:W15)</f>
        <v>0</v>
      </c>
      <c r="Z16">
        <f t="shared" ref="Z16:Z27" si="35">COUNTIF(Z2:AC2, "3")*COUNTIF(C4, "r")+COUNTIF(Z2:AC2, "5")*COUNTIF(C4, "b")</f>
        <v>0</v>
      </c>
      <c r="AA16">
        <f t="shared" ref="AA16:AA27" si="36">COUNTIF(Z2:AC2, "1")+COUNTIF(Z2:AC2, "2")+COUNTIF(Z2:AC2, "4")</f>
        <v>0</v>
      </c>
      <c r="AE16">
        <f t="shared" ref="AE16:AE27" si="37">COUNTIF(AE2:AI2, "3")*COUNTIF(C4, "r") + COUNTIF(AE2:AI2, "5")*COUNTIF(C4, "b")</f>
        <v>0</v>
      </c>
      <c r="AF16">
        <f t="shared" ref="AF16:AF27" si="38">COUNTIF(AE2:AI2, "1")+COUNTIF(AE2:AI2, "2")+COUNTIF(AE2:AI2, "4")</f>
        <v>0</v>
      </c>
      <c r="AG16">
        <f t="shared" ref="AG16:AG27" si="39">COUNTIF(AE2:AI2, "3")*COUNTIF(AE2:AI2, "b")+COUNTIF(AE2:AI2, "5")*COUNTIF(AE2:AI2, "r")</f>
        <v>0</v>
      </c>
      <c r="AK16">
        <f t="shared" ref="AK16:AK27" si="40">SUMPRODUCT(LEN($AK2:$BH2) - LEN(SUBSTITUTE($AK2:$BH2, "g", "")))</f>
        <v>0</v>
      </c>
      <c r="AL16">
        <f t="shared" ref="AL16:AL27" si="41">SUMPRODUCT(LEN($AK2:$BH2) - LEN(SUBSTITUTE($AK2:$BH2, "h", "")))</f>
        <v>0</v>
      </c>
      <c r="AM16">
        <f t="shared" ref="AM16:AM27" si="42">SUMPRODUCT(LEN($AK2:$BH2) - LEN(SUBSTITUTE($AK2:$BH2, "v", "")))</f>
        <v>0</v>
      </c>
      <c r="AN16">
        <f t="shared" ref="AN16:AN27" si="43">SUMPRODUCT(LEN($AK2:$BH2) - LEN(SUBSTITUTE($AK2:$BH2, "r", "")))</f>
        <v>0</v>
      </c>
      <c r="AP16">
        <f>MAX(AQ16:BN16)</f>
        <v>0</v>
      </c>
      <c r="AQ16" s="4">
        <f>_xlfn.NUMBERVALUE(RIGHT(AK2,1))</f>
        <v>0</v>
      </c>
      <c r="AR16" s="4">
        <f t="shared" ref="AR16:BG27" si="44">_xlfn.NUMBERVALUE(RIGHT(AL2,1))</f>
        <v>0</v>
      </c>
      <c r="AS16" s="4">
        <f t="shared" si="44"/>
        <v>0</v>
      </c>
      <c r="AT16" s="4">
        <f t="shared" si="44"/>
        <v>0</v>
      </c>
      <c r="AU16" s="4">
        <f t="shared" si="44"/>
        <v>0</v>
      </c>
      <c r="AV16" s="4">
        <f t="shared" si="44"/>
        <v>0</v>
      </c>
      <c r="AW16" s="4">
        <f t="shared" si="44"/>
        <v>0</v>
      </c>
      <c r="AX16" s="4">
        <f t="shared" si="44"/>
        <v>0</v>
      </c>
      <c r="AY16" s="4">
        <f t="shared" si="44"/>
        <v>0</v>
      </c>
      <c r="AZ16" s="4">
        <f t="shared" si="44"/>
        <v>0</v>
      </c>
      <c r="BA16" s="4">
        <f t="shared" si="44"/>
        <v>0</v>
      </c>
      <c r="BB16" s="4">
        <f t="shared" si="44"/>
        <v>0</v>
      </c>
      <c r="BC16" s="4">
        <f t="shared" si="44"/>
        <v>0</v>
      </c>
      <c r="BD16" s="4">
        <f t="shared" si="44"/>
        <v>0</v>
      </c>
      <c r="BE16" s="4">
        <f t="shared" si="44"/>
        <v>0</v>
      </c>
      <c r="BF16" s="4">
        <f t="shared" si="44"/>
        <v>0</v>
      </c>
      <c r="BG16" s="4">
        <f t="shared" si="44"/>
        <v>0</v>
      </c>
      <c r="BH16" s="4">
        <f t="shared" ref="BH16:BN27" si="45">_xlfn.NUMBERVALUE(RIGHT(BB2,1))</f>
        <v>0</v>
      </c>
      <c r="BI16" s="4">
        <f t="shared" si="45"/>
        <v>0</v>
      </c>
      <c r="BJ16" s="4">
        <f t="shared" si="45"/>
        <v>0</v>
      </c>
      <c r="BK16" s="4">
        <f t="shared" si="45"/>
        <v>0</v>
      </c>
      <c r="BL16" s="4">
        <f t="shared" si="45"/>
        <v>0</v>
      </c>
      <c r="BM16" s="4">
        <f t="shared" si="45"/>
        <v>0</v>
      </c>
      <c r="BN16" s="4">
        <f t="shared" si="45"/>
        <v>0</v>
      </c>
    </row>
    <row r="17" spans="1:66" x14ac:dyDescent="0.2">
      <c r="A17" s="1" t="s">
        <v>20</v>
      </c>
      <c r="D17" s="1" t="s">
        <v>49</v>
      </c>
      <c r="G17" s="1" t="s">
        <v>52</v>
      </c>
      <c r="K17" s="3" t="s">
        <v>74</v>
      </c>
      <c r="P17" s="1" t="s">
        <v>66</v>
      </c>
      <c r="Z17">
        <f t="shared" si="35"/>
        <v>0</v>
      </c>
      <c r="AA17">
        <f t="shared" si="36"/>
        <v>0</v>
      </c>
      <c r="AE17">
        <f t="shared" si="37"/>
        <v>0</v>
      </c>
      <c r="AF17">
        <f t="shared" si="38"/>
        <v>0</v>
      </c>
      <c r="AG17">
        <f t="shared" si="39"/>
        <v>0</v>
      </c>
      <c r="AK17">
        <f t="shared" si="40"/>
        <v>0</v>
      </c>
      <c r="AL17">
        <f t="shared" si="41"/>
        <v>0</v>
      </c>
      <c r="AM17">
        <f t="shared" si="42"/>
        <v>0</v>
      </c>
      <c r="AN17">
        <f t="shared" si="43"/>
        <v>0</v>
      </c>
      <c r="AP17">
        <f t="shared" ref="AP17:AP27" si="46">MAX(AQ17:BN17)</f>
        <v>0</v>
      </c>
      <c r="AQ17" s="4">
        <f t="shared" ref="AQ17:AQ27" si="47">_xlfn.NUMBERVALUE(RIGHT(AK3,1))</f>
        <v>0</v>
      </c>
      <c r="AR17" s="4">
        <f t="shared" si="44"/>
        <v>0</v>
      </c>
      <c r="AS17" s="4">
        <f t="shared" si="44"/>
        <v>0</v>
      </c>
      <c r="AT17" s="4">
        <f t="shared" si="44"/>
        <v>0</v>
      </c>
      <c r="AU17" s="4">
        <f t="shared" si="44"/>
        <v>0</v>
      </c>
      <c r="AV17" s="4">
        <f t="shared" si="44"/>
        <v>0</v>
      </c>
      <c r="AW17" s="4">
        <f t="shared" si="44"/>
        <v>0</v>
      </c>
      <c r="AX17" s="4">
        <f t="shared" si="44"/>
        <v>0</v>
      </c>
      <c r="AY17" s="4">
        <f t="shared" si="44"/>
        <v>0</v>
      </c>
      <c r="AZ17" s="4">
        <f t="shared" si="44"/>
        <v>0</v>
      </c>
      <c r="BA17" s="4">
        <f t="shared" si="44"/>
        <v>0</v>
      </c>
      <c r="BB17" s="4">
        <f t="shared" si="44"/>
        <v>0</v>
      </c>
      <c r="BC17" s="4">
        <f t="shared" si="44"/>
        <v>0</v>
      </c>
      <c r="BD17" s="4">
        <f t="shared" si="44"/>
        <v>0</v>
      </c>
      <c r="BE17" s="4">
        <f t="shared" si="44"/>
        <v>0</v>
      </c>
      <c r="BF17" s="4">
        <f t="shared" si="44"/>
        <v>0</v>
      </c>
      <c r="BG17" s="4">
        <f t="shared" si="44"/>
        <v>0</v>
      </c>
      <c r="BH17" s="4">
        <f t="shared" si="45"/>
        <v>0</v>
      </c>
      <c r="BI17" s="4">
        <f t="shared" si="45"/>
        <v>0</v>
      </c>
      <c r="BJ17" s="4">
        <f t="shared" si="45"/>
        <v>0</v>
      </c>
      <c r="BK17" s="4">
        <f t="shared" si="45"/>
        <v>0</v>
      </c>
      <c r="BL17" s="4">
        <f t="shared" si="45"/>
        <v>0</v>
      </c>
      <c r="BM17" s="4">
        <f t="shared" si="45"/>
        <v>0</v>
      </c>
      <c r="BN17" s="4">
        <f t="shared" si="45"/>
        <v>0</v>
      </c>
    </row>
    <row r="18" spans="1:66" x14ac:dyDescent="0.2">
      <c r="A18" t="s">
        <v>32</v>
      </c>
      <c r="B18" t="s">
        <v>21</v>
      </c>
      <c r="D18" t="s">
        <v>180</v>
      </c>
      <c r="G18" s="3" t="s">
        <v>53</v>
      </c>
      <c r="K18" t="s">
        <v>55</v>
      </c>
      <c r="M18" t="s">
        <v>65</v>
      </c>
      <c r="P18" t="s">
        <v>67</v>
      </c>
      <c r="Z18">
        <f t="shared" si="35"/>
        <v>0</v>
      </c>
      <c r="AA18">
        <f t="shared" si="36"/>
        <v>0</v>
      </c>
      <c r="AE18">
        <f t="shared" si="37"/>
        <v>0</v>
      </c>
      <c r="AF18">
        <f t="shared" si="38"/>
        <v>0</v>
      </c>
      <c r="AG18">
        <f t="shared" si="39"/>
        <v>0</v>
      </c>
      <c r="AK18">
        <f t="shared" si="40"/>
        <v>0</v>
      </c>
      <c r="AL18">
        <f t="shared" si="41"/>
        <v>0</v>
      </c>
      <c r="AM18">
        <f t="shared" si="42"/>
        <v>0</v>
      </c>
      <c r="AN18">
        <f t="shared" si="43"/>
        <v>0</v>
      </c>
      <c r="AP18">
        <f t="shared" si="46"/>
        <v>0</v>
      </c>
      <c r="AQ18" s="4">
        <f t="shared" si="47"/>
        <v>0</v>
      </c>
      <c r="AR18" s="4">
        <f t="shared" si="44"/>
        <v>0</v>
      </c>
      <c r="AS18" s="4">
        <f t="shared" si="44"/>
        <v>0</v>
      </c>
      <c r="AT18" s="4">
        <f t="shared" si="44"/>
        <v>0</v>
      </c>
      <c r="AU18" s="4">
        <f t="shared" si="44"/>
        <v>0</v>
      </c>
      <c r="AV18" s="4">
        <f t="shared" si="44"/>
        <v>0</v>
      </c>
      <c r="AW18" s="4">
        <f t="shared" si="44"/>
        <v>0</v>
      </c>
      <c r="AX18" s="4">
        <f t="shared" si="44"/>
        <v>0</v>
      </c>
      <c r="AY18" s="4">
        <f t="shared" si="44"/>
        <v>0</v>
      </c>
      <c r="AZ18" s="4">
        <f t="shared" si="44"/>
        <v>0</v>
      </c>
      <c r="BA18" s="4">
        <f t="shared" si="44"/>
        <v>0</v>
      </c>
      <c r="BB18" s="4">
        <f t="shared" si="44"/>
        <v>0</v>
      </c>
      <c r="BC18" s="4">
        <f t="shared" si="44"/>
        <v>0</v>
      </c>
      <c r="BD18" s="4">
        <f t="shared" si="44"/>
        <v>0</v>
      </c>
      <c r="BE18" s="4">
        <f t="shared" si="44"/>
        <v>0</v>
      </c>
      <c r="BF18" s="4">
        <f t="shared" si="44"/>
        <v>0</v>
      </c>
      <c r="BG18" s="4">
        <f t="shared" si="44"/>
        <v>0</v>
      </c>
      <c r="BH18" s="4">
        <f t="shared" si="45"/>
        <v>0</v>
      </c>
      <c r="BI18" s="4">
        <f t="shared" si="45"/>
        <v>0</v>
      </c>
      <c r="BJ18" s="4">
        <f t="shared" si="45"/>
        <v>0</v>
      </c>
      <c r="BK18" s="4">
        <f t="shared" si="45"/>
        <v>0</v>
      </c>
      <c r="BL18" s="4">
        <f t="shared" si="45"/>
        <v>0</v>
      </c>
      <c r="BM18" s="4">
        <f t="shared" si="45"/>
        <v>0</v>
      </c>
      <c r="BN18" s="4">
        <f t="shared" si="45"/>
        <v>0</v>
      </c>
    </row>
    <row r="19" spans="1:66" x14ac:dyDescent="0.2">
      <c r="A19" t="s">
        <v>40</v>
      </c>
      <c r="B19" t="s">
        <v>22</v>
      </c>
      <c r="D19">
        <f>E16/D16</f>
        <v>0.5</v>
      </c>
      <c r="G19" t="s">
        <v>75</v>
      </c>
      <c r="K19">
        <f>O16/N16</f>
        <v>0.97872340425531912</v>
      </c>
      <c r="M19">
        <f>SUM(M39:M50)</f>
        <v>0</v>
      </c>
      <c r="P19">
        <f>T16/S16</f>
        <v>1</v>
      </c>
      <c r="Z19">
        <f t="shared" si="35"/>
        <v>0</v>
      </c>
      <c r="AA19">
        <f t="shared" si="36"/>
        <v>0</v>
      </c>
      <c r="AE19">
        <f t="shared" si="37"/>
        <v>0</v>
      </c>
      <c r="AF19">
        <f t="shared" si="38"/>
        <v>0</v>
      </c>
      <c r="AG19">
        <f t="shared" si="39"/>
        <v>0</v>
      </c>
      <c r="AK19">
        <f t="shared" si="40"/>
        <v>0</v>
      </c>
      <c r="AL19">
        <f t="shared" si="41"/>
        <v>0</v>
      </c>
      <c r="AM19">
        <f t="shared" si="42"/>
        <v>0</v>
      </c>
      <c r="AN19">
        <f t="shared" si="43"/>
        <v>0</v>
      </c>
      <c r="AP19">
        <f t="shared" si="46"/>
        <v>0</v>
      </c>
      <c r="AQ19" s="4">
        <f t="shared" si="47"/>
        <v>0</v>
      </c>
      <c r="AR19" s="4">
        <f t="shared" si="44"/>
        <v>0</v>
      </c>
      <c r="AS19" s="4">
        <f t="shared" si="44"/>
        <v>0</v>
      </c>
      <c r="AT19" s="4">
        <f t="shared" si="44"/>
        <v>0</v>
      </c>
      <c r="AU19" s="4">
        <f t="shared" si="44"/>
        <v>0</v>
      </c>
      <c r="AV19" s="4">
        <f t="shared" si="44"/>
        <v>0</v>
      </c>
      <c r="AW19" s="4">
        <f t="shared" si="44"/>
        <v>0</v>
      </c>
      <c r="AX19" s="4">
        <f t="shared" si="44"/>
        <v>0</v>
      </c>
      <c r="AY19" s="4">
        <f t="shared" si="44"/>
        <v>0</v>
      </c>
      <c r="AZ19" s="4">
        <f t="shared" si="44"/>
        <v>0</v>
      </c>
      <c r="BA19" s="4">
        <f t="shared" si="44"/>
        <v>0</v>
      </c>
      <c r="BB19" s="4">
        <f t="shared" si="44"/>
        <v>0</v>
      </c>
      <c r="BC19" s="4">
        <f t="shared" si="44"/>
        <v>0</v>
      </c>
      <c r="BD19" s="4">
        <f t="shared" si="44"/>
        <v>0</v>
      </c>
      <c r="BE19" s="4">
        <f t="shared" si="44"/>
        <v>0</v>
      </c>
      <c r="BF19" s="4">
        <f t="shared" si="44"/>
        <v>0</v>
      </c>
      <c r="BG19" s="4">
        <f t="shared" si="44"/>
        <v>0</v>
      </c>
      <c r="BH19" s="4">
        <f t="shared" si="45"/>
        <v>0</v>
      </c>
      <c r="BI19" s="4">
        <f t="shared" si="45"/>
        <v>0</v>
      </c>
      <c r="BJ19" s="4">
        <f t="shared" si="45"/>
        <v>0</v>
      </c>
      <c r="BK19" s="4">
        <f t="shared" si="45"/>
        <v>0</v>
      </c>
      <c r="BL19" s="4">
        <f t="shared" si="45"/>
        <v>0</v>
      </c>
      <c r="BM19" s="4">
        <f t="shared" si="45"/>
        <v>0</v>
      </c>
      <c r="BN19" s="4">
        <f t="shared" si="45"/>
        <v>0</v>
      </c>
    </row>
    <row r="20" spans="1:66" x14ac:dyDescent="0.2">
      <c r="A20" t="s">
        <v>41</v>
      </c>
      <c r="B20" t="s">
        <v>23</v>
      </c>
      <c r="D20" t="s">
        <v>47</v>
      </c>
      <c r="G20" t="e">
        <f>AK28/AP28</f>
        <v>#DIV/0!</v>
      </c>
      <c r="K20" t="s">
        <v>13</v>
      </c>
      <c r="Z20">
        <f t="shared" si="35"/>
        <v>0</v>
      </c>
      <c r="AA20">
        <f t="shared" si="36"/>
        <v>0</v>
      </c>
      <c r="AE20">
        <f t="shared" si="37"/>
        <v>0</v>
      </c>
      <c r="AF20">
        <f t="shared" si="38"/>
        <v>0</v>
      </c>
      <c r="AG20">
        <f t="shared" si="39"/>
        <v>0</v>
      </c>
      <c r="AK20">
        <f t="shared" si="40"/>
        <v>0</v>
      </c>
      <c r="AL20">
        <f t="shared" si="41"/>
        <v>0</v>
      </c>
      <c r="AM20">
        <f t="shared" si="42"/>
        <v>0</v>
      </c>
      <c r="AN20">
        <f t="shared" si="43"/>
        <v>0</v>
      </c>
      <c r="AP20">
        <f t="shared" si="46"/>
        <v>0</v>
      </c>
      <c r="AQ20" s="4">
        <f t="shared" si="47"/>
        <v>0</v>
      </c>
      <c r="AR20" s="4">
        <f t="shared" si="44"/>
        <v>0</v>
      </c>
      <c r="AS20" s="4">
        <f t="shared" si="44"/>
        <v>0</v>
      </c>
      <c r="AT20" s="4">
        <f t="shared" si="44"/>
        <v>0</v>
      </c>
      <c r="AU20" s="4">
        <f t="shared" si="44"/>
        <v>0</v>
      </c>
      <c r="AV20" s="4">
        <f t="shared" si="44"/>
        <v>0</v>
      </c>
      <c r="AW20" s="4">
        <f t="shared" si="44"/>
        <v>0</v>
      </c>
      <c r="AX20" s="4">
        <f t="shared" si="44"/>
        <v>0</v>
      </c>
      <c r="AY20" s="4">
        <f t="shared" si="44"/>
        <v>0</v>
      </c>
      <c r="AZ20" s="4">
        <f t="shared" si="44"/>
        <v>0</v>
      </c>
      <c r="BA20" s="4">
        <f t="shared" si="44"/>
        <v>0</v>
      </c>
      <c r="BB20" s="4">
        <f t="shared" si="44"/>
        <v>0</v>
      </c>
      <c r="BC20" s="4">
        <f t="shared" si="44"/>
        <v>0</v>
      </c>
      <c r="BD20" s="4">
        <f t="shared" si="44"/>
        <v>0</v>
      </c>
      <c r="BE20" s="4">
        <f t="shared" si="44"/>
        <v>0</v>
      </c>
      <c r="BF20" s="4">
        <f t="shared" si="44"/>
        <v>0</v>
      </c>
      <c r="BG20" s="4">
        <f t="shared" si="44"/>
        <v>0</v>
      </c>
      <c r="BH20" s="4">
        <f t="shared" si="45"/>
        <v>0</v>
      </c>
      <c r="BI20" s="4">
        <f t="shared" si="45"/>
        <v>0</v>
      </c>
      <c r="BJ20" s="4">
        <f t="shared" si="45"/>
        <v>0</v>
      </c>
      <c r="BK20" s="4">
        <f t="shared" si="45"/>
        <v>0</v>
      </c>
      <c r="BL20" s="4">
        <f t="shared" si="45"/>
        <v>0</v>
      </c>
      <c r="BM20" s="4">
        <f t="shared" si="45"/>
        <v>0</v>
      </c>
      <c r="BN20" s="4">
        <f t="shared" si="45"/>
        <v>0</v>
      </c>
    </row>
    <row r="21" spans="1:66" x14ac:dyDescent="0.2">
      <c r="A21" s="1" t="s">
        <v>24</v>
      </c>
      <c r="D21">
        <f>G16/A31</f>
        <v>0</v>
      </c>
      <c r="G21" t="s">
        <v>76</v>
      </c>
      <c r="K21" t="s">
        <v>57</v>
      </c>
      <c r="L21" t="s">
        <v>58</v>
      </c>
      <c r="M21" t="s">
        <v>59</v>
      </c>
      <c r="N21" t="s">
        <v>60</v>
      </c>
      <c r="Z21">
        <f t="shared" si="35"/>
        <v>0</v>
      </c>
      <c r="AA21">
        <f t="shared" si="36"/>
        <v>0</v>
      </c>
      <c r="AE21">
        <f t="shared" si="37"/>
        <v>0</v>
      </c>
      <c r="AF21">
        <f t="shared" si="38"/>
        <v>0</v>
      </c>
      <c r="AG21">
        <f t="shared" si="39"/>
        <v>0</v>
      </c>
      <c r="AK21">
        <f t="shared" si="40"/>
        <v>0</v>
      </c>
      <c r="AL21">
        <f t="shared" si="41"/>
        <v>0</v>
      </c>
      <c r="AM21">
        <f t="shared" si="42"/>
        <v>0</v>
      </c>
      <c r="AN21">
        <f t="shared" si="43"/>
        <v>0</v>
      </c>
      <c r="AP21">
        <f t="shared" si="46"/>
        <v>0</v>
      </c>
      <c r="AQ21" s="4">
        <f t="shared" si="47"/>
        <v>0</v>
      </c>
      <c r="AR21" s="4">
        <f t="shared" si="44"/>
        <v>0</v>
      </c>
      <c r="AS21" s="4">
        <f t="shared" si="44"/>
        <v>0</v>
      </c>
      <c r="AT21" s="4">
        <f t="shared" si="44"/>
        <v>0</v>
      </c>
      <c r="AU21" s="4">
        <f t="shared" si="44"/>
        <v>0</v>
      </c>
      <c r="AV21" s="4">
        <f t="shared" si="44"/>
        <v>0</v>
      </c>
      <c r="AW21" s="4">
        <f t="shared" si="44"/>
        <v>0</v>
      </c>
      <c r="AX21" s="4">
        <f t="shared" si="44"/>
        <v>0</v>
      </c>
      <c r="AY21" s="4">
        <f t="shared" si="44"/>
        <v>0</v>
      </c>
      <c r="AZ21" s="4">
        <f t="shared" si="44"/>
        <v>0</v>
      </c>
      <c r="BA21" s="4">
        <f t="shared" si="44"/>
        <v>0</v>
      </c>
      <c r="BB21" s="4">
        <f t="shared" si="44"/>
        <v>0</v>
      </c>
      <c r="BC21" s="4">
        <f t="shared" si="44"/>
        <v>0</v>
      </c>
      <c r="BD21" s="4">
        <f t="shared" si="44"/>
        <v>0</v>
      </c>
      <c r="BE21" s="4">
        <f t="shared" si="44"/>
        <v>0</v>
      </c>
      <c r="BF21" s="4">
        <f t="shared" si="44"/>
        <v>0</v>
      </c>
      <c r="BG21" s="4">
        <f t="shared" si="44"/>
        <v>0</v>
      </c>
      <c r="BH21" s="4">
        <f t="shared" si="45"/>
        <v>0</v>
      </c>
      <c r="BI21" s="4">
        <f t="shared" si="45"/>
        <v>0</v>
      </c>
      <c r="BJ21" s="4">
        <f t="shared" si="45"/>
        <v>0</v>
      </c>
      <c r="BK21" s="4">
        <f t="shared" si="45"/>
        <v>0</v>
      </c>
      <c r="BL21" s="4">
        <f t="shared" si="45"/>
        <v>0</v>
      </c>
      <c r="BM21" s="4">
        <f t="shared" si="45"/>
        <v>0</v>
      </c>
      <c r="BN21" s="4">
        <f t="shared" si="45"/>
        <v>0</v>
      </c>
    </row>
    <row r="22" spans="1:66" x14ac:dyDescent="0.2">
      <c r="A22" t="s">
        <v>36</v>
      </c>
      <c r="B22" t="s">
        <v>10</v>
      </c>
      <c r="D22" t="s">
        <v>48</v>
      </c>
      <c r="G22" t="e">
        <f>AL28/AP28</f>
        <v>#DIV/0!</v>
      </c>
      <c r="K22">
        <f>AVERAGE(C39:C50)</f>
        <v>3.8333333333333335</v>
      </c>
      <c r="L22">
        <f>MEDIAN(C39:C50)</f>
        <v>4</v>
      </c>
      <c r="M22">
        <f>MAX(C39:C50)</f>
        <v>6</v>
      </c>
      <c r="N22">
        <f>_xlfn.STDEV.S(C39:C50)</f>
        <v>1.3371158468430426</v>
      </c>
      <c r="Z22">
        <f t="shared" si="35"/>
        <v>0</v>
      </c>
      <c r="AA22">
        <f t="shared" si="36"/>
        <v>0</v>
      </c>
      <c r="AE22">
        <f t="shared" si="37"/>
        <v>0</v>
      </c>
      <c r="AF22">
        <f t="shared" si="38"/>
        <v>0</v>
      </c>
      <c r="AG22">
        <f t="shared" si="39"/>
        <v>0</v>
      </c>
      <c r="AK22">
        <f t="shared" si="40"/>
        <v>0</v>
      </c>
      <c r="AL22">
        <f t="shared" si="41"/>
        <v>0</v>
      </c>
      <c r="AM22">
        <f t="shared" si="42"/>
        <v>0</v>
      </c>
      <c r="AN22">
        <f t="shared" si="43"/>
        <v>0</v>
      </c>
      <c r="AP22">
        <f t="shared" si="46"/>
        <v>0</v>
      </c>
      <c r="AQ22" s="4">
        <f t="shared" si="47"/>
        <v>0</v>
      </c>
      <c r="AR22" s="4">
        <f t="shared" si="44"/>
        <v>0</v>
      </c>
      <c r="AS22" s="4">
        <f t="shared" si="44"/>
        <v>0</v>
      </c>
      <c r="AT22" s="4">
        <f t="shared" si="44"/>
        <v>0</v>
      </c>
      <c r="AU22" s="4">
        <f t="shared" si="44"/>
        <v>0</v>
      </c>
      <c r="AV22" s="4">
        <f t="shared" si="44"/>
        <v>0</v>
      </c>
      <c r="AW22" s="4">
        <f t="shared" si="44"/>
        <v>0</v>
      </c>
      <c r="AX22" s="4">
        <f t="shared" si="44"/>
        <v>0</v>
      </c>
      <c r="AY22" s="4">
        <f t="shared" si="44"/>
        <v>0</v>
      </c>
      <c r="AZ22" s="4">
        <f t="shared" si="44"/>
        <v>0</v>
      </c>
      <c r="BA22" s="4">
        <f t="shared" si="44"/>
        <v>0</v>
      </c>
      <c r="BB22" s="4">
        <f t="shared" si="44"/>
        <v>0</v>
      </c>
      <c r="BC22" s="4">
        <f t="shared" si="44"/>
        <v>0</v>
      </c>
      <c r="BD22" s="4">
        <f t="shared" si="44"/>
        <v>0</v>
      </c>
      <c r="BE22" s="4">
        <f t="shared" si="44"/>
        <v>0</v>
      </c>
      <c r="BF22" s="4">
        <f t="shared" si="44"/>
        <v>0</v>
      </c>
      <c r="BG22" s="4">
        <f t="shared" si="44"/>
        <v>0</v>
      </c>
      <c r="BH22" s="4">
        <f t="shared" si="45"/>
        <v>0</v>
      </c>
      <c r="BI22" s="4">
        <f t="shared" si="45"/>
        <v>0</v>
      </c>
      <c r="BJ22" s="4">
        <f t="shared" si="45"/>
        <v>0</v>
      </c>
      <c r="BK22" s="4">
        <f t="shared" si="45"/>
        <v>0</v>
      </c>
      <c r="BL22" s="4">
        <f t="shared" si="45"/>
        <v>0</v>
      </c>
      <c r="BM22" s="4">
        <f t="shared" si="45"/>
        <v>0</v>
      </c>
      <c r="BN22" s="4">
        <f t="shared" si="45"/>
        <v>0</v>
      </c>
    </row>
    <row r="23" spans="1:66" x14ac:dyDescent="0.2">
      <c r="A23" t="s">
        <v>37</v>
      </c>
      <c r="B23" t="s">
        <v>25</v>
      </c>
      <c r="D23">
        <f>H16/A31</f>
        <v>0</v>
      </c>
      <c r="G23" t="s">
        <v>77</v>
      </c>
      <c r="K23" t="s">
        <v>8</v>
      </c>
      <c r="Z23">
        <f t="shared" si="35"/>
        <v>0</v>
      </c>
      <c r="AA23">
        <f t="shared" si="36"/>
        <v>0</v>
      </c>
      <c r="AE23">
        <f t="shared" si="37"/>
        <v>0</v>
      </c>
      <c r="AF23">
        <f t="shared" si="38"/>
        <v>0</v>
      </c>
      <c r="AG23">
        <f t="shared" si="39"/>
        <v>0</v>
      </c>
      <c r="AK23">
        <f t="shared" si="40"/>
        <v>0</v>
      </c>
      <c r="AL23">
        <f t="shared" si="41"/>
        <v>0</v>
      </c>
      <c r="AM23">
        <f t="shared" si="42"/>
        <v>0</v>
      </c>
      <c r="AN23">
        <f t="shared" si="43"/>
        <v>0</v>
      </c>
      <c r="AP23">
        <f t="shared" si="46"/>
        <v>0</v>
      </c>
      <c r="AQ23" s="4">
        <f t="shared" si="47"/>
        <v>0</v>
      </c>
      <c r="AR23" s="4">
        <f t="shared" si="44"/>
        <v>0</v>
      </c>
      <c r="AS23" s="4">
        <f t="shared" si="44"/>
        <v>0</v>
      </c>
      <c r="AT23" s="4">
        <f t="shared" si="44"/>
        <v>0</v>
      </c>
      <c r="AU23" s="4">
        <f t="shared" si="44"/>
        <v>0</v>
      </c>
      <c r="AV23" s="4">
        <f t="shared" si="44"/>
        <v>0</v>
      </c>
      <c r="AW23" s="4">
        <f t="shared" si="44"/>
        <v>0</v>
      </c>
      <c r="AX23" s="4">
        <f t="shared" si="44"/>
        <v>0</v>
      </c>
      <c r="AY23" s="4">
        <f t="shared" si="44"/>
        <v>0</v>
      </c>
      <c r="AZ23" s="4">
        <f t="shared" si="44"/>
        <v>0</v>
      </c>
      <c r="BA23" s="4">
        <f t="shared" si="44"/>
        <v>0</v>
      </c>
      <c r="BB23" s="4">
        <f t="shared" si="44"/>
        <v>0</v>
      </c>
      <c r="BC23" s="4">
        <f t="shared" si="44"/>
        <v>0</v>
      </c>
      <c r="BD23" s="4">
        <f t="shared" si="44"/>
        <v>0</v>
      </c>
      <c r="BE23" s="4">
        <f t="shared" si="44"/>
        <v>0</v>
      </c>
      <c r="BF23" s="4">
        <f t="shared" si="44"/>
        <v>0</v>
      </c>
      <c r="BG23" s="4">
        <f t="shared" si="44"/>
        <v>0</v>
      </c>
      <c r="BH23" s="4">
        <f t="shared" si="45"/>
        <v>0</v>
      </c>
      <c r="BI23" s="4">
        <f t="shared" si="45"/>
        <v>0</v>
      </c>
      <c r="BJ23" s="4">
        <f t="shared" si="45"/>
        <v>0</v>
      </c>
      <c r="BK23" s="4">
        <f t="shared" si="45"/>
        <v>0</v>
      </c>
      <c r="BL23" s="4">
        <f t="shared" si="45"/>
        <v>0</v>
      </c>
      <c r="BM23" s="4">
        <f t="shared" si="45"/>
        <v>0</v>
      </c>
      <c r="BN23" s="4">
        <f t="shared" si="45"/>
        <v>0</v>
      </c>
    </row>
    <row r="24" spans="1:66" x14ac:dyDescent="0.2">
      <c r="A24" t="s">
        <v>38</v>
      </c>
      <c r="B24" t="s">
        <v>26</v>
      </c>
      <c r="D24" t="s">
        <v>50</v>
      </c>
      <c r="G24" t="e">
        <f>AM28/AP28</f>
        <v>#DIV/0!</v>
      </c>
      <c r="K24" t="s">
        <v>57</v>
      </c>
      <c r="L24" t="s">
        <v>61</v>
      </c>
      <c r="M24" t="s">
        <v>59</v>
      </c>
      <c r="N24" t="s">
        <v>60</v>
      </c>
      <c r="Z24">
        <f t="shared" si="35"/>
        <v>0</v>
      </c>
      <c r="AA24">
        <f t="shared" si="36"/>
        <v>0</v>
      </c>
      <c r="AE24">
        <f t="shared" si="37"/>
        <v>0</v>
      </c>
      <c r="AF24">
        <f t="shared" si="38"/>
        <v>1</v>
      </c>
      <c r="AG24">
        <f t="shared" si="39"/>
        <v>0</v>
      </c>
      <c r="AK24">
        <f t="shared" si="40"/>
        <v>0</v>
      </c>
      <c r="AL24">
        <f t="shared" si="41"/>
        <v>0</v>
      </c>
      <c r="AM24">
        <f t="shared" si="42"/>
        <v>0</v>
      </c>
      <c r="AN24">
        <f t="shared" si="43"/>
        <v>0</v>
      </c>
      <c r="AP24">
        <f t="shared" si="46"/>
        <v>0</v>
      </c>
      <c r="AQ24" s="4">
        <f t="shared" si="47"/>
        <v>0</v>
      </c>
      <c r="AR24" s="4">
        <f t="shared" si="44"/>
        <v>0</v>
      </c>
      <c r="AS24" s="4">
        <f t="shared" si="44"/>
        <v>0</v>
      </c>
      <c r="AT24" s="4">
        <f t="shared" si="44"/>
        <v>0</v>
      </c>
      <c r="AU24" s="4">
        <f t="shared" si="44"/>
        <v>0</v>
      </c>
      <c r="AV24" s="4">
        <f t="shared" si="44"/>
        <v>0</v>
      </c>
      <c r="AW24" s="4">
        <f t="shared" si="44"/>
        <v>0</v>
      </c>
      <c r="AX24" s="4">
        <f t="shared" si="44"/>
        <v>0</v>
      </c>
      <c r="AY24" s="4">
        <f t="shared" si="44"/>
        <v>0</v>
      </c>
      <c r="AZ24" s="4">
        <f t="shared" si="44"/>
        <v>0</v>
      </c>
      <c r="BA24" s="4">
        <f t="shared" si="44"/>
        <v>0</v>
      </c>
      <c r="BB24" s="4">
        <f t="shared" si="44"/>
        <v>0</v>
      </c>
      <c r="BC24" s="4">
        <f t="shared" si="44"/>
        <v>0</v>
      </c>
      <c r="BD24" s="4">
        <f t="shared" si="44"/>
        <v>0</v>
      </c>
      <c r="BE24" s="4">
        <f t="shared" si="44"/>
        <v>0</v>
      </c>
      <c r="BF24" s="4">
        <f t="shared" si="44"/>
        <v>0</v>
      </c>
      <c r="BG24" s="4">
        <f t="shared" si="44"/>
        <v>0</v>
      </c>
      <c r="BH24" s="4">
        <f t="shared" si="45"/>
        <v>0</v>
      </c>
      <c r="BI24" s="4">
        <f t="shared" si="45"/>
        <v>0</v>
      </c>
      <c r="BJ24" s="4">
        <f t="shared" si="45"/>
        <v>0</v>
      </c>
      <c r="BK24" s="4">
        <f t="shared" si="45"/>
        <v>0</v>
      </c>
      <c r="BL24" s="4">
        <f t="shared" si="45"/>
        <v>0</v>
      </c>
      <c r="BM24" s="4">
        <f t="shared" si="45"/>
        <v>0</v>
      </c>
      <c r="BN24" s="4">
        <f t="shared" si="45"/>
        <v>0</v>
      </c>
    </row>
    <row r="25" spans="1:66" x14ac:dyDescent="0.2">
      <c r="A25" t="s">
        <v>39</v>
      </c>
      <c r="B25" t="s">
        <v>27</v>
      </c>
      <c r="D25">
        <f>Z28/A31</f>
        <v>0</v>
      </c>
      <c r="G25" t="s">
        <v>78</v>
      </c>
      <c r="K25">
        <f>AVERAGE(E39:E50)</f>
        <v>0</v>
      </c>
      <c r="L25">
        <f>MEDIAN(E39:E50)</f>
        <v>0</v>
      </c>
      <c r="M25">
        <f>MAX(E39:E50)</f>
        <v>0</v>
      </c>
      <c r="N25">
        <f>_xlfn.STDEV.S(E39:E50)</f>
        <v>0</v>
      </c>
      <c r="Z25">
        <f t="shared" si="35"/>
        <v>0</v>
      </c>
      <c r="AA25">
        <f t="shared" si="36"/>
        <v>0</v>
      </c>
      <c r="AE25">
        <f t="shared" si="37"/>
        <v>0</v>
      </c>
      <c r="AF25">
        <f t="shared" si="38"/>
        <v>0</v>
      </c>
      <c r="AG25">
        <f t="shared" si="39"/>
        <v>0</v>
      </c>
      <c r="AK25">
        <f t="shared" si="40"/>
        <v>0</v>
      </c>
      <c r="AL25">
        <f t="shared" si="41"/>
        <v>0</v>
      </c>
      <c r="AM25">
        <f t="shared" si="42"/>
        <v>0</v>
      </c>
      <c r="AN25">
        <f t="shared" si="43"/>
        <v>0</v>
      </c>
      <c r="AP25">
        <f t="shared" si="46"/>
        <v>0</v>
      </c>
      <c r="AQ25" s="4">
        <f t="shared" si="47"/>
        <v>0</v>
      </c>
      <c r="AR25" s="4">
        <f t="shared" si="44"/>
        <v>0</v>
      </c>
      <c r="AS25" s="4">
        <f t="shared" si="44"/>
        <v>0</v>
      </c>
      <c r="AT25" s="4">
        <f t="shared" si="44"/>
        <v>0</v>
      </c>
      <c r="AU25" s="4">
        <f t="shared" si="44"/>
        <v>0</v>
      </c>
      <c r="AV25" s="4">
        <f t="shared" si="44"/>
        <v>0</v>
      </c>
      <c r="AW25" s="4">
        <f t="shared" si="44"/>
        <v>0</v>
      </c>
      <c r="AX25" s="4">
        <f t="shared" si="44"/>
        <v>0</v>
      </c>
      <c r="AY25" s="4">
        <f t="shared" si="44"/>
        <v>0</v>
      </c>
      <c r="AZ25" s="4">
        <f t="shared" si="44"/>
        <v>0</v>
      </c>
      <c r="BA25" s="4">
        <f t="shared" si="44"/>
        <v>0</v>
      </c>
      <c r="BB25" s="4">
        <f t="shared" si="44"/>
        <v>0</v>
      </c>
      <c r="BC25" s="4">
        <f t="shared" si="44"/>
        <v>0</v>
      </c>
      <c r="BD25" s="4">
        <f t="shared" si="44"/>
        <v>0</v>
      </c>
      <c r="BE25" s="4">
        <f t="shared" si="44"/>
        <v>0</v>
      </c>
      <c r="BF25" s="4">
        <f t="shared" si="44"/>
        <v>0</v>
      </c>
      <c r="BG25" s="4">
        <f t="shared" si="44"/>
        <v>0</v>
      </c>
      <c r="BH25" s="4">
        <f t="shared" si="45"/>
        <v>0</v>
      </c>
      <c r="BI25" s="4">
        <f t="shared" si="45"/>
        <v>0</v>
      </c>
      <c r="BJ25" s="4">
        <f t="shared" si="45"/>
        <v>0</v>
      </c>
      <c r="BK25" s="4">
        <f t="shared" si="45"/>
        <v>0</v>
      </c>
      <c r="BL25" s="4">
        <f t="shared" si="45"/>
        <v>0</v>
      </c>
      <c r="BM25" s="4">
        <f t="shared" si="45"/>
        <v>0</v>
      </c>
      <c r="BN25" s="4">
        <f t="shared" si="45"/>
        <v>0</v>
      </c>
    </row>
    <row r="26" spans="1:66" x14ac:dyDescent="0.2">
      <c r="A26" t="s">
        <v>44</v>
      </c>
      <c r="D26" t="s">
        <v>51</v>
      </c>
      <c r="G26" t="e">
        <f>AN28/AP28</f>
        <v>#DIV/0!</v>
      </c>
      <c r="K26" t="s">
        <v>62</v>
      </c>
      <c r="P26" t="s">
        <v>19</v>
      </c>
      <c r="Z26">
        <f t="shared" si="35"/>
        <v>0</v>
      </c>
      <c r="AA26">
        <f t="shared" si="36"/>
        <v>0</v>
      </c>
      <c r="AE26">
        <f t="shared" si="37"/>
        <v>0</v>
      </c>
      <c r="AF26">
        <f t="shared" si="38"/>
        <v>0</v>
      </c>
      <c r="AG26">
        <f t="shared" si="39"/>
        <v>0</v>
      </c>
      <c r="AK26">
        <f t="shared" si="40"/>
        <v>0</v>
      </c>
      <c r="AL26">
        <f t="shared" si="41"/>
        <v>0</v>
      </c>
      <c r="AM26">
        <f t="shared" si="42"/>
        <v>0</v>
      </c>
      <c r="AN26">
        <f t="shared" si="43"/>
        <v>0</v>
      </c>
      <c r="AP26">
        <f t="shared" si="46"/>
        <v>0</v>
      </c>
      <c r="AQ26" s="4">
        <f t="shared" si="47"/>
        <v>0</v>
      </c>
      <c r="AR26" s="4">
        <f t="shared" si="44"/>
        <v>0</v>
      </c>
      <c r="AS26" s="4">
        <f t="shared" si="44"/>
        <v>0</v>
      </c>
      <c r="AT26" s="4">
        <f t="shared" si="44"/>
        <v>0</v>
      </c>
      <c r="AU26" s="4">
        <f t="shared" si="44"/>
        <v>0</v>
      </c>
      <c r="AV26" s="4">
        <f t="shared" si="44"/>
        <v>0</v>
      </c>
      <c r="AW26" s="4">
        <f t="shared" si="44"/>
        <v>0</v>
      </c>
      <c r="AX26" s="4">
        <f t="shared" si="44"/>
        <v>0</v>
      </c>
      <c r="AY26" s="4">
        <f t="shared" si="44"/>
        <v>0</v>
      </c>
      <c r="AZ26" s="4">
        <f t="shared" si="44"/>
        <v>0</v>
      </c>
      <c r="BA26" s="4">
        <f t="shared" si="44"/>
        <v>0</v>
      </c>
      <c r="BB26" s="4">
        <f t="shared" si="44"/>
        <v>0</v>
      </c>
      <c r="BC26" s="4">
        <f t="shared" si="44"/>
        <v>0</v>
      </c>
      <c r="BD26" s="4">
        <f t="shared" si="44"/>
        <v>0</v>
      </c>
      <c r="BE26" s="4">
        <f t="shared" si="44"/>
        <v>0</v>
      </c>
      <c r="BF26" s="4">
        <f t="shared" si="44"/>
        <v>0</v>
      </c>
      <c r="BG26" s="4">
        <f t="shared" si="44"/>
        <v>0</v>
      </c>
      <c r="BH26" s="4">
        <f t="shared" si="45"/>
        <v>0</v>
      </c>
      <c r="BI26" s="4">
        <f t="shared" si="45"/>
        <v>0</v>
      </c>
      <c r="BJ26" s="4">
        <f t="shared" si="45"/>
        <v>0</v>
      </c>
      <c r="BK26" s="4">
        <f t="shared" si="45"/>
        <v>0</v>
      </c>
      <c r="BL26" s="4">
        <f t="shared" si="45"/>
        <v>0</v>
      </c>
      <c r="BM26" s="4">
        <f t="shared" si="45"/>
        <v>0</v>
      </c>
      <c r="BN26" s="4">
        <f t="shared" si="45"/>
        <v>0</v>
      </c>
    </row>
    <row r="27" spans="1:66" x14ac:dyDescent="0.2">
      <c r="A27" t="s">
        <v>45</v>
      </c>
      <c r="D27">
        <f>AA28/A31</f>
        <v>0</v>
      </c>
      <c r="G27" t="s">
        <v>56</v>
      </c>
      <c r="K27" t="s">
        <v>57</v>
      </c>
      <c r="L27" t="s">
        <v>58</v>
      </c>
      <c r="M27" t="s">
        <v>59</v>
      </c>
      <c r="N27" t="s">
        <v>60</v>
      </c>
      <c r="P27" t="s">
        <v>57</v>
      </c>
      <c r="Q27" t="s">
        <v>58</v>
      </c>
      <c r="R27" t="s">
        <v>59</v>
      </c>
      <c r="S27" t="s">
        <v>60</v>
      </c>
      <c r="Z27">
        <f t="shared" si="35"/>
        <v>0</v>
      </c>
      <c r="AA27">
        <f t="shared" si="36"/>
        <v>0</v>
      </c>
      <c r="AE27">
        <f t="shared" si="37"/>
        <v>0</v>
      </c>
      <c r="AF27">
        <f t="shared" si="38"/>
        <v>0</v>
      </c>
      <c r="AG27">
        <f t="shared" si="39"/>
        <v>0</v>
      </c>
      <c r="AK27">
        <f t="shared" si="40"/>
        <v>0</v>
      </c>
      <c r="AL27">
        <f t="shared" si="41"/>
        <v>0</v>
      </c>
      <c r="AM27">
        <f t="shared" si="42"/>
        <v>0</v>
      </c>
      <c r="AN27">
        <f t="shared" si="43"/>
        <v>0</v>
      </c>
      <c r="AP27">
        <f t="shared" si="46"/>
        <v>0</v>
      </c>
      <c r="AQ27" s="4">
        <f t="shared" si="47"/>
        <v>0</v>
      </c>
      <c r="AR27" s="4">
        <f t="shared" si="44"/>
        <v>0</v>
      </c>
      <c r="AS27" s="4">
        <f t="shared" si="44"/>
        <v>0</v>
      </c>
      <c r="AT27" s="4">
        <f t="shared" si="44"/>
        <v>0</v>
      </c>
      <c r="AU27" s="4">
        <f t="shared" si="44"/>
        <v>0</v>
      </c>
      <c r="AV27" s="4">
        <f t="shared" si="44"/>
        <v>0</v>
      </c>
      <c r="AW27" s="4">
        <f t="shared" si="44"/>
        <v>0</v>
      </c>
      <c r="AX27" s="4">
        <f t="shared" si="44"/>
        <v>0</v>
      </c>
      <c r="AY27" s="4">
        <f t="shared" si="44"/>
        <v>0</v>
      </c>
      <c r="AZ27" s="4">
        <f t="shared" si="44"/>
        <v>0</v>
      </c>
      <c r="BA27" s="4">
        <f t="shared" si="44"/>
        <v>0</v>
      </c>
      <c r="BB27" s="4">
        <f t="shared" si="44"/>
        <v>0</v>
      </c>
      <c r="BC27" s="4">
        <f t="shared" si="44"/>
        <v>0</v>
      </c>
      <c r="BD27" s="4">
        <f t="shared" si="44"/>
        <v>0</v>
      </c>
      <c r="BE27" s="4">
        <f t="shared" si="44"/>
        <v>0</v>
      </c>
      <c r="BF27" s="4">
        <f t="shared" si="44"/>
        <v>0</v>
      </c>
      <c r="BG27" s="4">
        <f t="shared" si="44"/>
        <v>0</v>
      </c>
      <c r="BH27" s="4">
        <f t="shared" si="45"/>
        <v>0</v>
      </c>
      <c r="BI27" s="4">
        <f t="shared" si="45"/>
        <v>0</v>
      </c>
      <c r="BJ27" s="4">
        <f t="shared" si="45"/>
        <v>0</v>
      </c>
      <c r="BK27" s="4">
        <f t="shared" si="45"/>
        <v>0</v>
      </c>
      <c r="BL27" s="4">
        <f t="shared" si="45"/>
        <v>0</v>
      </c>
      <c r="BM27" s="4">
        <f t="shared" si="45"/>
        <v>0</v>
      </c>
      <c r="BN27" s="4">
        <f t="shared" si="45"/>
        <v>0</v>
      </c>
    </row>
    <row r="28" spans="1:66" x14ac:dyDescent="0.2">
      <c r="A28" t="s">
        <v>46</v>
      </c>
      <c r="D28" t="s">
        <v>202</v>
      </c>
      <c r="G28" t="s">
        <v>57</v>
      </c>
      <c r="H28" t="s">
        <v>58</v>
      </c>
      <c r="I28" t="s">
        <v>59</v>
      </c>
      <c r="J28" t="s">
        <v>60</v>
      </c>
      <c r="K28">
        <f>AVERAGE(G39:G50)</f>
        <v>0</v>
      </c>
      <c r="L28">
        <f>MEDIAN(G39:G50)</f>
        <v>0</v>
      </c>
      <c r="M28">
        <f>MAX(G39:G50)</f>
        <v>0</v>
      </c>
      <c r="N28">
        <f>_xlfn.STDEV.S(G39:G50)</f>
        <v>0</v>
      </c>
      <c r="P28">
        <f>AVERAGE(N39:N50)</f>
        <v>4.833333333333333</v>
      </c>
      <c r="Q28">
        <f>MEDIAN(N39:N50)</f>
        <v>0</v>
      </c>
      <c r="R28">
        <f>MAX(N39:N50)</f>
        <v>49</v>
      </c>
      <c r="S28">
        <f>_xlfn.STDEV.S(N39:N50)</f>
        <v>14.031350180178238</v>
      </c>
      <c r="Y28" t="s">
        <v>33</v>
      </c>
      <c r="Z28">
        <f>SUM(Z16:Z27)</f>
        <v>0</v>
      </c>
      <c r="AA28">
        <f>SUM(AA16:AA27)</f>
        <v>0</v>
      </c>
      <c r="AE28">
        <f>SUM(AE16:AE27)</f>
        <v>0</v>
      </c>
      <c r="AF28">
        <f>SUM(AF16:AF27)</f>
        <v>1</v>
      </c>
      <c r="AG28">
        <f>SUM(AG16:AG27)</f>
        <v>0</v>
      </c>
      <c r="AK28">
        <f>SUM(AK16:AK27)</f>
        <v>0</v>
      </c>
      <c r="AL28">
        <f>SUM(AL16:AL27)</f>
        <v>0</v>
      </c>
      <c r="AM28">
        <f>SUM(AM16:AM27)</f>
        <v>0</v>
      </c>
      <c r="AN28">
        <f>SUM(AN16:AN27)</f>
        <v>0</v>
      </c>
      <c r="AP28">
        <f>SUM(AP16:AP27)</f>
        <v>0</v>
      </c>
    </row>
    <row r="29" spans="1:66" x14ac:dyDescent="0.2">
      <c r="D29">
        <f>SUM(O39:O50)/F16</f>
        <v>0</v>
      </c>
      <c r="G29">
        <f>AVERAGE(A39:A50)</f>
        <v>8.3333333333333329E-2</v>
      </c>
      <c r="H29">
        <f>MEDIAN(A39:A50)</f>
        <v>0</v>
      </c>
      <c r="I29">
        <f>MAX(A39:A50)</f>
        <v>1</v>
      </c>
      <c r="J29">
        <f>_xlfn.STDEV.S(A39:A50)</f>
        <v>0.28867513459481287</v>
      </c>
      <c r="K29" t="s">
        <v>63</v>
      </c>
      <c r="P29" t="s">
        <v>148</v>
      </c>
    </row>
    <row r="30" spans="1:66" x14ac:dyDescent="0.2">
      <c r="A30" t="s">
        <v>147</v>
      </c>
      <c r="D30" t="s">
        <v>203</v>
      </c>
      <c r="G30" t="s">
        <v>50</v>
      </c>
      <c r="H30" t="s">
        <v>51</v>
      </c>
      <c r="I30" t="s">
        <v>89</v>
      </c>
      <c r="K30" t="s">
        <v>57</v>
      </c>
      <c r="L30" t="s">
        <v>58</v>
      </c>
      <c r="M30" t="s">
        <v>59</v>
      </c>
      <c r="N30" t="s">
        <v>60</v>
      </c>
      <c r="P30" t="s">
        <v>57</v>
      </c>
      <c r="Q30" t="s">
        <v>58</v>
      </c>
      <c r="R30" t="s">
        <v>59</v>
      </c>
      <c r="S30" t="s">
        <v>60</v>
      </c>
      <c r="W30" t="s">
        <v>148</v>
      </c>
      <c r="Y30" t="s">
        <v>149</v>
      </c>
      <c r="AH30" t="s">
        <v>79</v>
      </c>
    </row>
    <row r="31" spans="1:66" x14ac:dyDescent="0.2">
      <c r="A31">
        <f>COUNT(B4:B15)</f>
        <v>12</v>
      </c>
      <c r="D31" s="2">
        <f>SUM(S39:S50)/SUM(Q39:Q50)</f>
        <v>0.54545454545454541</v>
      </c>
      <c r="G31">
        <f>AE28/A31</f>
        <v>0</v>
      </c>
      <c r="H31">
        <f>AF28/A31</f>
        <v>8.3333333333333329E-2</v>
      </c>
      <c r="I31">
        <f>AG28/A31</f>
        <v>0</v>
      </c>
      <c r="K31" t="e">
        <f>AVERAGE(I39:I50)</f>
        <v>#DIV/0!</v>
      </c>
      <c r="L31" t="e">
        <f>MEDIAN(I39:I50)</f>
        <v>#NUM!</v>
      </c>
      <c r="M31">
        <f>MAX(I39:I50)</f>
        <v>0</v>
      </c>
      <c r="N31" t="e">
        <f>_xlfn.STDEV.S(I39:I50)</f>
        <v>#DIV/0!</v>
      </c>
      <c r="P31" t="e">
        <f>AVERAGE(W31:W42)</f>
        <v>#DIV/0!</v>
      </c>
      <c r="Q31" t="e">
        <f>MEDIAN(W31:W42)</f>
        <v>#NUM!</v>
      </c>
      <c r="R31">
        <f>MAX(W31:W42)</f>
        <v>0</v>
      </c>
      <c r="S31" t="e">
        <f>_xlfn.STDEV.S(W31:W42)</f>
        <v>#DIV/0!</v>
      </c>
      <c r="W31" t="str">
        <f t="shared" ref="W31:W33" si="48">IF(AND(ISBLANK(Q4), ISBLANK(R4), ISBLANK(G4), ISBLANK(H4)), "", U4)</f>
        <v/>
      </c>
      <c r="Y31" t="str">
        <f t="shared" ref="Y31:Y42" si="49">IF(ISBLANK(Y4), IF(X4 = 0, "", (G4 + H4/3 + V4/9 + W4/3)), U4)</f>
        <v/>
      </c>
      <c r="AH31" t="s">
        <v>80</v>
      </c>
    </row>
    <row r="32" spans="1:66" x14ac:dyDescent="0.2">
      <c r="A32" t="s">
        <v>243</v>
      </c>
      <c r="D32" s="3"/>
      <c r="K32" t="s">
        <v>64</v>
      </c>
      <c r="P32" t="s">
        <v>149</v>
      </c>
      <c r="W32" t="str">
        <f t="shared" si="48"/>
        <v/>
      </c>
      <c r="Y32" t="str">
        <f t="shared" si="49"/>
        <v/>
      </c>
      <c r="AH32" t="s">
        <v>81</v>
      </c>
    </row>
    <row r="33" spans="1:34" x14ac:dyDescent="0.2">
      <c r="A33" t="s">
        <v>341</v>
      </c>
      <c r="D33" s="3"/>
      <c r="K33" t="s">
        <v>57</v>
      </c>
      <c r="L33" t="s">
        <v>58</v>
      </c>
      <c r="M33" t="s">
        <v>59</v>
      </c>
      <c r="N33" t="s">
        <v>60</v>
      </c>
      <c r="P33" t="s">
        <v>57</v>
      </c>
      <c r="Q33" t="s">
        <v>58</v>
      </c>
      <c r="R33" t="s">
        <v>59</v>
      </c>
      <c r="S33" t="s">
        <v>60</v>
      </c>
      <c r="W33" t="str">
        <f t="shared" si="48"/>
        <v/>
      </c>
      <c r="Y33" t="str">
        <f t="shared" si="49"/>
        <v/>
      </c>
      <c r="AH33" t="s">
        <v>82</v>
      </c>
    </row>
    <row r="34" spans="1:34" x14ac:dyDescent="0.2">
      <c r="D34" s="3"/>
      <c r="K34">
        <f>AVERAGE(K39:K50)</f>
        <v>0</v>
      </c>
      <c r="L34">
        <f>MEDIAN(K39:K50)</f>
        <v>0</v>
      </c>
      <c r="M34">
        <f>MAX(K39:K50)</f>
        <v>0</v>
      </c>
      <c r="N34">
        <f>_xlfn.STDEV.S(K39:K50)</f>
        <v>0</v>
      </c>
      <c r="P34" t="e">
        <f>AVERAGE(Y31:Y42)</f>
        <v>#DIV/0!</v>
      </c>
      <c r="Q34" t="e">
        <f>MEDIAN(Y31:Y42)</f>
        <v>#NUM!</v>
      </c>
      <c r="R34">
        <f>MAX(Y31:Y42)</f>
        <v>0</v>
      </c>
      <c r="S34" t="e">
        <f>_xlfn.STDEV.S(Y31:Y42)</f>
        <v>#DIV/0!</v>
      </c>
      <c r="W34" t="str">
        <f>IF(AND(ISBLANK(Q7), ISBLANK(R7), ISBLANK(G7), ISBLANK(H7)), "", U7)</f>
        <v/>
      </c>
      <c r="Y34" t="str">
        <f t="shared" si="49"/>
        <v/>
      </c>
      <c r="AH34" t="s">
        <v>83</v>
      </c>
    </row>
    <row r="35" spans="1:34" x14ac:dyDescent="0.2">
      <c r="P35" t="s">
        <v>95</v>
      </c>
      <c r="R35" t="s">
        <v>197</v>
      </c>
      <c r="W35" t="str">
        <f t="shared" ref="W35:W42" si="50">IF(AND(ISBLANK(Q8), ISBLANK(R8), ISBLANK(G8), ISBLANK(H8)), "", U8)</f>
        <v/>
      </c>
      <c r="Y35" t="str">
        <f t="shared" si="49"/>
        <v/>
      </c>
    </row>
    <row r="36" spans="1:34" x14ac:dyDescent="0.2">
      <c r="P36" t="e">
        <f>Q16/(Q16+R16)</f>
        <v>#DIV/0!</v>
      </c>
      <c r="R36" t="e">
        <f>R16/(Q16+R16)</f>
        <v>#DIV/0!</v>
      </c>
      <c r="W36" t="str">
        <f t="shared" si="50"/>
        <v/>
      </c>
      <c r="Y36" t="str">
        <f t="shared" si="49"/>
        <v/>
      </c>
    </row>
    <row r="37" spans="1:34" x14ac:dyDescent="0.2">
      <c r="W37" t="str">
        <f t="shared" si="50"/>
        <v/>
      </c>
      <c r="Y37" t="str">
        <f t="shared" si="49"/>
        <v/>
      </c>
    </row>
    <row r="38" spans="1:34" x14ac:dyDescent="0.2">
      <c r="A38" t="s">
        <v>68</v>
      </c>
      <c r="C38" t="s">
        <v>69</v>
      </c>
      <c r="E38" t="s">
        <v>72</v>
      </c>
      <c r="G38" t="s">
        <v>250</v>
      </c>
      <c r="K38" t="s">
        <v>73</v>
      </c>
      <c r="M38" t="s">
        <v>70</v>
      </c>
      <c r="N38" t="s">
        <v>71</v>
      </c>
      <c r="O38" t="s">
        <v>199</v>
      </c>
      <c r="Q38" t="s">
        <v>200</v>
      </c>
      <c r="S38" t="s">
        <v>201</v>
      </c>
      <c r="W38" t="str">
        <f t="shared" si="50"/>
        <v/>
      </c>
      <c r="Y38" t="str">
        <f t="shared" si="49"/>
        <v/>
      </c>
    </row>
    <row r="39" spans="1:34" x14ac:dyDescent="0.2">
      <c r="A39">
        <f t="shared" ref="A39:A50" si="51">IF(ISBLANK(B4), "", SUM(AE16+AF16+AG16))</f>
        <v>0</v>
      </c>
      <c r="C39">
        <f t="shared" ref="C39:C50" si="52">IF(ISBLANK(B4), "", O4)</f>
        <v>3</v>
      </c>
      <c r="E39">
        <f t="shared" ref="E39:E50" si="53">IF(ISBLANK(B4), "", Q4)</f>
        <v>0</v>
      </c>
      <c r="G39">
        <f t="shared" ref="G39:G50" si="54">IF(ISBLANK(B4), "", R4)</f>
        <v>0</v>
      </c>
      <c r="K39">
        <f t="shared" ref="K39:K50" si="55">IF(ISBLANK(B4), "", SUM(Q4 + R4))</f>
        <v>0</v>
      </c>
      <c r="M39">
        <f t="shared" ref="M39:M50" si="56">IF(ISBLANK(B4), "", SUM(K4+M4) - O4)</f>
        <v>0</v>
      </c>
      <c r="N39">
        <f t="shared" ref="N39:N50" si="57">IF(ISBLANK(B4), "", U4)</f>
        <v>0</v>
      </c>
      <c r="O39">
        <f t="shared" ref="O39:O50" si="58">COUNTIF(E4, "1")*COUNTIF(F4, "1")</f>
        <v>0</v>
      </c>
      <c r="Q39">
        <f t="shared" ref="Q39:Q50" si="59">COUNTIF(D4, "1")*COUNTIF(F4, "")</f>
        <v>1</v>
      </c>
      <c r="S39">
        <f t="shared" ref="S39:S50" si="60">COUNTIF(E4, "1")*COUNTIF(F4, "")</f>
        <v>1</v>
      </c>
      <c r="W39" t="str">
        <f t="shared" si="50"/>
        <v/>
      </c>
      <c r="Y39" t="str">
        <f t="shared" si="49"/>
        <v/>
      </c>
    </row>
    <row r="40" spans="1:34" x14ac:dyDescent="0.2">
      <c r="A40">
        <f t="shared" si="51"/>
        <v>0</v>
      </c>
      <c r="C40">
        <f t="shared" si="52"/>
        <v>4</v>
      </c>
      <c r="E40">
        <f t="shared" si="53"/>
        <v>0</v>
      </c>
      <c r="G40">
        <f t="shared" si="54"/>
        <v>0</v>
      </c>
      <c r="K40">
        <f t="shared" si="55"/>
        <v>0</v>
      </c>
      <c r="M40">
        <f t="shared" si="56"/>
        <v>-1</v>
      </c>
      <c r="N40">
        <f t="shared" si="57"/>
        <v>6</v>
      </c>
      <c r="O40">
        <f t="shared" si="58"/>
        <v>0</v>
      </c>
      <c r="Q40">
        <f t="shared" si="59"/>
        <v>1</v>
      </c>
      <c r="S40">
        <f t="shared" si="60"/>
        <v>0</v>
      </c>
      <c r="W40" t="str">
        <f t="shared" si="50"/>
        <v/>
      </c>
      <c r="Y40" t="str">
        <f t="shared" si="49"/>
        <v/>
      </c>
    </row>
    <row r="41" spans="1:34" x14ac:dyDescent="0.2">
      <c r="A41">
        <f t="shared" si="51"/>
        <v>0</v>
      </c>
      <c r="C41">
        <f t="shared" si="52"/>
        <v>3</v>
      </c>
      <c r="E41">
        <f t="shared" si="53"/>
        <v>0</v>
      </c>
      <c r="G41">
        <f t="shared" si="54"/>
        <v>0</v>
      </c>
      <c r="K41">
        <f t="shared" si="55"/>
        <v>0</v>
      </c>
      <c r="M41">
        <f t="shared" si="56"/>
        <v>0</v>
      </c>
      <c r="N41">
        <f t="shared" si="57"/>
        <v>0</v>
      </c>
      <c r="O41">
        <f t="shared" si="58"/>
        <v>0</v>
      </c>
      <c r="Q41">
        <f t="shared" si="59"/>
        <v>1</v>
      </c>
      <c r="S41">
        <f t="shared" si="60"/>
        <v>1</v>
      </c>
      <c r="W41" t="str">
        <f t="shared" si="50"/>
        <v/>
      </c>
      <c r="Y41" t="str">
        <f t="shared" si="49"/>
        <v/>
      </c>
    </row>
    <row r="42" spans="1:34" x14ac:dyDescent="0.2">
      <c r="A42">
        <f t="shared" si="51"/>
        <v>0</v>
      </c>
      <c r="C42">
        <f t="shared" si="52"/>
        <v>3</v>
      </c>
      <c r="E42">
        <f t="shared" si="53"/>
        <v>0</v>
      </c>
      <c r="G42">
        <f t="shared" si="54"/>
        <v>0</v>
      </c>
      <c r="K42">
        <f t="shared" si="55"/>
        <v>0</v>
      </c>
      <c r="M42">
        <f t="shared" si="56"/>
        <v>0</v>
      </c>
      <c r="N42">
        <f t="shared" si="57"/>
        <v>0</v>
      </c>
      <c r="O42">
        <f t="shared" si="58"/>
        <v>0</v>
      </c>
      <c r="Q42">
        <f t="shared" si="59"/>
        <v>1</v>
      </c>
      <c r="S42">
        <f t="shared" si="60"/>
        <v>1</v>
      </c>
      <c r="W42" t="str">
        <f t="shared" si="50"/>
        <v/>
      </c>
      <c r="Y42" t="str">
        <f t="shared" si="49"/>
        <v/>
      </c>
    </row>
    <row r="43" spans="1:34" x14ac:dyDescent="0.2">
      <c r="A43">
        <f t="shared" si="51"/>
        <v>0</v>
      </c>
      <c r="C43">
        <f t="shared" si="52"/>
        <v>4</v>
      </c>
      <c r="E43">
        <f t="shared" si="53"/>
        <v>0</v>
      </c>
      <c r="G43">
        <f t="shared" si="54"/>
        <v>0</v>
      </c>
      <c r="K43">
        <f t="shared" si="55"/>
        <v>0</v>
      </c>
      <c r="M43">
        <f t="shared" si="56"/>
        <v>0</v>
      </c>
      <c r="N43">
        <f t="shared" si="57"/>
        <v>0</v>
      </c>
      <c r="O43">
        <f t="shared" si="58"/>
        <v>0</v>
      </c>
      <c r="Q43">
        <f t="shared" si="59"/>
        <v>0</v>
      </c>
      <c r="S43">
        <f t="shared" si="60"/>
        <v>0</v>
      </c>
    </row>
    <row r="44" spans="1:34" x14ac:dyDescent="0.2">
      <c r="A44">
        <f t="shared" si="51"/>
        <v>0</v>
      </c>
      <c r="C44">
        <f t="shared" si="52"/>
        <v>6</v>
      </c>
      <c r="E44">
        <f t="shared" si="53"/>
        <v>0</v>
      </c>
      <c r="G44">
        <f t="shared" si="54"/>
        <v>0</v>
      </c>
      <c r="K44">
        <f t="shared" si="55"/>
        <v>0</v>
      </c>
      <c r="M44">
        <f t="shared" si="56"/>
        <v>0</v>
      </c>
      <c r="N44">
        <f t="shared" si="57"/>
        <v>0</v>
      </c>
      <c r="O44">
        <f t="shared" si="58"/>
        <v>0</v>
      </c>
      <c r="Q44">
        <f t="shared" si="59"/>
        <v>1</v>
      </c>
      <c r="S44">
        <f t="shared" si="60"/>
        <v>1</v>
      </c>
    </row>
    <row r="45" spans="1:34" x14ac:dyDescent="0.2">
      <c r="A45">
        <f t="shared" si="51"/>
        <v>0</v>
      </c>
      <c r="C45">
        <f t="shared" si="52"/>
        <v>5</v>
      </c>
      <c r="E45">
        <f t="shared" si="53"/>
        <v>0</v>
      </c>
      <c r="G45">
        <f t="shared" si="54"/>
        <v>0</v>
      </c>
      <c r="K45">
        <f t="shared" si="55"/>
        <v>0</v>
      </c>
      <c r="M45">
        <f t="shared" si="56"/>
        <v>0</v>
      </c>
      <c r="N45">
        <f t="shared" si="57"/>
        <v>0</v>
      </c>
      <c r="O45">
        <f t="shared" si="58"/>
        <v>0</v>
      </c>
      <c r="Q45">
        <f t="shared" si="59"/>
        <v>1</v>
      </c>
      <c r="S45">
        <f t="shared" si="60"/>
        <v>0</v>
      </c>
    </row>
    <row r="46" spans="1:34" x14ac:dyDescent="0.2">
      <c r="A46">
        <f t="shared" si="51"/>
        <v>0</v>
      </c>
      <c r="C46">
        <f t="shared" si="52"/>
        <v>2</v>
      </c>
      <c r="E46">
        <f t="shared" si="53"/>
        <v>0</v>
      </c>
      <c r="G46">
        <f t="shared" si="54"/>
        <v>0</v>
      </c>
      <c r="K46">
        <f t="shared" si="55"/>
        <v>0</v>
      </c>
      <c r="M46">
        <f t="shared" si="56"/>
        <v>0</v>
      </c>
      <c r="N46">
        <f t="shared" si="57"/>
        <v>49</v>
      </c>
      <c r="O46">
        <f t="shared" si="58"/>
        <v>0</v>
      </c>
      <c r="Q46">
        <f t="shared" si="59"/>
        <v>1</v>
      </c>
      <c r="S46">
        <f t="shared" si="60"/>
        <v>1</v>
      </c>
    </row>
    <row r="47" spans="1:34" x14ac:dyDescent="0.2">
      <c r="A47">
        <f t="shared" si="51"/>
        <v>1</v>
      </c>
      <c r="C47">
        <f t="shared" si="52"/>
        <v>4</v>
      </c>
      <c r="E47">
        <f t="shared" si="53"/>
        <v>0</v>
      </c>
      <c r="G47">
        <f t="shared" si="54"/>
        <v>0</v>
      </c>
      <c r="K47">
        <f t="shared" si="55"/>
        <v>0</v>
      </c>
      <c r="M47">
        <f t="shared" si="56"/>
        <v>-1</v>
      </c>
      <c r="N47">
        <f t="shared" si="57"/>
        <v>0</v>
      </c>
      <c r="O47">
        <f t="shared" si="58"/>
        <v>0</v>
      </c>
      <c r="Q47">
        <f t="shared" si="59"/>
        <v>1</v>
      </c>
      <c r="S47">
        <f t="shared" si="60"/>
        <v>0</v>
      </c>
    </row>
    <row r="48" spans="1:34" x14ac:dyDescent="0.2">
      <c r="A48">
        <f t="shared" si="51"/>
        <v>0</v>
      </c>
      <c r="C48">
        <f t="shared" si="52"/>
        <v>4</v>
      </c>
      <c r="E48">
        <f t="shared" si="53"/>
        <v>0</v>
      </c>
      <c r="G48">
        <f t="shared" si="54"/>
        <v>0</v>
      </c>
      <c r="K48">
        <f t="shared" si="55"/>
        <v>0</v>
      </c>
      <c r="M48">
        <f t="shared" si="56"/>
        <v>0</v>
      </c>
      <c r="N48">
        <f t="shared" si="57"/>
        <v>0</v>
      </c>
      <c r="O48">
        <f t="shared" si="58"/>
        <v>0</v>
      </c>
      <c r="Q48">
        <f t="shared" si="59"/>
        <v>1</v>
      </c>
      <c r="S48">
        <f t="shared" si="60"/>
        <v>1</v>
      </c>
    </row>
    <row r="49" spans="1:19" x14ac:dyDescent="0.2">
      <c r="A49">
        <f t="shared" si="51"/>
        <v>0</v>
      </c>
      <c r="C49">
        <f t="shared" si="52"/>
        <v>6</v>
      </c>
      <c r="E49">
        <f t="shared" si="53"/>
        <v>0</v>
      </c>
      <c r="G49">
        <f t="shared" si="54"/>
        <v>0</v>
      </c>
      <c r="K49">
        <f t="shared" si="55"/>
        <v>0</v>
      </c>
      <c r="M49">
        <f t="shared" si="56"/>
        <v>1</v>
      </c>
      <c r="N49">
        <f t="shared" si="57"/>
        <v>3</v>
      </c>
      <c r="O49">
        <f t="shared" si="58"/>
        <v>0</v>
      </c>
      <c r="Q49">
        <f t="shared" si="59"/>
        <v>1</v>
      </c>
      <c r="S49">
        <f t="shared" si="60"/>
        <v>0</v>
      </c>
    </row>
    <row r="50" spans="1:19" x14ac:dyDescent="0.2">
      <c r="A50">
        <f t="shared" si="51"/>
        <v>0</v>
      </c>
      <c r="C50">
        <f t="shared" si="52"/>
        <v>2</v>
      </c>
      <c r="E50">
        <f t="shared" si="53"/>
        <v>0</v>
      </c>
      <c r="G50">
        <f t="shared" si="54"/>
        <v>0</v>
      </c>
      <c r="K50">
        <f t="shared" si="55"/>
        <v>0</v>
      </c>
      <c r="M50">
        <f t="shared" si="56"/>
        <v>1</v>
      </c>
      <c r="N50">
        <f t="shared" si="57"/>
        <v>0</v>
      </c>
      <c r="O50">
        <f t="shared" si="58"/>
        <v>0</v>
      </c>
      <c r="Q50">
        <f t="shared" si="59"/>
        <v>1</v>
      </c>
      <c r="S50">
        <f t="shared" si="60"/>
        <v>0</v>
      </c>
    </row>
  </sheetData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 enableFormatConditionsCalculation="0"/>
  <dimension ref="A1:BN50"/>
  <sheetViews>
    <sheetView workbookViewId="0">
      <selection activeCell="U15" sqref="U15"/>
    </sheetView>
  </sheetViews>
  <sheetFormatPr baseColWidth="10" defaultColWidth="11.5" defaultRowHeight="15" x14ac:dyDescent="0.2"/>
  <sheetData>
    <row r="1" spans="1:66" x14ac:dyDescent="0.2">
      <c r="A1" s="1" t="s">
        <v>0</v>
      </c>
      <c r="D1" t="s">
        <v>3</v>
      </c>
      <c r="K1" t="s">
        <v>11</v>
      </c>
      <c r="N1" t="s">
        <v>12</v>
      </c>
      <c r="P1" t="s">
        <v>14</v>
      </c>
      <c r="Q1" t="s">
        <v>17</v>
      </c>
      <c r="S1" t="s">
        <v>18</v>
      </c>
      <c r="Z1" t="s">
        <v>29</v>
      </c>
      <c r="AE1" t="s">
        <v>30</v>
      </c>
      <c r="AK1" t="s">
        <v>42</v>
      </c>
    </row>
    <row r="2" spans="1:66" x14ac:dyDescent="0.2">
      <c r="A2" t="s">
        <v>1</v>
      </c>
      <c r="B2" t="s">
        <v>1</v>
      </c>
      <c r="C2" t="s">
        <v>87</v>
      </c>
      <c r="D2" t="s">
        <v>54</v>
      </c>
      <c r="E2" t="s">
        <v>13</v>
      </c>
      <c r="F2" t="s">
        <v>198</v>
      </c>
      <c r="G2" t="s">
        <v>7</v>
      </c>
      <c r="H2" t="s">
        <v>8</v>
      </c>
      <c r="I2" t="s">
        <v>179</v>
      </c>
      <c r="J2" t="s">
        <v>178</v>
      </c>
      <c r="K2" t="s">
        <v>9</v>
      </c>
      <c r="L2" t="s">
        <v>196</v>
      </c>
      <c r="M2" t="s">
        <v>10</v>
      </c>
      <c r="N2" t="s">
        <v>54</v>
      </c>
      <c r="O2" t="s">
        <v>13</v>
      </c>
      <c r="P2" t="s">
        <v>15</v>
      </c>
      <c r="Q2" t="s">
        <v>8</v>
      </c>
      <c r="R2" t="s">
        <v>7</v>
      </c>
      <c r="S2" t="s">
        <v>181</v>
      </c>
      <c r="T2" t="s">
        <v>182</v>
      </c>
      <c r="U2" t="s">
        <v>19</v>
      </c>
      <c r="V2" t="s">
        <v>191</v>
      </c>
      <c r="W2" t="s">
        <v>192</v>
      </c>
      <c r="X2" t="s">
        <v>175</v>
      </c>
      <c r="Y2" t="s">
        <v>173</v>
      </c>
      <c r="Z2" t="str">
        <f t="shared" ref="Z2:Z13" si="0">LEFT(I4, 1)</f>
        <v/>
      </c>
      <c r="AA2" t="str">
        <f t="shared" ref="AA2:AA13" si="1">MID(I4, 4, 1)</f>
        <v/>
      </c>
      <c r="AB2" t="str">
        <f t="shared" ref="AB2:AB13" si="2">MID(I4, 7, 1)</f>
        <v/>
      </c>
      <c r="AC2" t="str">
        <f t="shared" ref="AC2:AC13" si="3">MID(I4, 10, 1)</f>
        <v/>
      </c>
      <c r="AE2" t="str">
        <f t="shared" ref="AE2:AE13" si="4">LEFT(J4, 1)</f>
        <v/>
      </c>
      <c r="AF2" t="str">
        <f t="shared" ref="AF2:AF13" si="5">MID(J4, 4, 1)</f>
        <v/>
      </c>
      <c r="AG2" t="str">
        <f t="shared" ref="AG2:AG13" si="6">MID(J4, 7, 1)</f>
        <v/>
      </c>
      <c r="AH2" t="str">
        <f t="shared" ref="AH2:AH13" si="7">MID(J4, 10, 1)</f>
        <v/>
      </c>
      <c r="AI2" t="str">
        <f t="shared" ref="AI2:AI13" si="8">MID(J4, 13, 1)</f>
        <v/>
      </c>
      <c r="AK2" t="str">
        <f t="shared" ref="AK2:AK13" si="9">LEFT(P4, 2)</f>
        <v/>
      </c>
      <c r="AL2" t="str">
        <f>MID($P4, 5, 2)</f>
        <v/>
      </c>
      <c r="AM2" t="str">
        <f t="shared" ref="AM2:AM13" si="10">MID($P4, 9, 2)</f>
        <v/>
      </c>
      <c r="AN2" t="str">
        <f t="shared" ref="AN2:AN13" si="11">MID($P4, 13, 2)</f>
        <v/>
      </c>
      <c r="AO2" t="str">
        <f t="shared" ref="AO2:AO13" si="12">MID($P4, 17, 2)</f>
        <v/>
      </c>
      <c r="AP2" t="str">
        <f t="shared" ref="AP2:AP13" si="13">MID($P4, 21, 2)</f>
        <v/>
      </c>
      <c r="AQ2" t="str">
        <f t="shared" ref="AQ2:AQ13" si="14">MID($P4, 25, 2)</f>
        <v/>
      </c>
      <c r="AR2" t="str">
        <f t="shared" ref="AR2:AR13" si="15">MID($P4, 29, 2)</f>
        <v/>
      </c>
      <c r="AS2" t="str">
        <f t="shared" ref="AS2:AS13" si="16">MID($P4, 33, 2)</f>
        <v/>
      </c>
      <c r="AT2" t="str">
        <f t="shared" ref="AT2:AT13" si="17">MID($P4, 37, 2)</f>
        <v/>
      </c>
      <c r="AU2" t="str">
        <f t="shared" ref="AU2:AU13" si="18">MID($P4, 41, 2)</f>
        <v/>
      </c>
      <c r="AV2" t="str">
        <f t="shared" ref="AV2:AV13" si="19">MID($P4, 45, 2)</f>
        <v/>
      </c>
      <c r="AW2" t="str">
        <f t="shared" ref="AW2:AW13" si="20">MID($P4, 49, 2)</f>
        <v/>
      </c>
      <c r="AX2" t="str">
        <f t="shared" ref="AX2:AX13" si="21">MID($P4, 53, 2)</f>
        <v/>
      </c>
      <c r="AY2" t="str">
        <f t="shared" ref="AY2:AY13" si="22">MID($P4, 57, 2)</f>
        <v/>
      </c>
      <c r="AZ2" t="str">
        <f t="shared" ref="AZ2:AZ13" si="23">MID($P4, 61, 2)</f>
        <v/>
      </c>
      <c r="BA2" t="str">
        <f t="shared" ref="BA2:BA13" si="24">MID($P4, 65, 2)</f>
        <v/>
      </c>
      <c r="BB2" t="str">
        <f t="shared" ref="BB2:BB13" si="25">MID($P4, 69, 2)</f>
        <v/>
      </c>
      <c r="BC2" t="str">
        <f t="shared" ref="BC2:BC13" si="26">MID($P4, 73, 2)</f>
        <v/>
      </c>
      <c r="BD2" t="str">
        <f t="shared" ref="BD2:BD13" si="27">MID($P4, 77, 2)</f>
        <v/>
      </c>
      <c r="BE2" t="str">
        <f t="shared" ref="BE2:BE13" si="28">MID($P4, 81, 2)</f>
        <v/>
      </c>
      <c r="BF2" t="str">
        <f t="shared" ref="BF2:BF13" si="29">MID($P4, 85, 2)</f>
        <v/>
      </c>
      <c r="BG2" t="str">
        <f t="shared" ref="BG2:BG13" si="30">MID($P4, 89, 2)</f>
        <v/>
      </c>
      <c r="BH2" t="str">
        <f t="shared" ref="BH2:BH13" si="31">MID($P4, 93, 2)</f>
        <v/>
      </c>
    </row>
    <row r="3" spans="1:66" x14ac:dyDescent="0.2">
      <c r="A3" t="s">
        <v>2</v>
      </c>
      <c r="B3" t="s">
        <v>6</v>
      </c>
      <c r="C3" t="s">
        <v>88</v>
      </c>
      <c r="D3" t="s">
        <v>6</v>
      </c>
      <c r="E3" t="s">
        <v>6</v>
      </c>
      <c r="F3" t="s">
        <v>4</v>
      </c>
      <c r="G3" t="s">
        <v>6</v>
      </c>
      <c r="H3" t="s">
        <v>6</v>
      </c>
      <c r="I3" t="s">
        <v>86</v>
      </c>
      <c r="J3" t="s">
        <v>86</v>
      </c>
      <c r="K3" t="s">
        <v>6</v>
      </c>
      <c r="L3" t="s">
        <v>6</v>
      </c>
      <c r="M3" t="s">
        <v>6</v>
      </c>
      <c r="N3" t="s">
        <v>6</v>
      </c>
      <c r="O3" t="s">
        <v>6</v>
      </c>
      <c r="P3" t="s">
        <v>16</v>
      </c>
      <c r="Q3" t="s">
        <v>6</v>
      </c>
      <c r="R3" t="s">
        <v>6</v>
      </c>
      <c r="S3" t="s">
        <v>4</v>
      </c>
      <c r="T3" t="s">
        <v>4</v>
      </c>
      <c r="U3" t="s">
        <v>6</v>
      </c>
      <c r="V3" t="s">
        <v>6</v>
      </c>
      <c r="W3" t="s">
        <v>6</v>
      </c>
      <c r="X3" t="s">
        <v>6</v>
      </c>
      <c r="Y3" t="s">
        <v>174</v>
      </c>
      <c r="Z3" t="str">
        <f t="shared" si="0"/>
        <v/>
      </c>
      <c r="AA3" t="str">
        <f t="shared" si="1"/>
        <v/>
      </c>
      <c r="AB3" t="str">
        <f t="shared" si="2"/>
        <v/>
      </c>
      <c r="AC3" t="str">
        <f t="shared" si="3"/>
        <v/>
      </c>
      <c r="AE3" t="str">
        <f t="shared" si="4"/>
        <v/>
      </c>
      <c r="AF3" t="str">
        <f t="shared" si="5"/>
        <v/>
      </c>
      <c r="AG3" t="str">
        <f t="shared" si="6"/>
        <v/>
      </c>
      <c r="AH3" t="str">
        <f t="shared" si="7"/>
        <v/>
      </c>
      <c r="AI3" t="str">
        <f t="shared" si="8"/>
        <v/>
      </c>
      <c r="AK3" t="str">
        <f t="shared" si="9"/>
        <v/>
      </c>
      <c r="AL3" t="str">
        <f t="shared" ref="AL3:AL13" si="32">MID(P5, 5, 2)</f>
        <v/>
      </c>
      <c r="AM3" t="str">
        <f t="shared" si="10"/>
        <v/>
      </c>
      <c r="AN3" t="str">
        <f t="shared" si="11"/>
        <v/>
      </c>
      <c r="AO3" t="str">
        <f t="shared" si="12"/>
        <v/>
      </c>
      <c r="AP3" t="str">
        <f t="shared" si="13"/>
        <v/>
      </c>
      <c r="AQ3" t="str">
        <f t="shared" si="14"/>
        <v/>
      </c>
      <c r="AR3" t="str">
        <f t="shared" si="15"/>
        <v/>
      </c>
      <c r="AS3" t="str">
        <f t="shared" si="16"/>
        <v/>
      </c>
      <c r="AT3" t="str">
        <f t="shared" si="17"/>
        <v/>
      </c>
      <c r="AU3" t="str">
        <f t="shared" si="18"/>
        <v/>
      </c>
      <c r="AV3" t="str">
        <f t="shared" si="19"/>
        <v/>
      </c>
      <c r="AW3" t="str">
        <f t="shared" si="20"/>
        <v/>
      </c>
      <c r="AX3" t="str">
        <f t="shared" si="21"/>
        <v/>
      </c>
      <c r="AY3" t="str">
        <f t="shared" si="22"/>
        <v/>
      </c>
      <c r="AZ3" t="str">
        <f t="shared" si="23"/>
        <v/>
      </c>
      <c r="BA3" t="str">
        <f t="shared" si="24"/>
        <v/>
      </c>
      <c r="BB3" t="str">
        <f t="shared" si="25"/>
        <v/>
      </c>
      <c r="BC3" t="str">
        <f t="shared" si="26"/>
        <v/>
      </c>
      <c r="BD3" t="str">
        <f t="shared" si="27"/>
        <v/>
      </c>
      <c r="BE3" t="str">
        <f t="shared" si="28"/>
        <v/>
      </c>
      <c r="BF3" t="str">
        <f t="shared" si="29"/>
        <v/>
      </c>
      <c r="BG3" t="str">
        <f t="shared" si="30"/>
        <v/>
      </c>
      <c r="BH3" t="str">
        <f t="shared" si="31"/>
        <v/>
      </c>
    </row>
    <row r="4" spans="1:66" x14ac:dyDescent="0.2">
      <c r="A4">
        <v>1</v>
      </c>
      <c r="B4">
        <v>2</v>
      </c>
      <c r="C4" t="s">
        <v>39</v>
      </c>
      <c r="D4">
        <v>1</v>
      </c>
      <c r="F4">
        <v>1</v>
      </c>
      <c r="K4">
        <v>1</v>
      </c>
      <c r="N4">
        <v>1</v>
      </c>
      <c r="O4">
        <v>1</v>
      </c>
      <c r="S4">
        <v>1</v>
      </c>
      <c r="T4">
        <v>1</v>
      </c>
      <c r="U4">
        <v>1</v>
      </c>
      <c r="X4">
        <f t="shared" ref="X4:X15" si="33">G4+H4+Q4+R4</f>
        <v>0</v>
      </c>
      <c r="Z4" t="str">
        <f t="shared" si="0"/>
        <v/>
      </c>
      <c r="AA4" t="str">
        <f t="shared" si="1"/>
        <v/>
      </c>
      <c r="AB4" t="str">
        <f t="shared" si="2"/>
        <v/>
      </c>
      <c r="AC4" t="str">
        <f t="shared" si="3"/>
        <v/>
      </c>
      <c r="AE4" t="str">
        <f t="shared" si="4"/>
        <v/>
      </c>
      <c r="AF4" t="str">
        <f t="shared" si="5"/>
        <v/>
      </c>
      <c r="AG4" t="str">
        <f t="shared" si="6"/>
        <v/>
      </c>
      <c r="AH4" t="str">
        <f t="shared" si="7"/>
        <v/>
      </c>
      <c r="AI4" t="str">
        <f t="shared" si="8"/>
        <v/>
      </c>
      <c r="AK4" t="str">
        <f t="shared" si="9"/>
        <v/>
      </c>
      <c r="AL4" t="str">
        <f t="shared" si="32"/>
        <v/>
      </c>
      <c r="AM4" t="str">
        <f t="shared" si="10"/>
        <v/>
      </c>
      <c r="AN4" t="str">
        <f t="shared" si="11"/>
        <v/>
      </c>
      <c r="AO4" t="str">
        <f t="shared" si="12"/>
        <v/>
      </c>
      <c r="AP4" t="str">
        <f t="shared" si="13"/>
        <v/>
      </c>
      <c r="AQ4" t="str">
        <f t="shared" si="14"/>
        <v/>
      </c>
      <c r="AR4" t="str">
        <f t="shared" si="15"/>
        <v/>
      </c>
      <c r="AS4" t="str">
        <f t="shared" si="16"/>
        <v/>
      </c>
      <c r="AT4" t="str">
        <f t="shared" si="17"/>
        <v/>
      </c>
      <c r="AU4" t="str">
        <f t="shared" si="18"/>
        <v/>
      </c>
      <c r="AV4" t="str">
        <f t="shared" si="19"/>
        <v/>
      </c>
      <c r="AW4" t="str">
        <f t="shared" si="20"/>
        <v/>
      </c>
      <c r="AX4" t="str">
        <f t="shared" si="21"/>
        <v/>
      </c>
      <c r="AY4" t="str">
        <f t="shared" si="22"/>
        <v/>
      </c>
      <c r="AZ4" t="str">
        <f t="shared" si="23"/>
        <v/>
      </c>
      <c r="BA4" t="str">
        <f t="shared" si="24"/>
        <v/>
      </c>
      <c r="BB4" t="str">
        <f t="shared" si="25"/>
        <v/>
      </c>
      <c r="BC4" t="str">
        <f t="shared" si="26"/>
        <v/>
      </c>
      <c r="BD4" t="str">
        <f t="shared" si="27"/>
        <v/>
      </c>
      <c r="BE4" t="str">
        <f t="shared" si="28"/>
        <v/>
      </c>
      <c r="BF4" t="str">
        <f t="shared" si="29"/>
        <v/>
      </c>
      <c r="BG4" t="str">
        <f t="shared" si="30"/>
        <v/>
      </c>
      <c r="BH4" t="str">
        <f t="shared" si="31"/>
        <v/>
      </c>
    </row>
    <row r="5" spans="1:66" x14ac:dyDescent="0.2">
      <c r="A5">
        <v>2</v>
      </c>
      <c r="B5">
        <v>15</v>
      </c>
      <c r="C5" t="s">
        <v>39</v>
      </c>
      <c r="D5">
        <v>1</v>
      </c>
      <c r="K5">
        <v>2</v>
      </c>
      <c r="L5">
        <v>3</v>
      </c>
      <c r="N5">
        <v>2</v>
      </c>
      <c r="S5">
        <v>1</v>
      </c>
      <c r="X5">
        <f t="shared" si="33"/>
        <v>0</v>
      </c>
      <c r="Z5" t="str">
        <f t="shared" si="0"/>
        <v/>
      </c>
      <c r="AA5" t="str">
        <f t="shared" si="1"/>
        <v/>
      </c>
      <c r="AB5" t="str">
        <f t="shared" si="2"/>
        <v/>
      </c>
      <c r="AC5" t="str">
        <f t="shared" si="3"/>
        <v/>
      </c>
      <c r="AE5" t="str">
        <f t="shared" si="4"/>
        <v/>
      </c>
      <c r="AF5" t="str">
        <f t="shared" si="5"/>
        <v/>
      </c>
      <c r="AG5" t="str">
        <f t="shared" si="6"/>
        <v/>
      </c>
      <c r="AH5" t="str">
        <f t="shared" si="7"/>
        <v/>
      </c>
      <c r="AI5" t="str">
        <f t="shared" si="8"/>
        <v/>
      </c>
      <c r="AK5" t="str">
        <f t="shared" si="9"/>
        <v/>
      </c>
      <c r="AL5" t="str">
        <f t="shared" si="32"/>
        <v/>
      </c>
      <c r="AM5" t="str">
        <f t="shared" si="10"/>
        <v/>
      </c>
      <c r="AN5" t="str">
        <f t="shared" si="11"/>
        <v/>
      </c>
      <c r="AO5" t="str">
        <f t="shared" si="12"/>
        <v/>
      </c>
      <c r="AP5" t="str">
        <f t="shared" si="13"/>
        <v/>
      </c>
      <c r="AQ5" t="str">
        <f t="shared" si="14"/>
        <v/>
      </c>
      <c r="AR5" t="str">
        <f t="shared" si="15"/>
        <v/>
      </c>
      <c r="AS5" t="str">
        <f t="shared" si="16"/>
        <v/>
      </c>
      <c r="AT5" t="str">
        <f t="shared" si="17"/>
        <v/>
      </c>
      <c r="AU5" t="str">
        <f t="shared" si="18"/>
        <v/>
      </c>
      <c r="AV5" t="str">
        <f t="shared" si="19"/>
        <v/>
      </c>
      <c r="AW5" t="str">
        <f t="shared" si="20"/>
        <v/>
      </c>
      <c r="AX5" t="str">
        <f t="shared" si="21"/>
        <v/>
      </c>
      <c r="AY5" t="str">
        <f t="shared" si="22"/>
        <v/>
      </c>
      <c r="AZ5" t="str">
        <f t="shared" si="23"/>
        <v/>
      </c>
      <c r="BA5" t="str">
        <f t="shared" si="24"/>
        <v/>
      </c>
      <c r="BB5" t="str">
        <f t="shared" si="25"/>
        <v/>
      </c>
      <c r="BC5" t="str">
        <f t="shared" si="26"/>
        <v/>
      </c>
      <c r="BD5" t="str">
        <f t="shared" si="27"/>
        <v/>
      </c>
      <c r="BE5" t="str">
        <f t="shared" si="28"/>
        <v/>
      </c>
      <c r="BF5" t="str">
        <f t="shared" si="29"/>
        <v/>
      </c>
      <c r="BG5" t="str">
        <f t="shared" si="30"/>
        <v/>
      </c>
      <c r="BH5" t="str">
        <f t="shared" si="31"/>
        <v/>
      </c>
    </row>
    <row r="6" spans="1:66" x14ac:dyDescent="0.2">
      <c r="A6">
        <v>3</v>
      </c>
      <c r="B6">
        <v>26</v>
      </c>
      <c r="C6" t="s">
        <v>207</v>
      </c>
      <c r="D6">
        <v>1</v>
      </c>
      <c r="K6">
        <v>3</v>
      </c>
      <c r="L6">
        <v>1</v>
      </c>
      <c r="N6">
        <v>4</v>
      </c>
      <c r="O6">
        <v>4</v>
      </c>
      <c r="S6">
        <v>1</v>
      </c>
      <c r="T6">
        <v>1</v>
      </c>
      <c r="U6">
        <v>3</v>
      </c>
      <c r="X6">
        <f t="shared" si="33"/>
        <v>0</v>
      </c>
      <c r="Z6" t="str">
        <f t="shared" si="0"/>
        <v/>
      </c>
      <c r="AA6" t="str">
        <f t="shared" si="1"/>
        <v/>
      </c>
      <c r="AB6" t="str">
        <f t="shared" si="2"/>
        <v/>
      </c>
      <c r="AC6" t="str">
        <f t="shared" si="3"/>
        <v/>
      </c>
      <c r="AE6" t="str">
        <f t="shared" si="4"/>
        <v/>
      </c>
      <c r="AF6" t="str">
        <f t="shared" si="5"/>
        <v/>
      </c>
      <c r="AG6" t="str">
        <f t="shared" si="6"/>
        <v/>
      </c>
      <c r="AH6" t="str">
        <f t="shared" si="7"/>
        <v/>
      </c>
      <c r="AI6" t="str">
        <f t="shared" si="8"/>
        <v/>
      </c>
      <c r="AK6" t="str">
        <f t="shared" si="9"/>
        <v/>
      </c>
      <c r="AL6" t="str">
        <f t="shared" si="32"/>
        <v/>
      </c>
      <c r="AM6" t="str">
        <f t="shared" si="10"/>
        <v/>
      </c>
      <c r="AN6" t="str">
        <f t="shared" si="11"/>
        <v/>
      </c>
      <c r="AO6" t="str">
        <f t="shared" si="12"/>
        <v/>
      </c>
      <c r="AP6" t="str">
        <f t="shared" si="13"/>
        <v/>
      </c>
      <c r="AQ6" t="str">
        <f t="shared" si="14"/>
        <v/>
      </c>
      <c r="AR6" t="str">
        <f t="shared" si="15"/>
        <v/>
      </c>
      <c r="AS6" t="str">
        <f t="shared" si="16"/>
        <v/>
      </c>
      <c r="AT6" t="str">
        <f t="shared" si="17"/>
        <v/>
      </c>
      <c r="AU6" t="str">
        <f t="shared" si="18"/>
        <v/>
      </c>
      <c r="AV6" t="str">
        <f t="shared" si="19"/>
        <v/>
      </c>
      <c r="AW6" t="str">
        <f t="shared" si="20"/>
        <v/>
      </c>
      <c r="AX6" t="str">
        <f t="shared" si="21"/>
        <v/>
      </c>
      <c r="AY6" t="str">
        <f t="shared" si="22"/>
        <v/>
      </c>
      <c r="AZ6" t="str">
        <f t="shared" si="23"/>
        <v/>
      </c>
      <c r="BA6" t="str">
        <f t="shared" si="24"/>
        <v/>
      </c>
      <c r="BB6" t="str">
        <f t="shared" si="25"/>
        <v/>
      </c>
      <c r="BC6" t="str">
        <f t="shared" si="26"/>
        <v/>
      </c>
      <c r="BD6" t="str">
        <f t="shared" si="27"/>
        <v/>
      </c>
      <c r="BE6" t="str">
        <f t="shared" si="28"/>
        <v/>
      </c>
      <c r="BF6" t="str">
        <f t="shared" si="29"/>
        <v/>
      </c>
      <c r="BG6" t="str">
        <f t="shared" si="30"/>
        <v/>
      </c>
      <c r="BH6" t="str">
        <f t="shared" si="31"/>
        <v/>
      </c>
    </row>
    <row r="7" spans="1:66" x14ac:dyDescent="0.2">
      <c r="A7">
        <v>4</v>
      </c>
      <c r="B7">
        <v>37</v>
      </c>
      <c r="C7" t="s">
        <v>39</v>
      </c>
      <c r="D7">
        <v>1</v>
      </c>
      <c r="E7">
        <v>1</v>
      </c>
      <c r="F7">
        <v>1</v>
      </c>
      <c r="K7">
        <v>4</v>
      </c>
      <c r="L7">
        <v>3</v>
      </c>
      <c r="N7">
        <v>3</v>
      </c>
      <c r="O7">
        <v>3</v>
      </c>
      <c r="S7">
        <v>1</v>
      </c>
      <c r="U7">
        <v>7</v>
      </c>
      <c r="X7">
        <f t="shared" si="33"/>
        <v>0</v>
      </c>
      <c r="Z7" t="str">
        <f t="shared" si="0"/>
        <v/>
      </c>
      <c r="AA7" t="str">
        <f t="shared" si="1"/>
        <v/>
      </c>
      <c r="AB7" t="str">
        <f t="shared" si="2"/>
        <v/>
      </c>
      <c r="AC7" t="str">
        <f t="shared" si="3"/>
        <v/>
      </c>
      <c r="AE7" t="str">
        <f t="shared" si="4"/>
        <v>1</v>
      </c>
      <c r="AF7" t="str">
        <f t="shared" si="5"/>
        <v/>
      </c>
      <c r="AG7" t="str">
        <f t="shared" si="6"/>
        <v/>
      </c>
      <c r="AH7" t="str">
        <f t="shared" si="7"/>
        <v/>
      </c>
      <c r="AI7" t="str">
        <f t="shared" si="8"/>
        <v/>
      </c>
      <c r="AK7" t="str">
        <f t="shared" si="9"/>
        <v/>
      </c>
      <c r="AL7" t="str">
        <f t="shared" si="32"/>
        <v/>
      </c>
      <c r="AM7" t="str">
        <f t="shared" si="10"/>
        <v/>
      </c>
      <c r="AN7" t="str">
        <f t="shared" si="11"/>
        <v/>
      </c>
      <c r="AO7" t="str">
        <f t="shared" si="12"/>
        <v/>
      </c>
      <c r="AP7" t="str">
        <f t="shared" si="13"/>
        <v/>
      </c>
      <c r="AQ7" t="str">
        <f t="shared" si="14"/>
        <v/>
      </c>
      <c r="AR7" t="str">
        <f t="shared" si="15"/>
        <v/>
      </c>
      <c r="AS7" t="str">
        <f t="shared" si="16"/>
        <v/>
      </c>
      <c r="AT7" t="str">
        <f t="shared" si="17"/>
        <v/>
      </c>
      <c r="AU7" t="str">
        <f t="shared" si="18"/>
        <v/>
      </c>
      <c r="AV7" t="str">
        <f t="shared" si="19"/>
        <v/>
      </c>
      <c r="AW7" t="str">
        <f t="shared" si="20"/>
        <v/>
      </c>
      <c r="AX7" t="str">
        <f t="shared" si="21"/>
        <v/>
      </c>
      <c r="AY7" t="str">
        <f t="shared" si="22"/>
        <v/>
      </c>
      <c r="AZ7" t="str">
        <f t="shared" si="23"/>
        <v/>
      </c>
      <c r="BA7" t="str">
        <f t="shared" si="24"/>
        <v/>
      </c>
      <c r="BB7" t="str">
        <f t="shared" si="25"/>
        <v/>
      </c>
      <c r="BC7" t="str">
        <f t="shared" si="26"/>
        <v/>
      </c>
      <c r="BD7" t="str">
        <f t="shared" si="27"/>
        <v/>
      </c>
      <c r="BE7" t="str">
        <f t="shared" si="28"/>
        <v/>
      </c>
      <c r="BF7" t="str">
        <f t="shared" si="29"/>
        <v/>
      </c>
      <c r="BG7" t="str">
        <f t="shared" si="30"/>
        <v/>
      </c>
      <c r="BH7" t="str">
        <f t="shared" si="31"/>
        <v/>
      </c>
    </row>
    <row r="8" spans="1:66" x14ac:dyDescent="0.2">
      <c r="A8">
        <v>5</v>
      </c>
      <c r="B8">
        <v>43</v>
      </c>
      <c r="C8" t="s">
        <v>207</v>
      </c>
      <c r="D8">
        <v>1</v>
      </c>
      <c r="F8">
        <v>1</v>
      </c>
      <c r="K8">
        <v>3</v>
      </c>
      <c r="L8">
        <v>1</v>
      </c>
      <c r="N8">
        <v>4</v>
      </c>
      <c r="O8">
        <v>3</v>
      </c>
      <c r="S8">
        <v>1</v>
      </c>
      <c r="T8">
        <v>1</v>
      </c>
      <c r="X8">
        <f t="shared" si="33"/>
        <v>0</v>
      </c>
      <c r="Z8" t="str">
        <f t="shared" si="0"/>
        <v/>
      </c>
      <c r="AA8" t="str">
        <f t="shared" si="1"/>
        <v/>
      </c>
      <c r="AB8" t="str">
        <f t="shared" si="2"/>
        <v/>
      </c>
      <c r="AC8" t="str">
        <f t="shared" si="3"/>
        <v/>
      </c>
      <c r="AE8" t="str">
        <f t="shared" si="4"/>
        <v/>
      </c>
      <c r="AF8" t="str">
        <f t="shared" si="5"/>
        <v/>
      </c>
      <c r="AG8" t="str">
        <f t="shared" si="6"/>
        <v/>
      </c>
      <c r="AH8" t="str">
        <f t="shared" si="7"/>
        <v/>
      </c>
      <c r="AI8" t="str">
        <f t="shared" si="8"/>
        <v/>
      </c>
      <c r="AK8" t="str">
        <f t="shared" si="9"/>
        <v/>
      </c>
      <c r="AL8" t="str">
        <f t="shared" si="32"/>
        <v/>
      </c>
      <c r="AM8" t="str">
        <f t="shared" si="10"/>
        <v/>
      </c>
      <c r="AN8" t="str">
        <f t="shared" si="11"/>
        <v/>
      </c>
      <c r="AO8" t="str">
        <f t="shared" si="12"/>
        <v/>
      </c>
      <c r="AP8" t="str">
        <f t="shared" si="13"/>
        <v/>
      </c>
      <c r="AQ8" t="str">
        <f t="shared" si="14"/>
        <v/>
      </c>
      <c r="AR8" t="str">
        <f t="shared" si="15"/>
        <v/>
      </c>
      <c r="AS8" t="str">
        <f t="shared" si="16"/>
        <v/>
      </c>
      <c r="AT8" t="str">
        <f t="shared" si="17"/>
        <v/>
      </c>
      <c r="AU8" t="str">
        <f t="shared" si="18"/>
        <v/>
      </c>
      <c r="AV8" t="str">
        <f t="shared" si="19"/>
        <v/>
      </c>
      <c r="AW8" t="str">
        <f t="shared" si="20"/>
        <v/>
      </c>
      <c r="AX8" t="str">
        <f t="shared" si="21"/>
        <v/>
      </c>
      <c r="AY8" t="str">
        <f t="shared" si="22"/>
        <v/>
      </c>
      <c r="AZ8" t="str">
        <f t="shared" si="23"/>
        <v/>
      </c>
      <c r="BA8" t="str">
        <f t="shared" si="24"/>
        <v/>
      </c>
      <c r="BB8" t="str">
        <f t="shared" si="25"/>
        <v/>
      </c>
      <c r="BC8" t="str">
        <f t="shared" si="26"/>
        <v/>
      </c>
      <c r="BD8" t="str">
        <f t="shared" si="27"/>
        <v/>
      </c>
      <c r="BE8" t="str">
        <f t="shared" si="28"/>
        <v/>
      </c>
      <c r="BF8" t="str">
        <f t="shared" si="29"/>
        <v/>
      </c>
      <c r="BG8" t="str">
        <f t="shared" si="30"/>
        <v/>
      </c>
      <c r="BH8" t="str">
        <f t="shared" si="31"/>
        <v/>
      </c>
    </row>
    <row r="9" spans="1:66" x14ac:dyDescent="0.2">
      <c r="A9">
        <v>6</v>
      </c>
      <c r="B9">
        <v>53</v>
      </c>
      <c r="C9" t="s">
        <v>207</v>
      </c>
      <c r="D9">
        <v>1</v>
      </c>
      <c r="E9">
        <v>1</v>
      </c>
      <c r="F9">
        <v>1</v>
      </c>
      <c r="J9">
        <v>1</v>
      </c>
      <c r="K9">
        <v>4</v>
      </c>
      <c r="L9">
        <v>3</v>
      </c>
      <c r="N9">
        <v>4</v>
      </c>
      <c r="O9">
        <v>4</v>
      </c>
      <c r="S9">
        <v>1</v>
      </c>
      <c r="T9">
        <v>1</v>
      </c>
      <c r="X9">
        <f t="shared" si="33"/>
        <v>0</v>
      </c>
      <c r="Z9" t="str">
        <f t="shared" si="0"/>
        <v>5</v>
      </c>
      <c r="AA9" t="str">
        <f t="shared" si="1"/>
        <v/>
      </c>
      <c r="AB9" t="str">
        <f t="shared" si="2"/>
        <v/>
      </c>
      <c r="AC9" t="str">
        <f t="shared" si="3"/>
        <v/>
      </c>
      <c r="AE9" t="str">
        <f t="shared" si="4"/>
        <v/>
      </c>
      <c r="AF9" t="str">
        <f t="shared" si="5"/>
        <v/>
      </c>
      <c r="AG9" t="str">
        <f t="shared" si="6"/>
        <v/>
      </c>
      <c r="AH9" t="str">
        <f t="shared" si="7"/>
        <v/>
      </c>
      <c r="AI9" t="str">
        <f t="shared" si="8"/>
        <v/>
      </c>
      <c r="AK9" t="str">
        <f t="shared" si="9"/>
        <v/>
      </c>
      <c r="AL9" t="str">
        <f t="shared" si="32"/>
        <v/>
      </c>
      <c r="AM9" t="str">
        <f t="shared" si="10"/>
        <v/>
      </c>
      <c r="AN9" t="str">
        <f t="shared" si="11"/>
        <v/>
      </c>
      <c r="AO9" t="str">
        <f t="shared" si="12"/>
        <v/>
      </c>
      <c r="AP9" t="str">
        <f t="shared" si="13"/>
        <v/>
      </c>
      <c r="AQ9" t="str">
        <f t="shared" si="14"/>
        <v/>
      </c>
      <c r="AR9" t="str">
        <f t="shared" si="15"/>
        <v/>
      </c>
      <c r="AS9" t="str">
        <f t="shared" si="16"/>
        <v/>
      </c>
      <c r="AT9" t="str">
        <f t="shared" si="17"/>
        <v/>
      </c>
      <c r="AU9" t="str">
        <f t="shared" si="18"/>
        <v/>
      </c>
      <c r="AV9" t="str">
        <f t="shared" si="19"/>
        <v/>
      </c>
      <c r="AW9" t="str">
        <f t="shared" si="20"/>
        <v/>
      </c>
      <c r="AX9" t="str">
        <f t="shared" si="21"/>
        <v/>
      </c>
      <c r="AY9" t="str">
        <f t="shared" si="22"/>
        <v/>
      </c>
      <c r="AZ9" t="str">
        <f t="shared" si="23"/>
        <v/>
      </c>
      <c r="BA9" t="str">
        <f t="shared" si="24"/>
        <v/>
      </c>
      <c r="BB9" t="str">
        <f t="shared" si="25"/>
        <v/>
      </c>
      <c r="BC9" t="str">
        <f t="shared" si="26"/>
        <v/>
      </c>
      <c r="BD9" t="str">
        <f t="shared" si="27"/>
        <v/>
      </c>
      <c r="BE9" t="str">
        <f t="shared" si="28"/>
        <v/>
      </c>
      <c r="BF9" t="str">
        <f t="shared" si="29"/>
        <v/>
      </c>
      <c r="BG9" t="str">
        <f t="shared" si="30"/>
        <v/>
      </c>
      <c r="BH9" t="str">
        <f t="shared" si="31"/>
        <v/>
      </c>
    </row>
    <row r="10" spans="1:66" x14ac:dyDescent="0.2">
      <c r="A10">
        <v>7</v>
      </c>
      <c r="B10">
        <v>66</v>
      </c>
      <c r="C10" t="s">
        <v>207</v>
      </c>
      <c r="K10">
        <v>3</v>
      </c>
      <c r="L10">
        <v>1</v>
      </c>
      <c r="N10">
        <v>4</v>
      </c>
      <c r="O10">
        <v>4</v>
      </c>
      <c r="S10">
        <v>1</v>
      </c>
      <c r="T10">
        <v>1</v>
      </c>
      <c r="U10">
        <v>16</v>
      </c>
      <c r="X10">
        <f t="shared" si="33"/>
        <v>0</v>
      </c>
      <c r="Z10" t="str">
        <f t="shared" si="0"/>
        <v/>
      </c>
      <c r="AA10" t="str">
        <f t="shared" si="1"/>
        <v/>
      </c>
      <c r="AB10" t="str">
        <f t="shared" si="2"/>
        <v/>
      </c>
      <c r="AC10" t="str">
        <f t="shared" si="3"/>
        <v/>
      </c>
      <c r="AE10" t="str">
        <f t="shared" si="4"/>
        <v/>
      </c>
      <c r="AF10" t="str">
        <f t="shared" si="5"/>
        <v/>
      </c>
      <c r="AG10" t="str">
        <f t="shared" si="6"/>
        <v/>
      </c>
      <c r="AH10" t="str">
        <f t="shared" si="7"/>
        <v/>
      </c>
      <c r="AI10" t="str">
        <f t="shared" si="8"/>
        <v/>
      </c>
      <c r="AK10" t="str">
        <f t="shared" si="9"/>
        <v/>
      </c>
      <c r="AL10" t="str">
        <f t="shared" si="32"/>
        <v/>
      </c>
      <c r="AM10" t="str">
        <f t="shared" si="10"/>
        <v/>
      </c>
      <c r="AN10" t="str">
        <f t="shared" si="11"/>
        <v/>
      </c>
      <c r="AO10" t="str">
        <f t="shared" si="12"/>
        <v/>
      </c>
      <c r="AP10" t="str">
        <f t="shared" si="13"/>
        <v/>
      </c>
      <c r="AQ10" t="str">
        <f t="shared" si="14"/>
        <v/>
      </c>
      <c r="AR10" t="str">
        <f t="shared" si="15"/>
        <v/>
      </c>
      <c r="AS10" t="str">
        <f t="shared" si="16"/>
        <v/>
      </c>
      <c r="AT10" t="str">
        <f t="shared" si="17"/>
        <v/>
      </c>
      <c r="AU10" t="str">
        <f t="shared" si="18"/>
        <v/>
      </c>
      <c r="AV10" t="str">
        <f t="shared" si="19"/>
        <v/>
      </c>
      <c r="AW10" t="str">
        <f t="shared" si="20"/>
        <v/>
      </c>
      <c r="AX10" t="str">
        <f t="shared" si="21"/>
        <v/>
      </c>
      <c r="AY10" t="str">
        <f t="shared" si="22"/>
        <v/>
      </c>
      <c r="AZ10" t="str">
        <f t="shared" si="23"/>
        <v/>
      </c>
      <c r="BA10" t="str">
        <f t="shared" si="24"/>
        <v/>
      </c>
      <c r="BB10" t="str">
        <f t="shared" si="25"/>
        <v/>
      </c>
      <c r="BC10" t="str">
        <f t="shared" si="26"/>
        <v/>
      </c>
      <c r="BD10" t="str">
        <f t="shared" si="27"/>
        <v/>
      </c>
      <c r="BE10" t="str">
        <f t="shared" si="28"/>
        <v/>
      </c>
      <c r="BF10" t="str">
        <f t="shared" si="29"/>
        <v/>
      </c>
      <c r="BG10" t="str">
        <f t="shared" si="30"/>
        <v/>
      </c>
      <c r="BH10" t="str">
        <f t="shared" si="31"/>
        <v/>
      </c>
    </row>
    <row r="11" spans="1:66" x14ac:dyDescent="0.2">
      <c r="A11">
        <v>8</v>
      </c>
      <c r="B11">
        <v>79</v>
      </c>
      <c r="C11" t="s">
        <v>207</v>
      </c>
      <c r="I11">
        <v>5</v>
      </c>
      <c r="K11">
        <v>3</v>
      </c>
      <c r="N11">
        <v>3</v>
      </c>
      <c r="O11">
        <v>3</v>
      </c>
      <c r="S11">
        <v>1</v>
      </c>
      <c r="T11">
        <v>1</v>
      </c>
      <c r="X11">
        <f t="shared" si="33"/>
        <v>0</v>
      </c>
      <c r="Z11" t="str">
        <f t="shared" si="0"/>
        <v/>
      </c>
      <c r="AA11" t="str">
        <f t="shared" si="1"/>
        <v/>
      </c>
      <c r="AB11" t="str">
        <f t="shared" si="2"/>
        <v/>
      </c>
      <c r="AC11" t="str">
        <f t="shared" si="3"/>
        <v/>
      </c>
      <c r="AE11" t="str">
        <f t="shared" si="4"/>
        <v/>
      </c>
      <c r="AF11" t="str">
        <f t="shared" si="5"/>
        <v/>
      </c>
      <c r="AG11" t="str">
        <f t="shared" si="6"/>
        <v/>
      </c>
      <c r="AH11" t="str">
        <f t="shared" si="7"/>
        <v/>
      </c>
      <c r="AI11" t="str">
        <f t="shared" si="8"/>
        <v/>
      </c>
      <c r="AK11" t="str">
        <f t="shared" si="9"/>
        <v/>
      </c>
      <c r="AL11" t="str">
        <f t="shared" si="32"/>
        <v/>
      </c>
      <c r="AM11" t="str">
        <f t="shared" si="10"/>
        <v/>
      </c>
      <c r="AN11" t="str">
        <f t="shared" si="11"/>
        <v/>
      </c>
      <c r="AO11" t="str">
        <f t="shared" si="12"/>
        <v/>
      </c>
      <c r="AP11" t="str">
        <f t="shared" si="13"/>
        <v/>
      </c>
      <c r="AQ11" t="str">
        <f t="shared" si="14"/>
        <v/>
      </c>
      <c r="AR11" t="str">
        <f t="shared" si="15"/>
        <v/>
      </c>
      <c r="AS11" t="str">
        <f t="shared" si="16"/>
        <v/>
      </c>
      <c r="AT11" t="str">
        <f t="shared" si="17"/>
        <v/>
      </c>
      <c r="AU11" t="str">
        <f t="shared" si="18"/>
        <v/>
      </c>
      <c r="AV11" t="str">
        <f t="shared" si="19"/>
        <v/>
      </c>
      <c r="AW11" t="str">
        <f t="shared" si="20"/>
        <v/>
      </c>
      <c r="AX11" t="str">
        <f t="shared" si="21"/>
        <v/>
      </c>
      <c r="AY11" t="str">
        <f t="shared" si="22"/>
        <v/>
      </c>
      <c r="AZ11" t="str">
        <f t="shared" si="23"/>
        <v/>
      </c>
      <c r="BA11" t="str">
        <f t="shared" si="24"/>
        <v/>
      </c>
      <c r="BB11" t="str">
        <f t="shared" si="25"/>
        <v/>
      </c>
      <c r="BC11" t="str">
        <f t="shared" si="26"/>
        <v/>
      </c>
      <c r="BD11" t="str">
        <f t="shared" si="27"/>
        <v/>
      </c>
      <c r="BE11" t="str">
        <f t="shared" si="28"/>
        <v/>
      </c>
      <c r="BF11" t="str">
        <f t="shared" si="29"/>
        <v/>
      </c>
      <c r="BG11" t="str">
        <f t="shared" si="30"/>
        <v/>
      </c>
      <c r="BH11" t="str">
        <f t="shared" si="31"/>
        <v/>
      </c>
    </row>
    <row r="12" spans="1:66" x14ac:dyDescent="0.2">
      <c r="A12">
        <v>9</v>
      </c>
      <c r="B12">
        <v>88</v>
      </c>
      <c r="C12" t="s">
        <v>39</v>
      </c>
      <c r="D12">
        <v>1</v>
      </c>
      <c r="F12">
        <v>1</v>
      </c>
      <c r="K12">
        <v>3</v>
      </c>
      <c r="N12">
        <v>4</v>
      </c>
      <c r="O12">
        <v>4</v>
      </c>
      <c r="S12">
        <v>1</v>
      </c>
      <c r="U12">
        <v>9</v>
      </c>
      <c r="X12">
        <f t="shared" si="33"/>
        <v>0</v>
      </c>
      <c r="Z12" t="str">
        <f t="shared" si="0"/>
        <v/>
      </c>
      <c r="AA12" t="str">
        <f t="shared" si="1"/>
        <v/>
      </c>
      <c r="AB12" t="str">
        <f t="shared" si="2"/>
        <v/>
      </c>
      <c r="AC12" t="str">
        <f t="shared" si="3"/>
        <v/>
      </c>
      <c r="AE12" t="str">
        <f t="shared" si="4"/>
        <v/>
      </c>
      <c r="AF12" t="str">
        <f t="shared" si="5"/>
        <v/>
      </c>
      <c r="AG12" t="str">
        <f t="shared" si="6"/>
        <v/>
      </c>
      <c r="AH12" t="str">
        <f t="shared" si="7"/>
        <v/>
      </c>
      <c r="AI12" t="str">
        <f t="shared" si="8"/>
        <v/>
      </c>
      <c r="AK12" t="str">
        <f t="shared" si="9"/>
        <v/>
      </c>
      <c r="AL12" t="str">
        <f t="shared" si="32"/>
        <v/>
      </c>
      <c r="AM12" t="str">
        <f t="shared" si="10"/>
        <v/>
      </c>
      <c r="AN12" t="str">
        <f t="shared" si="11"/>
        <v/>
      </c>
      <c r="AO12" t="str">
        <f t="shared" si="12"/>
        <v/>
      </c>
      <c r="AP12" t="str">
        <f t="shared" si="13"/>
        <v/>
      </c>
      <c r="AQ12" t="str">
        <f t="shared" si="14"/>
        <v/>
      </c>
      <c r="AR12" t="str">
        <f t="shared" si="15"/>
        <v/>
      </c>
      <c r="AS12" t="str">
        <f t="shared" si="16"/>
        <v/>
      </c>
      <c r="AT12" t="str">
        <f t="shared" si="17"/>
        <v/>
      </c>
      <c r="AU12" t="str">
        <f t="shared" si="18"/>
        <v/>
      </c>
      <c r="AV12" t="str">
        <f t="shared" si="19"/>
        <v/>
      </c>
      <c r="AW12" t="str">
        <f t="shared" si="20"/>
        <v/>
      </c>
      <c r="AX12" t="str">
        <f t="shared" si="21"/>
        <v/>
      </c>
      <c r="AY12" t="str">
        <f t="shared" si="22"/>
        <v/>
      </c>
      <c r="AZ12" t="str">
        <f t="shared" si="23"/>
        <v/>
      </c>
      <c r="BA12" t="str">
        <f t="shared" si="24"/>
        <v/>
      </c>
      <c r="BB12" t="str">
        <f t="shared" si="25"/>
        <v/>
      </c>
      <c r="BC12" t="str">
        <f t="shared" si="26"/>
        <v/>
      </c>
      <c r="BD12" t="str">
        <f t="shared" si="27"/>
        <v/>
      </c>
      <c r="BE12" t="str">
        <f t="shared" si="28"/>
        <v/>
      </c>
      <c r="BF12" t="str">
        <f t="shared" si="29"/>
        <v/>
      </c>
      <c r="BG12" t="str">
        <f t="shared" si="30"/>
        <v/>
      </c>
      <c r="BH12" t="str">
        <f t="shared" si="31"/>
        <v/>
      </c>
    </row>
    <row r="13" spans="1:66" x14ac:dyDescent="0.2">
      <c r="A13">
        <v>10</v>
      </c>
      <c r="B13">
        <v>93</v>
      </c>
      <c r="C13" t="s">
        <v>207</v>
      </c>
      <c r="D13">
        <v>1</v>
      </c>
      <c r="K13">
        <v>3</v>
      </c>
      <c r="N13">
        <v>4</v>
      </c>
      <c r="O13">
        <v>4</v>
      </c>
      <c r="S13">
        <v>1</v>
      </c>
      <c r="T13">
        <v>1</v>
      </c>
      <c r="U13">
        <v>11</v>
      </c>
      <c r="X13">
        <f t="shared" si="33"/>
        <v>0</v>
      </c>
      <c r="Z13" t="str">
        <f t="shared" si="0"/>
        <v/>
      </c>
      <c r="AA13" t="str">
        <f t="shared" si="1"/>
        <v/>
      </c>
      <c r="AB13" t="str">
        <f t="shared" si="2"/>
        <v/>
      </c>
      <c r="AC13" t="str">
        <f t="shared" si="3"/>
        <v/>
      </c>
      <c r="AE13" t="str">
        <f t="shared" si="4"/>
        <v/>
      </c>
      <c r="AF13" t="str">
        <f t="shared" si="5"/>
        <v/>
      </c>
      <c r="AG13" t="str">
        <f t="shared" si="6"/>
        <v/>
      </c>
      <c r="AH13" t="str">
        <f t="shared" si="7"/>
        <v/>
      </c>
      <c r="AI13" t="str">
        <f t="shared" si="8"/>
        <v/>
      </c>
      <c r="AK13" t="str">
        <f t="shared" si="9"/>
        <v/>
      </c>
      <c r="AL13" t="str">
        <f t="shared" si="32"/>
        <v/>
      </c>
      <c r="AM13" t="str">
        <f t="shared" si="10"/>
        <v/>
      </c>
      <c r="AN13" t="str">
        <f t="shared" si="11"/>
        <v/>
      </c>
      <c r="AO13" t="str">
        <f t="shared" si="12"/>
        <v/>
      </c>
      <c r="AP13" t="str">
        <f t="shared" si="13"/>
        <v/>
      </c>
      <c r="AQ13" t="str">
        <f t="shared" si="14"/>
        <v/>
      </c>
      <c r="AR13" t="str">
        <f t="shared" si="15"/>
        <v/>
      </c>
      <c r="AS13" t="str">
        <f t="shared" si="16"/>
        <v/>
      </c>
      <c r="AT13" t="str">
        <f t="shared" si="17"/>
        <v/>
      </c>
      <c r="AU13" t="str">
        <f t="shared" si="18"/>
        <v/>
      </c>
      <c r="AV13" t="str">
        <f t="shared" si="19"/>
        <v/>
      </c>
      <c r="AW13" t="str">
        <f t="shared" si="20"/>
        <v/>
      </c>
      <c r="AX13" t="str">
        <f t="shared" si="21"/>
        <v/>
      </c>
      <c r="AY13" t="str">
        <f t="shared" si="22"/>
        <v/>
      </c>
      <c r="AZ13" t="str">
        <f t="shared" si="23"/>
        <v/>
      </c>
      <c r="BA13" t="str">
        <f t="shared" si="24"/>
        <v/>
      </c>
      <c r="BB13" t="str">
        <f t="shared" si="25"/>
        <v/>
      </c>
      <c r="BC13" t="str">
        <f t="shared" si="26"/>
        <v/>
      </c>
      <c r="BD13" t="str">
        <f t="shared" si="27"/>
        <v/>
      </c>
      <c r="BE13" t="str">
        <f t="shared" si="28"/>
        <v/>
      </c>
      <c r="BF13" t="str">
        <f t="shared" si="29"/>
        <v/>
      </c>
      <c r="BG13" t="str">
        <f t="shared" si="30"/>
        <v/>
      </c>
      <c r="BH13" t="str">
        <f t="shared" si="31"/>
        <v/>
      </c>
    </row>
    <row r="14" spans="1:66" x14ac:dyDescent="0.2">
      <c r="A14">
        <v>11</v>
      </c>
      <c r="B14">
        <v>101</v>
      </c>
      <c r="C14" t="s">
        <v>39</v>
      </c>
      <c r="D14">
        <v>1</v>
      </c>
      <c r="F14">
        <v>1</v>
      </c>
      <c r="K14">
        <v>2</v>
      </c>
      <c r="N14">
        <v>3</v>
      </c>
      <c r="O14">
        <v>3</v>
      </c>
      <c r="S14">
        <v>1</v>
      </c>
      <c r="U14">
        <v>5</v>
      </c>
      <c r="X14">
        <f t="shared" si="33"/>
        <v>0</v>
      </c>
      <c r="Z14" t="s">
        <v>31</v>
      </c>
      <c r="AE14" t="s">
        <v>34</v>
      </c>
      <c r="AK14" t="s">
        <v>43</v>
      </c>
      <c r="AP14" t="s">
        <v>84</v>
      </c>
    </row>
    <row r="15" spans="1:66" x14ac:dyDescent="0.2">
      <c r="A15">
        <v>12</v>
      </c>
      <c r="B15">
        <v>111</v>
      </c>
      <c r="C15" t="s">
        <v>39</v>
      </c>
      <c r="K15">
        <v>2</v>
      </c>
      <c r="L15">
        <v>2</v>
      </c>
      <c r="N15">
        <v>3</v>
      </c>
      <c r="O15">
        <v>3</v>
      </c>
      <c r="S15">
        <v>1</v>
      </c>
      <c r="T15">
        <v>1</v>
      </c>
      <c r="X15">
        <f t="shared" si="33"/>
        <v>0</v>
      </c>
      <c r="Z15" t="s">
        <v>21</v>
      </c>
      <c r="AA15" t="s">
        <v>22</v>
      </c>
      <c r="AE15" t="s">
        <v>21</v>
      </c>
      <c r="AF15" t="s">
        <v>22</v>
      </c>
      <c r="AG15" t="s">
        <v>35</v>
      </c>
      <c r="AK15" t="s">
        <v>10</v>
      </c>
      <c r="AL15" t="s">
        <v>25</v>
      </c>
      <c r="AM15" t="s">
        <v>26</v>
      </c>
      <c r="AN15" t="s">
        <v>27</v>
      </c>
      <c r="AP15" t="s">
        <v>15</v>
      </c>
      <c r="AQ15" t="s">
        <v>85</v>
      </c>
    </row>
    <row r="16" spans="1:66" x14ac:dyDescent="0.2">
      <c r="A16" t="s">
        <v>28</v>
      </c>
      <c r="D16">
        <f>SUM(D4:D15)</f>
        <v>9</v>
      </c>
      <c r="E16">
        <f>SUM(E4:E15)</f>
        <v>2</v>
      </c>
      <c r="F16">
        <f>SUM(F4:F15)</f>
        <v>6</v>
      </c>
      <c r="G16">
        <f>SUM(G4:G15)</f>
        <v>0</v>
      </c>
      <c r="H16">
        <f>SUM(H4:H15)</f>
        <v>0</v>
      </c>
      <c r="K16">
        <f>SUM(K4:K15)</f>
        <v>33</v>
      </c>
      <c r="L16">
        <f>SUM(L4:L15)</f>
        <v>14</v>
      </c>
      <c r="M16">
        <f>SUM(M4:M15)</f>
        <v>0</v>
      </c>
      <c r="N16">
        <f>SUM(N4:N15)</f>
        <v>39</v>
      </c>
      <c r="O16">
        <f>SUM(O4:O15)</f>
        <v>36</v>
      </c>
      <c r="Q16">
        <f t="shared" ref="Q16:R16" si="34">SUM(Q4:Q15)</f>
        <v>0</v>
      </c>
      <c r="R16">
        <f t="shared" si="34"/>
        <v>0</v>
      </c>
      <c r="S16">
        <f>SUM(S4:S15)</f>
        <v>12</v>
      </c>
      <c r="T16">
        <f>SUM(T4:T15)</f>
        <v>8</v>
      </c>
      <c r="U16">
        <f>SUM(U4:U15)</f>
        <v>52</v>
      </c>
      <c r="V16">
        <f>SUM(V4:V15)</f>
        <v>0</v>
      </c>
      <c r="W16">
        <f>SUM(W4:W15)</f>
        <v>0</v>
      </c>
      <c r="Z16">
        <f t="shared" ref="Z16:Z27" si="35">COUNTIF(Z2:AC2, "3")*COUNTIF(C4, "r")+COUNTIF(Z2:AC2, "5")*COUNTIF(C4, "b")</f>
        <v>0</v>
      </c>
      <c r="AA16">
        <f t="shared" ref="AA16:AA27" si="36">COUNTIF(Z2:AC2, "1")+COUNTIF(Z2:AC2, "2")+COUNTIF(Z2:AC2, "4")</f>
        <v>0</v>
      </c>
      <c r="AE16">
        <f t="shared" ref="AE16:AE27" si="37">COUNTIF(AE2:AI2, "3")*COUNTIF(C4, "r") + COUNTIF(AE2:AI2, "5")*COUNTIF(C4, "b")</f>
        <v>0</v>
      </c>
      <c r="AF16">
        <f t="shared" ref="AF16:AF27" si="38">COUNTIF(AE2:AI2, "1")+COUNTIF(AE2:AI2, "2")+COUNTIF(AE2:AI2, "4")</f>
        <v>0</v>
      </c>
      <c r="AG16">
        <f t="shared" ref="AG16:AG27" si="39">COUNTIF(AE2:AI2, "3")*COUNTIF(AE2:AI2, "b")+COUNTIF(AE2:AI2, "5")*COUNTIF(AE2:AI2, "r")</f>
        <v>0</v>
      </c>
      <c r="AK16">
        <f t="shared" ref="AK16:AK27" si="40">SUMPRODUCT(LEN($AK2:$BH2) - LEN(SUBSTITUTE($AK2:$BH2, "g", "")))</f>
        <v>0</v>
      </c>
      <c r="AL16">
        <f t="shared" ref="AL16:AL27" si="41">SUMPRODUCT(LEN($AK2:$BH2) - LEN(SUBSTITUTE($AK2:$BH2, "h", "")))</f>
        <v>0</v>
      </c>
      <c r="AM16">
        <f t="shared" ref="AM16:AM27" si="42">SUMPRODUCT(LEN($AK2:$BH2) - LEN(SUBSTITUTE($AK2:$BH2, "v", "")))</f>
        <v>0</v>
      </c>
      <c r="AN16">
        <f t="shared" ref="AN16:AN27" si="43">SUMPRODUCT(LEN($AK2:$BH2) - LEN(SUBSTITUTE($AK2:$BH2, "r", "")))</f>
        <v>0</v>
      </c>
      <c r="AP16">
        <f>MAX(AQ16:BN16)</f>
        <v>0</v>
      </c>
      <c r="AQ16" s="4">
        <f>_xlfn.NUMBERVALUE(RIGHT(AK2,1))</f>
        <v>0</v>
      </c>
      <c r="AR16" s="4">
        <f t="shared" ref="AR16:BG27" si="44">_xlfn.NUMBERVALUE(RIGHT(AL2,1))</f>
        <v>0</v>
      </c>
      <c r="AS16" s="4">
        <f t="shared" si="44"/>
        <v>0</v>
      </c>
      <c r="AT16" s="4">
        <f t="shared" si="44"/>
        <v>0</v>
      </c>
      <c r="AU16" s="4">
        <f t="shared" si="44"/>
        <v>0</v>
      </c>
      <c r="AV16" s="4">
        <f t="shared" si="44"/>
        <v>0</v>
      </c>
      <c r="AW16" s="4">
        <f t="shared" si="44"/>
        <v>0</v>
      </c>
      <c r="AX16" s="4">
        <f t="shared" si="44"/>
        <v>0</v>
      </c>
      <c r="AY16" s="4">
        <f t="shared" si="44"/>
        <v>0</v>
      </c>
      <c r="AZ16" s="4">
        <f t="shared" si="44"/>
        <v>0</v>
      </c>
      <c r="BA16" s="4">
        <f t="shared" si="44"/>
        <v>0</v>
      </c>
      <c r="BB16" s="4">
        <f t="shared" si="44"/>
        <v>0</v>
      </c>
      <c r="BC16" s="4">
        <f t="shared" si="44"/>
        <v>0</v>
      </c>
      <c r="BD16" s="4">
        <f t="shared" si="44"/>
        <v>0</v>
      </c>
      <c r="BE16" s="4">
        <f t="shared" si="44"/>
        <v>0</v>
      </c>
      <c r="BF16" s="4">
        <f t="shared" si="44"/>
        <v>0</v>
      </c>
      <c r="BG16" s="4">
        <f t="shared" si="44"/>
        <v>0</v>
      </c>
      <c r="BH16" s="4">
        <f t="shared" ref="BH16:BN27" si="45">_xlfn.NUMBERVALUE(RIGHT(BB2,1))</f>
        <v>0</v>
      </c>
      <c r="BI16" s="4">
        <f t="shared" si="45"/>
        <v>0</v>
      </c>
      <c r="BJ16" s="4">
        <f t="shared" si="45"/>
        <v>0</v>
      </c>
      <c r="BK16" s="4">
        <f t="shared" si="45"/>
        <v>0</v>
      </c>
      <c r="BL16" s="4">
        <f t="shared" si="45"/>
        <v>0</v>
      </c>
      <c r="BM16" s="4">
        <f t="shared" si="45"/>
        <v>0</v>
      </c>
      <c r="BN16" s="4">
        <f t="shared" si="45"/>
        <v>0</v>
      </c>
    </row>
    <row r="17" spans="1:66" x14ac:dyDescent="0.2">
      <c r="A17" s="1" t="s">
        <v>20</v>
      </c>
      <c r="D17" s="1" t="s">
        <v>49</v>
      </c>
      <c r="G17" s="1" t="s">
        <v>52</v>
      </c>
      <c r="K17" s="3" t="s">
        <v>74</v>
      </c>
      <c r="P17" s="1" t="s">
        <v>66</v>
      </c>
      <c r="Z17">
        <f t="shared" si="35"/>
        <v>0</v>
      </c>
      <c r="AA17">
        <f t="shared" si="36"/>
        <v>0</v>
      </c>
      <c r="AE17">
        <f t="shared" si="37"/>
        <v>0</v>
      </c>
      <c r="AF17">
        <f t="shared" si="38"/>
        <v>0</v>
      </c>
      <c r="AG17">
        <f t="shared" si="39"/>
        <v>0</v>
      </c>
      <c r="AK17">
        <f t="shared" si="40"/>
        <v>0</v>
      </c>
      <c r="AL17">
        <f t="shared" si="41"/>
        <v>0</v>
      </c>
      <c r="AM17">
        <f t="shared" si="42"/>
        <v>0</v>
      </c>
      <c r="AN17">
        <f t="shared" si="43"/>
        <v>0</v>
      </c>
      <c r="AP17">
        <f t="shared" ref="AP17:AP27" si="46">MAX(AQ17:BN17)</f>
        <v>0</v>
      </c>
      <c r="AQ17" s="4">
        <f t="shared" ref="AQ17:AQ27" si="47">_xlfn.NUMBERVALUE(RIGHT(AK3,1))</f>
        <v>0</v>
      </c>
      <c r="AR17" s="4">
        <f t="shared" si="44"/>
        <v>0</v>
      </c>
      <c r="AS17" s="4">
        <f t="shared" si="44"/>
        <v>0</v>
      </c>
      <c r="AT17" s="4">
        <f t="shared" si="44"/>
        <v>0</v>
      </c>
      <c r="AU17" s="4">
        <f t="shared" si="44"/>
        <v>0</v>
      </c>
      <c r="AV17" s="4">
        <f t="shared" si="44"/>
        <v>0</v>
      </c>
      <c r="AW17" s="4">
        <f t="shared" si="44"/>
        <v>0</v>
      </c>
      <c r="AX17" s="4">
        <f t="shared" si="44"/>
        <v>0</v>
      </c>
      <c r="AY17" s="4">
        <f t="shared" si="44"/>
        <v>0</v>
      </c>
      <c r="AZ17" s="4">
        <f t="shared" si="44"/>
        <v>0</v>
      </c>
      <c r="BA17" s="4">
        <f t="shared" si="44"/>
        <v>0</v>
      </c>
      <c r="BB17" s="4">
        <f t="shared" si="44"/>
        <v>0</v>
      </c>
      <c r="BC17" s="4">
        <f t="shared" si="44"/>
        <v>0</v>
      </c>
      <c r="BD17" s="4">
        <f t="shared" si="44"/>
        <v>0</v>
      </c>
      <c r="BE17" s="4">
        <f t="shared" si="44"/>
        <v>0</v>
      </c>
      <c r="BF17" s="4">
        <f t="shared" si="44"/>
        <v>0</v>
      </c>
      <c r="BG17" s="4">
        <f t="shared" si="44"/>
        <v>0</v>
      </c>
      <c r="BH17" s="4">
        <f t="shared" si="45"/>
        <v>0</v>
      </c>
      <c r="BI17" s="4">
        <f t="shared" si="45"/>
        <v>0</v>
      </c>
      <c r="BJ17" s="4">
        <f t="shared" si="45"/>
        <v>0</v>
      </c>
      <c r="BK17" s="4">
        <f t="shared" si="45"/>
        <v>0</v>
      </c>
      <c r="BL17" s="4">
        <f t="shared" si="45"/>
        <v>0</v>
      </c>
      <c r="BM17" s="4">
        <f t="shared" si="45"/>
        <v>0</v>
      </c>
      <c r="BN17" s="4">
        <f t="shared" si="45"/>
        <v>0</v>
      </c>
    </row>
    <row r="18" spans="1:66" x14ac:dyDescent="0.2">
      <c r="A18" t="s">
        <v>32</v>
      </c>
      <c r="B18" t="s">
        <v>21</v>
      </c>
      <c r="D18" t="s">
        <v>180</v>
      </c>
      <c r="G18" s="3" t="s">
        <v>53</v>
      </c>
      <c r="K18" t="s">
        <v>55</v>
      </c>
      <c r="M18" t="s">
        <v>65</v>
      </c>
      <c r="P18" t="s">
        <v>67</v>
      </c>
      <c r="Z18">
        <f t="shared" si="35"/>
        <v>0</v>
      </c>
      <c r="AA18">
        <f t="shared" si="36"/>
        <v>0</v>
      </c>
      <c r="AE18">
        <f t="shared" si="37"/>
        <v>0</v>
      </c>
      <c r="AF18">
        <f t="shared" si="38"/>
        <v>0</v>
      </c>
      <c r="AG18">
        <f t="shared" si="39"/>
        <v>0</v>
      </c>
      <c r="AK18">
        <f t="shared" si="40"/>
        <v>0</v>
      </c>
      <c r="AL18">
        <f t="shared" si="41"/>
        <v>0</v>
      </c>
      <c r="AM18">
        <f t="shared" si="42"/>
        <v>0</v>
      </c>
      <c r="AN18">
        <f t="shared" si="43"/>
        <v>0</v>
      </c>
      <c r="AP18">
        <f t="shared" si="46"/>
        <v>0</v>
      </c>
      <c r="AQ18" s="4">
        <f t="shared" si="47"/>
        <v>0</v>
      </c>
      <c r="AR18" s="4">
        <f t="shared" si="44"/>
        <v>0</v>
      </c>
      <c r="AS18" s="4">
        <f t="shared" si="44"/>
        <v>0</v>
      </c>
      <c r="AT18" s="4">
        <f t="shared" si="44"/>
        <v>0</v>
      </c>
      <c r="AU18" s="4">
        <f t="shared" si="44"/>
        <v>0</v>
      </c>
      <c r="AV18" s="4">
        <f t="shared" si="44"/>
        <v>0</v>
      </c>
      <c r="AW18" s="4">
        <f t="shared" si="44"/>
        <v>0</v>
      </c>
      <c r="AX18" s="4">
        <f t="shared" si="44"/>
        <v>0</v>
      </c>
      <c r="AY18" s="4">
        <f t="shared" si="44"/>
        <v>0</v>
      </c>
      <c r="AZ18" s="4">
        <f t="shared" si="44"/>
        <v>0</v>
      </c>
      <c r="BA18" s="4">
        <f t="shared" si="44"/>
        <v>0</v>
      </c>
      <c r="BB18" s="4">
        <f t="shared" si="44"/>
        <v>0</v>
      </c>
      <c r="BC18" s="4">
        <f t="shared" si="44"/>
        <v>0</v>
      </c>
      <c r="BD18" s="4">
        <f t="shared" si="44"/>
        <v>0</v>
      </c>
      <c r="BE18" s="4">
        <f t="shared" si="44"/>
        <v>0</v>
      </c>
      <c r="BF18" s="4">
        <f t="shared" si="44"/>
        <v>0</v>
      </c>
      <c r="BG18" s="4">
        <f t="shared" si="44"/>
        <v>0</v>
      </c>
      <c r="BH18" s="4">
        <f t="shared" si="45"/>
        <v>0</v>
      </c>
      <c r="BI18" s="4">
        <f t="shared" si="45"/>
        <v>0</v>
      </c>
      <c r="BJ18" s="4">
        <f t="shared" si="45"/>
        <v>0</v>
      </c>
      <c r="BK18" s="4">
        <f t="shared" si="45"/>
        <v>0</v>
      </c>
      <c r="BL18" s="4">
        <f t="shared" si="45"/>
        <v>0</v>
      </c>
      <c r="BM18" s="4">
        <f t="shared" si="45"/>
        <v>0</v>
      </c>
      <c r="BN18" s="4">
        <f t="shared" si="45"/>
        <v>0</v>
      </c>
    </row>
    <row r="19" spans="1:66" x14ac:dyDescent="0.2">
      <c r="A19" t="s">
        <v>40</v>
      </c>
      <c r="B19" t="s">
        <v>22</v>
      </c>
      <c r="D19">
        <f>E16/D16</f>
        <v>0.22222222222222221</v>
      </c>
      <c r="G19" t="s">
        <v>75</v>
      </c>
      <c r="K19">
        <f>O16/N16</f>
        <v>0.92307692307692313</v>
      </c>
      <c r="M19">
        <f>SUM(M39:M50)</f>
        <v>-3</v>
      </c>
      <c r="P19">
        <f>T16/S16</f>
        <v>0.66666666666666663</v>
      </c>
      <c r="Z19">
        <f t="shared" si="35"/>
        <v>0</v>
      </c>
      <c r="AA19">
        <f t="shared" si="36"/>
        <v>0</v>
      </c>
      <c r="AE19">
        <f t="shared" si="37"/>
        <v>0</v>
      </c>
      <c r="AF19">
        <f t="shared" si="38"/>
        <v>0</v>
      </c>
      <c r="AG19">
        <f t="shared" si="39"/>
        <v>0</v>
      </c>
      <c r="AK19">
        <f t="shared" si="40"/>
        <v>0</v>
      </c>
      <c r="AL19">
        <f t="shared" si="41"/>
        <v>0</v>
      </c>
      <c r="AM19">
        <f t="shared" si="42"/>
        <v>0</v>
      </c>
      <c r="AN19">
        <f t="shared" si="43"/>
        <v>0</v>
      </c>
      <c r="AP19">
        <f t="shared" si="46"/>
        <v>0</v>
      </c>
      <c r="AQ19" s="4">
        <f t="shared" si="47"/>
        <v>0</v>
      </c>
      <c r="AR19" s="4">
        <f t="shared" si="44"/>
        <v>0</v>
      </c>
      <c r="AS19" s="4">
        <f t="shared" si="44"/>
        <v>0</v>
      </c>
      <c r="AT19" s="4">
        <f t="shared" si="44"/>
        <v>0</v>
      </c>
      <c r="AU19" s="4">
        <f t="shared" si="44"/>
        <v>0</v>
      </c>
      <c r="AV19" s="4">
        <f t="shared" si="44"/>
        <v>0</v>
      </c>
      <c r="AW19" s="4">
        <f t="shared" si="44"/>
        <v>0</v>
      </c>
      <c r="AX19" s="4">
        <f t="shared" si="44"/>
        <v>0</v>
      </c>
      <c r="AY19" s="4">
        <f t="shared" si="44"/>
        <v>0</v>
      </c>
      <c r="AZ19" s="4">
        <f t="shared" si="44"/>
        <v>0</v>
      </c>
      <c r="BA19" s="4">
        <f t="shared" si="44"/>
        <v>0</v>
      </c>
      <c r="BB19" s="4">
        <f t="shared" si="44"/>
        <v>0</v>
      </c>
      <c r="BC19" s="4">
        <f t="shared" si="44"/>
        <v>0</v>
      </c>
      <c r="BD19" s="4">
        <f t="shared" si="44"/>
        <v>0</v>
      </c>
      <c r="BE19" s="4">
        <f t="shared" si="44"/>
        <v>0</v>
      </c>
      <c r="BF19" s="4">
        <f t="shared" si="44"/>
        <v>0</v>
      </c>
      <c r="BG19" s="4">
        <f t="shared" si="44"/>
        <v>0</v>
      </c>
      <c r="BH19" s="4">
        <f t="shared" si="45"/>
        <v>0</v>
      </c>
      <c r="BI19" s="4">
        <f t="shared" si="45"/>
        <v>0</v>
      </c>
      <c r="BJ19" s="4">
        <f t="shared" si="45"/>
        <v>0</v>
      </c>
      <c r="BK19" s="4">
        <f t="shared" si="45"/>
        <v>0</v>
      </c>
      <c r="BL19" s="4">
        <f t="shared" si="45"/>
        <v>0</v>
      </c>
      <c r="BM19" s="4">
        <f t="shared" si="45"/>
        <v>0</v>
      </c>
      <c r="BN19" s="4">
        <f t="shared" si="45"/>
        <v>0</v>
      </c>
    </row>
    <row r="20" spans="1:66" x14ac:dyDescent="0.2">
      <c r="A20" t="s">
        <v>41</v>
      </c>
      <c r="B20" t="s">
        <v>23</v>
      </c>
      <c r="D20" t="s">
        <v>47</v>
      </c>
      <c r="G20" t="e">
        <f>AK28/AP28</f>
        <v>#DIV/0!</v>
      </c>
      <c r="K20" t="s">
        <v>13</v>
      </c>
      <c r="Z20">
        <f t="shared" si="35"/>
        <v>0</v>
      </c>
      <c r="AA20">
        <f t="shared" si="36"/>
        <v>0</v>
      </c>
      <c r="AE20">
        <f t="shared" si="37"/>
        <v>0</v>
      </c>
      <c r="AF20">
        <f t="shared" si="38"/>
        <v>0</v>
      </c>
      <c r="AG20">
        <f t="shared" si="39"/>
        <v>0</v>
      </c>
      <c r="AK20">
        <f t="shared" si="40"/>
        <v>0</v>
      </c>
      <c r="AL20">
        <f t="shared" si="41"/>
        <v>0</v>
      </c>
      <c r="AM20">
        <f t="shared" si="42"/>
        <v>0</v>
      </c>
      <c r="AN20">
        <f t="shared" si="43"/>
        <v>0</v>
      </c>
      <c r="AP20">
        <f t="shared" si="46"/>
        <v>0</v>
      </c>
      <c r="AQ20" s="4">
        <f t="shared" si="47"/>
        <v>0</v>
      </c>
      <c r="AR20" s="4">
        <f t="shared" si="44"/>
        <v>0</v>
      </c>
      <c r="AS20" s="4">
        <f t="shared" si="44"/>
        <v>0</v>
      </c>
      <c r="AT20" s="4">
        <f t="shared" si="44"/>
        <v>0</v>
      </c>
      <c r="AU20" s="4">
        <f t="shared" si="44"/>
        <v>0</v>
      </c>
      <c r="AV20" s="4">
        <f t="shared" si="44"/>
        <v>0</v>
      </c>
      <c r="AW20" s="4">
        <f t="shared" si="44"/>
        <v>0</v>
      </c>
      <c r="AX20" s="4">
        <f t="shared" si="44"/>
        <v>0</v>
      </c>
      <c r="AY20" s="4">
        <f t="shared" si="44"/>
        <v>0</v>
      </c>
      <c r="AZ20" s="4">
        <f t="shared" si="44"/>
        <v>0</v>
      </c>
      <c r="BA20" s="4">
        <f t="shared" si="44"/>
        <v>0</v>
      </c>
      <c r="BB20" s="4">
        <f t="shared" si="44"/>
        <v>0</v>
      </c>
      <c r="BC20" s="4">
        <f t="shared" si="44"/>
        <v>0</v>
      </c>
      <c r="BD20" s="4">
        <f t="shared" si="44"/>
        <v>0</v>
      </c>
      <c r="BE20" s="4">
        <f t="shared" si="44"/>
        <v>0</v>
      </c>
      <c r="BF20" s="4">
        <f t="shared" si="44"/>
        <v>0</v>
      </c>
      <c r="BG20" s="4">
        <f t="shared" si="44"/>
        <v>0</v>
      </c>
      <c r="BH20" s="4">
        <f t="shared" si="45"/>
        <v>0</v>
      </c>
      <c r="BI20" s="4">
        <f t="shared" si="45"/>
        <v>0</v>
      </c>
      <c r="BJ20" s="4">
        <f t="shared" si="45"/>
        <v>0</v>
      </c>
      <c r="BK20" s="4">
        <f t="shared" si="45"/>
        <v>0</v>
      </c>
      <c r="BL20" s="4">
        <f t="shared" si="45"/>
        <v>0</v>
      </c>
      <c r="BM20" s="4">
        <f t="shared" si="45"/>
        <v>0</v>
      </c>
      <c r="BN20" s="4">
        <f t="shared" si="45"/>
        <v>0</v>
      </c>
    </row>
    <row r="21" spans="1:66" x14ac:dyDescent="0.2">
      <c r="A21" s="1" t="s">
        <v>24</v>
      </c>
      <c r="D21">
        <f>G16/A31</f>
        <v>0</v>
      </c>
      <c r="G21" t="s">
        <v>76</v>
      </c>
      <c r="K21" t="s">
        <v>57</v>
      </c>
      <c r="L21" t="s">
        <v>58</v>
      </c>
      <c r="M21" t="s">
        <v>59</v>
      </c>
      <c r="N21" t="s">
        <v>60</v>
      </c>
      <c r="Z21">
        <f t="shared" si="35"/>
        <v>0</v>
      </c>
      <c r="AA21">
        <f t="shared" si="36"/>
        <v>0</v>
      </c>
      <c r="AE21">
        <f t="shared" si="37"/>
        <v>0</v>
      </c>
      <c r="AF21">
        <f t="shared" si="38"/>
        <v>1</v>
      </c>
      <c r="AG21">
        <f t="shared" si="39"/>
        <v>0</v>
      </c>
      <c r="AK21">
        <f t="shared" si="40"/>
        <v>0</v>
      </c>
      <c r="AL21">
        <f t="shared" si="41"/>
        <v>0</v>
      </c>
      <c r="AM21">
        <f t="shared" si="42"/>
        <v>0</v>
      </c>
      <c r="AN21">
        <f t="shared" si="43"/>
        <v>0</v>
      </c>
      <c r="AP21">
        <f t="shared" si="46"/>
        <v>0</v>
      </c>
      <c r="AQ21" s="4">
        <f t="shared" si="47"/>
        <v>0</v>
      </c>
      <c r="AR21" s="4">
        <f t="shared" si="44"/>
        <v>0</v>
      </c>
      <c r="AS21" s="4">
        <f t="shared" si="44"/>
        <v>0</v>
      </c>
      <c r="AT21" s="4">
        <f t="shared" si="44"/>
        <v>0</v>
      </c>
      <c r="AU21" s="4">
        <f t="shared" si="44"/>
        <v>0</v>
      </c>
      <c r="AV21" s="4">
        <f t="shared" si="44"/>
        <v>0</v>
      </c>
      <c r="AW21" s="4">
        <f t="shared" si="44"/>
        <v>0</v>
      </c>
      <c r="AX21" s="4">
        <f t="shared" si="44"/>
        <v>0</v>
      </c>
      <c r="AY21" s="4">
        <f t="shared" si="44"/>
        <v>0</v>
      </c>
      <c r="AZ21" s="4">
        <f t="shared" si="44"/>
        <v>0</v>
      </c>
      <c r="BA21" s="4">
        <f t="shared" si="44"/>
        <v>0</v>
      </c>
      <c r="BB21" s="4">
        <f t="shared" si="44"/>
        <v>0</v>
      </c>
      <c r="BC21" s="4">
        <f t="shared" si="44"/>
        <v>0</v>
      </c>
      <c r="BD21" s="4">
        <f t="shared" si="44"/>
        <v>0</v>
      </c>
      <c r="BE21" s="4">
        <f t="shared" si="44"/>
        <v>0</v>
      </c>
      <c r="BF21" s="4">
        <f t="shared" si="44"/>
        <v>0</v>
      </c>
      <c r="BG21" s="4">
        <f t="shared" si="44"/>
        <v>0</v>
      </c>
      <c r="BH21" s="4">
        <f t="shared" si="45"/>
        <v>0</v>
      </c>
      <c r="BI21" s="4">
        <f t="shared" si="45"/>
        <v>0</v>
      </c>
      <c r="BJ21" s="4">
        <f t="shared" si="45"/>
        <v>0</v>
      </c>
      <c r="BK21" s="4">
        <f t="shared" si="45"/>
        <v>0</v>
      </c>
      <c r="BL21" s="4">
        <f t="shared" si="45"/>
        <v>0</v>
      </c>
      <c r="BM21" s="4">
        <f t="shared" si="45"/>
        <v>0</v>
      </c>
      <c r="BN21" s="4">
        <f t="shared" si="45"/>
        <v>0</v>
      </c>
    </row>
    <row r="22" spans="1:66" x14ac:dyDescent="0.2">
      <c r="A22" t="s">
        <v>36</v>
      </c>
      <c r="B22" t="s">
        <v>10</v>
      </c>
      <c r="D22" t="s">
        <v>48</v>
      </c>
      <c r="G22" t="e">
        <f>AL28/AP28</f>
        <v>#DIV/0!</v>
      </c>
      <c r="K22">
        <f>AVERAGE(C39:C50)</f>
        <v>3</v>
      </c>
      <c r="L22">
        <f>MEDIAN(C39:C50)</f>
        <v>3</v>
      </c>
      <c r="M22">
        <f>MAX(C39:C50)</f>
        <v>4</v>
      </c>
      <c r="N22">
        <f>_xlfn.STDEV.S(C39:C50)</f>
        <v>1.2792042981336627</v>
      </c>
      <c r="Z22">
        <f t="shared" si="35"/>
        <v>0</v>
      </c>
      <c r="AA22">
        <f t="shared" si="36"/>
        <v>0</v>
      </c>
      <c r="AE22">
        <f t="shared" si="37"/>
        <v>0</v>
      </c>
      <c r="AF22">
        <f t="shared" si="38"/>
        <v>0</v>
      </c>
      <c r="AG22">
        <f t="shared" si="39"/>
        <v>0</v>
      </c>
      <c r="AK22">
        <f t="shared" si="40"/>
        <v>0</v>
      </c>
      <c r="AL22">
        <f t="shared" si="41"/>
        <v>0</v>
      </c>
      <c r="AM22">
        <f t="shared" si="42"/>
        <v>0</v>
      </c>
      <c r="AN22">
        <f t="shared" si="43"/>
        <v>0</v>
      </c>
      <c r="AP22">
        <f t="shared" si="46"/>
        <v>0</v>
      </c>
      <c r="AQ22" s="4">
        <f t="shared" si="47"/>
        <v>0</v>
      </c>
      <c r="AR22" s="4">
        <f t="shared" si="44"/>
        <v>0</v>
      </c>
      <c r="AS22" s="4">
        <f t="shared" si="44"/>
        <v>0</v>
      </c>
      <c r="AT22" s="4">
        <f t="shared" si="44"/>
        <v>0</v>
      </c>
      <c r="AU22" s="4">
        <f t="shared" si="44"/>
        <v>0</v>
      </c>
      <c r="AV22" s="4">
        <f t="shared" si="44"/>
        <v>0</v>
      </c>
      <c r="AW22" s="4">
        <f t="shared" si="44"/>
        <v>0</v>
      </c>
      <c r="AX22" s="4">
        <f t="shared" si="44"/>
        <v>0</v>
      </c>
      <c r="AY22" s="4">
        <f t="shared" si="44"/>
        <v>0</v>
      </c>
      <c r="AZ22" s="4">
        <f t="shared" si="44"/>
        <v>0</v>
      </c>
      <c r="BA22" s="4">
        <f t="shared" si="44"/>
        <v>0</v>
      </c>
      <c r="BB22" s="4">
        <f t="shared" si="44"/>
        <v>0</v>
      </c>
      <c r="BC22" s="4">
        <f t="shared" si="44"/>
        <v>0</v>
      </c>
      <c r="BD22" s="4">
        <f t="shared" si="44"/>
        <v>0</v>
      </c>
      <c r="BE22" s="4">
        <f t="shared" si="44"/>
        <v>0</v>
      </c>
      <c r="BF22" s="4">
        <f t="shared" si="44"/>
        <v>0</v>
      </c>
      <c r="BG22" s="4">
        <f t="shared" si="44"/>
        <v>0</v>
      </c>
      <c r="BH22" s="4">
        <f t="shared" si="45"/>
        <v>0</v>
      </c>
      <c r="BI22" s="4">
        <f t="shared" si="45"/>
        <v>0</v>
      </c>
      <c r="BJ22" s="4">
        <f t="shared" si="45"/>
        <v>0</v>
      </c>
      <c r="BK22" s="4">
        <f t="shared" si="45"/>
        <v>0</v>
      </c>
      <c r="BL22" s="4">
        <f t="shared" si="45"/>
        <v>0</v>
      </c>
      <c r="BM22" s="4">
        <f t="shared" si="45"/>
        <v>0</v>
      </c>
      <c r="BN22" s="4">
        <f t="shared" si="45"/>
        <v>0</v>
      </c>
    </row>
    <row r="23" spans="1:66" x14ac:dyDescent="0.2">
      <c r="A23" t="s">
        <v>37</v>
      </c>
      <c r="B23" t="s">
        <v>25</v>
      </c>
      <c r="D23">
        <f>H16/A31</f>
        <v>0</v>
      </c>
      <c r="G23" t="s">
        <v>77</v>
      </c>
      <c r="K23" t="s">
        <v>8</v>
      </c>
      <c r="Z23">
        <f t="shared" si="35"/>
        <v>1</v>
      </c>
      <c r="AA23">
        <f t="shared" si="36"/>
        <v>0</v>
      </c>
      <c r="AE23">
        <f t="shared" si="37"/>
        <v>0</v>
      </c>
      <c r="AF23">
        <f t="shared" si="38"/>
        <v>0</v>
      </c>
      <c r="AG23">
        <f t="shared" si="39"/>
        <v>0</v>
      </c>
      <c r="AK23">
        <f t="shared" si="40"/>
        <v>0</v>
      </c>
      <c r="AL23">
        <f t="shared" si="41"/>
        <v>0</v>
      </c>
      <c r="AM23">
        <f t="shared" si="42"/>
        <v>0</v>
      </c>
      <c r="AN23">
        <f t="shared" si="43"/>
        <v>0</v>
      </c>
      <c r="AP23">
        <f t="shared" si="46"/>
        <v>0</v>
      </c>
      <c r="AQ23" s="4">
        <f t="shared" si="47"/>
        <v>0</v>
      </c>
      <c r="AR23" s="4">
        <f t="shared" si="44"/>
        <v>0</v>
      </c>
      <c r="AS23" s="4">
        <f t="shared" si="44"/>
        <v>0</v>
      </c>
      <c r="AT23" s="4">
        <f t="shared" si="44"/>
        <v>0</v>
      </c>
      <c r="AU23" s="4">
        <f t="shared" si="44"/>
        <v>0</v>
      </c>
      <c r="AV23" s="4">
        <f t="shared" si="44"/>
        <v>0</v>
      </c>
      <c r="AW23" s="4">
        <f t="shared" si="44"/>
        <v>0</v>
      </c>
      <c r="AX23" s="4">
        <f t="shared" si="44"/>
        <v>0</v>
      </c>
      <c r="AY23" s="4">
        <f t="shared" si="44"/>
        <v>0</v>
      </c>
      <c r="AZ23" s="4">
        <f t="shared" si="44"/>
        <v>0</v>
      </c>
      <c r="BA23" s="4">
        <f t="shared" si="44"/>
        <v>0</v>
      </c>
      <c r="BB23" s="4">
        <f t="shared" si="44"/>
        <v>0</v>
      </c>
      <c r="BC23" s="4">
        <f t="shared" si="44"/>
        <v>0</v>
      </c>
      <c r="BD23" s="4">
        <f t="shared" si="44"/>
        <v>0</v>
      </c>
      <c r="BE23" s="4">
        <f t="shared" si="44"/>
        <v>0</v>
      </c>
      <c r="BF23" s="4">
        <f t="shared" si="44"/>
        <v>0</v>
      </c>
      <c r="BG23" s="4">
        <f t="shared" si="44"/>
        <v>0</v>
      </c>
      <c r="BH23" s="4">
        <f t="shared" si="45"/>
        <v>0</v>
      </c>
      <c r="BI23" s="4">
        <f t="shared" si="45"/>
        <v>0</v>
      </c>
      <c r="BJ23" s="4">
        <f t="shared" si="45"/>
        <v>0</v>
      </c>
      <c r="BK23" s="4">
        <f t="shared" si="45"/>
        <v>0</v>
      </c>
      <c r="BL23" s="4">
        <f t="shared" si="45"/>
        <v>0</v>
      </c>
      <c r="BM23" s="4">
        <f t="shared" si="45"/>
        <v>0</v>
      </c>
      <c r="BN23" s="4">
        <f t="shared" si="45"/>
        <v>0</v>
      </c>
    </row>
    <row r="24" spans="1:66" x14ac:dyDescent="0.2">
      <c r="A24" t="s">
        <v>38</v>
      </c>
      <c r="B24" t="s">
        <v>26</v>
      </c>
      <c r="D24" t="s">
        <v>50</v>
      </c>
      <c r="G24" t="e">
        <f>AM28/AP28</f>
        <v>#DIV/0!</v>
      </c>
      <c r="K24" t="s">
        <v>57</v>
      </c>
      <c r="L24" t="s">
        <v>61</v>
      </c>
      <c r="M24" t="s">
        <v>59</v>
      </c>
      <c r="N24" t="s">
        <v>60</v>
      </c>
      <c r="Z24">
        <f t="shared" si="35"/>
        <v>0</v>
      </c>
      <c r="AA24">
        <f t="shared" si="36"/>
        <v>0</v>
      </c>
      <c r="AE24">
        <f t="shared" si="37"/>
        <v>0</v>
      </c>
      <c r="AF24">
        <f t="shared" si="38"/>
        <v>0</v>
      </c>
      <c r="AG24">
        <f t="shared" si="39"/>
        <v>0</v>
      </c>
      <c r="AK24">
        <f t="shared" si="40"/>
        <v>0</v>
      </c>
      <c r="AL24">
        <f t="shared" si="41"/>
        <v>0</v>
      </c>
      <c r="AM24">
        <f t="shared" si="42"/>
        <v>0</v>
      </c>
      <c r="AN24">
        <f t="shared" si="43"/>
        <v>0</v>
      </c>
      <c r="AP24">
        <f t="shared" si="46"/>
        <v>0</v>
      </c>
      <c r="AQ24" s="4">
        <f t="shared" si="47"/>
        <v>0</v>
      </c>
      <c r="AR24" s="4">
        <f t="shared" si="44"/>
        <v>0</v>
      </c>
      <c r="AS24" s="4">
        <f t="shared" si="44"/>
        <v>0</v>
      </c>
      <c r="AT24" s="4">
        <f t="shared" si="44"/>
        <v>0</v>
      </c>
      <c r="AU24" s="4">
        <f t="shared" si="44"/>
        <v>0</v>
      </c>
      <c r="AV24" s="4">
        <f t="shared" si="44"/>
        <v>0</v>
      </c>
      <c r="AW24" s="4">
        <f t="shared" si="44"/>
        <v>0</v>
      </c>
      <c r="AX24" s="4">
        <f t="shared" si="44"/>
        <v>0</v>
      </c>
      <c r="AY24" s="4">
        <f t="shared" si="44"/>
        <v>0</v>
      </c>
      <c r="AZ24" s="4">
        <f t="shared" si="44"/>
        <v>0</v>
      </c>
      <c r="BA24" s="4">
        <f t="shared" si="44"/>
        <v>0</v>
      </c>
      <c r="BB24" s="4">
        <f t="shared" si="44"/>
        <v>0</v>
      </c>
      <c r="BC24" s="4">
        <f t="shared" si="44"/>
        <v>0</v>
      </c>
      <c r="BD24" s="4">
        <f t="shared" si="44"/>
        <v>0</v>
      </c>
      <c r="BE24" s="4">
        <f t="shared" si="44"/>
        <v>0</v>
      </c>
      <c r="BF24" s="4">
        <f t="shared" si="44"/>
        <v>0</v>
      </c>
      <c r="BG24" s="4">
        <f t="shared" si="44"/>
        <v>0</v>
      </c>
      <c r="BH24" s="4">
        <f t="shared" si="45"/>
        <v>0</v>
      </c>
      <c r="BI24" s="4">
        <f t="shared" si="45"/>
        <v>0</v>
      </c>
      <c r="BJ24" s="4">
        <f t="shared" si="45"/>
        <v>0</v>
      </c>
      <c r="BK24" s="4">
        <f t="shared" si="45"/>
        <v>0</v>
      </c>
      <c r="BL24" s="4">
        <f t="shared" si="45"/>
        <v>0</v>
      </c>
      <c r="BM24" s="4">
        <f t="shared" si="45"/>
        <v>0</v>
      </c>
      <c r="BN24" s="4">
        <f t="shared" si="45"/>
        <v>0</v>
      </c>
    </row>
    <row r="25" spans="1:66" x14ac:dyDescent="0.2">
      <c r="A25" t="s">
        <v>39</v>
      </c>
      <c r="B25" t="s">
        <v>27</v>
      </c>
      <c r="D25">
        <f>Z28/A31</f>
        <v>8.3333333333333329E-2</v>
      </c>
      <c r="G25" t="s">
        <v>78</v>
      </c>
      <c r="K25">
        <f>AVERAGE(E39:E50)</f>
        <v>0</v>
      </c>
      <c r="L25">
        <f>MEDIAN(E39:E50)</f>
        <v>0</v>
      </c>
      <c r="M25">
        <f>MAX(E39:E50)</f>
        <v>0</v>
      </c>
      <c r="N25">
        <f>_xlfn.STDEV.S(E39:E50)</f>
        <v>0</v>
      </c>
      <c r="Z25">
        <f t="shared" si="35"/>
        <v>0</v>
      </c>
      <c r="AA25">
        <f t="shared" si="36"/>
        <v>0</v>
      </c>
      <c r="AE25">
        <f t="shared" si="37"/>
        <v>0</v>
      </c>
      <c r="AF25">
        <f t="shared" si="38"/>
        <v>0</v>
      </c>
      <c r="AG25">
        <f t="shared" si="39"/>
        <v>0</v>
      </c>
      <c r="AK25">
        <f t="shared" si="40"/>
        <v>0</v>
      </c>
      <c r="AL25">
        <f t="shared" si="41"/>
        <v>0</v>
      </c>
      <c r="AM25">
        <f t="shared" si="42"/>
        <v>0</v>
      </c>
      <c r="AN25">
        <f t="shared" si="43"/>
        <v>0</v>
      </c>
      <c r="AP25">
        <f t="shared" si="46"/>
        <v>0</v>
      </c>
      <c r="AQ25" s="4">
        <f t="shared" si="47"/>
        <v>0</v>
      </c>
      <c r="AR25" s="4">
        <f t="shared" si="44"/>
        <v>0</v>
      </c>
      <c r="AS25" s="4">
        <f t="shared" si="44"/>
        <v>0</v>
      </c>
      <c r="AT25" s="4">
        <f t="shared" si="44"/>
        <v>0</v>
      </c>
      <c r="AU25" s="4">
        <f t="shared" si="44"/>
        <v>0</v>
      </c>
      <c r="AV25" s="4">
        <f t="shared" si="44"/>
        <v>0</v>
      </c>
      <c r="AW25" s="4">
        <f t="shared" si="44"/>
        <v>0</v>
      </c>
      <c r="AX25" s="4">
        <f t="shared" si="44"/>
        <v>0</v>
      </c>
      <c r="AY25" s="4">
        <f t="shared" si="44"/>
        <v>0</v>
      </c>
      <c r="AZ25" s="4">
        <f t="shared" si="44"/>
        <v>0</v>
      </c>
      <c r="BA25" s="4">
        <f t="shared" si="44"/>
        <v>0</v>
      </c>
      <c r="BB25" s="4">
        <f t="shared" si="44"/>
        <v>0</v>
      </c>
      <c r="BC25" s="4">
        <f t="shared" si="44"/>
        <v>0</v>
      </c>
      <c r="BD25" s="4">
        <f t="shared" si="44"/>
        <v>0</v>
      </c>
      <c r="BE25" s="4">
        <f t="shared" si="44"/>
        <v>0</v>
      </c>
      <c r="BF25" s="4">
        <f t="shared" si="44"/>
        <v>0</v>
      </c>
      <c r="BG25" s="4">
        <f t="shared" si="44"/>
        <v>0</v>
      </c>
      <c r="BH25" s="4">
        <f t="shared" si="45"/>
        <v>0</v>
      </c>
      <c r="BI25" s="4">
        <f t="shared" si="45"/>
        <v>0</v>
      </c>
      <c r="BJ25" s="4">
        <f t="shared" si="45"/>
        <v>0</v>
      </c>
      <c r="BK25" s="4">
        <f t="shared" si="45"/>
        <v>0</v>
      </c>
      <c r="BL25" s="4">
        <f t="shared" si="45"/>
        <v>0</v>
      </c>
      <c r="BM25" s="4">
        <f t="shared" si="45"/>
        <v>0</v>
      </c>
      <c r="BN25" s="4">
        <f t="shared" si="45"/>
        <v>0</v>
      </c>
    </row>
    <row r="26" spans="1:66" x14ac:dyDescent="0.2">
      <c r="A26" t="s">
        <v>44</v>
      </c>
      <c r="D26" t="s">
        <v>51</v>
      </c>
      <c r="G26" t="e">
        <f>AN28/AP28</f>
        <v>#DIV/0!</v>
      </c>
      <c r="K26" t="s">
        <v>62</v>
      </c>
      <c r="P26" t="s">
        <v>19</v>
      </c>
      <c r="Z26">
        <f t="shared" si="35"/>
        <v>0</v>
      </c>
      <c r="AA26">
        <f t="shared" si="36"/>
        <v>0</v>
      </c>
      <c r="AE26">
        <f t="shared" si="37"/>
        <v>0</v>
      </c>
      <c r="AF26">
        <f t="shared" si="38"/>
        <v>0</v>
      </c>
      <c r="AG26">
        <f t="shared" si="39"/>
        <v>0</v>
      </c>
      <c r="AK26">
        <f t="shared" si="40"/>
        <v>0</v>
      </c>
      <c r="AL26">
        <f t="shared" si="41"/>
        <v>0</v>
      </c>
      <c r="AM26">
        <f t="shared" si="42"/>
        <v>0</v>
      </c>
      <c r="AN26">
        <f t="shared" si="43"/>
        <v>0</v>
      </c>
      <c r="AP26">
        <f t="shared" si="46"/>
        <v>0</v>
      </c>
      <c r="AQ26" s="4">
        <f t="shared" si="47"/>
        <v>0</v>
      </c>
      <c r="AR26" s="4">
        <f t="shared" si="44"/>
        <v>0</v>
      </c>
      <c r="AS26" s="4">
        <f t="shared" si="44"/>
        <v>0</v>
      </c>
      <c r="AT26" s="4">
        <f t="shared" si="44"/>
        <v>0</v>
      </c>
      <c r="AU26" s="4">
        <f t="shared" si="44"/>
        <v>0</v>
      </c>
      <c r="AV26" s="4">
        <f t="shared" si="44"/>
        <v>0</v>
      </c>
      <c r="AW26" s="4">
        <f t="shared" si="44"/>
        <v>0</v>
      </c>
      <c r="AX26" s="4">
        <f t="shared" si="44"/>
        <v>0</v>
      </c>
      <c r="AY26" s="4">
        <f t="shared" si="44"/>
        <v>0</v>
      </c>
      <c r="AZ26" s="4">
        <f t="shared" si="44"/>
        <v>0</v>
      </c>
      <c r="BA26" s="4">
        <f t="shared" si="44"/>
        <v>0</v>
      </c>
      <c r="BB26" s="4">
        <f t="shared" si="44"/>
        <v>0</v>
      </c>
      <c r="BC26" s="4">
        <f t="shared" si="44"/>
        <v>0</v>
      </c>
      <c r="BD26" s="4">
        <f t="shared" si="44"/>
        <v>0</v>
      </c>
      <c r="BE26" s="4">
        <f t="shared" si="44"/>
        <v>0</v>
      </c>
      <c r="BF26" s="4">
        <f t="shared" si="44"/>
        <v>0</v>
      </c>
      <c r="BG26" s="4">
        <f t="shared" si="44"/>
        <v>0</v>
      </c>
      <c r="BH26" s="4">
        <f t="shared" si="45"/>
        <v>0</v>
      </c>
      <c r="BI26" s="4">
        <f t="shared" si="45"/>
        <v>0</v>
      </c>
      <c r="BJ26" s="4">
        <f t="shared" si="45"/>
        <v>0</v>
      </c>
      <c r="BK26" s="4">
        <f t="shared" si="45"/>
        <v>0</v>
      </c>
      <c r="BL26" s="4">
        <f t="shared" si="45"/>
        <v>0</v>
      </c>
      <c r="BM26" s="4">
        <f t="shared" si="45"/>
        <v>0</v>
      </c>
      <c r="BN26" s="4">
        <f t="shared" si="45"/>
        <v>0</v>
      </c>
    </row>
    <row r="27" spans="1:66" x14ac:dyDescent="0.2">
      <c r="A27" t="s">
        <v>45</v>
      </c>
      <c r="D27">
        <f>AA28/A31</f>
        <v>0</v>
      </c>
      <c r="G27" t="s">
        <v>56</v>
      </c>
      <c r="K27" t="s">
        <v>57</v>
      </c>
      <c r="L27" t="s">
        <v>58</v>
      </c>
      <c r="M27" t="s">
        <v>59</v>
      </c>
      <c r="N27" t="s">
        <v>60</v>
      </c>
      <c r="P27" t="s">
        <v>57</v>
      </c>
      <c r="Q27" t="s">
        <v>58</v>
      </c>
      <c r="R27" t="s">
        <v>59</v>
      </c>
      <c r="S27" t="s">
        <v>60</v>
      </c>
      <c r="Z27">
        <f t="shared" si="35"/>
        <v>0</v>
      </c>
      <c r="AA27">
        <f t="shared" si="36"/>
        <v>0</v>
      </c>
      <c r="AE27">
        <f t="shared" si="37"/>
        <v>0</v>
      </c>
      <c r="AF27">
        <f t="shared" si="38"/>
        <v>0</v>
      </c>
      <c r="AG27">
        <f t="shared" si="39"/>
        <v>0</v>
      </c>
      <c r="AK27">
        <f t="shared" si="40"/>
        <v>0</v>
      </c>
      <c r="AL27">
        <f t="shared" si="41"/>
        <v>0</v>
      </c>
      <c r="AM27">
        <f t="shared" si="42"/>
        <v>0</v>
      </c>
      <c r="AN27">
        <f t="shared" si="43"/>
        <v>0</v>
      </c>
      <c r="AP27">
        <f t="shared" si="46"/>
        <v>0</v>
      </c>
      <c r="AQ27" s="4">
        <f t="shared" si="47"/>
        <v>0</v>
      </c>
      <c r="AR27" s="4">
        <f t="shared" si="44"/>
        <v>0</v>
      </c>
      <c r="AS27" s="4">
        <f t="shared" si="44"/>
        <v>0</v>
      </c>
      <c r="AT27" s="4">
        <f t="shared" si="44"/>
        <v>0</v>
      </c>
      <c r="AU27" s="4">
        <f t="shared" si="44"/>
        <v>0</v>
      </c>
      <c r="AV27" s="4">
        <f t="shared" si="44"/>
        <v>0</v>
      </c>
      <c r="AW27" s="4">
        <f t="shared" si="44"/>
        <v>0</v>
      </c>
      <c r="AX27" s="4">
        <f t="shared" si="44"/>
        <v>0</v>
      </c>
      <c r="AY27" s="4">
        <f t="shared" si="44"/>
        <v>0</v>
      </c>
      <c r="AZ27" s="4">
        <f t="shared" si="44"/>
        <v>0</v>
      </c>
      <c r="BA27" s="4">
        <f t="shared" si="44"/>
        <v>0</v>
      </c>
      <c r="BB27" s="4">
        <f t="shared" si="44"/>
        <v>0</v>
      </c>
      <c r="BC27" s="4">
        <f t="shared" si="44"/>
        <v>0</v>
      </c>
      <c r="BD27" s="4">
        <f t="shared" si="44"/>
        <v>0</v>
      </c>
      <c r="BE27" s="4">
        <f t="shared" si="44"/>
        <v>0</v>
      </c>
      <c r="BF27" s="4">
        <f t="shared" si="44"/>
        <v>0</v>
      </c>
      <c r="BG27" s="4">
        <f t="shared" si="44"/>
        <v>0</v>
      </c>
      <c r="BH27" s="4">
        <f t="shared" si="45"/>
        <v>0</v>
      </c>
      <c r="BI27" s="4">
        <f t="shared" si="45"/>
        <v>0</v>
      </c>
      <c r="BJ27" s="4">
        <f t="shared" si="45"/>
        <v>0</v>
      </c>
      <c r="BK27" s="4">
        <f t="shared" si="45"/>
        <v>0</v>
      </c>
      <c r="BL27" s="4">
        <f t="shared" si="45"/>
        <v>0</v>
      </c>
      <c r="BM27" s="4">
        <f t="shared" si="45"/>
        <v>0</v>
      </c>
      <c r="BN27" s="4">
        <f t="shared" si="45"/>
        <v>0</v>
      </c>
    </row>
    <row r="28" spans="1:66" x14ac:dyDescent="0.2">
      <c r="A28" t="s">
        <v>46</v>
      </c>
      <c r="D28" t="s">
        <v>202</v>
      </c>
      <c r="G28" t="s">
        <v>57</v>
      </c>
      <c r="H28" t="s">
        <v>58</v>
      </c>
      <c r="I28" t="s">
        <v>59</v>
      </c>
      <c r="J28" t="s">
        <v>60</v>
      </c>
      <c r="K28">
        <f>AVERAGE(G39:G50)</f>
        <v>0</v>
      </c>
      <c r="L28">
        <f>MEDIAN(G39:G50)</f>
        <v>0</v>
      </c>
      <c r="M28">
        <f>MAX(G39:G50)</f>
        <v>0</v>
      </c>
      <c r="N28">
        <f>_xlfn.STDEV.S(G39:G50)</f>
        <v>0</v>
      </c>
      <c r="P28">
        <f>AVERAGE(N39:N50)</f>
        <v>4.333333333333333</v>
      </c>
      <c r="Q28">
        <f>MEDIAN(N39:N50)</f>
        <v>2</v>
      </c>
      <c r="R28">
        <f>MAX(N39:N50)</f>
        <v>16</v>
      </c>
      <c r="S28">
        <f>_xlfn.STDEV.S(N39:N50)</f>
        <v>5.3654336998865979</v>
      </c>
      <c r="Y28" t="s">
        <v>33</v>
      </c>
      <c r="Z28">
        <f>SUM(Z16:Z27)</f>
        <v>1</v>
      </c>
      <c r="AA28">
        <f>SUM(AA16:AA27)</f>
        <v>0</v>
      </c>
      <c r="AE28">
        <f>SUM(AE16:AE27)</f>
        <v>0</v>
      </c>
      <c r="AF28">
        <f>SUM(AF16:AF27)</f>
        <v>1</v>
      </c>
      <c r="AG28">
        <f>SUM(AG16:AG27)</f>
        <v>0</v>
      </c>
      <c r="AK28">
        <f>SUM(AK16:AK27)</f>
        <v>0</v>
      </c>
      <c r="AL28">
        <f>SUM(AL16:AL27)</f>
        <v>0</v>
      </c>
      <c r="AM28">
        <f>SUM(AM16:AM27)</f>
        <v>0</v>
      </c>
      <c r="AN28">
        <f>SUM(AN16:AN27)</f>
        <v>0</v>
      </c>
      <c r="AP28">
        <f>SUM(AP16:AP27)</f>
        <v>0</v>
      </c>
    </row>
    <row r="29" spans="1:66" x14ac:dyDescent="0.2">
      <c r="D29">
        <f>SUM(O39:O50)/F16</f>
        <v>0.33333333333333331</v>
      </c>
      <c r="G29">
        <f>AVERAGE(A39:A50)</f>
        <v>8.3333333333333329E-2</v>
      </c>
      <c r="H29">
        <f>MEDIAN(A39:A50)</f>
        <v>0</v>
      </c>
      <c r="I29">
        <f>MAX(A39:A50)</f>
        <v>1</v>
      </c>
      <c r="J29">
        <f>_xlfn.STDEV.S(A39:A50)</f>
        <v>0.28867513459481287</v>
      </c>
      <c r="K29" t="s">
        <v>63</v>
      </c>
      <c r="P29" t="s">
        <v>148</v>
      </c>
    </row>
    <row r="30" spans="1:66" x14ac:dyDescent="0.2">
      <c r="A30" t="s">
        <v>147</v>
      </c>
      <c r="D30" t="s">
        <v>203</v>
      </c>
      <c r="G30" t="s">
        <v>50</v>
      </c>
      <c r="H30" t="s">
        <v>51</v>
      </c>
      <c r="I30" t="s">
        <v>89</v>
      </c>
      <c r="K30" t="s">
        <v>57</v>
      </c>
      <c r="L30" t="s">
        <v>58</v>
      </c>
      <c r="M30" t="s">
        <v>59</v>
      </c>
      <c r="N30" t="s">
        <v>60</v>
      </c>
      <c r="P30" t="s">
        <v>57</v>
      </c>
      <c r="Q30" t="s">
        <v>58</v>
      </c>
      <c r="R30" t="s">
        <v>59</v>
      </c>
      <c r="S30" t="s">
        <v>60</v>
      </c>
      <c r="W30" t="s">
        <v>148</v>
      </c>
      <c r="Y30" t="s">
        <v>149</v>
      </c>
      <c r="AH30" t="s">
        <v>79</v>
      </c>
    </row>
    <row r="31" spans="1:66" x14ac:dyDescent="0.2">
      <c r="A31">
        <f>COUNT(B4:B15)</f>
        <v>12</v>
      </c>
      <c r="D31" s="2">
        <f>SUM(S39:S50)/SUM(Q39:Q50)</f>
        <v>0</v>
      </c>
      <c r="G31">
        <f>AE28/A31</f>
        <v>0</v>
      </c>
      <c r="H31">
        <f>AF28/A31</f>
        <v>8.3333333333333329E-2</v>
      </c>
      <c r="I31">
        <f>AG28/A31</f>
        <v>0</v>
      </c>
      <c r="K31" t="e">
        <f>AVERAGE(I39:I50)</f>
        <v>#DIV/0!</v>
      </c>
      <c r="L31" t="e">
        <f>MEDIAN(I39:I50)</f>
        <v>#NUM!</v>
      </c>
      <c r="M31">
        <f>MAX(I39:I50)</f>
        <v>0</v>
      </c>
      <c r="N31" t="e">
        <f>_xlfn.STDEV.S(I39:I50)</f>
        <v>#DIV/0!</v>
      </c>
      <c r="P31" t="e">
        <f>AVERAGE(W31:W42)</f>
        <v>#DIV/0!</v>
      </c>
      <c r="Q31" t="e">
        <f>MEDIAN(W31:W42)</f>
        <v>#NUM!</v>
      </c>
      <c r="R31">
        <f>MAX(W31:W42)</f>
        <v>0</v>
      </c>
      <c r="S31" t="e">
        <f>_xlfn.STDEV.S(W31:W42)</f>
        <v>#DIV/0!</v>
      </c>
      <c r="W31" t="str">
        <f t="shared" ref="W31:W33" si="48">IF(AND(ISBLANK(Q4), ISBLANK(R4), ISBLANK(G4), ISBLANK(H4)), "", U4)</f>
        <v/>
      </c>
      <c r="Y31" t="str">
        <f t="shared" ref="Y31:Y42" si="49">IF(ISBLANK(Y4), IF(X4 = 0, "", (G4 + H4/3 + V4/9 + W4/3)), U4)</f>
        <v/>
      </c>
      <c r="AH31" t="s">
        <v>80</v>
      </c>
    </row>
    <row r="32" spans="1:66" x14ac:dyDescent="0.2">
      <c r="D32" s="3"/>
      <c r="K32" t="s">
        <v>64</v>
      </c>
      <c r="P32" t="s">
        <v>149</v>
      </c>
      <c r="W32" t="str">
        <f t="shared" si="48"/>
        <v/>
      </c>
      <c r="Y32" t="str">
        <f t="shared" si="49"/>
        <v/>
      </c>
      <c r="AH32" t="s">
        <v>81</v>
      </c>
    </row>
    <row r="33" spans="1:34" x14ac:dyDescent="0.2">
      <c r="A33" t="s">
        <v>208</v>
      </c>
      <c r="D33" s="3"/>
      <c r="K33" t="s">
        <v>57</v>
      </c>
      <c r="L33" t="s">
        <v>58</v>
      </c>
      <c r="M33" t="s">
        <v>59</v>
      </c>
      <c r="N33" t="s">
        <v>60</v>
      </c>
      <c r="P33" t="s">
        <v>57</v>
      </c>
      <c r="Q33" t="s">
        <v>58</v>
      </c>
      <c r="R33" t="s">
        <v>59</v>
      </c>
      <c r="S33" t="s">
        <v>60</v>
      </c>
      <c r="W33" t="str">
        <f t="shared" si="48"/>
        <v/>
      </c>
      <c r="Y33" t="str">
        <f t="shared" si="49"/>
        <v/>
      </c>
      <c r="AH33" t="s">
        <v>82</v>
      </c>
    </row>
    <row r="34" spans="1:34" x14ac:dyDescent="0.2">
      <c r="D34" s="3"/>
      <c r="K34">
        <f>AVERAGE(K39:K50)</f>
        <v>0</v>
      </c>
      <c r="L34">
        <f>MEDIAN(K39:K50)</f>
        <v>0</v>
      </c>
      <c r="M34">
        <f>MAX(K39:K50)</f>
        <v>0</v>
      </c>
      <c r="N34">
        <f>_xlfn.STDEV.S(K39:K50)</f>
        <v>0</v>
      </c>
      <c r="P34" t="e">
        <f>AVERAGE(Y31:Y42)</f>
        <v>#DIV/0!</v>
      </c>
      <c r="Q34" t="e">
        <f>MEDIAN(Y31:Y42)</f>
        <v>#NUM!</v>
      </c>
      <c r="R34">
        <f>MAX(Y31:Y42)</f>
        <v>0</v>
      </c>
      <c r="S34" t="e">
        <f>_xlfn.STDEV.S(Y31:Y42)</f>
        <v>#DIV/0!</v>
      </c>
      <c r="W34" t="str">
        <f>IF(AND(ISBLANK(Q7), ISBLANK(R7), ISBLANK(G7), ISBLANK(H7)), "", U7)</f>
        <v/>
      </c>
      <c r="Y34" t="str">
        <f t="shared" si="49"/>
        <v/>
      </c>
      <c r="AH34" t="s">
        <v>83</v>
      </c>
    </row>
    <row r="35" spans="1:34" x14ac:dyDescent="0.2">
      <c r="P35" t="s">
        <v>95</v>
      </c>
      <c r="R35" t="s">
        <v>197</v>
      </c>
      <c r="W35" t="str">
        <f t="shared" ref="W35:W42" si="50">IF(AND(ISBLANK(Q8), ISBLANK(R8), ISBLANK(G8), ISBLANK(H8)), "", U8)</f>
        <v/>
      </c>
      <c r="Y35" t="str">
        <f t="shared" si="49"/>
        <v/>
      </c>
    </row>
    <row r="36" spans="1:34" x14ac:dyDescent="0.2">
      <c r="P36" t="e">
        <f>Q16/(Q16+R16)</f>
        <v>#DIV/0!</v>
      </c>
      <c r="R36" t="e">
        <f>R16/(Q16+R16)</f>
        <v>#DIV/0!</v>
      </c>
      <c r="W36" t="str">
        <f t="shared" si="50"/>
        <v/>
      </c>
      <c r="Y36" t="str">
        <f t="shared" si="49"/>
        <v/>
      </c>
    </row>
    <row r="37" spans="1:34" x14ac:dyDescent="0.2">
      <c r="W37" t="str">
        <f t="shared" si="50"/>
        <v/>
      </c>
      <c r="Y37" t="str">
        <f t="shared" si="49"/>
        <v/>
      </c>
    </row>
    <row r="38" spans="1:34" x14ac:dyDescent="0.2">
      <c r="A38" t="s">
        <v>68</v>
      </c>
      <c r="C38" t="s">
        <v>69</v>
      </c>
      <c r="E38" t="s">
        <v>72</v>
      </c>
      <c r="G38" t="s">
        <v>250</v>
      </c>
      <c r="K38" t="s">
        <v>73</v>
      </c>
      <c r="M38" t="s">
        <v>70</v>
      </c>
      <c r="N38" t="s">
        <v>71</v>
      </c>
      <c r="O38" t="s">
        <v>199</v>
      </c>
      <c r="Q38" t="s">
        <v>200</v>
      </c>
      <c r="S38" t="s">
        <v>201</v>
      </c>
      <c r="W38" t="str">
        <f t="shared" si="50"/>
        <v/>
      </c>
      <c r="Y38" t="str">
        <f t="shared" si="49"/>
        <v/>
      </c>
    </row>
    <row r="39" spans="1:34" x14ac:dyDescent="0.2">
      <c r="A39">
        <f t="shared" ref="A39:A50" si="51">IF(ISBLANK(B4), "", SUM(AE16+AF16+AG16))</f>
        <v>0</v>
      </c>
      <c r="C39">
        <f t="shared" ref="C39:C50" si="52">IF(ISBLANK(B4), "", O4)</f>
        <v>1</v>
      </c>
      <c r="E39">
        <f t="shared" ref="E39:E50" si="53">IF(ISBLANK(B4), "", Q4)</f>
        <v>0</v>
      </c>
      <c r="G39">
        <f t="shared" ref="G39:G50" si="54">IF(ISBLANK(B4), "", R4)</f>
        <v>0</v>
      </c>
      <c r="K39">
        <f t="shared" ref="K39:K50" si="55">IF(ISBLANK(B4), "", SUM(Q4 + R4))</f>
        <v>0</v>
      </c>
      <c r="M39">
        <f t="shared" ref="M39:M50" si="56">IF(ISBLANK(B4), "", SUM(K4+M4) - O4)</f>
        <v>0</v>
      </c>
      <c r="N39">
        <f t="shared" ref="N39:N50" si="57">IF(ISBLANK(B4), "", U4)</f>
        <v>1</v>
      </c>
      <c r="O39">
        <f t="shared" ref="O39:O50" si="58">COUNTIF(E4, "1")*COUNTIF(F4, "1")</f>
        <v>0</v>
      </c>
      <c r="Q39">
        <f t="shared" ref="Q39:Q50" si="59">COUNTIF(D4, "1")*COUNTIF(F4, "")</f>
        <v>0</v>
      </c>
      <c r="S39">
        <f t="shared" ref="S39:S50" si="60">COUNTIF(E4, "1")*COUNTIF(F4, "")</f>
        <v>0</v>
      </c>
      <c r="W39" t="str">
        <f t="shared" si="50"/>
        <v/>
      </c>
      <c r="Y39" t="str">
        <f t="shared" si="49"/>
        <v/>
      </c>
    </row>
    <row r="40" spans="1:34" x14ac:dyDescent="0.2">
      <c r="A40">
        <f t="shared" si="51"/>
        <v>0</v>
      </c>
      <c r="C40">
        <f t="shared" si="52"/>
        <v>0</v>
      </c>
      <c r="E40">
        <f t="shared" si="53"/>
        <v>0</v>
      </c>
      <c r="G40">
        <f t="shared" si="54"/>
        <v>0</v>
      </c>
      <c r="K40">
        <f t="shared" si="55"/>
        <v>0</v>
      </c>
      <c r="M40">
        <f t="shared" si="56"/>
        <v>2</v>
      </c>
      <c r="N40">
        <f t="shared" si="57"/>
        <v>0</v>
      </c>
      <c r="O40">
        <f t="shared" si="58"/>
        <v>0</v>
      </c>
      <c r="Q40">
        <f t="shared" si="59"/>
        <v>1</v>
      </c>
      <c r="S40">
        <f t="shared" si="60"/>
        <v>0</v>
      </c>
      <c r="W40" t="str">
        <f t="shared" si="50"/>
        <v/>
      </c>
      <c r="Y40" t="str">
        <f t="shared" si="49"/>
        <v/>
      </c>
    </row>
    <row r="41" spans="1:34" x14ac:dyDescent="0.2">
      <c r="A41">
        <f t="shared" si="51"/>
        <v>0</v>
      </c>
      <c r="C41">
        <f t="shared" si="52"/>
        <v>4</v>
      </c>
      <c r="E41">
        <f t="shared" si="53"/>
        <v>0</v>
      </c>
      <c r="G41">
        <f t="shared" si="54"/>
        <v>0</v>
      </c>
      <c r="K41">
        <f t="shared" si="55"/>
        <v>0</v>
      </c>
      <c r="M41">
        <f t="shared" si="56"/>
        <v>-1</v>
      </c>
      <c r="N41">
        <f t="shared" si="57"/>
        <v>3</v>
      </c>
      <c r="O41">
        <f t="shared" si="58"/>
        <v>0</v>
      </c>
      <c r="Q41">
        <f t="shared" si="59"/>
        <v>1</v>
      </c>
      <c r="S41">
        <f t="shared" si="60"/>
        <v>0</v>
      </c>
      <c r="W41" t="str">
        <f t="shared" si="50"/>
        <v/>
      </c>
      <c r="Y41" t="str">
        <f t="shared" si="49"/>
        <v/>
      </c>
    </row>
    <row r="42" spans="1:34" x14ac:dyDescent="0.2">
      <c r="A42">
        <f t="shared" si="51"/>
        <v>0</v>
      </c>
      <c r="C42">
        <f t="shared" si="52"/>
        <v>3</v>
      </c>
      <c r="E42">
        <f t="shared" si="53"/>
        <v>0</v>
      </c>
      <c r="G42">
        <f t="shared" si="54"/>
        <v>0</v>
      </c>
      <c r="K42">
        <f t="shared" si="55"/>
        <v>0</v>
      </c>
      <c r="M42">
        <f t="shared" si="56"/>
        <v>1</v>
      </c>
      <c r="N42">
        <f t="shared" si="57"/>
        <v>7</v>
      </c>
      <c r="O42">
        <f t="shared" si="58"/>
        <v>1</v>
      </c>
      <c r="Q42">
        <f t="shared" si="59"/>
        <v>0</v>
      </c>
      <c r="S42">
        <f t="shared" si="60"/>
        <v>0</v>
      </c>
      <c r="W42" t="str">
        <f t="shared" si="50"/>
        <v/>
      </c>
      <c r="Y42" t="str">
        <f t="shared" si="49"/>
        <v/>
      </c>
    </row>
    <row r="43" spans="1:34" x14ac:dyDescent="0.2">
      <c r="A43">
        <f t="shared" si="51"/>
        <v>0</v>
      </c>
      <c r="C43">
        <f t="shared" si="52"/>
        <v>3</v>
      </c>
      <c r="E43">
        <f t="shared" si="53"/>
        <v>0</v>
      </c>
      <c r="G43">
        <f t="shared" si="54"/>
        <v>0</v>
      </c>
      <c r="K43">
        <f t="shared" si="55"/>
        <v>0</v>
      </c>
      <c r="M43">
        <f t="shared" si="56"/>
        <v>0</v>
      </c>
      <c r="N43">
        <f t="shared" si="57"/>
        <v>0</v>
      </c>
      <c r="O43">
        <f t="shared" si="58"/>
        <v>0</v>
      </c>
      <c r="Q43">
        <f t="shared" si="59"/>
        <v>0</v>
      </c>
      <c r="S43">
        <f t="shared" si="60"/>
        <v>0</v>
      </c>
    </row>
    <row r="44" spans="1:34" x14ac:dyDescent="0.2">
      <c r="A44">
        <f t="shared" si="51"/>
        <v>1</v>
      </c>
      <c r="C44">
        <f t="shared" si="52"/>
        <v>4</v>
      </c>
      <c r="E44">
        <f t="shared" si="53"/>
        <v>0</v>
      </c>
      <c r="G44">
        <f t="shared" si="54"/>
        <v>0</v>
      </c>
      <c r="K44">
        <f t="shared" si="55"/>
        <v>0</v>
      </c>
      <c r="M44">
        <f t="shared" si="56"/>
        <v>0</v>
      </c>
      <c r="N44">
        <f t="shared" si="57"/>
        <v>0</v>
      </c>
      <c r="O44">
        <f t="shared" si="58"/>
        <v>1</v>
      </c>
      <c r="Q44">
        <f t="shared" si="59"/>
        <v>0</v>
      </c>
      <c r="S44">
        <f t="shared" si="60"/>
        <v>0</v>
      </c>
    </row>
    <row r="45" spans="1:34" x14ac:dyDescent="0.2">
      <c r="A45">
        <f t="shared" si="51"/>
        <v>0</v>
      </c>
      <c r="C45">
        <f t="shared" si="52"/>
        <v>4</v>
      </c>
      <c r="E45">
        <f t="shared" si="53"/>
        <v>0</v>
      </c>
      <c r="G45">
        <f t="shared" si="54"/>
        <v>0</v>
      </c>
      <c r="K45">
        <f t="shared" si="55"/>
        <v>0</v>
      </c>
      <c r="M45">
        <f t="shared" si="56"/>
        <v>-1</v>
      </c>
      <c r="N45">
        <f t="shared" si="57"/>
        <v>16</v>
      </c>
      <c r="O45">
        <f t="shared" si="58"/>
        <v>0</v>
      </c>
      <c r="Q45">
        <f t="shared" si="59"/>
        <v>0</v>
      </c>
      <c r="S45">
        <f t="shared" si="60"/>
        <v>0</v>
      </c>
    </row>
    <row r="46" spans="1:34" x14ac:dyDescent="0.2">
      <c r="A46">
        <f t="shared" si="51"/>
        <v>0</v>
      </c>
      <c r="C46">
        <f t="shared" si="52"/>
        <v>3</v>
      </c>
      <c r="E46">
        <f t="shared" si="53"/>
        <v>0</v>
      </c>
      <c r="G46">
        <f t="shared" si="54"/>
        <v>0</v>
      </c>
      <c r="K46">
        <f t="shared" si="55"/>
        <v>0</v>
      </c>
      <c r="M46">
        <f t="shared" si="56"/>
        <v>0</v>
      </c>
      <c r="N46">
        <f t="shared" si="57"/>
        <v>0</v>
      </c>
      <c r="O46">
        <f t="shared" si="58"/>
        <v>0</v>
      </c>
      <c r="Q46">
        <f t="shared" si="59"/>
        <v>0</v>
      </c>
      <c r="S46">
        <f t="shared" si="60"/>
        <v>0</v>
      </c>
    </row>
    <row r="47" spans="1:34" x14ac:dyDescent="0.2">
      <c r="A47">
        <f t="shared" si="51"/>
        <v>0</v>
      </c>
      <c r="C47">
        <f t="shared" si="52"/>
        <v>4</v>
      </c>
      <c r="E47">
        <f t="shared" si="53"/>
        <v>0</v>
      </c>
      <c r="G47">
        <f t="shared" si="54"/>
        <v>0</v>
      </c>
      <c r="K47">
        <f t="shared" si="55"/>
        <v>0</v>
      </c>
      <c r="M47">
        <f t="shared" si="56"/>
        <v>-1</v>
      </c>
      <c r="N47">
        <f t="shared" si="57"/>
        <v>9</v>
      </c>
      <c r="O47">
        <f t="shared" si="58"/>
        <v>0</v>
      </c>
      <c r="Q47">
        <f t="shared" si="59"/>
        <v>0</v>
      </c>
      <c r="S47">
        <f t="shared" si="60"/>
        <v>0</v>
      </c>
    </row>
    <row r="48" spans="1:34" x14ac:dyDescent="0.2">
      <c r="A48">
        <f t="shared" si="51"/>
        <v>0</v>
      </c>
      <c r="C48">
        <f t="shared" si="52"/>
        <v>4</v>
      </c>
      <c r="E48">
        <f t="shared" si="53"/>
        <v>0</v>
      </c>
      <c r="G48">
        <f t="shared" si="54"/>
        <v>0</v>
      </c>
      <c r="K48">
        <f t="shared" si="55"/>
        <v>0</v>
      </c>
      <c r="M48">
        <f t="shared" si="56"/>
        <v>-1</v>
      </c>
      <c r="N48">
        <f t="shared" si="57"/>
        <v>11</v>
      </c>
      <c r="O48">
        <f t="shared" si="58"/>
        <v>0</v>
      </c>
      <c r="Q48">
        <f t="shared" si="59"/>
        <v>1</v>
      </c>
      <c r="S48">
        <f t="shared" si="60"/>
        <v>0</v>
      </c>
    </row>
    <row r="49" spans="1:19" x14ac:dyDescent="0.2">
      <c r="A49">
        <f t="shared" si="51"/>
        <v>0</v>
      </c>
      <c r="C49">
        <f t="shared" si="52"/>
        <v>3</v>
      </c>
      <c r="E49">
        <f t="shared" si="53"/>
        <v>0</v>
      </c>
      <c r="G49">
        <f t="shared" si="54"/>
        <v>0</v>
      </c>
      <c r="K49">
        <f t="shared" si="55"/>
        <v>0</v>
      </c>
      <c r="M49">
        <f t="shared" si="56"/>
        <v>-1</v>
      </c>
      <c r="N49">
        <f t="shared" si="57"/>
        <v>5</v>
      </c>
      <c r="O49">
        <f t="shared" si="58"/>
        <v>0</v>
      </c>
      <c r="Q49">
        <f t="shared" si="59"/>
        <v>0</v>
      </c>
      <c r="S49">
        <f t="shared" si="60"/>
        <v>0</v>
      </c>
    </row>
    <row r="50" spans="1:19" x14ac:dyDescent="0.2">
      <c r="A50">
        <f t="shared" si="51"/>
        <v>0</v>
      </c>
      <c r="C50">
        <f t="shared" si="52"/>
        <v>3</v>
      </c>
      <c r="E50">
        <f t="shared" si="53"/>
        <v>0</v>
      </c>
      <c r="G50">
        <f t="shared" si="54"/>
        <v>0</v>
      </c>
      <c r="K50">
        <f t="shared" si="55"/>
        <v>0</v>
      </c>
      <c r="M50">
        <f t="shared" si="56"/>
        <v>-1</v>
      </c>
      <c r="N50">
        <f t="shared" si="57"/>
        <v>0</v>
      </c>
      <c r="O50">
        <f t="shared" si="58"/>
        <v>0</v>
      </c>
      <c r="Q50">
        <f t="shared" si="59"/>
        <v>0</v>
      </c>
      <c r="S50">
        <f t="shared" si="60"/>
        <v>0</v>
      </c>
    </row>
  </sheetData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/>
  <dimension ref="A1:BN50"/>
  <sheetViews>
    <sheetView workbookViewId="0">
      <selection activeCell="O14" sqref="O14"/>
    </sheetView>
  </sheetViews>
  <sheetFormatPr baseColWidth="10" defaultColWidth="11.5" defaultRowHeight="15" x14ac:dyDescent="0.2"/>
  <sheetData>
    <row r="1" spans="1:66" x14ac:dyDescent="0.2">
      <c r="A1" s="1" t="s">
        <v>0</v>
      </c>
      <c r="D1" t="s">
        <v>3</v>
      </c>
      <c r="K1" t="s">
        <v>11</v>
      </c>
      <c r="N1" t="s">
        <v>12</v>
      </c>
      <c r="P1" t="s">
        <v>14</v>
      </c>
      <c r="Q1" t="s">
        <v>17</v>
      </c>
      <c r="S1" t="s">
        <v>18</v>
      </c>
      <c r="Z1" t="s">
        <v>29</v>
      </c>
      <c r="AE1" t="s">
        <v>30</v>
      </c>
      <c r="AK1" t="s">
        <v>42</v>
      </c>
    </row>
    <row r="2" spans="1:66" x14ac:dyDescent="0.2">
      <c r="A2" t="s">
        <v>1</v>
      </c>
      <c r="B2" t="s">
        <v>1</v>
      </c>
      <c r="C2" t="s">
        <v>87</v>
      </c>
      <c r="D2" t="s">
        <v>54</v>
      </c>
      <c r="E2" t="s">
        <v>13</v>
      </c>
      <c r="F2" t="s">
        <v>198</v>
      </c>
      <c r="G2" t="s">
        <v>7</v>
      </c>
      <c r="H2" t="s">
        <v>8</v>
      </c>
      <c r="I2" t="s">
        <v>179</v>
      </c>
      <c r="J2" t="s">
        <v>178</v>
      </c>
      <c r="K2" t="s">
        <v>9</v>
      </c>
      <c r="L2" t="s">
        <v>196</v>
      </c>
      <c r="M2" t="s">
        <v>10</v>
      </c>
      <c r="N2" t="s">
        <v>54</v>
      </c>
      <c r="O2" t="s">
        <v>13</v>
      </c>
      <c r="P2" t="s">
        <v>15</v>
      </c>
      <c r="Q2" t="s">
        <v>8</v>
      </c>
      <c r="R2" t="s">
        <v>7</v>
      </c>
      <c r="S2" t="s">
        <v>181</v>
      </c>
      <c r="T2" t="s">
        <v>182</v>
      </c>
      <c r="U2" t="s">
        <v>19</v>
      </c>
      <c r="V2" t="s">
        <v>191</v>
      </c>
      <c r="W2" t="s">
        <v>192</v>
      </c>
      <c r="X2" t="s">
        <v>175</v>
      </c>
      <c r="Y2" t="s">
        <v>173</v>
      </c>
      <c r="Z2" t="str">
        <f t="shared" ref="Z2:Z13" si="0">LEFT(I4, 1)</f>
        <v/>
      </c>
      <c r="AA2" t="str">
        <f t="shared" ref="AA2:AA13" si="1">MID(I4, 4, 1)</f>
        <v/>
      </c>
      <c r="AB2" t="str">
        <f t="shared" ref="AB2:AB13" si="2">MID(I4, 7, 1)</f>
        <v/>
      </c>
      <c r="AC2" t="str">
        <f t="shared" ref="AC2:AC13" si="3">MID(I4, 10, 1)</f>
        <v/>
      </c>
      <c r="AE2" t="str">
        <f t="shared" ref="AE2:AE13" si="4">LEFT(J4, 1)</f>
        <v/>
      </c>
      <c r="AF2" t="str">
        <f t="shared" ref="AF2:AF13" si="5">MID(J4, 4, 1)</f>
        <v/>
      </c>
      <c r="AG2" t="str">
        <f t="shared" ref="AG2:AG13" si="6">MID(J4, 7, 1)</f>
        <v/>
      </c>
      <c r="AH2" t="str">
        <f t="shared" ref="AH2:AH13" si="7">MID(J4, 10, 1)</f>
        <v/>
      </c>
      <c r="AI2" t="str">
        <f t="shared" ref="AI2:AI13" si="8">MID(J4, 13, 1)</f>
        <v/>
      </c>
      <c r="AK2" t="str">
        <f t="shared" ref="AK2:AK13" si="9">LEFT(P4, 2)</f>
        <v/>
      </c>
      <c r="AL2" t="str">
        <f>MID($P4, 5, 2)</f>
        <v/>
      </c>
      <c r="AM2" t="str">
        <f t="shared" ref="AM2:AM13" si="10">MID($P4, 9, 2)</f>
        <v/>
      </c>
      <c r="AN2" t="str">
        <f t="shared" ref="AN2:AN13" si="11">MID($P4, 13, 2)</f>
        <v/>
      </c>
      <c r="AO2" t="str">
        <f t="shared" ref="AO2:AO13" si="12">MID($P4, 17, 2)</f>
        <v/>
      </c>
      <c r="AP2" t="str">
        <f t="shared" ref="AP2:AP13" si="13">MID($P4, 21, 2)</f>
        <v/>
      </c>
      <c r="AQ2" t="str">
        <f t="shared" ref="AQ2:AQ13" si="14">MID($P4, 25, 2)</f>
        <v/>
      </c>
      <c r="AR2" t="str">
        <f t="shared" ref="AR2:AR13" si="15">MID($P4, 29, 2)</f>
        <v/>
      </c>
      <c r="AS2" t="str">
        <f t="shared" ref="AS2:AS13" si="16">MID($P4, 33, 2)</f>
        <v/>
      </c>
      <c r="AT2" t="str">
        <f t="shared" ref="AT2:AT13" si="17">MID($P4, 37, 2)</f>
        <v/>
      </c>
      <c r="AU2" t="str">
        <f t="shared" ref="AU2:AU13" si="18">MID($P4, 41, 2)</f>
        <v/>
      </c>
      <c r="AV2" t="str">
        <f t="shared" ref="AV2:AV13" si="19">MID($P4, 45, 2)</f>
        <v/>
      </c>
      <c r="AW2" t="str">
        <f t="shared" ref="AW2:AW13" si="20">MID($P4, 49, 2)</f>
        <v/>
      </c>
      <c r="AX2" t="str">
        <f t="shared" ref="AX2:AX13" si="21">MID($P4, 53, 2)</f>
        <v/>
      </c>
      <c r="AY2" t="str">
        <f t="shared" ref="AY2:AY13" si="22">MID($P4, 57, 2)</f>
        <v/>
      </c>
      <c r="AZ2" t="str">
        <f t="shared" ref="AZ2:AZ13" si="23">MID($P4, 61, 2)</f>
        <v/>
      </c>
      <c r="BA2" t="str">
        <f t="shared" ref="BA2:BA13" si="24">MID($P4, 65, 2)</f>
        <v/>
      </c>
      <c r="BB2" t="str">
        <f t="shared" ref="BB2:BB13" si="25">MID($P4, 69, 2)</f>
        <v/>
      </c>
      <c r="BC2" t="str">
        <f t="shared" ref="BC2:BC13" si="26">MID($P4, 73, 2)</f>
        <v/>
      </c>
      <c r="BD2" t="str">
        <f t="shared" ref="BD2:BD13" si="27">MID($P4, 77, 2)</f>
        <v/>
      </c>
      <c r="BE2" t="str">
        <f t="shared" ref="BE2:BE13" si="28">MID($P4, 81, 2)</f>
        <v/>
      </c>
      <c r="BF2" t="str">
        <f t="shared" ref="BF2:BF13" si="29">MID($P4, 85, 2)</f>
        <v/>
      </c>
      <c r="BG2" t="str">
        <f t="shared" ref="BG2:BG13" si="30">MID($P4, 89, 2)</f>
        <v/>
      </c>
      <c r="BH2" t="str">
        <f t="shared" ref="BH2:BH13" si="31">MID($P4, 93, 2)</f>
        <v/>
      </c>
    </row>
    <row r="3" spans="1:66" x14ac:dyDescent="0.2">
      <c r="A3" t="s">
        <v>2</v>
      </c>
      <c r="B3" t="s">
        <v>6</v>
      </c>
      <c r="C3" t="s">
        <v>88</v>
      </c>
      <c r="D3" t="s">
        <v>6</v>
      </c>
      <c r="E3" t="s">
        <v>6</v>
      </c>
      <c r="F3" t="s">
        <v>4</v>
      </c>
      <c r="G3" t="s">
        <v>6</v>
      </c>
      <c r="H3" t="s">
        <v>6</v>
      </c>
      <c r="I3" t="s">
        <v>86</v>
      </c>
      <c r="J3" t="s">
        <v>86</v>
      </c>
      <c r="K3" t="s">
        <v>6</v>
      </c>
      <c r="L3" t="s">
        <v>6</v>
      </c>
      <c r="M3" t="s">
        <v>6</v>
      </c>
      <c r="N3" t="s">
        <v>6</v>
      </c>
      <c r="O3" t="s">
        <v>6</v>
      </c>
      <c r="P3" t="s">
        <v>16</v>
      </c>
      <c r="Q3" t="s">
        <v>6</v>
      </c>
      <c r="R3" t="s">
        <v>6</v>
      </c>
      <c r="S3" t="s">
        <v>4</v>
      </c>
      <c r="T3" t="s">
        <v>4</v>
      </c>
      <c r="U3" t="s">
        <v>6</v>
      </c>
      <c r="V3" t="s">
        <v>6</v>
      </c>
      <c r="W3" t="s">
        <v>6</v>
      </c>
      <c r="X3" t="s">
        <v>6</v>
      </c>
      <c r="Y3" t="s">
        <v>174</v>
      </c>
      <c r="Z3" t="str">
        <f t="shared" si="0"/>
        <v/>
      </c>
      <c r="AA3" t="str">
        <f t="shared" si="1"/>
        <v/>
      </c>
      <c r="AB3" t="str">
        <f t="shared" si="2"/>
        <v/>
      </c>
      <c r="AC3" t="str">
        <f t="shared" si="3"/>
        <v/>
      </c>
      <c r="AE3" t="str">
        <f t="shared" si="4"/>
        <v/>
      </c>
      <c r="AF3" t="str">
        <f t="shared" si="5"/>
        <v/>
      </c>
      <c r="AG3" t="str">
        <f t="shared" si="6"/>
        <v/>
      </c>
      <c r="AH3" t="str">
        <f t="shared" si="7"/>
        <v/>
      </c>
      <c r="AI3" t="str">
        <f t="shared" si="8"/>
        <v/>
      </c>
      <c r="AK3" t="str">
        <f t="shared" si="9"/>
        <v/>
      </c>
      <c r="AL3" t="str">
        <f t="shared" ref="AL3:AL13" si="32">MID(P5, 5, 2)</f>
        <v/>
      </c>
      <c r="AM3" t="str">
        <f t="shared" si="10"/>
        <v/>
      </c>
      <c r="AN3" t="str">
        <f t="shared" si="11"/>
        <v/>
      </c>
      <c r="AO3" t="str">
        <f t="shared" si="12"/>
        <v/>
      </c>
      <c r="AP3" t="str">
        <f t="shared" si="13"/>
        <v/>
      </c>
      <c r="AQ3" t="str">
        <f t="shared" si="14"/>
        <v/>
      </c>
      <c r="AR3" t="str">
        <f t="shared" si="15"/>
        <v/>
      </c>
      <c r="AS3" t="str">
        <f t="shared" si="16"/>
        <v/>
      </c>
      <c r="AT3" t="str">
        <f t="shared" si="17"/>
        <v/>
      </c>
      <c r="AU3" t="str">
        <f t="shared" si="18"/>
        <v/>
      </c>
      <c r="AV3" t="str">
        <f t="shared" si="19"/>
        <v/>
      </c>
      <c r="AW3" t="str">
        <f t="shared" si="20"/>
        <v/>
      </c>
      <c r="AX3" t="str">
        <f t="shared" si="21"/>
        <v/>
      </c>
      <c r="AY3" t="str">
        <f t="shared" si="22"/>
        <v/>
      </c>
      <c r="AZ3" t="str">
        <f t="shared" si="23"/>
        <v/>
      </c>
      <c r="BA3" t="str">
        <f t="shared" si="24"/>
        <v/>
      </c>
      <c r="BB3" t="str">
        <f t="shared" si="25"/>
        <v/>
      </c>
      <c r="BC3" t="str">
        <f t="shared" si="26"/>
        <v/>
      </c>
      <c r="BD3" t="str">
        <f t="shared" si="27"/>
        <v/>
      </c>
      <c r="BE3" t="str">
        <f t="shared" si="28"/>
        <v/>
      </c>
      <c r="BF3" t="str">
        <f t="shared" si="29"/>
        <v/>
      </c>
      <c r="BG3" t="str">
        <f t="shared" si="30"/>
        <v/>
      </c>
      <c r="BH3" t="str">
        <f t="shared" si="31"/>
        <v/>
      </c>
    </row>
    <row r="4" spans="1:66" x14ac:dyDescent="0.2">
      <c r="A4">
        <v>1</v>
      </c>
      <c r="B4">
        <v>1</v>
      </c>
      <c r="C4" t="s">
        <v>207</v>
      </c>
      <c r="D4">
        <v>1</v>
      </c>
      <c r="K4">
        <v>2</v>
      </c>
      <c r="N4">
        <v>3</v>
      </c>
      <c r="O4">
        <v>3</v>
      </c>
      <c r="S4">
        <v>1</v>
      </c>
      <c r="T4">
        <v>1</v>
      </c>
      <c r="X4">
        <f t="shared" ref="X4:X15" si="33">G4+H4+Q4+R4</f>
        <v>0</v>
      </c>
      <c r="Z4" t="str">
        <f t="shared" si="0"/>
        <v/>
      </c>
      <c r="AA4" t="str">
        <f t="shared" si="1"/>
        <v/>
      </c>
      <c r="AB4" t="str">
        <f t="shared" si="2"/>
        <v/>
      </c>
      <c r="AC4" t="str">
        <f t="shared" si="3"/>
        <v/>
      </c>
      <c r="AE4" t="str">
        <f t="shared" si="4"/>
        <v/>
      </c>
      <c r="AF4" t="str">
        <f t="shared" si="5"/>
        <v/>
      </c>
      <c r="AG4" t="str">
        <f t="shared" si="6"/>
        <v/>
      </c>
      <c r="AH4" t="str">
        <f t="shared" si="7"/>
        <v/>
      </c>
      <c r="AI4" t="str">
        <f t="shared" si="8"/>
        <v/>
      </c>
      <c r="AK4" t="str">
        <f t="shared" si="9"/>
        <v/>
      </c>
      <c r="AL4" t="str">
        <f t="shared" si="32"/>
        <v/>
      </c>
      <c r="AM4" t="str">
        <f t="shared" si="10"/>
        <v/>
      </c>
      <c r="AN4" t="str">
        <f t="shared" si="11"/>
        <v/>
      </c>
      <c r="AO4" t="str">
        <f t="shared" si="12"/>
        <v/>
      </c>
      <c r="AP4" t="str">
        <f t="shared" si="13"/>
        <v/>
      </c>
      <c r="AQ4" t="str">
        <f t="shared" si="14"/>
        <v/>
      </c>
      <c r="AR4" t="str">
        <f t="shared" si="15"/>
        <v/>
      </c>
      <c r="AS4" t="str">
        <f t="shared" si="16"/>
        <v/>
      </c>
      <c r="AT4" t="str">
        <f t="shared" si="17"/>
        <v/>
      </c>
      <c r="AU4" t="str">
        <f t="shared" si="18"/>
        <v/>
      </c>
      <c r="AV4" t="str">
        <f t="shared" si="19"/>
        <v/>
      </c>
      <c r="AW4" t="str">
        <f t="shared" si="20"/>
        <v/>
      </c>
      <c r="AX4" t="str">
        <f t="shared" si="21"/>
        <v/>
      </c>
      <c r="AY4" t="str">
        <f t="shared" si="22"/>
        <v/>
      </c>
      <c r="AZ4" t="str">
        <f t="shared" si="23"/>
        <v/>
      </c>
      <c r="BA4" t="str">
        <f t="shared" si="24"/>
        <v/>
      </c>
      <c r="BB4" t="str">
        <f t="shared" si="25"/>
        <v/>
      </c>
      <c r="BC4" t="str">
        <f t="shared" si="26"/>
        <v/>
      </c>
      <c r="BD4" t="str">
        <f t="shared" si="27"/>
        <v/>
      </c>
      <c r="BE4" t="str">
        <f t="shared" si="28"/>
        <v/>
      </c>
      <c r="BF4" t="str">
        <f t="shared" si="29"/>
        <v/>
      </c>
      <c r="BG4" t="str">
        <f t="shared" si="30"/>
        <v/>
      </c>
      <c r="BH4" t="str">
        <f t="shared" si="31"/>
        <v/>
      </c>
    </row>
    <row r="5" spans="1:66" x14ac:dyDescent="0.2">
      <c r="A5">
        <v>2</v>
      </c>
      <c r="B5">
        <v>20</v>
      </c>
      <c r="C5" t="s">
        <v>39</v>
      </c>
      <c r="K5">
        <v>2</v>
      </c>
      <c r="N5">
        <v>3</v>
      </c>
      <c r="O5">
        <v>3</v>
      </c>
      <c r="S5">
        <v>1</v>
      </c>
      <c r="T5">
        <v>1</v>
      </c>
      <c r="X5">
        <f t="shared" si="33"/>
        <v>0</v>
      </c>
      <c r="Z5" t="str">
        <f t="shared" si="0"/>
        <v/>
      </c>
      <c r="AA5" t="str">
        <f t="shared" si="1"/>
        <v/>
      </c>
      <c r="AB5" t="str">
        <f t="shared" si="2"/>
        <v/>
      </c>
      <c r="AC5" t="str">
        <f t="shared" si="3"/>
        <v/>
      </c>
      <c r="AE5" t="str">
        <f t="shared" si="4"/>
        <v/>
      </c>
      <c r="AF5" t="str">
        <f t="shared" si="5"/>
        <v/>
      </c>
      <c r="AG5" t="str">
        <f t="shared" si="6"/>
        <v/>
      </c>
      <c r="AH5" t="str">
        <f t="shared" si="7"/>
        <v/>
      </c>
      <c r="AI5" t="str">
        <f t="shared" si="8"/>
        <v/>
      </c>
      <c r="AK5" t="str">
        <f t="shared" si="9"/>
        <v/>
      </c>
      <c r="AL5" t="str">
        <f t="shared" si="32"/>
        <v/>
      </c>
      <c r="AM5" t="str">
        <f t="shared" si="10"/>
        <v/>
      </c>
      <c r="AN5" t="str">
        <f t="shared" si="11"/>
        <v/>
      </c>
      <c r="AO5" t="str">
        <f t="shared" si="12"/>
        <v/>
      </c>
      <c r="AP5" t="str">
        <f t="shared" si="13"/>
        <v/>
      </c>
      <c r="AQ5" t="str">
        <f t="shared" si="14"/>
        <v/>
      </c>
      <c r="AR5" t="str">
        <f t="shared" si="15"/>
        <v/>
      </c>
      <c r="AS5" t="str">
        <f t="shared" si="16"/>
        <v/>
      </c>
      <c r="AT5" t="str">
        <f t="shared" si="17"/>
        <v/>
      </c>
      <c r="AU5" t="str">
        <f t="shared" si="18"/>
        <v/>
      </c>
      <c r="AV5" t="str">
        <f t="shared" si="19"/>
        <v/>
      </c>
      <c r="AW5" t="str">
        <f t="shared" si="20"/>
        <v/>
      </c>
      <c r="AX5" t="str">
        <f t="shared" si="21"/>
        <v/>
      </c>
      <c r="AY5" t="str">
        <f t="shared" si="22"/>
        <v/>
      </c>
      <c r="AZ5" t="str">
        <f t="shared" si="23"/>
        <v/>
      </c>
      <c r="BA5" t="str">
        <f t="shared" si="24"/>
        <v/>
      </c>
      <c r="BB5" t="str">
        <f t="shared" si="25"/>
        <v/>
      </c>
      <c r="BC5" t="str">
        <f t="shared" si="26"/>
        <v/>
      </c>
      <c r="BD5" t="str">
        <f t="shared" si="27"/>
        <v/>
      </c>
      <c r="BE5" t="str">
        <f t="shared" si="28"/>
        <v/>
      </c>
      <c r="BF5" t="str">
        <f t="shared" si="29"/>
        <v/>
      </c>
      <c r="BG5" t="str">
        <f t="shared" si="30"/>
        <v/>
      </c>
      <c r="BH5" t="str">
        <f t="shared" si="31"/>
        <v/>
      </c>
    </row>
    <row r="6" spans="1:66" x14ac:dyDescent="0.2">
      <c r="A6">
        <v>3</v>
      </c>
      <c r="B6">
        <v>25</v>
      </c>
      <c r="C6" t="s">
        <v>39</v>
      </c>
      <c r="D6">
        <v>1</v>
      </c>
      <c r="E6">
        <v>1</v>
      </c>
      <c r="K6">
        <v>3</v>
      </c>
      <c r="L6">
        <v>1</v>
      </c>
      <c r="N6">
        <v>3</v>
      </c>
      <c r="O6">
        <v>3</v>
      </c>
      <c r="S6">
        <v>1</v>
      </c>
      <c r="U6">
        <v>5</v>
      </c>
      <c r="X6">
        <f t="shared" si="33"/>
        <v>0</v>
      </c>
      <c r="Z6" t="str">
        <f t="shared" si="0"/>
        <v/>
      </c>
      <c r="AA6" t="str">
        <f t="shared" si="1"/>
        <v/>
      </c>
      <c r="AB6" t="str">
        <f t="shared" si="2"/>
        <v/>
      </c>
      <c r="AC6" t="str">
        <f t="shared" si="3"/>
        <v/>
      </c>
      <c r="AE6" t="str">
        <f t="shared" si="4"/>
        <v/>
      </c>
      <c r="AF6" t="str">
        <f t="shared" si="5"/>
        <v/>
      </c>
      <c r="AG6" t="str">
        <f t="shared" si="6"/>
        <v/>
      </c>
      <c r="AH6" t="str">
        <f t="shared" si="7"/>
        <v/>
      </c>
      <c r="AI6" t="str">
        <f t="shared" si="8"/>
        <v/>
      </c>
      <c r="AK6" t="str">
        <f t="shared" si="9"/>
        <v/>
      </c>
      <c r="AL6" t="str">
        <f t="shared" si="32"/>
        <v/>
      </c>
      <c r="AM6" t="str">
        <f t="shared" si="10"/>
        <v/>
      </c>
      <c r="AN6" t="str">
        <f t="shared" si="11"/>
        <v/>
      </c>
      <c r="AO6" t="str">
        <f t="shared" si="12"/>
        <v/>
      </c>
      <c r="AP6" t="str">
        <f t="shared" si="13"/>
        <v/>
      </c>
      <c r="AQ6" t="str">
        <f t="shared" si="14"/>
        <v/>
      </c>
      <c r="AR6" t="str">
        <f t="shared" si="15"/>
        <v/>
      </c>
      <c r="AS6" t="str">
        <f t="shared" si="16"/>
        <v/>
      </c>
      <c r="AT6" t="str">
        <f t="shared" si="17"/>
        <v/>
      </c>
      <c r="AU6" t="str">
        <f t="shared" si="18"/>
        <v/>
      </c>
      <c r="AV6" t="str">
        <f t="shared" si="19"/>
        <v/>
      </c>
      <c r="AW6" t="str">
        <f t="shared" si="20"/>
        <v/>
      </c>
      <c r="AX6" t="str">
        <f t="shared" si="21"/>
        <v/>
      </c>
      <c r="AY6" t="str">
        <f t="shared" si="22"/>
        <v/>
      </c>
      <c r="AZ6" t="str">
        <f t="shared" si="23"/>
        <v/>
      </c>
      <c r="BA6" t="str">
        <f t="shared" si="24"/>
        <v/>
      </c>
      <c r="BB6" t="str">
        <f t="shared" si="25"/>
        <v/>
      </c>
      <c r="BC6" t="str">
        <f t="shared" si="26"/>
        <v/>
      </c>
      <c r="BD6" t="str">
        <f t="shared" si="27"/>
        <v/>
      </c>
      <c r="BE6" t="str">
        <f t="shared" si="28"/>
        <v/>
      </c>
      <c r="BF6" t="str">
        <f t="shared" si="29"/>
        <v/>
      </c>
      <c r="BG6" t="str">
        <f t="shared" si="30"/>
        <v/>
      </c>
      <c r="BH6" t="str">
        <f t="shared" si="31"/>
        <v/>
      </c>
    </row>
    <row r="7" spans="1:66" x14ac:dyDescent="0.2">
      <c r="A7">
        <v>4</v>
      </c>
      <c r="B7">
        <v>36</v>
      </c>
      <c r="C7" t="s">
        <v>207</v>
      </c>
      <c r="D7">
        <v>1</v>
      </c>
      <c r="K7">
        <v>3</v>
      </c>
      <c r="L7">
        <v>2</v>
      </c>
      <c r="N7">
        <v>4</v>
      </c>
      <c r="O7">
        <v>4</v>
      </c>
      <c r="S7">
        <v>1</v>
      </c>
      <c r="T7">
        <v>1</v>
      </c>
      <c r="U7">
        <v>9</v>
      </c>
      <c r="X7">
        <f t="shared" si="33"/>
        <v>0</v>
      </c>
      <c r="Z7" t="str">
        <f t="shared" si="0"/>
        <v/>
      </c>
      <c r="AA7" t="str">
        <f t="shared" si="1"/>
        <v/>
      </c>
      <c r="AB7" t="str">
        <f t="shared" si="2"/>
        <v/>
      </c>
      <c r="AC7" t="str">
        <f t="shared" si="3"/>
        <v/>
      </c>
      <c r="AE7" t="str">
        <f t="shared" si="4"/>
        <v/>
      </c>
      <c r="AF7" t="str">
        <f t="shared" si="5"/>
        <v/>
      </c>
      <c r="AG7" t="str">
        <f t="shared" si="6"/>
        <v/>
      </c>
      <c r="AH7" t="str">
        <f t="shared" si="7"/>
        <v/>
      </c>
      <c r="AI7" t="str">
        <f t="shared" si="8"/>
        <v/>
      </c>
      <c r="AK7" t="str">
        <f t="shared" si="9"/>
        <v/>
      </c>
      <c r="AL7" t="str">
        <f t="shared" si="32"/>
        <v/>
      </c>
      <c r="AM7" t="str">
        <f t="shared" si="10"/>
        <v/>
      </c>
      <c r="AN7" t="str">
        <f t="shared" si="11"/>
        <v/>
      </c>
      <c r="AO7" t="str">
        <f t="shared" si="12"/>
        <v/>
      </c>
      <c r="AP7" t="str">
        <f t="shared" si="13"/>
        <v/>
      </c>
      <c r="AQ7" t="str">
        <f t="shared" si="14"/>
        <v/>
      </c>
      <c r="AR7" t="str">
        <f t="shared" si="15"/>
        <v/>
      </c>
      <c r="AS7" t="str">
        <f t="shared" si="16"/>
        <v/>
      </c>
      <c r="AT7" t="str">
        <f t="shared" si="17"/>
        <v/>
      </c>
      <c r="AU7" t="str">
        <f t="shared" si="18"/>
        <v/>
      </c>
      <c r="AV7" t="str">
        <f t="shared" si="19"/>
        <v/>
      </c>
      <c r="AW7" t="str">
        <f t="shared" si="20"/>
        <v/>
      </c>
      <c r="AX7" t="str">
        <f t="shared" si="21"/>
        <v/>
      </c>
      <c r="AY7" t="str">
        <f t="shared" si="22"/>
        <v/>
      </c>
      <c r="AZ7" t="str">
        <f t="shared" si="23"/>
        <v/>
      </c>
      <c r="BA7" t="str">
        <f t="shared" si="24"/>
        <v/>
      </c>
      <c r="BB7" t="str">
        <f t="shared" si="25"/>
        <v/>
      </c>
      <c r="BC7" t="str">
        <f t="shared" si="26"/>
        <v/>
      </c>
      <c r="BD7" t="str">
        <f t="shared" si="27"/>
        <v/>
      </c>
      <c r="BE7" t="str">
        <f t="shared" si="28"/>
        <v/>
      </c>
      <c r="BF7" t="str">
        <f t="shared" si="29"/>
        <v/>
      </c>
      <c r="BG7" t="str">
        <f t="shared" si="30"/>
        <v/>
      </c>
      <c r="BH7" t="str">
        <f t="shared" si="31"/>
        <v/>
      </c>
    </row>
    <row r="8" spans="1:66" x14ac:dyDescent="0.2">
      <c r="A8">
        <v>5</v>
      </c>
      <c r="B8">
        <v>46</v>
      </c>
      <c r="C8" t="s">
        <v>39</v>
      </c>
      <c r="D8">
        <v>1</v>
      </c>
      <c r="E8">
        <v>1</v>
      </c>
      <c r="K8">
        <v>3</v>
      </c>
      <c r="N8">
        <v>3</v>
      </c>
      <c r="O8">
        <v>3</v>
      </c>
      <c r="S8">
        <v>1</v>
      </c>
      <c r="T8">
        <v>1</v>
      </c>
      <c r="X8">
        <f t="shared" si="33"/>
        <v>0</v>
      </c>
      <c r="Z8" t="str">
        <f t="shared" si="0"/>
        <v/>
      </c>
      <c r="AA8" t="str">
        <f t="shared" si="1"/>
        <v/>
      </c>
      <c r="AB8" t="str">
        <f t="shared" si="2"/>
        <v/>
      </c>
      <c r="AC8" t="str">
        <f t="shared" si="3"/>
        <v/>
      </c>
      <c r="AE8" t="str">
        <f t="shared" si="4"/>
        <v/>
      </c>
      <c r="AF8" t="str">
        <f t="shared" si="5"/>
        <v/>
      </c>
      <c r="AG8" t="str">
        <f t="shared" si="6"/>
        <v/>
      </c>
      <c r="AH8" t="str">
        <f t="shared" si="7"/>
        <v/>
      </c>
      <c r="AI8" t="str">
        <f t="shared" si="8"/>
        <v/>
      </c>
      <c r="AK8" t="str">
        <f t="shared" si="9"/>
        <v/>
      </c>
      <c r="AL8" t="str">
        <f t="shared" si="32"/>
        <v/>
      </c>
      <c r="AM8" t="str">
        <f t="shared" si="10"/>
        <v/>
      </c>
      <c r="AN8" t="str">
        <f t="shared" si="11"/>
        <v/>
      </c>
      <c r="AO8" t="str">
        <f t="shared" si="12"/>
        <v/>
      </c>
      <c r="AP8" t="str">
        <f t="shared" si="13"/>
        <v/>
      </c>
      <c r="AQ8" t="str">
        <f t="shared" si="14"/>
        <v/>
      </c>
      <c r="AR8" t="str">
        <f t="shared" si="15"/>
        <v/>
      </c>
      <c r="AS8" t="str">
        <f t="shared" si="16"/>
        <v/>
      </c>
      <c r="AT8" t="str">
        <f t="shared" si="17"/>
        <v/>
      </c>
      <c r="AU8" t="str">
        <f t="shared" si="18"/>
        <v/>
      </c>
      <c r="AV8" t="str">
        <f t="shared" si="19"/>
        <v/>
      </c>
      <c r="AW8" t="str">
        <f t="shared" si="20"/>
        <v/>
      </c>
      <c r="AX8" t="str">
        <f t="shared" si="21"/>
        <v/>
      </c>
      <c r="AY8" t="str">
        <f t="shared" si="22"/>
        <v/>
      </c>
      <c r="AZ8" t="str">
        <f t="shared" si="23"/>
        <v/>
      </c>
      <c r="BA8" t="str">
        <f t="shared" si="24"/>
        <v/>
      </c>
      <c r="BB8" t="str">
        <f t="shared" si="25"/>
        <v/>
      </c>
      <c r="BC8" t="str">
        <f t="shared" si="26"/>
        <v/>
      </c>
      <c r="BD8" t="str">
        <f t="shared" si="27"/>
        <v/>
      </c>
      <c r="BE8" t="str">
        <f t="shared" si="28"/>
        <v/>
      </c>
      <c r="BF8" t="str">
        <f t="shared" si="29"/>
        <v/>
      </c>
      <c r="BG8" t="str">
        <f t="shared" si="30"/>
        <v/>
      </c>
      <c r="BH8" t="str">
        <f t="shared" si="31"/>
        <v/>
      </c>
    </row>
    <row r="9" spans="1:66" x14ac:dyDescent="0.2">
      <c r="A9">
        <v>6</v>
      </c>
      <c r="B9">
        <v>53</v>
      </c>
      <c r="C9" t="s">
        <v>207</v>
      </c>
      <c r="D9">
        <v>1</v>
      </c>
      <c r="E9">
        <v>1</v>
      </c>
      <c r="K9">
        <v>4</v>
      </c>
      <c r="N9">
        <v>5</v>
      </c>
      <c r="O9">
        <v>5</v>
      </c>
      <c r="X9">
        <f t="shared" si="33"/>
        <v>0</v>
      </c>
      <c r="Z9" t="str">
        <f t="shared" si="0"/>
        <v/>
      </c>
      <c r="AA9" t="str">
        <f t="shared" si="1"/>
        <v/>
      </c>
      <c r="AB9" t="str">
        <f t="shared" si="2"/>
        <v/>
      </c>
      <c r="AC9" t="str">
        <f t="shared" si="3"/>
        <v/>
      </c>
      <c r="AE9" t="str">
        <f t="shared" si="4"/>
        <v/>
      </c>
      <c r="AF9" t="str">
        <f t="shared" si="5"/>
        <v/>
      </c>
      <c r="AG9" t="str">
        <f t="shared" si="6"/>
        <v/>
      </c>
      <c r="AH9" t="str">
        <f t="shared" si="7"/>
        <v/>
      </c>
      <c r="AI9" t="str">
        <f t="shared" si="8"/>
        <v/>
      </c>
      <c r="AK9" t="str">
        <f t="shared" si="9"/>
        <v/>
      </c>
      <c r="AL9" t="str">
        <f t="shared" si="32"/>
        <v/>
      </c>
      <c r="AM9" t="str">
        <f t="shared" si="10"/>
        <v/>
      </c>
      <c r="AN9" t="str">
        <f t="shared" si="11"/>
        <v/>
      </c>
      <c r="AO9" t="str">
        <f t="shared" si="12"/>
        <v/>
      </c>
      <c r="AP9" t="str">
        <f t="shared" si="13"/>
        <v/>
      </c>
      <c r="AQ9" t="str">
        <f t="shared" si="14"/>
        <v/>
      </c>
      <c r="AR9" t="str">
        <f t="shared" si="15"/>
        <v/>
      </c>
      <c r="AS9" t="str">
        <f t="shared" si="16"/>
        <v/>
      </c>
      <c r="AT9" t="str">
        <f t="shared" si="17"/>
        <v/>
      </c>
      <c r="AU9" t="str">
        <f t="shared" si="18"/>
        <v/>
      </c>
      <c r="AV9" t="str">
        <f t="shared" si="19"/>
        <v/>
      </c>
      <c r="AW9" t="str">
        <f t="shared" si="20"/>
        <v/>
      </c>
      <c r="AX9" t="str">
        <f t="shared" si="21"/>
        <v/>
      </c>
      <c r="AY9" t="str">
        <f t="shared" si="22"/>
        <v/>
      </c>
      <c r="AZ9" t="str">
        <f t="shared" si="23"/>
        <v/>
      </c>
      <c r="BA9" t="str">
        <f t="shared" si="24"/>
        <v/>
      </c>
      <c r="BB9" t="str">
        <f t="shared" si="25"/>
        <v/>
      </c>
      <c r="BC9" t="str">
        <f t="shared" si="26"/>
        <v/>
      </c>
      <c r="BD9" t="str">
        <f t="shared" si="27"/>
        <v/>
      </c>
      <c r="BE9" t="str">
        <f t="shared" si="28"/>
        <v/>
      </c>
      <c r="BF9" t="str">
        <f t="shared" si="29"/>
        <v/>
      </c>
      <c r="BG9" t="str">
        <f t="shared" si="30"/>
        <v/>
      </c>
      <c r="BH9" t="str">
        <f t="shared" si="31"/>
        <v/>
      </c>
    </row>
    <row r="10" spans="1:66" x14ac:dyDescent="0.2">
      <c r="A10">
        <v>7</v>
      </c>
      <c r="B10">
        <v>65</v>
      </c>
      <c r="C10" t="s">
        <v>39</v>
      </c>
      <c r="D10">
        <v>1</v>
      </c>
      <c r="E10">
        <v>1</v>
      </c>
      <c r="K10">
        <v>5</v>
      </c>
      <c r="N10">
        <v>5</v>
      </c>
      <c r="O10">
        <v>5</v>
      </c>
      <c r="X10">
        <f t="shared" si="33"/>
        <v>0</v>
      </c>
      <c r="Z10" t="str">
        <f t="shared" si="0"/>
        <v/>
      </c>
      <c r="AA10" t="str">
        <f t="shared" si="1"/>
        <v/>
      </c>
      <c r="AB10" t="str">
        <f t="shared" si="2"/>
        <v/>
      </c>
      <c r="AC10" t="str">
        <f t="shared" si="3"/>
        <v/>
      </c>
      <c r="AE10" t="str">
        <f t="shared" si="4"/>
        <v/>
      </c>
      <c r="AF10" t="str">
        <f t="shared" si="5"/>
        <v/>
      </c>
      <c r="AG10" t="str">
        <f t="shared" si="6"/>
        <v/>
      </c>
      <c r="AH10" t="str">
        <f t="shared" si="7"/>
        <v/>
      </c>
      <c r="AI10" t="str">
        <f t="shared" si="8"/>
        <v/>
      </c>
      <c r="AK10" t="str">
        <f t="shared" si="9"/>
        <v/>
      </c>
      <c r="AL10" t="str">
        <f t="shared" si="32"/>
        <v/>
      </c>
      <c r="AM10" t="str">
        <f t="shared" si="10"/>
        <v/>
      </c>
      <c r="AN10" t="str">
        <f t="shared" si="11"/>
        <v/>
      </c>
      <c r="AO10" t="str">
        <f t="shared" si="12"/>
        <v/>
      </c>
      <c r="AP10" t="str">
        <f t="shared" si="13"/>
        <v/>
      </c>
      <c r="AQ10" t="str">
        <f t="shared" si="14"/>
        <v/>
      </c>
      <c r="AR10" t="str">
        <f t="shared" si="15"/>
        <v/>
      </c>
      <c r="AS10" t="str">
        <f t="shared" si="16"/>
        <v/>
      </c>
      <c r="AT10" t="str">
        <f t="shared" si="17"/>
        <v/>
      </c>
      <c r="AU10" t="str">
        <f t="shared" si="18"/>
        <v/>
      </c>
      <c r="AV10" t="str">
        <f t="shared" si="19"/>
        <v/>
      </c>
      <c r="AW10" t="str">
        <f t="shared" si="20"/>
        <v/>
      </c>
      <c r="AX10" t="str">
        <f t="shared" si="21"/>
        <v/>
      </c>
      <c r="AY10" t="str">
        <f t="shared" si="22"/>
        <v/>
      </c>
      <c r="AZ10" t="str">
        <f t="shared" si="23"/>
        <v/>
      </c>
      <c r="BA10" t="str">
        <f t="shared" si="24"/>
        <v/>
      </c>
      <c r="BB10" t="str">
        <f t="shared" si="25"/>
        <v/>
      </c>
      <c r="BC10" t="str">
        <f t="shared" si="26"/>
        <v/>
      </c>
      <c r="BD10" t="str">
        <f t="shared" si="27"/>
        <v/>
      </c>
      <c r="BE10" t="str">
        <f t="shared" si="28"/>
        <v/>
      </c>
      <c r="BF10" t="str">
        <f t="shared" si="29"/>
        <v/>
      </c>
      <c r="BG10" t="str">
        <f t="shared" si="30"/>
        <v/>
      </c>
      <c r="BH10" t="str">
        <f t="shared" si="31"/>
        <v/>
      </c>
    </row>
    <row r="11" spans="1:66" x14ac:dyDescent="0.2">
      <c r="A11">
        <v>8</v>
      </c>
      <c r="B11">
        <v>73</v>
      </c>
      <c r="C11" t="s">
        <v>39</v>
      </c>
      <c r="D11">
        <v>1</v>
      </c>
      <c r="E11">
        <v>1</v>
      </c>
      <c r="K11">
        <v>4</v>
      </c>
      <c r="N11">
        <v>4</v>
      </c>
      <c r="O11">
        <v>4</v>
      </c>
      <c r="S11">
        <v>1</v>
      </c>
      <c r="X11">
        <f t="shared" si="33"/>
        <v>0</v>
      </c>
      <c r="Z11" t="str">
        <f t="shared" si="0"/>
        <v/>
      </c>
      <c r="AA11" t="str">
        <f t="shared" si="1"/>
        <v/>
      </c>
      <c r="AB11" t="str">
        <f t="shared" si="2"/>
        <v/>
      </c>
      <c r="AC11" t="str">
        <f t="shared" si="3"/>
        <v/>
      </c>
      <c r="AE11" t="str">
        <f t="shared" si="4"/>
        <v/>
      </c>
      <c r="AF11" t="str">
        <f t="shared" si="5"/>
        <v/>
      </c>
      <c r="AG11" t="str">
        <f t="shared" si="6"/>
        <v/>
      </c>
      <c r="AH11" t="str">
        <f t="shared" si="7"/>
        <v/>
      </c>
      <c r="AI11" t="str">
        <f t="shared" si="8"/>
        <v/>
      </c>
      <c r="AK11" t="str">
        <f t="shared" si="9"/>
        <v/>
      </c>
      <c r="AL11" t="str">
        <f t="shared" si="32"/>
        <v/>
      </c>
      <c r="AM11" t="str">
        <f t="shared" si="10"/>
        <v/>
      </c>
      <c r="AN11" t="str">
        <f t="shared" si="11"/>
        <v/>
      </c>
      <c r="AO11" t="str">
        <f t="shared" si="12"/>
        <v/>
      </c>
      <c r="AP11" t="str">
        <f t="shared" si="13"/>
        <v/>
      </c>
      <c r="AQ11" t="str">
        <f t="shared" si="14"/>
        <v/>
      </c>
      <c r="AR11" t="str">
        <f t="shared" si="15"/>
        <v/>
      </c>
      <c r="AS11" t="str">
        <f t="shared" si="16"/>
        <v/>
      </c>
      <c r="AT11" t="str">
        <f t="shared" si="17"/>
        <v/>
      </c>
      <c r="AU11" t="str">
        <f t="shared" si="18"/>
        <v/>
      </c>
      <c r="AV11" t="str">
        <f t="shared" si="19"/>
        <v/>
      </c>
      <c r="AW11" t="str">
        <f t="shared" si="20"/>
        <v/>
      </c>
      <c r="AX11" t="str">
        <f t="shared" si="21"/>
        <v/>
      </c>
      <c r="AY11" t="str">
        <f t="shared" si="22"/>
        <v/>
      </c>
      <c r="AZ11" t="str">
        <f t="shared" si="23"/>
        <v/>
      </c>
      <c r="BA11" t="str">
        <f t="shared" si="24"/>
        <v/>
      </c>
      <c r="BB11" t="str">
        <f t="shared" si="25"/>
        <v/>
      </c>
      <c r="BC11" t="str">
        <f t="shared" si="26"/>
        <v/>
      </c>
      <c r="BD11" t="str">
        <f t="shared" si="27"/>
        <v/>
      </c>
      <c r="BE11" t="str">
        <f t="shared" si="28"/>
        <v/>
      </c>
      <c r="BF11" t="str">
        <f t="shared" si="29"/>
        <v/>
      </c>
      <c r="BG11" t="str">
        <f t="shared" si="30"/>
        <v/>
      </c>
      <c r="BH11" t="str">
        <f t="shared" si="31"/>
        <v/>
      </c>
    </row>
    <row r="12" spans="1:66" x14ac:dyDescent="0.2">
      <c r="A12">
        <v>9</v>
      </c>
      <c r="B12">
        <v>83</v>
      </c>
      <c r="C12" t="s">
        <v>207</v>
      </c>
      <c r="D12">
        <v>1</v>
      </c>
      <c r="E12">
        <v>1</v>
      </c>
      <c r="K12">
        <v>1</v>
      </c>
      <c r="N12">
        <v>1</v>
      </c>
      <c r="O12">
        <v>1</v>
      </c>
      <c r="S12">
        <v>1</v>
      </c>
      <c r="T12">
        <v>1</v>
      </c>
      <c r="U12">
        <v>1</v>
      </c>
      <c r="X12">
        <f t="shared" si="33"/>
        <v>0</v>
      </c>
      <c r="Z12" t="str">
        <f t="shared" si="0"/>
        <v/>
      </c>
      <c r="AA12" t="str">
        <f t="shared" si="1"/>
        <v/>
      </c>
      <c r="AB12" t="str">
        <f t="shared" si="2"/>
        <v/>
      </c>
      <c r="AC12" t="str">
        <f t="shared" si="3"/>
        <v/>
      </c>
      <c r="AE12" t="str">
        <f t="shared" si="4"/>
        <v/>
      </c>
      <c r="AF12" t="str">
        <f t="shared" si="5"/>
        <v/>
      </c>
      <c r="AG12" t="str">
        <f t="shared" si="6"/>
        <v/>
      </c>
      <c r="AH12" t="str">
        <f t="shared" si="7"/>
        <v/>
      </c>
      <c r="AI12" t="str">
        <f t="shared" si="8"/>
        <v/>
      </c>
      <c r="AK12" t="str">
        <f t="shared" si="9"/>
        <v/>
      </c>
      <c r="AL12" t="str">
        <f t="shared" si="32"/>
        <v/>
      </c>
      <c r="AM12" t="str">
        <f t="shared" si="10"/>
        <v/>
      </c>
      <c r="AN12" t="str">
        <f t="shared" si="11"/>
        <v/>
      </c>
      <c r="AO12" t="str">
        <f t="shared" si="12"/>
        <v/>
      </c>
      <c r="AP12" t="str">
        <f t="shared" si="13"/>
        <v/>
      </c>
      <c r="AQ12" t="str">
        <f t="shared" si="14"/>
        <v/>
      </c>
      <c r="AR12" t="str">
        <f t="shared" si="15"/>
        <v/>
      </c>
      <c r="AS12" t="str">
        <f t="shared" si="16"/>
        <v/>
      </c>
      <c r="AT12" t="str">
        <f t="shared" si="17"/>
        <v/>
      </c>
      <c r="AU12" t="str">
        <f t="shared" si="18"/>
        <v/>
      </c>
      <c r="AV12" t="str">
        <f t="shared" si="19"/>
        <v/>
      </c>
      <c r="AW12" t="str">
        <f t="shared" si="20"/>
        <v/>
      </c>
      <c r="AX12" t="str">
        <f t="shared" si="21"/>
        <v/>
      </c>
      <c r="AY12" t="str">
        <f t="shared" si="22"/>
        <v/>
      </c>
      <c r="AZ12" t="str">
        <f t="shared" si="23"/>
        <v/>
      </c>
      <c r="BA12" t="str">
        <f t="shared" si="24"/>
        <v/>
      </c>
      <c r="BB12" t="str">
        <f t="shared" si="25"/>
        <v/>
      </c>
      <c r="BC12" t="str">
        <f t="shared" si="26"/>
        <v/>
      </c>
      <c r="BD12" t="str">
        <f t="shared" si="27"/>
        <v/>
      </c>
      <c r="BE12" t="str">
        <f t="shared" si="28"/>
        <v/>
      </c>
      <c r="BF12" t="str">
        <f t="shared" si="29"/>
        <v/>
      </c>
      <c r="BG12" t="str">
        <f t="shared" si="30"/>
        <v/>
      </c>
      <c r="BH12" t="str">
        <f t="shared" si="31"/>
        <v/>
      </c>
    </row>
    <row r="13" spans="1:66" x14ac:dyDescent="0.2">
      <c r="A13">
        <v>10</v>
      </c>
      <c r="B13">
        <v>91</v>
      </c>
      <c r="C13" t="s">
        <v>39</v>
      </c>
      <c r="D13">
        <v>1</v>
      </c>
      <c r="E13">
        <v>1</v>
      </c>
      <c r="G13">
        <v>2</v>
      </c>
      <c r="K13">
        <v>3</v>
      </c>
      <c r="L13">
        <v>1</v>
      </c>
      <c r="N13">
        <v>3</v>
      </c>
      <c r="O13">
        <v>3</v>
      </c>
      <c r="S13">
        <v>1</v>
      </c>
      <c r="T13">
        <v>1</v>
      </c>
      <c r="U13">
        <v>2</v>
      </c>
      <c r="X13">
        <f t="shared" si="33"/>
        <v>2</v>
      </c>
      <c r="Y13" t="s">
        <v>174</v>
      </c>
      <c r="Z13" t="str">
        <f t="shared" si="0"/>
        <v/>
      </c>
      <c r="AA13" t="str">
        <f t="shared" si="1"/>
        <v/>
      </c>
      <c r="AB13" t="str">
        <f t="shared" si="2"/>
        <v/>
      </c>
      <c r="AC13" t="str">
        <f t="shared" si="3"/>
        <v/>
      </c>
      <c r="AE13" t="str">
        <f t="shared" si="4"/>
        <v>4</v>
      </c>
      <c r="AF13" t="str">
        <f t="shared" si="5"/>
        <v/>
      </c>
      <c r="AG13" t="str">
        <f t="shared" si="6"/>
        <v/>
      </c>
      <c r="AH13" t="str">
        <f t="shared" si="7"/>
        <v/>
      </c>
      <c r="AI13" t="str">
        <f t="shared" si="8"/>
        <v/>
      </c>
      <c r="AK13" t="str">
        <f t="shared" si="9"/>
        <v/>
      </c>
      <c r="AL13" t="str">
        <f t="shared" si="32"/>
        <v/>
      </c>
      <c r="AM13" t="str">
        <f t="shared" si="10"/>
        <v/>
      </c>
      <c r="AN13" t="str">
        <f t="shared" si="11"/>
        <v/>
      </c>
      <c r="AO13" t="str">
        <f t="shared" si="12"/>
        <v/>
      </c>
      <c r="AP13" t="str">
        <f t="shared" si="13"/>
        <v/>
      </c>
      <c r="AQ13" t="str">
        <f t="shared" si="14"/>
        <v/>
      </c>
      <c r="AR13" t="str">
        <f t="shared" si="15"/>
        <v/>
      </c>
      <c r="AS13" t="str">
        <f t="shared" si="16"/>
        <v/>
      </c>
      <c r="AT13" t="str">
        <f t="shared" si="17"/>
        <v/>
      </c>
      <c r="AU13" t="str">
        <f t="shared" si="18"/>
        <v/>
      </c>
      <c r="AV13" t="str">
        <f t="shared" si="19"/>
        <v/>
      </c>
      <c r="AW13" t="str">
        <f t="shared" si="20"/>
        <v/>
      </c>
      <c r="AX13" t="str">
        <f t="shared" si="21"/>
        <v/>
      </c>
      <c r="AY13" t="str">
        <f t="shared" si="22"/>
        <v/>
      </c>
      <c r="AZ13" t="str">
        <f t="shared" si="23"/>
        <v/>
      </c>
      <c r="BA13" t="str">
        <f t="shared" si="24"/>
        <v/>
      </c>
      <c r="BB13" t="str">
        <f t="shared" si="25"/>
        <v/>
      </c>
      <c r="BC13" t="str">
        <f t="shared" si="26"/>
        <v/>
      </c>
      <c r="BD13" t="str">
        <f t="shared" si="27"/>
        <v/>
      </c>
      <c r="BE13" t="str">
        <f t="shared" si="28"/>
        <v/>
      </c>
      <c r="BF13" t="str">
        <f t="shared" si="29"/>
        <v/>
      </c>
      <c r="BG13" t="str">
        <f t="shared" si="30"/>
        <v/>
      </c>
      <c r="BH13" t="str">
        <f t="shared" si="31"/>
        <v/>
      </c>
    </row>
    <row r="14" spans="1:66" x14ac:dyDescent="0.2">
      <c r="A14">
        <v>11</v>
      </c>
      <c r="B14">
        <v>109</v>
      </c>
      <c r="C14" t="s">
        <v>207</v>
      </c>
      <c r="D14">
        <v>1</v>
      </c>
      <c r="E14">
        <v>1</v>
      </c>
      <c r="F14">
        <v>1</v>
      </c>
      <c r="G14">
        <v>3</v>
      </c>
      <c r="K14">
        <v>5</v>
      </c>
      <c r="S14">
        <v>1</v>
      </c>
      <c r="T14">
        <v>1</v>
      </c>
      <c r="U14">
        <v>3</v>
      </c>
      <c r="X14">
        <f t="shared" si="33"/>
        <v>3</v>
      </c>
      <c r="Z14" t="s">
        <v>31</v>
      </c>
      <c r="AE14" t="s">
        <v>34</v>
      </c>
      <c r="AK14" t="s">
        <v>43</v>
      </c>
      <c r="AP14" t="s">
        <v>84</v>
      </c>
    </row>
    <row r="15" spans="1:66" x14ac:dyDescent="0.2">
      <c r="A15">
        <v>12</v>
      </c>
      <c r="B15">
        <v>115</v>
      </c>
      <c r="C15" t="s">
        <v>207</v>
      </c>
      <c r="D15">
        <v>1</v>
      </c>
      <c r="E15">
        <v>1</v>
      </c>
      <c r="J15">
        <v>4</v>
      </c>
      <c r="K15">
        <v>4</v>
      </c>
      <c r="N15">
        <v>4</v>
      </c>
      <c r="O15">
        <v>4</v>
      </c>
      <c r="S15">
        <v>1</v>
      </c>
      <c r="X15">
        <f t="shared" si="33"/>
        <v>0</v>
      </c>
      <c r="Z15" t="s">
        <v>21</v>
      </c>
      <c r="AA15" t="s">
        <v>22</v>
      </c>
      <c r="AE15" t="s">
        <v>21</v>
      </c>
      <c r="AF15" t="s">
        <v>22</v>
      </c>
      <c r="AG15" t="s">
        <v>35</v>
      </c>
      <c r="AK15" t="s">
        <v>10</v>
      </c>
      <c r="AL15" t="s">
        <v>25</v>
      </c>
      <c r="AM15" t="s">
        <v>26</v>
      </c>
      <c r="AN15" t="s">
        <v>27</v>
      </c>
      <c r="AP15" t="s">
        <v>15</v>
      </c>
      <c r="AQ15" t="s">
        <v>85</v>
      </c>
    </row>
    <row r="16" spans="1:66" x14ac:dyDescent="0.2">
      <c r="A16" t="s">
        <v>28</v>
      </c>
      <c r="D16">
        <f>SUM(D4:D15)</f>
        <v>11</v>
      </c>
      <c r="E16">
        <f>SUM(E4:E15)</f>
        <v>9</v>
      </c>
      <c r="F16">
        <f>SUM(F4:F15)</f>
        <v>1</v>
      </c>
      <c r="G16">
        <f>SUM(G4:G15)</f>
        <v>5</v>
      </c>
      <c r="H16">
        <f>SUM(H4:H15)</f>
        <v>0</v>
      </c>
      <c r="K16">
        <f>SUM(K4:K15)</f>
        <v>39</v>
      </c>
      <c r="L16">
        <f>SUM(L4:L15)</f>
        <v>4</v>
      </c>
      <c r="M16">
        <f>SUM(M4:M15)</f>
        <v>0</v>
      </c>
      <c r="N16">
        <f>SUM(N4:N15)</f>
        <v>38</v>
      </c>
      <c r="O16">
        <f>SUM(O4:O15)</f>
        <v>38</v>
      </c>
      <c r="Q16">
        <f t="shared" ref="Q16:R16" si="34">SUM(Q4:Q15)</f>
        <v>0</v>
      </c>
      <c r="R16">
        <f t="shared" si="34"/>
        <v>0</v>
      </c>
      <c r="S16">
        <f>SUM(S4:S15)</f>
        <v>10</v>
      </c>
      <c r="T16">
        <f>SUM(T4:T15)</f>
        <v>7</v>
      </c>
      <c r="U16">
        <f>SUM(U4:U15)</f>
        <v>20</v>
      </c>
      <c r="V16">
        <f>SUM(V4:V15)</f>
        <v>0</v>
      </c>
      <c r="W16">
        <f>SUM(W4:W15)</f>
        <v>0</v>
      </c>
      <c r="Z16">
        <f t="shared" ref="Z16:Z27" si="35">COUNTIF(Z2:AC2, "3")*COUNTIF(C4, "r")+COUNTIF(Z2:AC2, "5")*COUNTIF(C4, "b")</f>
        <v>0</v>
      </c>
      <c r="AA16">
        <f t="shared" ref="AA16:AA27" si="36">COUNTIF(Z2:AC2, "1")+COUNTIF(Z2:AC2, "2")+COUNTIF(Z2:AC2, "4")</f>
        <v>0</v>
      </c>
      <c r="AE16">
        <f t="shared" ref="AE16:AE27" si="37">COUNTIF(AE2:AI2, "3")*COUNTIF(C4, "r") + COUNTIF(AE2:AI2, "5")*COUNTIF(C4, "b")</f>
        <v>0</v>
      </c>
      <c r="AF16">
        <f t="shared" ref="AF16:AF27" si="38">COUNTIF(AE2:AI2, "1")+COUNTIF(AE2:AI2, "2")+COUNTIF(AE2:AI2, "4")</f>
        <v>0</v>
      </c>
      <c r="AG16">
        <f t="shared" ref="AG16:AG27" si="39">COUNTIF(AE2:AI2, "3")*COUNTIF(AE2:AI2, "b")+COUNTIF(AE2:AI2, "5")*COUNTIF(AE2:AI2, "r")</f>
        <v>0</v>
      </c>
      <c r="AK16">
        <f t="shared" ref="AK16:AK27" si="40">SUMPRODUCT(LEN($AK2:$BH2) - LEN(SUBSTITUTE($AK2:$BH2, "g", "")))</f>
        <v>0</v>
      </c>
      <c r="AL16">
        <f t="shared" ref="AL16:AL27" si="41">SUMPRODUCT(LEN($AK2:$BH2) - LEN(SUBSTITUTE($AK2:$BH2, "h", "")))</f>
        <v>0</v>
      </c>
      <c r="AM16">
        <f t="shared" ref="AM16:AM27" si="42">SUMPRODUCT(LEN($AK2:$BH2) - LEN(SUBSTITUTE($AK2:$BH2, "v", "")))</f>
        <v>0</v>
      </c>
      <c r="AN16">
        <f t="shared" ref="AN16:AN27" si="43">SUMPRODUCT(LEN($AK2:$BH2) - LEN(SUBSTITUTE($AK2:$BH2, "r", "")))</f>
        <v>0</v>
      </c>
      <c r="AP16">
        <f>MAX(AQ16:BN16)</f>
        <v>0</v>
      </c>
      <c r="AQ16" s="4">
        <f>_xlfn.NUMBERVALUE(RIGHT(AK2,1))</f>
        <v>0</v>
      </c>
      <c r="AR16" s="4">
        <f t="shared" ref="AR16:BG27" si="44">_xlfn.NUMBERVALUE(RIGHT(AL2,1))</f>
        <v>0</v>
      </c>
      <c r="AS16" s="4">
        <f t="shared" si="44"/>
        <v>0</v>
      </c>
      <c r="AT16" s="4">
        <f t="shared" si="44"/>
        <v>0</v>
      </c>
      <c r="AU16" s="4">
        <f t="shared" si="44"/>
        <v>0</v>
      </c>
      <c r="AV16" s="4">
        <f t="shared" si="44"/>
        <v>0</v>
      </c>
      <c r="AW16" s="4">
        <f t="shared" si="44"/>
        <v>0</v>
      </c>
      <c r="AX16" s="4">
        <f t="shared" si="44"/>
        <v>0</v>
      </c>
      <c r="AY16" s="4">
        <f t="shared" si="44"/>
        <v>0</v>
      </c>
      <c r="AZ16" s="4">
        <f t="shared" si="44"/>
        <v>0</v>
      </c>
      <c r="BA16" s="4">
        <f t="shared" si="44"/>
        <v>0</v>
      </c>
      <c r="BB16" s="4">
        <f t="shared" si="44"/>
        <v>0</v>
      </c>
      <c r="BC16" s="4">
        <f t="shared" si="44"/>
        <v>0</v>
      </c>
      <c r="BD16" s="4">
        <f t="shared" si="44"/>
        <v>0</v>
      </c>
      <c r="BE16" s="4">
        <f t="shared" si="44"/>
        <v>0</v>
      </c>
      <c r="BF16" s="4">
        <f t="shared" si="44"/>
        <v>0</v>
      </c>
      <c r="BG16" s="4">
        <f t="shared" si="44"/>
        <v>0</v>
      </c>
      <c r="BH16" s="4">
        <f t="shared" ref="BH16:BN27" si="45">_xlfn.NUMBERVALUE(RIGHT(BB2,1))</f>
        <v>0</v>
      </c>
      <c r="BI16" s="4">
        <f t="shared" si="45"/>
        <v>0</v>
      </c>
      <c r="BJ16" s="4">
        <f t="shared" si="45"/>
        <v>0</v>
      </c>
      <c r="BK16" s="4">
        <f t="shared" si="45"/>
        <v>0</v>
      </c>
      <c r="BL16" s="4">
        <f t="shared" si="45"/>
        <v>0</v>
      </c>
      <c r="BM16" s="4">
        <f t="shared" si="45"/>
        <v>0</v>
      </c>
      <c r="BN16" s="4">
        <f t="shared" si="45"/>
        <v>0</v>
      </c>
    </row>
    <row r="17" spans="1:66" x14ac:dyDescent="0.2">
      <c r="A17" s="1" t="s">
        <v>20</v>
      </c>
      <c r="D17" s="1" t="s">
        <v>49</v>
      </c>
      <c r="G17" s="1" t="s">
        <v>52</v>
      </c>
      <c r="K17" s="3" t="s">
        <v>74</v>
      </c>
      <c r="P17" s="1" t="s">
        <v>66</v>
      </c>
      <c r="Z17">
        <f t="shared" si="35"/>
        <v>0</v>
      </c>
      <c r="AA17">
        <f t="shared" si="36"/>
        <v>0</v>
      </c>
      <c r="AE17">
        <f t="shared" si="37"/>
        <v>0</v>
      </c>
      <c r="AF17">
        <f t="shared" si="38"/>
        <v>0</v>
      </c>
      <c r="AG17">
        <f t="shared" si="39"/>
        <v>0</v>
      </c>
      <c r="AK17">
        <f t="shared" si="40"/>
        <v>0</v>
      </c>
      <c r="AL17">
        <f t="shared" si="41"/>
        <v>0</v>
      </c>
      <c r="AM17">
        <f t="shared" si="42"/>
        <v>0</v>
      </c>
      <c r="AN17">
        <f t="shared" si="43"/>
        <v>0</v>
      </c>
      <c r="AP17">
        <f t="shared" ref="AP17:AP27" si="46">MAX(AQ17:BN17)</f>
        <v>0</v>
      </c>
      <c r="AQ17" s="4">
        <f t="shared" ref="AQ17:AQ27" si="47">_xlfn.NUMBERVALUE(RIGHT(AK3,1))</f>
        <v>0</v>
      </c>
      <c r="AR17" s="4">
        <f t="shared" si="44"/>
        <v>0</v>
      </c>
      <c r="AS17" s="4">
        <f t="shared" si="44"/>
        <v>0</v>
      </c>
      <c r="AT17" s="4">
        <f t="shared" si="44"/>
        <v>0</v>
      </c>
      <c r="AU17" s="4">
        <f t="shared" si="44"/>
        <v>0</v>
      </c>
      <c r="AV17" s="4">
        <f t="shared" si="44"/>
        <v>0</v>
      </c>
      <c r="AW17" s="4">
        <f t="shared" si="44"/>
        <v>0</v>
      </c>
      <c r="AX17" s="4">
        <f t="shared" si="44"/>
        <v>0</v>
      </c>
      <c r="AY17" s="4">
        <f t="shared" si="44"/>
        <v>0</v>
      </c>
      <c r="AZ17" s="4">
        <f t="shared" si="44"/>
        <v>0</v>
      </c>
      <c r="BA17" s="4">
        <f t="shared" si="44"/>
        <v>0</v>
      </c>
      <c r="BB17" s="4">
        <f t="shared" si="44"/>
        <v>0</v>
      </c>
      <c r="BC17" s="4">
        <f t="shared" si="44"/>
        <v>0</v>
      </c>
      <c r="BD17" s="4">
        <f t="shared" si="44"/>
        <v>0</v>
      </c>
      <c r="BE17" s="4">
        <f t="shared" si="44"/>
        <v>0</v>
      </c>
      <c r="BF17" s="4">
        <f t="shared" si="44"/>
        <v>0</v>
      </c>
      <c r="BG17" s="4">
        <f t="shared" si="44"/>
        <v>0</v>
      </c>
      <c r="BH17" s="4">
        <f t="shared" si="45"/>
        <v>0</v>
      </c>
      <c r="BI17" s="4">
        <f t="shared" si="45"/>
        <v>0</v>
      </c>
      <c r="BJ17" s="4">
        <f t="shared" si="45"/>
        <v>0</v>
      </c>
      <c r="BK17" s="4">
        <f t="shared" si="45"/>
        <v>0</v>
      </c>
      <c r="BL17" s="4">
        <f t="shared" si="45"/>
        <v>0</v>
      </c>
      <c r="BM17" s="4">
        <f t="shared" si="45"/>
        <v>0</v>
      </c>
      <c r="BN17" s="4">
        <f t="shared" si="45"/>
        <v>0</v>
      </c>
    </row>
    <row r="18" spans="1:66" x14ac:dyDescent="0.2">
      <c r="A18" t="s">
        <v>32</v>
      </c>
      <c r="B18" t="s">
        <v>21</v>
      </c>
      <c r="D18" t="s">
        <v>180</v>
      </c>
      <c r="G18" s="3" t="s">
        <v>53</v>
      </c>
      <c r="K18" t="s">
        <v>55</v>
      </c>
      <c r="M18" t="s">
        <v>65</v>
      </c>
      <c r="P18" t="s">
        <v>67</v>
      </c>
      <c r="Z18">
        <f t="shared" si="35"/>
        <v>0</v>
      </c>
      <c r="AA18">
        <f t="shared" si="36"/>
        <v>0</v>
      </c>
      <c r="AE18">
        <f t="shared" si="37"/>
        <v>0</v>
      </c>
      <c r="AF18">
        <f t="shared" si="38"/>
        <v>0</v>
      </c>
      <c r="AG18">
        <f t="shared" si="39"/>
        <v>0</v>
      </c>
      <c r="AK18">
        <f t="shared" si="40"/>
        <v>0</v>
      </c>
      <c r="AL18">
        <f t="shared" si="41"/>
        <v>0</v>
      </c>
      <c r="AM18">
        <f t="shared" si="42"/>
        <v>0</v>
      </c>
      <c r="AN18">
        <f t="shared" si="43"/>
        <v>0</v>
      </c>
      <c r="AP18">
        <f t="shared" si="46"/>
        <v>0</v>
      </c>
      <c r="AQ18" s="4">
        <f t="shared" si="47"/>
        <v>0</v>
      </c>
      <c r="AR18" s="4">
        <f t="shared" si="44"/>
        <v>0</v>
      </c>
      <c r="AS18" s="4">
        <f t="shared" si="44"/>
        <v>0</v>
      </c>
      <c r="AT18" s="4">
        <f t="shared" si="44"/>
        <v>0</v>
      </c>
      <c r="AU18" s="4">
        <f t="shared" si="44"/>
        <v>0</v>
      </c>
      <c r="AV18" s="4">
        <f t="shared" si="44"/>
        <v>0</v>
      </c>
      <c r="AW18" s="4">
        <f t="shared" si="44"/>
        <v>0</v>
      </c>
      <c r="AX18" s="4">
        <f t="shared" si="44"/>
        <v>0</v>
      </c>
      <c r="AY18" s="4">
        <f t="shared" si="44"/>
        <v>0</v>
      </c>
      <c r="AZ18" s="4">
        <f t="shared" si="44"/>
        <v>0</v>
      </c>
      <c r="BA18" s="4">
        <f t="shared" si="44"/>
        <v>0</v>
      </c>
      <c r="BB18" s="4">
        <f t="shared" si="44"/>
        <v>0</v>
      </c>
      <c r="BC18" s="4">
        <f t="shared" si="44"/>
        <v>0</v>
      </c>
      <c r="BD18" s="4">
        <f t="shared" si="44"/>
        <v>0</v>
      </c>
      <c r="BE18" s="4">
        <f t="shared" si="44"/>
        <v>0</v>
      </c>
      <c r="BF18" s="4">
        <f t="shared" si="44"/>
        <v>0</v>
      </c>
      <c r="BG18" s="4">
        <f t="shared" si="44"/>
        <v>0</v>
      </c>
      <c r="BH18" s="4">
        <f t="shared" si="45"/>
        <v>0</v>
      </c>
      <c r="BI18" s="4">
        <f t="shared" si="45"/>
        <v>0</v>
      </c>
      <c r="BJ18" s="4">
        <f t="shared" si="45"/>
        <v>0</v>
      </c>
      <c r="BK18" s="4">
        <f t="shared" si="45"/>
        <v>0</v>
      </c>
      <c r="BL18" s="4">
        <f t="shared" si="45"/>
        <v>0</v>
      </c>
      <c r="BM18" s="4">
        <f t="shared" si="45"/>
        <v>0</v>
      </c>
      <c r="BN18" s="4">
        <f t="shared" si="45"/>
        <v>0</v>
      </c>
    </row>
    <row r="19" spans="1:66" x14ac:dyDescent="0.2">
      <c r="A19" t="s">
        <v>40</v>
      </c>
      <c r="B19" t="s">
        <v>22</v>
      </c>
      <c r="D19">
        <f>E16/D16</f>
        <v>0.81818181818181823</v>
      </c>
      <c r="G19" t="s">
        <v>75</v>
      </c>
      <c r="K19">
        <f>O16/N16</f>
        <v>1</v>
      </c>
      <c r="M19">
        <f>SUM(M39:M50)</f>
        <v>1</v>
      </c>
      <c r="P19">
        <f>T16/S16</f>
        <v>0.7</v>
      </c>
      <c r="Z19">
        <f t="shared" si="35"/>
        <v>0</v>
      </c>
      <c r="AA19">
        <f t="shared" si="36"/>
        <v>0</v>
      </c>
      <c r="AE19">
        <f t="shared" si="37"/>
        <v>0</v>
      </c>
      <c r="AF19">
        <f t="shared" si="38"/>
        <v>0</v>
      </c>
      <c r="AG19">
        <f t="shared" si="39"/>
        <v>0</v>
      </c>
      <c r="AK19">
        <f t="shared" si="40"/>
        <v>0</v>
      </c>
      <c r="AL19">
        <f t="shared" si="41"/>
        <v>0</v>
      </c>
      <c r="AM19">
        <f t="shared" si="42"/>
        <v>0</v>
      </c>
      <c r="AN19">
        <f t="shared" si="43"/>
        <v>0</v>
      </c>
      <c r="AP19">
        <f t="shared" si="46"/>
        <v>0</v>
      </c>
      <c r="AQ19" s="4">
        <f t="shared" si="47"/>
        <v>0</v>
      </c>
      <c r="AR19" s="4">
        <f t="shared" si="44"/>
        <v>0</v>
      </c>
      <c r="AS19" s="4">
        <f t="shared" si="44"/>
        <v>0</v>
      </c>
      <c r="AT19" s="4">
        <f t="shared" si="44"/>
        <v>0</v>
      </c>
      <c r="AU19" s="4">
        <f t="shared" si="44"/>
        <v>0</v>
      </c>
      <c r="AV19" s="4">
        <f t="shared" si="44"/>
        <v>0</v>
      </c>
      <c r="AW19" s="4">
        <f t="shared" si="44"/>
        <v>0</v>
      </c>
      <c r="AX19" s="4">
        <f t="shared" si="44"/>
        <v>0</v>
      </c>
      <c r="AY19" s="4">
        <f t="shared" si="44"/>
        <v>0</v>
      </c>
      <c r="AZ19" s="4">
        <f t="shared" si="44"/>
        <v>0</v>
      </c>
      <c r="BA19" s="4">
        <f t="shared" si="44"/>
        <v>0</v>
      </c>
      <c r="BB19" s="4">
        <f t="shared" si="44"/>
        <v>0</v>
      </c>
      <c r="BC19" s="4">
        <f t="shared" si="44"/>
        <v>0</v>
      </c>
      <c r="BD19" s="4">
        <f t="shared" si="44"/>
        <v>0</v>
      </c>
      <c r="BE19" s="4">
        <f t="shared" si="44"/>
        <v>0</v>
      </c>
      <c r="BF19" s="4">
        <f t="shared" si="44"/>
        <v>0</v>
      </c>
      <c r="BG19" s="4">
        <f t="shared" si="44"/>
        <v>0</v>
      </c>
      <c r="BH19" s="4">
        <f t="shared" si="45"/>
        <v>0</v>
      </c>
      <c r="BI19" s="4">
        <f t="shared" si="45"/>
        <v>0</v>
      </c>
      <c r="BJ19" s="4">
        <f t="shared" si="45"/>
        <v>0</v>
      </c>
      <c r="BK19" s="4">
        <f t="shared" si="45"/>
        <v>0</v>
      </c>
      <c r="BL19" s="4">
        <f t="shared" si="45"/>
        <v>0</v>
      </c>
      <c r="BM19" s="4">
        <f t="shared" si="45"/>
        <v>0</v>
      </c>
      <c r="BN19" s="4">
        <f t="shared" si="45"/>
        <v>0</v>
      </c>
    </row>
    <row r="20" spans="1:66" x14ac:dyDescent="0.2">
      <c r="A20" t="s">
        <v>41</v>
      </c>
      <c r="B20" t="s">
        <v>23</v>
      </c>
      <c r="D20" t="s">
        <v>47</v>
      </c>
      <c r="G20" t="e">
        <f>AK28/AP28</f>
        <v>#DIV/0!</v>
      </c>
      <c r="K20" t="s">
        <v>13</v>
      </c>
      <c r="Z20">
        <f t="shared" si="35"/>
        <v>0</v>
      </c>
      <c r="AA20">
        <f t="shared" si="36"/>
        <v>0</v>
      </c>
      <c r="AE20">
        <f t="shared" si="37"/>
        <v>0</v>
      </c>
      <c r="AF20">
        <f t="shared" si="38"/>
        <v>0</v>
      </c>
      <c r="AG20">
        <f t="shared" si="39"/>
        <v>0</v>
      </c>
      <c r="AK20">
        <f t="shared" si="40"/>
        <v>0</v>
      </c>
      <c r="AL20">
        <f t="shared" si="41"/>
        <v>0</v>
      </c>
      <c r="AM20">
        <f t="shared" si="42"/>
        <v>0</v>
      </c>
      <c r="AN20">
        <f t="shared" si="43"/>
        <v>0</v>
      </c>
      <c r="AP20">
        <f t="shared" si="46"/>
        <v>0</v>
      </c>
      <c r="AQ20" s="4">
        <f t="shared" si="47"/>
        <v>0</v>
      </c>
      <c r="AR20" s="4">
        <f t="shared" si="44"/>
        <v>0</v>
      </c>
      <c r="AS20" s="4">
        <f t="shared" si="44"/>
        <v>0</v>
      </c>
      <c r="AT20" s="4">
        <f t="shared" si="44"/>
        <v>0</v>
      </c>
      <c r="AU20" s="4">
        <f t="shared" si="44"/>
        <v>0</v>
      </c>
      <c r="AV20" s="4">
        <f t="shared" si="44"/>
        <v>0</v>
      </c>
      <c r="AW20" s="4">
        <f t="shared" si="44"/>
        <v>0</v>
      </c>
      <c r="AX20" s="4">
        <f t="shared" si="44"/>
        <v>0</v>
      </c>
      <c r="AY20" s="4">
        <f t="shared" si="44"/>
        <v>0</v>
      </c>
      <c r="AZ20" s="4">
        <f t="shared" si="44"/>
        <v>0</v>
      </c>
      <c r="BA20" s="4">
        <f t="shared" si="44"/>
        <v>0</v>
      </c>
      <c r="BB20" s="4">
        <f t="shared" si="44"/>
        <v>0</v>
      </c>
      <c r="BC20" s="4">
        <f t="shared" si="44"/>
        <v>0</v>
      </c>
      <c r="BD20" s="4">
        <f t="shared" si="44"/>
        <v>0</v>
      </c>
      <c r="BE20" s="4">
        <f t="shared" si="44"/>
        <v>0</v>
      </c>
      <c r="BF20" s="4">
        <f t="shared" si="44"/>
        <v>0</v>
      </c>
      <c r="BG20" s="4">
        <f t="shared" si="44"/>
        <v>0</v>
      </c>
      <c r="BH20" s="4">
        <f t="shared" si="45"/>
        <v>0</v>
      </c>
      <c r="BI20" s="4">
        <f t="shared" si="45"/>
        <v>0</v>
      </c>
      <c r="BJ20" s="4">
        <f t="shared" si="45"/>
        <v>0</v>
      </c>
      <c r="BK20" s="4">
        <f t="shared" si="45"/>
        <v>0</v>
      </c>
      <c r="BL20" s="4">
        <f t="shared" si="45"/>
        <v>0</v>
      </c>
      <c r="BM20" s="4">
        <f t="shared" si="45"/>
        <v>0</v>
      </c>
      <c r="BN20" s="4">
        <f t="shared" si="45"/>
        <v>0</v>
      </c>
    </row>
    <row r="21" spans="1:66" x14ac:dyDescent="0.2">
      <c r="A21" s="1" t="s">
        <v>24</v>
      </c>
      <c r="D21">
        <f>G16/A31</f>
        <v>0.41666666666666669</v>
      </c>
      <c r="G21" t="s">
        <v>76</v>
      </c>
      <c r="K21" t="s">
        <v>57</v>
      </c>
      <c r="L21" t="s">
        <v>58</v>
      </c>
      <c r="M21" t="s">
        <v>59</v>
      </c>
      <c r="N21" t="s">
        <v>60</v>
      </c>
      <c r="Z21">
        <f t="shared" si="35"/>
        <v>0</v>
      </c>
      <c r="AA21">
        <f t="shared" si="36"/>
        <v>0</v>
      </c>
      <c r="AE21">
        <f t="shared" si="37"/>
        <v>0</v>
      </c>
      <c r="AF21">
        <f t="shared" si="38"/>
        <v>0</v>
      </c>
      <c r="AG21">
        <f t="shared" si="39"/>
        <v>0</v>
      </c>
      <c r="AK21">
        <f t="shared" si="40"/>
        <v>0</v>
      </c>
      <c r="AL21">
        <f t="shared" si="41"/>
        <v>0</v>
      </c>
      <c r="AM21">
        <f t="shared" si="42"/>
        <v>0</v>
      </c>
      <c r="AN21">
        <f t="shared" si="43"/>
        <v>0</v>
      </c>
      <c r="AP21">
        <f t="shared" si="46"/>
        <v>0</v>
      </c>
      <c r="AQ21" s="4">
        <f t="shared" si="47"/>
        <v>0</v>
      </c>
      <c r="AR21" s="4">
        <f t="shared" si="44"/>
        <v>0</v>
      </c>
      <c r="AS21" s="4">
        <f t="shared" si="44"/>
        <v>0</v>
      </c>
      <c r="AT21" s="4">
        <f t="shared" si="44"/>
        <v>0</v>
      </c>
      <c r="AU21" s="4">
        <f t="shared" si="44"/>
        <v>0</v>
      </c>
      <c r="AV21" s="4">
        <f t="shared" si="44"/>
        <v>0</v>
      </c>
      <c r="AW21" s="4">
        <f t="shared" si="44"/>
        <v>0</v>
      </c>
      <c r="AX21" s="4">
        <f t="shared" si="44"/>
        <v>0</v>
      </c>
      <c r="AY21" s="4">
        <f t="shared" si="44"/>
        <v>0</v>
      </c>
      <c r="AZ21" s="4">
        <f t="shared" si="44"/>
        <v>0</v>
      </c>
      <c r="BA21" s="4">
        <f t="shared" si="44"/>
        <v>0</v>
      </c>
      <c r="BB21" s="4">
        <f t="shared" si="44"/>
        <v>0</v>
      </c>
      <c r="BC21" s="4">
        <f t="shared" si="44"/>
        <v>0</v>
      </c>
      <c r="BD21" s="4">
        <f t="shared" si="44"/>
        <v>0</v>
      </c>
      <c r="BE21" s="4">
        <f t="shared" si="44"/>
        <v>0</v>
      </c>
      <c r="BF21" s="4">
        <f t="shared" si="44"/>
        <v>0</v>
      </c>
      <c r="BG21" s="4">
        <f t="shared" si="44"/>
        <v>0</v>
      </c>
      <c r="BH21" s="4">
        <f t="shared" si="45"/>
        <v>0</v>
      </c>
      <c r="BI21" s="4">
        <f t="shared" si="45"/>
        <v>0</v>
      </c>
      <c r="BJ21" s="4">
        <f t="shared" si="45"/>
        <v>0</v>
      </c>
      <c r="BK21" s="4">
        <f t="shared" si="45"/>
        <v>0</v>
      </c>
      <c r="BL21" s="4">
        <f t="shared" si="45"/>
        <v>0</v>
      </c>
      <c r="BM21" s="4">
        <f t="shared" si="45"/>
        <v>0</v>
      </c>
      <c r="BN21" s="4">
        <f t="shared" si="45"/>
        <v>0</v>
      </c>
    </row>
    <row r="22" spans="1:66" x14ac:dyDescent="0.2">
      <c r="A22" t="s">
        <v>36</v>
      </c>
      <c r="B22" t="s">
        <v>10</v>
      </c>
      <c r="D22" t="s">
        <v>48</v>
      </c>
      <c r="G22" t="e">
        <f>AL28/AP28</f>
        <v>#DIV/0!</v>
      </c>
      <c r="K22">
        <f>AVERAGE(C39:C50)</f>
        <v>3.1666666666666665</v>
      </c>
      <c r="L22">
        <f>MEDIAN(C39:C50)</f>
        <v>3</v>
      </c>
      <c r="M22">
        <f>MAX(C39:C50)</f>
        <v>5</v>
      </c>
      <c r="N22">
        <f>_xlfn.STDEV.S(C39:C50)</f>
        <v>1.4668044012461756</v>
      </c>
      <c r="Z22">
        <f t="shared" si="35"/>
        <v>0</v>
      </c>
      <c r="AA22">
        <f t="shared" si="36"/>
        <v>0</v>
      </c>
      <c r="AE22">
        <f t="shared" si="37"/>
        <v>0</v>
      </c>
      <c r="AF22">
        <f t="shared" si="38"/>
        <v>0</v>
      </c>
      <c r="AG22">
        <f t="shared" si="39"/>
        <v>0</v>
      </c>
      <c r="AK22">
        <f t="shared" si="40"/>
        <v>0</v>
      </c>
      <c r="AL22">
        <f t="shared" si="41"/>
        <v>0</v>
      </c>
      <c r="AM22">
        <f t="shared" si="42"/>
        <v>0</v>
      </c>
      <c r="AN22">
        <f t="shared" si="43"/>
        <v>0</v>
      </c>
      <c r="AP22">
        <f t="shared" si="46"/>
        <v>0</v>
      </c>
      <c r="AQ22" s="4">
        <f t="shared" si="47"/>
        <v>0</v>
      </c>
      <c r="AR22" s="4">
        <f t="shared" si="44"/>
        <v>0</v>
      </c>
      <c r="AS22" s="4">
        <f t="shared" si="44"/>
        <v>0</v>
      </c>
      <c r="AT22" s="4">
        <f t="shared" si="44"/>
        <v>0</v>
      </c>
      <c r="AU22" s="4">
        <f t="shared" si="44"/>
        <v>0</v>
      </c>
      <c r="AV22" s="4">
        <f t="shared" si="44"/>
        <v>0</v>
      </c>
      <c r="AW22" s="4">
        <f t="shared" si="44"/>
        <v>0</v>
      </c>
      <c r="AX22" s="4">
        <f t="shared" si="44"/>
        <v>0</v>
      </c>
      <c r="AY22" s="4">
        <f t="shared" si="44"/>
        <v>0</v>
      </c>
      <c r="AZ22" s="4">
        <f t="shared" si="44"/>
        <v>0</v>
      </c>
      <c r="BA22" s="4">
        <f t="shared" si="44"/>
        <v>0</v>
      </c>
      <c r="BB22" s="4">
        <f t="shared" si="44"/>
        <v>0</v>
      </c>
      <c r="BC22" s="4">
        <f t="shared" si="44"/>
        <v>0</v>
      </c>
      <c r="BD22" s="4">
        <f t="shared" si="44"/>
        <v>0</v>
      </c>
      <c r="BE22" s="4">
        <f t="shared" si="44"/>
        <v>0</v>
      </c>
      <c r="BF22" s="4">
        <f t="shared" si="44"/>
        <v>0</v>
      </c>
      <c r="BG22" s="4">
        <f t="shared" si="44"/>
        <v>0</v>
      </c>
      <c r="BH22" s="4">
        <f t="shared" si="45"/>
        <v>0</v>
      </c>
      <c r="BI22" s="4">
        <f t="shared" si="45"/>
        <v>0</v>
      </c>
      <c r="BJ22" s="4">
        <f t="shared" si="45"/>
        <v>0</v>
      </c>
      <c r="BK22" s="4">
        <f t="shared" si="45"/>
        <v>0</v>
      </c>
      <c r="BL22" s="4">
        <f t="shared" si="45"/>
        <v>0</v>
      </c>
      <c r="BM22" s="4">
        <f t="shared" si="45"/>
        <v>0</v>
      </c>
      <c r="BN22" s="4">
        <f t="shared" si="45"/>
        <v>0</v>
      </c>
    </row>
    <row r="23" spans="1:66" x14ac:dyDescent="0.2">
      <c r="A23" t="s">
        <v>37</v>
      </c>
      <c r="B23" t="s">
        <v>25</v>
      </c>
      <c r="D23">
        <f>H16/A31</f>
        <v>0</v>
      </c>
      <c r="G23" t="s">
        <v>77</v>
      </c>
      <c r="K23" t="s">
        <v>8</v>
      </c>
      <c r="Z23">
        <f t="shared" si="35"/>
        <v>0</v>
      </c>
      <c r="AA23">
        <f t="shared" si="36"/>
        <v>0</v>
      </c>
      <c r="AE23">
        <f t="shared" si="37"/>
        <v>0</v>
      </c>
      <c r="AF23">
        <f t="shared" si="38"/>
        <v>0</v>
      </c>
      <c r="AG23">
        <f t="shared" si="39"/>
        <v>0</v>
      </c>
      <c r="AK23">
        <f t="shared" si="40"/>
        <v>0</v>
      </c>
      <c r="AL23">
        <f t="shared" si="41"/>
        <v>0</v>
      </c>
      <c r="AM23">
        <f t="shared" si="42"/>
        <v>0</v>
      </c>
      <c r="AN23">
        <f t="shared" si="43"/>
        <v>0</v>
      </c>
      <c r="AP23">
        <f t="shared" si="46"/>
        <v>0</v>
      </c>
      <c r="AQ23" s="4">
        <f t="shared" si="47"/>
        <v>0</v>
      </c>
      <c r="AR23" s="4">
        <f t="shared" si="44"/>
        <v>0</v>
      </c>
      <c r="AS23" s="4">
        <f t="shared" si="44"/>
        <v>0</v>
      </c>
      <c r="AT23" s="4">
        <f t="shared" si="44"/>
        <v>0</v>
      </c>
      <c r="AU23" s="4">
        <f t="shared" si="44"/>
        <v>0</v>
      </c>
      <c r="AV23" s="4">
        <f t="shared" si="44"/>
        <v>0</v>
      </c>
      <c r="AW23" s="4">
        <f t="shared" si="44"/>
        <v>0</v>
      </c>
      <c r="AX23" s="4">
        <f t="shared" si="44"/>
        <v>0</v>
      </c>
      <c r="AY23" s="4">
        <f t="shared" si="44"/>
        <v>0</v>
      </c>
      <c r="AZ23" s="4">
        <f t="shared" si="44"/>
        <v>0</v>
      </c>
      <c r="BA23" s="4">
        <f t="shared" si="44"/>
        <v>0</v>
      </c>
      <c r="BB23" s="4">
        <f t="shared" si="44"/>
        <v>0</v>
      </c>
      <c r="BC23" s="4">
        <f t="shared" si="44"/>
        <v>0</v>
      </c>
      <c r="BD23" s="4">
        <f t="shared" si="44"/>
        <v>0</v>
      </c>
      <c r="BE23" s="4">
        <f t="shared" si="44"/>
        <v>0</v>
      </c>
      <c r="BF23" s="4">
        <f t="shared" si="44"/>
        <v>0</v>
      </c>
      <c r="BG23" s="4">
        <f t="shared" si="44"/>
        <v>0</v>
      </c>
      <c r="BH23" s="4">
        <f t="shared" si="45"/>
        <v>0</v>
      </c>
      <c r="BI23" s="4">
        <f t="shared" si="45"/>
        <v>0</v>
      </c>
      <c r="BJ23" s="4">
        <f t="shared" si="45"/>
        <v>0</v>
      </c>
      <c r="BK23" s="4">
        <f t="shared" si="45"/>
        <v>0</v>
      </c>
      <c r="BL23" s="4">
        <f t="shared" si="45"/>
        <v>0</v>
      </c>
      <c r="BM23" s="4">
        <f t="shared" si="45"/>
        <v>0</v>
      </c>
      <c r="BN23" s="4">
        <f t="shared" si="45"/>
        <v>0</v>
      </c>
    </row>
    <row r="24" spans="1:66" x14ac:dyDescent="0.2">
      <c r="A24" t="s">
        <v>38</v>
      </c>
      <c r="B24" t="s">
        <v>26</v>
      </c>
      <c r="D24" t="s">
        <v>50</v>
      </c>
      <c r="G24" t="e">
        <f>AM28/AP28</f>
        <v>#DIV/0!</v>
      </c>
      <c r="K24" t="s">
        <v>57</v>
      </c>
      <c r="L24" t="s">
        <v>61</v>
      </c>
      <c r="M24" t="s">
        <v>59</v>
      </c>
      <c r="N24" t="s">
        <v>60</v>
      </c>
      <c r="Z24">
        <f t="shared" si="35"/>
        <v>0</v>
      </c>
      <c r="AA24">
        <f t="shared" si="36"/>
        <v>0</v>
      </c>
      <c r="AE24">
        <f t="shared" si="37"/>
        <v>0</v>
      </c>
      <c r="AF24">
        <f t="shared" si="38"/>
        <v>0</v>
      </c>
      <c r="AG24">
        <f t="shared" si="39"/>
        <v>0</v>
      </c>
      <c r="AK24">
        <f t="shared" si="40"/>
        <v>0</v>
      </c>
      <c r="AL24">
        <f t="shared" si="41"/>
        <v>0</v>
      </c>
      <c r="AM24">
        <f t="shared" si="42"/>
        <v>0</v>
      </c>
      <c r="AN24">
        <f t="shared" si="43"/>
        <v>0</v>
      </c>
      <c r="AP24">
        <f t="shared" si="46"/>
        <v>0</v>
      </c>
      <c r="AQ24" s="4">
        <f t="shared" si="47"/>
        <v>0</v>
      </c>
      <c r="AR24" s="4">
        <f t="shared" si="44"/>
        <v>0</v>
      </c>
      <c r="AS24" s="4">
        <f t="shared" si="44"/>
        <v>0</v>
      </c>
      <c r="AT24" s="4">
        <f t="shared" si="44"/>
        <v>0</v>
      </c>
      <c r="AU24" s="4">
        <f t="shared" si="44"/>
        <v>0</v>
      </c>
      <c r="AV24" s="4">
        <f t="shared" si="44"/>
        <v>0</v>
      </c>
      <c r="AW24" s="4">
        <f t="shared" si="44"/>
        <v>0</v>
      </c>
      <c r="AX24" s="4">
        <f t="shared" si="44"/>
        <v>0</v>
      </c>
      <c r="AY24" s="4">
        <f t="shared" si="44"/>
        <v>0</v>
      </c>
      <c r="AZ24" s="4">
        <f t="shared" si="44"/>
        <v>0</v>
      </c>
      <c r="BA24" s="4">
        <f t="shared" si="44"/>
        <v>0</v>
      </c>
      <c r="BB24" s="4">
        <f t="shared" si="44"/>
        <v>0</v>
      </c>
      <c r="BC24" s="4">
        <f t="shared" si="44"/>
        <v>0</v>
      </c>
      <c r="BD24" s="4">
        <f t="shared" si="44"/>
        <v>0</v>
      </c>
      <c r="BE24" s="4">
        <f t="shared" si="44"/>
        <v>0</v>
      </c>
      <c r="BF24" s="4">
        <f t="shared" si="44"/>
        <v>0</v>
      </c>
      <c r="BG24" s="4">
        <f t="shared" si="44"/>
        <v>0</v>
      </c>
      <c r="BH24" s="4">
        <f t="shared" si="45"/>
        <v>0</v>
      </c>
      <c r="BI24" s="4">
        <f t="shared" si="45"/>
        <v>0</v>
      </c>
      <c r="BJ24" s="4">
        <f t="shared" si="45"/>
        <v>0</v>
      </c>
      <c r="BK24" s="4">
        <f t="shared" si="45"/>
        <v>0</v>
      </c>
      <c r="BL24" s="4">
        <f t="shared" si="45"/>
        <v>0</v>
      </c>
      <c r="BM24" s="4">
        <f t="shared" si="45"/>
        <v>0</v>
      </c>
      <c r="BN24" s="4">
        <f t="shared" si="45"/>
        <v>0</v>
      </c>
    </row>
    <row r="25" spans="1:66" x14ac:dyDescent="0.2">
      <c r="A25" t="s">
        <v>39</v>
      </c>
      <c r="B25" t="s">
        <v>27</v>
      </c>
      <c r="D25">
        <f>Z28/A31</f>
        <v>0</v>
      </c>
      <c r="G25" t="s">
        <v>78</v>
      </c>
      <c r="K25">
        <f>AVERAGE(E39:E50)</f>
        <v>0</v>
      </c>
      <c r="L25">
        <f>MEDIAN(E39:E50)</f>
        <v>0</v>
      </c>
      <c r="M25">
        <f>MAX(E39:E50)</f>
        <v>0</v>
      </c>
      <c r="N25">
        <f>_xlfn.STDEV.S(E39:E50)</f>
        <v>0</v>
      </c>
      <c r="Z25">
        <f t="shared" si="35"/>
        <v>0</v>
      </c>
      <c r="AA25">
        <f t="shared" si="36"/>
        <v>0</v>
      </c>
      <c r="AE25">
        <f t="shared" si="37"/>
        <v>0</v>
      </c>
      <c r="AF25">
        <f t="shared" si="38"/>
        <v>0</v>
      </c>
      <c r="AG25">
        <f t="shared" si="39"/>
        <v>0</v>
      </c>
      <c r="AK25">
        <f t="shared" si="40"/>
        <v>0</v>
      </c>
      <c r="AL25">
        <f t="shared" si="41"/>
        <v>0</v>
      </c>
      <c r="AM25">
        <f t="shared" si="42"/>
        <v>0</v>
      </c>
      <c r="AN25">
        <f t="shared" si="43"/>
        <v>0</v>
      </c>
      <c r="AP25">
        <f t="shared" si="46"/>
        <v>0</v>
      </c>
      <c r="AQ25" s="4">
        <f t="shared" si="47"/>
        <v>0</v>
      </c>
      <c r="AR25" s="4">
        <f t="shared" si="44"/>
        <v>0</v>
      </c>
      <c r="AS25" s="4">
        <f t="shared" si="44"/>
        <v>0</v>
      </c>
      <c r="AT25" s="4">
        <f t="shared" si="44"/>
        <v>0</v>
      </c>
      <c r="AU25" s="4">
        <f t="shared" si="44"/>
        <v>0</v>
      </c>
      <c r="AV25" s="4">
        <f t="shared" si="44"/>
        <v>0</v>
      </c>
      <c r="AW25" s="4">
        <f t="shared" si="44"/>
        <v>0</v>
      </c>
      <c r="AX25" s="4">
        <f t="shared" si="44"/>
        <v>0</v>
      </c>
      <c r="AY25" s="4">
        <f t="shared" si="44"/>
        <v>0</v>
      </c>
      <c r="AZ25" s="4">
        <f t="shared" si="44"/>
        <v>0</v>
      </c>
      <c r="BA25" s="4">
        <f t="shared" si="44"/>
        <v>0</v>
      </c>
      <c r="BB25" s="4">
        <f t="shared" si="44"/>
        <v>0</v>
      </c>
      <c r="BC25" s="4">
        <f t="shared" si="44"/>
        <v>0</v>
      </c>
      <c r="BD25" s="4">
        <f t="shared" si="44"/>
        <v>0</v>
      </c>
      <c r="BE25" s="4">
        <f t="shared" si="44"/>
        <v>0</v>
      </c>
      <c r="BF25" s="4">
        <f t="shared" si="44"/>
        <v>0</v>
      </c>
      <c r="BG25" s="4">
        <f t="shared" si="44"/>
        <v>0</v>
      </c>
      <c r="BH25" s="4">
        <f t="shared" si="45"/>
        <v>0</v>
      </c>
      <c r="BI25" s="4">
        <f t="shared" si="45"/>
        <v>0</v>
      </c>
      <c r="BJ25" s="4">
        <f t="shared" si="45"/>
        <v>0</v>
      </c>
      <c r="BK25" s="4">
        <f t="shared" si="45"/>
        <v>0</v>
      </c>
      <c r="BL25" s="4">
        <f t="shared" si="45"/>
        <v>0</v>
      </c>
      <c r="BM25" s="4">
        <f t="shared" si="45"/>
        <v>0</v>
      </c>
      <c r="BN25" s="4">
        <f t="shared" si="45"/>
        <v>0</v>
      </c>
    </row>
    <row r="26" spans="1:66" x14ac:dyDescent="0.2">
      <c r="A26" t="s">
        <v>44</v>
      </c>
      <c r="D26" t="s">
        <v>51</v>
      </c>
      <c r="G26" t="e">
        <f>AN28/AP28</f>
        <v>#DIV/0!</v>
      </c>
      <c r="K26" t="s">
        <v>62</v>
      </c>
      <c r="P26" t="s">
        <v>19</v>
      </c>
      <c r="Z26">
        <f t="shared" si="35"/>
        <v>0</v>
      </c>
      <c r="AA26">
        <f t="shared" si="36"/>
        <v>0</v>
      </c>
      <c r="AE26">
        <f t="shared" si="37"/>
        <v>0</v>
      </c>
      <c r="AF26">
        <f t="shared" si="38"/>
        <v>0</v>
      </c>
      <c r="AG26">
        <f t="shared" si="39"/>
        <v>0</v>
      </c>
      <c r="AK26">
        <f t="shared" si="40"/>
        <v>0</v>
      </c>
      <c r="AL26">
        <f t="shared" si="41"/>
        <v>0</v>
      </c>
      <c r="AM26">
        <f t="shared" si="42"/>
        <v>0</v>
      </c>
      <c r="AN26">
        <f t="shared" si="43"/>
        <v>0</v>
      </c>
      <c r="AP26">
        <f t="shared" si="46"/>
        <v>0</v>
      </c>
      <c r="AQ26" s="4">
        <f t="shared" si="47"/>
        <v>0</v>
      </c>
      <c r="AR26" s="4">
        <f t="shared" si="44"/>
        <v>0</v>
      </c>
      <c r="AS26" s="4">
        <f t="shared" si="44"/>
        <v>0</v>
      </c>
      <c r="AT26" s="4">
        <f t="shared" si="44"/>
        <v>0</v>
      </c>
      <c r="AU26" s="4">
        <f t="shared" si="44"/>
        <v>0</v>
      </c>
      <c r="AV26" s="4">
        <f t="shared" si="44"/>
        <v>0</v>
      </c>
      <c r="AW26" s="4">
        <f t="shared" si="44"/>
        <v>0</v>
      </c>
      <c r="AX26" s="4">
        <f t="shared" si="44"/>
        <v>0</v>
      </c>
      <c r="AY26" s="4">
        <f t="shared" si="44"/>
        <v>0</v>
      </c>
      <c r="AZ26" s="4">
        <f t="shared" si="44"/>
        <v>0</v>
      </c>
      <c r="BA26" s="4">
        <f t="shared" si="44"/>
        <v>0</v>
      </c>
      <c r="BB26" s="4">
        <f t="shared" si="44"/>
        <v>0</v>
      </c>
      <c r="BC26" s="4">
        <f t="shared" si="44"/>
        <v>0</v>
      </c>
      <c r="BD26" s="4">
        <f t="shared" si="44"/>
        <v>0</v>
      </c>
      <c r="BE26" s="4">
        <f t="shared" si="44"/>
        <v>0</v>
      </c>
      <c r="BF26" s="4">
        <f t="shared" si="44"/>
        <v>0</v>
      </c>
      <c r="BG26" s="4">
        <f t="shared" si="44"/>
        <v>0</v>
      </c>
      <c r="BH26" s="4">
        <f t="shared" si="45"/>
        <v>0</v>
      </c>
      <c r="BI26" s="4">
        <f t="shared" si="45"/>
        <v>0</v>
      </c>
      <c r="BJ26" s="4">
        <f t="shared" si="45"/>
        <v>0</v>
      </c>
      <c r="BK26" s="4">
        <f t="shared" si="45"/>
        <v>0</v>
      </c>
      <c r="BL26" s="4">
        <f t="shared" si="45"/>
        <v>0</v>
      </c>
      <c r="BM26" s="4">
        <f t="shared" si="45"/>
        <v>0</v>
      </c>
      <c r="BN26" s="4">
        <f t="shared" si="45"/>
        <v>0</v>
      </c>
    </row>
    <row r="27" spans="1:66" x14ac:dyDescent="0.2">
      <c r="A27" t="s">
        <v>45</v>
      </c>
      <c r="D27">
        <f>AA28/A31</f>
        <v>0</v>
      </c>
      <c r="G27" t="s">
        <v>56</v>
      </c>
      <c r="K27" t="s">
        <v>57</v>
      </c>
      <c r="L27" t="s">
        <v>58</v>
      </c>
      <c r="M27" t="s">
        <v>59</v>
      </c>
      <c r="N27" t="s">
        <v>60</v>
      </c>
      <c r="P27" t="s">
        <v>57</v>
      </c>
      <c r="Q27" t="s">
        <v>58</v>
      </c>
      <c r="R27" t="s">
        <v>59</v>
      </c>
      <c r="S27" t="s">
        <v>60</v>
      </c>
      <c r="Z27">
        <f t="shared" si="35"/>
        <v>0</v>
      </c>
      <c r="AA27">
        <f t="shared" si="36"/>
        <v>0</v>
      </c>
      <c r="AE27">
        <f t="shared" si="37"/>
        <v>0</v>
      </c>
      <c r="AF27">
        <f t="shared" si="38"/>
        <v>1</v>
      </c>
      <c r="AG27">
        <f t="shared" si="39"/>
        <v>0</v>
      </c>
      <c r="AK27">
        <f t="shared" si="40"/>
        <v>0</v>
      </c>
      <c r="AL27">
        <f t="shared" si="41"/>
        <v>0</v>
      </c>
      <c r="AM27">
        <f t="shared" si="42"/>
        <v>0</v>
      </c>
      <c r="AN27">
        <f t="shared" si="43"/>
        <v>0</v>
      </c>
      <c r="AP27">
        <f t="shared" si="46"/>
        <v>0</v>
      </c>
      <c r="AQ27" s="4">
        <f t="shared" si="47"/>
        <v>0</v>
      </c>
      <c r="AR27" s="4">
        <f t="shared" si="44"/>
        <v>0</v>
      </c>
      <c r="AS27" s="4">
        <f t="shared" si="44"/>
        <v>0</v>
      </c>
      <c r="AT27" s="4">
        <f t="shared" si="44"/>
        <v>0</v>
      </c>
      <c r="AU27" s="4">
        <f t="shared" si="44"/>
        <v>0</v>
      </c>
      <c r="AV27" s="4">
        <f t="shared" si="44"/>
        <v>0</v>
      </c>
      <c r="AW27" s="4">
        <f t="shared" si="44"/>
        <v>0</v>
      </c>
      <c r="AX27" s="4">
        <f t="shared" si="44"/>
        <v>0</v>
      </c>
      <c r="AY27" s="4">
        <f t="shared" si="44"/>
        <v>0</v>
      </c>
      <c r="AZ27" s="4">
        <f t="shared" si="44"/>
        <v>0</v>
      </c>
      <c r="BA27" s="4">
        <f t="shared" si="44"/>
        <v>0</v>
      </c>
      <c r="BB27" s="4">
        <f t="shared" si="44"/>
        <v>0</v>
      </c>
      <c r="BC27" s="4">
        <f t="shared" si="44"/>
        <v>0</v>
      </c>
      <c r="BD27" s="4">
        <f t="shared" si="44"/>
        <v>0</v>
      </c>
      <c r="BE27" s="4">
        <f t="shared" si="44"/>
        <v>0</v>
      </c>
      <c r="BF27" s="4">
        <f t="shared" si="44"/>
        <v>0</v>
      </c>
      <c r="BG27" s="4">
        <f t="shared" si="44"/>
        <v>0</v>
      </c>
      <c r="BH27" s="4">
        <f t="shared" si="45"/>
        <v>0</v>
      </c>
      <c r="BI27" s="4">
        <f t="shared" si="45"/>
        <v>0</v>
      </c>
      <c r="BJ27" s="4">
        <f t="shared" si="45"/>
        <v>0</v>
      </c>
      <c r="BK27" s="4">
        <f t="shared" si="45"/>
        <v>0</v>
      </c>
      <c r="BL27" s="4">
        <f t="shared" si="45"/>
        <v>0</v>
      </c>
      <c r="BM27" s="4">
        <f t="shared" si="45"/>
        <v>0</v>
      </c>
      <c r="BN27" s="4">
        <f t="shared" si="45"/>
        <v>0</v>
      </c>
    </row>
    <row r="28" spans="1:66" x14ac:dyDescent="0.2">
      <c r="A28" t="s">
        <v>46</v>
      </c>
      <c r="D28" t="s">
        <v>202</v>
      </c>
      <c r="G28" t="s">
        <v>57</v>
      </c>
      <c r="H28" t="s">
        <v>58</v>
      </c>
      <c r="I28" t="s">
        <v>59</v>
      </c>
      <c r="J28" t="s">
        <v>60</v>
      </c>
      <c r="K28">
        <f>AVERAGE(G39:G50)</f>
        <v>0</v>
      </c>
      <c r="L28">
        <f>MEDIAN(G39:G50)</f>
        <v>0</v>
      </c>
      <c r="M28">
        <f>MAX(G39:G50)</f>
        <v>0</v>
      </c>
      <c r="N28">
        <f>_xlfn.STDEV.S(G39:G50)</f>
        <v>0</v>
      </c>
      <c r="P28">
        <f>AVERAGE(N39:N50)</f>
        <v>1.6666666666666667</v>
      </c>
      <c r="Q28">
        <f>MEDIAN(N39:N50)</f>
        <v>0</v>
      </c>
      <c r="R28">
        <f>MAX(N39:N50)</f>
        <v>9</v>
      </c>
      <c r="S28">
        <f>_xlfn.STDEV.S(N39:N50)</f>
        <v>2.806917861068948</v>
      </c>
      <c r="Y28" t="s">
        <v>33</v>
      </c>
      <c r="Z28">
        <f>SUM(Z16:Z27)</f>
        <v>0</v>
      </c>
      <c r="AA28">
        <f>SUM(AA16:AA27)</f>
        <v>0</v>
      </c>
      <c r="AE28">
        <f>SUM(AE16:AE27)</f>
        <v>0</v>
      </c>
      <c r="AF28">
        <f>SUM(AF16:AF27)</f>
        <v>1</v>
      </c>
      <c r="AG28">
        <f>SUM(AG16:AG27)</f>
        <v>0</v>
      </c>
      <c r="AK28">
        <f>SUM(AK16:AK27)</f>
        <v>0</v>
      </c>
      <c r="AL28">
        <f>SUM(AL16:AL27)</f>
        <v>0</v>
      </c>
      <c r="AM28">
        <f>SUM(AM16:AM27)</f>
        <v>0</v>
      </c>
      <c r="AN28">
        <f>SUM(AN16:AN27)</f>
        <v>0</v>
      </c>
      <c r="AP28">
        <f>SUM(AP16:AP27)</f>
        <v>0</v>
      </c>
    </row>
    <row r="29" spans="1:66" x14ac:dyDescent="0.2">
      <c r="D29">
        <f>SUM(O39:O50)/F16</f>
        <v>1</v>
      </c>
      <c r="G29">
        <f>AVERAGE(A39:A50)</f>
        <v>8.3333333333333329E-2</v>
      </c>
      <c r="H29">
        <f>MEDIAN(A39:A50)</f>
        <v>0</v>
      </c>
      <c r="I29">
        <f>MAX(A39:A50)</f>
        <v>1</v>
      </c>
      <c r="J29">
        <f>_xlfn.STDEV.S(A39:A50)</f>
        <v>0.28867513459481287</v>
      </c>
      <c r="K29" t="s">
        <v>63</v>
      </c>
      <c r="P29" t="s">
        <v>148</v>
      </c>
    </row>
    <row r="30" spans="1:66" x14ac:dyDescent="0.2">
      <c r="A30" t="s">
        <v>147</v>
      </c>
      <c r="D30" t="s">
        <v>203</v>
      </c>
      <c r="G30" t="s">
        <v>50</v>
      </c>
      <c r="H30" t="s">
        <v>51</v>
      </c>
      <c r="I30" t="s">
        <v>89</v>
      </c>
      <c r="K30" t="s">
        <v>57</v>
      </c>
      <c r="L30" t="s">
        <v>58</v>
      </c>
      <c r="M30" t="s">
        <v>59</v>
      </c>
      <c r="N30" t="s">
        <v>60</v>
      </c>
      <c r="P30" t="s">
        <v>57</v>
      </c>
      <c r="Q30" t="s">
        <v>58</v>
      </c>
      <c r="R30" t="s">
        <v>59</v>
      </c>
      <c r="S30" t="s">
        <v>60</v>
      </c>
      <c r="W30" t="s">
        <v>148</v>
      </c>
      <c r="Y30" t="s">
        <v>149</v>
      </c>
      <c r="AH30" t="s">
        <v>79</v>
      </c>
    </row>
    <row r="31" spans="1:66" x14ac:dyDescent="0.2">
      <c r="A31">
        <f>COUNT(B4:B15)</f>
        <v>12</v>
      </c>
      <c r="D31" s="2">
        <f>SUM(S39:S50)/SUM(Q39:Q50)</f>
        <v>0.8</v>
      </c>
      <c r="G31">
        <f>AE28/A31</f>
        <v>0</v>
      </c>
      <c r="H31">
        <f>AF28/A31</f>
        <v>8.3333333333333329E-2</v>
      </c>
      <c r="I31">
        <f>AG28/A31</f>
        <v>0</v>
      </c>
      <c r="K31" t="e">
        <f>AVERAGE(I39:I50)</f>
        <v>#DIV/0!</v>
      </c>
      <c r="L31" t="e">
        <f>MEDIAN(I39:I50)</f>
        <v>#NUM!</v>
      </c>
      <c r="M31">
        <f>MAX(I39:I50)</f>
        <v>0</v>
      </c>
      <c r="N31" t="e">
        <f>_xlfn.STDEV.S(I39:I50)</f>
        <v>#DIV/0!</v>
      </c>
      <c r="P31">
        <f>AVERAGE(W31:W42)</f>
        <v>2.5</v>
      </c>
      <c r="Q31">
        <f>MEDIAN(W31:W42)</f>
        <v>2.5</v>
      </c>
      <c r="R31">
        <f>MAX(W31:W42)</f>
        <v>3</v>
      </c>
      <c r="S31">
        <f>_xlfn.STDEV.S(W31:W42)</f>
        <v>0.70710678118654757</v>
      </c>
      <c r="W31" t="str">
        <f t="shared" ref="W31:W33" si="48">IF(AND(ISBLANK(Q4), ISBLANK(R4), ISBLANK(G4), ISBLANK(H4)), "", U4)</f>
        <v/>
      </c>
      <c r="Y31" t="str">
        <f t="shared" ref="Y31:Y42" si="49">IF(ISBLANK(Y4), IF(X4 = 0, "", (G4 + H4/3 + V4/9 + W4/3)), U4)</f>
        <v/>
      </c>
      <c r="AH31" t="s">
        <v>80</v>
      </c>
    </row>
    <row r="32" spans="1:66" x14ac:dyDescent="0.2">
      <c r="D32" s="3"/>
      <c r="K32" t="s">
        <v>64</v>
      </c>
      <c r="P32" t="s">
        <v>149</v>
      </c>
      <c r="W32" t="str">
        <f t="shared" si="48"/>
        <v/>
      </c>
      <c r="Y32" t="str">
        <f t="shared" si="49"/>
        <v/>
      </c>
      <c r="AH32" t="s">
        <v>81</v>
      </c>
    </row>
    <row r="33" spans="1:34" x14ac:dyDescent="0.2">
      <c r="A33" t="s">
        <v>265</v>
      </c>
      <c r="D33" s="3"/>
      <c r="K33" t="s">
        <v>57</v>
      </c>
      <c r="L33" t="s">
        <v>58</v>
      </c>
      <c r="M33" t="s">
        <v>59</v>
      </c>
      <c r="N33" t="s">
        <v>60</v>
      </c>
      <c r="P33" t="s">
        <v>57</v>
      </c>
      <c r="Q33" t="s">
        <v>58</v>
      </c>
      <c r="R33" t="s">
        <v>59</v>
      </c>
      <c r="S33" t="s">
        <v>60</v>
      </c>
      <c r="W33" t="str">
        <f t="shared" si="48"/>
        <v/>
      </c>
      <c r="Y33" t="str">
        <f t="shared" si="49"/>
        <v/>
      </c>
      <c r="AH33" t="s">
        <v>82</v>
      </c>
    </row>
    <row r="34" spans="1:34" x14ac:dyDescent="0.2">
      <c r="A34" t="s">
        <v>287</v>
      </c>
      <c r="D34" s="3"/>
      <c r="K34">
        <f>AVERAGE(K39:K50)</f>
        <v>0</v>
      </c>
      <c r="L34">
        <f>MEDIAN(K39:K50)</f>
        <v>0</v>
      </c>
      <c r="M34">
        <f>MAX(K39:K50)</f>
        <v>0</v>
      </c>
      <c r="N34">
        <f>_xlfn.STDEV.S(K39:K50)</f>
        <v>0</v>
      </c>
      <c r="P34">
        <f>AVERAGE(Y31:Y42)</f>
        <v>2.5</v>
      </c>
      <c r="Q34">
        <f>MEDIAN(Y31:Y42)</f>
        <v>2.5</v>
      </c>
      <c r="R34">
        <f>MAX(Y31:Y42)</f>
        <v>3</v>
      </c>
      <c r="S34">
        <f>_xlfn.STDEV.S(Y31:Y42)</f>
        <v>0.70710678118654757</v>
      </c>
      <c r="W34" t="str">
        <f>IF(AND(ISBLANK(Q7), ISBLANK(R7), ISBLANK(G7), ISBLANK(H7)), "", U7)</f>
        <v/>
      </c>
      <c r="Y34" t="str">
        <f t="shared" si="49"/>
        <v/>
      </c>
      <c r="AH34" t="s">
        <v>83</v>
      </c>
    </row>
    <row r="35" spans="1:34" x14ac:dyDescent="0.2">
      <c r="A35" t="s">
        <v>340</v>
      </c>
      <c r="P35" t="s">
        <v>95</v>
      </c>
      <c r="R35" t="s">
        <v>197</v>
      </c>
      <c r="W35" t="str">
        <f t="shared" ref="W35:W42" si="50">IF(AND(ISBLANK(Q8), ISBLANK(R8), ISBLANK(G8), ISBLANK(H8)), "", U8)</f>
        <v/>
      </c>
      <c r="Y35" t="str">
        <f t="shared" si="49"/>
        <v/>
      </c>
    </row>
    <row r="36" spans="1:34" x14ac:dyDescent="0.2">
      <c r="P36" t="e">
        <f>Q16/(Q16+R16)</f>
        <v>#DIV/0!</v>
      </c>
      <c r="R36" t="e">
        <f>R16/(Q16+R16)</f>
        <v>#DIV/0!</v>
      </c>
      <c r="W36" t="str">
        <f t="shared" si="50"/>
        <v/>
      </c>
      <c r="Y36" t="str">
        <f t="shared" si="49"/>
        <v/>
      </c>
    </row>
    <row r="37" spans="1:34" x14ac:dyDescent="0.2">
      <c r="W37" t="str">
        <f t="shared" si="50"/>
        <v/>
      </c>
      <c r="Y37" t="str">
        <f t="shared" si="49"/>
        <v/>
      </c>
    </row>
    <row r="38" spans="1:34" x14ac:dyDescent="0.2">
      <c r="A38" t="s">
        <v>68</v>
      </c>
      <c r="C38" t="s">
        <v>69</v>
      </c>
      <c r="E38" t="s">
        <v>72</v>
      </c>
      <c r="G38" t="s">
        <v>250</v>
      </c>
      <c r="K38" t="s">
        <v>73</v>
      </c>
      <c r="M38" t="s">
        <v>70</v>
      </c>
      <c r="N38" t="s">
        <v>71</v>
      </c>
      <c r="O38" t="s">
        <v>199</v>
      </c>
      <c r="Q38" t="s">
        <v>200</v>
      </c>
      <c r="S38" t="s">
        <v>201</v>
      </c>
      <c r="W38" t="str">
        <f t="shared" si="50"/>
        <v/>
      </c>
      <c r="Y38" t="str">
        <f t="shared" si="49"/>
        <v/>
      </c>
    </row>
    <row r="39" spans="1:34" x14ac:dyDescent="0.2">
      <c r="A39">
        <f t="shared" ref="A39:A50" si="51">IF(ISBLANK(B4), "", SUM(AE16+AF16+AG16))</f>
        <v>0</v>
      </c>
      <c r="C39">
        <f t="shared" ref="C39:C50" si="52">IF(ISBLANK(B4), "", O4)</f>
        <v>3</v>
      </c>
      <c r="E39">
        <f t="shared" ref="E39:E50" si="53">IF(ISBLANK(B4), "", Q4)</f>
        <v>0</v>
      </c>
      <c r="G39">
        <f t="shared" ref="G39:G50" si="54">IF(ISBLANK(B4), "", R4)</f>
        <v>0</v>
      </c>
      <c r="K39">
        <f t="shared" ref="K39:K50" si="55">IF(ISBLANK(B4), "", SUM(Q4 + R4))</f>
        <v>0</v>
      </c>
      <c r="M39">
        <f t="shared" ref="M39:M50" si="56">IF(ISBLANK(B4), "", SUM(K4+M4) - O4)</f>
        <v>-1</v>
      </c>
      <c r="N39">
        <f t="shared" ref="N39:N50" si="57">IF(ISBLANK(B4), "", U4)</f>
        <v>0</v>
      </c>
      <c r="O39">
        <f t="shared" ref="O39:O50" si="58">COUNTIF(E4, "1")*COUNTIF(F4, "1")</f>
        <v>0</v>
      </c>
      <c r="Q39">
        <f t="shared" ref="Q39:Q50" si="59">COUNTIF(D4, "1")*COUNTIF(F4, "")</f>
        <v>1</v>
      </c>
      <c r="S39">
        <f t="shared" ref="S39:S50" si="60">COUNTIF(E4, "1")*COUNTIF(F4, "")</f>
        <v>0</v>
      </c>
      <c r="W39" t="str">
        <f t="shared" si="50"/>
        <v/>
      </c>
      <c r="Y39" t="str">
        <f t="shared" si="49"/>
        <v/>
      </c>
    </row>
    <row r="40" spans="1:34" x14ac:dyDescent="0.2">
      <c r="A40">
        <f t="shared" si="51"/>
        <v>0</v>
      </c>
      <c r="C40">
        <f t="shared" si="52"/>
        <v>3</v>
      </c>
      <c r="E40">
        <f t="shared" si="53"/>
        <v>0</v>
      </c>
      <c r="G40">
        <f t="shared" si="54"/>
        <v>0</v>
      </c>
      <c r="K40">
        <f t="shared" si="55"/>
        <v>0</v>
      </c>
      <c r="M40">
        <f t="shared" si="56"/>
        <v>-1</v>
      </c>
      <c r="N40">
        <f t="shared" si="57"/>
        <v>0</v>
      </c>
      <c r="O40">
        <f t="shared" si="58"/>
        <v>0</v>
      </c>
      <c r="Q40">
        <f t="shared" si="59"/>
        <v>0</v>
      </c>
      <c r="S40">
        <f t="shared" si="60"/>
        <v>0</v>
      </c>
      <c r="W40">
        <f t="shared" si="50"/>
        <v>2</v>
      </c>
      <c r="Y40">
        <f t="shared" si="49"/>
        <v>2</v>
      </c>
    </row>
    <row r="41" spans="1:34" x14ac:dyDescent="0.2">
      <c r="A41">
        <f t="shared" si="51"/>
        <v>0</v>
      </c>
      <c r="C41">
        <f t="shared" si="52"/>
        <v>3</v>
      </c>
      <c r="E41">
        <f t="shared" si="53"/>
        <v>0</v>
      </c>
      <c r="G41">
        <f t="shared" si="54"/>
        <v>0</v>
      </c>
      <c r="K41">
        <f t="shared" si="55"/>
        <v>0</v>
      </c>
      <c r="M41">
        <f t="shared" si="56"/>
        <v>0</v>
      </c>
      <c r="N41">
        <f t="shared" si="57"/>
        <v>5</v>
      </c>
      <c r="O41">
        <f t="shared" si="58"/>
        <v>0</v>
      </c>
      <c r="Q41">
        <f t="shared" si="59"/>
        <v>1</v>
      </c>
      <c r="S41">
        <f t="shared" si="60"/>
        <v>1</v>
      </c>
      <c r="W41">
        <f t="shared" si="50"/>
        <v>3</v>
      </c>
      <c r="Y41">
        <f t="shared" si="49"/>
        <v>3</v>
      </c>
    </row>
    <row r="42" spans="1:34" x14ac:dyDescent="0.2">
      <c r="A42">
        <f t="shared" si="51"/>
        <v>0</v>
      </c>
      <c r="C42">
        <f t="shared" si="52"/>
        <v>4</v>
      </c>
      <c r="E42">
        <f t="shared" si="53"/>
        <v>0</v>
      </c>
      <c r="G42">
        <f t="shared" si="54"/>
        <v>0</v>
      </c>
      <c r="K42">
        <f t="shared" si="55"/>
        <v>0</v>
      </c>
      <c r="M42">
        <f t="shared" si="56"/>
        <v>-1</v>
      </c>
      <c r="N42">
        <f t="shared" si="57"/>
        <v>9</v>
      </c>
      <c r="O42">
        <f t="shared" si="58"/>
        <v>0</v>
      </c>
      <c r="Q42">
        <f t="shared" si="59"/>
        <v>1</v>
      </c>
      <c r="S42">
        <f t="shared" si="60"/>
        <v>0</v>
      </c>
      <c r="W42" t="str">
        <f t="shared" si="50"/>
        <v/>
      </c>
      <c r="Y42" t="str">
        <f t="shared" si="49"/>
        <v/>
      </c>
    </row>
    <row r="43" spans="1:34" x14ac:dyDescent="0.2">
      <c r="A43">
        <f t="shared" si="51"/>
        <v>0</v>
      </c>
      <c r="C43">
        <f t="shared" si="52"/>
        <v>3</v>
      </c>
      <c r="E43">
        <f t="shared" si="53"/>
        <v>0</v>
      </c>
      <c r="G43">
        <f t="shared" si="54"/>
        <v>0</v>
      </c>
      <c r="K43">
        <f t="shared" si="55"/>
        <v>0</v>
      </c>
      <c r="M43">
        <f t="shared" si="56"/>
        <v>0</v>
      </c>
      <c r="N43">
        <f t="shared" si="57"/>
        <v>0</v>
      </c>
      <c r="O43">
        <f t="shared" si="58"/>
        <v>0</v>
      </c>
      <c r="Q43">
        <f t="shared" si="59"/>
        <v>1</v>
      </c>
      <c r="S43">
        <f t="shared" si="60"/>
        <v>1</v>
      </c>
    </row>
    <row r="44" spans="1:34" x14ac:dyDescent="0.2">
      <c r="A44">
        <f t="shared" si="51"/>
        <v>0</v>
      </c>
      <c r="C44">
        <f t="shared" si="52"/>
        <v>5</v>
      </c>
      <c r="E44">
        <f t="shared" si="53"/>
        <v>0</v>
      </c>
      <c r="G44">
        <f t="shared" si="54"/>
        <v>0</v>
      </c>
      <c r="K44">
        <f t="shared" si="55"/>
        <v>0</v>
      </c>
      <c r="M44">
        <f t="shared" si="56"/>
        <v>-1</v>
      </c>
      <c r="N44">
        <f t="shared" si="57"/>
        <v>0</v>
      </c>
      <c r="O44">
        <f t="shared" si="58"/>
        <v>0</v>
      </c>
      <c r="Q44">
        <f t="shared" si="59"/>
        <v>1</v>
      </c>
      <c r="S44">
        <f t="shared" si="60"/>
        <v>1</v>
      </c>
    </row>
    <row r="45" spans="1:34" x14ac:dyDescent="0.2">
      <c r="A45">
        <f t="shared" si="51"/>
        <v>0</v>
      </c>
      <c r="C45">
        <f t="shared" si="52"/>
        <v>5</v>
      </c>
      <c r="E45">
        <f t="shared" si="53"/>
        <v>0</v>
      </c>
      <c r="G45">
        <f t="shared" si="54"/>
        <v>0</v>
      </c>
      <c r="K45">
        <f t="shared" si="55"/>
        <v>0</v>
      </c>
      <c r="M45">
        <f t="shared" si="56"/>
        <v>0</v>
      </c>
      <c r="N45">
        <f t="shared" si="57"/>
        <v>0</v>
      </c>
      <c r="O45">
        <f t="shared" si="58"/>
        <v>0</v>
      </c>
      <c r="Q45">
        <f t="shared" si="59"/>
        <v>1</v>
      </c>
      <c r="S45">
        <f t="shared" si="60"/>
        <v>1</v>
      </c>
    </row>
    <row r="46" spans="1:34" x14ac:dyDescent="0.2">
      <c r="A46">
        <f t="shared" si="51"/>
        <v>0</v>
      </c>
      <c r="C46">
        <f t="shared" si="52"/>
        <v>4</v>
      </c>
      <c r="E46">
        <f t="shared" si="53"/>
        <v>0</v>
      </c>
      <c r="G46">
        <f t="shared" si="54"/>
        <v>0</v>
      </c>
      <c r="K46">
        <f t="shared" si="55"/>
        <v>0</v>
      </c>
      <c r="M46">
        <f t="shared" si="56"/>
        <v>0</v>
      </c>
      <c r="N46">
        <f t="shared" si="57"/>
        <v>0</v>
      </c>
      <c r="O46">
        <f t="shared" si="58"/>
        <v>0</v>
      </c>
      <c r="Q46">
        <f t="shared" si="59"/>
        <v>1</v>
      </c>
      <c r="S46">
        <f t="shared" si="60"/>
        <v>1</v>
      </c>
    </row>
    <row r="47" spans="1:34" x14ac:dyDescent="0.2">
      <c r="A47">
        <f t="shared" si="51"/>
        <v>0</v>
      </c>
      <c r="C47">
        <f t="shared" si="52"/>
        <v>1</v>
      </c>
      <c r="E47">
        <f t="shared" si="53"/>
        <v>0</v>
      </c>
      <c r="G47">
        <f t="shared" si="54"/>
        <v>0</v>
      </c>
      <c r="K47">
        <f t="shared" si="55"/>
        <v>0</v>
      </c>
      <c r="M47">
        <f t="shared" si="56"/>
        <v>0</v>
      </c>
      <c r="N47">
        <f t="shared" si="57"/>
        <v>1</v>
      </c>
      <c r="O47">
        <f t="shared" si="58"/>
        <v>0</v>
      </c>
      <c r="Q47">
        <f t="shared" si="59"/>
        <v>1</v>
      </c>
      <c r="S47">
        <f t="shared" si="60"/>
        <v>1</v>
      </c>
    </row>
    <row r="48" spans="1:34" x14ac:dyDescent="0.2">
      <c r="A48">
        <f t="shared" si="51"/>
        <v>0</v>
      </c>
      <c r="C48">
        <f t="shared" si="52"/>
        <v>3</v>
      </c>
      <c r="E48">
        <f t="shared" si="53"/>
        <v>0</v>
      </c>
      <c r="G48">
        <f t="shared" si="54"/>
        <v>0</v>
      </c>
      <c r="K48">
        <f t="shared" si="55"/>
        <v>0</v>
      </c>
      <c r="M48">
        <f t="shared" si="56"/>
        <v>0</v>
      </c>
      <c r="N48">
        <f t="shared" si="57"/>
        <v>2</v>
      </c>
      <c r="O48">
        <f t="shared" si="58"/>
        <v>0</v>
      </c>
      <c r="Q48">
        <f t="shared" si="59"/>
        <v>1</v>
      </c>
      <c r="S48">
        <f t="shared" si="60"/>
        <v>1</v>
      </c>
    </row>
    <row r="49" spans="1:19" x14ac:dyDescent="0.2">
      <c r="A49">
        <f t="shared" si="51"/>
        <v>0</v>
      </c>
      <c r="C49">
        <f t="shared" si="52"/>
        <v>0</v>
      </c>
      <c r="E49">
        <f t="shared" si="53"/>
        <v>0</v>
      </c>
      <c r="G49">
        <f t="shared" si="54"/>
        <v>0</v>
      </c>
      <c r="K49">
        <f t="shared" si="55"/>
        <v>0</v>
      </c>
      <c r="M49">
        <f t="shared" si="56"/>
        <v>5</v>
      </c>
      <c r="N49">
        <f t="shared" si="57"/>
        <v>3</v>
      </c>
      <c r="O49">
        <f t="shared" si="58"/>
        <v>1</v>
      </c>
      <c r="Q49">
        <f t="shared" si="59"/>
        <v>0</v>
      </c>
      <c r="S49">
        <f t="shared" si="60"/>
        <v>0</v>
      </c>
    </row>
    <row r="50" spans="1:19" x14ac:dyDescent="0.2">
      <c r="A50">
        <f t="shared" si="51"/>
        <v>1</v>
      </c>
      <c r="C50">
        <f t="shared" si="52"/>
        <v>4</v>
      </c>
      <c r="E50">
        <f t="shared" si="53"/>
        <v>0</v>
      </c>
      <c r="G50">
        <f t="shared" si="54"/>
        <v>0</v>
      </c>
      <c r="K50">
        <f t="shared" si="55"/>
        <v>0</v>
      </c>
      <c r="M50">
        <f t="shared" si="56"/>
        <v>0</v>
      </c>
      <c r="N50">
        <f t="shared" si="57"/>
        <v>0</v>
      </c>
      <c r="O50">
        <f t="shared" si="58"/>
        <v>0</v>
      </c>
      <c r="Q50">
        <f t="shared" si="59"/>
        <v>1</v>
      </c>
      <c r="S50">
        <f t="shared" si="60"/>
        <v>1</v>
      </c>
    </row>
  </sheetData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enableFormatConditionsCalculation="0"/>
  <dimension ref="A1:BN50"/>
  <sheetViews>
    <sheetView topLeftCell="C1" workbookViewId="0">
      <selection activeCell="U15" sqref="U15"/>
    </sheetView>
  </sheetViews>
  <sheetFormatPr baseColWidth="10" defaultColWidth="11.5" defaultRowHeight="15" x14ac:dyDescent="0.2"/>
  <sheetData>
    <row r="1" spans="1:66" x14ac:dyDescent="0.2">
      <c r="A1" s="1" t="s">
        <v>0</v>
      </c>
      <c r="D1" t="s">
        <v>3</v>
      </c>
      <c r="K1" t="s">
        <v>11</v>
      </c>
      <c r="N1" t="s">
        <v>12</v>
      </c>
      <c r="P1" t="s">
        <v>14</v>
      </c>
      <c r="Q1" t="s">
        <v>17</v>
      </c>
      <c r="S1" t="s">
        <v>18</v>
      </c>
      <c r="Z1" t="s">
        <v>29</v>
      </c>
      <c r="AE1" t="s">
        <v>30</v>
      </c>
      <c r="AK1" t="s">
        <v>42</v>
      </c>
    </row>
    <row r="2" spans="1:66" x14ac:dyDescent="0.2">
      <c r="A2" t="s">
        <v>1</v>
      </c>
      <c r="B2" t="s">
        <v>1</v>
      </c>
      <c r="C2" t="s">
        <v>87</v>
      </c>
      <c r="D2" t="s">
        <v>54</v>
      </c>
      <c r="E2" t="s">
        <v>13</v>
      </c>
      <c r="F2" t="s">
        <v>198</v>
      </c>
      <c r="G2" t="s">
        <v>7</v>
      </c>
      <c r="H2" t="s">
        <v>8</v>
      </c>
      <c r="I2" t="s">
        <v>179</v>
      </c>
      <c r="J2" t="s">
        <v>178</v>
      </c>
      <c r="K2" t="s">
        <v>9</v>
      </c>
      <c r="L2" t="s">
        <v>196</v>
      </c>
      <c r="M2" t="s">
        <v>10</v>
      </c>
      <c r="N2" t="s">
        <v>54</v>
      </c>
      <c r="O2" t="s">
        <v>13</v>
      </c>
      <c r="P2" t="s">
        <v>15</v>
      </c>
      <c r="Q2" t="s">
        <v>8</v>
      </c>
      <c r="R2" t="s">
        <v>7</v>
      </c>
      <c r="S2" t="s">
        <v>181</v>
      </c>
      <c r="T2" t="s">
        <v>182</v>
      </c>
      <c r="U2" t="s">
        <v>19</v>
      </c>
      <c r="V2" t="s">
        <v>191</v>
      </c>
      <c r="W2" t="s">
        <v>192</v>
      </c>
      <c r="X2" t="s">
        <v>175</v>
      </c>
      <c r="Y2" t="s">
        <v>173</v>
      </c>
      <c r="Z2" t="str">
        <f t="shared" ref="Z2:Z13" si="0">LEFT(I4, 1)</f>
        <v/>
      </c>
      <c r="AA2" t="str">
        <f t="shared" ref="AA2:AA13" si="1">MID(I4, 4, 1)</f>
        <v/>
      </c>
      <c r="AB2" t="str">
        <f t="shared" ref="AB2:AB13" si="2">MID(I4, 7, 1)</f>
        <v/>
      </c>
      <c r="AC2" t="str">
        <f t="shared" ref="AC2:AC13" si="3">MID(I4, 10, 1)</f>
        <v/>
      </c>
      <c r="AE2" t="str">
        <f t="shared" ref="AE2:AE13" si="4">LEFT(J4, 1)</f>
        <v/>
      </c>
      <c r="AF2" t="str">
        <f t="shared" ref="AF2:AF13" si="5">MID(J4, 4, 1)</f>
        <v/>
      </c>
      <c r="AG2" t="str">
        <f t="shared" ref="AG2:AG13" si="6">MID(J4, 7, 1)</f>
        <v/>
      </c>
      <c r="AH2" t="str">
        <f t="shared" ref="AH2:AH13" si="7">MID(J4, 10, 1)</f>
        <v/>
      </c>
      <c r="AI2" t="str">
        <f t="shared" ref="AI2:AI13" si="8">MID(J4, 13, 1)</f>
        <v/>
      </c>
      <c r="AK2" t="str">
        <f t="shared" ref="AK2:AK13" si="9">LEFT(P4, 2)</f>
        <v/>
      </c>
      <c r="AL2" t="str">
        <f>MID($P4, 5, 2)</f>
        <v/>
      </c>
      <c r="AM2" t="str">
        <f t="shared" ref="AM2:AM13" si="10">MID($P4, 9, 2)</f>
        <v/>
      </c>
      <c r="AN2" t="str">
        <f t="shared" ref="AN2:AN13" si="11">MID($P4, 13, 2)</f>
        <v/>
      </c>
      <c r="AO2" t="str">
        <f t="shared" ref="AO2:AO13" si="12">MID($P4, 17, 2)</f>
        <v/>
      </c>
      <c r="AP2" t="str">
        <f t="shared" ref="AP2:AP13" si="13">MID($P4, 21, 2)</f>
        <v/>
      </c>
      <c r="AQ2" t="str">
        <f t="shared" ref="AQ2:AQ13" si="14">MID($P4, 25, 2)</f>
        <v/>
      </c>
      <c r="AR2" t="str">
        <f t="shared" ref="AR2:AR13" si="15">MID($P4, 29, 2)</f>
        <v/>
      </c>
      <c r="AS2" t="str">
        <f t="shared" ref="AS2:AS13" si="16">MID($P4, 33, 2)</f>
        <v/>
      </c>
      <c r="AT2" t="str">
        <f t="shared" ref="AT2:AT13" si="17">MID($P4, 37, 2)</f>
        <v/>
      </c>
      <c r="AU2" t="str">
        <f t="shared" ref="AU2:AU13" si="18">MID($P4, 41, 2)</f>
        <v/>
      </c>
      <c r="AV2" t="str">
        <f t="shared" ref="AV2:AV13" si="19">MID($P4, 45, 2)</f>
        <v/>
      </c>
      <c r="AW2" t="str">
        <f t="shared" ref="AW2:AW13" si="20">MID($P4, 49, 2)</f>
        <v/>
      </c>
      <c r="AX2" t="str">
        <f t="shared" ref="AX2:AX13" si="21">MID($P4, 53, 2)</f>
        <v/>
      </c>
      <c r="AY2" t="str">
        <f t="shared" ref="AY2:AY13" si="22">MID($P4, 57, 2)</f>
        <v/>
      </c>
      <c r="AZ2" t="str">
        <f t="shared" ref="AZ2:AZ13" si="23">MID($P4, 61, 2)</f>
        <v/>
      </c>
      <c r="BA2" t="str">
        <f t="shared" ref="BA2:BA13" si="24">MID($P4, 65, 2)</f>
        <v/>
      </c>
      <c r="BB2" t="str">
        <f t="shared" ref="BB2:BB13" si="25">MID($P4, 69, 2)</f>
        <v/>
      </c>
      <c r="BC2" t="str">
        <f t="shared" ref="BC2:BC13" si="26">MID($P4, 73, 2)</f>
        <v/>
      </c>
      <c r="BD2" t="str">
        <f t="shared" ref="BD2:BD13" si="27">MID($P4, 77, 2)</f>
        <v/>
      </c>
      <c r="BE2" t="str">
        <f t="shared" ref="BE2:BE13" si="28">MID($P4, 81, 2)</f>
        <v/>
      </c>
      <c r="BF2" t="str">
        <f t="shared" ref="BF2:BF13" si="29">MID($P4, 85, 2)</f>
        <v/>
      </c>
      <c r="BG2" t="str">
        <f t="shared" ref="BG2:BG13" si="30">MID($P4, 89, 2)</f>
        <v/>
      </c>
      <c r="BH2" t="str">
        <f t="shared" ref="BH2:BH13" si="31">MID($P4, 93, 2)</f>
        <v/>
      </c>
    </row>
    <row r="3" spans="1:66" x14ac:dyDescent="0.2">
      <c r="A3" t="s">
        <v>2</v>
      </c>
      <c r="B3" t="s">
        <v>6</v>
      </c>
      <c r="C3" t="s">
        <v>88</v>
      </c>
      <c r="D3" t="s">
        <v>6</v>
      </c>
      <c r="E3" t="s">
        <v>6</v>
      </c>
      <c r="F3" t="s">
        <v>4</v>
      </c>
      <c r="G3" t="s">
        <v>6</v>
      </c>
      <c r="H3" t="s">
        <v>6</v>
      </c>
      <c r="I3" t="s">
        <v>86</v>
      </c>
      <c r="J3" t="s">
        <v>86</v>
      </c>
      <c r="K3" t="s">
        <v>6</v>
      </c>
      <c r="L3" t="s">
        <v>6</v>
      </c>
      <c r="M3" t="s">
        <v>6</v>
      </c>
      <c r="N3" t="s">
        <v>6</v>
      </c>
      <c r="O3" t="s">
        <v>6</v>
      </c>
      <c r="P3" t="s">
        <v>16</v>
      </c>
      <c r="Q3" t="s">
        <v>6</v>
      </c>
      <c r="R3" t="s">
        <v>6</v>
      </c>
      <c r="S3" t="s">
        <v>4</v>
      </c>
      <c r="T3" t="s">
        <v>4</v>
      </c>
      <c r="U3" t="s">
        <v>6</v>
      </c>
      <c r="V3" t="s">
        <v>6</v>
      </c>
      <c r="W3" t="s">
        <v>6</v>
      </c>
      <c r="X3" t="s">
        <v>6</v>
      </c>
      <c r="Y3" t="s">
        <v>174</v>
      </c>
      <c r="Z3" t="str">
        <f t="shared" si="0"/>
        <v/>
      </c>
      <c r="AA3" t="str">
        <f t="shared" si="1"/>
        <v/>
      </c>
      <c r="AB3" t="str">
        <f t="shared" si="2"/>
        <v/>
      </c>
      <c r="AC3" t="str">
        <f t="shared" si="3"/>
        <v/>
      </c>
      <c r="AE3" t="str">
        <f t="shared" si="4"/>
        <v/>
      </c>
      <c r="AF3" t="str">
        <f t="shared" si="5"/>
        <v/>
      </c>
      <c r="AG3" t="str">
        <f t="shared" si="6"/>
        <v/>
      </c>
      <c r="AH3" t="str">
        <f t="shared" si="7"/>
        <v/>
      </c>
      <c r="AI3" t="str">
        <f t="shared" si="8"/>
        <v/>
      </c>
      <c r="AK3" t="str">
        <f t="shared" si="9"/>
        <v/>
      </c>
      <c r="AL3" t="str">
        <f t="shared" ref="AL3:AL13" si="32">MID(P5, 5, 2)</f>
        <v/>
      </c>
      <c r="AM3" t="str">
        <f t="shared" si="10"/>
        <v/>
      </c>
      <c r="AN3" t="str">
        <f t="shared" si="11"/>
        <v/>
      </c>
      <c r="AO3" t="str">
        <f t="shared" si="12"/>
        <v/>
      </c>
      <c r="AP3" t="str">
        <f t="shared" si="13"/>
        <v/>
      </c>
      <c r="AQ3" t="str">
        <f t="shared" si="14"/>
        <v/>
      </c>
      <c r="AR3" t="str">
        <f t="shared" si="15"/>
        <v/>
      </c>
      <c r="AS3" t="str">
        <f t="shared" si="16"/>
        <v/>
      </c>
      <c r="AT3" t="str">
        <f t="shared" si="17"/>
        <v/>
      </c>
      <c r="AU3" t="str">
        <f t="shared" si="18"/>
        <v/>
      </c>
      <c r="AV3" t="str">
        <f t="shared" si="19"/>
        <v/>
      </c>
      <c r="AW3" t="str">
        <f t="shared" si="20"/>
        <v/>
      </c>
      <c r="AX3" t="str">
        <f t="shared" si="21"/>
        <v/>
      </c>
      <c r="AY3" t="str">
        <f t="shared" si="22"/>
        <v/>
      </c>
      <c r="AZ3" t="str">
        <f t="shared" si="23"/>
        <v/>
      </c>
      <c r="BA3" t="str">
        <f t="shared" si="24"/>
        <v/>
      </c>
      <c r="BB3" t="str">
        <f t="shared" si="25"/>
        <v/>
      </c>
      <c r="BC3" t="str">
        <f t="shared" si="26"/>
        <v/>
      </c>
      <c r="BD3" t="str">
        <f t="shared" si="27"/>
        <v/>
      </c>
      <c r="BE3" t="str">
        <f t="shared" si="28"/>
        <v/>
      </c>
      <c r="BF3" t="str">
        <f t="shared" si="29"/>
        <v/>
      </c>
      <c r="BG3" t="str">
        <f t="shared" si="30"/>
        <v/>
      </c>
      <c r="BH3" t="str">
        <f t="shared" si="31"/>
        <v/>
      </c>
    </row>
    <row r="4" spans="1:66" x14ac:dyDescent="0.2">
      <c r="A4">
        <v>1</v>
      </c>
      <c r="B4">
        <v>5</v>
      </c>
      <c r="C4" t="s">
        <v>39</v>
      </c>
      <c r="D4">
        <v>1</v>
      </c>
      <c r="K4">
        <v>2</v>
      </c>
      <c r="M4">
        <v>2</v>
      </c>
      <c r="N4">
        <v>5</v>
      </c>
      <c r="O4">
        <v>5</v>
      </c>
      <c r="S4">
        <v>1</v>
      </c>
      <c r="T4">
        <v>1</v>
      </c>
      <c r="U4">
        <v>2</v>
      </c>
      <c r="X4">
        <f t="shared" ref="X4:X15" si="33">G4+H4+Q4+R4</f>
        <v>0</v>
      </c>
      <c r="Z4" t="str">
        <f t="shared" si="0"/>
        <v/>
      </c>
      <c r="AA4" t="str">
        <f t="shared" si="1"/>
        <v/>
      </c>
      <c r="AB4" t="str">
        <f t="shared" si="2"/>
        <v/>
      </c>
      <c r="AC4" t="str">
        <f t="shared" si="3"/>
        <v/>
      </c>
      <c r="AE4" t="str">
        <f t="shared" si="4"/>
        <v/>
      </c>
      <c r="AF4" t="str">
        <f t="shared" si="5"/>
        <v/>
      </c>
      <c r="AG4" t="str">
        <f t="shared" si="6"/>
        <v/>
      </c>
      <c r="AH4" t="str">
        <f t="shared" si="7"/>
        <v/>
      </c>
      <c r="AI4" t="str">
        <f t="shared" si="8"/>
        <v/>
      </c>
      <c r="AK4" t="str">
        <f t="shared" si="9"/>
        <v/>
      </c>
      <c r="AL4" t="str">
        <f t="shared" si="32"/>
        <v/>
      </c>
      <c r="AM4" t="str">
        <f t="shared" si="10"/>
        <v/>
      </c>
      <c r="AN4" t="str">
        <f t="shared" si="11"/>
        <v/>
      </c>
      <c r="AO4" t="str">
        <f t="shared" si="12"/>
        <v/>
      </c>
      <c r="AP4" t="str">
        <f t="shared" si="13"/>
        <v/>
      </c>
      <c r="AQ4" t="str">
        <f t="shared" si="14"/>
        <v/>
      </c>
      <c r="AR4" t="str">
        <f t="shared" si="15"/>
        <v/>
      </c>
      <c r="AS4" t="str">
        <f t="shared" si="16"/>
        <v/>
      </c>
      <c r="AT4" t="str">
        <f t="shared" si="17"/>
        <v/>
      </c>
      <c r="AU4" t="str">
        <f t="shared" si="18"/>
        <v/>
      </c>
      <c r="AV4" t="str">
        <f t="shared" si="19"/>
        <v/>
      </c>
      <c r="AW4" t="str">
        <f t="shared" si="20"/>
        <v/>
      </c>
      <c r="AX4" t="str">
        <f t="shared" si="21"/>
        <v/>
      </c>
      <c r="AY4" t="str">
        <f t="shared" si="22"/>
        <v/>
      </c>
      <c r="AZ4" t="str">
        <f t="shared" si="23"/>
        <v/>
      </c>
      <c r="BA4" t="str">
        <f t="shared" si="24"/>
        <v/>
      </c>
      <c r="BB4" t="str">
        <f t="shared" si="25"/>
        <v/>
      </c>
      <c r="BC4" t="str">
        <f t="shared" si="26"/>
        <v/>
      </c>
      <c r="BD4" t="str">
        <f t="shared" si="27"/>
        <v/>
      </c>
      <c r="BE4" t="str">
        <f t="shared" si="28"/>
        <v/>
      </c>
      <c r="BF4" t="str">
        <f t="shared" si="29"/>
        <v/>
      </c>
      <c r="BG4" t="str">
        <f t="shared" si="30"/>
        <v/>
      </c>
      <c r="BH4" t="str">
        <f t="shared" si="31"/>
        <v/>
      </c>
    </row>
    <row r="5" spans="1:66" x14ac:dyDescent="0.2">
      <c r="A5">
        <v>2</v>
      </c>
      <c r="B5">
        <v>14</v>
      </c>
      <c r="C5" t="s">
        <v>39</v>
      </c>
      <c r="K5">
        <v>3</v>
      </c>
      <c r="N5">
        <v>4</v>
      </c>
      <c r="O5">
        <v>3</v>
      </c>
      <c r="S5">
        <v>1</v>
      </c>
      <c r="T5">
        <v>1</v>
      </c>
      <c r="U5">
        <v>18</v>
      </c>
      <c r="X5">
        <f t="shared" si="33"/>
        <v>0</v>
      </c>
      <c r="Z5" t="str">
        <f t="shared" si="0"/>
        <v/>
      </c>
      <c r="AA5" t="str">
        <f t="shared" si="1"/>
        <v/>
      </c>
      <c r="AB5" t="str">
        <f t="shared" si="2"/>
        <v/>
      </c>
      <c r="AC5" t="str">
        <f t="shared" si="3"/>
        <v/>
      </c>
      <c r="AE5" t="str">
        <f t="shared" si="4"/>
        <v/>
      </c>
      <c r="AF5" t="str">
        <f t="shared" si="5"/>
        <v/>
      </c>
      <c r="AG5" t="str">
        <f t="shared" si="6"/>
        <v/>
      </c>
      <c r="AH5" t="str">
        <f t="shared" si="7"/>
        <v/>
      </c>
      <c r="AI5" t="str">
        <f t="shared" si="8"/>
        <v/>
      </c>
      <c r="AK5" t="str">
        <f t="shared" si="9"/>
        <v/>
      </c>
      <c r="AL5" t="str">
        <f t="shared" si="32"/>
        <v/>
      </c>
      <c r="AM5" t="str">
        <f t="shared" si="10"/>
        <v/>
      </c>
      <c r="AN5" t="str">
        <f t="shared" si="11"/>
        <v/>
      </c>
      <c r="AO5" t="str">
        <f t="shared" si="12"/>
        <v/>
      </c>
      <c r="AP5" t="str">
        <f t="shared" si="13"/>
        <v/>
      </c>
      <c r="AQ5" t="str">
        <f t="shared" si="14"/>
        <v/>
      </c>
      <c r="AR5" t="str">
        <f t="shared" si="15"/>
        <v/>
      </c>
      <c r="AS5" t="str">
        <f t="shared" si="16"/>
        <v/>
      </c>
      <c r="AT5" t="str">
        <f t="shared" si="17"/>
        <v/>
      </c>
      <c r="AU5" t="str">
        <f t="shared" si="18"/>
        <v/>
      </c>
      <c r="AV5" t="str">
        <f t="shared" si="19"/>
        <v/>
      </c>
      <c r="AW5" t="str">
        <f t="shared" si="20"/>
        <v/>
      </c>
      <c r="AX5" t="str">
        <f t="shared" si="21"/>
        <v/>
      </c>
      <c r="AY5" t="str">
        <f t="shared" si="22"/>
        <v/>
      </c>
      <c r="AZ5" t="str">
        <f t="shared" si="23"/>
        <v/>
      </c>
      <c r="BA5" t="str">
        <f t="shared" si="24"/>
        <v/>
      </c>
      <c r="BB5" t="str">
        <f t="shared" si="25"/>
        <v/>
      </c>
      <c r="BC5" t="str">
        <f t="shared" si="26"/>
        <v/>
      </c>
      <c r="BD5" t="str">
        <f t="shared" si="27"/>
        <v/>
      </c>
      <c r="BE5" t="str">
        <f t="shared" si="28"/>
        <v/>
      </c>
      <c r="BF5" t="str">
        <f t="shared" si="29"/>
        <v/>
      </c>
      <c r="BG5" t="str">
        <f t="shared" si="30"/>
        <v/>
      </c>
      <c r="BH5" t="str">
        <f t="shared" si="31"/>
        <v/>
      </c>
    </row>
    <row r="6" spans="1:66" x14ac:dyDescent="0.2">
      <c r="A6">
        <v>3</v>
      </c>
      <c r="B6">
        <v>26</v>
      </c>
      <c r="C6" t="s">
        <v>39</v>
      </c>
      <c r="D6">
        <v>1</v>
      </c>
      <c r="K6">
        <v>3</v>
      </c>
      <c r="N6">
        <v>4</v>
      </c>
      <c r="O6">
        <v>4</v>
      </c>
      <c r="S6">
        <v>1</v>
      </c>
      <c r="T6">
        <v>1</v>
      </c>
      <c r="X6">
        <f t="shared" si="33"/>
        <v>0</v>
      </c>
      <c r="Z6" t="str">
        <f t="shared" si="0"/>
        <v/>
      </c>
      <c r="AA6" t="str">
        <f t="shared" si="1"/>
        <v/>
      </c>
      <c r="AB6" t="str">
        <f t="shared" si="2"/>
        <v/>
      </c>
      <c r="AC6" t="str">
        <f t="shared" si="3"/>
        <v/>
      </c>
      <c r="AE6" t="str">
        <f t="shared" si="4"/>
        <v/>
      </c>
      <c r="AF6" t="str">
        <f t="shared" si="5"/>
        <v/>
      </c>
      <c r="AG6" t="str">
        <f t="shared" si="6"/>
        <v/>
      </c>
      <c r="AH6" t="str">
        <f t="shared" si="7"/>
        <v/>
      </c>
      <c r="AI6" t="str">
        <f t="shared" si="8"/>
        <v/>
      </c>
      <c r="AK6" t="str">
        <f t="shared" si="9"/>
        <v/>
      </c>
      <c r="AL6" t="str">
        <f t="shared" si="32"/>
        <v/>
      </c>
      <c r="AM6" t="str">
        <f t="shared" si="10"/>
        <v/>
      </c>
      <c r="AN6" t="str">
        <f t="shared" si="11"/>
        <v/>
      </c>
      <c r="AO6" t="str">
        <f t="shared" si="12"/>
        <v/>
      </c>
      <c r="AP6" t="str">
        <f t="shared" si="13"/>
        <v/>
      </c>
      <c r="AQ6" t="str">
        <f t="shared" si="14"/>
        <v/>
      </c>
      <c r="AR6" t="str">
        <f t="shared" si="15"/>
        <v/>
      </c>
      <c r="AS6" t="str">
        <f t="shared" si="16"/>
        <v/>
      </c>
      <c r="AT6" t="str">
        <f t="shared" si="17"/>
        <v/>
      </c>
      <c r="AU6" t="str">
        <f t="shared" si="18"/>
        <v/>
      </c>
      <c r="AV6" t="str">
        <f t="shared" si="19"/>
        <v/>
      </c>
      <c r="AW6" t="str">
        <f t="shared" si="20"/>
        <v/>
      </c>
      <c r="AX6" t="str">
        <f t="shared" si="21"/>
        <v/>
      </c>
      <c r="AY6" t="str">
        <f t="shared" si="22"/>
        <v/>
      </c>
      <c r="AZ6" t="str">
        <f t="shared" si="23"/>
        <v/>
      </c>
      <c r="BA6" t="str">
        <f t="shared" si="24"/>
        <v/>
      </c>
      <c r="BB6" t="str">
        <f t="shared" si="25"/>
        <v/>
      </c>
      <c r="BC6" t="str">
        <f t="shared" si="26"/>
        <v/>
      </c>
      <c r="BD6" t="str">
        <f t="shared" si="27"/>
        <v/>
      </c>
      <c r="BE6" t="str">
        <f t="shared" si="28"/>
        <v/>
      </c>
      <c r="BF6" t="str">
        <f t="shared" si="29"/>
        <v/>
      </c>
      <c r="BG6" t="str">
        <f t="shared" si="30"/>
        <v/>
      </c>
      <c r="BH6" t="str">
        <f t="shared" si="31"/>
        <v/>
      </c>
    </row>
    <row r="7" spans="1:66" x14ac:dyDescent="0.2">
      <c r="A7">
        <v>4</v>
      </c>
      <c r="B7">
        <v>40</v>
      </c>
      <c r="C7" t="s">
        <v>39</v>
      </c>
      <c r="D7">
        <v>1</v>
      </c>
      <c r="E7">
        <v>1</v>
      </c>
      <c r="K7">
        <v>4</v>
      </c>
      <c r="M7">
        <v>1</v>
      </c>
      <c r="N7">
        <v>5</v>
      </c>
      <c r="O7">
        <v>5</v>
      </c>
      <c r="S7">
        <v>1</v>
      </c>
      <c r="T7">
        <v>1</v>
      </c>
      <c r="X7">
        <f t="shared" si="33"/>
        <v>0</v>
      </c>
      <c r="Z7" t="str">
        <f t="shared" si="0"/>
        <v/>
      </c>
      <c r="AA7" t="str">
        <f t="shared" si="1"/>
        <v/>
      </c>
      <c r="AB7" t="str">
        <f t="shared" si="2"/>
        <v/>
      </c>
      <c r="AC7" t="str">
        <f t="shared" si="3"/>
        <v/>
      </c>
      <c r="AE7" t="str">
        <f t="shared" si="4"/>
        <v/>
      </c>
      <c r="AF7" t="str">
        <f t="shared" si="5"/>
        <v/>
      </c>
      <c r="AG7" t="str">
        <f t="shared" si="6"/>
        <v/>
      </c>
      <c r="AH7" t="str">
        <f t="shared" si="7"/>
        <v/>
      </c>
      <c r="AI7" t="str">
        <f t="shared" si="8"/>
        <v/>
      </c>
      <c r="AK7" t="str">
        <f t="shared" si="9"/>
        <v/>
      </c>
      <c r="AL7" t="str">
        <f t="shared" si="32"/>
        <v/>
      </c>
      <c r="AM7" t="str">
        <f t="shared" si="10"/>
        <v/>
      </c>
      <c r="AN7" t="str">
        <f t="shared" si="11"/>
        <v/>
      </c>
      <c r="AO7" t="str">
        <f t="shared" si="12"/>
        <v/>
      </c>
      <c r="AP7" t="str">
        <f t="shared" si="13"/>
        <v/>
      </c>
      <c r="AQ7" t="str">
        <f t="shared" si="14"/>
        <v/>
      </c>
      <c r="AR7" t="str">
        <f t="shared" si="15"/>
        <v/>
      </c>
      <c r="AS7" t="str">
        <f t="shared" si="16"/>
        <v/>
      </c>
      <c r="AT7" t="str">
        <f t="shared" si="17"/>
        <v/>
      </c>
      <c r="AU7" t="str">
        <f t="shared" si="18"/>
        <v/>
      </c>
      <c r="AV7" t="str">
        <f t="shared" si="19"/>
        <v/>
      </c>
      <c r="AW7" t="str">
        <f t="shared" si="20"/>
        <v/>
      </c>
      <c r="AX7" t="str">
        <f t="shared" si="21"/>
        <v/>
      </c>
      <c r="AY7" t="str">
        <f t="shared" si="22"/>
        <v/>
      </c>
      <c r="AZ7" t="str">
        <f t="shared" si="23"/>
        <v/>
      </c>
      <c r="BA7" t="str">
        <f t="shared" si="24"/>
        <v/>
      </c>
      <c r="BB7" t="str">
        <f t="shared" si="25"/>
        <v/>
      </c>
      <c r="BC7" t="str">
        <f t="shared" si="26"/>
        <v/>
      </c>
      <c r="BD7" t="str">
        <f t="shared" si="27"/>
        <v/>
      </c>
      <c r="BE7" t="str">
        <f t="shared" si="28"/>
        <v/>
      </c>
      <c r="BF7" t="str">
        <f t="shared" si="29"/>
        <v/>
      </c>
      <c r="BG7" t="str">
        <f t="shared" si="30"/>
        <v/>
      </c>
      <c r="BH7" t="str">
        <f t="shared" si="31"/>
        <v/>
      </c>
    </row>
    <row r="8" spans="1:66" x14ac:dyDescent="0.2">
      <c r="A8">
        <v>5</v>
      </c>
      <c r="B8">
        <v>46</v>
      </c>
      <c r="C8" t="s">
        <v>39</v>
      </c>
      <c r="D8">
        <v>1</v>
      </c>
      <c r="K8">
        <v>4</v>
      </c>
      <c r="N8">
        <v>3</v>
      </c>
      <c r="O8">
        <v>3</v>
      </c>
      <c r="S8">
        <v>1</v>
      </c>
      <c r="T8">
        <v>1</v>
      </c>
      <c r="X8">
        <f t="shared" si="33"/>
        <v>0</v>
      </c>
      <c r="Z8" t="str">
        <f t="shared" si="0"/>
        <v/>
      </c>
      <c r="AA8" t="str">
        <f t="shared" si="1"/>
        <v/>
      </c>
      <c r="AB8" t="str">
        <f t="shared" si="2"/>
        <v/>
      </c>
      <c r="AC8" t="str">
        <f t="shared" si="3"/>
        <v/>
      </c>
      <c r="AE8" t="str">
        <f t="shared" si="4"/>
        <v/>
      </c>
      <c r="AF8" t="str">
        <f t="shared" si="5"/>
        <v/>
      </c>
      <c r="AG8" t="str">
        <f t="shared" si="6"/>
        <v/>
      </c>
      <c r="AH8" t="str">
        <f t="shared" si="7"/>
        <v/>
      </c>
      <c r="AI8" t="str">
        <f t="shared" si="8"/>
        <v/>
      </c>
      <c r="AK8" t="str">
        <f t="shared" si="9"/>
        <v/>
      </c>
      <c r="AL8" t="str">
        <f t="shared" si="32"/>
        <v/>
      </c>
      <c r="AM8" t="str">
        <f t="shared" si="10"/>
        <v/>
      </c>
      <c r="AN8" t="str">
        <f t="shared" si="11"/>
        <v/>
      </c>
      <c r="AO8" t="str">
        <f t="shared" si="12"/>
        <v/>
      </c>
      <c r="AP8" t="str">
        <f t="shared" si="13"/>
        <v/>
      </c>
      <c r="AQ8" t="str">
        <f t="shared" si="14"/>
        <v/>
      </c>
      <c r="AR8" t="str">
        <f t="shared" si="15"/>
        <v/>
      </c>
      <c r="AS8" t="str">
        <f t="shared" si="16"/>
        <v/>
      </c>
      <c r="AT8" t="str">
        <f t="shared" si="17"/>
        <v/>
      </c>
      <c r="AU8" t="str">
        <f t="shared" si="18"/>
        <v/>
      </c>
      <c r="AV8" t="str">
        <f t="shared" si="19"/>
        <v/>
      </c>
      <c r="AW8" t="str">
        <f t="shared" si="20"/>
        <v/>
      </c>
      <c r="AX8" t="str">
        <f t="shared" si="21"/>
        <v/>
      </c>
      <c r="AY8" t="str">
        <f t="shared" si="22"/>
        <v/>
      </c>
      <c r="AZ8" t="str">
        <f t="shared" si="23"/>
        <v/>
      </c>
      <c r="BA8" t="str">
        <f t="shared" si="24"/>
        <v/>
      </c>
      <c r="BB8" t="str">
        <f t="shared" si="25"/>
        <v/>
      </c>
      <c r="BC8" t="str">
        <f t="shared" si="26"/>
        <v/>
      </c>
      <c r="BD8" t="str">
        <f t="shared" si="27"/>
        <v/>
      </c>
      <c r="BE8" t="str">
        <f t="shared" si="28"/>
        <v/>
      </c>
      <c r="BF8" t="str">
        <f t="shared" si="29"/>
        <v/>
      </c>
      <c r="BG8" t="str">
        <f t="shared" si="30"/>
        <v/>
      </c>
      <c r="BH8" t="str">
        <f t="shared" si="31"/>
        <v/>
      </c>
    </row>
    <row r="9" spans="1:66" x14ac:dyDescent="0.2">
      <c r="A9">
        <v>6</v>
      </c>
      <c r="B9">
        <v>51</v>
      </c>
      <c r="C9" t="s">
        <v>207</v>
      </c>
      <c r="D9">
        <v>1</v>
      </c>
      <c r="E9">
        <v>1</v>
      </c>
      <c r="K9">
        <v>3</v>
      </c>
      <c r="M9">
        <v>1</v>
      </c>
      <c r="N9">
        <v>4</v>
      </c>
      <c r="O9">
        <v>4</v>
      </c>
      <c r="S9">
        <v>1</v>
      </c>
      <c r="T9">
        <v>1</v>
      </c>
      <c r="X9">
        <f t="shared" si="33"/>
        <v>0</v>
      </c>
      <c r="Z9" t="str">
        <f t="shared" si="0"/>
        <v/>
      </c>
      <c r="AA9" t="str">
        <f t="shared" si="1"/>
        <v/>
      </c>
      <c r="AB9" t="str">
        <f t="shared" si="2"/>
        <v/>
      </c>
      <c r="AC9" t="str">
        <f t="shared" si="3"/>
        <v/>
      </c>
      <c r="AE9" t="str">
        <f t="shared" si="4"/>
        <v/>
      </c>
      <c r="AF9" t="str">
        <f t="shared" si="5"/>
        <v/>
      </c>
      <c r="AG9" t="str">
        <f t="shared" si="6"/>
        <v/>
      </c>
      <c r="AH9" t="str">
        <f t="shared" si="7"/>
        <v/>
      </c>
      <c r="AI9" t="str">
        <f t="shared" si="8"/>
        <v/>
      </c>
      <c r="AK9" t="str">
        <f t="shared" si="9"/>
        <v/>
      </c>
      <c r="AL9" t="str">
        <f t="shared" si="32"/>
        <v/>
      </c>
      <c r="AM9" t="str">
        <f t="shared" si="10"/>
        <v/>
      </c>
      <c r="AN9" t="str">
        <f t="shared" si="11"/>
        <v/>
      </c>
      <c r="AO9" t="str">
        <f t="shared" si="12"/>
        <v/>
      </c>
      <c r="AP9" t="str">
        <f t="shared" si="13"/>
        <v/>
      </c>
      <c r="AQ9" t="str">
        <f t="shared" si="14"/>
        <v/>
      </c>
      <c r="AR9" t="str">
        <f t="shared" si="15"/>
        <v/>
      </c>
      <c r="AS9" t="str">
        <f t="shared" si="16"/>
        <v/>
      </c>
      <c r="AT9" t="str">
        <f t="shared" si="17"/>
        <v/>
      </c>
      <c r="AU9" t="str">
        <f t="shared" si="18"/>
        <v/>
      </c>
      <c r="AV9" t="str">
        <f t="shared" si="19"/>
        <v/>
      </c>
      <c r="AW9" t="str">
        <f t="shared" si="20"/>
        <v/>
      </c>
      <c r="AX9" t="str">
        <f t="shared" si="21"/>
        <v/>
      </c>
      <c r="AY9" t="str">
        <f t="shared" si="22"/>
        <v/>
      </c>
      <c r="AZ9" t="str">
        <f t="shared" si="23"/>
        <v/>
      </c>
      <c r="BA9" t="str">
        <f t="shared" si="24"/>
        <v/>
      </c>
      <c r="BB9" t="str">
        <f t="shared" si="25"/>
        <v/>
      </c>
      <c r="BC9" t="str">
        <f t="shared" si="26"/>
        <v/>
      </c>
      <c r="BD9" t="str">
        <f t="shared" si="27"/>
        <v/>
      </c>
      <c r="BE9" t="str">
        <f t="shared" si="28"/>
        <v/>
      </c>
      <c r="BF9" t="str">
        <f t="shared" si="29"/>
        <v/>
      </c>
      <c r="BG9" t="str">
        <f t="shared" si="30"/>
        <v/>
      </c>
      <c r="BH9" t="str">
        <f t="shared" si="31"/>
        <v/>
      </c>
    </row>
    <row r="10" spans="1:66" x14ac:dyDescent="0.2">
      <c r="A10">
        <v>7</v>
      </c>
      <c r="B10">
        <v>70</v>
      </c>
      <c r="C10" t="s">
        <v>207</v>
      </c>
      <c r="D10">
        <v>1</v>
      </c>
      <c r="K10">
        <v>3</v>
      </c>
      <c r="N10">
        <v>4</v>
      </c>
      <c r="O10">
        <v>4</v>
      </c>
      <c r="S10">
        <v>1</v>
      </c>
      <c r="T10">
        <v>1</v>
      </c>
      <c r="U10">
        <v>49</v>
      </c>
      <c r="X10">
        <f t="shared" si="33"/>
        <v>0</v>
      </c>
      <c r="Z10" t="str">
        <f t="shared" si="0"/>
        <v/>
      </c>
      <c r="AA10" t="str">
        <f t="shared" si="1"/>
        <v/>
      </c>
      <c r="AB10" t="str">
        <f t="shared" si="2"/>
        <v/>
      </c>
      <c r="AC10" t="str">
        <f t="shared" si="3"/>
        <v/>
      </c>
      <c r="AE10" t="str">
        <f t="shared" si="4"/>
        <v/>
      </c>
      <c r="AF10" t="str">
        <f t="shared" si="5"/>
        <v/>
      </c>
      <c r="AG10" t="str">
        <f t="shared" si="6"/>
        <v/>
      </c>
      <c r="AH10" t="str">
        <f t="shared" si="7"/>
        <v/>
      </c>
      <c r="AI10" t="str">
        <f t="shared" si="8"/>
        <v/>
      </c>
      <c r="AK10" t="str">
        <f t="shared" si="9"/>
        <v/>
      </c>
      <c r="AL10" t="str">
        <f t="shared" si="32"/>
        <v/>
      </c>
      <c r="AM10" t="str">
        <f t="shared" si="10"/>
        <v/>
      </c>
      <c r="AN10" t="str">
        <f t="shared" si="11"/>
        <v/>
      </c>
      <c r="AO10" t="str">
        <f t="shared" si="12"/>
        <v/>
      </c>
      <c r="AP10" t="str">
        <f t="shared" si="13"/>
        <v/>
      </c>
      <c r="AQ10" t="str">
        <f t="shared" si="14"/>
        <v/>
      </c>
      <c r="AR10" t="str">
        <f t="shared" si="15"/>
        <v/>
      </c>
      <c r="AS10" t="str">
        <f t="shared" si="16"/>
        <v/>
      </c>
      <c r="AT10" t="str">
        <f t="shared" si="17"/>
        <v/>
      </c>
      <c r="AU10" t="str">
        <f t="shared" si="18"/>
        <v/>
      </c>
      <c r="AV10" t="str">
        <f t="shared" si="19"/>
        <v/>
      </c>
      <c r="AW10" t="str">
        <f t="shared" si="20"/>
        <v/>
      </c>
      <c r="AX10" t="str">
        <f t="shared" si="21"/>
        <v/>
      </c>
      <c r="AY10" t="str">
        <f t="shared" si="22"/>
        <v/>
      </c>
      <c r="AZ10" t="str">
        <f t="shared" si="23"/>
        <v/>
      </c>
      <c r="BA10" t="str">
        <f t="shared" si="24"/>
        <v/>
      </c>
      <c r="BB10" t="str">
        <f t="shared" si="25"/>
        <v/>
      </c>
      <c r="BC10" t="str">
        <f t="shared" si="26"/>
        <v/>
      </c>
      <c r="BD10" t="str">
        <f t="shared" si="27"/>
        <v/>
      </c>
      <c r="BE10" t="str">
        <f t="shared" si="28"/>
        <v/>
      </c>
      <c r="BF10" t="str">
        <f t="shared" si="29"/>
        <v/>
      </c>
      <c r="BG10" t="str">
        <f t="shared" si="30"/>
        <v/>
      </c>
      <c r="BH10" t="str">
        <f t="shared" si="31"/>
        <v/>
      </c>
    </row>
    <row r="11" spans="1:66" x14ac:dyDescent="0.2">
      <c r="A11">
        <v>8</v>
      </c>
      <c r="B11">
        <v>75</v>
      </c>
      <c r="C11" t="s">
        <v>207</v>
      </c>
      <c r="D11">
        <v>1</v>
      </c>
      <c r="E11">
        <v>1</v>
      </c>
      <c r="K11">
        <v>4</v>
      </c>
      <c r="N11">
        <v>4</v>
      </c>
      <c r="O11">
        <v>4</v>
      </c>
      <c r="S11">
        <v>1</v>
      </c>
      <c r="U11">
        <v>2</v>
      </c>
      <c r="X11">
        <f t="shared" si="33"/>
        <v>0</v>
      </c>
      <c r="Z11" t="str">
        <f t="shared" si="0"/>
        <v/>
      </c>
      <c r="AA11" t="str">
        <f t="shared" si="1"/>
        <v/>
      </c>
      <c r="AB11" t="str">
        <f t="shared" si="2"/>
        <v/>
      </c>
      <c r="AC11" t="str">
        <f t="shared" si="3"/>
        <v/>
      </c>
      <c r="AE11" t="str">
        <f t="shared" si="4"/>
        <v/>
      </c>
      <c r="AF11" t="str">
        <f t="shared" si="5"/>
        <v/>
      </c>
      <c r="AG11" t="str">
        <f t="shared" si="6"/>
        <v/>
      </c>
      <c r="AH11" t="str">
        <f t="shared" si="7"/>
        <v/>
      </c>
      <c r="AI11" t="str">
        <f t="shared" si="8"/>
        <v/>
      </c>
      <c r="AK11" t="str">
        <f t="shared" si="9"/>
        <v/>
      </c>
      <c r="AL11" t="str">
        <f t="shared" si="32"/>
        <v/>
      </c>
      <c r="AM11" t="str">
        <f t="shared" si="10"/>
        <v/>
      </c>
      <c r="AN11" t="str">
        <f t="shared" si="11"/>
        <v/>
      </c>
      <c r="AO11" t="str">
        <f t="shared" si="12"/>
        <v/>
      </c>
      <c r="AP11" t="str">
        <f t="shared" si="13"/>
        <v/>
      </c>
      <c r="AQ11" t="str">
        <f t="shared" si="14"/>
        <v/>
      </c>
      <c r="AR11" t="str">
        <f t="shared" si="15"/>
        <v/>
      </c>
      <c r="AS11" t="str">
        <f t="shared" si="16"/>
        <v/>
      </c>
      <c r="AT11" t="str">
        <f t="shared" si="17"/>
        <v/>
      </c>
      <c r="AU11" t="str">
        <f t="shared" si="18"/>
        <v/>
      </c>
      <c r="AV11" t="str">
        <f t="shared" si="19"/>
        <v/>
      </c>
      <c r="AW11" t="str">
        <f t="shared" si="20"/>
        <v/>
      </c>
      <c r="AX11" t="str">
        <f t="shared" si="21"/>
        <v/>
      </c>
      <c r="AY11" t="str">
        <f t="shared" si="22"/>
        <v/>
      </c>
      <c r="AZ11" t="str">
        <f t="shared" si="23"/>
        <v/>
      </c>
      <c r="BA11" t="str">
        <f t="shared" si="24"/>
        <v/>
      </c>
      <c r="BB11" t="str">
        <f t="shared" si="25"/>
        <v/>
      </c>
      <c r="BC11" t="str">
        <f t="shared" si="26"/>
        <v/>
      </c>
      <c r="BD11" t="str">
        <f t="shared" si="27"/>
        <v/>
      </c>
      <c r="BE11" t="str">
        <f t="shared" si="28"/>
        <v/>
      </c>
      <c r="BF11" t="str">
        <f t="shared" si="29"/>
        <v/>
      </c>
      <c r="BG11" t="str">
        <f t="shared" si="30"/>
        <v/>
      </c>
      <c r="BH11" t="str">
        <f t="shared" si="31"/>
        <v/>
      </c>
    </row>
    <row r="12" spans="1:66" x14ac:dyDescent="0.2">
      <c r="A12">
        <v>9</v>
      </c>
      <c r="B12">
        <v>90</v>
      </c>
      <c r="C12" t="s">
        <v>39</v>
      </c>
      <c r="D12">
        <v>1</v>
      </c>
      <c r="E12">
        <v>1</v>
      </c>
      <c r="K12">
        <v>3</v>
      </c>
      <c r="N12">
        <v>3</v>
      </c>
      <c r="O12">
        <v>3</v>
      </c>
      <c r="S12">
        <v>1</v>
      </c>
      <c r="T12">
        <v>1</v>
      </c>
      <c r="X12">
        <f t="shared" si="33"/>
        <v>0</v>
      </c>
      <c r="Z12" t="str">
        <f t="shared" si="0"/>
        <v/>
      </c>
      <c r="AA12" t="str">
        <f t="shared" si="1"/>
        <v/>
      </c>
      <c r="AB12" t="str">
        <f t="shared" si="2"/>
        <v/>
      </c>
      <c r="AC12" t="str">
        <f t="shared" si="3"/>
        <v/>
      </c>
      <c r="AE12" t="str">
        <f t="shared" si="4"/>
        <v/>
      </c>
      <c r="AF12" t="str">
        <f t="shared" si="5"/>
        <v/>
      </c>
      <c r="AG12" t="str">
        <f t="shared" si="6"/>
        <v/>
      </c>
      <c r="AH12" t="str">
        <f t="shared" si="7"/>
        <v/>
      </c>
      <c r="AI12" t="str">
        <f t="shared" si="8"/>
        <v/>
      </c>
      <c r="AK12" t="str">
        <f t="shared" si="9"/>
        <v/>
      </c>
      <c r="AL12" t="str">
        <f t="shared" si="32"/>
        <v/>
      </c>
      <c r="AM12" t="str">
        <f t="shared" si="10"/>
        <v/>
      </c>
      <c r="AN12" t="str">
        <f t="shared" si="11"/>
        <v/>
      </c>
      <c r="AO12" t="str">
        <f t="shared" si="12"/>
        <v/>
      </c>
      <c r="AP12" t="str">
        <f t="shared" si="13"/>
        <v/>
      </c>
      <c r="AQ12" t="str">
        <f t="shared" si="14"/>
        <v/>
      </c>
      <c r="AR12" t="str">
        <f t="shared" si="15"/>
        <v/>
      </c>
      <c r="AS12" t="str">
        <f t="shared" si="16"/>
        <v/>
      </c>
      <c r="AT12" t="str">
        <f t="shared" si="17"/>
        <v/>
      </c>
      <c r="AU12" t="str">
        <f t="shared" si="18"/>
        <v/>
      </c>
      <c r="AV12" t="str">
        <f t="shared" si="19"/>
        <v/>
      </c>
      <c r="AW12" t="str">
        <f t="shared" si="20"/>
        <v/>
      </c>
      <c r="AX12" t="str">
        <f t="shared" si="21"/>
        <v/>
      </c>
      <c r="AY12" t="str">
        <f t="shared" si="22"/>
        <v/>
      </c>
      <c r="AZ12" t="str">
        <f t="shared" si="23"/>
        <v/>
      </c>
      <c r="BA12" t="str">
        <f t="shared" si="24"/>
        <v/>
      </c>
      <c r="BB12" t="str">
        <f t="shared" si="25"/>
        <v/>
      </c>
      <c r="BC12" t="str">
        <f t="shared" si="26"/>
        <v/>
      </c>
      <c r="BD12" t="str">
        <f t="shared" si="27"/>
        <v/>
      </c>
      <c r="BE12" t="str">
        <f t="shared" si="28"/>
        <v/>
      </c>
      <c r="BF12" t="str">
        <f t="shared" si="29"/>
        <v/>
      </c>
      <c r="BG12" t="str">
        <f t="shared" si="30"/>
        <v/>
      </c>
      <c r="BH12" t="str">
        <f t="shared" si="31"/>
        <v/>
      </c>
    </row>
    <row r="13" spans="1:66" x14ac:dyDescent="0.2">
      <c r="A13">
        <v>10</v>
      </c>
      <c r="B13">
        <v>98</v>
      </c>
      <c r="C13" t="s">
        <v>207</v>
      </c>
      <c r="D13">
        <v>1</v>
      </c>
      <c r="M13">
        <v>2</v>
      </c>
      <c r="N13">
        <v>3</v>
      </c>
      <c r="O13">
        <v>3</v>
      </c>
      <c r="S13">
        <v>1</v>
      </c>
      <c r="T13">
        <v>1</v>
      </c>
      <c r="U13">
        <v>4</v>
      </c>
      <c r="X13">
        <f t="shared" si="33"/>
        <v>0</v>
      </c>
      <c r="Z13" t="str">
        <f t="shared" si="0"/>
        <v/>
      </c>
      <c r="AA13" t="str">
        <f t="shared" si="1"/>
        <v/>
      </c>
      <c r="AB13" t="str">
        <f t="shared" si="2"/>
        <v/>
      </c>
      <c r="AC13" t="str">
        <f t="shared" si="3"/>
        <v/>
      </c>
      <c r="AE13" t="str">
        <f t="shared" si="4"/>
        <v>1</v>
      </c>
      <c r="AF13" t="str">
        <f t="shared" si="5"/>
        <v/>
      </c>
      <c r="AG13" t="str">
        <f t="shared" si="6"/>
        <v/>
      </c>
      <c r="AH13" t="str">
        <f t="shared" si="7"/>
        <v/>
      </c>
      <c r="AI13" t="str">
        <f t="shared" si="8"/>
        <v/>
      </c>
      <c r="AK13" t="str">
        <f t="shared" si="9"/>
        <v/>
      </c>
      <c r="AL13" t="str">
        <f t="shared" si="32"/>
        <v/>
      </c>
      <c r="AM13" t="str">
        <f t="shared" si="10"/>
        <v/>
      </c>
      <c r="AN13" t="str">
        <f t="shared" si="11"/>
        <v/>
      </c>
      <c r="AO13" t="str">
        <f t="shared" si="12"/>
        <v/>
      </c>
      <c r="AP13" t="str">
        <f t="shared" si="13"/>
        <v/>
      </c>
      <c r="AQ13" t="str">
        <f t="shared" si="14"/>
        <v/>
      </c>
      <c r="AR13" t="str">
        <f t="shared" si="15"/>
        <v/>
      </c>
      <c r="AS13" t="str">
        <f t="shared" si="16"/>
        <v/>
      </c>
      <c r="AT13" t="str">
        <f t="shared" si="17"/>
        <v/>
      </c>
      <c r="AU13" t="str">
        <f t="shared" si="18"/>
        <v/>
      </c>
      <c r="AV13" t="str">
        <f t="shared" si="19"/>
        <v/>
      </c>
      <c r="AW13" t="str">
        <f t="shared" si="20"/>
        <v/>
      </c>
      <c r="AX13" t="str">
        <f t="shared" si="21"/>
        <v/>
      </c>
      <c r="AY13" t="str">
        <f t="shared" si="22"/>
        <v/>
      </c>
      <c r="AZ13" t="str">
        <f t="shared" si="23"/>
        <v/>
      </c>
      <c r="BA13" t="str">
        <f t="shared" si="24"/>
        <v/>
      </c>
      <c r="BB13" t="str">
        <f t="shared" si="25"/>
        <v/>
      </c>
      <c r="BC13" t="str">
        <f t="shared" si="26"/>
        <v/>
      </c>
      <c r="BD13" t="str">
        <f t="shared" si="27"/>
        <v/>
      </c>
      <c r="BE13" t="str">
        <f t="shared" si="28"/>
        <v/>
      </c>
      <c r="BF13" t="str">
        <f t="shared" si="29"/>
        <v/>
      </c>
      <c r="BG13" t="str">
        <f t="shared" si="30"/>
        <v/>
      </c>
      <c r="BH13" t="str">
        <f t="shared" si="31"/>
        <v/>
      </c>
    </row>
    <row r="14" spans="1:66" x14ac:dyDescent="0.2">
      <c r="A14">
        <v>11</v>
      </c>
      <c r="B14">
        <v>105</v>
      </c>
      <c r="C14" t="s">
        <v>207</v>
      </c>
      <c r="D14">
        <v>1</v>
      </c>
      <c r="K14">
        <v>3</v>
      </c>
      <c r="M14">
        <v>3</v>
      </c>
      <c r="N14">
        <v>7</v>
      </c>
      <c r="O14">
        <v>7</v>
      </c>
      <c r="S14">
        <v>1</v>
      </c>
      <c r="T14">
        <v>1</v>
      </c>
      <c r="X14">
        <f t="shared" si="33"/>
        <v>0</v>
      </c>
      <c r="Z14" t="s">
        <v>31</v>
      </c>
      <c r="AE14" t="s">
        <v>34</v>
      </c>
      <c r="AK14" t="s">
        <v>43</v>
      </c>
      <c r="AP14" t="s">
        <v>84</v>
      </c>
    </row>
    <row r="15" spans="1:66" x14ac:dyDescent="0.2">
      <c r="A15">
        <v>12</v>
      </c>
      <c r="B15">
        <v>119</v>
      </c>
      <c r="C15" t="s">
        <v>207</v>
      </c>
      <c r="D15">
        <v>1</v>
      </c>
      <c r="J15">
        <v>1</v>
      </c>
      <c r="K15">
        <v>4</v>
      </c>
      <c r="M15">
        <v>1</v>
      </c>
      <c r="N15">
        <v>6</v>
      </c>
      <c r="O15">
        <v>6</v>
      </c>
      <c r="S15">
        <v>1</v>
      </c>
      <c r="T15">
        <v>1</v>
      </c>
      <c r="X15">
        <f t="shared" si="33"/>
        <v>0</v>
      </c>
      <c r="Z15" t="s">
        <v>21</v>
      </c>
      <c r="AA15" t="s">
        <v>22</v>
      </c>
      <c r="AE15" t="s">
        <v>21</v>
      </c>
      <c r="AF15" t="s">
        <v>22</v>
      </c>
      <c r="AG15" t="s">
        <v>35</v>
      </c>
      <c r="AK15" t="s">
        <v>10</v>
      </c>
      <c r="AL15" t="s">
        <v>25</v>
      </c>
      <c r="AM15" t="s">
        <v>26</v>
      </c>
      <c r="AN15" t="s">
        <v>27</v>
      </c>
      <c r="AP15" t="s">
        <v>15</v>
      </c>
      <c r="AQ15" t="s">
        <v>85</v>
      </c>
    </row>
    <row r="16" spans="1:66" x14ac:dyDescent="0.2">
      <c r="A16" t="s">
        <v>28</v>
      </c>
      <c r="D16">
        <f>SUM(D4:D15)</f>
        <v>11</v>
      </c>
      <c r="E16">
        <f>SUM(E4:E15)</f>
        <v>4</v>
      </c>
      <c r="F16">
        <f>SUM(F4:F15)</f>
        <v>0</v>
      </c>
      <c r="G16">
        <f>SUM(G4:G15)</f>
        <v>0</v>
      </c>
      <c r="H16">
        <f>SUM(H4:H15)</f>
        <v>0</v>
      </c>
      <c r="K16">
        <f>SUM(K4:K15)</f>
        <v>36</v>
      </c>
      <c r="L16">
        <f>SUM(L4:L15)</f>
        <v>0</v>
      </c>
      <c r="M16">
        <f>SUM(M4:M15)</f>
        <v>10</v>
      </c>
      <c r="N16">
        <f>SUM(N4:N15)</f>
        <v>52</v>
      </c>
      <c r="O16">
        <f>SUM(O4:O15)</f>
        <v>51</v>
      </c>
      <c r="Q16">
        <f t="shared" ref="Q16:R16" si="34">SUM(Q4:Q15)</f>
        <v>0</v>
      </c>
      <c r="R16">
        <f t="shared" si="34"/>
        <v>0</v>
      </c>
      <c r="S16">
        <f>SUM(S4:S15)</f>
        <v>12</v>
      </c>
      <c r="T16">
        <f>SUM(T4:T15)</f>
        <v>11</v>
      </c>
      <c r="U16">
        <f>SUM(U4:U15)</f>
        <v>75</v>
      </c>
      <c r="V16">
        <f>SUM(V4:V15)</f>
        <v>0</v>
      </c>
      <c r="W16">
        <f>SUM(W4:W15)</f>
        <v>0</v>
      </c>
      <c r="Z16">
        <f t="shared" ref="Z16:Z27" si="35">COUNTIF(Z2:AC2, "3")*COUNTIF(C4, "r")+COUNTIF(Z2:AC2, "5")*COUNTIF(C4, "b")</f>
        <v>0</v>
      </c>
      <c r="AA16">
        <f t="shared" ref="AA16:AA27" si="36">COUNTIF(Z2:AC2, "1")+COUNTIF(Z2:AC2, "2")+COUNTIF(Z2:AC2, "4")</f>
        <v>0</v>
      </c>
      <c r="AE16">
        <f t="shared" ref="AE16:AE27" si="37">COUNTIF(AE2:AI2, "3")*COUNTIF(C4, "r") + COUNTIF(AE2:AI2, "5")*COUNTIF(C4, "b")</f>
        <v>0</v>
      </c>
      <c r="AF16">
        <f t="shared" ref="AF16:AF27" si="38">COUNTIF(AE2:AI2, "1")+COUNTIF(AE2:AI2, "2")+COUNTIF(AE2:AI2, "4")</f>
        <v>0</v>
      </c>
      <c r="AG16">
        <f t="shared" ref="AG16:AG27" si="39">COUNTIF(AE2:AI2, "3")*COUNTIF(AE2:AI2, "b")+COUNTIF(AE2:AI2, "5")*COUNTIF(AE2:AI2, "r")</f>
        <v>0</v>
      </c>
      <c r="AK16">
        <f t="shared" ref="AK16:AK27" si="40">SUMPRODUCT(LEN($AK2:$BH2) - LEN(SUBSTITUTE($AK2:$BH2, "g", "")))</f>
        <v>0</v>
      </c>
      <c r="AL16">
        <f t="shared" ref="AL16:AL27" si="41">SUMPRODUCT(LEN($AK2:$BH2) - LEN(SUBSTITUTE($AK2:$BH2, "h", "")))</f>
        <v>0</v>
      </c>
      <c r="AM16">
        <f t="shared" ref="AM16:AM27" si="42">SUMPRODUCT(LEN($AK2:$BH2) - LEN(SUBSTITUTE($AK2:$BH2, "v", "")))</f>
        <v>0</v>
      </c>
      <c r="AN16">
        <f t="shared" ref="AN16:AN27" si="43">SUMPRODUCT(LEN($AK2:$BH2) - LEN(SUBSTITUTE($AK2:$BH2, "r", "")))</f>
        <v>0</v>
      </c>
      <c r="AP16">
        <f>MAX(AQ16:BN16)</f>
        <v>0</v>
      </c>
      <c r="AQ16" s="4">
        <f>_xlfn.NUMBERVALUE(RIGHT(AK2,1))</f>
        <v>0</v>
      </c>
      <c r="AR16" s="4">
        <f t="shared" ref="AR16:BG27" si="44">_xlfn.NUMBERVALUE(RIGHT(AL2,1))</f>
        <v>0</v>
      </c>
      <c r="AS16" s="4">
        <f t="shared" si="44"/>
        <v>0</v>
      </c>
      <c r="AT16" s="4">
        <f t="shared" si="44"/>
        <v>0</v>
      </c>
      <c r="AU16" s="4">
        <f t="shared" si="44"/>
        <v>0</v>
      </c>
      <c r="AV16" s="4">
        <f t="shared" si="44"/>
        <v>0</v>
      </c>
      <c r="AW16" s="4">
        <f t="shared" si="44"/>
        <v>0</v>
      </c>
      <c r="AX16" s="4">
        <f t="shared" si="44"/>
        <v>0</v>
      </c>
      <c r="AY16" s="4">
        <f t="shared" si="44"/>
        <v>0</v>
      </c>
      <c r="AZ16" s="4">
        <f t="shared" si="44"/>
        <v>0</v>
      </c>
      <c r="BA16" s="4">
        <f t="shared" si="44"/>
        <v>0</v>
      </c>
      <c r="BB16" s="4">
        <f t="shared" si="44"/>
        <v>0</v>
      </c>
      <c r="BC16" s="4">
        <f t="shared" si="44"/>
        <v>0</v>
      </c>
      <c r="BD16" s="4">
        <f t="shared" si="44"/>
        <v>0</v>
      </c>
      <c r="BE16" s="4">
        <f t="shared" si="44"/>
        <v>0</v>
      </c>
      <c r="BF16" s="4">
        <f t="shared" si="44"/>
        <v>0</v>
      </c>
      <c r="BG16" s="4">
        <f t="shared" si="44"/>
        <v>0</v>
      </c>
      <c r="BH16" s="4">
        <f t="shared" ref="BH16:BN27" si="45">_xlfn.NUMBERVALUE(RIGHT(BB2,1))</f>
        <v>0</v>
      </c>
      <c r="BI16" s="4">
        <f t="shared" si="45"/>
        <v>0</v>
      </c>
      <c r="BJ16" s="4">
        <f t="shared" si="45"/>
        <v>0</v>
      </c>
      <c r="BK16" s="4">
        <f t="shared" si="45"/>
        <v>0</v>
      </c>
      <c r="BL16" s="4">
        <f t="shared" si="45"/>
        <v>0</v>
      </c>
      <c r="BM16" s="4">
        <f t="shared" si="45"/>
        <v>0</v>
      </c>
      <c r="BN16" s="4">
        <f t="shared" si="45"/>
        <v>0</v>
      </c>
    </row>
    <row r="17" spans="1:66" x14ac:dyDescent="0.2">
      <c r="A17" s="1" t="s">
        <v>20</v>
      </c>
      <c r="D17" s="1" t="s">
        <v>49</v>
      </c>
      <c r="G17" s="1" t="s">
        <v>52</v>
      </c>
      <c r="K17" s="3" t="s">
        <v>74</v>
      </c>
      <c r="P17" s="1" t="s">
        <v>66</v>
      </c>
      <c r="Z17">
        <f t="shared" si="35"/>
        <v>0</v>
      </c>
      <c r="AA17">
        <f t="shared" si="36"/>
        <v>0</v>
      </c>
      <c r="AE17">
        <f t="shared" si="37"/>
        <v>0</v>
      </c>
      <c r="AF17">
        <f t="shared" si="38"/>
        <v>0</v>
      </c>
      <c r="AG17">
        <f t="shared" si="39"/>
        <v>0</v>
      </c>
      <c r="AK17">
        <f t="shared" si="40"/>
        <v>0</v>
      </c>
      <c r="AL17">
        <f t="shared" si="41"/>
        <v>0</v>
      </c>
      <c r="AM17">
        <f t="shared" si="42"/>
        <v>0</v>
      </c>
      <c r="AN17">
        <f t="shared" si="43"/>
        <v>0</v>
      </c>
      <c r="AP17">
        <f t="shared" ref="AP17:AP27" si="46">MAX(AQ17:BN17)</f>
        <v>0</v>
      </c>
      <c r="AQ17" s="4">
        <f t="shared" ref="AQ17:AQ27" si="47">_xlfn.NUMBERVALUE(RIGHT(AK3,1))</f>
        <v>0</v>
      </c>
      <c r="AR17" s="4">
        <f t="shared" si="44"/>
        <v>0</v>
      </c>
      <c r="AS17" s="4">
        <f t="shared" si="44"/>
        <v>0</v>
      </c>
      <c r="AT17" s="4">
        <f t="shared" si="44"/>
        <v>0</v>
      </c>
      <c r="AU17" s="4">
        <f t="shared" si="44"/>
        <v>0</v>
      </c>
      <c r="AV17" s="4">
        <f t="shared" si="44"/>
        <v>0</v>
      </c>
      <c r="AW17" s="4">
        <f t="shared" si="44"/>
        <v>0</v>
      </c>
      <c r="AX17" s="4">
        <f t="shared" si="44"/>
        <v>0</v>
      </c>
      <c r="AY17" s="4">
        <f t="shared" si="44"/>
        <v>0</v>
      </c>
      <c r="AZ17" s="4">
        <f t="shared" si="44"/>
        <v>0</v>
      </c>
      <c r="BA17" s="4">
        <f t="shared" si="44"/>
        <v>0</v>
      </c>
      <c r="BB17" s="4">
        <f t="shared" si="44"/>
        <v>0</v>
      </c>
      <c r="BC17" s="4">
        <f t="shared" si="44"/>
        <v>0</v>
      </c>
      <c r="BD17" s="4">
        <f t="shared" si="44"/>
        <v>0</v>
      </c>
      <c r="BE17" s="4">
        <f t="shared" si="44"/>
        <v>0</v>
      </c>
      <c r="BF17" s="4">
        <f t="shared" si="44"/>
        <v>0</v>
      </c>
      <c r="BG17" s="4">
        <f t="shared" si="44"/>
        <v>0</v>
      </c>
      <c r="BH17" s="4">
        <f t="shared" si="45"/>
        <v>0</v>
      </c>
      <c r="BI17" s="4">
        <f t="shared" si="45"/>
        <v>0</v>
      </c>
      <c r="BJ17" s="4">
        <f t="shared" si="45"/>
        <v>0</v>
      </c>
      <c r="BK17" s="4">
        <f t="shared" si="45"/>
        <v>0</v>
      </c>
      <c r="BL17" s="4">
        <f t="shared" si="45"/>
        <v>0</v>
      </c>
      <c r="BM17" s="4">
        <f t="shared" si="45"/>
        <v>0</v>
      </c>
      <c r="BN17" s="4">
        <f t="shared" si="45"/>
        <v>0</v>
      </c>
    </row>
    <row r="18" spans="1:66" x14ac:dyDescent="0.2">
      <c r="A18" t="s">
        <v>32</v>
      </c>
      <c r="B18" t="s">
        <v>21</v>
      </c>
      <c r="D18" t="s">
        <v>180</v>
      </c>
      <c r="G18" s="3" t="s">
        <v>53</v>
      </c>
      <c r="K18" t="s">
        <v>55</v>
      </c>
      <c r="M18" t="s">
        <v>65</v>
      </c>
      <c r="P18" t="s">
        <v>67</v>
      </c>
      <c r="Z18">
        <f t="shared" si="35"/>
        <v>0</v>
      </c>
      <c r="AA18">
        <f t="shared" si="36"/>
        <v>0</v>
      </c>
      <c r="AE18">
        <f t="shared" si="37"/>
        <v>0</v>
      </c>
      <c r="AF18">
        <f t="shared" si="38"/>
        <v>0</v>
      </c>
      <c r="AG18">
        <f t="shared" si="39"/>
        <v>0</v>
      </c>
      <c r="AK18">
        <f t="shared" si="40"/>
        <v>0</v>
      </c>
      <c r="AL18">
        <f t="shared" si="41"/>
        <v>0</v>
      </c>
      <c r="AM18">
        <f t="shared" si="42"/>
        <v>0</v>
      </c>
      <c r="AN18">
        <f t="shared" si="43"/>
        <v>0</v>
      </c>
      <c r="AP18">
        <f t="shared" si="46"/>
        <v>0</v>
      </c>
      <c r="AQ18" s="4">
        <f t="shared" si="47"/>
        <v>0</v>
      </c>
      <c r="AR18" s="4">
        <f t="shared" si="44"/>
        <v>0</v>
      </c>
      <c r="AS18" s="4">
        <f t="shared" si="44"/>
        <v>0</v>
      </c>
      <c r="AT18" s="4">
        <f t="shared" si="44"/>
        <v>0</v>
      </c>
      <c r="AU18" s="4">
        <f t="shared" si="44"/>
        <v>0</v>
      </c>
      <c r="AV18" s="4">
        <f t="shared" si="44"/>
        <v>0</v>
      </c>
      <c r="AW18" s="4">
        <f t="shared" si="44"/>
        <v>0</v>
      </c>
      <c r="AX18" s="4">
        <f t="shared" si="44"/>
        <v>0</v>
      </c>
      <c r="AY18" s="4">
        <f t="shared" si="44"/>
        <v>0</v>
      </c>
      <c r="AZ18" s="4">
        <f t="shared" si="44"/>
        <v>0</v>
      </c>
      <c r="BA18" s="4">
        <f t="shared" si="44"/>
        <v>0</v>
      </c>
      <c r="BB18" s="4">
        <f t="shared" si="44"/>
        <v>0</v>
      </c>
      <c r="BC18" s="4">
        <f t="shared" si="44"/>
        <v>0</v>
      </c>
      <c r="BD18" s="4">
        <f t="shared" si="44"/>
        <v>0</v>
      </c>
      <c r="BE18" s="4">
        <f t="shared" si="44"/>
        <v>0</v>
      </c>
      <c r="BF18" s="4">
        <f t="shared" si="44"/>
        <v>0</v>
      </c>
      <c r="BG18" s="4">
        <f t="shared" si="44"/>
        <v>0</v>
      </c>
      <c r="BH18" s="4">
        <f t="shared" si="45"/>
        <v>0</v>
      </c>
      <c r="BI18" s="4">
        <f t="shared" si="45"/>
        <v>0</v>
      </c>
      <c r="BJ18" s="4">
        <f t="shared" si="45"/>
        <v>0</v>
      </c>
      <c r="BK18" s="4">
        <f t="shared" si="45"/>
        <v>0</v>
      </c>
      <c r="BL18" s="4">
        <f t="shared" si="45"/>
        <v>0</v>
      </c>
      <c r="BM18" s="4">
        <f t="shared" si="45"/>
        <v>0</v>
      </c>
      <c r="BN18" s="4">
        <f t="shared" si="45"/>
        <v>0</v>
      </c>
    </row>
    <row r="19" spans="1:66" x14ac:dyDescent="0.2">
      <c r="A19" t="s">
        <v>40</v>
      </c>
      <c r="B19" t="s">
        <v>22</v>
      </c>
      <c r="D19">
        <f>E16/D16</f>
        <v>0.36363636363636365</v>
      </c>
      <c r="G19" t="s">
        <v>75</v>
      </c>
      <c r="K19">
        <f>O16/N16</f>
        <v>0.98076923076923073</v>
      </c>
      <c r="M19">
        <f>SUM(M39:M50)</f>
        <v>-5</v>
      </c>
      <c r="P19">
        <f>T16/S16</f>
        <v>0.91666666666666663</v>
      </c>
      <c r="Z19">
        <f t="shared" si="35"/>
        <v>0</v>
      </c>
      <c r="AA19">
        <f t="shared" si="36"/>
        <v>0</v>
      </c>
      <c r="AE19">
        <f t="shared" si="37"/>
        <v>0</v>
      </c>
      <c r="AF19">
        <f t="shared" si="38"/>
        <v>0</v>
      </c>
      <c r="AG19">
        <f t="shared" si="39"/>
        <v>0</v>
      </c>
      <c r="AK19">
        <f t="shared" si="40"/>
        <v>0</v>
      </c>
      <c r="AL19">
        <f t="shared" si="41"/>
        <v>0</v>
      </c>
      <c r="AM19">
        <f t="shared" si="42"/>
        <v>0</v>
      </c>
      <c r="AN19">
        <f t="shared" si="43"/>
        <v>0</v>
      </c>
      <c r="AP19">
        <f t="shared" si="46"/>
        <v>0</v>
      </c>
      <c r="AQ19" s="4">
        <f t="shared" si="47"/>
        <v>0</v>
      </c>
      <c r="AR19" s="4">
        <f t="shared" si="44"/>
        <v>0</v>
      </c>
      <c r="AS19" s="4">
        <f t="shared" si="44"/>
        <v>0</v>
      </c>
      <c r="AT19" s="4">
        <f t="shared" si="44"/>
        <v>0</v>
      </c>
      <c r="AU19" s="4">
        <f t="shared" si="44"/>
        <v>0</v>
      </c>
      <c r="AV19" s="4">
        <f t="shared" si="44"/>
        <v>0</v>
      </c>
      <c r="AW19" s="4">
        <f t="shared" si="44"/>
        <v>0</v>
      </c>
      <c r="AX19" s="4">
        <f t="shared" si="44"/>
        <v>0</v>
      </c>
      <c r="AY19" s="4">
        <f t="shared" si="44"/>
        <v>0</v>
      </c>
      <c r="AZ19" s="4">
        <f t="shared" si="44"/>
        <v>0</v>
      </c>
      <c r="BA19" s="4">
        <f t="shared" si="44"/>
        <v>0</v>
      </c>
      <c r="BB19" s="4">
        <f t="shared" si="44"/>
        <v>0</v>
      </c>
      <c r="BC19" s="4">
        <f t="shared" si="44"/>
        <v>0</v>
      </c>
      <c r="BD19" s="4">
        <f t="shared" si="44"/>
        <v>0</v>
      </c>
      <c r="BE19" s="4">
        <f t="shared" si="44"/>
        <v>0</v>
      </c>
      <c r="BF19" s="4">
        <f t="shared" si="44"/>
        <v>0</v>
      </c>
      <c r="BG19" s="4">
        <f t="shared" si="44"/>
        <v>0</v>
      </c>
      <c r="BH19" s="4">
        <f t="shared" si="45"/>
        <v>0</v>
      </c>
      <c r="BI19" s="4">
        <f t="shared" si="45"/>
        <v>0</v>
      </c>
      <c r="BJ19" s="4">
        <f t="shared" si="45"/>
        <v>0</v>
      </c>
      <c r="BK19" s="4">
        <f t="shared" si="45"/>
        <v>0</v>
      </c>
      <c r="BL19" s="4">
        <f t="shared" si="45"/>
        <v>0</v>
      </c>
      <c r="BM19" s="4">
        <f t="shared" si="45"/>
        <v>0</v>
      </c>
      <c r="BN19" s="4">
        <f t="shared" si="45"/>
        <v>0</v>
      </c>
    </row>
    <row r="20" spans="1:66" x14ac:dyDescent="0.2">
      <c r="A20" t="s">
        <v>41</v>
      </c>
      <c r="B20" t="s">
        <v>23</v>
      </c>
      <c r="D20" t="s">
        <v>47</v>
      </c>
      <c r="G20" t="e">
        <f>AK28/AP28</f>
        <v>#DIV/0!</v>
      </c>
      <c r="K20" t="s">
        <v>13</v>
      </c>
      <c r="Z20">
        <f t="shared" si="35"/>
        <v>0</v>
      </c>
      <c r="AA20">
        <f t="shared" si="36"/>
        <v>0</v>
      </c>
      <c r="AE20">
        <f t="shared" si="37"/>
        <v>0</v>
      </c>
      <c r="AF20">
        <f t="shared" si="38"/>
        <v>0</v>
      </c>
      <c r="AG20">
        <f t="shared" si="39"/>
        <v>0</v>
      </c>
      <c r="AK20">
        <f t="shared" si="40"/>
        <v>0</v>
      </c>
      <c r="AL20">
        <f t="shared" si="41"/>
        <v>0</v>
      </c>
      <c r="AM20">
        <f t="shared" si="42"/>
        <v>0</v>
      </c>
      <c r="AN20">
        <f t="shared" si="43"/>
        <v>0</v>
      </c>
      <c r="AP20">
        <f t="shared" si="46"/>
        <v>0</v>
      </c>
      <c r="AQ20" s="4">
        <f t="shared" si="47"/>
        <v>0</v>
      </c>
      <c r="AR20" s="4">
        <f t="shared" si="44"/>
        <v>0</v>
      </c>
      <c r="AS20" s="4">
        <f t="shared" si="44"/>
        <v>0</v>
      </c>
      <c r="AT20" s="4">
        <f t="shared" si="44"/>
        <v>0</v>
      </c>
      <c r="AU20" s="4">
        <f t="shared" si="44"/>
        <v>0</v>
      </c>
      <c r="AV20" s="4">
        <f t="shared" si="44"/>
        <v>0</v>
      </c>
      <c r="AW20" s="4">
        <f t="shared" si="44"/>
        <v>0</v>
      </c>
      <c r="AX20" s="4">
        <f t="shared" si="44"/>
        <v>0</v>
      </c>
      <c r="AY20" s="4">
        <f t="shared" si="44"/>
        <v>0</v>
      </c>
      <c r="AZ20" s="4">
        <f t="shared" si="44"/>
        <v>0</v>
      </c>
      <c r="BA20" s="4">
        <f t="shared" si="44"/>
        <v>0</v>
      </c>
      <c r="BB20" s="4">
        <f t="shared" si="44"/>
        <v>0</v>
      </c>
      <c r="BC20" s="4">
        <f t="shared" si="44"/>
        <v>0</v>
      </c>
      <c r="BD20" s="4">
        <f t="shared" si="44"/>
        <v>0</v>
      </c>
      <c r="BE20" s="4">
        <f t="shared" si="44"/>
        <v>0</v>
      </c>
      <c r="BF20" s="4">
        <f t="shared" si="44"/>
        <v>0</v>
      </c>
      <c r="BG20" s="4">
        <f t="shared" si="44"/>
        <v>0</v>
      </c>
      <c r="BH20" s="4">
        <f t="shared" si="45"/>
        <v>0</v>
      </c>
      <c r="BI20" s="4">
        <f t="shared" si="45"/>
        <v>0</v>
      </c>
      <c r="BJ20" s="4">
        <f t="shared" si="45"/>
        <v>0</v>
      </c>
      <c r="BK20" s="4">
        <f t="shared" si="45"/>
        <v>0</v>
      </c>
      <c r="BL20" s="4">
        <f t="shared" si="45"/>
        <v>0</v>
      </c>
      <c r="BM20" s="4">
        <f t="shared" si="45"/>
        <v>0</v>
      </c>
      <c r="BN20" s="4">
        <f t="shared" si="45"/>
        <v>0</v>
      </c>
    </row>
    <row r="21" spans="1:66" x14ac:dyDescent="0.2">
      <c r="A21" s="1" t="s">
        <v>24</v>
      </c>
      <c r="D21">
        <f>G16/A31</f>
        <v>0</v>
      </c>
      <c r="G21" t="s">
        <v>76</v>
      </c>
      <c r="K21" t="s">
        <v>57</v>
      </c>
      <c r="L21" t="s">
        <v>58</v>
      </c>
      <c r="M21" t="s">
        <v>59</v>
      </c>
      <c r="N21" t="s">
        <v>60</v>
      </c>
      <c r="Z21">
        <f t="shared" si="35"/>
        <v>0</v>
      </c>
      <c r="AA21">
        <f t="shared" si="36"/>
        <v>0</v>
      </c>
      <c r="AE21">
        <f t="shared" si="37"/>
        <v>0</v>
      </c>
      <c r="AF21">
        <f t="shared" si="38"/>
        <v>0</v>
      </c>
      <c r="AG21">
        <f t="shared" si="39"/>
        <v>0</v>
      </c>
      <c r="AK21">
        <f t="shared" si="40"/>
        <v>0</v>
      </c>
      <c r="AL21">
        <f t="shared" si="41"/>
        <v>0</v>
      </c>
      <c r="AM21">
        <f t="shared" si="42"/>
        <v>0</v>
      </c>
      <c r="AN21">
        <f t="shared" si="43"/>
        <v>0</v>
      </c>
      <c r="AP21">
        <f t="shared" si="46"/>
        <v>0</v>
      </c>
      <c r="AQ21" s="4">
        <f t="shared" si="47"/>
        <v>0</v>
      </c>
      <c r="AR21" s="4">
        <f t="shared" si="44"/>
        <v>0</v>
      </c>
      <c r="AS21" s="4">
        <f t="shared" si="44"/>
        <v>0</v>
      </c>
      <c r="AT21" s="4">
        <f t="shared" si="44"/>
        <v>0</v>
      </c>
      <c r="AU21" s="4">
        <f t="shared" si="44"/>
        <v>0</v>
      </c>
      <c r="AV21" s="4">
        <f t="shared" si="44"/>
        <v>0</v>
      </c>
      <c r="AW21" s="4">
        <f t="shared" si="44"/>
        <v>0</v>
      </c>
      <c r="AX21" s="4">
        <f t="shared" si="44"/>
        <v>0</v>
      </c>
      <c r="AY21" s="4">
        <f t="shared" si="44"/>
        <v>0</v>
      </c>
      <c r="AZ21" s="4">
        <f t="shared" si="44"/>
        <v>0</v>
      </c>
      <c r="BA21" s="4">
        <f t="shared" si="44"/>
        <v>0</v>
      </c>
      <c r="BB21" s="4">
        <f t="shared" si="44"/>
        <v>0</v>
      </c>
      <c r="BC21" s="4">
        <f t="shared" si="44"/>
        <v>0</v>
      </c>
      <c r="BD21" s="4">
        <f t="shared" si="44"/>
        <v>0</v>
      </c>
      <c r="BE21" s="4">
        <f t="shared" si="44"/>
        <v>0</v>
      </c>
      <c r="BF21" s="4">
        <f t="shared" si="44"/>
        <v>0</v>
      </c>
      <c r="BG21" s="4">
        <f t="shared" si="44"/>
        <v>0</v>
      </c>
      <c r="BH21" s="4">
        <f t="shared" si="45"/>
        <v>0</v>
      </c>
      <c r="BI21" s="4">
        <f t="shared" si="45"/>
        <v>0</v>
      </c>
      <c r="BJ21" s="4">
        <f t="shared" si="45"/>
        <v>0</v>
      </c>
      <c r="BK21" s="4">
        <f t="shared" si="45"/>
        <v>0</v>
      </c>
      <c r="BL21" s="4">
        <f t="shared" si="45"/>
        <v>0</v>
      </c>
      <c r="BM21" s="4">
        <f t="shared" si="45"/>
        <v>0</v>
      </c>
      <c r="BN21" s="4">
        <f t="shared" si="45"/>
        <v>0</v>
      </c>
    </row>
    <row r="22" spans="1:66" x14ac:dyDescent="0.2">
      <c r="A22" t="s">
        <v>36</v>
      </c>
      <c r="B22" t="s">
        <v>10</v>
      </c>
      <c r="D22" t="s">
        <v>48</v>
      </c>
      <c r="G22" t="e">
        <f>AL28/AP28</f>
        <v>#DIV/0!</v>
      </c>
      <c r="K22">
        <f>AVERAGE(C39:C50)</f>
        <v>4.25</v>
      </c>
      <c r="L22">
        <f>MEDIAN(C39:C50)</f>
        <v>4</v>
      </c>
      <c r="M22">
        <f>MAX(C39:C50)</f>
        <v>7</v>
      </c>
      <c r="N22">
        <f>_xlfn.STDEV.S(C39:C50)</f>
        <v>1.2880570286640687</v>
      </c>
      <c r="Z22">
        <f t="shared" si="35"/>
        <v>0</v>
      </c>
      <c r="AA22">
        <f t="shared" si="36"/>
        <v>0</v>
      </c>
      <c r="AE22">
        <f t="shared" si="37"/>
        <v>0</v>
      </c>
      <c r="AF22">
        <f t="shared" si="38"/>
        <v>0</v>
      </c>
      <c r="AG22">
        <f t="shared" si="39"/>
        <v>0</v>
      </c>
      <c r="AK22">
        <f t="shared" si="40"/>
        <v>0</v>
      </c>
      <c r="AL22">
        <f t="shared" si="41"/>
        <v>0</v>
      </c>
      <c r="AM22">
        <f t="shared" si="42"/>
        <v>0</v>
      </c>
      <c r="AN22">
        <f t="shared" si="43"/>
        <v>0</v>
      </c>
      <c r="AP22">
        <f t="shared" si="46"/>
        <v>0</v>
      </c>
      <c r="AQ22" s="4">
        <f t="shared" si="47"/>
        <v>0</v>
      </c>
      <c r="AR22" s="4">
        <f t="shared" si="44"/>
        <v>0</v>
      </c>
      <c r="AS22" s="4">
        <f t="shared" si="44"/>
        <v>0</v>
      </c>
      <c r="AT22" s="4">
        <f t="shared" si="44"/>
        <v>0</v>
      </c>
      <c r="AU22" s="4">
        <f t="shared" si="44"/>
        <v>0</v>
      </c>
      <c r="AV22" s="4">
        <f t="shared" si="44"/>
        <v>0</v>
      </c>
      <c r="AW22" s="4">
        <f t="shared" si="44"/>
        <v>0</v>
      </c>
      <c r="AX22" s="4">
        <f t="shared" si="44"/>
        <v>0</v>
      </c>
      <c r="AY22" s="4">
        <f t="shared" si="44"/>
        <v>0</v>
      </c>
      <c r="AZ22" s="4">
        <f t="shared" si="44"/>
        <v>0</v>
      </c>
      <c r="BA22" s="4">
        <f t="shared" si="44"/>
        <v>0</v>
      </c>
      <c r="BB22" s="4">
        <f t="shared" si="44"/>
        <v>0</v>
      </c>
      <c r="BC22" s="4">
        <f t="shared" si="44"/>
        <v>0</v>
      </c>
      <c r="BD22" s="4">
        <f t="shared" si="44"/>
        <v>0</v>
      </c>
      <c r="BE22" s="4">
        <f t="shared" si="44"/>
        <v>0</v>
      </c>
      <c r="BF22" s="4">
        <f t="shared" si="44"/>
        <v>0</v>
      </c>
      <c r="BG22" s="4">
        <f t="shared" si="44"/>
        <v>0</v>
      </c>
      <c r="BH22" s="4">
        <f t="shared" si="45"/>
        <v>0</v>
      </c>
      <c r="BI22" s="4">
        <f t="shared" si="45"/>
        <v>0</v>
      </c>
      <c r="BJ22" s="4">
        <f t="shared" si="45"/>
        <v>0</v>
      </c>
      <c r="BK22" s="4">
        <f t="shared" si="45"/>
        <v>0</v>
      </c>
      <c r="BL22" s="4">
        <f t="shared" si="45"/>
        <v>0</v>
      </c>
      <c r="BM22" s="4">
        <f t="shared" si="45"/>
        <v>0</v>
      </c>
      <c r="BN22" s="4">
        <f t="shared" si="45"/>
        <v>0</v>
      </c>
    </row>
    <row r="23" spans="1:66" x14ac:dyDescent="0.2">
      <c r="A23" t="s">
        <v>37</v>
      </c>
      <c r="B23" t="s">
        <v>25</v>
      </c>
      <c r="D23">
        <f>H16/A31</f>
        <v>0</v>
      </c>
      <c r="G23" t="s">
        <v>77</v>
      </c>
      <c r="K23" t="s">
        <v>8</v>
      </c>
      <c r="Z23">
        <f t="shared" si="35"/>
        <v>0</v>
      </c>
      <c r="AA23">
        <f t="shared" si="36"/>
        <v>0</v>
      </c>
      <c r="AE23">
        <f t="shared" si="37"/>
        <v>0</v>
      </c>
      <c r="AF23">
        <f t="shared" si="38"/>
        <v>0</v>
      </c>
      <c r="AG23">
        <f t="shared" si="39"/>
        <v>0</v>
      </c>
      <c r="AK23">
        <f t="shared" si="40"/>
        <v>0</v>
      </c>
      <c r="AL23">
        <f t="shared" si="41"/>
        <v>0</v>
      </c>
      <c r="AM23">
        <f t="shared" si="42"/>
        <v>0</v>
      </c>
      <c r="AN23">
        <f t="shared" si="43"/>
        <v>0</v>
      </c>
      <c r="AP23">
        <f t="shared" si="46"/>
        <v>0</v>
      </c>
      <c r="AQ23" s="4">
        <f t="shared" si="47"/>
        <v>0</v>
      </c>
      <c r="AR23" s="4">
        <f t="shared" si="44"/>
        <v>0</v>
      </c>
      <c r="AS23" s="4">
        <f t="shared" si="44"/>
        <v>0</v>
      </c>
      <c r="AT23" s="4">
        <f t="shared" si="44"/>
        <v>0</v>
      </c>
      <c r="AU23" s="4">
        <f t="shared" si="44"/>
        <v>0</v>
      </c>
      <c r="AV23" s="4">
        <f t="shared" si="44"/>
        <v>0</v>
      </c>
      <c r="AW23" s="4">
        <f t="shared" si="44"/>
        <v>0</v>
      </c>
      <c r="AX23" s="4">
        <f t="shared" si="44"/>
        <v>0</v>
      </c>
      <c r="AY23" s="4">
        <f t="shared" si="44"/>
        <v>0</v>
      </c>
      <c r="AZ23" s="4">
        <f t="shared" si="44"/>
        <v>0</v>
      </c>
      <c r="BA23" s="4">
        <f t="shared" si="44"/>
        <v>0</v>
      </c>
      <c r="BB23" s="4">
        <f t="shared" si="44"/>
        <v>0</v>
      </c>
      <c r="BC23" s="4">
        <f t="shared" si="44"/>
        <v>0</v>
      </c>
      <c r="BD23" s="4">
        <f t="shared" si="44"/>
        <v>0</v>
      </c>
      <c r="BE23" s="4">
        <f t="shared" si="44"/>
        <v>0</v>
      </c>
      <c r="BF23" s="4">
        <f t="shared" si="44"/>
        <v>0</v>
      </c>
      <c r="BG23" s="4">
        <f t="shared" si="44"/>
        <v>0</v>
      </c>
      <c r="BH23" s="4">
        <f t="shared" si="45"/>
        <v>0</v>
      </c>
      <c r="BI23" s="4">
        <f t="shared" si="45"/>
        <v>0</v>
      </c>
      <c r="BJ23" s="4">
        <f t="shared" si="45"/>
        <v>0</v>
      </c>
      <c r="BK23" s="4">
        <f t="shared" si="45"/>
        <v>0</v>
      </c>
      <c r="BL23" s="4">
        <f t="shared" si="45"/>
        <v>0</v>
      </c>
      <c r="BM23" s="4">
        <f t="shared" si="45"/>
        <v>0</v>
      </c>
      <c r="BN23" s="4">
        <f t="shared" si="45"/>
        <v>0</v>
      </c>
    </row>
    <row r="24" spans="1:66" x14ac:dyDescent="0.2">
      <c r="A24" t="s">
        <v>38</v>
      </c>
      <c r="B24" t="s">
        <v>26</v>
      </c>
      <c r="D24" t="s">
        <v>50</v>
      </c>
      <c r="G24" t="e">
        <f>AM28/AP28</f>
        <v>#DIV/0!</v>
      </c>
      <c r="K24" t="s">
        <v>57</v>
      </c>
      <c r="L24" t="s">
        <v>61</v>
      </c>
      <c r="M24" t="s">
        <v>59</v>
      </c>
      <c r="N24" t="s">
        <v>60</v>
      </c>
      <c r="Z24">
        <f t="shared" si="35"/>
        <v>0</v>
      </c>
      <c r="AA24">
        <f t="shared" si="36"/>
        <v>0</v>
      </c>
      <c r="AE24">
        <f t="shared" si="37"/>
        <v>0</v>
      </c>
      <c r="AF24">
        <f t="shared" si="38"/>
        <v>0</v>
      </c>
      <c r="AG24">
        <f t="shared" si="39"/>
        <v>0</v>
      </c>
      <c r="AK24">
        <f t="shared" si="40"/>
        <v>0</v>
      </c>
      <c r="AL24">
        <f t="shared" si="41"/>
        <v>0</v>
      </c>
      <c r="AM24">
        <f t="shared" si="42"/>
        <v>0</v>
      </c>
      <c r="AN24">
        <f t="shared" si="43"/>
        <v>0</v>
      </c>
      <c r="AP24">
        <f t="shared" si="46"/>
        <v>0</v>
      </c>
      <c r="AQ24" s="4">
        <f t="shared" si="47"/>
        <v>0</v>
      </c>
      <c r="AR24" s="4">
        <f t="shared" si="44"/>
        <v>0</v>
      </c>
      <c r="AS24" s="4">
        <f t="shared" si="44"/>
        <v>0</v>
      </c>
      <c r="AT24" s="4">
        <f t="shared" si="44"/>
        <v>0</v>
      </c>
      <c r="AU24" s="4">
        <f t="shared" si="44"/>
        <v>0</v>
      </c>
      <c r="AV24" s="4">
        <f t="shared" si="44"/>
        <v>0</v>
      </c>
      <c r="AW24" s="4">
        <f t="shared" si="44"/>
        <v>0</v>
      </c>
      <c r="AX24" s="4">
        <f t="shared" si="44"/>
        <v>0</v>
      </c>
      <c r="AY24" s="4">
        <f t="shared" si="44"/>
        <v>0</v>
      </c>
      <c r="AZ24" s="4">
        <f t="shared" si="44"/>
        <v>0</v>
      </c>
      <c r="BA24" s="4">
        <f t="shared" si="44"/>
        <v>0</v>
      </c>
      <c r="BB24" s="4">
        <f t="shared" si="44"/>
        <v>0</v>
      </c>
      <c r="BC24" s="4">
        <f t="shared" si="44"/>
        <v>0</v>
      </c>
      <c r="BD24" s="4">
        <f t="shared" si="44"/>
        <v>0</v>
      </c>
      <c r="BE24" s="4">
        <f t="shared" si="44"/>
        <v>0</v>
      </c>
      <c r="BF24" s="4">
        <f t="shared" si="44"/>
        <v>0</v>
      </c>
      <c r="BG24" s="4">
        <f t="shared" si="44"/>
        <v>0</v>
      </c>
      <c r="BH24" s="4">
        <f t="shared" si="45"/>
        <v>0</v>
      </c>
      <c r="BI24" s="4">
        <f t="shared" si="45"/>
        <v>0</v>
      </c>
      <c r="BJ24" s="4">
        <f t="shared" si="45"/>
        <v>0</v>
      </c>
      <c r="BK24" s="4">
        <f t="shared" si="45"/>
        <v>0</v>
      </c>
      <c r="BL24" s="4">
        <f t="shared" si="45"/>
        <v>0</v>
      </c>
      <c r="BM24" s="4">
        <f t="shared" si="45"/>
        <v>0</v>
      </c>
      <c r="BN24" s="4">
        <f t="shared" si="45"/>
        <v>0</v>
      </c>
    </row>
    <row r="25" spans="1:66" x14ac:dyDescent="0.2">
      <c r="A25" t="s">
        <v>39</v>
      </c>
      <c r="B25" t="s">
        <v>27</v>
      </c>
      <c r="D25">
        <f>Z28/A31</f>
        <v>0</v>
      </c>
      <c r="G25" t="s">
        <v>78</v>
      </c>
      <c r="K25">
        <f>AVERAGE(E39:E50)</f>
        <v>0</v>
      </c>
      <c r="L25">
        <f>MEDIAN(E39:E50)</f>
        <v>0</v>
      </c>
      <c r="M25">
        <f>MAX(E39:E50)</f>
        <v>0</v>
      </c>
      <c r="N25">
        <f>_xlfn.STDEV.S(E39:E50)</f>
        <v>0</v>
      </c>
      <c r="Z25">
        <f t="shared" si="35"/>
        <v>0</v>
      </c>
      <c r="AA25">
        <f t="shared" si="36"/>
        <v>0</v>
      </c>
      <c r="AE25">
        <f t="shared" si="37"/>
        <v>0</v>
      </c>
      <c r="AF25">
        <f t="shared" si="38"/>
        <v>0</v>
      </c>
      <c r="AG25">
        <f t="shared" si="39"/>
        <v>0</v>
      </c>
      <c r="AK25">
        <f t="shared" si="40"/>
        <v>0</v>
      </c>
      <c r="AL25">
        <f t="shared" si="41"/>
        <v>0</v>
      </c>
      <c r="AM25">
        <f t="shared" si="42"/>
        <v>0</v>
      </c>
      <c r="AN25">
        <f t="shared" si="43"/>
        <v>0</v>
      </c>
      <c r="AP25">
        <f t="shared" si="46"/>
        <v>0</v>
      </c>
      <c r="AQ25" s="4">
        <f t="shared" si="47"/>
        <v>0</v>
      </c>
      <c r="AR25" s="4">
        <f t="shared" si="44"/>
        <v>0</v>
      </c>
      <c r="AS25" s="4">
        <f t="shared" si="44"/>
        <v>0</v>
      </c>
      <c r="AT25" s="4">
        <f t="shared" si="44"/>
        <v>0</v>
      </c>
      <c r="AU25" s="4">
        <f t="shared" si="44"/>
        <v>0</v>
      </c>
      <c r="AV25" s="4">
        <f t="shared" si="44"/>
        <v>0</v>
      </c>
      <c r="AW25" s="4">
        <f t="shared" si="44"/>
        <v>0</v>
      </c>
      <c r="AX25" s="4">
        <f t="shared" si="44"/>
        <v>0</v>
      </c>
      <c r="AY25" s="4">
        <f t="shared" si="44"/>
        <v>0</v>
      </c>
      <c r="AZ25" s="4">
        <f t="shared" si="44"/>
        <v>0</v>
      </c>
      <c r="BA25" s="4">
        <f t="shared" si="44"/>
        <v>0</v>
      </c>
      <c r="BB25" s="4">
        <f t="shared" si="44"/>
        <v>0</v>
      </c>
      <c r="BC25" s="4">
        <f t="shared" si="44"/>
        <v>0</v>
      </c>
      <c r="BD25" s="4">
        <f t="shared" si="44"/>
        <v>0</v>
      </c>
      <c r="BE25" s="4">
        <f t="shared" si="44"/>
        <v>0</v>
      </c>
      <c r="BF25" s="4">
        <f t="shared" si="44"/>
        <v>0</v>
      </c>
      <c r="BG25" s="4">
        <f t="shared" si="44"/>
        <v>0</v>
      </c>
      <c r="BH25" s="4">
        <f t="shared" si="45"/>
        <v>0</v>
      </c>
      <c r="BI25" s="4">
        <f t="shared" si="45"/>
        <v>0</v>
      </c>
      <c r="BJ25" s="4">
        <f t="shared" si="45"/>
        <v>0</v>
      </c>
      <c r="BK25" s="4">
        <f t="shared" si="45"/>
        <v>0</v>
      </c>
      <c r="BL25" s="4">
        <f t="shared" si="45"/>
        <v>0</v>
      </c>
      <c r="BM25" s="4">
        <f t="shared" si="45"/>
        <v>0</v>
      </c>
      <c r="BN25" s="4">
        <f t="shared" si="45"/>
        <v>0</v>
      </c>
    </row>
    <row r="26" spans="1:66" x14ac:dyDescent="0.2">
      <c r="A26" t="s">
        <v>44</v>
      </c>
      <c r="D26" t="s">
        <v>51</v>
      </c>
      <c r="G26" t="e">
        <f>AN28/AP28</f>
        <v>#DIV/0!</v>
      </c>
      <c r="K26" t="s">
        <v>62</v>
      </c>
      <c r="P26" t="s">
        <v>19</v>
      </c>
      <c r="Z26">
        <f t="shared" si="35"/>
        <v>0</v>
      </c>
      <c r="AA26">
        <f t="shared" si="36"/>
        <v>0</v>
      </c>
      <c r="AE26">
        <f t="shared" si="37"/>
        <v>0</v>
      </c>
      <c r="AF26">
        <f t="shared" si="38"/>
        <v>0</v>
      </c>
      <c r="AG26">
        <f t="shared" si="39"/>
        <v>0</v>
      </c>
      <c r="AK26">
        <f t="shared" si="40"/>
        <v>0</v>
      </c>
      <c r="AL26">
        <f t="shared" si="41"/>
        <v>0</v>
      </c>
      <c r="AM26">
        <f t="shared" si="42"/>
        <v>0</v>
      </c>
      <c r="AN26">
        <f t="shared" si="43"/>
        <v>0</v>
      </c>
      <c r="AP26">
        <f t="shared" si="46"/>
        <v>0</v>
      </c>
      <c r="AQ26" s="4">
        <f t="shared" si="47"/>
        <v>0</v>
      </c>
      <c r="AR26" s="4">
        <f t="shared" si="44"/>
        <v>0</v>
      </c>
      <c r="AS26" s="4">
        <f t="shared" si="44"/>
        <v>0</v>
      </c>
      <c r="AT26" s="4">
        <f t="shared" si="44"/>
        <v>0</v>
      </c>
      <c r="AU26" s="4">
        <f t="shared" si="44"/>
        <v>0</v>
      </c>
      <c r="AV26" s="4">
        <f t="shared" si="44"/>
        <v>0</v>
      </c>
      <c r="AW26" s="4">
        <f t="shared" si="44"/>
        <v>0</v>
      </c>
      <c r="AX26" s="4">
        <f t="shared" si="44"/>
        <v>0</v>
      </c>
      <c r="AY26" s="4">
        <f t="shared" si="44"/>
        <v>0</v>
      </c>
      <c r="AZ26" s="4">
        <f t="shared" si="44"/>
        <v>0</v>
      </c>
      <c r="BA26" s="4">
        <f t="shared" si="44"/>
        <v>0</v>
      </c>
      <c r="BB26" s="4">
        <f t="shared" si="44"/>
        <v>0</v>
      </c>
      <c r="BC26" s="4">
        <f t="shared" si="44"/>
        <v>0</v>
      </c>
      <c r="BD26" s="4">
        <f t="shared" si="44"/>
        <v>0</v>
      </c>
      <c r="BE26" s="4">
        <f t="shared" si="44"/>
        <v>0</v>
      </c>
      <c r="BF26" s="4">
        <f t="shared" si="44"/>
        <v>0</v>
      </c>
      <c r="BG26" s="4">
        <f t="shared" si="44"/>
        <v>0</v>
      </c>
      <c r="BH26" s="4">
        <f t="shared" si="45"/>
        <v>0</v>
      </c>
      <c r="BI26" s="4">
        <f t="shared" si="45"/>
        <v>0</v>
      </c>
      <c r="BJ26" s="4">
        <f t="shared" si="45"/>
        <v>0</v>
      </c>
      <c r="BK26" s="4">
        <f t="shared" si="45"/>
        <v>0</v>
      </c>
      <c r="BL26" s="4">
        <f t="shared" si="45"/>
        <v>0</v>
      </c>
      <c r="BM26" s="4">
        <f t="shared" si="45"/>
        <v>0</v>
      </c>
      <c r="BN26" s="4">
        <f t="shared" si="45"/>
        <v>0</v>
      </c>
    </row>
    <row r="27" spans="1:66" x14ac:dyDescent="0.2">
      <c r="A27" t="s">
        <v>45</v>
      </c>
      <c r="D27">
        <f>AA28/A31</f>
        <v>0</v>
      </c>
      <c r="G27" t="s">
        <v>56</v>
      </c>
      <c r="K27" t="s">
        <v>57</v>
      </c>
      <c r="L27" t="s">
        <v>58</v>
      </c>
      <c r="M27" t="s">
        <v>59</v>
      </c>
      <c r="N27" t="s">
        <v>60</v>
      </c>
      <c r="P27" t="s">
        <v>57</v>
      </c>
      <c r="Q27" t="s">
        <v>58</v>
      </c>
      <c r="R27" t="s">
        <v>59</v>
      </c>
      <c r="S27" t="s">
        <v>60</v>
      </c>
      <c r="Z27">
        <f t="shared" si="35"/>
        <v>0</v>
      </c>
      <c r="AA27">
        <f t="shared" si="36"/>
        <v>0</v>
      </c>
      <c r="AE27">
        <f t="shared" si="37"/>
        <v>0</v>
      </c>
      <c r="AF27">
        <f t="shared" si="38"/>
        <v>1</v>
      </c>
      <c r="AG27">
        <f t="shared" si="39"/>
        <v>0</v>
      </c>
      <c r="AK27">
        <f t="shared" si="40"/>
        <v>0</v>
      </c>
      <c r="AL27">
        <f t="shared" si="41"/>
        <v>0</v>
      </c>
      <c r="AM27">
        <f t="shared" si="42"/>
        <v>0</v>
      </c>
      <c r="AN27">
        <f t="shared" si="43"/>
        <v>0</v>
      </c>
      <c r="AP27">
        <f t="shared" si="46"/>
        <v>0</v>
      </c>
      <c r="AQ27" s="4">
        <f t="shared" si="47"/>
        <v>0</v>
      </c>
      <c r="AR27" s="4">
        <f t="shared" si="44"/>
        <v>0</v>
      </c>
      <c r="AS27" s="4">
        <f t="shared" si="44"/>
        <v>0</v>
      </c>
      <c r="AT27" s="4">
        <f t="shared" si="44"/>
        <v>0</v>
      </c>
      <c r="AU27" s="4">
        <f t="shared" si="44"/>
        <v>0</v>
      </c>
      <c r="AV27" s="4">
        <f t="shared" si="44"/>
        <v>0</v>
      </c>
      <c r="AW27" s="4">
        <f t="shared" si="44"/>
        <v>0</v>
      </c>
      <c r="AX27" s="4">
        <f t="shared" si="44"/>
        <v>0</v>
      </c>
      <c r="AY27" s="4">
        <f t="shared" si="44"/>
        <v>0</v>
      </c>
      <c r="AZ27" s="4">
        <f t="shared" si="44"/>
        <v>0</v>
      </c>
      <c r="BA27" s="4">
        <f t="shared" si="44"/>
        <v>0</v>
      </c>
      <c r="BB27" s="4">
        <f t="shared" si="44"/>
        <v>0</v>
      </c>
      <c r="BC27" s="4">
        <f t="shared" si="44"/>
        <v>0</v>
      </c>
      <c r="BD27" s="4">
        <f t="shared" si="44"/>
        <v>0</v>
      </c>
      <c r="BE27" s="4">
        <f t="shared" si="44"/>
        <v>0</v>
      </c>
      <c r="BF27" s="4">
        <f t="shared" si="44"/>
        <v>0</v>
      </c>
      <c r="BG27" s="4">
        <f t="shared" si="44"/>
        <v>0</v>
      </c>
      <c r="BH27" s="4">
        <f t="shared" si="45"/>
        <v>0</v>
      </c>
      <c r="BI27" s="4">
        <f t="shared" si="45"/>
        <v>0</v>
      </c>
      <c r="BJ27" s="4">
        <f t="shared" si="45"/>
        <v>0</v>
      </c>
      <c r="BK27" s="4">
        <f t="shared" si="45"/>
        <v>0</v>
      </c>
      <c r="BL27" s="4">
        <f t="shared" si="45"/>
        <v>0</v>
      </c>
      <c r="BM27" s="4">
        <f t="shared" si="45"/>
        <v>0</v>
      </c>
      <c r="BN27" s="4">
        <f t="shared" si="45"/>
        <v>0</v>
      </c>
    </row>
    <row r="28" spans="1:66" x14ac:dyDescent="0.2">
      <c r="A28" t="s">
        <v>46</v>
      </c>
      <c r="D28" t="s">
        <v>202</v>
      </c>
      <c r="G28" t="s">
        <v>57</v>
      </c>
      <c r="H28" t="s">
        <v>58</v>
      </c>
      <c r="I28" t="s">
        <v>59</v>
      </c>
      <c r="J28" t="s">
        <v>60</v>
      </c>
      <c r="K28">
        <f>AVERAGE(G39:G50)</f>
        <v>0</v>
      </c>
      <c r="L28">
        <f>MEDIAN(G39:G50)</f>
        <v>0</v>
      </c>
      <c r="M28">
        <f>MAX(G39:G50)</f>
        <v>0</v>
      </c>
      <c r="N28">
        <f>_xlfn.STDEV.S(G39:G50)</f>
        <v>0</v>
      </c>
      <c r="P28">
        <f>AVERAGE(N39:N50)</f>
        <v>6.25</v>
      </c>
      <c r="Q28">
        <f>MEDIAN(N39:N50)</f>
        <v>0</v>
      </c>
      <c r="R28">
        <f>MAX(N39:N50)</f>
        <v>49</v>
      </c>
      <c r="S28">
        <f>_xlfn.STDEV.S(N39:N50)</f>
        <v>14.397758663953724</v>
      </c>
      <c r="Y28" t="s">
        <v>33</v>
      </c>
      <c r="Z28">
        <f>SUM(Z16:Z27)</f>
        <v>0</v>
      </c>
      <c r="AA28">
        <f>SUM(AA16:AA27)</f>
        <v>0</v>
      </c>
      <c r="AE28">
        <f>SUM(AE16:AE27)</f>
        <v>0</v>
      </c>
      <c r="AF28">
        <f>SUM(AF16:AF27)</f>
        <v>1</v>
      </c>
      <c r="AG28">
        <f>SUM(AG16:AG27)</f>
        <v>0</v>
      </c>
      <c r="AK28">
        <f>SUM(AK16:AK27)</f>
        <v>0</v>
      </c>
      <c r="AL28">
        <f>SUM(AL16:AL27)</f>
        <v>0</v>
      </c>
      <c r="AM28">
        <f>SUM(AM16:AM27)</f>
        <v>0</v>
      </c>
      <c r="AN28">
        <f>SUM(AN16:AN27)</f>
        <v>0</v>
      </c>
      <c r="AP28">
        <f>SUM(AP16:AP27)</f>
        <v>0</v>
      </c>
    </row>
    <row r="29" spans="1:66" x14ac:dyDescent="0.2">
      <c r="D29" t="e">
        <f>SUM(O39:O50)/F16</f>
        <v>#DIV/0!</v>
      </c>
      <c r="G29">
        <f>AVERAGE(A39:A50)</f>
        <v>8.3333333333333329E-2</v>
      </c>
      <c r="H29">
        <f>MEDIAN(A39:A50)</f>
        <v>0</v>
      </c>
      <c r="I29">
        <f>MAX(A39:A50)</f>
        <v>1</v>
      </c>
      <c r="J29">
        <f>_xlfn.STDEV.S(A39:A50)</f>
        <v>0.28867513459481287</v>
      </c>
      <c r="K29" t="s">
        <v>63</v>
      </c>
      <c r="P29" t="s">
        <v>148</v>
      </c>
    </row>
    <row r="30" spans="1:66" x14ac:dyDescent="0.2">
      <c r="A30" t="s">
        <v>147</v>
      </c>
      <c r="D30" t="s">
        <v>203</v>
      </c>
      <c r="G30" t="s">
        <v>50</v>
      </c>
      <c r="H30" t="s">
        <v>51</v>
      </c>
      <c r="I30" t="s">
        <v>89</v>
      </c>
      <c r="K30" t="s">
        <v>57</v>
      </c>
      <c r="L30" t="s">
        <v>58</v>
      </c>
      <c r="M30" t="s">
        <v>59</v>
      </c>
      <c r="N30" t="s">
        <v>60</v>
      </c>
      <c r="P30" t="s">
        <v>57</v>
      </c>
      <c r="Q30" t="s">
        <v>58</v>
      </c>
      <c r="R30" t="s">
        <v>59</v>
      </c>
      <c r="S30" t="s">
        <v>60</v>
      </c>
      <c r="W30" t="s">
        <v>148</v>
      </c>
      <c r="Y30" t="s">
        <v>149</v>
      </c>
      <c r="AH30" t="s">
        <v>79</v>
      </c>
    </row>
    <row r="31" spans="1:66" x14ac:dyDescent="0.2">
      <c r="A31">
        <f>COUNT(B4:B15)</f>
        <v>12</v>
      </c>
      <c r="D31" s="2">
        <f>SUM(S39:S50)/SUM(Q39:Q50)</f>
        <v>0.36363636363636365</v>
      </c>
      <c r="G31">
        <f>AE28/A31</f>
        <v>0</v>
      </c>
      <c r="H31">
        <f>AF28/A31</f>
        <v>8.3333333333333329E-2</v>
      </c>
      <c r="I31">
        <f>AG28/A31</f>
        <v>0</v>
      </c>
      <c r="K31" t="e">
        <f>AVERAGE(I39:I50)</f>
        <v>#DIV/0!</v>
      </c>
      <c r="L31" t="e">
        <f>MEDIAN(I39:I50)</f>
        <v>#NUM!</v>
      </c>
      <c r="M31">
        <f>MAX(I39:I50)</f>
        <v>0</v>
      </c>
      <c r="N31" t="e">
        <f>_xlfn.STDEV.S(I39:I50)</f>
        <v>#DIV/0!</v>
      </c>
      <c r="P31" t="e">
        <f>AVERAGE(W31:W42)</f>
        <v>#DIV/0!</v>
      </c>
      <c r="Q31" t="e">
        <f>MEDIAN(W31:W42)</f>
        <v>#NUM!</v>
      </c>
      <c r="R31">
        <f>MAX(W31:W42)</f>
        <v>0</v>
      </c>
      <c r="S31" t="e">
        <f>_xlfn.STDEV.S(W31:W42)</f>
        <v>#DIV/0!</v>
      </c>
      <c r="W31" t="str">
        <f t="shared" ref="W31:W33" si="48">IF(AND(ISBLANK(Q4), ISBLANK(R4), ISBLANK(G4), ISBLANK(H4)), "", U4)</f>
        <v/>
      </c>
      <c r="Y31" t="str">
        <f t="shared" ref="Y31:Y42" si="49">IF(ISBLANK(Y4), IF(X4 = 0, "", (G4 + H4/3 + V4/9 + W4/3)), U4)</f>
        <v/>
      </c>
      <c r="AH31" t="s">
        <v>80</v>
      </c>
    </row>
    <row r="32" spans="1:66" x14ac:dyDescent="0.2">
      <c r="D32" s="3"/>
      <c r="K32" t="s">
        <v>64</v>
      </c>
      <c r="P32" t="s">
        <v>149</v>
      </c>
      <c r="W32" t="str">
        <f t="shared" si="48"/>
        <v/>
      </c>
      <c r="Y32" t="str">
        <f t="shared" si="49"/>
        <v/>
      </c>
      <c r="AH32" t="s">
        <v>81</v>
      </c>
    </row>
    <row r="33" spans="1:34" x14ac:dyDescent="0.2">
      <c r="A33" t="s">
        <v>292</v>
      </c>
      <c r="D33" s="3"/>
      <c r="K33" t="s">
        <v>57</v>
      </c>
      <c r="L33" t="s">
        <v>58</v>
      </c>
      <c r="M33" t="s">
        <v>59</v>
      </c>
      <c r="N33" t="s">
        <v>60</v>
      </c>
      <c r="P33" t="s">
        <v>57</v>
      </c>
      <c r="Q33" t="s">
        <v>58</v>
      </c>
      <c r="R33" t="s">
        <v>59</v>
      </c>
      <c r="S33" t="s">
        <v>60</v>
      </c>
      <c r="W33" t="str">
        <f t="shared" si="48"/>
        <v/>
      </c>
      <c r="Y33" t="str">
        <f t="shared" si="49"/>
        <v/>
      </c>
      <c r="AH33" t="s">
        <v>82</v>
      </c>
    </row>
    <row r="34" spans="1:34" x14ac:dyDescent="0.2">
      <c r="A34" t="s">
        <v>333</v>
      </c>
      <c r="D34" s="3"/>
      <c r="K34">
        <f>AVERAGE(K39:K50)</f>
        <v>0</v>
      </c>
      <c r="L34">
        <f>MEDIAN(K39:K50)</f>
        <v>0</v>
      </c>
      <c r="M34">
        <f>MAX(K39:K50)</f>
        <v>0</v>
      </c>
      <c r="N34">
        <f>_xlfn.STDEV.S(K39:K50)</f>
        <v>0</v>
      </c>
      <c r="P34" t="e">
        <f>AVERAGE(Y31:Y42)</f>
        <v>#DIV/0!</v>
      </c>
      <c r="Q34" t="e">
        <f>MEDIAN(Y31:Y42)</f>
        <v>#NUM!</v>
      </c>
      <c r="R34">
        <f>MAX(Y31:Y42)</f>
        <v>0</v>
      </c>
      <c r="S34" t="e">
        <f>_xlfn.STDEV.S(Y31:Y42)</f>
        <v>#DIV/0!</v>
      </c>
      <c r="W34" t="str">
        <f>IF(AND(ISBLANK(Q7), ISBLANK(R7), ISBLANK(G7), ISBLANK(H7)), "", U7)</f>
        <v/>
      </c>
      <c r="Y34" t="str">
        <f t="shared" si="49"/>
        <v/>
      </c>
      <c r="AH34" t="s">
        <v>83</v>
      </c>
    </row>
    <row r="35" spans="1:34" x14ac:dyDescent="0.2">
      <c r="P35" t="s">
        <v>95</v>
      </c>
      <c r="R35" t="s">
        <v>197</v>
      </c>
      <c r="W35" t="str">
        <f t="shared" ref="W35:W42" si="50">IF(AND(ISBLANK(Q8), ISBLANK(R8), ISBLANK(G8), ISBLANK(H8)), "", U8)</f>
        <v/>
      </c>
      <c r="Y35" t="str">
        <f t="shared" si="49"/>
        <v/>
      </c>
    </row>
    <row r="36" spans="1:34" x14ac:dyDescent="0.2">
      <c r="P36" t="e">
        <f>Q16/(Q16+R16)</f>
        <v>#DIV/0!</v>
      </c>
      <c r="R36" t="e">
        <f>R16/(Q16+R16)</f>
        <v>#DIV/0!</v>
      </c>
      <c r="W36" t="str">
        <f t="shared" si="50"/>
        <v/>
      </c>
      <c r="Y36" t="str">
        <f t="shared" si="49"/>
        <v/>
      </c>
    </row>
    <row r="37" spans="1:34" x14ac:dyDescent="0.2">
      <c r="W37" t="str">
        <f t="shared" si="50"/>
        <v/>
      </c>
      <c r="Y37" t="str">
        <f t="shared" si="49"/>
        <v/>
      </c>
    </row>
    <row r="38" spans="1:34" x14ac:dyDescent="0.2">
      <c r="A38" t="s">
        <v>68</v>
      </c>
      <c r="C38" t="s">
        <v>69</v>
      </c>
      <c r="E38" t="s">
        <v>72</v>
      </c>
      <c r="G38" t="s">
        <v>250</v>
      </c>
      <c r="K38" t="s">
        <v>73</v>
      </c>
      <c r="M38" t="s">
        <v>70</v>
      </c>
      <c r="N38" t="s">
        <v>71</v>
      </c>
      <c r="O38" t="s">
        <v>199</v>
      </c>
      <c r="Q38" t="s">
        <v>200</v>
      </c>
      <c r="S38" t="s">
        <v>201</v>
      </c>
      <c r="W38" t="str">
        <f t="shared" si="50"/>
        <v/>
      </c>
      <c r="Y38" t="str">
        <f t="shared" si="49"/>
        <v/>
      </c>
    </row>
    <row r="39" spans="1:34" x14ac:dyDescent="0.2">
      <c r="A39">
        <f t="shared" ref="A39:A50" si="51">IF(ISBLANK(B4), "", SUM(AE16+AF16+AG16))</f>
        <v>0</v>
      </c>
      <c r="C39">
        <f t="shared" ref="C39:C50" si="52">IF(ISBLANK(B4), "", O4)</f>
        <v>5</v>
      </c>
      <c r="E39">
        <f t="shared" ref="E39:E50" si="53">IF(ISBLANK(B4), "", Q4)</f>
        <v>0</v>
      </c>
      <c r="G39">
        <f t="shared" ref="G39:G50" si="54">IF(ISBLANK(B4), "", R4)</f>
        <v>0</v>
      </c>
      <c r="K39">
        <f t="shared" ref="K39:K50" si="55">IF(ISBLANK(B4), "", SUM(Q4 + R4))</f>
        <v>0</v>
      </c>
      <c r="M39">
        <f t="shared" ref="M39:M50" si="56">IF(ISBLANK(B4), "", SUM(K4+M4) - O4)</f>
        <v>-1</v>
      </c>
      <c r="N39">
        <f t="shared" ref="N39:N50" si="57">IF(ISBLANK(B4), "", U4)</f>
        <v>2</v>
      </c>
      <c r="O39">
        <f t="shared" ref="O39:O50" si="58">COUNTIF(E4, "1")*COUNTIF(F4, "1")</f>
        <v>0</v>
      </c>
      <c r="Q39">
        <f t="shared" ref="Q39:Q50" si="59">COUNTIF(D4, "1")*COUNTIF(F4, "")</f>
        <v>1</v>
      </c>
      <c r="S39">
        <f t="shared" ref="S39:S50" si="60">COUNTIF(E4, "1")*COUNTIF(F4, "")</f>
        <v>0</v>
      </c>
      <c r="W39" t="str">
        <f t="shared" si="50"/>
        <v/>
      </c>
      <c r="Y39" t="str">
        <f t="shared" si="49"/>
        <v/>
      </c>
    </row>
    <row r="40" spans="1:34" x14ac:dyDescent="0.2">
      <c r="A40">
        <f t="shared" si="51"/>
        <v>0</v>
      </c>
      <c r="C40">
        <f t="shared" si="52"/>
        <v>3</v>
      </c>
      <c r="E40">
        <f t="shared" si="53"/>
        <v>0</v>
      </c>
      <c r="G40">
        <f t="shared" si="54"/>
        <v>0</v>
      </c>
      <c r="K40">
        <f t="shared" si="55"/>
        <v>0</v>
      </c>
      <c r="M40">
        <f t="shared" si="56"/>
        <v>0</v>
      </c>
      <c r="N40">
        <f t="shared" si="57"/>
        <v>18</v>
      </c>
      <c r="O40">
        <f t="shared" si="58"/>
        <v>0</v>
      </c>
      <c r="Q40">
        <f t="shared" si="59"/>
        <v>0</v>
      </c>
      <c r="S40">
        <f t="shared" si="60"/>
        <v>0</v>
      </c>
      <c r="W40" t="str">
        <f t="shared" si="50"/>
        <v/>
      </c>
      <c r="Y40" t="str">
        <f t="shared" si="49"/>
        <v/>
      </c>
    </row>
    <row r="41" spans="1:34" x14ac:dyDescent="0.2">
      <c r="A41">
        <f t="shared" si="51"/>
        <v>0</v>
      </c>
      <c r="C41">
        <f t="shared" si="52"/>
        <v>4</v>
      </c>
      <c r="E41">
        <f t="shared" si="53"/>
        <v>0</v>
      </c>
      <c r="G41">
        <f t="shared" si="54"/>
        <v>0</v>
      </c>
      <c r="K41">
        <f t="shared" si="55"/>
        <v>0</v>
      </c>
      <c r="M41">
        <f t="shared" si="56"/>
        <v>-1</v>
      </c>
      <c r="N41">
        <f t="shared" si="57"/>
        <v>0</v>
      </c>
      <c r="O41">
        <f t="shared" si="58"/>
        <v>0</v>
      </c>
      <c r="Q41">
        <f t="shared" si="59"/>
        <v>1</v>
      </c>
      <c r="S41">
        <f t="shared" si="60"/>
        <v>0</v>
      </c>
      <c r="W41" t="str">
        <f t="shared" si="50"/>
        <v/>
      </c>
      <c r="Y41" t="str">
        <f t="shared" si="49"/>
        <v/>
      </c>
    </row>
    <row r="42" spans="1:34" x14ac:dyDescent="0.2">
      <c r="A42">
        <f t="shared" si="51"/>
        <v>0</v>
      </c>
      <c r="C42">
        <f t="shared" si="52"/>
        <v>5</v>
      </c>
      <c r="E42">
        <f t="shared" si="53"/>
        <v>0</v>
      </c>
      <c r="G42">
        <f t="shared" si="54"/>
        <v>0</v>
      </c>
      <c r="K42">
        <f t="shared" si="55"/>
        <v>0</v>
      </c>
      <c r="M42">
        <f t="shared" si="56"/>
        <v>0</v>
      </c>
      <c r="N42">
        <f t="shared" si="57"/>
        <v>0</v>
      </c>
      <c r="O42">
        <f t="shared" si="58"/>
        <v>0</v>
      </c>
      <c r="Q42">
        <f t="shared" si="59"/>
        <v>1</v>
      </c>
      <c r="S42">
        <f t="shared" si="60"/>
        <v>1</v>
      </c>
      <c r="W42" t="str">
        <f t="shared" si="50"/>
        <v/>
      </c>
      <c r="Y42" t="str">
        <f t="shared" si="49"/>
        <v/>
      </c>
    </row>
    <row r="43" spans="1:34" x14ac:dyDescent="0.2">
      <c r="A43">
        <f t="shared" si="51"/>
        <v>0</v>
      </c>
      <c r="C43">
        <f t="shared" si="52"/>
        <v>3</v>
      </c>
      <c r="E43">
        <f t="shared" si="53"/>
        <v>0</v>
      </c>
      <c r="G43">
        <f t="shared" si="54"/>
        <v>0</v>
      </c>
      <c r="K43">
        <f t="shared" si="55"/>
        <v>0</v>
      </c>
      <c r="M43">
        <f t="shared" si="56"/>
        <v>1</v>
      </c>
      <c r="N43">
        <f t="shared" si="57"/>
        <v>0</v>
      </c>
      <c r="O43">
        <f t="shared" si="58"/>
        <v>0</v>
      </c>
      <c r="Q43">
        <f t="shared" si="59"/>
        <v>1</v>
      </c>
      <c r="S43">
        <f t="shared" si="60"/>
        <v>0</v>
      </c>
    </row>
    <row r="44" spans="1:34" x14ac:dyDescent="0.2">
      <c r="A44">
        <f t="shared" si="51"/>
        <v>0</v>
      </c>
      <c r="C44">
        <f t="shared" si="52"/>
        <v>4</v>
      </c>
      <c r="E44">
        <f t="shared" si="53"/>
        <v>0</v>
      </c>
      <c r="G44">
        <f t="shared" si="54"/>
        <v>0</v>
      </c>
      <c r="K44">
        <f t="shared" si="55"/>
        <v>0</v>
      </c>
      <c r="M44">
        <f t="shared" si="56"/>
        <v>0</v>
      </c>
      <c r="N44">
        <f t="shared" si="57"/>
        <v>0</v>
      </c>
      <c r="O44">
        <f t="shared" si="58"/>
        <v>0</v>
      </c>
      <c r="Q44">
        <f t="shared" si="59"/>
        <v>1</v>
      </c>
      <c r="S44">
        <f t="shared" si="60"/>
        <v>1</v>
      </c>
    </row>
    <row r="45" spans="1:34" x14ac:dyDescent="0.2">
      <c r="A45">
        <f t="shared" si="51"/>
        <v>0</v>
      </c>
      <c r="C45">
        <f t="shared" si="52"/>
        <v>4</v>
      </c>
      <c r="E45">
        <f t="shared" si="53"/>
        <v>0</v>
      </c>
      <c r="G45">
        <f t="shared" si="54"/>
        <v>0</v>
      </c>
      <c r="K45">
        <f t="shared" si="55"/>
        <v>0</v>
      </c>
      <c r="M45">
        <f t="shared" si="56"/>
        <v>-1</v>
      </c>
      <c r="N45">
        <f t="shared" si="57"/>
        <v>49</v>
      </c>
      <c r="O45">
        <f t="shared" si="58"/>
        <v>0</v>
      </c>
      <c r="Q45">
        <f t="shared" si="59"/>
        <v>1</v>
      </c>
      <c r="S45">
        <f t="shared" si="60"/>
        <v>0</v>
      </c>
    </row>
    <row r="46" spans="1:34" x14ac:dyDescent="0.2">
      <c r="A46">
        <f t="shared" si="51"/>
        <v>0</v>
      </c>
      <c r="C46">
        <f t="shared" si="52"/>
        <v>4</v>
      </c>
      <c r="E46">
        <f t="shared" si="53"/>
        <v>0</v>
      </c>
      <c r="G46">
        <f t="shared" si="54"/>
        <v>0</v>
      </c>
      <c r="K46">
        <f t="shared" si="55"/>
        <v>0</v>
      </c>
      <c r="M46">
        <f t="shared" si="56"/>
        <v>0</v>
      </c>
      <c r="N46">
        <f t="shared" si="57"/>
        <v>2</v>
      </c>
      <c r="O46">
        <f t="shared" si="58"/>
        <v>0</v>
      </c>
      <c r="Q46">
        <f t="shared" si="59"/>
        <v>1</v>
      </c>
      <c r="S46">
        <f t="shared" si="60"/>
        <v>1</v>
      </c>
    </row>
    <row r="47" spans="1:34" x14ac:dyDescent="0.2">
      <c r="A47">
        <f t="shared" si="51"/>
        <v>0</v>
      </c>
      <c r="C47">
        <f t="shared" si="52"/>
        <v>3</v>
      </c>
      <c r="E47">
        <f t="shared" si="53"/>
        <v>0</v>
      </c>
      <c r="G47">
        <f t="shared" si="54"/>
        <v>0</v>
      </c>
      <c r="K47">
        <f t="shared" si="55"/>
        <v>0</v>
      </c>
      <c r="M47">
        <f t="shared" si="56"/>
        <v>0</v>
      </c>
      <c r="N47">
        <f t="shared" si="57"/>
        <v>0</v>
      </c>
      <c r="O47">
        <f t="shared" si="58"/>
        <v>0</v>
      </c>
      <c r="Q47">
        <f t="shared" si="59"/>
        <v>1</v>
      </c>
      <c r="S47">
        <f t="shared" si="60"/>
        <v>1</v>
      </c>
    </row>
    <row r="48" spans="1:34" x14ac:dyDescent="0.2">
      <c r="A48">
        <f t="shared" si="51"/>
        <v>0</v>
      </c>
      <c r="C48">
        <f t="shared" si="52"/>
        <v>3</v>
      </c>
      <c r="E48">
        <f t="shared" si="53"/>
        <v>0</v>
      </c>
      <c r="G48">
        <f t="shared" si="54"/>
        <v>0</v>
      </c>
      <c r="K48">
        <f t="shared" si="55"/>
        <v>0</v>
      </c>
      <c r="M48">
        <f t="shared" si="56"/>
        <v>-1</v>
      </c>
      <c r="N48">
        <f t="shared" si="57"/>
        <v>4</v>
      </c>
      <c r="O48">
        <f t="shared" si="58"/>
        <v>0</v>
      </c>
      <c r="Q48">
        <f t="shared" si="59"/>
        <v>1</v>
      </c>
      <c r="S48">
        <f t="shared" si="60"/>
        <v>0</v>
      </c>
    </row>
    <row r="49" spans="1:19" x14ac:dyDescent="0.2">
      <c r="A49">
        <f t="shared" si="51"/>
        <v>0</v>
      </c>
      <c r="C49">
        <f t="shared" si="52"/>
        <v>7</v>
      </c>
      <c r="E49">
        <f t="shared" si="53"/>
        <v>0</v>
      </c>
      <c r="G49">
        <f t="shared" si="54"/>
        <v>0</v>
      </c>
      <c r="K49">
        <f t="shared" si="55"/>
        <v>0</v>
      </c>
      <c r="M49">
        <f t="shared" si="56"/>
        <v>-1</v>
      </c>
      <c r="N49">
        <f t="shared" si="57"/>
        <v>0</v>
      </c>
      <c r="O49">
        <f t="shared" si="58"/>
        <v>0</v>
      </c>
      <c r="Q49">
        <f t="shared" si="59"/>
        <v>1</v>
      </c>
      <c r="S49">
        <f t="shared" si="60"/>
        <v>0</v>
      </c>
    </row>
    <row r="50" spans="1:19" x14ac:dyDescent="0.2">
      <c r="A50">
        <f t="shared" si="51"/>
        <v>1</v>
      </c>
      <c r="C50">
        <f t="shared" si="52"/>
        <v>6</v>
      </c>
      <c r="E50">
        <f t="shared" si="53"/>
        <v>0</v>
      </c>
      <c r="G50">
        <f t="shared" si="54"/>
        <v>0</v>
      </c>
      <c r="K50">
        <f t="shared" si="55"/>
        <v>0</v>
      </c>
      <c r="M50">
        <f t="shared" si="56"/>
        <v>-1</v>
      </c>
      <c r="N50">
        <f t="shared" si="57"/>
        <v>0</v>
      </c>
      <c r="O50">
        <f t="shared" si="58"/>
        <v>0</v>
      </c>
      <c r="Q50">
        <f t="shared" si="59"/>
        <v>1</v>
      </c>
      <c r="S50">
        <f t="shared" si="60"/>
        <v>0</v>
      </c>
    </row>
  </sheetData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 enableFormatConditionsCalculation="0"/>
  <dimension ref="A1:BN50"/>
  <sheetViews>
    <sheetView topLeftCell="D1" workbookViewId="0">
      <selection activeCell="V15" sqref="V15"/>
    </sheetView>
  </sheetViews>
  <sheetFormatPr baseColWidth="10" defaultColWidth="11.5" defaultRowHeight="15" x14ac:dyDescent="0.2"/>
  <sheetData>
    <row r="1" spans="1:66" x14ac:dyDescent="0.2">
      <c r="A1" s="1" t="s">
        <v>0</v>
      </c>
      <c r="D1" t="s">
        <v>3</v>
      </c>
      <c r="K1" t="s">
        <v>11</v>
      </c>
      <c r="N1" t="s">
        <v>12</v>
      </c>
      <c r="P1" t="s">
        <v>14</v>
      </c>
      <c r="Q1" t="s">
        <v>17</v>
      </c>
      <c r="S1" t="s">
        <v>18</v>
      </c>
      <c r="Z1" t="s">
        <v>29</v>
      </c>
      <c r="AE1" t="s">
        <v>30</v>
      </c>
      <c r="AK1" t="s">
        <v>42</v>
      </c>
    </row>
    <row r="2" spans="1:66" x14ac:dyDescent="0.2">
      <c r="A2" t="s">
        <v>1</v>
      </c>
      <c r="B2" t="s">
        <v>1</v>
      </c>
      <c r="C2" t="s">
        <v>87</v>
      </c>
      <c r="D2" t="s">
        <v>54</v>
      </c>
      <c r="E2" t="s">
        <v>13</v>
      </c>
      <c r="F2" t="s">
        <v>198</v>
      </c>
      <c r="G2" t="s">
        <v>7</v>
      </c>
      <c r="H2" t="s">
        <v>8</v>
      </c>
      <c r="I2" t="s">
        <v>179</v>
      </c>
      <c r="J2" t="s">
        <v>178</v>
      </c>
      <c r="K2" t="s">
        <v>9</v>
      </c>
      <c r="L2" t="s">
        <v>196</v>
      </c>
      <c r="M2" t="s">
        <v>10</v>
      </c>
      <c r="N2" t="s">
        <v>54</v>
      </c>
      <c r="O2" t="s">
        <v>13</v>
      </c>
      <c r="P2" t="s">
        <v>15</v>
      </c>
      <c r="Q2" t="s">
        <v>8</v>
      </c>
      <c r="R2" t="s">
        <v>7</v>
      </c>
      <c r="S2" t="s">
        <v>181</v>
      </c>
      <c r="T2" t="s">
        <v>182</v>
      </c>
      <c r="U2" t="s">
        <v>19</v>
      </c>
      <c r="V2" t="s">
        <v>191</v>
      </c>
      <c r="W2" t="s">
        <v>192</v>
      </c>
      <c r="X2" t="s">
        <v>175</v>
      </c>
      <c r="Y2" t="s">
        <v>173</v>
      </c>
      <c r="Z2" t="str">
        <f t="shared" ref="Z2:Z13" si="0">LEFT(I4, 1)</f>
        <v/>
      </c>
      <c r="AA2" t="str">
        <f t="shared" ref="AA2:AA13" si="1">MID(I4, 4, 1)</f>
        <v/>
      </c>
      <c r="AB2" t="str">
        <f t="shared" ref="AB2:AB13" si="2">MID(I4, 7, 1)</f>
        <v/>
      </c>
      <c r="AC2" t="str">
        <f t="shared" ref="AC2:AC13" si="3">MID(I4, 10, 1)</f>
        <v/>
      </c>
      <c r="AE2" t="str">
        <f t="shared" ref="AE2:AE13" si="4">LEFT(J4, 1)</f>
        <v/>
      </c>
      <c r="AF2" t="str">
        <f t="shared" ref="AF2:AF13" si="5">MID(J4, 4, 1)</f>
        <v/>
      </c>
      <c r="AG2" t="str">
        <f t="shared" ref="AG2:AG13" si="6">MID(J4, 7, 1)</f>
        <v/>
      </c>
      <c r="AH2" t="str">
        <f t="shared" ref="AH2:AH13" si="7">MID(J4, 10, 1)</f>
        <v/>
      </c>
      <c r="AI2" t="str">
        <f t="shared" ref="AI2:AI13" si="8">MID(J4, 13, 1)</f>
        <v/>
      </c>
      <c r="AK2" t="str">
        <f t="shared" ref="AK2:AK13" si="9">LEFT(P4, 2)</f>
        <v/>
      </c>
      <c r="AL2" t="str">
        <f>MID($P4, 5, 2)</f>
        <v/>
      </c>
      <c r="AM2" t="str">
        <f t="shared" ref="AM2:AM13" si="10">MID($P4, 9, 2)</f>
        <v/>
      </c>
      <c r="AN2" t="str">
        <f t="shared" ref="AN2:AN13" si="11">MID($P4, 13, 2)</f>
        <v/>
      </c>
      <c r="AO2" t="str">
        <f t="shared" ref="AO2:AO13" si="12">MID($P4, 17, 2)</f>
        <v/>
      </c>
      <c r="AP2" t="str">
        <f t="shared" ref="AP2:AP13" si="13">MID($P4, 21, 2)</f>
        <v/>
      </c>
      <c r="AQ2" t="str">
        <f t="shared" ref="AQ2:AQ13" si="14">MID($P4, 25, 2)</f>
        <v/>
      </c>
      <c r="AR2" t="str">
        <f t="shared" ref="AR2:AR13" si="15">MID($P4, 29, 2)</f>
        <v/>
      </c>
      <c r="AS2" t="str">
        <f t="shared" ref="AS2:AS13" si="16">MID($P4, 33, 2)</f>
        <v/>
      </c>
      <c r="AT2" t="str">
        <f t="shared" ref="AT2:AT13" si="17">MID($P4, 37, 2)</f>
        <v/>
      </c>
      <c r="AU2" t="str">
        <f t="shared" ref="AU2:AU13" si="18">MID($P4, 41, 2)</f>
        <v/>
      </c>
      <c r="AV2" t="str">
        <f t="shared" ref="AV2:AV13" si="19">MID($P4, 45, 2)</f>
        <v/>
      </c>
      <c r="AW2" t="str">
        <f t="shared" ref="AW2:AW13" si="20">MID($P4, 49, 2)</f>
        <v/>
      </c>
      <c r="AX2" t="str">
        <f t="shared" ref="AX2:AX13" si="21">MID($P4, 53, 2)</f>
        <v/>
      </c>
      <c r="AY2" t="str">
        <f t="shared" ref="AY2:AY13" si="22">MID($P4, 57, 2)</f>
        <v/>
      </c>
      <c r="AZ2" t="str">
        <f t="shared" ref="AZ2:AZ13" si="23">MID($P4, 61, 2)</f>
        <v/>
      </c>
      <c r="BA2" t="str">
        <f t="shared" ref="BA2:BA13" si="24">MID($P4, 65, 2)</f>
        <v/>
      </c>
      <c r="BB2" t="str">
        <f t="shared" ref="BB2:BB13" si="25">MID($P4, 69, 2)</f>
        <v/>
      </c>
      <c r="BC2" t="str">
        <f t="shared" ref="BC2:BC13" si="26">MID($P4, 73, 2)</f>
        <v/>
      </c>
      <c r="BD2" t="str">
        <f t="shared" ref="BD2:BD13" si="27">MID($P4, 77, 2)</f>
        <v/>
      </c>
      <c r="BE2" t="str">
        <f t="shared" ref="BE2:BE13" si="28">MID($P4, 81, 2)</f>
        <v/>
      </c>
      <c r="BF2" t="str">
        <f t="shared" ref="BF2:BF13" si="29">MID($P4, 85, 2)</f>
        <v/>
      </c>
      <c r="BG2" t="str">
        <f t="shared" ref="BG2:BG13" si="30">MID($P4, 89, 2)</f>
        <v/>
      </c>
      <c r="BH2" t="str">
        <f t="shared" ref="BH2:BH13" si="31">MID($P4, 93, 2)</f>
        <v/>
      </c>
    </row>
    <row r="3" spans="1:66" x14ac:dyDescent="0.2">
      <c r="A3" t="s">
        <v>2</v>
      </c>
      <c r="B3" t="s">
        <v>6</v>
      </c>
      <c r="C3" t="s">
        <v>88</v>
      </c>
      <c r="D3" t="s">
        <v>6</v>
      </c>
      <c r="E3" t="s">
        <v>6</v>
      </c>
      <c r="F3" t="s">
        <v>4</v>
      </c>
      <c r="G3" t="s">
        <v>6</v>
      </c>
      <c r="H3" t="s">
        <v>6</v>
      </c>
      <c r="I3" t="s">
        <v>86</v>
      </c>
      <c r="J3" t="s">
        <v>86</v>
      </c>
      <c r="K3" t="s">
        <v>6</v>
      </c>
      <c r="L3" t="s">
        <v>6</v>
      </c>
      <c r="M3" t="s">
        <v>6</v>
      </c>
      <c r="N3" t="s">
        <v>6</v>
      </c>
      <c r="O3" t="s">
        <v>6</v>
      </c>
      <c r="P3" t="s">
        <v>16</v>
      </c>
      <c r="Q3" t="s">
        <v>6</v>
      </c>
      <c r="R3" t="s">
        <v>6</v>
      </c>
      <c r="S3" t="s">
        <v>4</v>
      </c>
      <c r="T3" t="s">
        <v>4</v>
      </c>
      <c r="U3" t="s">
        <v>6</v>
      </c>
      <c r="V3" t="s">
        <v>6</v>
      </c>
      <c r="W3" t="s">
        <v>6</v>
      </c>
      <c r="X3" t="s">
        <v>6</v>
      </c>
      <c r="Y3" t="s">
        <v>174</v>
      </c>
      <c r="Z3" t="str">
        <f t="shared" si="0"/>
        <v/>
      </c>
      <c r="AA3" t="str">
        <f t="shared" si="1"/>
        <v/>
      </c>
      <c r="AB3" t="str">
        <f t="shared" si="2"/>
        <v/>
      </c>
      <c r="AC3" t="str">
        <f t="shared" si="3"/>
        <v/>
      </c>
      <c r="AE3" t="str">
        <f t="shared" si="4"/>
        <v>3</v>
      </c>
      <c r="AF3" t="str">
        <f t="shared" si="5"/>
        <v/>
      </c>
      <c r="AG3" t="str">
        <f t="shared" si="6"/>
        <v/>
      </c>
      <c r="AH3" t="str">
        <f t="shared" si="7"/>
        <v/>
      </c>
      <c r="AI3" t="str">
        <f t="shared" si="8"/>
        <v/>
      </c>
      <c r="AK3" t="str">
        <f t="shared" si="9"/>
        <v/>
      </c>
      <c r="AL3" t="str">
        <f t="shared" ref="AL3:AL13" si="32">MID(P5, 5, 2)</f>
        <v/>
      </c>
      <c r="AM3" t="str">
        <f t="shared" si="10"/>
        <v/>
      </c>
      <c r="AN3" t="str">
        <f t="shared" si="11"/>
        <v/>
      </c>
      <c r="AO3" t="str">
        <f t="shared" si="12"/>
        <v/>
      </c>
      <c r="AP3" t="str">
        <f t="shared" si="13"/>
        <v/>
      </c>
      <c r="AQ3" t="str">
        <f t="shared" si="14"/>
        <v/>
      </c>
      <c r="AR3" t="str">
        <f t="shared" si="15"/>
        <v/>
      </c>
      <c r="AS3" t="str">
        <f t="shared" si="16"/>
        <v/>
      </c>
      <c r="AT3" t="str">
        <f t="shared" si="17"/>
        <v/>
      </c>
      <c r="AU3" t="str">
        <f t="shared" si="18"/>
        <v/>
      </c>
      <c r="AV3" t="str">
        <f t="shared" si="19"/>
        <v/>
      </c>
      <c r="AW3" t="str">
        <f t="shared" si="20"/>
        <v/>
      </c>
      <c r="AX3" t="str">
        <f t="shared" si="21"/>
        <v/>
      </c>
      <c r="AY3" t="str">
        <f t="shared" si="22"/>
        <v/>
      </c>
      <c r="AZ3" t="str">
        <f t="shared" si="23"/>
        <v/>
      </c>
      <c r="BA3" t="str">
        <f t="shared" si="24"/>
        <v/>
      </c>
      <c r="BB3" t="str">
        <f t="shared" si="25"/>
        <v/>
      </c>
      <c r="BC3" t="str">
        <f t="shared" si="26"/>
        <v/>
      </c>
      <c r="BD3" t="str">
        <f t="shared" si="27"/>
        <v/>
      </c>
      <c r="BE3" t="str">
        <f t="shared" si="28"/>
        <v/>
      </c>
      <c r="BF3" t="str">
        <f t="shared" si="29"/>
        <v/>
      </c>
      <c r="BG3" t="str">
        <f t="shared" si="30"/>
        <v/>
      </c>
      <c r="BH3" t="str">
        <f t="shared" si="31"/>
        <v/>
      </c>
    </row>
    <row r="4" spans="1:66" x14ac:dyDescent="0.2">
      <c r="A4">
        <v>1</v>
      </c>
      <c r="B4">
        <v>2</v>
      </c>
      <c r="C4" t="s">
        <v>39</v>
      </c>
      <c r="D4">
        <v>1</v>
      </c>
      <c r="E4">
        <v>1</v>
      </c>
      <c r="G4">
        <v>1</v>
      </c>
      <c r="K4">
        <v>3</v>
      </c>
      <c r="M4">
        <v>1</v>
      </c>
      <c r="N4">
        <v>4</v>
      </c>
      <c r="O4">
        <v>3</v>
      </c>
      <c r="S4">
        <v>1</v>
      </c>
      <c r="T4">
        <v>1</v>
      </c>
      <c r="U4">
        <v>1</v>
      </c>
      <c r="X4">
        <f t="shared" ref="X4:X15" si="33">G4+H4+Q4+R4</f>
        <v>1</v>
      </c>
      <c r="Y4" t="s">
        <v>174</v>
      </c>
      <c r="Z4" t="str">
        <f t="shared" si="0"/>
        <v/>
      </c>
      <c r="AA4" t="str">
        <f t="shared" si="1"/>
        <v/>
      </c>
      <c r="AB4" t="str">
        <f t="shared" si="2"/>
        <v/>
      </c>
      <c r="AC4" t="str">
        <f t="shared" si="3"/>
        <v/>
      </c>
      <c r="AE4" t="str">
        <f t="shared" si="4"/>
        <v/>
      </c>
      <c r="AF4" t="str">
        <f t="shared" si="5"/>
        <v/>
      </c>
      <c r="AG4" t="str">
        <f t="shared" si="6"/>
        <v/>
      </c>
      <c r="AH4" t="str">
        <f t="shared" si="7"/>
        <v/>
      </c>
      <c r="AI4" t="str">
        <f t="shared" si="8"/>
        <v/>
      </c>
      <c r="AK4" t="str">
        <f t="shared" si="9"/>
        <v/>
      </c>
      <c r="AL4" t="str">
        <f t="shared" si="32"/>
        <v/>
      </c>
      <c r="AM4" t="str">
        <f t="shared" si="10"/>
        <v/>
      </c>
      <c r="AN4" t="str">
        <f t="shared" si="11"/>
        <v/>
      </c>
      <c r="AO4" t="str">
        <f t="shared" si="12"/>
        <v/>
      </c>
      <c r="AP4" t="str">
        <f t="shared" si="13"/>
        <v/>
      </c>
      <c r="AQ4" t="str">
        <f t="shared" si="14"/>
        <v/>
      </c>
      <c r="AR4" t="str">
        <f t="shared" si="15"/>
        <v/>
      </c>
      <c r="AS4" t="str">
        <f t="shared" si="16"/>
        <v/>
      </c>
      <c r="AT4" t="str">
        <f t="shared" si="17"/>
        <v/>
      </c>
      <c r="AU4" t="str">
        <f t="shared" si="18"/>
        <v/>
      </c>
      <c r="AV4" t="str">
        <f t="shared" si="19"/>
        <v/>
      </c>
      <c r="AW4" t="str">
        <f t="shared" si="20"/>
        <v/>
      </c>
      <c r="AX4" t="str">
        <f t="shared" si="21"/>
        <v/>
      </c>
      <c r="AY4" t="str">
        <f t="shared" si="22"/>
        <v/>
      </c>
      <c r="AZ4" t="str">
        <f t="shared" si="23"/>
        <v/>
      </c>
      <c r="BA4" t="str">
        <f t="shared" si="24"/>
        <v/>
      </c>
      <c r="BB4" t="str">
        <f t="shared" si="25"/>
        <v/>
      </c>
      <c r="BC4" t="str">
        <f t="shared" si="26"/>
        <v/>
      </c>
      <c r="BD4" t="str">
        <f t="shared" si="27"/>
        <v/>
      </c>
      <c r="BE4" t="str">
        <f t="shared" si="28"/>
        <v/>
      </c>
      <c r="BF4" t="str">
        <f t="shared" si="29"/>
        <v/>
      </c>
      <c r="BG4" t="str">
        <f t="shared" si="30"/>
        <v/>
      </c>
      <c r="BH4" t="str">
        <f t="shared" si="31"/>
        <v/>
      </c>
    </row>
    <row r="5" spans="1:66" x14ac:dyDescent="0.2">
      <c r="A5">
        <v>2</v>
      </c>
      <c r="B5">
        <v>16</v>
      </c>
      <c r="C5" t="s">
        <v>39</v>
      </c>
      <c r="D5">
        <v>1</v>
      </c>
      <c r="E5">
        <v>1</v>
      </c>
      <c r="G5">
        <v>1</v>
      </c>
      <c r="J5">
        <v>3</v>
      </c>
      <c r="K5">
        <v>4</v>
      </c>
      <c r="N5">
        <v>4</v>
      </c>
      <c r="O5">
        <v>4</v>
      </c>
      <c r="S5">
        <v>1</v>
      </c>
      <c r="T5">
        <v>1</v>
      </c>
      <c r="X5">
        <f t="shared" si="33"/>
        <v>1</v>
      </c>
      <c r="Y5" t="s">
        <v>174</v>
      </c>
      <c r="Z5" t="str">
        <f t="shared" si="0"/>
        <v/>
      </c>
      <c r="AA5" t="str">
        <f t="shared" si="1"/>
        <v/>
      </c>
      <c r="AB5" t="str">
        <f t="shared" si="2"/>
        <v/>
      </c>
      <c r="AC5" t="str">
        <f t="shared" si="3"/>
        <v/>
      </c>
      <c r="AE5" t="str">
        <f t="shared" si="4"/>
        <v/>
      </c>
      <c r="AF5" t="str">
        <f t="shared" si="5"/>
        <v/>
      </c>
      <c r="AG5" t="str">
        <f t="shared" si="6"/>
        <v/>
      </c>
      <c r="AH5" t="str">
        <f t="shared" si="7"/>
        <v/>
      </c>
      <c r="AI5" t="str">
        <f t="shared" si="8"/>
        <v/>
      </c>
      <c r="AK5" t="str">
        <f t="shared" si="9"/>
        <v/>
      </c>
      <c r="AL5" t="str">
        <f t="shared" si="32"/>
        <v/>
      </c>
      <c r="AM5" t="str">
        <f t="shared" si="10"/>
        <v/>
      </c>
      <c r="AN5" t="str">
        <f t="shared" si="11"/>
        <v/>
      </c>
      <c r="AO5" t="str">
        <f t="shared" si="12"/>
        <v/>
      </c>
      <c r="AP5" t="str">
        <f t="shared" si="13"/>
        <v/>
      </c>
      <c r="AQ5" t="str">
        <f t="shared" si="14"/>
        <v/>
      </c>
      <c r="AR5" t="str">
        <f t="shared" si="15"/>
        <v/>
      </c>
      <c r="AS5" t="str">
        <f t="shared" si="16"/>
        <v/>
      </c>
      <c r="AT5" t="str">
        <f t="shared" si="17"/>
        <v/>
      </c>
      <c r="AU5" t="str">
        <f t="shared" si="18"/>
        <v/>
      </c>
      <c r="AV5" t="str">
        <f t="shared" si="19"/>
        <v/>
      </c>
      <c r="AW5" t="str">
        <f t="shared" si="20"/>
        <v/>
      </c>
      <c r="AX5" t="str">
        <f t="shared" si="21"/>
        <v/>
      </c>
      <c r="AY5" t="str">
        <f t="shared" si="22"/>
        <v/>
      </c>
      <c r="AZ5" t="str">
        <f t="shared" si="23"/>
        <v/>
      </c>
      <c r="BA5" t="str">
        <f t="shared" si="24"/>
        <v/>
      </c>
      <c r="BB5" t="str">
        <f t="shared" si="25"/>
        <v/>
      </c>
      <c r="BC5" t="str">
        <f t="shared" si="26"/>
        <v/>
      </c>
      <c r="BD5" t="str">
        <f t="shared" si="27"/>
        <v/>
      </c>
      <c r="BE5" t="str">
        <f t="shared" si="28"/>
        <v/>
      </c>
      <c r="BF5" t="str">
        <f t="shared" si="29"/>
        <v/>
      </c>
      <c r="BG5" t="str">
        <f t="shared" si="30"/>
        <v/>
      </c>
      <c r="BH5" t="str">
        <f t="shared" si="31"/>
        <v/>
      </c>
    </row>
    <row r="6" spans="1:66" x14ac:dyDescent="0.2">
      <c r="A6">
        <v>3</v>
      </c>
      <c r="B6">
        <v>21</v>
      </c>
      <c r="C6" t="s">
        <v>207</v>
      </c>
      <c r="D6">
        <v>1</v>
      </c>
      <c r="E6">
        <v>1</v>
      </c>
      <c r="K6">
        <v>3</v>
      </c>
      <c r="N6">
        <v>3</v>
      </c>
      <c r="O6">
        <v>3</v>
      </c>
      <c r="S6">
        <v>1</v>
      </c>
      <c r="T6">
        <v>1</v>
      </c>
      <c r="X6">
        <f t="shared" si="33"/>
        <v>0</v>
      </c>
      <c r="Z6" t="str">
        <f t="shared" si="0"/>
        <v/>
      </c>
      <c r="AA6" t="str">
        <f t="shared" si="1"/>
        <v/>
      </c>
      <c r="AB6" t="str">
        <f t="shared" si="2"/>
        <v/>
      </c>
      <c r="AC6" t="str">
        <f t="shared" si="3"/>
        <v/>
      </c>
      <c r="AE6" t="str">
        <f t="shared" si="4"/>
        <v/>
      </c>
      <c r="AF6" t="str">
        <f t="shared" si="5"/>
        <v/>
      </c>
      <c r="AG6" t="str">
        <f t="shared" si="6"/>
        <v/>
      </c>
      <c r="AH6" t="str">
        <f t="shared" si="7"/>
        <v/>
      </c>
      <c r="AI6" t="str">
        <f t="shared" si="8"/>
        <v/>
      </c>
      <c r="AK6" t="str">
        <f t="shared" si="9"/>
        <v/>
      </c>
      <c r="AL6" t="str">
        <f t="shared" si="32"/>
        <v/>
      </c>
      <c r="AM6" t="str">
        <f t="shared" si="10"/>
        <v/>
      </c>
      <c r="AN6" t="str">
        <f t="shared" si="11"/>
        <v/>
      </c>
      <c r="AO6" t="str">
        <f t="shared" si="12"/>
        <v/>
      </c>
      <c r="AP6" t="str">
        <f t="shared" si="13"/>
        <v/>
      </c>
      <c r="AQ6" t="str">
        <f t="shared" si="14"/>
        <v/>
      </c>
      <c r="AR6" t="str">
        <f t="shared" si="15"/>
        <v/>
      </c>
      <c r="AS6" t="str">
        <f t="shared" si="16"/>
        <v/>
      </c>
      <c r="AT6" t="str">
        <f t="shared" si="17"/>
        <v/>
      </c>
      <c r="AU6" t="str">
        <f t="shared" si="18"/>
        <v/>
      </c>
      <c r="AV6" t="str">
        <f t="shared" si="19"/>
        <v/>
      </c>
      <c r="AW6" t="str">
        <f t="shared" si="20"/>
        <v/>
      </c>
      <c r="AX6" t="str">
        <f t="shared" si="21"/>
        <v/>
      </c>
      <c r="AY6" t="str">
        <f t="shared" si="22"/>
        <v/>
      </c>
      <c r="AZ6" t="str">
        <f t="shared" si="23"/>
        <v/>
      </c>
      <c r="BA6" t="str">
        <f t="shared" si="24"/>
        <v/>
      </c>
      <c r="BB6" t="str">
        <f t="shared" si="25"/>
        <v/>
      </c>
      <c r="BC6" t="str">
        <f t="shared" si="26"/>
        <v/>
      </c>
      <c r="BD6" t="str">
        <f t="shared" si="27"/>
        <v/>
      </c>
      <c r="BE6" t="str">
        <f t="shared" si="28"/>
        <v/>
      </c>
      <c r="BF6" t="str">
        <f t="shared" si="29"/>
        <v/>
      </c>
      <c r="BG6" t="str">
        <f t="shared" si="30"/>
        <v/>
      </c>
      <c r="BH6" t="str">
        <f t="shared" si="31"/>
        <v/>
      </c>
    </row>
    <row r="7" spans="1:66" x14ac:dyDescent="0.2">
      <c r="A7">
        <v>4</v>
      </c>
      <c r="B7">
        <v>40</v>
      </c>
      <c r="C7" t="s">
        <v>207</v>
      </c>
      <c r="D7">
        <v>1</v>
      </c>
      <c r="E7">
        <v>1</v>
      </c>
      <c r="K7">
        <v>3</v>
      </c>
      <c r="N7">
        <v>3</v>
      </c>
      <c r="O7">
        <v>3</v>
      </c>
      <c r="S7">
        <v>1</v>
      </c>
      <c r="T7">
        <v>1</v>
      </c>
      <c r="X7">
        <f t="shared" si="33"/>
        <v>0</v>
      </c>
      <c r="Z7" t="str">
        <f t="shared" si="0"/>
        <v/>
      </c>
      <c r="AA7" t="str">
        <f t="shared" si="1"/>
        <v/>
      </c>
      <c r="AB7" t="str">
        <f t="shared" si="2"/>
        <v/>
      </c>
      <c r="AC7" t="str">
        <f t="shared" si="3"/>
        <v/>
      </c>
      <c r="AE7" t="str">
        <f t="shared" si="4"/>
        <v/>
      </c>
      <c r="AF7" t="str">
        <f t="shared" si="5"/>
        <v/>
      </c>
      <c r="AG7" t="str">
        <f t="shared" si="6"/>
        <v/>
      </c>
      <c r="AH7" t="str">
        <f t="shared" si="7"/>
        <v/>
      </c>
      <c r="AI7" t="str">
        <f t="shared" si="8"/>
        <v/>
      </c>
      <c r="AK7" t="str">
        <f t="shared" si="9"/>
        <v/>
      </c>
      <c r="AL7" t="str">
        <f t="shared" si="32"/>
        <v/>
      </c>
      <c r="AM7" t="str">
        <f t="shared" si="10"/>
        <v/>
      </c>
      <c r="AN7" t="str">
        <f t="shared" si="11"/>
        <v/>
      </c>
      <c r="AO7" t="str">
        <f t="shared" si="12"/>
        <v/>
      </c>
      <c r="AP7" t="str">
        <f t="shared" si="13"/>
        <v/>
      </c>
      <c r="AQ7" t="str">
        <f t="shared" si="14"/>
        <v/>
      </c>
      <c r="AR7" t="str">
        <f t="shared" si="15"/>
        <v/>
      </c>
      <c r="AS7" t="str">
        <f t="shared" si="16"/>
        <v/>
      </c>
      <c r="AT7" t="str">
        <f t="shared" si="17"/>
        <v/>
      </c>
      <c r="AU7" t="str">
        <f t="shared" si="18"/>
        <v/>
      </c>
      <c r="AV7" t="str">
        <f t="shared" si="19"/>
        <v/>
      </c>
      <c r="AW7" t="str">
        <f t="shared" si="20"/>
        <v/>
      </c>
      <c r="AX7" t="str">
        <f t="shared" si="21"/>
        <v/>
      </c>
      <c r="AY7" t="str">
        <f t="shared" si="22"/>
        <v/>
      </c>
      <c r="AZ7" t="str">
        <f t="shared" si="23"/>
        <v/>
      </c>
      <c r="BA7" t="str">
        <f t="shared" si="24"/>
        <v/>
      </c>
      <c r="BB7" t="str">
        <f t="shared" si="25"/>
        <v/>
      </c>
      <c r="BC7" t="str">
        <f t="shared" si="26"/>
        <v/>
      </c>
      <c r="BD7" t="str">
        <f t="shared" si="27"/>
        <v/>
      </c>
      <c r="BE7" t="str">
        <f t="shared" si="28"/>
        <v/>
      </c>
      <c r="BF7" t="str">
        <f t="shared" si="29"/>
        <v/>
      </c>
      <c r="BG7" t="str">
        <f t="shared" si="30"/>
        <v/>
      </c>
      <c r="BH7" t="str">
        <f t="shared" si="31"/>
        <v/>
      </c>
    </row>
    <row r="8" spans="1:66" x14ac:dyDescent="0.2">
      <c r="A8">
        <v>5</v>
      </c>
      <c r="B8">
        <v>45</v>
      </c>
      <c r="C8" t="s">
        <v>207</v>
      </c>
      <c r="D8">
        <v>1</v>
      </c>
      <c r="E8">
        <v>1</v>
      </c>
      <c r="K8">
        <v>3</v>
      </c>
      <c r="N8">
        <v>3</v>
      </c>
      <c r="O8">
        <v>3</v>
      </c>
      <c r="S8">
        <v>1</v>
      </c>
      <c r="T8">
        <v>1</v>
      </c>
      <c r="U8">
        <v>7</v>
      </c>
      <c r="X8">
        <f t="shared" si="33"/>
        <v>0</v>
      </c>
      <c r="Z8" t="str">
        <f t="shared" si="0"/>
        <v/>
      </c>
      <c r="AA8" t="str">
        <f t="shared" si="1"/>
        <v/>
      </c>
      <c r="AB8" t="str">
        <f t="shared" si="2"/>
        <v/>
      </c>
      <c r="AC8" t="str">
        <f t="shared" si="3"/>
        <v/>
      </c>
      <c r="AE8" t="str">
        <f t="shared" si="4"/>
        <v/>
      </c>
      <c r="AF8" t="str">
        <f t="shared" si="5"/>
        <v/>
      </c>
      <c r="AG8" t="str">
        <f t="shared" si="6"/>
        <v/>
      </c>
      <c r="AH8" t="str">
        <f t="shared" si="7"/>
        <v/>
      </c>
      <c r="AI8" t="str">
        <f t="shared" si="8"/>
        <v/>
      </c>
      <c r="AK8" t="str">
        <f t="shared" si="9"/>
        <v/>
      </c>
      <c r="AL8" t="str">
        <f t="shared" si="32"/>
        <v/>
      </c>
      <c r="AM8" t="str">
        <f t="shared" si="10"/>
        <v/>
      </c>
      <c r="AN8" t="str">
        <f t="shared" si="11"/>
        <v/>
      </c>
      <c r="AO8" t="str">
        <f t="shared" si="12"/>
        <v/>
      </c>
      <c r="AP8" t="str">
        <f t="shared" si="13"/>
        <v/>
      </c>
      <c r="AQ8" t="str">
        <f t="shared" si="14"/>
        <v/>
      </c>
      <c r="AR8" t="str">
        <f t="shared" si="15"/>
        <v/>
      </c>
      <c r="AS8" t="str">
        <f t="shared" si="16"/>
        <v/>
      </c>
      <c r="AT8" t="str">
        <f t="shared" si="17"/>
        <v/>
      </c>
      <c r="AU8" t="str">
        <f t="shared" si="18"/>
        <v/>
      </c>
      <c r="AV8" t="str">
        <f t="shared" si="19"/>
        <v/>
      </c>
      <c r="AW8" t="str">
        <f t="shared" si="20"/>
        <v/>
      </c>
      <c r="AX8" t="str">
        <f t="shared" si="21"/>
        <v/>
      </c>
      <c r="AY8" t="str">
        <f t="shared" si="22"/>
        <v/>
      </c>
      <c r="AZ8" t="str">
        <f t="shared" si="23"/>
        <v/>
      </c>
      <c r="BA8" t="str">
        <f t="shared" si="24"/>
        <v/>
      </c>
      <c r="BB8" t="str">
        <f t="shared" si="25"/>
        <v/>
      </c>
      <c r="BC8" t="str">
        <f t="shared" si="26"/>
        <v/>
      </c>
      <c r="BD8" t="str">
        <f t="shared" si="27"/>
        <v/>
      </c>
      <c r="BE8" t="str">
        <f t="shared" si="28"/>
        <v/>
      </c>
      <c r="BF8" t="str">
        <f t="shared" si="29"/>
        <v/>
      </c>
      <c r="BG8" t="str">
        <f t="shared" si="30"/>
        <v/>
      </c>
      <c r="BH8" t="str">
        <f t="shared" si="31"/>
        <v/>
      </c>
    </row>
    <row r="9" spans="1:66" x14ac:dyDescent="0.2">
      <c r="A9">
        <v>6</v>
      </c>
      <c r="B9">
        <v>54</v>
      </c>
      <c r="C9" t="s">
        <v>207</v>
      </c>
      <c r="D9">
        <v>1</v>
      </c>
      <c r="E9">
        <v>1</v>
      </c>
      <c r="K9">
        <v>5</v>
      </c>
      <c r="N9">
        <v>5</v>
      </c>
      <c r="O9">
        <v>4</v>
      </c>
      <c r="S9">
        <v>1</v>
      </c>
      <c r="T9">
        <v>1</v>
      </c>
      <c r="U9">
        <v>1</v>
      </c>
      <c r="X9">
        <f t="shared" si="33"/>
        <v>0</v>
      </c>
      <c r="Z9" t="str">
        <f t="shared" si="0"/>
        <v/>
      </c>
      <c r="AA9" t="str">
        <f t="shared" si="1"/>
        <v/>
      </c>
      <c r="AB9" t="str">
        <f t="shared" si="2"/>
        <v/>
      </c>
      <c r="AC9" t="str">
        <f t="shared" si="3"/>
        <v/>
      </c>
      <c r="AE9" t="str">
        <f t="shared" si="4"/>
        <v/>
      </c>
      <c r="AF9" t="str">
        <f t="shared" si="5"/>
        <v/>
      </c>
      <c r="AG9" t="str">
        <f t="shared" si="6"/>
        <v/>
      </c>
      <c r="AH9" t="str">
        <f t="shared" si="7"/>
        <v/>
      </c>
      <c r="AI9" t="str">
        <f t="shared" si="8"/>
        <v/>
      </c>
      <c r="AK9" t="str">
        <f t="shared" si="9"/>
        <v/>
      </c>
      <c r="AL9" t="str">
        <f t="shared" si="32"/>
        <v/>
      </c>
      <c r="AM9" t="str">
        <f t="shared" si="10"/>
        <v/>
      </c>
      <c r="AN9" t="str">
        <f t="shared" si="11"/>
        <v/>
      </c>
      <c r="AO9" t="str">
        <f t="shared" si="12"/>
        <v/>
      </c>
      <c r="AP9" t="str">
        <f t="shared" si="13"/>
        <v/>
      </c>
      <c r="AQ9" t="str">
        <f t="shared" si="14"/>
        <v/>
      </c>
      <c r="AR9" t="str">
        <f t="shared" si="15"/>
        <v/>
      </c>
      <c r="AS9" t="str">
        <f t="shared" si="16"/>
        <v/>
      </c>
      <c r="AT9" t="str">
        <f t="shared" si="17"/>
        <v/>
      </c>
      <c r="AU9" t="str">
        <f t="shared" si="18"/>
        <v/>
      </c>
      <c r="AV9" t="str">
        <f t="shared" si="19"/>
        <v/>
      </c>
      <c r="AW9" t="str">
        <f t="shared" si="20"/>
        <v/>
      </c>
      <c r="AX9" t="str">
        <f t="shared" si="21"/>
        <v/>
      </c>
      <c r="AY9" t="str">
        <f t="shared" si="22"/>
        <v/>
      </c>
      <c r="AZ9" t="str">
        <f t="shared" si="23"/>
        <v/>
      </c>
      <c r="BA9" t="str">
        <f t="shared" si="24"/>
        <v/>
      </c>
      <c r="BB9" t="str">
        <f t="shared" si="25"/>
        <v/>
      </c>
      <c r="BC9" t="str">
        <f t="shared" si="26"/>
        <v/>
      </c>
      <c r="BD9" t="str">
        <f t="shared" si="27"/>
        <v/>
      </c>
      <c r="BE9" t="str">
        <f t="shared" si="28"/>
        <v/>
      </c>
      <c r="BF9" t="str">
        <f t="shared" si="29"/>
        <v/>
      </c>
      <c r="BG9" t="str">
        <f t="shared" si="30"/>
        <v/>
      </c>
      <c r="BH9" t="str">
        <f t="shared" si="31"/>
        <v/>
      </c>
    </row>
    <row r="10" spans="1:66" x14ac:dyDescent="0.2">
      <c r="A10">
        <v>7</v>
      </c>
      <c r="B10">
        <v>63</v>
      </c>
      <c r="C10" t="s">
        <v>39</v>
      </c>
      <c r="D10">
        <v>1</v>
      </c>
      <c r="E10">
        <v>1</v>
      </c>
      <c r="K10">
        <v>2</v>
      </c>
      <c r="L10">
        <v>2</v>
      </c>
      <c r="N10">
        <v>2</v>
      </c>
      <c r="O10">
        <v>2</v>
      </c>
      <c r="U10">
        <v>1</v>
      </c>
      <c r="X10">
        <f t="shared" si="33"/>
        <v>0</v>
      </c>
      <c r="Z10" t="str">
        <f t="shared" si="0"/>
        <v/>
      </c>
      <c r="AA10" t="str">
        <f t="shared" si="1"/>
        <v/>
      </c>
      <c r="AB10" t="str">
        <f t="shared" si="2"/>
        <v/>
      </c>
      <c r="AC10" t="str">
        <f t="shared" si="3"/>
        <v/>
      </c>
      <c r="AE10" t="str">
        <f t="shared" si="4"/>
        <v/>
      </c>
      <c r="AF10" t="str">
        <f t="shared" si="5"/>
        <v/>
      </c>
      <c r="AG10" t="str">
        <f t="shared" si="6"/>
        <v/>
      </c>
      <c r="AH10" t="str">
        <f t="shared" si="7"/>
        <v/>
      </c>
      <c r="AI10" t="str">
        <f t="shared" si="8"/>
        <v/>
      </c>
      <c r="AK10" t="str">
        <f t="shared" si="9"/>
        <v/>
      </c>
      <c r="AL10" t="str">
        <f t="shared" si="32"/>
        <v/>
      </c>
      <c r="AM10" t="str">
        <f t="shared" si="10"/>
        <v/>
      </c>
      <c r="AN10" t="str">
        <f t="shared" si="11"/>
        <v/>
      </c>
      <c r="AO10" t="str">
        <f t="shared" si="12"/>
        <v/>
      </c>
      <c r="AP10" t="str">
        <f t="shared" si="13"/>
        <v/>
      </c>
      <c r="AQ10" t="str">
        <f t="shared" si="14"/>
        <v/>
      </c>
      <c r="AR10" t="str">
        <f t="shared" si="15"/>
        <v/>
      </c>
      <c r="AS10" t="str">
        <f t="shared" si="16"/>
        <v/>
      </c>
      <c r="AT10" t="str">
        <f t="shared" si="17"/>
        <v/>
      </c>
      <c r="AU10" t="str">
        <f t="shared" si="18"/>
        <v/>
      </c>
      <c r="AV10" t="str">
        <f t="shared" si="19"/>
        <v/>
      </c>
      <c r="AW10" t="str">
        <f t="shared" si="20"/>
        <v/>
      </c>
      <c r="AX10" t="str">
        <f t="shared" si="21"/>
        <v/>
      </c>
      <c r="AY10" t="str">
        <f t="shared" si="22"/>
        <v/>
      </c>
      <c r="AZ10" t="str">
        <f t="shared" si="23"/>
        <v/>
      </c>
      <c r="BA10" t="str">
        <f t="shared" si="24"/>
        <v/>
      </c>
      <c r="BB10" t="str">
        <f t="shared" si="25"/>
        <v/>
      </c>
      <c r="BC10" t="str">
        <f t="shared" si="26"/>
        <v/>
      </c>
      <c r="BD10" t="str">
        <f t="shared" si="27"/>
        <v/>
      </c>
      <c r="BE10" t="str">
        <f t="shared" si="28"/>
        <v/>
      </c>
      <c r="BF10" t="str">
        <f t="shared" si="29"/>
        <v/>
      </c>
      <c r="BG10" t="str">
        <f t="shared" si="30"/>
        <v/>
      </c>
      <c r="BH10" t="str">
        <f t="shared" si="31"/>
        <v/>
      </c>
    </row>
    <row r="11" spans="1:66" x14ac:dyDescent="0.2">
      <c r="A11">
        <v>8</v>
      </c>
      <c r="B11">
        <v>74</v>
      </c>
      <c r="C11" t="s">
        <v>39</v>
      </c>
      <c r="D11">
        <v>1</v>
      </c>
      <c r="E11">
        <v>1</v>
      </c>
      <c r="K11">
        <v>3</v>
      </c>
      <c r="M11">
        <v>1</v>
      </c>
      <c r="N11">
        <v>4</v>
      </c>
      <c r="O11">
        <v>4</v>
      </c>
      <c r="S11">
        <v>1</v>
      </c>
      <c r="T11">
        <v>1</v>
      </c>
      <c r="U11">
        <v>13</v>
      </c>
      <c r="X11">
        <f t="shared" si="33"/>
        <v>0</v>
      </c>
      <c r="Z11" t="str">
        <f t="shared" si="0"/>
        <v/>
      </c>
      <c r="AA11" t="str">
        <f t="shared" si="1"/>
        <v/>
      </c>
      <c r="AB11" t="str">
        <f t="shared" si="2"/>
        <v/>
      </c>
      <c r="AC11" t="str">
        <f t="shared" si="3"/>
        <v/>
      </c>
      <c r="AE11" t="str">
        <f t="shared" si="4"/>
        <v/>
      </c>
      <c r="AF11" t="str">
        <f t="shared" si="5"/>
        <v/>
      </c>
      <c r="AG11" t="str">
        <f t="shared" si="6"/>
        <v/>
      </c>
      <c r="AH11" t="str">
        <f t="shared" si="7"/>
        <v/>
      </c>
      <c r="AI11" t="str">
        <f t="shared" si="8"/>
        <v/>
      </c>
      <c r="AK11" t="str">
        <f t="shared" si="9"/>
        <v/>
      </c>
      <c r="AL11" t="str">
        <f t="shared" si="32"/>
        <v/>
      </c>
      <c r="AM11" t="str">
        <f t="shared" si="10"/>
        <v/>
      </c>
      <c r="AN11" t="str">
        <f t="shared" si="11"/>
        <v/>
      </c>
      <c r="AO11" t="str">
        <f t="shared" si="12"/>
        <v/>
      </c>
      <c r="AP11" t="str">
        <f t="shared" si="13"/>
        <v/>
      </c>
      <c r="AQ11" t="str">
        <f t="shared" si="14"/>
        <v/>
      </c>
      <c r="AR11" t="str">
        <f t="shared" si="15"/>
        <v/>
      </c>
      <c r="AS11" t="str">
        <f t="shared" si="16"/>
        <v/>
      </c>
      <c r="AT11" t="str">
        <f t="shared" si="17"/>
        <v/>
      </c>
      <c r="AU11" t="str">
        <f t="shared" si="18"/>
        <v/>
      </c>
      <c r="AV11" t="str">
        <f t="shared" si="19"/>
        <v/>
      </c>
      <c r="AW11" t="str">
        <f t="shared" si="20"/>
        <v/>
      </c>
      <c r="AX11" t="str">
        <f t="shared" si="21"/>
        <v/>
      </c>
      <c r="AY11" t="str">
        <f t="shared" si="22"/>
        <v/>
      </c>
      <c r="AZ11" t="str">
        <f t="shared" si="23"/>
        <v/>
      </c>
      <c r="BA11" t="str">
        <f t="shared" si="24"/>
        <v/>
      </c>
      <c r="BB11" t="str">
        <f t="shared" si="25"/>
        <v/>
      </c>
      <c r="BC11" t="str">
        <f t="shared" si="26"/>
        <v/>
      </c>
      <c r="BD11" t="str">
        <f t="shared" si="27"/>
        <v/>
      </c>
      <c r="BE11" t="str">
        <f t="shared" si="28"/>
        <v/>
      </c>
      <c r="BF11" t="str">
        <f t="shared" si="29"/>
        <v/>
      </c>
      <c r="BG11" t="str">
        <f t="shared" si="30"/>
        <v/>
      </c>
      <c r="BH11" t="str">
        <f t="shared" si="31"/>
        <v/>
      </c>
    </row>
    <row r="12" spans="1:66" x14ac:dyDescent="0.2">
      <c r="A12">
        <v>9</v>
      </c>
      <c r="B12">
        <v>87</v>
      </c>
      <c r="C12" t="s">
        <v>207</v>
      </c>
      <c r="D12">
        <v>1</v>
      </c>
      <c r="K12">
        <v>4</v>
      </c>
      <c r="N12">
        <v>4</v>
      </c>
      <c r="O12">
        <v>4</v>
      </c>
      <c r="S12">
        <v>1</v>
      </c>
      <c r="X12">
        <f t="shared" si="33"/>
        <v>0</v>
      </c>
      <c r="Z12" t="str">
        <f t="shared" si="0"/>
        <v/>
      </c>
      <c r="AA12" t="str">
        <f t="shared" si="1"/>
        <v/>
      </c>
      <c r="AB12" t="str">
        <f t="shared" si="2"/>
        <v/>
      </c>
      <c r="AC12" t="str">
        <f t="shared" si="3"/>
        <v/>
      </c>
      <c r="AE12" t="str">
        <f t="shared" si="4"/>
        <v/>
      </c>
      <c r="AF12" t="str">
        <f t="shared" si="5"/>
        <v/>
      </c>
      <c r="AG12" t="str">
        <f t="shared" si="6"/>
        <v/>
      </c>
      <c r="AH12" t="str">
        <f t="shared" si="7"/>
        <v/>
      </c>
      <c r="AI12" t="str">
        <f t="shared" si="8"/>
        <v/>
      </c>
      <c r="AK12" t="str">
        <f t="shared" si="9"/>
        <v/>
      </c>
      <c r="AL12" t="str">
        <f t="shared" si="32"/>
        <v/>
      </c>
      <c r="AM12" t="str">
        <f t="shared" si="10"/>
        <v/>
      </c>
      <c r="AN12" t="str">
        <f t="shared" si="11"/>
        <v/>
      </c>
      <c r="AO12" t="str">
        <f t="shared" si="12"/>
        <v/>
      </c>
      <c r="AP12" t="str">
        <f t="shared" si="13"/>
        <v/>
      </c>
      <c r="AQ12" t="str">
        <f t="shared" si="14"/>
        <v/>
      </c>
      <c r="AR12" t="str">
        <f t="shared" si="15"/>
        <v/>
      </c>
      <c r="AS12" t="str">
        <f t="shared" si="16"/>
        <v/>
      </c>
      <c r="AT12" t="str">
        <f t="shared" si="17"/>
        <v/>
      </c>
      <c r="AU12" t="str">
        <f t="shared" si="18"/>
        <v/>
      </c>
      <c r="AV12" t="str">
        <f t="shared" si="19"/>
        <v/>
      </c>
      <c r="AW12" t="str">
        <f t="shared" si="20"/>
        <v/>
      </c>
      <c r="AX12" t="str">
        <f t="shared" si="21"/>
        <v/>
      </c>
      <c r="AY12" t="str">
        <f t="shared" si="22"/>
        <v/>
      </c>
      <c r="AZ12" t="str">
        <f t="shared" si="23"/>
        <v/>
      </c>
      <c r="BA12" t="str">
        <f t="shared" si="24"/>
        <v/>
      </c>
      <c r="BB12" t="str">
        <f t="shared" si="25"/>
        <v/>
      </c>
      <c r="BC12" t="str">
        <f t="shared" si="26"/>
        <v/>
      </c>
      <c r="BD12" t="str">
        <f t="shared" si="27"/>
        <v/>
      </c>
      <c r="BE12" t="str">
        <f t="shared" si="28"/>
        <v/>
      </c>
      <c r="BF12" t="str">
        <f t="shared" si="29"/>
        <v/>
      </c>
      <c r="BG12" t="str">
        <f t="shared" si="30"/>
        <v/>
      </c>
      <c r="BH12" t="str">
        <f t="shared" si="31"/>
        <v/>
      </c>
    </row>
    <row r="13" spans="1:66" x14ac:dyDescent="0.2">
      <c r="A13">
        <v>10</v>
      </c>
      <c r="B13">
        <v>96</v>
      </c>
      <c r="C13" t="s">
        <v>39</v>
      </c>
      <c r="D13">
        <v>1</v>
      </c>
      <c r="K13">
        <v>5</v>
      </c>
      <c r="N13">
        <v>5</v>
      </c>
      <c r="O13">
        <v>5</v>
      </c>
      <c r="S13">
        <v>1</v>
      </c>
      <c r="T13">
        <v>1</v>
      </c>
      <c r="U13">
        <v>4</v>
      </c>
      <c r="X13">
        <f t="shared" si="33"/>
        <v>0</v>
      </c>
      <c r="Z13" t="str">
        <f t="shared" si="0"/>
        <v/>
      </c>
      <c r="AA13" t="str">
        <f t="shared" si="1"/>
        <v/>
      </c>
      <c r="AB13" t="str">
        <f t="shared" si="2"/>
        <v/>
      </c>
      <c r="AC13" t="str">
        <f t="shared" si="3"/>
        <v/>
      </c>
      <c r="AE13" t="str">
        <f t="shared" si="4"/>
        <v/>
      </c>
      <c r="AF13" t="str">
        <f t="shared" si="5"/>
        <v/>
      </c>
      <c r="AG13" t="str">
        <f t="shared" si="6"/>
        <v/>
      </c>
      <c r="AH13" t="str">
        <f t="shared" si="7"/>
        <v/>
      </c>
      <c r="AI13" t="str">
        <f t="shared" si="8"/>
        <v/>
      </c>
      <c r="AK13" t="str">
        <f t="shared" si="9"/>
        <v/>
      </c>
      <c r="AL13" t="str">
        <f t="shared" si="32"/>
        <v/>
      </c>
      <c r="AM13" t="str">
        <f t="shared" si="10"/>
        <v/>
      </c>
      <c r="AN13" t="str">
        <f t="shared" si="11"/>
        <v/>
      </c>
      <c r="AO13" t="str">
        <f t="shared" si="12"/>
        <v/>
      </c>
      <c r="AP13" t="str">
        <f t="shared" si="13"/>
        <v/>
      </c>
      <c r="AQ13" t="str">
        <f t="shared" si="14"/>
        <v/>
      </c>
      <c r="AR13" t="str">
        <f t="shared" si="15"/>
        <v/>
      </c>
      <c r="AS13" t="str">
        <f t="shared" si="16"/>
        <v/>
      </c>
      <c r="AT13" t="str">
        <f t="shared" si="17"/>
        <v/>
      </c>
      <c r="AU13" t="str">
        <f t="shared" si="18"/>
        <v/>
      </c>
      <c r="AV13" t="str">
        <f t="shared" si="19"/>
        <v/>
      </c>
      <c r="AW13" t="str">
        <f t="shared" si="20"/>
        <v/>
      </c>
      <c r="AX13" t="str">
        <f t="shared" si="21"/>
        <v/>
      </c>
      <c r="AY13" t="str">
        <f t="shared" si="22"/>
        <v/>
      </c>
      <c r="AZ13" t="str">
        <f t="shared" si="23"/>
        <v/>
      </c>
      <c r="BA13" t="str">
        <f t="shared" si="24"/>
        <v/>
      </c>
      <c r="BB13" t="str">
        <f t="shared" si="25"/>
        <v/>
      </c>
      <c r="BC13" t="str">
        <f t="shared" si="26"/>
        <v/>
      </c>
      <c r="BD13" t="str">
        <f t="shared" si="27"/>
        <v/>
      </c>
      <c r="BE13" t="str">
        <f t="shared" si="28"/>
        <v/>
      </c>
      <c r="BF13" t="str">
        <f t="shared" si="29"/>
        <v/>
      </c>
      <c r="BG13" t="str">
        <f t="shared" si="30"/>
        <v/>
      </c>
      <c r="BH13" t="str">
        <f t="shared" si="31"/>
        <v/>
      </c>
    </row>
    <row r="14" spans="1:66" x14ac:dyDescent="0.2">
      <c r="A14">
        <v>11</v>
      </c>
      <c r="B14">
        <v>107</v>
      </c>
      <c r="C14" t="s">
        <v>207</v>
      </c>
      <c r="D14">
        <v>1</v>
      </c>
      <c r="F14">
        <v>1</v>
      </c>
      <c r="K14">
        <v>1</v>
      </c>
      <c r="M14">
        <v>1</v>
      </c>
      <c r="N14">
        <v>1</v>
      </c>
      <c r="O14">
        <v>1</v>
      </c>
      <c r="U14">
        <v>4</v>
      </c>
      <c r="X14">
        <f t="shared" si="33"/>
        <v>0</v>
      </c>
      <c r="Z14" t="s">
        <v>31</v>
      </c>
      <c r="AE14" t="s">
        <v>34</v>
      </c>
      <c r="AK14" t="s">
        <v>43</v>
      </c>
      <c r="AP14" t="s">
        <v>84</v>
      </c>
    </row>
    <row r="15" spans="1:66" x14ac:dyDescent="0.2">
      <c r="A15">
        <v>12</v>
      </c>
      <c r="B15">
        <v>112</v>
      </c>
      <c r="C15" t="s">
        <v>39</v>
      </c>
      <c r="D15">
        <v>1</v>
      </c>
      <c r="E15">
        <v>1</v>
      </c>
      <c r="K15">
        <v>4</v>
      </c>
      <c r="N15">
        <v>4</v>
      </c>
      <c r="O15">
        <v>4</v>
      </c>
      <c r="S15">
        <v>1</v>
      </c>
      <c r="T15">
        <v>1</v>
      </c>
      <c r="U15">
        <v>1</v>
      </c>
      <c r="X15">
        <f t="shared" si="33"/>
        <v>0</v>
      </c>
      <c r="Z15" t="s">
        <v>21</v>
      </c>
      <c r="AA15" t="s">
        <v>22</v>
      </c>
      <c r="AE15" t="s">
        <v>21</v>
      </c>
      <c r="AF15" t="s">
        <v>22</v>
      </c>
      <c r="AG15" t="s">
        <v>35</v>
      </c>
      <c r="AK15" t="s">
        <v>10</v>
      </c>
      <c r="AL15" t="s">
        <v>25</v>
      </c>
      <c r="AM15" t="s">
        <v>26</v>
      </c>
      <c r="AN15" t="s">
        <v>27</v>
      </c>
      <c r="AP15" t="s">
        <v>15</v>
      </c>
      <c r="AQ15" t="s">
        <v>85</v>
      </c>
    </row>
    <row r="16" spans="1:66" x14ac:dyDescent="0.2">
      <c r="A16" t="s">
        <v>28</v>
      </c>
      <c r="D16">
        <f>SUM(D4:D15)</f>
        <v>12</v>
      </c>
      <c r="E16">
        <f>SUM(E4:E15)</f>
        <v>9</v>
      </c>
      <c r="F16">
        <f>SUM(F4:F15)</f>
        <v>1</v>
      </c>
      <c r="G16">
        <f>SUM(G4:G15)</f>
        <v>2</v>
      </c>
      <c r="H16">
        <f>SUM(H4:H15)</f>
        <v>0</v>
      </c>
      <c r="K16">
        <f>SUM(K4:K15)</f>
        <v>40</v>
      </c>
      <c r="L16">
        <f>SUM(L4:L15)</f>
        <v>2</v>
      </c>
      <c r="M16">
        <f>SUM(M4:M15)</f>
        <v>3</v>
      </c>
      <c r="N16">
        <f>SUM(N4:N15)</f>
        <v>42</v>
      </c>
      <c r="O16">
        <f>SUM(O4:O15)</f>
        <v>40</v>
      </c>
      <c r="Q16">
        <f t="shared" ref="Q16:R16" si="34">SUM(Q4:Q15)</f>
        <v>0</v>
      </c>
      <c r="R16">
        <f t="shared" si="34"/>
        <v>0</v>
      </c>
      <c r="S16">
        <f>SUM(S4:S15)</f>
        <v>10</v>
      </c>
      <c r="T16">
        <f>SUM(T4:T15)</f>
        <v>9</v>
      </c>
      <c r="U16">
        <f>SUM(U4:U15)</f>
        <v>32</v>
      </c>
      <c r="V16">
        <f>SUM(V4:V15)</f>
        <v>0</v>
      </c>
      <c r="W16">
        <f>SUM(W4:W15)</f>
        <v>0</v>
      </c>
      <c r="Z16">
        <f t="shared" ref="Z16:Z27" si="35">COUNTIF(Z2:AC2, "3")*COUNTIF(C4, "r")+COUNTIF(Z2:AC2, "5")*COUNTIF(C4, "b")</f>
        <v>0</v>
      </c>
      <c r="AA16">
        <f t="shared" ref="AA16:AA27" si="36">COUNTIF(Z2:AC2, "1")+COUNTIF(Z2:AC2, "2")+COUNTIF(Z2:AC2, "4")</f>
        <v>0</v>
      </c>
      <c r="AE16">
        <f t="shared" ref="AE16:AE27" si="37">COUNTIF(AE2:AI2, "3")*COUNTIF(C4, "r") + COUNTIF(AE2:AI2, "5")*COUNTIF(C4, "b")</f>
        <v>0</v>
      </c>
      <c r="AF16">
        <f t="shared" ref="AF16:AF27" si="38">COUNTIF(AE2:AI2, "1")+COUNTIF(AE2:AI2, "2")+COUNTIF(AE2:AI2, "4")</f>
        <v>0</v>
      </c>
      <c r="AG16">
        <f t="shared" ref="AG16:AG27" si="39">COUNTIF(AE2:AI2, "3")*COUNTIF(AE2:AI2, "b")+COUNTIF(AE2:AI2, "5")*COUNTIF(AE2:AI2, "r")</f>
        <v>0</v>
      </c>
      <c r="AK16">
        <f t="shared" ref="AK16:AK27" si="40">SUMPRODUCT(LEN($AK2:$BH2) - LEN(SUBSTITUTE($AK2:$BH2, "g", "")))</f>
        <v>0</v>
      </c>
      <c r="AL16">
        <f t="shared" ref="AL16:AL27" si="41">SUMPRODUCT(LEN($AK2:$BH2) - LEN(SUBSTITUTE($AK2:$BH2, "h", "")))</f>
        <v>0</v>
      </c>
      <c r="AM16">
        <f t="shared" ref="AM16:AM27" si="42">SUMPRODUCT(LEN($AK2:$BH2) - LEN(SUBSTITUTE($AK2:$BH2, "v", "")))</f>
        <v>0</v>
      </c>
      <c r="AN16">
        <f t="shared" ref="AN16:AN27" si="43">SUMPRODUCT(LEN($AK2:$BH2) - LEN(SUBSTITUTE($AK2:$BH2, "r", "")))</f>
        <v>0</v>
      </c>
      <c r="AP16">
        <f>MAX(AQ16:BN16)</f>
        <v>0</v>
      </c>
      <c r="AQ16" s="4">
        <f>_xlfn.NUMBERVALUE(RIGHT(AK2,1))</f>
        <v>0</v>
      </c>
      <c r="AR16" s="4">
        <f t="shared" ref="AR16:BG27" si="44">_xlfn.NUMBERVALUE(RIGHT(AL2,1))</f>
        <v>0</v>
      </c>
      <c r="AS16" s="4">
        <f t="shared" si="44"/>
        <v>0</v>
      </c>
      <c r="AT16" s="4">
        <f t="shared" si="44"/>
        <v>0</v>
      </c>
      <c r="AU16" s="4">
        <f t="shared" si="44"/>
        <v>0</v>
      </c>
      <c r="AV16" s="4">
        <f t="shared" si="44"/>
        <v>0</v>
      </c>
      <c r="AW16" s="4">
        <f t="shared" si="44"/>
        <v>0</v>
      </c>
      <c r="AX16" s="4">
        <f t="shared" si="44"/>
        <v>0</v>
      </c>
      <c r="AY16" s="4">
        <f t="shared" si="44"/>
        <v>0</v>
      </c>
      <c r="AZ16" s="4">
        <f t="shared" si="44"/>
        <v>0</v>
      </c>
      <c r="BA16" s="4">
        <f t="shared" si="44"/>
        <v>0</v>
      </c>
      <c r="BB16" s="4">
        <f t="shared" si="44"/>
        <v>0</v>
      </c>
      <c r="BC16" s="4">
        <f t="shared" si="44"/>
        <v>0</v>
      </c>
      <c r="BD16" s="4">
        <f t="shared" si="44"/>
        <v>0</v>
      </c>
      <c r="BE16" s="4">
        <f t="shared" si="44"/>
        <v>0</v>
      </c>
      <c r="BF16" s="4">
        <f t="shared" si="44"/>
        <v>0</v>
      </c>
      <c r="BG16" s="4">
        <f t="shared" si="44"/>
        <v>0</v>
      </c>
      <c r="BH16" s="4">
        <f t="shared" ref="BH16:BN27" si="45">_xlfn.NUMBERVALUE(RIGHT(BB2,1))</f>
        <v>0</v>
      </c>
      <c r="BI16" s="4">
        <f t="shared" si="45"/>
        <v>0</v>
      </c>
      <c r="BJ16" s="4">
        <f t="shared" si="45"/>
        <v>0</v>
      </c>
      <c r="BK16" s="4">
        <f t="shared" si="45"/>
        <v>0</v>
      </c>
      <c r="BL16" s="4">
        <f t="shared" si="45"/>
        <v>0</v>
      </c>
      <c r="BM16" s="4">
        <f t="shared" si="45"/>
        <v>0</v>
      </c>
      <c r="BN16" s="4">
        <f t="shared" si="45"/>
        <v>0</v>
      </c>
    </row>
    <row r="17" spans="1:66" x14ac:dyDescent="0.2">
      <c r="A17" s="1" t="s">
        <v>20</v>
      </c>
      <c r="D17" s="1" t="s">
        <v>49</v>
      </c>
      <c r="G17" s="1" t="s">
        <v>52</v>
      </c>
      <c r="K17" s="3" t="s">
        <v>74</v>
      </c>
      <c r="P17" s="1" t="s">
        <v>66</v>
      </c>
      <c r="Z17">
        <f t="shared" si="35"/>
        <v>0</v>
      </c>
      <c r="AA17">
        <f t="shared" si="36"/>
        <v>0</v>
      </c>
      <c r="AE17">
        <f t="shared" si="37"/>
        <v>1</v>
      </c>
      <c r="AF17">
        <f t="shared" si="38"/>
        <v>0</v>
      </c>
      <c r="AG17">
        <f t="shared" si="39"/>
        <v>0</v>
      </c>
      <c r="AK17">
        <f t="shared" si="40"/>
        <v>0</v>
      </c>
      <c r="AL17">
        <f t="shared" si="41"/>
        <v>0</v>
      </c>
      <c r="AM17">
        <f t="shared" si="42"/>
        <v>0</v>
      </c>
      <c r="AN17">
        <f t="shared" si="43"/>
        <v>0</v>
      </c>
      <c r="AP17">
        <f t="shared" ref="AP17:AP27" si="46">MAX(AQ17:BN17)</f>
        <v>0</v>
      </c>
      <c r="AQ17" s="4">
        <f t="shared" ref="AQ17:AQ27" si="47">_xlfn.NUMBERVALUE(RIGHT(AK3,1))</f>
        <v>0</v>
      </c>
      <c r="AR17" s="4">
        <f t="shared" si="44"/>
        <v>0</v>
      </c>
      <c r="AS17" s="4">
        <f t="shared" si="44"/>
        <v>0</v>
      </c>
      <c r="AT17" s="4">
        <f t="shared" si="44"/>
        <v>0</v>
      </c>
      <c r="AU17" s="4">
        <f t="shared" si="44"/>
        <v>0</v>
      </c>
      <c r="AV17" s="4">
        <f t="shared" si="44"/>
        <v>0</v>
      </c>
      <c r="AW17" s="4">
        <f t="shared" si="44"/>
        <v>0</v>
      </c>
      <c r="AX17" s="4">
        <f t="shared" si="44"/>
        <v>0</v>
      </c>
      <c r="AY17" s="4">
        <f t="shared" si="44"/>
        <v>0</v>
      </c>
      <c r="AZ17" s="4">
        <f t="shared" si="44"/>
        <v>0</v>
      </c>
      <c r="BA17" s="4">
        <f t="shared" si="44"/>
        <v>0</v>
      </c>
      <c r="BB17" s="4">
        <f t="shared" si="44"/>
        <v>0</v>
      </c>
      <c r="BC17" s="4">
        <f t="shared" si="44"/>
        <v>0</v>
      </c>
      <c r="BD17" s="4">
        <f t="shared" si="44"/>
        <v>0</v>
      </c>
      <c r="BE17" s="4">
        <f t="shared" si="44"/>
        <v>0</v>
      </c>
      <c r="BF17" s="4">
        <f t="shared" si="44"/>
        <v>0</v>
      </c>
      <c r="BG17" s="4">
        <f t="shared" si="44"/>
        <v>0</v>
      </c>
      <c r="BH17" s="4">
        <f t="shared" si="45"/>
        <v>0</v>
      </c>
      <c r="BI17" s="4">
        <f t="shared" si="45"/>
        <v>0</v>
      </c>
      <c r="BJ17" s="4">
        <f t="shared" si="45"/>
        <v>0</v>
      </c>
      <c r="BK17" s="4">
        <f t="shared" si="45"/>
        <v>0</v>
      </c>
      <c r="BL17" s="4">
        <f t="shared" si="45"/>
        <v>0</v>
      </c>
      <c r="BM17" s="4">
        <f t="shared" si="45"/>
        <v>0</v>
      </c>
      <c r="BN17" s="4">
        <f t="shared" si="45"/>
        <v>0</v>
      </c>
    </row>
    <row r="18" spans="1:66" x14ac:dyDescent="0.2">
      <c r="A18" t="s">
        <v>32</v>
      </c>
      <c r="B18" t="s">
        <v>21</v>
      </c>
      <c r="D18" t="s">
        <v>180</v>
      </c>
      <c r="G18" s="3" t="s">
        <v>53</v>
      </c>
      <c r="K18" t="s">
        <v>55</v>
      </c>
      <c r="M18" t="s">
        <v>65</v>
      </c>
      <c r="P18" t="s">
        <v>67</v>
      </c>
      <c r="Z18">
        <f t="shared" si="35"/>
        <v>0</v>
      </c>
      <c r="AA18">
        <f t="shared" si="36"/>
        <v>0</v>
      </c>
      <c r="AE18">
        <f t="shared" si="37"/>
        <v>0</v>
      </c>
      <c r="AF18">
        <f t="shared" si="38"/>
        <v>0</v>
      </c>
      <c r="AG18">
        <f t="shared" si="39"/>
        <v>0</v>
      </c>
      <c r="AK18">
        <f t="shared" si="40"/>
        <v>0</v>
      </c>
      <c r="AL18">
        <f t="shared" si="41"/>
        <v>0</v>
      </c>
      <c r="AM18">
        <f t="shared" si="42"/>
        <v>0</v>
      </c>
      <c r="AN18">
        <f t="shared" si="43"/>
        <v>0</v>
      </c>
      <c r="AP18">
        <f t="shared" si="46"/>
        <v>0</v>
      </c>
      <c r="AQ18" s="4">
        <f t="shared" si="47"/>
        <v>0</v>
      </c>
      <c r="AR18" s="4">
        <f t="shared" si="44"/>
        <v>0</v>
      </c>
      <c r="AS18" s="4">
        <f t="shared" si="44"/>
        <v>0</v>
      </c>
      <c r="AT18" s="4">
        <f t="shared" si="44"/>
        <v>0</v>
      </c>
      <c r="AU18" s="4">
        <f t="shared" si="44"/>
        <v>0</v>
      </c>
      <c r="AV18" s="4">
        <f t="shared" si="44"/>
        <v>0</v>
      </c>
      <c r="AW18" s="4">
        <f t="shared" si="44"/>
        <v>0</v>
      </c>
      <c r="AX18" s="4">
        <f t="shared" si="44"/>
        <v>0</v>
      </c>
      <c r="AY18" s="4">
        <f t="shared" si="44"/>
        <v>0</v>
      </c>
      <c r="AZ18" s="4">
        <f t="shared" si="44"/>
        <v>0</v>
      </c>
      <c r="BA18" s="4">
        <f t="shared" si="44"/>
        <v>0</v>
      </c>
      <c r="BB18" s="4">
        <f t="shared" si="44"/>
        <v>0</v>
      </c>
      <c r="BC18" s="4">
        <f t="shared" si="44"/>
        <v>0</v>
      </c>
      <c r="BD18" s="4">
        <f t="shared" si="44"/>
        <v>0</v>
      </c>
      <c r="BE18" s="4">
        <f t="shared" si="44"/>
        <v>0</v>
      </c>
      <c r="BF18" s="4">
        <f t="shared" si="44"/>
        <v>0</v>
      </c>
      <c r="BG18" s="4">
        <f t="shared" si="44"/>
        <v>0</v>
      </c>
      <c r="BH18" s="4">
        <f t="shared" si="45"/>
        <v>0</v>
      </c>
      <c r="BI18" s="4">
        <f t="shared" si="45"/>
        <v>0</v>
      </c>
      <c r="BJ18" s="4">
        <f t="shared" si="45"/>
        <v>0</v>
      </c>
      <c r="BK18" s="4">
        <f t="shared" si="45"/>
        <v>0</v>
      </c>
      <c r="BL18" s="4">
        <f t="shared" si="45"/>
        <v>0</v>
      </c>
      <c r="BM18" s="4">
        <f t="shared" si="45"/>
        <v>0</v>
      </c>
      <c r="BN18" s="4">
        <f t="shared" si="45"/>
        <v>0</v>
      </c>
    </row>
    <row r="19" spans="1:66" x14ac:dyDescent="0.2">
      <c r="A19" t="s">
        <v>40</v>
      </c>
      <c r="B19" t="s">
        <v>22</v>
      </c>
      <c r="D19">
        <f>E16/D16</f>
        <v>0.75</v>
      </c>
      <c r="G19" t="s">
        <v>75</v>
      </c>
      <c r="K19">
        <f>O16/N16</f>
        <v>0.95238095238095233</v>
      </c>
      <c r="M19">
        <f>SUM(M39:M50)</f>
        <v>3</v>
      </c>
      <c r="P19">
        <f>T16/S16</f>
        <v>0.9</v>
      </c>
      <c r="Z19">
        <f t="shared" si="35"/>
        <v>0</v>
      </c>
      <c r="AA19">
        <f t="shared" si="36"/>
        <v>0</v>
      </c>
      <c r="AE19">
        <f t="shared" si="37"/>
        <v>0</v>
      </c>
      <c r="AF19">
        <f t="shared" si="38"/>
        <v>0</v>
      </c>
      <c r="AG19">
        <f t="shared" si="39"/>
        <v>0</v>
      </c>
      <c r="AK19">
        <f t="shared" si="40"/>
        <v>0</v>
      </c>
      <c r="AL19">
        <f t="shared" si="41"/>
        <v>0</v>
      </c>
      <c r="AM19">
        <f t="shared" si="42"/>
        <v>0</v>
      </c>
      <c r="AN19">
        <f t="shared" si="43"/>
        <v>0</v>
      </c>
      <c r="AP19">
        <f t="shared" si="46"/>
        <v>0</v>
      </c>
      <c r="AQ19" s="4">
        <f t="shared" si="47"/>
        <v>0</v>
      </c>
      <c r="AR19" s="4">
        <f t="shared" si="44"/>
        <v>0</v>
      </c>
      <c r="AS19" s="4">
        <f t="shared" si="44"/>
        <v>0</v>
      </c>
      <c r="AT19" s="4">
        <f t="shared" si="44"/>
        <v>0</v>
      </c>
      <c r="AU19" s="4">
        <f t="shared" si="44"/>
        <v>0</v>
      </c>
      <c r="AV19" s="4">
        <f t="shared" si="44"/>
        <v>0</v>
      </c>
      <c r="AW19" s="4">
        <f t="shared" si="44"/>
        <v>0</v>
      </c>
      <c r="AX19" s="4">
        <f t="shared" si="44"/>
        <v>0</v>
      </c>
      <c r="AY19" s="4">
        <f t="shared" si="44"/>
        <v>0</v>
      </c>
      <c r="AZ19" s="4">
        <f t="shared" si="44"/>
        <v>0</v>
      </c>
      <c r="BA19" s="4">
        <f t="shared" si="44"/>
        <v>0</v>
      </c>
      <c r="BB19" s="4">
        <f t="shared" si="44"/>
        <v>0</v>
      </c>
      <c r="BC19" s="4">
        <f t="shared" si="44"/>
        <v>0</v>
      </c>
      <c r="BD19" s="4">
        <f t="shared" si="44"/>
        <v>0</v>
      </c>
      <c r="BE19" s="4">
        <f t="shared" si="44"/>
        <v>0</v>
      </c>
      <c r="BF19" s="4">
        <f t="shared" si="44"/>
        <v>0</v>
      </c>
      <c r="BG19" s="4">
        <f t="shared" si="44"/>
        <v>0</v>
      </c>
      <c r="BH19" s="4">
        <f t="shared" si="45"/>
        <v>0</v>
      </c>
      <c r="BI19" s="4">
        <f t="shared" si="45"/>
        <v>0</v>
      </c>
      <c r="BJ19" s="4">
        <f t="shared" si="45"/>
        <v>0</v>
      </c>
      <c r="BK19" s="4">
        <f t="shared" si="45"/>
        <v>0</v>
      </c>
      <c r="BL19" s="4">
        <f t="shared" si="45"/>
        <v>0</v>
      </c>
      <c r="BM19" s="4">
        <f t="shared" si="45"/>
        <v>0</v>
      </c>
      <c r="BN19" s="4">
        <f t="shared" si="45"/>
        <v>0</v>
      </c>
    </row>
    <row r="20" spans="1:66" x14ac:dyDescent="0.2">
      <c r="A20" t="s">
        <v>41</v>
      </c>
      <c r="B20" t="s">
        <v>23</v>
      </c>
      <c r="D20" t="s">
        <v>47</v>
      </c>
      <c r="G20" t="e">
        <f>AK28/AP28</f>
        <v>#DIV/0!</v>
      </c>
      <c r="K20" t="s">
        <v>13</v>
      </c>
      <c r="Z20">
        <f t="shared" si="35"/>
        <v>0</v>
      </c>
      <c r="AA20">
        <f t="shared" si="36"/>
        <v>0</v>
      </c>
      <c r="AE20">
        <f t="shared" si="37"/>
        <v>0</v>
      </c>
      <c r="AF20">
        <f t="shared" si="38"/>
        <v>0</v>
      </c>
      <c r="AG20">
        <f t="shared" si="39"/>
        <v>0</v>
      </c>
      <c r="AK20">
        <f t="shared" si="40"/>
        <v>0</v>
      </c>
      <c r="AL20">
        <f t="shared" si="41"/>
        <v>0</v>
      </c>
      <c r="AM20">
        <f t="shared" si="42"/>
        <v>0</v>
      </c>
      <c r="AN20">
        <f t="shared" si="43"/>
        <v>0</v>
      </c>
      <c r="AP20">
        <f t="shared" si="46"/>
        <v>0</v>
      </c>
      <c r="AQ20" s="4">
        <f t="shared" si="47"/>
        <v>0</v>
      </c>
      <c r="AR20" s="4">
        <f t="shared" si="44"/>
        <v>0</v>
      </c>
      <c r="AS20" s="4">
        <f t="shared" si="44"/>
        <v>0</v>
      </c>
      <c r="AT20" s="4">
        <f t="shared" si="44"/>
        <v>0</v>
      </c>
      <c r="AU20" s="4">
        <f t="shared" si="44"/>
        <v>0</v>
      </c>
      <c r="AV20" s="4">
        <f t="shared" si="44"/>
        <v>0</v>
      </c>
      <c r="AW20" s="4">
        <f t="shared" si="44"/>
        <v>0</v>
      </c>
      <c r="AX20" s="4">
        <f t="shared" si="44"/>
        <v>0</v>
      </c>
      <c r="AY20" s="4">
        <f t="shared" si="44"/>
        <v>0</v>
      </c>
      <c r="AZ20" s="4">
        <f t="shared" si="44"/>
        <v>0</v>
      </c>
      <c r="BA20" s="4">
        <f t="shared" si="44"/>
        <v>0</v>
      </c>
      <c r="BB20" s="4">
        <f t="shared" si="44"/>
        <v>0</v>
      </c>
      <c r="BC20" s="4">
        <f t="shared" si="44"/>
        <v>0</v>
      </c>
      <c r="BD20" s="4">
        <f t="shared" si="44"/>
        <v>0</v>
      </c>
      <c r="BE20" s="4">
        <f t="shared" si="44"/>
        <v>0</v>
      </c>
      <c r="BF20" s="4">
        <f t="shared" si="44"/>
        <v>0</v>
      </c>
      <c r="BG20" s="4">
        <f t="shared" si="44"/>
        <v>0</v>
      </c>
      <c r="BH20" s="4">
        <f t="shared" si="45"/>
        <v>0</v>
      </c>
      <c r="BI20" s="4">
        <f t="shared" si="45"/>
        <v>0</v>
      </c>
      <c r="BJ20" s="4">
        <f t="shared" si="45"/>
        <v>0</v>
      </c>
      <c r="BK20" s="4">
        <f t="shared" si="45"/>
        <v>0</v>
      </c>
      <c r="BL20" s="4">
        <f t="shared" si="45"/>
        <v>0</v>
      </c>
      <c r="BM20" s="4">
        <f t="shared" si="45"/>
        <v>0</v>
      </c>
      <c r="BN20" s="4">
        <f t="shared" si="45"/>
        <v>0</v>
      </c>
    </row>
    <row r="21" spans="1:66" x14ac:dyDescent="0.2">
      <c r="A21" s="1" t="s">
        <v>24</v>
      </c>
      <c r="D21">
        <f>G16/A31</f>
        <v>0.16666666666666666</v>
      </c>
      <c r="G21" t="s">
        <v>76</v>
      </c>
      <c r="K21" t="s">
        <v>57</v>
      </c>
      <c r="L21" t="s">
        <v>58</v>
      </c>
      <c r="M21" t="s">
        <v>59</v>
      </c>
      <c r="N21" t="s">
        <v>60</v>
      </c>
      <c r="Z21">
        <f t="shared" si="35"/>
        <v>0</v>
      </c>
      <c r="AA21">
        <f t="shared" si="36"/>
        <v>0</v>
      </c>
      <c r="AE21">
        <f t="shared" si="37"/>
        <v>0</v>
      </c>
      <c r="AF21">
        <f t="shared" si="38"/>
        <v>0</v>
      </c>
      <c r="AG21">
        <f t="shared" si="39"/>
        <v>0</v>
      </c>
      <c r="AK21">
        <f t="shared" si="40"/>
        <v>0</v>
      </c>
      <c r="AL21">
        <f t="shared" si="41"/>
        <v>0</v>
      </c>
      <c r="AM21">
        <f t="shared" si="42"/>
        <v>0</v>
      </c>
      <c r="AN21">
        <f t="shared" si="43"/>
        <v>0</v>
      </c>
      <c r="AP21">
        <f t="shared" si="46"/>
        <v>0</v>
      </c>
      <c r="AQ21" s="4">
        <f t="shared" si="47"/>
        <v>0</v>
      </c>
      <c r="AR21" s="4">
        <f t="shared" si="44"/>
        <v>0</v>
      </c>
      <c r="AS21" s="4">
        <f t="shared" si="44"/>
        <v>0</v>
      </c>
      <c r="AT21" s="4">
        <f t="shared" si="44"/>
        <v>0</v>
      </c>
      <c r="AU21" s="4">
        <f t="shared" si="44"/>
        <v>0</v>
      </c>
      <c r="AV21" s="4">
        <f t="shared" si="44"/>
        <v>0</v>
      </c>
      <c r="AW21" s="4">
        <f t="shared" si="44"/>
        <v>0</v>
      </c>
      <c r="AX21" s="4">
        <f t="shared" si="44"/>
        <v>0</v>
      </c>
      <c r="AY21" s="4">
        <f t="shared" si="44"/>
        <v>0</v>
      </c>
      <c r="AZ21" s="4">
        <f t="shared" si="44"/>
        <v>0</v>
      </c>
      <c r="BA21" s="4">
        <f t="shared" si="44"/>
        <v>0</v>
      </c>
      <c r="BB21" s="4">
        <f t="shared" si="44"/>
        <v>0</v>
      </c>
      <c r="BC21" s="4">
        <f t="shared" si="44"/>
        <v>0</v>
      </c>
      <c r="BD21" s="4">
        <f t="shared" si="44"/>
        <v>0</v>
      </c>
      <c r="BE21" s="4">
        <f t="shared" si="44"/>
        <v>0</v>
      </c>
      <c r="BF21" s="4">
        <f t="shared" si="44"/>
        <v>0</v>
      </c>
      <c r="BG21" s="4">
        <f t="shared" si="44"/>
        <v>0</v>
      </c>
      <c r="BH21" s="4">
        <f t="shared" si="45"/>
        <v>0</v>
      </c>
      <c r="BI21" s="4">
        <f t="shared" si="45"/>
        <v>0</v>
      </c>
      <c r="BJ21" s="4">
        <f t="shared" si="45"/>
        <v>0</v>
      </c>
      <c r="BK21" s="4">
        <f t="shared" si="45"/>
        <v>0</v>
      </c>
      <c r="BL21" s="4">
        <f t="shared" si="45"/>
        <v>0</v>
      </c>
      <c r="BM21" s="4">
        <f t="shared" si="45"/>
        <v>0</v>
      </c>
      <c r="BN21" s="4">
        <f t="shared" si="45"/>
        <v>0</v>
      </c>
    </row>
    <row r="22" spans="1:66" x14ac:dyDescent="0.2">
      <c r="A22" t="s">
        <v>36</v>
      </c>
      <c r="B22" t="s">
        <v>10</v>
      </c>
      <c r="D22" t="s">
        <v>48</v>
      </c>
      <c r="G22" t="e">
        <f>AL28/AP28</f>
        <v>#DIV/0!</v>
      </c>
      <c r="K22">
        <f>AVERAGE(C39:C50)</f>
        <v>3.3333333333333335</v>
      </c>
      <c r="L22">
        <f>MEDIAN(C39:C50)</f>
        <v>3.5</v>
      </c>
      <c r="M22">
        <f>MAX(C39:C50)</f>
        <v>5</v>
      </c>
      <c r="N22">
        <f>_xlfn.STDEV.S(C39:C50)</f>
        <v>1.0730867399773192</v>
      </c>
      <c r="Z22">
        <f t="shared" si="35"/>
        <v>0</v>
      </c>
      <c r="AA22">
        <f t="shared" si="36"/>
        <v>0</v>
      </c>
      <c r="AE22">
        <f t="shared" si="37"/>
        <v>0</v>
      </c>
      <c r="AF22">
        <f t="shared" si="38"/>
        <v>0</v>
      </c>
      <c r="AG22">
        <f t="shared" si="39"/>
        <v>0</v>
      </c>
      <c r="AK22">
        <f t="shared" si="40"/>
        <v>0</v>
      </c>
      <c r="AL22">
        <f t="shared" si="41"/>
        <v>0</v>
      </c>
      <c r="AM22">
        <f t="shared" si="42"/>
        <v>0</v>
      </c>
      <c r="AN22">
        <f t="shared" si="43"/>
        <v>0</v>
      </c>
      <c r="AP22">
        <f t="shared" si="46"/>
        <v>0</v>
      </c>
      <c r="AQ22" s="4">
        <f t="shared" si="47"/>
        <v>0</v>
      </c>
      <c r="AR22" s="4">
        <f t="shared" si="44"/>
        <v>0</v>
      </c>
      <c r="AS22" s="4">
        <f t="shared" si="44"/>
        <v>0</v>
      </c>
      <c r="AT22" s="4">
        <f t="shared" si="44"/>
        <v>0</v>
      </c>
      <c r="AU22" s="4">
        <f t="shared" si="44"/>
        <v>0</v>
      </c>
      <c r="AV22" s="4">
        <f t="shared" si="44"/>
        <v>0</v>
      </c>
      <c r="AW22" s="4">
        <f t="shared" si="44"/>
        <v>0</v>
      </c>
      <c r="AX22" s="4">
        <f t="shared" si="44"/>
        <v>0</v>
      </c>
      <c r="AY22" s="4">
        <f t="shared" si="44"/>
        <v>0</v>
      </c>
      <c r="AZ22" s="4">
        <f t="shared" si="44"/>
        <v>0</v>
      </c>
      <c r="BA22" s="4">
        <f t="shared" si="44"/>
        <v>0</v>
      </c>
      <c r="BB22" s="4">
        <f t="shared" si="44"/>
        <v>0</v>
      </c>
      <c r="BC22" s="4">
        <f t="shared" si="44"/>
        <v>0</v>
      </c>
      <c r="BD22" s="4">
        <f t="shared" si="44"/>
        <v>0</v>
      </c>
      <c r="BE22" s="4">
        <f t="shared" si="44"/>
        <v>0</v>
      </c>
      <c r="BF22" s="4">
        <f t="shared" si="44"/>
        <v>0</v>
      </c>
      <c r="BG22" s="4">
        <f t="shared" si="44"/>
        <v>0</v>
      </c>
      <c r="BH22" s="4">
        <f t="shared" si="45"/>
        <v>0</v>
      </c>
      <c r="BI22" s="4">
        <f t="shared" si="45"/>
        <v>0</v>
      </c>
      <c r="BJ22" s="4">
        <f t="shared" si="45"/>
        <v>0</v>
      </c>
      <c r="BK22" s="4">
        <f t="shared" si="45"/>
        <v>0</v>
      </c>
      <c r="BL22" s="4">
        <f t="shared" si="45"/>
        <v>0</v>
      </c>
      <c r="BM22" s="4">
        <f t="shared" si="45"/>
        <v>0</v>
      </c>
      <c r="BN22" s="4">
        <f t="shared" si="45"/>
        <v>0</v>
      </c>
    </row>
    <row r="23" spans="1:66" x14ac:dyDescent="0.2">
      <c r="A23" t="s">
        <v>37</v>
      </c>
      <c r="B23" t="s">
        <v>25</v>
      </c>
      <c r="D23">
        <f>H16/A31</f>
        <v>0</v>
      </c>
      <c r="G23" t="s">
        <v>77</v>
      </c>
      <c r="K23" t="s">
        <v>8</v>
      </c>
      <c r="Z23">
        <f t="shared" si="35"/>
        <v>0</v>
      </c>
      <c r="AA23">
        <f t="shared" si="36"/>
        <v>0</v>
      </c>
      <c r="AE23">
        <f t="shared" si="37"/>
        <v>0</v>
      </c>
      <c r="AF23">
        <f t="shared" si="38"/>
        <v>0</v>
      </c>
      <c r="AG23">
        <f t="shared" si="39"/>
        <v>0</v>
      </c>
      <c r="AK23">
        <f t="shared" si="40"/>
        <v>0</v>
      </c>
      <c r="AL23">
        <f t="shared" si="41"/>
        <v>0</v>
      </c>
      <c r="AM23">
        <f t="shared" si="42"/>
        <v>0</v>
      </c>
      <c r="AN23">
        <f t="shared" si="43"/>
        <v>0</v>
      </c>
      <c r="AP23">
        <f t="shared" si="46"/>
        <v>0</v>
      </c>
      <c r="AQ23" s="4">
        <f t="shared" si="47"/>
        <v>0</v>
      </c>
      <c r="AR23" s="4">
        <f t="shared" si="44"/>
        <v>0</v>
      </c>
      <c r="AS23" s="4">
        <f t="shared" si="44"/>
        <v>0</v>
      </c>
      <c r="AT23" s="4">
        <f t="shared" si="44"/>
        <v>0</v>
      </c>
      <c r="AU23" s="4">
        <f t="shared" si="44"/>
        <v>0</v>
      </c>
      <c r="AV23" s="4">
        <f t="shared" si="44"/>
        <v>0</v>
      </c>
      <c r="AW23" s="4">
        <f t="shared" si="44"/>
        <v>0</v>
      </c>
      <c r="AX23" s="4">
        <f t="shared" si="44"/>
        <v>0</v>
      </c>
      <c r="AY23" s="4">
        <f t="shared" si="44"/>
        <v>0</v>
      </c>
      <c r="AZ23" s="4">
        <f t="shared" si="44"/>
        <v>0</v>
      </c>
      <c r="BA23" s="4">
        <f t="shared" si="44"/>
        <v>0</v>
      </c>
      <c r="BB23" s="4">
        <f t="shared" si="44"/>
        <v>0</v>
      </c>
      <c r="BC23" s="4">
        <f t="shared" si="44"/>
        <v>0</v>
      </c>
      <c r="BD23" s="4">
        <f t="shared" si="44"/>
        <v>0</v>
      </c>
      <c r="BE23" s="4">
        <f t="shared" si="44"/>
        <v>0</v>
      </c>
      <c r="BF23" s="4">
        <f t="shared" si="44"/>
        <v>0</v>
      </c>
      <c r="BG23" s="4">
        <f t="shared" si="44"/>
        <v>0</v>
      </c>
      <c r="BH23" s="4">
        <f t="shared" si="45"/>
        <v>0</v>
      </c>
      <c r="BI23" s="4">
        <f t="shared" si="45"/>
        <v>0</v>
      </c>
      <c r="BJ23" s="4">
        <f t="shared" si="45"/>
        <v>0</v>
      </c>
      <c r="BK23" s="4">
        <f t="shared" si="45"/>
        <v>0</v>
      </c>
      <c r="BL23" s="4">
        <f t="shared" si="45"/>
        <v>0</v>
      </c>
      <c r="BM23" s="4">
        <f t="shared" si="45"/>
        <v>0</v>
      </c>
      <c r="BN23" s="4">
        <f t="shared" si="45"/>
        <v>0</v>
      </c>
    </row>
    <row r="24" spans="1:66" x14ac:dyDescent="0.2">
      <c r="A24" t="s">
        <v>38</v>
      </c>
      <c r="B24" t="s">
        <v>26</v>
      </c>
      <c r="D24" t="s">
        <v>50</v>
      </c>
      <c r="G24" t="e">
        <f>AM28/AP28</f>
        <v>#DIV/0!</v>
      </c>
      <c r="K24" t="s">
        <v>57</v>
      </c>
      <c r="L24" t="s">
        <v>61</v>
      </c>
      <c r="M24" t="s">
        <v>59</v>
      </c>
      <c r="N24" t="s">
        <v>60</v>
      </c>
      <c r="Z24">
        <f t="shared" si="35"/>
        <v>0</v>
      </c>
      <c r="AA24">
        <f t="shared" si="36"/>
        <v>0</v>
      </c>
      <c r="AE24">
        <f t="shared" si="37"/>
        <v>0</v>
      </c>
      <c r="AF24">
        <f t="shared" si="38"/>
        <v>0</v>
      </c>
      <c r="AG24">
        <f t="shared" si="39"/>
        <v>0</v>
      </c>
      <c r="AK24">
        <f t="shared" si="40"/>
        <v>0</v>
      </c>
      <c r="AL24">
        <f t="shared" si="41"/>
        <v>0</v>
      </c>
      <c r="AM24">
        <f t="shared" si="42"/>
        <v>0</v>
      </c>
      <c r="AN24">
        <f t="shared" si="43"/>
        <v>0</v>
      </c>
      <c r="AP24">
        <f t="shared" si="46"/>
        <v>0</v>
      </c>
      <c r="AQ24" s="4">
        <f t="shared" si="47"/>
        <v>0</v>
      </c>
      <c r="AR24" s="4">
        <f t="shared" si="44"/>
        <v>0</v>
      </c>
      <c r="AS24" s="4">
        <f t="shared" si="44"/>
        <v>0</v>
      </c>
      <c r="AT24" s="4">
        <f t="shared" si="44"/>
        <v>0</v>
      </c>
      <c r="AU24" s="4">
        <f t="shared" si="44"/>
        <v>0</v>
      </c>
      <c r="AV24" s="4">
        <f t="shared" si="44"/>
        <v>0</v>
      </c>
      <c r="AW24" s="4">
        <f t="shared" si="44"/>
        <v>0</v>
      </c>
      <c r="AX24" s="4">
        <f t="shared" si="44"/>
        <v>0</v>
      </c>
      <c r="AY24" s="4">
        <f t="shared" si="44"/>
        <v>0</v>
      </c>
      <c r="AZ24" s="4">
        <f t="shared" si="44"/>
        <v>0</v>
      </c>
      <c r="BA24" s="4">
        <f t="shared" si="44"/>
        <v>0</v>
      </c>
      <c r="BB24" s="4">
        <f t="shared" si="44"/>
        <v>0</v>
      </c>
      <c r="BC24" s="4">
        <f t="shared" si="44"/>
        <v>0</v>
      </c>
      <c r="BD24" s="4">
        <f t="shared" si="44"/>
        <v>0</v>
      </c>
      <c r="BE24" s="4">
        <f t="shared" si="44"/>
        <v>0</v>
      </c>
      <c r="BF24" s="4">
        <f t="shared" si="44"/>
        <v>0</v>
      </c>
      <c r="BG24" s="4">
        <f t="shared" si="44"/>
        <v>0</v>
      </c>
      <c r="BH24" s="4">
        <f t="shared" si="45"/>
        <v>0</v>
      </c>
      <c r="BI24" s="4">
        <f t="shared" si="45"/>
        <v>0</v>
      </c>
      <c r="BJ24" s="4">
        <f t="shared" si="45"/>
        <v>0</v>
      </c>
      <c r="BK24" s="4">
        <f t="shared" si="45"/>
        <v>0</v>
      </c>
      <c r="BL24" s="4">
        <f t="shared" si="45"/>
        <v>0</v>
      </c>
      <c r="BM24" s="4">
        <f t="shared" si="45"/>
        <v>0</v>
      </c>
      <c r="BN24" s="4">
        <f t="shared" si="45"/>
        <v>0</v>
      </c>
    </row>
    <row r="25" spans="1:66" x14ac:dyDescent="0.2">
      <c r="A25" t="s">
        <v>39</v>
      </c>
      <c r="B25" t="s">
        <v>27</v>
      </c>
      <c r="D25">
        <f>Z28/A31</f>
        <v>0</v>
      </c>
      <c r="G25" t="s">
        <v>78</v>
      </c>
      <c r="K25">
        <f>AVERAGE(E39:E50)</f>
        <v>0</v>
      </c>
      <c r="L25">
        <f>MEDIAN(E39:E50)</f>
        <v>0</v>
      </c>
      <c r="M25">
        <f>MAX(E39:E50)</f>
        <v>0</v>
      </c>
      <c r="N25">
        <f>_xlfn.STDEV.S(E39:E50)</f>
        <v>0</v>
      </c>
      <c r="Z25">
        <f t="shared" si="35"/>
        <v>0</v>
      </c>
      <c r="AA25">
        <f t="shared" si="36"/>
        <v>0</v>
      </c>
      <c r="AE25">
        <f t="shared" si="37"/>
        <v>0</v>
      </c>
      <c r="AF25">
        <f t="shared" si="38"/>
        <v>0</v>
      </c>
      <c r="AG25">
        <f t="shared" si="39"/>
        <v>0</v>
      </c>
      <c r="AK25">
        <f t="shared" si="40"/>
        <v>0</v>
      </c>
      <c r="AL25">
        <f t="shared" si="41"/>
        <v>0</v>
      </c>
      <c r="AM25">
        <f t="shared" si="42"/>
        <v>0</v>
      </c>
      <c r="AN25">
        <f t="shared" si="43"/>
        <v>0</v>
      </c>
      <c r="AP25">
        <f t="shared" si="46"/>
        <v>0</v>
      </c>
      <c r="AQ25" s="4">
        <f t="shared" si="47"/>
        <v>0</v>
      </c>
      <c r="AR25" s="4">
        <f t="shared" si="44"/>
        <v>0</v>
      </c>
      <c r="AS25" s="4">
        <f t="shared" si="44"/>
        <v>0</v>
      </c>
      <c r="AT25" s="4">
        <f t="shared" si="44"/>
        <v>0</v>
      </c>
      <c r="AU25" s="4">
        <f t="shared" si="44"/>
        <v>0</v>
      </c>
      <c r="AV25" s="4">
        <f t="shared" si="44"/>
        <v>0</v>
      </c>
      <c r="AW25" s="4">
        <f t="shared" si="44"/>
        <v>0</v>
      </c>
      <c r="AX25" s="4">
        <f t="shared" si="44"/>
        <v>0</v>
      </c>
      <c r="AY25" s="4">
        <f t="shared" si="44"/>
        <v>0</v>
      </c>
      <c r="AZ25" s="4">
        <f t="shared" si="44"/>
        <v>0</v>
      </c>
      <c r="BA25" s="4">
        <f t="shared" si="44"/>
        <v>0</v>
      </c>
      <c r="BB25" s="4">
        <f t="shared" si="44"/>
        <v>0</v>
      </c>
      <c r="BC25" s="4">
        <f t="shared" si="44"/>
        <v>0</v>
      </c>
      <c r="BD25" s="4">
        <f t="shared" si="44"/>
        <v>0</v>
      </c>
      <c r="BE25" s="4">
        <f t="shared" si="44"/>
        <v>0</v>
      </c>
      <c r="BF25" s="4">
        <f t="shared" si="44"/>
        <v>0</v>
      </c>
      <c r="BG25" s="4">
        <f t="shared" si="44"/>
        <v>0</v>
      </c>
      <c r="BH25" s="4">
        <f t="shared" si="45"/>
        <v>0</v>
      </c>
      <c r="BI25" s="4">
        <f t="shared" si="45"/>
        <v>0</v>
      </c>
      <c r="BJ25" s="4">
        <f t="shared" si="45"/>
        <v>0</v>
      </c>
      <c r="BK25" s="4">
        <f t="shared" si="45"/>
        <v>0</v>
      </c>
      <c r="BL25" s="4">
        <f t="shared" si="45"/>
        <v>0</v>
      </c>
      <c r="BM25" s="4">
        <f t="shared" si="45"/>
        <v>0</v>
      </c>
      <c r="BN25" s="4">
        <f t="shared" si="45"/>
        <v>0</v>
      </c>
    </row>
    <row r="26" spans="1:66" x14ac:dyDescent="0.2">
      <c r="A26" t="s">
        <v>44</v>
      </c>
      <c r="D26" t="s">
        <v>51</v>
      </c>
      <c r="G26" t="e">
        <f>AN28/AP28</f>
        <v>#DIV/0!</v>
      </c>
      <c r="K26" t="s">
        <v>62</v>
      </c>
      <c r="P26" t="s">
        <v>19</v>
      </c>
      <c r="Z26">
        <f t="shared" si="35"/>
        <v>0</v>
      </c>
      <c r="AA26">
        <f t="shared" si="36"/>
        <v>0</v>
      </c>
      <c r="AE26">
        <f t="shared" si="37"/>
        <v>0</v>
      </c>
      <c r="AF26">
        <f t="shared" si="38"/>
        <v>0</v>
      </c>
      <c r="AG26">
        <f t="shared" si="39"/>
        <v>0</v>
      </c>
      <c r="AK26">
        <f t="shared" si="40"/>
        <v>0</v>
      </c>
      <c r="AL26">
        <f t="shared" si="41"/>
        <v>0</v>
      </c>
      <c r="AM26">
        <f t="shared" si="42"/>
        <v>0</v>
      </c>
      <c r="AN26">
        <f t="shared" si="43"/>
        <v>0</v>
      </c>
      <c r="AP26">
        <f t="shared" si="46"/>
        <v>0</v>
      </c>
      <c r="AQ26" s="4">
        <f t="shared" si="47"/>
        <v>0</v>
      </c>
      <c r="AR26" s="4">
        <f t="shared" si="44"/>
        <v>0</v>
      </c>
      <c r="AS26" s="4">
        <f t="shared" si="44"/>
        <v>0</v>
      </c>
      <c r="AT26" s="4">
        <f t="shared" si="44"/>
        <v>0</v>
      </c>
      <c r="AU26" s="4">
        <f t="shared" si="44"/>
        <v>0</v>
      </c>
      <c r="AV26" s="4">
        <f t="shared" si="44"/>
        <v>0</v>
      </c>
      <c r="AW26" s="4">
        <f t="shared" si="44"/>
        <v>0</v>
      </c>
      <c r="AX26" s="4">
        <f t="shared" si="44"/>
        <v>0</v>
      </c>
      <c r="AY26" s="4">
        <f t="shared" si="44"/>
        <v>0</v>
      </c>
      <c r="AZ26" s="4">
        <f t="shared" si="44"/>
        <v>0</v>
      </c>
      <c r="BA26" s="4">
        <f t="shared" si="44"/>
        <v>0</v>
      </c>
      <c r="BB26" s="4">
        <f t="shared" si="44"/>
        <v>0</v>
      </c>
      <c r="BC26" s="4">
        <f t="shared" si="44"/>
        <v>0</v>
      </c>
      <c r="BD26" s="4">
        <f t="shared" si="44"/>
        <v>0</v>
      </c>
      <c r="BE26" s="4">
        <f t="shared" si="44"/>
        <v>0</v>
      </c>
      <c r="BF26" s="4">
        <f t="shared" si="44"/>
        <v>0</v>
      </c>
      <c r="BG26" s="4">
        <f t="shared" si="44"/>
        <v>0</v>
      </c>
      <c r="BH26" s="4">
        <f t="shared" si="45"/>
        <v>0</v>
      </c>
      <c r="BI26" s="4">
        <f t="shared" si="45"/>
        <v>0</v>
      </c>
      <c r="BJ26" s="4">
        <f t="shared" si="45"/>
        <v>0</v>
      </c>
      <c r="BK26" s="4">
        <f t="shared" si="45"/>
        <v>0</v>
      </c>
      <c r="BL26" s="4">
        <f t="shared" si="45"/>
        <v>0</v>
      </c>
      <c r="BM26" s="4">
        <f t="shared" si="45"/>
        <v>0</v>
      </c>
      <c r="BN26" s="4">
        <f t="shared" si="45"/>
        <v>0</v>
      </c>
    </row>
    <row r="27" spans="1:66" x14ac:dyDescent="0.2">
      <c r="A27" t="s">
        <v>45</v>
      </c>
      <c r="D27">
        <f>AA28/A31</f>
        <v>0</v>
      </c>
      <c r="G27" t="s">
        <v>56</v>
      </c>
      <c r="K27" t="s">
        <v>57</v>
      </c>
      <c r="L27" t="s">
        <v>58</v>
      </c>
      <c r="M27" t="s">
        <v>59</v>
      </c>
      <c r="N27" t="s">
        <v>60</v>
      </c>
      <c r="P27" t="s">
        <v>57</v>
      </c>
      <c r="Q27" t="s">
        <v>58</v>
      </c>
      <c r="R27" t="s">
        <v>59</v>
      </c>
      <c r="S27" t="s">
        <v>60</v>
      </c>
      <c r="Z27">
        <f t="shared" si="35"/>
        <v>0</v>
      </c>
      <c r="AA27">
        <f t="shared" si="36"/>
        <v>0</v>
      </c>
      <c r="AE27">
        <f t="shared" si="37"/>
        <v>0</v>
      </c>
      <c r="AF27">
        <f t="shared" si="38"/>
        <v>0</v>
      </c>
      <c r="AG27">
        <f t="shared" si="39"/>
        <v>0</v>
      </c>
      <c r="AK27">
        <f t="shared" si="40"/>
        <v>0</v>
      </c>
      <c r="AL27">
        <f t="shared" si="41"/>
        <v>0</v>
      </c>
      <c r="AM27">
        <f t="shared" si="42"/>
        <v>0</v>
      </c>
      <c r="AN27">
        <f t="shared" si="43"/>
        <v>0</v>
      </c>
      <c r="AP27">
        <f t="shared" si="46"/>
        <v>0</v>
      </c>
      <c r="AQ27" s="4">
        <f t="shared" si="47"/>
        <v>0</v>
      </c>
      <c r="AR27" s="4">
        <f t="shared" si="44"/>
        <v>0</v>
      </c>
      <c r="AS27" s="4">
        <f t="shared" si="44"/>
        <v>0</v>
      </c>
      <c r="AT27" s="4">
        <f t="shared" si="44"/>
        <v>0</v>
      </c>
      <c r="AU27" s="4">
        <f t="shared" si="44"/>
        <v>0</v>
      </c>
      <c r="AV27" s="4">
        <f t="shared" si="44"/>
        <v>0</v>
      </c>
      <c r="AW27" s="4">
        <f t="shared" si="44"/>
        <v>0</v>
      </c>
      <c r="AX27" s="4">
        <f t="shared" si="44"/>
        <v>0</v>
      </c>
      <c r="AY27" s="4">
        <f t="shared" si="44"/>
        <v>0</v>
      </c>
      <c r="AZ27" s="4">
        <f t="shared" si="44"/>
        <v>0</v>
      </c>
      <c r="BA27" s="4">
        <f t="shared" si="44"/>
        <v>0</v>
      </c>
      <c r="BB27" s="4">
        <f t="shared" si="44"/>
        <v>0</v>
      </c>
      <c r="BC27" s="4">
        <f t="shared" si="44"/>
        <v>0</v>
      </c>
      <c r="BD27" s="4">
        <f t="shared" si="44"/>
        <v>0</v>
      </c>
      <c r="BE27" s="4">
        <f t="shared" si="44"/>
        <v>0</v>
      </c>
      <c r="BF27" s="4">
        <f t="shared" si="44"/>
        <v>0</v>
      </c>
      <c r="BG27" s="4">
        <f t="shared" si="44"/>
        <v>0</v>
      </c>
      <c r="BH27" s="4">
        <f t="shared" si="45"/>
        <v>0</v>
      </c>
      <c r="BI27" s="4">
        <f t="shared" si="45"/>
        <v>0</v>
      </c>
      <c r="BJ27" s="4">
        <f t="shared" si="45"/>
        <v>0</v>
      </c>
      <c r="BK27" s="4">
        <f t="shared" si="45"/>
        <v>0</v>
      </c>
      <c r="BL27" s="4">
        <f t="shared" si="45"/>
        <v>0</v>
      </c>
      <c r="BM27" s="4">
        <f t="shared" si="45"/>
        <v>0</v>
      </c>
      <c r="BN27" s="4">
        <f t="shared" si="45"/>
        <v>0</v>
      </c>
    </row>
    <row r="28" spans="1:66" x14ac:dyDescent="0.2">
      <c r="A28" t="s">
        <v>46</v>
      </c>
      <c r="D28" t="s">
        <v>202</v>
      </c>
      <c r="G28" t="s">
        <v>57</v>
      </c>
      <c r="H28" t="s">
        <v>58</v>
      </c>
      <c r="I28" t="s">
        <v>59</v>
      </c>
      <c r="J28" t="s">
        <v>60</v>
      </c>
      <c r="K28">
        <f>AVERAGE(G39:G50)</f>
        <v>0</v>
      </c>
      <c r="L28">
        <f>MEDIAN(G39:G50)</f>
        <v>0</v>
      </c>
      <c r="M28">
        <f>MAX(G39:G50)</f>
        <v>0</v>
      </c>
      <c r="N28">
        <f>_xlfn.STDEV.S(G39:G50)</f>
        <v>0</v>
      </c>
      <c r="P28">
        <f>AVERAGE(N39:N50)</f>
        <v>2.6666666666666665</v>
      </c>
      <c r="Q28">
        <f>MEDIAN(N39:N50)</f>
        <v>1</v>
      </c>
      <c r="R28">
        <f>MAX(N39:N50)</f>
        <v>13</v>
      </c>
      <c r="S28">
        <f>_xlfn.STDEV.S(N39:N50)</f>
        <v>3.9157800414902439</v>
      </c>
      <c r="Y28" t="s">
        <v>33</v>
      </c>
      <c r="Z28">
        <f>SUM(Z16:Z27)</f>
        <v>0</v>
      </c>
      <c r="AA28">
        <f>SUM(AA16:AA27)</f>
        <v>0</v>
      </c>
      <c r="AE28">
        <f>SUM(AE16:AE27)</f>
        <v>1</v>
      </c>
      <c r="AF28">
        <f>SUM(AF16:AF27)</f>
        <v>0</v>
      </c>
      <c r="AG28">
        <f>SUM(AG16:AG27)</f>
        <v>0</v>
      </c>
      <c r="AK28">
        <f>SUM(AK16:AK27)</f>
        <v>0</v>
      </c>
      <c r="AL28">
        <f>SUM(AL16:AL27)</f>
        <v>0</v>
      </c>
      <c r="AM28">
        <f>SUM(AM16:AM27)</f>
        <v>0</v>
      </c>
      <c r="AN28">
        <f>SUM(AN16:AN27)</f>
        <v>0</v>
      </c>
      <c r="AP28">
        <f>SUM(AP16:AP27)</f>
        <v>0</v>
      </c>
    </row>
    <row r="29" spans="1:66" x14ac:dyDescent="0.2">
      <c r="D29">
        <f>SUM(O39:O50)/F16</f>
        <v>0</v>
      </c>
      <c r="G29">
        <f>AVERAGE(A39:A50)</f>
        <v>8.3333333333333329E-2</v>
      </c>
      <c r="H29">
        <f>MEDIAN(A39:A50)</f>
        <v>0</v>
      </c>
      <c r="I29">
        <f>MAX(A39:A50)</f>
        <v>1</v>
      </c>
      <c r="J29">
        <f>_xlfn.STDEV.S(A39:A50)</f>
        <v>0.28867513459481287</v>
      </c>
      <c r="K29" t="s">
        <v>63</v>
      </c>
      <c r="P29" t="s">
        <v>148</v>
      </c>
    </row>
    <row r="30" spans="1:66" x14ac:dyDescent="0.2">
      <c r="A30" t="s">
        <v>147</v>
      </c>
      <c r="D30" t="s">
        <v>203</v>
      </c>
      <c r="G30" t="s">
        <v>50</v>
      </c>
      <c r="H30" t="s">
        <v>51</v>
      </c>
      <c r="I30" t="s">
        <v>89</v>
      </c>
      <c r="K30" t="s">
        <v>57</v>
      </c>
      <c r="L30" t="s">
        <v>58</v>
      </c>
      <c r="M30" t="s">
        <v>59</v>
      </c>
      <c r="N30" t="s">
        <v>60</v>
      </c>
      <c r="P30" t="s">
        <v>57</v>
      </c>
      <c r="Q30" t="s">
        <v>58</v>
      </c>
      <c r="R30" t="s">
        <v>59</v>
      </c>
      <c r="S30" t="s">
        <v>60</v>
      </c>
      <c r="W30" t="s">
        <v>148</v>
      </c>
      <c r="Y30" t="s">
        <v>149</v>
      </c>
      <c r="AH30" t="s">
        <v>79</v>
      </c>
    </row>
    <row r="31" spans="1:66" x14ac:dyDescent="0.2">
      <c r="A31">
        <f>COUNT(B4:B15)</f>
        <v>12</v>
      </c>
      <c r="D31" s="2">
        <f>SUM(S39:S50)/SUM(Q39:Q50)</f>
        <v>0.81818181818181823</v>
      </c>
      <c r="G31">
        <f>AE28/A31</f>
        <v>8.3333333333333329E-2</v>
      </c>
      <c r="H31">
        <f>AF28/A31</f>
        <v>0</v>
      </c>
      <c r="I31">
        <f>AG28/A31</f>
        <v>0</v>
      </c>
      <c r="K31" t="e">
        <f>AVERAGE(I39:I50)</f>
        <v>#DIV/0!</v>
      </c>
      <c r="L31" t="e">
        <f>MEDIAN(I39:I50)</f>
        <v>#NUM!</v>
      </c>
      <c r="M31">
        <f>MAX(I39:I50)</f>
        <v>0</v>
      </c>
      <c r="N31" t="e">
        <f>_xlfn.STDEV.S(I39:I50)</f>
        <v>#DIV/0!</v>
      </c>
      <c r="P31">
        <f>AVERAGE(W31:W42)</f>
        <v>0.5</v>
      </c>
      <c r="Q31">
        <f>MEDIAN(W31:W42)</f>
        <v>0.5</v>
      </c>
      <c r="R31">
        <f>MAX(W31:W42)</f>
        <v>1</v>
      </c>
      <c r="S31">
        <f>_xlfn.STDEV.S(W31:W42)</f>
        <v>0.70710678118654757</v>
      </c>
      <c r="W31">
        <f t="shared" ref="W31:W33" si="48">IF(AND(ISBLANK(Q4), ISBLANK(R4), ISBLANK(G4), ISBLANK(H4)), "", U4)</f>
        <v>1</v>
      </c>
      <c r="Y31">
        <f t="shared" ref="Y31:Y42" si="49">IF(ISBLANK(Y4), IF(X4 = 0, "", (G4 + H4/3 + V4/9 + W4/3)), U4)</f>
        <v>1</v>
      </c>
      <c r="AH31" t="s">
        <v>80</v>
      </c>
    </row>
    <row r="32" spans="1:66" x14ac:dyDescent="0.2">
      <c r="D32" s="3"/>
      <c r="K32" t="s">
        <v>64</v>
      </c>
      <c r="P32" t="s">
        <v>149</v>
      </c>
      <c r="W32">
        <f t="shared" si="48"/>
        <v>0</v>
      </c>
      <c r="Y32">
        <f t="shared" si="49"/>
        <v>0</v>
      </c>
      <c r="AH32" t="s">
        <v>81</v>
      </c>
    </row>
    <row r="33" spans="1:34" x14ac:dyDescent="0.2">
      <c r="A33" t="s">
        <v>279</v>
      </c>
      <c r="D33" s="3"/>
      <c r="K33" t="s">
        <v>57</v>
      </c>
      <c r="L33" t="s">
        <v>58</v>
      </c>
      <c r="M33" t="s">
        <v>59</v>
      </c>
      <c r="N33" t="s">
        <v>60</v>
      </c>
      <c r="P33" t="s">
        <v>57</v>
      </c>
      <c r="Q33" t="s">
        <v>58</v>
      </c>
      <c r="R33" t="s">
        <v>59</v>
      </c>
      <c r="S33" t="s">
        <v>60</v>
      </c>
      <c r="W33" t="str">
        <f t="shared" si="48"/>
        <v/>
      </c>
      <c r="Y33" t="str">
        <f t="shared" si="49"/>
        <v/>
      </c>
      <c r="AH33" t="s">
        <v>82</v>
      </c>
    </row>
    <row r="34" spans="1:34" x14ac:dyDescent="0.2">
      <c r="A34" t="s">
        <v>337</v>
      </c>
      <c r="D34" s="3"/>
      <c r="K34">
        <f>AVERAGE(K39:K50)</f>
        <v>0</v>
      </c>
      <c r="L34">
        <f>MEDIAN(K39:K50)</f>
        <v>0</v>
      </c>
      <c r="M34">
        <f>MAX(K39:K50)</f>
        <v>0</v>
      </c>
      <c r="N34">
        <f>_xlfn.STDEV.S(K39:K50)</f>
        <v>0</v>
      </c>
      <c r="P34">
        <f>AVERAGE(Y31:Y42)</f>
        <v>0.5</v>
      </c>
      <c r="Q34">
        <f>MEDIAN(Y31:Y42)</f>
        <v>0.5</v>
      </c>
      <c r="R34">
        <f>MAX(Y31:Y42)</f>
        <v>1</v>
      </c>
      <c r="S34">
        <f>_xlfn.STDEV.S(Y31:Y42)</f>
        <v>0.70710678118654757</v>
      </c>
      <c r="W34" t="str">
        <f>IF(AND(ISBLANK(Q7), ISBLANK(R7), ISBLANK(G7), ISBLANK(H7)), "", U7)</f>
        <v/>
      </c>
      <c r="Y34" t="str">
        <f t="shared" si="49"/>
        <v/>
      </c>
      <c r="AH34" t="s">
        <v>83</v>
      </c>
    </row>
    <row r="35" spans="1:34" x14ac:dyDescent="0.2">
      <c r="P35" t="s">
        <v>95</v>
      </c>
      <c r="R35" t="s">
        <v>197</v>
      </c>
      <c r="W35" t="str">
        <f t="shared" ref="W35:W42" si="50">IF(AND(ISBLANK(Q8), ISBLANK(R8), ISBLANK(G8), ISBLANK(H8)), "", U8)</f>
        <v/>
      </c>
      <c r="Y35" t="str">
        <f t="shared" si="49"/>
        <v/>
      </c>
    </row>
    <row r="36" spans="1:34" x14ac:dyDescent="0.2">
      <c r="P36" t="e">
        <f>Q16/(Q16+R16)</f>
        <v>#DIV/0!</v>
      </c>
      <c r="R36" t="e">
        <f>R16/(Q16+R16)</f>
        <v>#DIV/0!</v>
      </c>
      <c r="W36" t="str">
        <f t="shared" si="50"/>
        <v/>
      </c>
      <c r="Y36" t="str">
        <f t="shared" si="49"/>
        <v/>
      </c>
    </row>
    <row r="37" spans="1:34" x14ac:dyDescent="0.2">
      <c r="W37" t="str">
        <f t="shared" si="50"/>
        <v/>
      </c>
      <c r="Y37" t="str">
        <f t="shared" si="49"/>
        <v/>
      </c>
    </row>
    <row r="38" spans="1:34" x14ac:dyDescent="0.2">
      <c r="A38" t="s">
        <v>68</v>
      </c>
      <c r="C38" t="s">
        <v>69</v>
      </c>
      <c r="E38" t="s">
        <v>72</v>
      </c>
      <c r="G38" t="s">
        <v>250</v>
      </c>
      <c r="K38" t="s">
        <v>73</v>
      </c>
      <c r="M38" t="s">
        <v>70</v>
      </c>
      <c r="N38" t="s">
        <v>71</v>
      </c>
      <c r="O38" t="s">
        <v>199</v>
      </c>
      <c r="Q38" t="s">
        <v>200</v>
      </c>
      <c r="S38" t="s">
        <v>201</v>
      </c>
      <c r="W38" t="str">
        <f t="shared" si="50"/>
        <v/>
      </c>
      <c r="Y38" t="str">
        <f t="shared" si="49"/>
        <v/>
      </c>
    </row>
    <row r="39" spans="1:34" x14ac:dyDescent="0.2">
      <c r="A39">
        <f t="shared" ref="A39:A50" si="51">IF(ISBLANK(B4), "", SUM(AE16+AF16+AG16))</f>
        <v>0</v>
      </c>
      <c r="C39">
        <f t="shared" ref="C39:C50" si="52">IF(ISBLANK(B4), "", O4)</f>
        <v>3</v>
      </c>
      <c r="E39">
        <f t="shared" ref="E39:E50" si="53">IF(ISBLANK(B4), "", Q4)</f>
        <v>0</v>
      </c>
      <c r="G39">
        <f t="shared" ref="G39:G50" si="54">IF(ISBLANK(B4), "", R4)</f>
        <v>0</v>
      </c>
      <c r="K39">
        <f t="shared" ref="K39:K50" si="55">IF(ISBLANK(B4), "", SUM(Q4 + R4))</f>
        <v>0</v>
      </c>
      <c r="M39">
        <f t="shared" ref="M39:M50" si="56">IF(ISBLANK(B4), "", SUM(K4+M4) - O4)</f>
        <v>1</v>
      </c>
      <c r="N39">
        <f t="shared" ref="N39:N50" si="57">IF(ISBLANK(B4), "", U4)</f>
        <v>1</v>
      </c>
      <c r="O39">
        <f t="shared" ref="O39:O50" si="58">COUNTIF(E4, "1")*COUNTIF(F4, "1")</f>
        <v>0</v>
      </c>
      <c r="Q39">
        <f t="shared" ref="Q39:Q50" si="59">COUNTIF(D4, "1")*COUNTIF(F4, "")</f>
        <v>1</v>
      </c>
      <c r="S39">
        <f t="shared" ref="S39:S50" si="60">COUNTIF(E4, "1")*COUNTIF(F4, "")</f>
        <v>1</v>
      </c>
      <c r="W39" t="str">
        <f t="shared" si="50"/>
        <v/>
      </c>
      <c r="Y39" t="str">
        <f t="shared" si="49"/>
        <v/>
      </c>
    </row>
    <row r="40" spans="1:34" x14ac:dyDescent="0.2">
      <c r="A40">
        <f t="shared" si="51"/>
        <v>1</v>
      </c>
      <c r="C40">
        <f t="shared" si="52"/>
        <v>4</v>
      </c>
      <c r="E40">
        <f t="shared" si="53"/>
        <v>0</v>
      </c>
      <c r="G40">
        <f t="shared" si="54"/>
        <v>0</v>
      </c>
      <c r="K40">
        <f t="shared" si="55"/>
        <v>0</v>
      </c>
      <c r="M40">
        <f t="shared" si="56"/>
        <v>0</v>
      </c>
      <c r="N40">
        <f t="shared" si="57"/>
        <v>0</v>
      </c>
      <c r="O40">
        <f t="shared" si="58"/>
        <v>0</v>
      </c>
      <c r="Q40">
        <f t="shared" si="59"/>
        <v>1</v>
      </c>
      <c r="S40">
        <f t="shared" si="60"/>
        <v>1</v>
      </c>
      <c r="W40" t="str">
        <f t="shared" si="50"/>
        <v/>
      </c>
      <c r="Y40" t="str">
        <f t="shared" si="49"/>
        <v/>
      </c>
    </row>
    <row r="41" spans="1:34" x14ac:dyDescent="0.2">
      <c r="A41">
        <f t="shared" si="51"/>
        <v>0</v>
      </c>
      <c r="C41">
        <f t="shared" si="52"/>
        <v>3</v>
      </c>
      <c r="E41">
        <f t="shared" si="53"/>
        <v>0</v>
      </c>
      <c r="G41">
        <f t="shared" si="54"/>
        <v>0</v>
      </c>
      <c r="K41">
        <f t="shared" si="55"/>
        <v>0</v>
      </c>
      <c r="M41">
        <f t="shared" si="56"/>
        <v>0</v>
      </c>
      <c r="N41">
        <f t="shared" si="57"/>
        <v>0</v>
      </c>
      <c r="O41">
        <f t="shared" si="58"/>
        <v>0</v>
      </c>
      <c r="Q41">
        <f t="shared" si="59"/>
        <v>1</v>
      </c>
      <c r="S41">
        <f t="shared" si="60"/>
        <v>1</v>
      </c>
      <c r="W41" t="str">
        <f t="shared" si="50"/>
        <v/>
      </c>
      <c r="Y41" t="str">
        <f t="shared" si="49"/>
        <v/>
      </c>
    </row>
    <row r="42" spans="1:34" x14ac:dyDescent="0.2">
      <c r="A42">
        <f t="shared" si="51"/>
        <v>0</v>
      </c>
      <c r="C42">
        <f t="shared" si="52"/>
        <v>3</v>
      </c>
      <c r="E42">
        <f t="shared" si="53"/>
        <v>0</v>
      </c>
      <c r="G42">
        <f t="shared" si="54"/>
        <v>0</v>
      </c>
      <c r="K42">
        <f t="shared" si="55"/>
        <v>0</v>
      </c>
      <c r="M42">
        <f t="shared" si="56"/>
        <v>0</v>
      </c>
      <c r="N42">
        <f t="shared" si="57"/>
        <v>0</v>
      </c>
      <c r="O42">
        <f t="shared" si="58"/>
        <v>0</v>
      </c>
      <c r="Q42">
        <f t="shared" si="59"/>
        <v>1</v>
      </c>
      <c r="S42">
        <f t="shared" si="60"/>
        <v>1</v>
      </c>
      <c r="W42" t="str">
        <f t="shared" si="50"/>
        <v/>
      </c>
      <c r="Y42" t="str">
        <f t="shared" si="49"/>
        <v/>
      </c>
    </row>
    <row r="43" spans="1:34" x14ac:dyDescent="0.2">
      <c r="A43">
        <f t="shared" si="51"/>
        <v>0</v>
      </c>
      <c r="C43">
        <f t="shared" si="52"/>
        <v>3</v>
      </c>
      <c r="E43">
        <f t="shared" si="53"/>
        <v>0</v>
      </c>
      <c r="G43">
        <f t="shared" si="54"/>
        <v>0</v>
      </c>
      <c r="K43">
        <f t="shared" si="55"/>
        <v>0</v>
      </c>
      <c r="M43">
        <f t="shared" si="56"/>
        <v>0</v>
      </c>
      <c r="N43">
        <f t="shared" si="57"/>
        <v>7</v>
      </c>
      <c r="O43">
        <f t="shared" si="58"/>
        <v>0</v>
      </c>
      <c r="Q43">
        <f t="shared" si="59"/>
        <v>1</v>
      </c>
      <c r="S43">
        <f t="shared" si="60"/>
        <v>1</v>
      </c>
    </row>
    <row r="44" spans="1:34" x14ac:dyDescent="0.2">
      <c r="A44">
        <f t="shared" si="51"/>
        <v>0</v>
      </c>
      <c r="C44">
        <f t="shared" si="52"/>
        <v>4</v>
      </c>
      <c r="E44">
        <f t="shared" si="53"/>
        <v>0</v>
      </c>
      <c r="G44">
        <f t="shared" si="54"/>
        <v>0</v>
      </c>
      <c r="K44">
        <f t="shared" si="55"/>
        <v>0</v>
      </c>
      <c r="M44">
        <f t="shared" si="56"/>
        <v>1</v>
      </c>
      <c r="N44">
        <f t="shared" si="57"/>
        <v>1</v>
      </c>
      <c r="O44">
        <f t="shared" si="58"/>
        <v>0</v>
      </c>
      <c r="Q44">
        <f t="shared" si="59"/>
        <v>1</v>
      </c>
      <c r="S44">
        <f t="shared" si="60"/>
        <v>1</v>
      </c>
    </row>
    <row r="45" spans="1:34" x14ac:dyDescent="0.2">
      <c r="A45">
        <f t="shared" si="51"/>
        <v>0</v>
      </c>
      <c r="C45">
        <f t="shared" si="52"/>
        <v>2</v>
      </c>
      <c r="E45">
        <f t="shared" si="53"/>
        <v>0</v>
      </c>
      <c r="G45">
        <f t="shared" si="54"/>
        <v>0</v>
      </c>
      <c r="K45">
        <f t="shared" si="55"/>
        <v>0</v>
      </c>
      <c r="M45">
        <f t="shared" si="56"/>
        <v>0</v>
      </c>
      <c r="N45">
        <f t="shared" si="57"/>
        <v>1</v>
      </c>
      <c r="O45">
        <f t="shared" si="58"/>
        <v>0</v>
      </c>
      <c r="Q45">
        <f t="shared" si="59"/>
        <v>1</v>
      </c>
      <c r="S45">
        <f t="shared" si="60"/>
        <v>1</v>
      </c>
    </row>
    <row r="46" spans="1:34" x14ac:dyDescent="0.2">
      <c r="A46">
        <f t="shared" si="51"/>
        <v>0</v>
      </c>
      <c r="C46">
        <f t="shared" si="52"/>
        <v>4</v>
      </c>
      <c r="E46">
        <f t="shared" si="53"/>
        <v>0</v>
      </c>
      <c r="G46">
        <f t="shared" si="54"/>
        <v>0</v>
      </c>
      <c r="K46">
        <f t="shared" si="55"/>
        <v>0</v>
      </c>
      <c r="M46">
        <f t="shared" si="56"/>
        <v>0</v>
      </c>
      <c r="N46">
        <f t="shared" si="57"/>
        <v>13</v>
      </c>
      <c r="O46">
        <f t="shared" si="58"/>
        <v>0</v>
      </c>
      <c r="Q46">
        <f t="shared" si="59"/>
        <v>1</v>
      </c>
      <c r="S46">
        <f t="shared" si="60"/>
        <v>1</v>
      </c>
    </row>
    <row r="47" spans="1:34" x14ac:dyDescent="0.2">
      <c r="A47">
        <f t="shared" si="51"/>
        <v>0</v>
      </c>
      <c r="C47">
        <f t="shared" si="52"/>
        <v>4</v>
      </c>
      <c r="E47">
        <f t="shared" si="53"/>
        <v>0</v>
      </c>
      <c r="G47">
        <f t="shared" si="54"/>
        <v>0</v>
      </c>
      <c r="K47">
        <f t="shared" si="55"/>
        <v>0</v>
      </c>
      <c r="M47">
        <f t="shared" si="56"/>
        <v>0</v>
      </c>
      <c r="N47">
        <f t="shared" si="57"/>
        <v>0</v>
      </c>
      <c r="O47">
        <f t="shared" si="58"/>
        <v>0</v>
      </c>
      <c r="Q47">
        <f t="shared" si="59"/>
        <v>1</v>
      </c>
      <c r="S47">
        <f t="shared" si="60"/>
        <v>0</v>
      </c>
    </row>
    <row r="48" spans="1:34" x14ac:dyDescent="0.2">
      <c r="A48">
        <f t="shared" si="51"/>
        <v>0</v>
      </c>
      <c r="C48">
        <f t="shared" si="52"/>
        <v>5</v>
      </c>
      <c r="E48">
        <f t="shared" si="53"/>
        <v>0</v>
      </c>
      <c r="G48">
        <f t="shared" si="54"/>
        <v>0</v>
      </c>
      <c r="K48">
        <f t="shared" si="55"/>
        <v>0</v>
      </c>
      <c r="M48">
        <f t="shared" si="56"/>
        <v>0</v>
      </c>
      <c r="N48">
        <f t="shared" si="57"/>
        <v>4</v>
      </c>
      <c r="O48">
        <f t="shared" si="58"/>
        <v>0</v>
      </c>
      <c r="Q48">
        <f t="shared" si="59"/>
        <v>1</v>
      </c>
      <c r="S48">
        <f t="shared" si="60"/>
        <v>0</v>
      </c>
    </row>
    <row r="49" spans="1:19" x14ac:dyDescent="0.2">
      <c r="A49">
        <f t="shared" si="51"/>
        <v>0</v>
      </c>
      <c r="C49">
        <f t="shared" si="52"/>
        <v>1</v>
      </c>
      <c r="E49">
        <f t="shared" si="53"/>
        <v>0</v>
      </c>
      <c r="G49">
        <f t="shared" si="54"/>
        <v>0</v>
      </c>
      <c r="K49">
        <f t="shared" si="55"/>
        <v>0</v>
      </c>
      <c r="M49">
        <f t="shared" si="56"/>
        <v>1</v>
      </c>
      <c r="N49">
        <f t="shared" si="57"/>
        <v>4</v>
      </c>
      <c r="O49">
        <f t="shared" si="58"/>
        <v>0</v>
      </c>
      <c r="Q49">
        <f t="shared" si="59"/>
        <v>0</v>
      </c>
      <c r="S49">
        <f t="shared" si="60"/>
        <v>0</v>
      </c>
    </row>
    <row r="50" spans="1:19" x14ac:dyDescent="0.2">
      <c r="A50">
        <f t="shared" si="51"/>
        <v>0</v>
      </c>
      <c r="C50">
        <f t="shared" si="52"/>
        <v>4</v>
      </c>
      <c r="E50">
        <f t="shared" si="53"/>
        <v>0</v>
      </c>
      <c r="G50">
        <f t="shared" si="54"/>
        <v>0</v>
      </c>
      <c r="K50">
        <f t="shared" si="55"/>
        <v>0</v>
      </c>
      <c r="M50">
        <f t="shared" si="56"/>
        <v>0</v>
      </c>
      <c r="N50">
        <f t="shared" si="57"/>
        <v>1</v>
      </c>
      <c r="O50">
        <f t="shared" si="58"/>
        <v>0</v>
      </c>
      <c r="Q50">
        <f t="shared" si="59"/>
        <v>1</v>
      </c>
      <c r="S50">
        <f t="shared" si="60"/>
        <v>1</v>
      </c>
    </row>
  </sheetData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 enableFormatConditionsCalculation="0"/>
  <dimension ref="A1:BN50"/>
  <sheetViews>
    <sheetView topLeftCell="B1" workbookViewId="0">
      <selection activeCell="T15" sqref="T15"/>
    </sheetView>
  </sheetViews>
  <sheetFormatPr baseColWidth="10" defaultColWidth="11.5" defaultRowHeight="15" x14ac:dyDescent="0.2"/>
  <sheetData>
    <row r="1" spans="1:66" x14ac:dyDescent="0.2">
      <c r="A1" s="1" t="s">
        <v>0</v>
      </c>
      <c r="D1" t="s">
        <v>3</v>
      </c>
      <c r="K1" t="s">
        <v>11</v>
      </c>
      <c r="N1" t="s">
        <v>12</v>
      </c>
      <c r="P1" t="s">
        <v>14</v>
      </c>
      <c r="Q1" t="s">
        <v>17</v>
      </c>
      <c r="S1" t="s">
        <v>18</v>
      </c>
      <c r="Z1" t="s">
        <v>29</v>
      </c>
      <c r="AE1" t="s">
        <v>30</v>
      </c>
      <c r="AK1" t="s">
        <v>42</v>
      </c>
    </row>
    <row r="2" spans="1:66" x14ac:dyDescent="0.2">
      <c r="A2" t="s">
        <v>1</v>
      </c>
      <c r="B2" t="s">
        <v>1</v>
      </c>
      <c r="C2" t="s">
        <v>87</v>
      </c>
      <c r="D2" t="s">
        <v>54</v>
      </c>
      <c r="E2" t="s">
        <v>13</v>
      </c>
      <c r="F2" t="s">
        <v>198</v>
      </c>
      <c r="G2" t="s">
        <v>7</v>
      </c>
      <c r="H2" t="s">
        <v>8</v>
      </c>
      <c r="I2" t="s">
        <v>179</v>
      </c>
      <c r="J2" t="s">
        <v>178</v>
      </c>
      <c r="K2" t="s">
        <v>9</v>
      </c>
      <c r="L2" t="s">
        <v>196</v>
      </c>
      <c r="M2" t="s">
        <v>10</v>
      </c>
      <c r="N2" t="s">
        <v>54</v>
      </c>
      <c r="O2" t="s">
        <v>13</v>
      </c>
      <c r="P2" t="s">
        <v>15</v>
      </c>
      <c r="Q2" t="s">
        <v>8</v>
      </c>
      <c r="R2" t="s">
        <v>7</v>
      </c>
      <c r="S2" t="s">
        <v>181</v>
      </c>
      <c r="T2" t="s">
        <v>182</v>
      </c>
      <c r="U2" t="s">
        <v>19</v>
      </c>
      <c r="V2" t="s">
        <v>191</v>
      </c>
      <c r="W2" t="s">
        <v>192</v>
      </c>
      <c r="X2" t="s">
        <v>175</v>
      </c>
      <c r="Y2" t="s">
        <v>173</v>
      </c>
      <c r="Z2" t="str">
        <f t="shared" ref="Z2:Z13" si="0">LEFT(I4, 1)</f>
        <v/>
      </c>
      <c r="AA2" t="str">
        <f t="shared" ref="AA2:AA13" si="1">MID(I4, 4, 1)</f>
        <v/>
      </c>
      <c r="AB2" t="str">
        <f t="shared" ref="AB2:AB13" si="2">MID(I4, 7, 1)</f>
        <v/>
      </c>
      <c r="AC2" t="str">
        <f t="shared" ref="AC2:AC13" si="3">MID(I4, 10, 1)</f>
        <v/>
      </c>
      <c r="AE2" t="str">
        <f t="shared" ref="AE2:AE13" si="4">LEFT(J4, 1)</f>
        <v>4</v>
      </c>
      <c r="AF2" t="str">
        <f t="shared" ref="AF2:AF13" si="5">MID(J4, 4, 1)</f>
        <v/>
      </c>
      <c r="AG2" t="str">
        <f t="shared" ref="AG2:AG13" si="6">MID(J4, 7, 1)</f>
        <v/>
      </c>
      <c r="AH2" t="str">
        <f t="shared" ref="AH2:AH13" si="7">MID(J4, 10, 1)</f>
        <v/>
      </c>
      <c r="AI2" t="str">
        <f t="shared" ref="AI2:AI13" si="8">MID(J4, 13, 1)</f>
        <v/>
      </c>
      <c r="AK2" t="str">
        <f t="shared" ref="AK2:AK13" si="9">LEFT(P4, 2)</f>
        <v>h1</v>
      </c>
      <c r="AL2" t="str">
        <f>MID($P4, 5, 2)</f>
        <v/>
      </c>
      <c r="AM2" t="str">
        <f t="shared" ref="AM2:AM13" si="10">MID($P4, 9, 2)</f>
        <v/>
      </c>
      <c r="AN2" t="str">
        <f t="shared" ref="AN2:AN13" si="11">MID($P4, 13, 2)</f>
        <v/>
      </c>
      <c r="AO2" t="str">
        <f t="shared" ref="AO2:AO13" si="12">MID($P4, 17, 2)</f>
        <v/>
      </c>
      <c r="AP2" t="str">
        <f t="shared" ref="AP2:AP13" si="13">MID($P4, 21, 2)</f>
        <v/>
      </c>
      <c r="AQ2" t="str">
        <f t="shared" ref="AQ2:AQ13" si="14">MID($P4, 25, 2)</f>
        <v/>
      </c>
      <c r="AR2" t="str">
        <f t="shared" ref="AR2:AR13" si="15">MID($P4, 29, 2)</f>
        <v/>
      </c>
      <c r="AS2" t="str">
        <f t="shared" ref="AS2:AS13" si="16">MID($P4, 33, 2)</f>
        <v/>
      </c>
      <c r="AT2" t="str">
        <f t="shared" ref="AT2:AT13" si="17">MID($P4, 37, 2)</f>
        <v/>
      </c>
      <c r="AU2" t="str">
        <f t="shared" ref="AU2:AU13" si="18">MID($P4, 41, 2)</f>
        <v/>
      </c>
      <c r="AV2" t="str">
        <f t="shared" ref="AV2:AV13" si="19">MID($P4, 45, 2)</f>
        <v/>
      </c>
      <c r="AW2" t="str">
        <f t="shared" ref="AW2:AW13" si="20">MID($P4, 49, 2)</f>
        <v/>
      </c>
      <c r="AX2" t="str">
        <f t="shared" ref="AX2:AX13" si="21">MID($P4, 53, 2)</f>
        <v/>
      </c>
      <c r="AY2" t="str">
        <f t="shared" ref="AY2:AY13" si="22">MID($P4, 57, 2)</f>
        <v/>
      </c>
      <c r="AZ2" t="str">
        <f t="shared" ref="AZ2:AZ13" si="23">MID($P4, 61, 2)</f>
        <v/>
      </c>
      <c r="BA2" t="str">
        <f t="shared" ref="BA2:BA13" si="24">MID($P4, 65, 2)</f>
        <v/>
      </c>
      <c r="BB2" t="str">
        <f t="shared" ref="BB2:BB13" si="25">MID($P4, 69, 2)</f>
        <v/>
      </c>
      <c r="BC2" t="str">
        <f t="shared" ref="BC2:BC13" si="26">MID($P4, 73, 2)</f>
        <v/>
      </c>
      <c r="BD2" t="str">
        <f t="shared" ref="BD2:BD13" si="27">MID($P4, 77, 2)</f>
        <v/>
      </c>
      <c r="BE2" t="str">
        <f t="shared" ref="BE2:BE13" si="28">MID($P4, 81, 2)</f>
        <v/>
      </c>
      <c r="BF2" t="str">
        <f t="shared" ref="BF2:BF13" si="29">MID($P4, 85, 2)</f>
        <v/>
      </c>
      <c r="BG2" t="str">
        <f t="shared" ref="BG2:BG13" si="30">MID($P4, 89, 2)</f>
        <v/>
      </c>
      <c r="BH2" t="str">
        <f t="shared" ref="BH2:BH13" si="31">MID($P4, 93, 2)</f>
        <v/>
      </c>
    </row>
    <row r="3" spans="1:66" x14ac:dyDescent="0.2">
      <c r="A3" t="s">
        <v>2</v>
      </c>
      <c r="B3" t="s">
        <v>6</v>
      </c>
      <c r="C3" t="s">
        <v>88</v>
      </c>
      <c r="D3" t="s">
        <v>6</v>
      </c>
      <c r="E3" t="s">
        <v>6</v>
      </c>
      <c r="F3" t="s">
        <v>4</v>
      </c>
      <c r="G3" t="s">
        <v>6</v>
      </c>
      <c r="H3" t="s">
        <v>6</v>
      </c>
      <c r="I3" t="s">
        <v>86</v>
      </c>
      <c r="J3" t="s">
        <v>86</v>
      </c>
      <c r="K3" t="s">
        <v>6</v>
      </c>
      <c r="L3" t="s">
        <v>6</v>
      </c>
      <c r="M3" t="s">
        <v>6</v>
      </c>
      <c r="N3" t="s">
        <v>6</v>
      </c>
      <c r="O3" t="s">
        <v>6</v>
      </c>
      <c r="P3" t="s">
        <v>16</v>
      </c>
      <c r="Q3" t="s">
        <v>6</v>
      </c>
      <c r="R3" t="s">
        <v>6</v>
      </c>
      <c r="S3" t="s">
        <v>4</v>
      </c>
      <c r="T3" t="s">
        <v>4</v>
      </c>
      <c r="U3" t="s">
        <v>6</v>
      </c>
      <c r="V3" t="s">
        <v>6</v>
      </c>
      <c r="W3" t="s">
        <v>6</v>
      </c>
      <c r="X3" t="s">
        <v>6</v>
      </c>
      <c r="Y3" t="s">
        <v>174</v>
      </c>
      <c r="Z3" t="str">
        <f t="shared" si="0"/>
        <v/>
      </c>
      <c r="AA3" t="str">
        <f t="shared" si="1"/>
        <v/>
      </c>
      <c r="AB3" t="str">
        <f t="shared" si="2"/>
        <v/>
      </c>
      <c r="AC3" t="str">
        <f t="shared" si="3"/>
        <v/>
      </c>
      <c r="AE3" t="str">
        <f t="shared" si="4"/>
        <v>5</v>
      </c>
      <c r="AF3" t="str">
        <f t="shared" si="5"/>
        <v/>
      </c>
      <c r="AG3" t="str">
        <f t="shared" si="6"/>
        <v/>
      </c>
      <c r="AH3" t="str">
        <f t="shared" si="7"/>
        <v/>
      </c>
      <c r="AI3" t="str">
        <f t="shared" si="8"/>
        <v/>
      </c>
      <c r="AK3" t="str">
        <f t="shared" si="9"/>
        <v/>
      </c>
      <c r="AL3" t="str">
        <f t="shared" ref="AL3:AL13" si="32">MID(P5, 5, 2)</f>
        <v/>
      </c>
      <c r="AM3" t="str">
        <f t="shared" si="10"/>
        <v/>
      </c>
      <c r="AN3" t="str">
        <f t="shared" si="11"/>
        <v/>
      </c>
      <c r="AO3" t="str">
        <f t="shared" si="12"/>
        <v/>
      </c>
      <c r="AP3" t="str">
        <f t="shared" si="13"/>
        <v/>
      </c>
      <c r="AQ3" t="str">
        <f t="shared" si="14"/>
        <v/>
      </c>
      <c r="AR3" t="str">
        <f t="shared" si="15"/>
        <v/>
      </c>
      <c r="AS3" t="str">
        <f t="shared" si="16"/>
        <v/>
      </c>
      <c r="AT3" t="str">
        <f t="shared" si="17"/>
        <v/>
      </c>
      <c r="AU3" t="str">
        <f t="shared" si="18"/>
        <v/>
      </c>
      <c r="AV3" t="str">
        <f t="shared" si="19"/>
        <v/>
      </c>
      <c r="AW3" t="str">
        <f t="shared" si="20"/>
        <v/>
      </c>
      <c r="AX3" t="str">
        <f t="shared" si="21"/>
        <v/>
      </c>
      <c r="AY3" t="str">
        <f t="shared" si="22"/>
        <v/>
      </c>
      <c r="AZ3" t="str">
        <f t="shared" si="23"/>
        <v/>
      </c>
      <c r="BA3" t="str">
        <f t="shared" si="24"/>
        <v/>
      </c>
      <c r="BB3" t="str">
        <f t="shared" si="25"/>
        <v/>
      </c>
      <c r="BC3" t="str">
        <f t="shared" si="26"/>
        <v/>
      </c>
      <c r="BD3" t="str">
        <f t="shared" si="27"/>
        <v/>
      </c>
      <c r="BE3" t="str">
        <f t="shared" si="28"/>
        <v/>
      </c>
      <c r="BF3" t="str">
        <f t="shared" si="29"/>
        <v/>
      </c>
      <c r="BG3" t="str">
        <f t="shared" si="30"/>
        <v/>
      </c>
      <c r="BH3" t="str">
        <f t="shared" si="31"/>
        <v/>
      </c>
    </row>
    <row r="4" spans="1:66" x14ac:dyDescent="0.2">
      <c r="A4">
        <v>1</v>
      </c>
      <c r="B4">
        <v>3</v>
      </c>
      <c r="C4" t="s">
        <v>39</v>
      </c>
      <c r="D4">
        <v>1</v>
      </c>
      <c r="F4">
        <v>1</v>
      </c>
      <c r="J4">
        <v>4</v>
      </c>
      <c r="K4">
        <v>2</v>
      </c>
      <c r="L4">
        <v>1</v>
      </c>
      <c r="N4">
        <v>3</v>
      </c>
      <c r="O4">
        <v>3</v>
      </c>
      <c r="P4" t="s">
        <v>209</v>
      </c>
      <c r="R4">
        <v>1</v>
      </c>
      <c r="S4">
        <v>1</v>
      </c>
      <c r="T4">
        <v>1</v>
      </c>
      <c r="U4">
        <v>6</v>
      </c>
      <c r="W4">
        <v>10</v>
      </c>
      <c r="X4">
        <f t="shared" ref="X4:X15" si="33">G4+H4+Q4+R4</f>
        <v>1</v>
      </c>
      <c r="Y4" t="s">
        <v>174</v>
      </c>
      <c r="Z4" t="str">
        <f t="shared" si="0"/>
        <v/>
      </c>
      <c r="AA4" t="str">
        <f t="shared" si="1"/>
        <v/>
      </c>
      <c r="AB4" t="str">
        <f t="shared" si="2"/>
        <v/>
      </c>
      <c r="AC4" t="str">
        <f t="shared" si="3"/>
        <v/>
      </c>
      <c r="AE4" t="str">
        <f t="shared" si="4"/>
        <v/>
      </c>
      <c r="AF4" t="str">
        <f t="shared" si="5"/>
        <v/>
      </c>
      <c r="AG4" t="str">
        <f t="shared" si="6"/>
        <v/>
      </c>
      <c r="AH4" t="str">
        <f t="shared" si="7"/>
        <v/>
      </c>
      <c r="AI4" t="str">
        <f t="shared" si="8"/>
        <v/>
      </c>
      <c r="AK4" t="str">
        <f t="shared" si="9"/>
        <v/>
      </c>
      <c r="AL4" t="str">
        <f t="shared" si="32"/>
        <v/>
      </c>
      <c r="AM4" t="str">
        <f t="shared" si="10"/>
        <v/>
      </c>
      <c r="AN4" t="str">
        <f t="shared" si="11"/>
        <v/>
      </c>
      <c r="AO4" t="str">
        <f t="shared" si="12"/>
        <v/>
      </c>
      <c r="AP4" t="str">
        <f t="shared" si="13"/>
        <v/>
      </c>
      <c r="AQ4" t="str">
        <f t="shared" si="14"/>
        <v/>
      </c>
      <c r="AR4" t="str">
        <f t="shared" si="15"/>
        <v/>
      </c>
      <c r="AS4" t="str">
        <f t="shared" si="16"/>
        <v/>
      </c>
      <c r="AT4" t="str">
        <f t="shared" si="17"/>
        <v/>
      </c>
      <c r="AU4" t="str">
        <f t="shared" si="18"/>
        <v/>
      </c>
      <c r="AV4" t="str">
        <f t="shared" si="19"/>
        <v/>
      </c>
      <c r="AW4" t="str">
        <f t="shared" si="20"/>
        <v/>
      </c>
      <c r="AX4" t="str">
        <f t="shared" si="21"/>
        <v/>
      </c>
      <c r="AY4" t="str">
        <f t="shared" si="22"/>
        <v/>
      </c>
      <c r="AZ4" t="str">
        <f t="shared" si="23"/>
        <v/>
      </c>
      <c r="BA4" t="str">
        <f t="shared" si="24"/>
        <v/>
      </c>
      <c r="BB4" t="str">
        <f t="shared" si="25"/>
        <v/>
      </c>
      <c r="BC4" t="str">
        <f t="shared" si="26"/>
        <v/>
      </c>
      <c r="BD4" t="str">
        <f t="shared" si="27"/>
        <v/>
      </c>
      <c r="BE4" t="str">
        <f t="shared" si="28"/>
        <v/>
      </c>
      <c r="BF4" t="str">
        <f t="shared" si="29"/>
        <v/>
      </c>
      <c r="BG4" t="str">
        <f t="shared" si="30"/>
        <v/>
      </c>
      <c r="BH4" t="str">
        <f t="shared" si="31"/>
        <v/>
      </c>
    </row>
    <row r="5" spans="1:66" x14ac:dyDescent="0.2">
      <c r="A5">
        <v>2</v>
      </c>
      <c r="B5">
        <v>20</v>
      </c>
      <c r="C5" t="s">
        <v>207</v>
      </c>
      <c r="D5">
        <v>1</v>
      </c>
      <c r="E5">
        <v>1</v>
      </c>
      <c r="G5">
        <v>7</v>
      </c>
      <c r="J5">
        <v>5</v>
      </c>
      <c r="K5">
        <v>3</v>
      </c>
      <c r="L5">
        <v>1</v>
      </c>
      <c r="N5">
        <v>3</v>
      </c>
      <c r="O5">
        <v>3</v>
      </c>
      <c r="S5">
        <v>1</v>
      </c>
      <c r="T5">
        <v>1</v>
      </c>
      <c r="U5">
        <v>6</v>
      </c>
      <c r="X5">
        <f t="shared" si="33"/>
        <v>7</v>
      </c>
      <c r="Y5" t="s">
        <v>174</v>
      </c>
      <c r="Z5" t="str">
        <f t="shared" si="0"/>
        <v/>
      </c>
      <c r="AA5" t="str">
        <f t="shared" si="1"/>
        <v/>
      </c>
      <c r="AB5" t="str">
        <f t="shared" si="2"/>
        <v/>
      </c>
      <c r="AC5" t="str">
        <f t="shared" si="3"/>
        <v/>
      </c>
      <c r="AE5" t="str">
        <f t="shared" si="4"/>
        <v/>
      </c>
      <c r="AF5" t="str">
        <f t="shared" si="5"/>
        <v/>
      </c>
      <c r="AG5" t="str">
        <f t="shared" si="6"/>
        <v/>
      </c>
      <c r="AH5" t="str">
        <f t="shared" si="7"/>
        <v/>
      </c>
      <c r="AI5" t="str">
        <f t="shared" si="8"/>
        <v/>
      </c>
      <c r="AK5" t="str">
        <f t="shared" si="9"/>
        <v/>
      </c>
      <c r="AL5" t="str">
        <f t="shared" si="32"/>
        <v/>
      </c>
      <c r="AM5" t="str">
        <f t="shared" si="10"/>
        <v/>
      </c>
      <c r="AN5" t="str">
        <f t="shared" si="11"/>
        <v/>
      </c>
      <c r="AO5" t="str">
        <f t="shared" si="12"/>
        <v/>
      </c>
      <c r="AP5" t="str">
        <f t="shared" si="13"/>
        <v/>
      </c>
      <c r="AQ5" t="str">
        <f t="shared" si="14"/>
        <v/>
      </c>
      <c r="AR5" t="str">
        <f t="shared" si="15"/>
        <v/>
      </c>
      <c r="AS5" t="str">
        <f t="shared" si="16"/>
        <v/>
      </c>
      <c r="AT5" t="str">
        <f t="shared" si="17"/>
        <v/>
      </c>
      <c r="AU5" t="str">
        <f t="shared" si="18"/>
        <v/>
      </c>
      <c r="AV5" t="str">
        <f t="shared" si="19"/>
        <v/>
      </c>
      <c r="AW5" t="str">
        <f t="shared" si="20"/>
        <v/>
      </c>
      <c r="AX5" t="str">
        <f t="shared" si="21"/>
        <v/>
      </c>
      <c r="AY5" t="str">
        <f t="shared" si="22"/>
        <v/>
      </c>
      <c r="AZ5" t="str">
        <f t="shared" si="23"/>
        <v/>
      </c>
      <c r="BA5" t="str">
        <f t="shared" si="24"/>
        <v/>
      </c>
      <c r="BB5" t="str">
        <f t="shared" si="25"/>
        <v/>
      </c>
      <c r="BC5" t="str">
        <f t="shared" si="26"/>
        <v/>
      </c>
      <c r="BD5" t="str">
        <f t="shared" si="27"/>
        <v/>
      </c>
      <c r="BE5" t="str">
        <f t="shared" si="28"/>
        <v/>
      </c>
      <c r="BF5" t="str">
        <f t="shared" si="29"/>
        <v/>
      </c>
      <c r="BG5" t="str">
        <f t="shared" si="30"/>
        <v/>
      </c>
      <c r="BH5" t="str">
        <f t="shared" si="31"/>
        <v/>
      </c>
    </row>
    <row r="6" spans="1:66" x14ac:dyDescent="0.2">
      <c r="A6">
        <v>3</v>
      </c>
      <c r="B6">
        <v>29</v>
      </c>
      <c r="C6" t="s">
        <v>39</v>
      </c>
      <c r="D6">
        <v>1</v>
      </c>
      <c r="E6">
        <v>1</v>
      </c>
      <c r="F6">
        <v>1</v>
      </c>
      <c r="K6">
        <v>4</v>
      </c>
      <c r="N6">
        <v>4</v>
      </c>
      <c r="O6">
        <v>4</v>
      </c>
      <c r="S6">
        <v>1</v>
      </c>
      <c r="T6">
        <v>1</v>
      </c>
      <c r="U6">
        <v>23</v>
      </c>
      <c r="X6">
        <f t="shared" si="33"/>
        <v>0</v>
      </c>
      <c r="Z6" t="str">
        <f t="shared" si="0"/>
        <v/>
      </c>
      <c r="AA6" t="str">
        <f t="shared" si="1"/>
        <v/>
      </c>
      <c r="AB6" t="str">
        <f t="shared" si="2"/>
        <v/>
      </c>
      <c r="AC6" t="str">
        <f t="shared" si="3"/>
        <v/>
      </c>
      <c r="AE6" t="str">
        <f t="shared" si="4"/>
        <v/>
      </c>
      <c r="AF6" t="str">
        <f t="shared" si="5"/>
        <v/>
      </c>
      <c r="AG6" t="str">
        <f t="shared" si="6"/>
        <v/>
      </c>
      <c r="AH6" t="str">
        <f t="shared" si="7"/>
        <v/>
      </c>
      <c r="AI6" t="str">
        <f t="shared" si="8"/>
        <v/>
      </c>
      <c r="AK6" t="str">
        <f t="shared" si="9"/>
        <v>g1</v>
      </c>
      <c r="AL6" t="str">
        <f t="shared" si="32"/>
        <v/>
      </c>
      <c r="AM6" t="str">
        <f t="shared" si="10"/>
        <v/>
      </c>
      <c r="AN6" t="str">
        <f t="shared" si="11"/>
        <v/>
      </c>
      <c r="AO6" t="str">
        <f t="shared" si="12"/>
        <v/>
      </c>
      <c r="AP6" t="str">
        <f t="shared" si="13"/>
        <v/>
      </c>
      <c r="AQ6" t="str">
        <f t="shared" si="14"/>
        <v/>
      </c>
      <c r="AR6" t="str">
        <f t="shared" si="15"/>
        <v/>
      </c>
      <c r="AS6" t="str">
        <f t="shared" si="16"/>
        <v/>
      </c>
      <c r="AT6" t="str">
        <f t="shared" si="17"/>
        <v/>
      </c>
      <c r="AU6" t="str">
        <f t="shared" si="18"/>
        <v/>
      </c>
      <c r="AV6" t="str">
        <f t="shared" si="19"/>
        <v/>
      </c>
      <c r="AW6" t="str">
        <f t="shared" si="20"/>
        <v/>
      </c>
      <c r="AX6" t="str">
        <f t="shared" si="21"/>
        <v/>
      </c>
      <c r="AY6" t="str">
        <f t="shared" si="22"/>
        <v/>
      </c>
      <c r="AZ6" t="str">
        <f t="shared" si="23"/>
        <v/>
      </c>
      <c r="BA6" t="str">
        <f t="shared" si="24"/>
        <v/>
      </c>
      <c r="BB6" t="str">
        <f t="shared" si="25"/>
        <v/>
      </c>
      <c r="BC6" t="str">
        <f t="shared" si="26"/>
        <v/>
      </c>
      <c r="BD6" t="str">
        <f t="shared" si="27"/>
        <v/>
      </c>
      <c r="BE6" t="str">
        <f t="shared" si="28"/>
        <v/>
      </c>
      <c r="BF6" t="str">
        <f t="shared" si="29"/>
        <v/>
      </c>
      <c r="BG6" t="str">
        <f t="shared" si="30"/>
        <v/>
      </c>
      <c r="BH6" t="str">
        <f t="shared" si="31"/>
        <v/>
      </c>
    </row>
    <row r="7" spans="1:66" x14ac:dyDescent="0.2">
      <c r="A7">
        <v>4</v>
      </c>
      <c r="B7">
        <v>37</v>
      </c>
      <c r="C7" t="s">
        <v>207</v>
      </c>
      <c r="D7">
        <v>1</v>
      </c>
      <c r="K7">
        <v>3</v>
      </c>
      <c r="N7">
        <v>4</v>
      </c>
      <c r="O7">
        <v>4</v>
      </c>
      <c r="S7">
        <v>1</v>
      </c>
      <c r="T7">
        <v>1</v>
      </c>
      <c r="U7">
        <v>8</v>
      </c>
      <c r="X7">
        <f t="shared" si="33"/>
        <v>0</v>
      </c>
      <c r="Z7" t="str">
        <f t="shared" si="0"/>
        <v/>
      </c>
      <c r="AA7" t="str">
        <f t="shared" si="1"/>
        <v/>
      </c>
      <c r="AB7" t="str">
        <f t="shared" si="2"/>
        <v/>
      </c>
      <c r="AC7" t="str">
        <f t="shared" si="3"/>
        <v/>
      </c>
      <c r="AE7" t="str">
        <f t="shared" si="4"/>
        <v/>
      </c>
      <c r="AF7" t="str">
        <f t="shared" si="5"/>
        <v/>
      </c>
      <c r="AG7" t="str">
        <f t="shared" si="6"/>
        <v/>
      </c>
      <c r="AH7" t="str">
        <f t="shared" si="7"/>
        <v/>
      </c>
      <c r="AI7" t="str">
        <f t="shared" si="8"/>
        <v/>
      </c>
      <c r="AK7" t="str">
        <f t="shared" si="9"/>
        <v/>
      </c>
      <c r="AL7" t="str">
        <f t="shared" si="32"/>
        <v/>
      </c>
      <c r="AM7" t="str">
        <f t="shared" si="10"/>
        <v/>
      </c>
      <c r="AN7" t="str">
        <f t="shared" si="11"/>
        <v/>
      </c>
      <c r="AO7" t="str">
        <f t="shared" si="12"/>
        <v/>
      </c>
      <c r="AP7" t="str">
        <f t="shared" si="13"/>
        <v/>
      </c>
      <c r="AQ7" t="str">
        <f t="shared" si="14"/>
        <v/>
      </c>
      <c r="AR7" t="str">
        <f t="shared" si="15"/>
        <v/>
      </c>
      <c r="AS7" t="str">
        <f t="shared" si="16"/>
        <v/>
      </c>
      <c r="AT7" t="str">
        <f t="shared" si="17"/>
        <v/>
      </c>
      <c r="AU7" t="str">
        <f t="shared" si="18"/>
        <v/>
      </c>
      <c r="AV7" t="str">
        <f t="shared" si="19"/>
        <v/>
      </c>
      <c r="AW7" t="str">
        <f t="shared" si="20"/>
        <v/>
      </c>
      <c r="AX7" t="str">
        <f t="shared" si="21"/>
        <v/>
      </c>
      <c r="AY7" t="str">
        <f t="shared" si="22"/>
        <v/>
      </c>
      <c r="AZ7" t="str">
        <f t="shared" si="23"/>
        <v/>
      </c>
      <c r="BA7" t="str">
        <f t="shared" si="24"/>
        <v/>
      </c>
      <c r="BB7" t="str">
        <f t="shared" si="25"/>
        <v/>
      </c>
      <c r="BC7" t="str">
        <f t="shared" si="26"/>
        <v/>
      </c>
      <c r="BD7" t="str">
        <f t="shared" si="27"/>
        <v/>
      </c>
      <c r="BE7" t="str">
        <f t="shared" si="28"/>
        <v/>
      </c>
      <c r="BF7" t="str">
        <f t="shared" si="29"/>
        <v/>
      </c>
      <c r="BG7" t="str">
        <f t="shared" si="30"/>
        <v/>
      </c>
      <c r="BH7" t="str">
        <f t="shared" si="31"/>
        <v/>
      </c>
    </row>
    <row r="8" spans="1:66" x14ac:dyDescent="0.2">
      <c r="A8">
        <v>5</v>
      </c>
      <c r="B8">
        <v>45</v>
      </c>
      <c r="C8" t="s">
        <v>39</v>
      </c>
      <c r="D8">
        <v>1</v>
      </c>
      <c r="E8">
        <v>1</v>
      </c>
      <c r="G8">
        <v>1</v>
      </c>
      <c r="K8">
        <v>1</v>
      </c>
      <c r="N8">
        <v>1</v>
      </c>
      <c r="O8">
        <v>1</v>
      </c>
      <c r="P8" t="s">
        <v>218</v>
      </c>
      <c r="R8">
        <v>1</v>
      </c>
      <c r="S8">
        <v>1</v>
      </c>
      <c r="T8">
        <v>1</v>
      </c>
      <c r="U8">
        <v>27</v>
      </c>
      <c r="X8">
        <f t="shared" si="33"/>
        <v>2</v>
      </c>
      <c r="Z8" t="str">
        <f t="shared" si="0"/>
        <v/>
      </c>
      <c r="AA8" t="str">
        <f t="shared" si="1"/>
        <v/>
      </c>
      <c r="AB8" t="str">
        <f t="shared" si="2"/>
        <v/>
      </c>
      <c r="AC8" t="str">
        <f t="shared" si="3"/>
        <v/>
      </c>
      <c r="AE8" t="str">
        <f t="shared" si="4"/>
        <v/>
      </c>
      <c r="AF8" t="str">
        <f t="shared" si="5"/>
        <v/>
      </c>
      <c r="AG8" t="str">
        <f t="shared" si="6"/>
        <v/>
      </c>
      <c r="AH8" t="str">
        <f t="shared" si="7"/>
        <v/>
      </c>
      <c r="AI8" t="str">
        <f t="shared" si="8"/>
        <v/>
      </c>
      <c r="AK8" t="str">
        <f t="shared" si="9"/>
        <v/>
      </c>
      <c r="AL8" t="str">
        <f t="shared" si="32"/>
        <v/>
      </c>
      <c r="AM8" t="str">
        <f t="shared" si="10"/>
        <v/>
      </c>
      <c r="AN8" t="str">
        <f t="shared" si="11"/>
        <v/>
      </c>
      <c r="AO8" t="str">
        <f t="shared" si="12"/>
        <v/>
      </c>
      <c r="AP8" t="str">
        <f t="shared" si="13"/>
        <v/>
      </c>
      <c r="AQ8" t="str">
        <f t="shared" si="14"/>
        <v/>
      </c>
      <c r="AR8" t="str">
        <f t="shared" si="15"/>
        <v/>
      </c>
      <c r="AS8" t="str">
        <f t="shared" si="16"/>
        <v/>
      </c>
      <c r="AT8" t="str">
        <f t="shared" si="17"/>
        <v/>
      </c>
      <c r="AU8" t="str">
        <f t="shared" si="18"/>
        <v/>
      </c>
      <c r="AV8" t="str">
        <f t="shared" si="19"/>
        <v/>
      </c>
      <c r="AW8" t="str">
        <f t="shared" si="20"/>
        <v/>
      </c>
      <c r="AX8" t="str">
        <f t="shared" si="21"/>
        <v/>
      </c>
      <c r="AY8" t="str">
        <f t="shared" si="22"/>
        <v/>
      </c>
      <c r="AZ8" t="str">
        <f t="shared" si="23"/>
        <v/>
      </c>
      <c r="BA8" t="str">
        <f t="shared" si="24"/>
        <v/>
      </c>
      <c r="BB8" t="str">
        <f t="shared" si="25"/>
        <v/>
      </c>
      <c r="BC8" t="str">
        <f t="shared" si="26"/>
        <v/>
      </c>
      <c r="BD8" t="str">
        <f t="shared" si="27"/>
        <v/>
      </c>
      <c r="BE8" t="str">
        <f t="shared" si="28"/>
        <v/>
      </c>
      <c r="BF8" t="str">
        <f t="shared" si="29"/>
        <v/>
      </c>
      <c r="BG8" t="str">
        <f t="shared" si="30"/>
        <v/>
      </c>
      <c r="BH8" t="str">
        <f t="shared" si="31"/>
        <v/>
      </c>
    </row>
    <row r="9" spans="1:66" x14ac:dyDescent="0.2">
      <c r="A9">
        <v>6</v>
      </c>
      <c r="B9">
        <v>51</v>
      </c>
      <c r="C9" t="s">
        <v>39</v>
      </c>
      <c r="D9">
        <v>1</v>
      </c>
      <c r="E9">
        <v>1</v>
      </c>
      <c r="G9">
        <v>2</v>
      </c>
      <c r="K9">
        <v>2</v>
      </c>
      <c r="N9">
        <v>2</v>
      </c>
      <c r="O9">
        <v>2</v>
      </c>
      <c r="S9">
        <v>1</v>
      </c>
      <c r="T9">
        <v>1</v>
      </c>
      <c r="U9">
        <v>2</v>
      </c>
      <c r="X9">
        <f t="shared" si="33"/>
        <v>2</v>
      </c>
      <c r="Z9" t="str">
        <f t="shared" si="0"/>
        <v/>
      </c>
      <c r="AA9" t="str">
        <f t="shared" si="1"/>
        <v/>
      </c>
      <c r="AB9" t="str">
        <f t="shared" si="2"/>
        <v/>
      </c>
      <c r="AC9" t="str">
        <f t="shared" si="3"/>
        <v/>
      </c>
      <c r="AE9" t="str">
        <f t="shared" si="4"/>
        <v/>
      </c>
      <c r="AF9" t="str">
        <f t="shared" si="5"/>
        <v/>
      </c>
      <c r="AG9" t="str">
        <f t="shared" si="6"/>
        <v/>
      </c>
      <c r="AH9" t="str">
        <f t="shared" si="7"/>
        <v/>
      </c>
      <c r="AI9" t="str">
        <f t="shared" si="8"/>
        <v/>
      </c>
      <c r="AK9" t="str">
        <f t="shared" si="9"/>
        <v/>
      </c>
      <c r="AL9" t="str">
        <f t="shared" si="32"/>
        <v/>
      </c>
      <c r="AM9" t="str">
        <f t="shared" si="10"/>
        <v/>
      </c>
      <c r="AN9" t="str">
        <f t="shared" si="11"/>
        <v/>
      </c>
      <c r="AO9" t="str">
        <f t="shared" si="12"/>
        <v/>
      </c>
      <c r="AP9" t="str">
        <f t="shared" si="13"/>
        <v/>
      </c>
      <c r="AQ9" t="str">
        <f t="shared" si="14"/>
        <v/>
      </c>
      <c r="AR9" t="str">
        <f t="shared" si="15"/>
        <v/>
      </c>
      <c r="AS9" t="str">
        <f t="shared" si="16"/>
        <v/>
      </c>
      <c r="AT9" t="str">
        <f t="shared" si="17"/>
        <v/>
      </c>
      <c r="AU9" t="str">
        <f t="shared" si="18"/>
        <v/>
      </c>
      <c r="AV9" t="str">
        <f t="shared" si="19"/>
        <v/>
      </c>
      <c r="AW9" t="str">
        <f t="shared" si="20"/>
        <v/>
      </c>
      <c r="AX9" t="str">
        <f t="shared" si="21"/>
        <v/>
      </c>
      <c r="AY9" t="str">
        <f t="shared" si="22"/>
        <v/>
      </c>
      <c r="AZ9" t="str">
        <f t="shared" si="23"/>
        <v/>
      </c>
      <c r="BA9" t="str">
        <f t="shared" si="24"/>
        <v/>
      </c>
      <c r="BB9" t="str">
        <f t="shared" si="25"/>
        <v/>
      </c>
      <c r="BC9" t="str">
        <f t="shared" si="26"/>
        <v/>
      </c>
      <c r="BD9" t="str">
        <f t="shared" si="27"/>
        <v/>
      </c>
      <c r="BE9" t="str">
        <f t="shared" si="28"/>
        <v/>
      </c>
      <c r="BF9" t="str">
        <f t="shared" si="29"/>
        <v/>
      </c>
      <c r="BG9" t="str">
        <f t="shared" si="30"/>
        <v/>
      </c>
      <c r="BH9" t="str">
        <f t="shared" si="31"/>
        <v/>
      </c>
    </row>
    <row r="10" spans="1:66" x14ac:dyDescent="0.2">
      <c r="A10">
        <v>7</v>
      </c>
      <c r="B10">
        <v>62</v>
      </c>
      <c r="C10" t="s">
        <v>39</v>
      </c>
      <c r="D10">
        <v>1</v>
      </c>
      <c r="F10">
        <v>1</v>
      </c>
      <c r="G10">
        <v>1</v>
      </c>
      <c r="K10">
        <v>3</v>
      </c>
      <c r="L10">
        <v>1</v>
      </c>
      <c r="N10">
        <v>3</v>
      </c>
      <c r="O10">
        <v>3</v>
      </c>
      <c r="S10">
        <v>1</v>
      </c>
      <c r="T10">
        <v>1</v>
      </c>
      <c r="U10">
        <v>1</v>
      </c>
      <c r="X10">
        <f t="shared" si="33"/>
        <v>1</v>
      </c>
      <c r="Z10" t="str">
        <f t="shared" si="0"/>
        <v/>
      </c>
      <c r="AA10" t="str">
        <f t="shared" si="1"/>
        <v/>
      </c>
      <c r="AB10" t="str">
        <f t="shared" si="2"/>
        <v/>
      </c>
      <c r="AC10" t="str">
        <f t="shared" si="3"/>
        <v/>
      </c>
      <c r="AE10" t="str">
        <f t="shared" si="4"/>
        <v>4</v>
      </c>
      <c r="AF10" t="str">
        <f t="shared" si="5"/>
        <v/>
      </c>
      <c r="AG10" t="str">
        <f t="shared" si="6"/>
        <v/>
      </c>
      <c r="AH10" t="str">
        <f t="shared" si="7"/>
        <v/>
      </c>
      <c r="AI10" t="str">
        <f t="shared" si="8"/>
        <v/>
      </c>
      <c r="AK10" t="str">
        <f t="shared" si="9"/>
        <v>h1</v>
      </c>
      <c r="AL10" t="str">
        <f t="shared" si="32"/>
        <v/>
      </c>
      <c r="AM10" t="str">
        <f t="shared" si="10"/>
        <v/>
      </c>
      <c r="AN10" t="str">
        <f t="shared" si="11"/>
        <v/>
      </c>
      <c r="AO10" t="str">
        <f t="shared" si="12"/>
        <v/>
      </c>
      <c r="AP10" t="str">
        <f t="shared" si="13"/>
        <v/>
      </c>
      <c r="AQ10" t="str">
        <f t="shared" si="14"/>
        <v/>
      </c>
      <c r="AR10" t="str">
        <f t="shared" si="15"/>
        <v/>
      </c>
      <c r="AS10" t="str">
        <f t="shared" si="16"/>
        <v/>
      </c>
      <c r="AT10" t="str">
        <f t="shared" si="17"/>
        <v/>
      </c>
      <c r="AU10" t="str">
        <f t="shared" si="18"/>
        <v/>
      </c>
      <c r="AV10" t="str">
        <f t="shared" si="19"/>
        <v/>
      </c>
      <c r="AW10" t="str">
        <f t="shared" si="20"/>
        <v/>
      </c>
      <c r="AX10" t="str">
        <f t="shared" si="21"/>
        <v/>
      </c>
      <c r="AY10" t="str">
        <f t="shared" si="22"/>
        <v/>
      </c>
      <c r="AZ10" t="str">
        <f t="shared" si="23"/>
        <v/>
      </c>
      <c r="BA10" t="str">
        <f t="shared" si="24"/>
        <v/>
      </c>
      <c r="BB10" t="str">
        <f t="shared" si="25"/>
        <v/>
      </c>
      <c r="BC10" t="str">
        <f t="shared" si="26"/>
        <v/>
      </c>
      <c r="BD10" t="str">
        <f t="shared" si="27"/>
        <v/>
      </c>
      <c r="BE10" t="str">
        <f t="shared" si="28"/>
        <v/>
      </c>
      <c r="BF10" t="str">
        <f t="shared" si="29"/>
        <v/>
      </c>
      <c r="BG10" t="str">
        <f t="shared" si="30"/>
        <v/>
      </c>
      <c r="BH10" t="str">
        <f t="shared" si="31"/>
        <v/>
      </c>
    </row>
    <row r="11" spans="1:66" x14ac:dyDescent="0.2">
      <c r="A11">
        <v>8</v>
      </c>
      <c r="B11">
        <v>72</v>
      </c>
      <c r="C11" t="s">
        <v>39</v>
      </c>
      <c r="D11">
        <v>1</v>
      </c>
      <c r="E11">
        <v>1</v>
      </c>
      <c r="G11">
        <v>4</v>
      </c>
      <c r="K11">
        <v>4</v>
      </c>
      <c r="N11">
        <v>4</v>
      </c>
      <c r="O11">
        <v>4</v>
      </c>
      <c r="S11">
        <v>1</v>
      </c>
      <c r="T11">
        <v>1</v>
      </c>
      <c r="U11">
        <v>15</v>
      </c>
      <c r="X11">
        <f t="shared" si="33"/>
        <v>4</v>
      </c>
      <c r="Z11" t="str">
        <f t="shared" si="0"/>
        <v/>
      </c>
      <c r="AA11" t="str">
        <f t="shared" si="1"/>
        <v/>
      </c>
      <c r="AB11" t="str">
        <f t="shared" si="2"/>
        <v/>
      </c>
      <c r="AC11" t="str">
        <f t="shared" si="3"/>
        <v/>
      </c>
      <c r="AE11" t="str">
        <f t="shared" si="4"/>
        <v/>
      </c>
      <c r="AF11" t="str">
        <f t="shared" si="5"/>
        <v/>
      </c>
      <c r="AG11" t="str">
        <f t="shared" si="6"/>
        <v/>
      </c>
      <c r="AH11" t="str">
        <f t="shared" si="7"/>
        <v/>
      </c>
      <c r="AI11" t="str">
        <f t="shared" si="8"/>
        <v/>
      </c>
      <c r="AK11" t="str">
        <f t="shared" si="9"/>
        <v>h1</v>
      </c>
      <c r="AL11" t="str">
        <f t="shared" si="32"/>
        <v>h2</v>
      </c>
      <c r="AM11" t="str">
        <f t="shared" si="10"/>
        <v/>
      </c>
      <c r="AN11" t="str">
        <f t="shared" si="11"/>
        <v/>
      </c>
      <c r="AO11" t="str">
        <f t="shared" si="12"/>
        <v/>
      </c>
      <c r="AP11" t="str">
        <f t="shared" si="13"/>
        <v/>
      </c>
      <c r="AQ11" t="str">
        <f t="shared" si="14"/>
        <v/>
      </c>
      <c r="AR11" t="str">
        <f t="shared" si="15"/>
        <v/>
      </c>
      <c r="AS11" t="str">
        <f t="shared" si="16"/>
        <v/>
      </c>
      <c r="AT11" t="str">
        <f t="shared" si="17"/>
        <v/>
      </c>
      <c r="AU11" t="str">
        <f t="shared" si="18"/>
        <v/>
      </c>
      <c r="AV11" t="str">
        <f t="shared" si="19"/>
        <v/>
      </c>
      <c r="AW11" t="str">
        <f t="shared" si="20"/>
        <v/>
      </c>
      <c r="AX11" t="str">
        <f t="shared" si="21"/>
        <v/>
      </c>
      <c r="AY11" t="str">
        <f t="shared" si="22"/>
        <v/>
      </c>
      <c r="AZ11" t="str">
        <f t="shared" si="23"/>
        <v/>
      </c>
      <c r="BA11" t="str">
        <f t="shared" si="24"/>
        <v/>
      </c>
      <c r="BB11" t="str">
        <f t="shared" si="25"/>
        <v/>
      </c>
      <c r="BC11" t="str">
        <f t="shared" si="26"/>
        <v/>
      </c>
      <c r="BD11" t="str">
        <f t="shared" si="27"/>
        <v/>
      </c>
      <c r="BE11" t="str">
        <f t="shared" si="28"/>
        <v/>
      </c>
      <c r="BF11" t="str">
        <f t="shared" si="29"/>
        <v/>
      </c>
      <c r="BG11" t="str">
        <f t="shared" si="30"/>
        <v/>
      </c>
      <c r="BH11" t="str">
        <f t="shared" si="31"/>
        <v/>
      </c>
    </row>
    <row r="12" spans="1:66" x14ac:dyDescent="0.2">
      <c r="A12">
        <v>9</v>
      </c>
      <c r="B12">
        <v>85</v>
      </c>
      <c r="C12" t="s">
        <v>207</v>
      </c>
      <c r="D12">
        <v>1</v>
      </c>
      <c r="F12">
        <v>1</v>
      </c>
      <c r="J12" s="1">
        <v>4</v>
      </c>
      <c r="K12">
        <v>3</v>
      </c>
      <c r="L12">
        <v>1</v>
      </c>
      <c r="N12">
        <v>3</v>
      </c>
      <c r="O12">
        <v>3</v>
      </c>
      <c r="P12" s="1" t="s">
        <v>209</v>
      </c>
      <c r="S12">
        <v>1</v>
      </c>
      <c r="T12">
        <v>1</v>
      </c>
      <c r="U12">
        <v>4</v>
      </c>
      <c r="X12">
        <f t="shared" si="33"/>
        <v>0</v>
      </c>
      <c r="Z12" t="str">
        <f t="shared" si="0"/>
        <v/>
      </c>
      <c r="AA12" t="str">
        <f t="shared" si="1"/>
        <v/>
      </c>
      <c r="AB12" t="str">
        <f t="shared" si="2"/>
        <v/>
      </c>
      <c r="AC12" t="str">
        <f t="shared" si="3"/>
        <v/>
      </c>
      <c r="AE12" t="str">
        <f t="shared" si="4"/>
        <v>1</v>
      </c>
      <c r="AF12" t="str">
        <f t="shared" si="5"/>
        <v>2</v>
      </c>
      <c r="AG12" t="str">
        <f t="shared" si="6"/>
        <v/>
      </c>
      <c r="AH12" t="str">
        <f t="shared" si="7"/>
        <v/>
      </c>
      <c r="AI12" t="str">
        <f t="shared" si="8"/>
        <v/>
      </c>
      <c r="AK12" t="str">
        <f t="shared" si="9"/>
        <v>h1</v>
      </c>
      <c r="AL12" t="str">
        <f t="shared" si="32"/>
        <v/>
      </c>
      <c r="AM12" t="str">
        <f t="shared" si="10"/>
        <v/>
      </c>
      <c r="AN12" t="str">
        <f t="shared" si="11"/>
        <v/>
      </c>
      <c r="AO12" t="str">
        <f t="shared" si="12"/>
        <v/>
      </c>
      <c r="AP12" t="str">
        <f t="shared" si="13"/>
        <v/>
      </c>
      <c r="AQ12" t="str">
        <f t="shared" si="14"/>
        <v/>
      </c>
      <c r="AR12" t="str">
        <f t="shared" si="15"/>
        <v/>
      </c>
      <c r="AS12" t="str">
        <f t="shared" si="16"/>
        <v/>
      </c>
      <c r="AT12" t="str">
        <f t="shared" si="17"/>
        <v/>
      </c>
      <c r="AU12" t="str">
        <f t="shared" si="18"/>
        <v/>
      </c>
      <c r="AV12" t="str">
        <f t="shared" si="19"/>
        <v/>
      </c>
      <c r="AW12" t="str">
        <f t="shared" si="20"/>
        <v/>
      </c>
      <c r="AX12" t="str">
        <f t="shared" si="21"/>
        <v/>
      </c>
      <c r="AY12" t="str">
        <f t="shared" si="22"/>
        <v/>
      </c>
      <c r="AZ12" t="str">
        <f t="shared" si="23"/>
        <v/>
      </c>
      <c r="BA12" t="str">
        <f t="shared" si="24"/>
        <v/>
      </c>
      <c r="BB12" t="str">
        <f t="shared" si="25"/>
        <v/>
      </c>
      <c r="BC12" t="str">
        <f t="shared" si="26"/>
        <v/>
      </c>
      <c r="BD12" t="str">
        <f t="shared" si="27"/>
        <v/>
      </c>
      <c r="BE12" t="str">
        <f t="shared" si="28"/>
        <v/>
      </c>
      <c r="BF12" t="str">
        <f t="shared" si="29"/>
        <v/>
      </c>
      <c r="BG12" t="str">
        <f t="shared" si="30"/>
        <v/>
      </c>
      <c r="BH12" t="str">
        <f t="shared" si="31"/>
        <v/>
      </c>
    </row>
    <row r="13" spans="1:66" x14ac:dyDescent="0.2">
      <c r="A13">
        <v>10</v>
      </c>
      <c r="B13">
        <v>100</v>
      </c>
      <c r="C13" t="s">
        <v>207</v>
      </c>
      <c r="D13">
        <v>1</v>
      </c>
      <c r="F13">
        <v>1</v>
      </c>
      <c r="G13">
        <v>1</v>
      </c>
      <c r="K13">
        <v>3</v>
      </c>
      <c r="N13">
        <v>3</v>
      </c>
      <c r="O13">
        <v>3</v>
      </c>
      <c r="P13" t="s">
        <v>275</v>
      </c>
      <c r="R13">
        <v>2</v>
      </c>
      <c r="S13">
        <v>1</v>
      </c>
      <c r="T13">
        <v>1</v>
      </c>
      <c r="U13">
        <v>9</v>
      </c>
      <c r="X13">
        <f t="shared" si="33"/>
        <v>3</v>
      </c>
      <c r="Z13" t="str">
        <f t="shared" si="0"/>
        <v/>
      </c>
      <c r="AA13" t="str">
        <f t="shared" si="1"/>
        <v/>
      </c>
      <c r="AB13" t="str">
        <f t="shared" si="2"/>
        <v/>
      </c>
      <c r="AC13" t="str">
        <f t="shared" si="3"/>
        <v/>
      </c>
      <c r="AE13" t="str">
        <f t="shared" si="4"/>
        <v>2</v>
      </c>
      <c r="AF13" t="str">
        <f t="shared" si="5"/>
        <v/>
      </c>
      <c r="AG13" t="str">
        <f t="shared" si="6"/>
        <v/>
      </c>
      <c r="AH13" t="str">
        <f t="shared" si="7"/>
        <v/>
      </c>
      <c r="AI13" t="str">
        <f t="shared" si="8"/>
        <v/>
      </c>
      <c r="AK13" t="str">
        <f t="shared" si="9"/>
        <v>h1</v>
      </c>
      <c r="AL13" t="str">
        <f t="shared" si="32"/>
        <v/>
      </c>
      <c r="AM13" t="str">
        <f t="shared" si="10"/>
        <v/>
      </c>
      <c r="AN13" t="str">
        <f t="shared" si="11"/>
        <v/>
      </c>
      <c r="AO13" t="str">
        <f t="shared" si="12"/>
        <v/>
      </c>
      <c r="AP13" t="str">
        <f t="shared" si="13"/>
        <v/>
      </c>
      <c r="AQ13" t="str">
        <f t="shared" si="14"/>
        <v/>
      </c>
      <c r="AR13" t="str">
        <f t="shared" si="15"/>
        <v/>
      </c>
      <c r="AS13" t="str">
        <f t="shared" si="16"/>
        <v/>
      </c>
      <c r="AT13" t="str">
        <f t="shared" si="17"/>
        <v/>
      </c>
      <c r="AU13" t="str">
        <f t="shared" si="18"/>
        <v/>
      </c>
      <c r="AV13" t="str">
        <f t="shared" si="19"/>
        <v/>
      </c>
      <c r="AW13" t="str">
        <f t="shared" si="20"/>
        <v/>
      </c>
      <c r="AX13" t="str">
        <f t="shared" si="21"/>
        <v/>
      </c>
      <c r="AY13" t="str">
        <f t="shared" si="22"/>
        <v/>
      </c>
      <c r="AZ13" t="str">
        <f t="shared" si="23"/>
        <v/>
      </c>
      <c r="BA13" t="str">
        <f t="shared" si="24"/>
        <v/>
      </c>
      <c r="BB13" t="str">
        <f t="shared" si="25"/>
        <v/>
      </c>
      <c r="BC13" t="str">
        <f t="shared" si="26"/>
        <v/>
      </c>
      <c r="BD13" t="str">
        <f t="shared" si="27"/>
        <v/>
      </c>
      <c r="BE13" t="str">
        <f t="shared" si="28"/>
        <v/>
      </c>
      <c r="BF13" t="str">
        <f t="shared" si="29"/>
        <v/>
      </c>
      <c r="BG13" t="str">
        <f t="shared" si="30"/>
        <v/>
      </c>
      <c r="BH13" t="str">
        <f t="shared" si="31"/>
        <v/>
      </c>
    </row>
    <row r="14" spans="1:66" x14ac:dyDescent="0.2">
      <c r="A14">
        <v>11</v>
      </c>
      <c r="B14">
        <v>108</v>
      </c>
      <c r="C14" t="s">
        <v>39</v>
      </c>
      <c r="D14">
        <v>1</v>
      </c>
      <c r="E14">
        <v>1</v>
      </c>
      <c r="F14">
        <v>1</v>
      </c>
      <c r="G14">
        <v>5</v>
      </c>
      <c r="J14" t="s">
        <v>261</v>
      </c>
      <c r="K14">
        <v>3</v>
      </c>
      <c r="N14">
        <v>3</v>
      </c>
      <c r="O14">
        <v>3</v>
      </c>
      <c r="P14" t="s">
        <v>209</v>
      </c>
      <c r="R14">
        <v>1</v>
      </c>
      <c r="S14">
        <v>1</v>
      </c>
      <c r="T14">
        <v>1</v>
      </c>
      <c r="U14">
        <v>5</v>
      </c>
      <c r="W14">
        <v>2</v>
      </c>
      <c r="X14">
        <f t="shared" si="33"/>
        <v>6</v>
      </c>
      <c r="Z14" t="s">
        <v>31</v>
      </c>
      <c r="AE14" t="s">
        <v>34</v>
      </c>
      <c r="AK14" t="s">
        <v>43</v>
      </c>
      <c r="AP14" t="s">
        <v>84</v>
      </c>
    </row>
    <row r="15" spans="1:66" x14ac:dyDescent="0.2">
      <c r="A15">
        <v>12</v>
      </c>
      <c r="B15">
        <v>114</v>
      </c>
      <c r="C15" t="s">
        <v>207</v>
      </c>
      <c r="D15">
        <v>1</v>
      </c>
      <c r="E15">
        <v>1</v>
      </c>
      <c r="F15">
        <v>1</v>
      </c>
      <c r="J15">
        <v>2</v>
      </c>
      <c r="K15">
        <v>2</v>
      </c>
      <c r="N15">
        <v>2</v>
      </c>
      <c r="O15">
        <v>2</v>
      </c>
      <c r="P15" t="s">
        <v>209</v>
      </c>
      <c r="R15">
        <v>1</v>
      </c>
      <c r="S15">
        <v>1</v>
      </c>
      <c r="X15">
        <f t="shared" si="33"/>
        <v>1</v>
      </c>
      <c r="Z15" t="s">
        <v>21</v>
      </c>
      <c r="AA15" t="s">
        <v>22</v>
      </c>
      <c r="AE15" t="s">
        <v>21</v>
      </c>
      <c r="AF15" t="s">
        <v>22</v>
      </c>
      <c r="AG15" t="s">
        <v>35</v>
      </c>
      <c r="AK15" t="s">
        <v>10</v>
      </c>
      <c r="AL15" t="s">
        <v>25</v>
      </c>
      <c r="AM15" t="s">
        <v>26</v>
      </c>
      <c r="AN15" t="s">
        <v>27</v>
      </c>
      <c r="AP15" t="s">
        <v>15</v>
      </c>
      <c r="AQ15" t="s">
        <v>85</v>
      </c>
    </row>
    <row r="16" spans="1:66" x14ac:dyDescent="0.2">
      <c r="A16" t="s">
        <v>28</v>
      </c>
      <c r="D16">
        <f>SUM(D4:D15)</f>
        <v>12</v>
      </c>
      <c r="E16">
        <f>SUM(E4:E15)</f>
        <v>7</v>
      </c>
      <c r="F16">
        <f>SUM(F4:F15)</f>
        <v>7</v>
      </c>
      <c r="G16">
        <f>SUM(G4:G15)</f>
        <v>21</v>
      </c>
      <c r="H16">
        <f>SUM(H4:H15)</f>
        <v>0</v>
      </c>
      <c r="K16">
        <f>SUM(K4:K15)</f>
        <v>33</v>
      </c>
      <c r="L16">
        <f>SUM(L4:L15)</f>
        <v>4</v>
      </c>
      <c r="M16">
        <f>SUM(M4:M15)</f>
        <v>0</v>
      </c>
      <c r="N16">
        <f>SUM(N4:N15)</f>
        <v>35</v>
      </c>
      <c r="O16">
        <f>SUM(O4:O15)</f>
        <v>35</v>
      </c>
      <c r="Q16">
        <f t="shared" ref="Q16:R16" si="34">SUM(Q4:Q15)</f>
        <v>0</v>
      </c>
      <c r="R16">
        <f t="shared" si="34"/>
        <v>6</v>
      </c>
      <c r="S16">
        <f>SUM(S4:S15)</f>
        <v>12</v>
      </c>
      <c r="T16">
        <f>SUM(T4:T15)</f>
        <v>11</v>
      </c>
      <c r="U16">
        <f>SUM(U4:U15)</f>
        <v>106</v>
      </c>
      <c r="V16">
        <f>SUM(V4:V15)</f>
        <v>0</v>
      </c>
      <c r="W16">
        <f>SUM(W4:W15)</f>
        <v>12</v>
      </c>
      <c r="Z16">
        <f t="shared" ref="Z16:Z27" si="35">COUNTIF(Z2:AC2, "3")*COUNTIF(C4, "r")+COUNTIF(Z2:AC2, "5")*COUNTIF(C4, "b")</f>
        <v>0</v>
      </c>
      <c r="AA16">
        <f t="shared" ref="AA16:AA27" si="36">COUNTIF(Z2:AC2, "1")+COUNTIF(Z2:AC2, "2")+COUNTIF(Z2:AC2, "4")</f>
        <v>0</v>
      </c>
      <c r="AE16">
        <f t="shared" ref="AE16:AE27" si="37">COUNTIF(AE2:AI2, "3")*COUNTIF(C4, "r") + COUNTIF(AE2:AI2, "5")*COUNTIF(C4, "b")</f>
        <v>0</v>
      </c>
      <c r="AF16">
        <f t="shared" ref="AF16:AF27" si="38">COUNTIF(AE2:AI2, "1")+COUNTIF(AE2:AI2, "2")+COUNTIF(AE2:AI2, "4")</f>
        <v>1</v>
      </c>
      <c r="AG16">
        <f t="shared" ref="AG16:AG27" si="39">COUNTIF(AE2:AI2, "3")*COUNTIF(AE2:AI2, "b")+COUNTIF(AE2:AI2, "5")*COUNTIF(AE2:AI2, "r")</f>
        <v>0</v>
      </c>
      <c r="AK16">
        <f t="shared" ref="AK16:AK27" si="40">SUMPRODUCT(LEN($AK2:$BH2) - LEN(SUBSTITUTE($AK2:$BH2, "g", "")))</f>
        <v>0</v>
      </c>
      <c r="AL16">
        <f t="shared" ref="AL16:AL27" si="41">SUMPRODUCT(LEN($AK2:$BH2) - LEN(SUBSTITUTE($AK2:$BH2, "h", "")))</f>
        <v>1</v>
      </c>
      <c r="AM16">
        <f t="shared" ref="AM16:AM27" si="42">SUMPRODUCT(LEN($AK2:$BH2) - LEN(SUBSTITUTE($AK2:$BH2, "v", "")))</f>
        <v>0</v>
      </c>
      <c r="AN16">
        <f t="shared" ref="AN16:AN27" si="43">SUMPRODUCT(LEN($AK2:$BH2) - LEN(SUBSTITUTE($AK2:$BH2, "r", "")))</f>
        <v>0</v>
      </c>
      <c r="AP16">
        <f>MAX(AQ16:BN16)</f>
        <v>1</v>
      </c>
      <c r="AQ16" s="4">
        <f>_xlfn.NUMBERVALUE(RIGHT(AK2,1))</f>
        <v>1</v>
      </c>
      <c r="AR16" s="4">
        <f t="shared" ref="AR16:BG27" si="44">_xlfn.NUMBERVALUE(RIGHT(AL2,1))</f>
        <v>0</v>
      </c>
      <c r="AS16" s="4">
        <f t="shared" si="44"/>
        <v>0</v>
      </c>
      <c r="AT16" s="4">
        <f t="shared" si="44"/>
        <v>0</v>
      </c>
      <c r="AU16" s="4">
        <f t="shared" si="44"/>
        <v>0</v>
      </c>
      <c r="AV16" s="4">
        <f t="shared" si="44"/>
        <v>0</v>
      </c>
      <c r="AW16" s="4">
        <f t="shared" si="44"/>
        <v>0</v>
      </c>
      <c r="AX16" s="4">
        <f t="shared" si="44"/>
        <v>0</v>
      </c>
      <c r="AY16" s="4">
        <f t="shared" si="44"/>
        <v>0</v>
      </c>
      <c r="AZ16" s="4">
        <f t="shared" si="44"/>
        <v>0</v>
      </c>
      <c r="BA16" s="4">
        <f t="shared" si="44"/>
        <v>0</v>
      </c>
      <c r="BB16" s="4">
        <f t="shared" si="44"/>
        <v>0</v>
      </c>
      <c r="BC16" s="4">
        <f t="shared" si="44"/>
        <v>0</v>
      </c>
      <c r="BD16" s="4">
        <f t="shared" si="44"/>
        <v>0</v>
      </c>
      <c r="BE16" s="4">
        <f t="shared" si="44"/>
        <v>0</v>
      </c>
      <c r="BF16" s="4">
        <f t="shared" si="44"/>
        <v>0</v>
      </c>
      <c r="BG16" s="4">
        <f t="shared" si="44"/>
        <v>0</v>
      </c>
      <c r="BH16" s="4">
        <f t="shared" ref="BH16:BN27" si="45">_xlfn.NUMBERVALUE(RIGHT(BB2,1))</f>
        <v>0</v>
      </c>
      <c r="BI16" s="4">
        <f t="shared" si="45"/>
        <v>0</v>
      </c>
      <c r="BJ16" s="4">
        <f t="shared" si="45"/>
        <v>0</v>
      </c>
      <c r="BK16" s="4">
        <f t="shared" si="45"/>
        <v>0</v>
      </c>
      <c r="BL16" s="4">
        <f t="shared" si="45"/>
        <v>0</v>
      </c>
      <c r="BM16" s="4">
        <f t="shared" si="45"/>
        <v>0</v>
      </c>
      <c r="BN16" s="4">
        <f t="shared" si="45"/>
        <v>0</v>
      </c>
    </row>
    <row r="17" spans="1:66" x14ac:dyDescent="0.2">
      <c r="A17" s="1" t="s">
        <v>20</v>
      </c>
      <c r="D17" s="1" t="s">
        <v>49</v>
      </c>
      <c r="G17" s="1" t="s">
        <v>52</v>
      </c>
      <c r="K17" s="3" t="s">
        <v>74</v>
      </c>
      <c r="P17" s="1" t="s">
        <v>66</v>
      </c>
      <c r="Z17">
        <f t="shared" si="35"/>
        <v>0</v>
      </c>
      <c r="AA17">
        <f t="shared" si="36"/>
        <v>0</v>
      </c>
      <c r="AE17">
        <f t="shared" si="37"/>
        <v>1</v>
      </c>
      <c r="AF17">
        <f t="shared" si="38"/>
        <v>0</v>
      </c>
      <c r="AG17">
        <f t="shared" si="39"/>
        <v>0</v>
      </c>
      <c r="AK17">
        <f t="shared" si="40"/>
        <v>0</v>
      </c>
      <c r="AL17">
        <f t="shared" si="41"/>
        <v>0</v>
      </c>
      <c r="AM17">
        <f t="shared" si="42"/>
        <v>0</v>
      </c>
      <c r="AN17">
        <f t="shared" si="43"/>
        <v>0</v>
      </c>
      <c r="AP17">
        <f t="shared" ref="AP17:AP27" si="46">MAX(AQ17:BN17)</f>
        <v>0</v>
      </c>
      <c r="AQ17" s="4">
        <f t="shared" ref="AQ17:AQ27" si="47">_xlfn.NUMBERVALUE(RIGHT(AK3,1))</f>
        <v>0</v>
      </c>
      <c r="AR17" s="4">
        <f t="shared" si="44"/>
        <v>0</v>
      </c>
      <c r="AS17" s="4">
        <f t="shared" si="44"/>
        <v>0</v>
      </c>
      <c r="AT17" s="4">
        <f t="shared" si="44"/>
        <v>0</v>
      </c>
      <c r="AU17" s="4">
        <f t="shared" si="44"/>
        <v>0</v>
      </c>
      <c r="AV17" s="4">
        <f t="shared" si="44"/>
        <v>0</v>
      </c>
      <c r="AW17" s="4">
        <f t="shared" si="44"/>
        <v>0</v>
      </c>
      <c r="AX17" s="4">
        <f t="shared" si="44"/>
        <v>0</v>
      </c>
      <c r="AY17" s="4">
        <f t="shared" si="44"/>
        <v>0</v>
      </c>
      <c r="AZ17" s="4">
        <f t="shared" si="44"/>
        <v>0</v>
      </c>
      <c r="BA17" s="4">
        <f t="shared" si="44"/>
        <v>0</v>
      </c>
      <c r="BB17" s="4">
        <f t="shared" si="44"/>
        <v>0</v>
      </c>
      <c r="BC17" s="4">
        <f t="shared" si="44"/>
        <v>0</v>
      </c>
      <c r="BD17" s="4">
        <f t="shared" si="44"/>
        <v>0</v>
      </c>
      <c r="BE17" s="4">
        <f t="shared" si="44"/>
        <v>0</v>
      </c>
      <c r="BF17" s="4">
        <f t="shared" si="44"/>
        <v>0</v>
      </c>
      <c r="BG17" s="4">
        <f t="shared" si="44"/>
        <v>0</v>
      </c>
      <c r="BH17" s="4">
        <f t="shared" si="45"/>
        <v>0</v>
      </c>
      <c r="BI17" s="4">
        <f t="shared" si="45"/>
        <v>0</v>
      </c>
      <c r="BJ17" s="4">
        <f t="shared" si="45"/>
        <v>0</v>
      </c>
      <c r="BK17" s="4">
        <f t="shared" si="45"/>
        <v>0</v>
      </c>
      <c r="BL17" s="4">
        <f t="shared" si="45"/>
        <v>0</v>
      </c>
      <c r="BM17" s="4">
        <f t="shared" si="45"/>
        <v>0</v>
      </c>
      <c r="BN17" s="4">
        <f t="shared" si="45"/>
        <v>0</v>
      </c>
    </row>
    <row r="18" spans="1:66" x14ac:dyDescent="0.2">
      <c r="A18" t="s">
        <v>32</v>
      </c>
      <c r="B18" t="s">
        <v>21</v>
      </c>
      <c r="D18" t="s">
        <v>180</v>
      </c>
      <c r="G18" s="3" t="s">
        <v>53</v>
      </c>
      <c r="K18" t="s">
        <v>55</v>
      </c>
      <c r="M18" t="s">
        <v>65</v>
      </c>
      <c r="P18" t="s">
        <v>67</v>
      </c>
      <c r="Z18">
        <f t="shared" si="35"/>
        <v>0</v>
      </c>
      <c r="AA18">
        <f t="shared" si="36"/>
        <v>0</v>
      </c>
      <c r="AE18">
        <f t="shared" si="37"/>
        <v>0</v>
      </c>
      <c r="AF18">
        <f t="shared" si="38"/>
        <v>0</v>
      </c>
      <c r="AG18">
        <f t="shared" si="39"/>
        <v>0</v>
      </c>
      <c r="AK18">
        <f t="shared" si="40"/>
        <v>0</v>
      </c>
      <c r="AL18">
        <f t="shared" si="41"/>
        <v>0</v>
      </c>
      <c r="AM18">
        <f t="shared" si="42"/>
        <v>0</v>
      </c>
      <c r="AN18">
        <f t="shared" si="43"/>
        <v>0</v>
      </c>
      <c r="AP18">
        <f t="shared" si="46"/>
        <v>0</v>
      </c>
      <c r="AQ18" s="4">
        <f t="shared" si="47"/>
        <v>0</v>
      </c>
      <c r="AR18" s="4">
        <f t="shared" si="44"/>
        <v>0</v>
      </c>
      <c r="AS18" s="4">
        <f t="shared" si="44"/>
        <v>0</v>
      </c>
      <c r="AT18" s="4">
        <f t="shared" si="44"/>
        <v>0</v>
      </c>
      <c r="AU18" s="4">
        <f t="shared" si="44"/>
        <v>0</v>
      </c>
      <c r="AV18" s="4">
        <f t="shared" si="44"/>
        <v>0</v>
      </c>
      <c r="AW18" s="4">
        <f t="shared" si="44"/>
        <v>0</v>
      </c>
      <c r="AX18" s="4">
        <f t="shared" si="44"/>
        <v>0</v>
      </c>
      <c r="AY18" s="4">
        <f t="shared" si="44"/>
        <v>0</v>
      </c>
      <c r="AZ18" s="4">
        <f t="shared" si="44"/>
        <v>0</v>
      </c>
      <c r="BA18" s="4">
        <f t="shared" si="44"/>
        <v>0</v>
      </c>
      <c r="BB18" s="4">
        <f t="shared" si="44"/>
        <v>0</v>
      </c>
      <c r="BC18" s="4">
        <f t="shared" si="44"/>
        <v>0</v>
      </c>
      <c r="BD18" s="4">
        <f t="shared" si="44"/>
        <v>0</v>
      </c>
      <c r="BE18" s="4">
        <f t="shared" si="44"/>
        <v>0</v>
      </c>
      <c r="BF18" s="4">
        <f t="shared" si="44"/>
        <v>0</v>
      </c>
      <c r="BG18" s="4">
        <f t="shared" si="44"/>
        <v>0</v>
      </c>
      <c r="BH18" s="4">
        <f t="shared" si="45"/>
        <v>0</v>
      </c>
      <c r="BI18" s="4">
        <f t="shared" si="45"/>
        <v>0</v>
      </c>
      <c r="BJ18" s="4">
        <f t="shared" si="45"/>
        <v>0</v>
      </c>
      <c r="BK18" s="4">
        <f t="shared" si="45"/>
        <v>0</v>
      </c>
      <c r="BL18" s="4">
        <f t="shared" si="45"/>
        <v>0</v>
      </c>
      <c r="BM18" s="4">
        <f t="shared" si="45"/>
        <v>0</v>
      </c>
      <c r="BN18" s="4">
        <f t="shared" si="45"/>
        <v>0</v>
      </c>
    </row>
    <row r="19" spans="1:66" x14ac:dyDescent="0.2">
      <c r="A19" t="s">
        <v>40</v>
      </c>
      <c r="B19" t="s">
        <v>22</v>
      </c>
      <c r="D19">
        <f>E16/D16</f>
        <v>0.58333333333333337</v>
      </c>
      <c r="G19" t="s">
        <v>75</v>
      </c>
      <c r="K19">
        <f>O16/N16</f>
        <v>1</v>
      </c>
      <c r="M19">
        <f>SUM(M39:M50)</f>
        <v>-2</v>
      </c>
      <c r="P19">
        <f>T16/S16</f>
        <v>0.91666666666666663</v>
      </c>
      <c r="Z19">
        <f t="shared" si="35"/>
        <v>0</v>
      </c>
      <c r="AA19">
        <f t="shared" si="36"/>
        <v>0</v>
      </c>
      <c r="AE19">
        <f t="shared" si="37"/>
        <v>0</v>
      </c>
      <c r="AF19">
        <f t="shared" si="38"/>
        <v>0</v>
      </c>
      <c r="AG19">
        <f t="shared" si="39"/>
        <v>0</v>
      </c>
      <c r="AK19">
        <f t="shared" si="40"/>
        <v>0</v>
      </c>
      <c r="AL19">
        <f t="shared" si="41"/>
        <v>0</v>
      </c>
      <c r="AM19">
        <f t="shared" si="42"/>
        <v>0</v>
      </c>
      <c r="AN19">
        <f t="shared" si="43"/>
        <v>0</v>
      </c>
      <c r="AP19">
        <f t="shared" si="46"/>
        <v>0</v>
      </c>
      <c r="AQ19" s="4">
        <f t="shared" si="47"/>
        <v>0</v>
      </c>
      <c r="AR19" s="4">
        <f t="shared" si="44"/>
        <v>0</v>
      </c>
      <c r="AS19" s="4">
        <f t="shared" si="44"/>
        <v>0</v>
      </c>
      <c r="AT19" s="4">
        <f t="shared" si="44"/>
        <v>0</v>
      </c>
      <c r="AU19" s="4">
        <f t="shared" si="44"/>
        <v>0</v>
      </c>
      <c r="AV19" s="4">
        <f t="shared" si="44"/>
        <v>0</v>
      </c>
      <c r="AW19" s="4">
        <f t="shared" si="44"/>
        <v>0</v>
      </c>
      <c r="AX19" s="4">
        <f t="shared" si="44"/>
        <v>0</v>
      </c>
      <c r="AY19" s="4">
        <f t="shared" si="44"/>
        <v>0</v>
      </c>
      <c r="AZ19" s="4">
        <f t="shared" si="44"/>
        <v>0</v>
      </c>
      <c r="BA19" s="4">
        <f t="shared" si="44"/>
        <v>0</v>
      </c>
      <c r="BB19" s="4">
        <f t="shared" si="44"/>
        <v>0</v>
      </c>
      <c r="BC19" s="4">
        <f t="shared" si="44"/>
        <v>0</v>
      </c>
      <c r="BD19" s="4">
        <f t="shared" si="44"/>
        <v>0</v>
      </c>
      <c r="BE19" s="4">
        <f t="shared" si="44"/>
        <v>0</v>
      </c>
      <c r="BF19" s="4">
        <f t="shared" si="44"/>
        <v>0</v>
      </c>
      <c r="BG19" s="4">
        <f t="shared" si="44"/>
        <v>0</v>
      </c>
      <c r="BH19" s="4">
        <f t="shared" si="45"/>
        <v>0</v>
      </c>
      <c r="BI19" s="4">
        <f t="shared" si="45"/>
        <v>0</v>
      </c>
      <c r="BJ19" s="4">
        <f t="shared" si="45"/>
        <v>0</v>
      </c>
      <c r="BK19" s="4">
        <f t="shared" si="45"/>
        <v>0</v>
      </c>
      <c r="BL19" s="4">
        <f t="shared" si="45"/>
        <v>0</v>
      </c>
      <c r="BM19" s="4">
        <f t="shared" si="45"/>
        <v>0</v>
      </c>
      <c r="BN19" s="4">
        <f t="shared" si="45"/>
        <v>0</v>
      </c>
    </row>
    <row r="20" spans="1:66" x14ac:dyDescent="0.2">
      <c r="A20" t="s">
        <v>41</v>
      </c>
      <c r="B20" t="s">
        <v>23</v>
      </c>
      <c r="D20" t="s">
        <v>47</v>
      </c>
      <c r="G20">
        <f>AK28/AP28</f>
        <v>0.14285714285714285</v>
      </c>
      <c r="K20" t="s">
        <v>13</v>
      </c>
      <c r="Z20">
        <f t="shared" si="35"/>
        <v>0</v>
      </c>
      <c r="AA20">
        <f t="shared" si="36"/>
        <v>0</v>
      </c>
      <c r="AE20">
        <f t="shared" si="37"/>
        <v>0</v>
      </c>
      <c r="AF20">
        <f t="shared" si="38"/>
        <v>0</v>
      </c>
      <c r="AG20">
        <f t="shared" si="39"/>
        <v>0</v>
      </c>
      <c r="AK20">
        <f t="shared" si="40"/>
        <v>1</v>
      </c>
      <c r="AL20">
        <f t="shared" si="41"/>
        <v>0</v>
      </c>
      <c r="AM20">
        <f t="shared" si="42"/>
        <v>0</v>
      </c>
      <c r="AN20">
        <f t="shared" si="43"/>
        <v>0</v>
      </c>
      <c r="AP20">
        <f t="shared" si="46"/>
        <v>1</v>
      </c>
      <c r="AQ20" s="4">
        <f t="shared" si="47"/>
        <v>1</v>
      </c>
      <c r="AR20" s="4">
        <f t="shared" si="44"/>
        <v>0</v>
      </c>
      <c r="AS20" s="4">
        <f t="shared" si="44"/>
        <v>0</v>
      </c>
      <c r="AT20" s="4">
        <f t="shared" si="44"/>
        <v>0</v>
      </c>
      <c r="AU20" s="4">
        <f t="shared" si="44"/>
        <v>0</v>
      </c>
      <c r="AV20" s="4">
        <f t="shared" si="44"/>
        <v>0</v>
      </c>
      <c r="AW20" s="4">
        <f t="shared" si="44"/>
        <v>0</v>
      </c>
      <c r="AX20" s="4">
        <f t="shared" si="44"/>
        <v>0</v>
      </c>
      <c r="AY20" s="4">
        <f t="shared" si="44"/>
        <v>0</v>
      </c>
      <c r="AZ20" s="4">
        <f t="shared" si="44"/>
        <v>0</v>
      </c>
      <c r="BA20" s="4">
        <f t="shared" si="44"/>
        <v>0</v>
      </c>
      <c r="BB20" s="4">
        <f t="shared" si="44"/>
        <v>0</v>
      </c>
      <c r="BC20" s="4">
        <f t="shared" si="44"/>
        <v>0</v>
      </c>
      <c r="BD20" s="4">
        <f t="shared" si="44"/>
        <v>0</v>
      </c>
      <c r="BE20" s="4">
        <f t="shared" si="44"/>
        <v>0</v>
      </c>
      <c r="BF20" s="4">
        <f t="shared" si="44"/>
        <v>0</v>
      </c>
      <c r="BG20" s="4">
        <f t="shared" si="44"/>
        <v>0</v>
      </c>
      <c r="BH20" s="4">
        <f t="shared" si="45"/>
        <v>0</v>
      </c>
      <c r="BI20" s="4">
        <f t="shared" si="45"/>
        <v>0</v>
      </c>
      <c r="BJ20" s="4">
        <f t="shared" si="45"/>
        <v>0</v>
      </c>
      <c r="BK20" s="4">
        <f t="shared" si="45"/>
        <v>0</v>
      </c>
      <c r="BL20" s="4">
        <f t="shared" si="45"/>
        <v>0</v>
      </c>
      <c r="BM20" s="4">
        <f t="shared" si="45"/>
        <v>0</v>
      </c>
      <c r="BN20" s="4">
        <f t="shared" si="45"/>
        <v>0</v>
      </c>
    </row>
    <row r="21" spans="1:66" x14ac:dyDescent="0.2">
      <c r="A21" s="1" t="s">
        <v>24</v>
      </c>
      <c r="D21">
        <f>G16/A31</f>
        <v>1.75</v>
      </c>
      <c r="G21" t="s">
        <v>76</v>
      </c>
      <c r="K21" t="s">
        <v>57</v>
      </c>
      <c r="L21" t="s">
        <v>58</v>
      </c>
      <c r="M21" t="s">
        <v>59</v>
      </c>
      <c r="N21" t="s">
        <v>60</v>
      </c>
      <c r="Z21">
        <f t="shared" si="35"/>
        <v>0</v>
      </c>
      <c r="AA21">
        <f t="shared" si="36"/>
        <v>0</v>
      </c>
      <c r="AE21">
        <f t="shared" si="37"/>
        <v>0</v>
      </c>
      <c r="AF21">
        <f t="shared" si="38"/>
        <v>0</v>
      </c>
      <c r="AG21">
        <f t="shared" si="39"/>
        <v>0</v>
      </c>
      <c r="AK21">
        <f t="shared" si="40"/>
        <v>0</v>
      </c>
      <c r="AL21">
        <f t="shared" si="41"/>
        <v>0</v>
      </c>
      <c r="AM21">
        <f t="shared" si="42"/>
        <v>0</v>
      </c>
      <c r="AN21">
        <f t="shared" si="43"/>
        <v>0</v>
      </c>
      <c r="AP21">
        <f t="shared" si="46"/>
        <v>0</v>
      </c>
      <c r="AQ21" s="4">
        <f t="shared" si="47"/>
        <v>0</v>
      </c>
      <c r="AR21" s="4">
        <f t="shared" si="44"/>
        <v>0</v>
      </c>
      <c r="AS21" s="4">
        <f t="shared" si="44"/>
        <v>0</v>
      </c>
      <c r="AT21" s="4">
        <f t="shared" si="44"/>
        <v>0</v>
      </c>
      <c r="AU21" s="4">
        <f t="shared" si="44"/>
        <v>0</v>
      </c>
      <c r="AV21" s="4">
        <f t="shared" si="44"/>
        <v>0</v>
      </c>
      <c r="AW21" s="4">
        <f t="shared" si="44"/>
        <v>0</v>
      </c>
      <c r="AX21" s="4">
        <f t="shared" si="44"/>
        <v>0</v>
      </c>
      <c r="AY21" s="4">
        <f t="shared" si="44"/>
        <v>0</v>
      </c>
      <c r="AZ21" s="4">
        <f t="shared" si="44"/>
        <v>0</v>
      </c>
      <c r="BA21" s="4">
        <f t="shared" si="44"/>
        <v>0</v>
      </c>
      <c r="BB21" s="4">
        <f t="shared" si="44"/>
        <v>0</v>
      </c>
      <c r="BC21" s="4">
        <f t="shared" si="44"/>
        <v>0</v>
      </c>
      <c r="BD21" s="4">
        <f t="shared" si="44"/>
        <v>0</v>
      </c>
      <c r="BE21" s="4">
        <f t="shared" si="44"/>
        <v>0</v>
      </c>
      <c r="BF21" s="4">
        <f t="shared" si="44"/>
        <v>0</v>
      </c>
      <c r="BG21" s="4">
        <f t="shared" si="44"/>
        <v>0</v>
      </c>
      <c r="BH21" s="4">
        <f t="shared" si="45"/>
        <v>0</v>
      </c>
      <c r="BI21" s="4">
        <f t="shared" si="45"/>
        <v>0</v>
      </c>
      <c r="BJ21" s="4">
        <f t="shared" si="45"/>
        <v>0</v>
      </c>
      <c r="BK21" s="4">
        <f t="shared" si="45"/>
        <v>0</v>
      </c>
      <c r="BL21" s="4">
        <f t="shared" si="45"/>
        <v>0</v>
      </c>
      <c r="BM21" s="4">
        <f t="shared" si="45"/>
        <v>0</v>
      </c>
      <c r="BN21" s="4">
        <f t="shared" si="45"/>
        <v>0</v>
      </c>
    </row>
    <row r="22" spans="1:66" x14ac:dyDescent="0.2">
      <c r="A22" t="s">
        <v>36</v>
      </c>
      <c r="B22" t="s">
        <v>10</v>
      </c>
      <c r="D22" t="s">
        <v>48</v>
      </c>
      <c r="G22">
        <f>AL28/AP28</f>
        <v>0.8571428571428571</v>
      </c>
      <c r="K22">
        <f>AVERAGE(C39:C50)</f>
        <v>2.9166666666666665</v>
      </c>
      <c r="L22">
        <f>MEDIAN(C39:C50)</f>
        <v>3</v>
      </c>
      <c r="M22">
        <f>MAX(C39:C50)</f>
        <v>4</v>
      </c>
      <c r="N22">
        <f>_xlfn.STDEV.S(C39:C50)</f>
        <v>0.90033663737852021</v>
      </c>
      <c r="Z22">
        <f t="shared" si="35"/>
        <v>0</v>
      </c>
      <c r="AA22">
        <f t="shared" si="36"/>
        <v>0</v>
      </c>
      <c r="AE22">
        <f t="shared" si="37"/>
        <v>0</v>
      </c>
      <c r="AF22">
        <f t="shared" si="38"/>
        <v>0</v>
      </c>
      <c r="AG22">
        <f t="shared" si="39"/>
        <v>0</v>
      </c>
      <c r="AK22">
        <f t="shared" si="40"/>
        <v>0</v>
      </c>
      <c r="AL22">
        <f t="shared" si="41"/>
        <v>0</v>
      </c>
      <c r="AM22">
        <f t="shared" si="42"/>
        <v>0</v>
      </c>
      <c r="AN22">
        <f t="shared" si="43"/>
        <v>0</v>
      </c>
      <c r="AP22">
        <f t="shared" si="46"/>
        <v>0</v>
      </c>
      <c r="AQ22" s="4">
        <f t="shared" si="47"/>
        <v>0</v>
      </c>
      <c r="AR22" s="4">
        <f t="shared" si="44"/>
        <v>0</v>
      </c>
      <c r="AS22" s="4">
        <f t="shared" si="44"/>
        <v>0</v>
      </c>
      <c r="AT22" s="4">
        <f t="shared" si="44"/>
        <v>0</v>
      </c>
      <c r="AU22" s="4">
        <f t="shared" si="44"/>
        <v>0</v>
      </c>
      <c r="AV22" s="4">
        <f t="shared" si="44"/>
        <v>0</v>
      </c>
      <c r="AW22" s="4">
        <f t="shared" si="44"/>
        <v>0</v>
      </c>
      <c r="AX22" s="4">
        <f t="shared" si="44"/>
        <v>0</v>
      </c>
      <c r="AY22" s="4">
        <f t="shared" si="44"/>
        <v>0</v>
      </c>
      <c r="AZ22" s="4">
        <f t="shared" si="44"/>
        <v>0</v>
      </c>
      <c r="BA22" s="4">
        <f t="shared" si="44"/>
        <v>0</v>
      </c>
      <c r="BB22" s="4">
        <f t="shared" si="44"/>
        <v>0</v>
      </c>
      <c r="BC22" s="4">
        <f t="shared" si="44"/>
        <v>0</v>
      </c>
      <c r="BD22" s="4">
        <f t="shared" si="44"/>
        <v>0</v>
      </c>
      <c r="BE22" s="4">
        <f t="shared" si="44"/>
        <v>0</v>
      </c>
      <c r="BF22" s="4">
        <f t="shared" si="44"/>
        <v>0</v>
      </c>
      <c r="BG22" s="4">
        <f t="shared" si="44"/>
        <v>0</v>
      </c>
      <c r="BH22" s="4">
        <f t="shared" si="45"/>
        <v>0</v>
      </c>
      <c r="BI22" s="4">
        <f t="shared" si="45"/>
        <v>0</v>
      </c>
      <c r="BJ22" s="4">
        <f t="shared" si="45"/>
        <v>0</v>
      </c>
      <c r="BK22" s="4">
        <f t="shared" si="45"/>
        <v>0</v>
      </c>
      <c r="BL22" s="4">
        <f t="shared" si="45"/>
        <v>0</v>
      </c>
      <c r="BM22" s="4">
        <f t="shared" si="45"/>
        <v>0</v>
      </c>
      <c r="BN22" s="4">
        <f t="shared" si="45"/>
        <v>0</v>
      </c>
    </row>
    <row r="23" spans="1:66" x14ac:dyDescent="0.2">
      <c r="A23" t="s">
        <v>37</v>
      </c>
      <c r="B23" t="s">
        <v>25</v>
      </c>
      <c r="D23">
        <f>H16/A31</f>
        <v>0</v>
      </c>
      <c r="G23" t="s">
        <v>77</v>
      </c>
      <c r="K23" t="s">
        <v>8</v>
      </c>
      <c r="Z23">
        <f t="shared" si="35"/>
        <v>0</v>
      </c>
      <c r="AA23">
        <f t="shared" si="36"/>
        <v>0</v>
      </c>
      <c r="AE23">
        <f t="shared" si="37"/>
        <v>0</v>
      </c>
      <c r="AF23">
        <f t="shared" si="38"/>
        <v>0</v>
      </c>
      <c r="AG23">
        <f t="shared" si="39"/>
        <v>0</v>
      </c>
      <c r="AK23">
        <f t="shared" si="40"/>
        <v>0</v>
      </c>
      <c r="AL23">
        <f t="shared" si="41"/>
        <v>0</v>
      </c>
      <c r="AM23">
        <f t="shared" si="42"/>
        <v>0</v>
      </c>
      <c r="AN23">
        <f t="shared" si="43"/>
        <v>0</v>
      </c>
      <c r="AP23">
        <f t="shared" si="46"/>
        <v>0</v>
      </c>
      <c r="AQ23" s="4">
        <f t="shared" si="47"/>
        <v>0</v>
      </c>
      <c r="AR23" s="4">
        <f t="shared" si="44"/>
        <v>0</v>
      </c>
      <c r="AS23" s="4">
        <f t="shared" si="44"/>
        <v>0</v>
      </c>
      <c r="AT23" s="4">
        <f t="shared" si="44"/>
        <v>0</v>
      </c>
      <c r="AU23" s="4">
        <f t="shared" si="44"/>
        <v>0</v>
      </c>
      <c r="AV23" s="4">
        <f t="shared" si="44"/>
        <v>0</v>
      </c>
      <c r="AW23" s="4">
        <f t="shared" si="44"/>
        <v>0</v>
      </c>
      <c r="AX23" s="4">
        <f t="shared" si="44"/>
        <v>0</v>
      </c>
      <c r="AY23" s="4">
        <f t="shared" si="44"/>
        <v>0</v>
      </c>
      <c r="AZ23" s="4">
        <f t="shared" si="44"/>
        <v>0</v>
      </c>
      <c r="BA23" s="4">
        <f t="shared" si="44"/>
        <v>0</v>
      </c>
      <c r="BB23" s="4">
        <f t="shared" si="44"/>
        <v>0</v>
      </c>
      <c r="BC23" s="4">
        <f t="shared" si="44"/>
        <v>0</v>
      </c>
      <c r="BD23" s="4">
        <f t="shared" si="44"/>
        <v>0</v>
      </c>
      <c r="BE23" s="4">
        <f t="shared" si="44"/>
        <v>0</v>
      </c>
      <c r="BF23" s="4">
        <f t="shared" si="44"/>
        <v>0</v>
      </c>
      <c r="BG23" s="4">
        <f t="shared" si="44"/>
        <v>0</v>
      </c>
      <c r="BH23" s="4">
        <f t="shared" si="45"/>
        <v>0</v>
      </c>
      <c r="BI23" s="4">
        <f t="shared" si="45"/>
        <v>0</v>
      </c>
      <c r="BJ23" s="4">
        <f t="shared" si="45"/>
        <v>0</v>
      </c>
      <c r="BK23" s="4">
        <f t="shared" si="45"/>
        <v>0</v>
      </c>
      <c r="BL23" s="4">
        <f t="shared" si="45"/>
        <v>0</v>
      </c>
      <c r="BM23" s="4">
        <f t="shared" si="45"/>
        <v>0</v>
      </c>
      <c r="BN23" s="4">
        <f t="shared" si="45"/>
        <v>0</v>
      </c>
    </row>
    <row r="24" spans="1:66" x14ac:dyDescent="0.2">
      <c r="A24" t="s">
        <v>38</v>
      </c>
      <c r="B24" t="s">
        <v>26</v>
      </c>
      <c r="D24" t="s">
        <v>50</v>
      </c>
      <c r="G24">
        <f>AM28/AP28</f>
        <v>0</v>
      </c>
      <c r="K24" t="s">
        <v>57</v>
      </c>
      <c r="L24" t="s">
        <v>61</v>
      </c>
      <c r="M24" t="s">
        <v>59</v>
      </c>
      <c r="N24" t="s">
        <v>60</v>
      </c>
      <c r="Z24">
        <f t="shared" si="35"/>
        <v>0</v>
      </c>
      <c r="AA24">
        <f t="shared" si="36"/>
        <v>0</v>
      </c>
      <c r="AE24">
        <f t="shared" si="37"/>
        <v>0</v>
      </c>
      <c r="AF24">
        <f t="shared" si="38"/>
        <v>1</v>
      </c>
      <c r="AG24">
        <f t="shared" si="39"/>
        <v>0</v>
      </c>
      <c r="AK24">
        <f t="shared" si="40"/>
        <v>0</v>
      </c>
      <c r="AL24">
        <f t="shared" si="41"/>
        <v>1</v>
      </c>
      <c r="AM24">
        <f t="shared" si="42"/>
        <v>0</v>
      </c>
      <c r="AN24">
        <f t="shared" si="43"/>
        <v>0</v>
      </c>
      <c r="AP24">
        <f t="shared" si="46"/>
        <v>1</v>
      </c>
      <c r="AQ24" s="4">
        <f t="shared" si="47"/>
        <v>1</v>
      </c>
      <c r="AR24" s="4">
        <f t="shared" si="44"/>
        <v>0</v>
      </c>
      <c r="AS24" s="4">
        <f t="shared" si="44"/>
        <v>0</v>
      </c>
      <c r="AT24" s="4">
        <f t="shared" si="44"/>
        <v>0</v>
      </c>
      <c r="AU24" s="4">
        <f t="shared" si="44"/>
        <v>0</v>
      </c>
      <c r="AV24" s="4">
        <f t="shared" si="44"/>
        <v>0</v>
      </c>
      <c r="AW24" s="4">
        <f t="shared" si="44"/>
        <v>0</v>
      </c>
      <c r="AX24" s="4">
        <f t="shared" si="44"/>
        <v>0</v>
      </c>
      <c r="AY24" s="4">
        <f t="shared" si="44"/>
        <v>0</v>
      </c>
      <c r="AZ24" s="4">
        <f t="shared" si="44"/>
        <v>0</v>
      </c>
      <c r="BA24" s="4">
        <f t="shared" si="44"/>
        <v>0</v>
      </c>
      <c r="BB24" s="4">
        <f t="shared" si="44"/>
        <v>0</v>
      </c>
      <c r="BC24" s="4">
        <f t="shared" si="44"/>
        <v>0</v>
      </c>
      <c r="BD24" s="4">
        <f t="shared" si="44"/>
        <v>0</v>
      </c>
      <c r="BE24" s="4">
        <f t="shared" si="44"/>
        <v>0</v>
      </c>
      <c r="BF24" s="4">
        <f t="shared" si="44"/>
        <v>0</v>
      </c>
      <c r="BG24" s="4">
        <f t="shared" si="44"/>
        <v>0</v>
      </c>
      <c r="BH24" s="4">
        <f t="shared" si="45"/>
        <v>0</v>
      </c>
      <c r="BI24" s="4">
        <f t="shared" si="45"/>
        <v>0</v>
      </c>
      <c r="BJ24" s="4">
        <f t="shared" si="45"/>
        <v>0</v>
      </c>
      <c r="BK24" s="4">
        <f t="shared" si="45"/>
        <v>0</v>
      </c>
      <c r="BL24" s="4">
        <f t="shared" si="45"/>
        <v>0</v>
      </c>
      <c r="BM24" s="4">
        <f t="shared" si="45"/>
        <v>0</v>
      </c>
      <c r="BN24" s="4">
        <f t="shared" si="45"/>
        <v>0</v>
      </c>
    </row>
    <row r="25" spans="1:66" x14ac:dyDescent="0.2">
      <c r="A25" t="s">
        <v>39</v>
      </c>
      <c r="B25" t="s">
        <v>27</v>
      </c>
      <c r="D25">
        <f>Z28/A31</f>
        <v>0</v>
      </c>
      <c r="G25" t="s">
        <v>78</v>
      </c>
      <c r="K25">
        <f>AVERAGE(E39:E50)</f>
        <v>0</v>
      </c>
      <c r="L25">
        <f>MEDIAN(E39:E50)</f>
        <v>0</v>
      </c>
      <c r="M25">
        <f>MAX(E39:E50)</f>
        <v>0</v>
      </c>
      <c r="N25">
        <f>_xlfn.STDEV.S(E39:E50)</f>
        <v>0</v>
      </c>
      <c r="Z25">
        <f t="shared" si="35"/>
        <v>0</v>
      </c>
      <c r="AA25">
        <f t="shared" si="36"/>
        <v>0</v>
      </c>
      <c r="AE25">
        <f t="shared" si="37"/>
        <v>0</v>
      </c>
      <c r="AF25">
        <f t="shared" si="38"/>
        <v>0</v>
      </c>
      <c r="AG25">
        <f t="shared" si="39"/>
        <v>0</v>
      </c>
      <c r="AK25">
        <f t="shared" si="40"/>
        <v>0</v>
      </c>
      <c r="AL25">
        <f t="shared" si="41"/>
        <v>2</v>
      </c>
      <c r="AM25">
        <f t="shared" si="42"/>
        <v>0</v>
      </c>
      <c r="AN25">
        <f t="shared" si="43"/>
        <v>0</v>
      </c>
      <c r="AP25">
        <f t="shared" si="46"/>
        <v>2</v>
      </c>
      <c r="AQ25" s="4">
        <f t="shared" si="47"/>
        <v>1</v>
      </c>
      <c r="AR25" s="4">
        <f t="shared" si="44"/>
        <v>2</v>
      </c>
      <c r="AS25" s="4">
        <f t="shared" si="44"/>
        <v>0</v>
      </c>
      <c r="AT25" s="4">
        <f t="shared" si="44"/>
        <v>0</v>
      </c>
      <c r="AU25" s="4">
        <f t="shared" si="44"/>
        <v>0</v>
      </c>
      <c r="AV25" s="4">
        <f t="shared" si="44"/>
        <v>0</v>
      </c>
      <c r="AW25" s="4">
        <f t="shared" si="44"/>
        <v>0</v>
      </c>
      <c r="AX25" s="4">
        <f t="shared" si="44"/>
        <v>0</v>
      </c>
      <c r="AY25" s="4">
        <f t="shared" si="44"/>
        <v>0</v>
      </c>
      <c r="AZ25" s="4">
        <f t="shared" si="44"/>
        <v>0</v>
      </c>
      <c r="BA25" s="4">
        <f t="shared" si="44"/>
        <v>0</v>
      </c>
      <c r="BB25" s="4">
        <f t="shared" si="44"/>
        <v>0</v>
      </c>
      <c r="BC25" s="4">
        <f t="shared" si="44"/>
        <v>0</v>
      </c>
      <c r="BD25" s="4">
        <f t="shared" si="44"/>
        <v>0</v>
      </c>
      <c r="BE25" s="4">
        <f t="shared" si="44"/>
        <v>0</v>
      </c>
      <c r="BF25" s="4">
        <f t="shared" si="44"/>
        <v>0</v>
      </c>
      <c r="BG25" s="4">
        <f t="shared" si="44"/>
        <v>0</v>
      </c>
      <c r="BH25" s="4">
        <f t="shared" si="45"/>
        <v>0</v>
      </c>
      <c r="BI25" s="4">
        <f t="shared" si="45"/>
        <v>0</v>
      </c>
      <c r="BJ25" s="4">
        <f t="shared" si="45"/>
        <v>0</v>
      </c>
      <c r="BK25" s="4">
        <f t="shared" si="45"/>
        <v>0</v>
      </c>
      <c r="BL25" s="4">
        <f t="shared" si="45"/>
        <v>0</v>
      </c>
      <c r="BM25" s="4">
        <f t="shared" si="45"/>
        <v>0</v>
      </c>
      <c r="BN25" s="4">
        <f t="shared" si="45"/>
        <v>0</v>
      </c>
    </row>
    <row r="26" spans="1:66" x14ac:dyDescent="0.2">
      <c r="A26" t="s">
        <v>44</v>
      </c>
      <c r="D26" t="s">
        <v>51</v>
      </c>
      <c r="G26">
        <f>AN28/AP28</f>
        <v>0</v>
      </c>
      <c r="K26" t="s">
        <v>62</v>
      </c>
      <c r="P26" t="s">
        <v>19</v>
      </c>
      <c r="Z26">
        <f t="shared" si="35"/>
        <v>0</v>
      </c>
      <c r="AA26">
        <f t="shared" si="36"/>
        <v>0</v>
      </c>
      <c r="AE26">
        <f t="shared" si="37"/>
        <v>0</v>
      </c>
      <c r="AF26">
        <f t="shared" si="38"/>
        <v>2</v>
      </c>
      <c r="AG26">
        <f t="shared" si="39"/>
        <v>0</v>
      </c>
      <c r="AK26">
        <f t="shared" si="40"/>
        <v>0</v>
      </c>
      <c r="AL26">
        <f t="shared" si="41"/>
        <v>1</v>
      </c>
      <c r="AM26">
        <f t="shared" si="42"/>
        <v>0</v>
      </c>
      <c r="AN26">
        <f t="shared" si="43"/>
        <v>0</v>
      </c>
      <c r="AP26">
        <f t="shared" si="46"/>
        <v>1</v>
      </c>
      <c r="AQ26" s="4">
        <f t="shared" si="47"/>
        <v>1</v>
      </c>
      <c r="AR26" s="4">
        <f t="shared" si="44"/>
        <v>0</v>
      </c>
      <c r="AS26" s="4">
        <f t="shared" si="44"/>
        <v>0</v>
      </c>
      <c r="AT26" s="4">
        <f t="shared" si="44"/>
        <v>0</v>
      </c>
      <c r="AU26" s="4">
        <f t="shared" si="44"/>
        <v>0</v>
      </c>
      <c r="AV26" s="4">
        <f t="shared" si="44"/>
        <v>0</v>
      </c>
      <c r="AW26" s="4">
        <f t="shared" si="44"/>
        <v>0</v>
      </c>
      <c r="AX26" s="4">
        <f t="shared" si="44"/>
        <v>0</v>
      </c>
      <c r="AY26" s="4">
        <f t="shared" si="44"/>
        <v>0</v>
      </c>
      <c r="AZ26" s="4">
        <f t="shared" si="44"/>
        <v>0</v>
      </c>
      <c r="BA26" s="4">
        <f t="shared" si="44"/>
        <v>0</v>
      </c>
      <c r="BB26" s="4">
        <f t="shared" si="44"/>
        <v>0</v>
      </c>
      <c r="BC26" s="4">
        <f t="shared" si="44"/>
        <v>0</v>
      </c>
      <c r="BD26" s="4">
        <f t="shared" si="44"/>
        <v>0</v>
      </c>
      <c r="BE26" s="4">
        <f t="shared" si="44"/>
        <v>0</v>
      </c>
      <c r="BF26" s="4">
        <f t="shared" si="44"/>
        <v>0</v>
      </c>
      <c r="BG26" s="4">
        <f t="shared" si="44"/>
        <v>0</v>
      </c>
      <c r="BH26" s="4">
        <f t="shared" si="45"/>
        <v>0</v>
      </c>
      <c r="BI26" s="4">
        <f t="shared" si="45"/>
        <v>0</v>
      </c>
      <c r="BJ26" s="4">
        <f t="shared" si="45"/>
        <v>0</v>
      </c>
      <c r="BK26" s="4">
        <f t="shared" si="45"/>
        <v>0</v>
      </c>
      <c r="BL26" s="4">
        <f t="shared" si="45"/>
        <v>0</v>
      </c>
      <c r="BM26" s="4">
        <f t="shared" si="45"/>
        <v>0</v>
      </c>
      <c r="BN26" s="4">
        <f t="shared" si="45"/>
        <v>0</v>
      </c>
    </row>
    <row r="27" spans="1:66" x14ac:dyDescent="0.2">
      <c r="A27" t="s">
        <v>45</v>
      </c>
      <c r="D27">
        <f>AA28/A31</f>
        <v>0</v>
      </c>
      <c r="G27" t="s">
        <v>56</v>
      </c>
      <c r="K27" t="s">
        <v>57</v>
      </c>
      <c r="L27" t="s">
        <v>58</v>
      </c>
      <c r="M27" t="s">
        <v>59</v>
      </c>
      <c r="N27" t="s">
        <v>60</v>
      </c>
      <c r="P27" t="s">
        <v>57</v>
      </c>
      <c r="Q27" t="s">
        <v>58</v>
      </c>
      <c r="R27" t="s">
        <v>59</v>
      </c>
      <c r="S27" t="s">
        <v>60</v>
      </c>
      <c r="Z27">
        <f t="shared" si="35"/>
        <v>0</v>
      </c>
      <c r="AA27">
        <f t="shared" si="36"/>
        <v>0</v>
      </c>
      <c r="AE27">
        <f t="shared" si="37"/>
        <v>0</v>
      </c>
      <c r="AF27">
        <f t="shared" si="38"/>
        <v>1</v>
      </c>
      <c r="AG27">
        <f t="shared" si="39"/>
        <v>0</v>
      </c>
      <c r="AK27">
        <f t="shared" si="40"/>
        <v>0</v>
      </c>
      <c r="AL27">
        <f t="shared" si="41"/>
        <v>1</v>
      </c>
      <c r="AM27">
        <f t="shared" si="42"/>
        <v>0</v>
      </c>
      <c r="AN27">
        <f t="shared" si="43"/>
        <v>0</v>
      </c>
      <c r="AP27">
        <f t="shared" si="46"/>
        <v>1</v>
      </c>
      <c r="AQ27" s="4">
        <f t="shared" si="47"/>
        <v>1</v>
      </c>
      <c r="AR27" s="4">
        <f t="shared" si="44"/>
        <v>0</v>
      </c>
      <c r="AS27" s="4">
        <f t="shared" si="44"/>
        <v>0</v>
      </c>
      <c r="AT27" s="4">
        <f t="shared" si="44"/>
        <v>0</v>
      </c>
      <c r="AU27" s="4">
        <f t="shared" si="44"/>
        <v>0</v>
      </c>
      <c r="AV27" s="4">
        <f t="shared" si="44"/>
        <v>0</v>
      </c>
      <c r="AW27" s="4">
        <f t="shared" si="44"/>
        <v>0</v>
      </c>
      <c r="AX27" s="4">
        <f t="shared" si="44"/>
        <v>0</v>
      </c>
      <c r="AY27" s="4">
        <f t="shared" si="44"/>
        <v>0</v>
      </c>
      <c r="AZ27" s="4">
        <f t="shared" si="44"/>
        <v>0</v>
      </c>
      <c r="BA27" s="4">
        <f t="shared" si="44"/>
        <v>0</v>
      </c>
      <c r="BB27" s="4">
        <f t="shared" si="44"/>
        <v>0</v>
      </c>
      <c r="BC27" s="4">
        <f t="shared" si="44"/>
        <v>0</v>
      </c>
      <c r="BD27" s="4">
        <f t="shared" si="44"/>
        <v>0</v>
      </c>
      <c r="BE27" s="4">
        <f t="shared" si="44"/>
        <v>0</v>
      </c>
      <c r="BF27" s="4">
        <f t="shared" si="44"/>
        <v>0</v>
      </c>
      <c r="BG27" s="4">
        <f t="shared" si="44"/>
        <v>0</v>
      </c>
      <c r="BH27" s="4">
        <f t="shared" si="45"/>
        <v>0</v>
      </c>
      <c r="BI27" s="4">
        <f t="shared" si="45"/>
        <v>0</v>
      </c>
      <c r="BJ27" s="4">
        <f t="shared" si="45"/>
        <v>0</v>
      </c>
      <c r="BK27" s="4">
        <f t="shared" si="45"/>
        <v>0</v>
      </c>
      <c r="BL27" s="4">
        <f t="shared" si="45"/>
        <v>0</v>
      </c>
      <c r="BM27" s="4">
        <f t="shared" si="45"/>
        <v>0</v>
      </c>
      <c r="BN27" s="4">
        <f t="shared" si="45"/>
        <v>0</v>
      </c>
    </row>
    <row r="28" spans="1:66" x14ac:dyDescent="0.2">
      <c r="A28" t="s">
        <v>46</v>
      </c>
      <c r="D28" t="s">
        <v>202</v>
      </c>
      <c r="G28" t="s">
        <v>57</v>
      </c>
      <c r="H28" t="s">
        <v>58</v>
      </c>
      <c r="I28" t="s">
        <v>59</v>
      </c>
      <c r="J28" t="s">
        <v>60</v>
      </c>
      <c r="K28">
        <f>AVERAGE(G39:G50)</f>
        <v>0.5</v>
      </c>
      <c r="L28">
        <f>MEDIAN(G39:G50)</f>
        <v>0</v>
      </c>
      <c r="M28">
        <f>MAX(G39:G50)</f>
        <v>2</v>
      </c>
      <c r="N28">
        <f>_xlfn.STDEV.S(G39:G50)</f>
        <v>0.67419986246324204</v>
      </c>
      <c r="P28">
        <f>AVERAGE(N39:N50)</f>
        <v>8.8333333333333339</v>
      </c>
      <c r="Q28">
        <f>MEDIAN(N39:N50)</f>
        <v>6</v>
      </c>
      <c r="R28">
        <f>MAX(N39:N50)</f>
        <v>27</v>
      </c>
      <c r="S28">
        <f>_xlfn.STDEV.S(N39:N50)</f>
        <v>8.579397450057936</v>
      </c>
      <c r="Y28" t="s">
        <v>33</v>
      </c>
      <c r="Z28">
        <f>SUM(Z16:Z27)</f>
        <v>0</v>
      </c>
      <c r="AA28">
        <f>SUM(AA16:AA27)</f>
        <v>0</v>
      </c>
      <c r="AE28">
        <f>SUM(AE16:AE27)</f>
        <v>1</v>
      </c>
      <c r="AF28">
        <f>SUM(AF16:AF27)</f>
        <v>5</v>
      </c>
      <c r="AG28">
        <f>SUM(AG16:AG27)</f>
        <v>0</v>
      </c>
      <c r="AK28">
        <f>SUM(AK16:AK27)</f>
        <v>1</v>
      </c>
      <c r="AL28">
        <f>SUM(AL16:AL27)</f>
        <v>6</v>
      </c>
      <c r="AM28">
        <f>SUM(AM16:AM27)</f>
        <v>0</v>
      </c>
      <c r="AN28">
        <f>SUM(AN16:AN27)</f>
        <v>0</v>
      </c>
      <c r="AP28">
        <f>SUM(AP16:AP27)</f>
        <v>7</v>
      </c>
    </row>
    <row r="29" spans="1:66" x14ac:dyDescent="0.2">
      <c r="D29">
        <f>SUM(O39:O50)/F16</f>
        <v>0.42857142857142855</v>
      </c>
      <c r="G29">
        <f>AVERAGE(A39:A50)</f>
        <v>0.5</v>
      </c>
      <c r="H29">
        <f>MEDIAN(A39:A50)</f>
        <v>0</v>
      </c>
      <c r="I29">
        <f>MAX(A39:A50)</f>
        <v>2</v>
      </c>
      <c r="J29">
        <f>_xlfn.STDEV.S(A39:A50)</f>
        <v>0.67419986246324204</v>
      </c>
      <c r="K29" t="s">
        <v>63</v>
      </c>
      <c r="P29" t="s">
        <v>148</v>
      </c>
    </row>
    <row r="30" spans="1:66" x14ac:dyDescent="0.2">
      <c r="A30" t="s">
        <v>147</v>
      </c>
      <c r="D30" t="s">
        <v>203</v>
      </c>
      <c r="G30" t="s">
        <v>50</v>
      </c>
      <c r="H30" t="s">
        <v>51</v>
      </c>
      <c r="I30" t="s">
        <v>89</v>
      </c>
      <c r="K30" t="s">
        <v>57</v>
      </c>
      <c r="L30" t="s">
        <v>58</v>
      </c>
      <c r="M30" t="s">
        <v>59</v>
      </c>
      <c r="N30" t="s">
        <v>60</v>
      </c>
      <c r="P30" t="s">
        <v>57</v>
      </c>
      <c r="Q30" t="s">
        <v>58</v>
      </c>
      <c r="R30" t="s">
        <v>59</v>
      </c>
      <c r="S30" t="s">
        <v>60</v>
      </c>
      <c r="W30" t="s">
        <v>148</v>
      </c>
      <c r="Y30" t="s">
        <v>149</v>
      </c>
      <c r="AH30" t="s">
        <v>79</v>
      </c>
    </row>
    <row r="31" spans="1:66" x14ac:dyDescent="0.2">
      <c r="A31">
        <f>COUNT(B4:B15)</f>
        <v>12</v>
      </c>
      <c r="D31" s="2">
        <f>SUM(S39:S50)/SUM(Q39:Q50)</f>
        <v>0.8</v>
      </c>
      <c r="G31">
        <f>AE28/A31</f>
        <v>8.3333333333333329E-2</v>
      </c>
      <c r="H31">
        <f>AF28/A31</f>
        <v>0.41666666666666669</v>
      </c>
      <c r="I31">
        <f>AG28/A31</f>
        <v>0</v>
      </c>
      <c r="K31" t="e">
        <f>AVERAGE(I39:I50)</f>
        <v>#DIV/0!</v>
      </c>
      <c r="L31" t="e">
        <f>MEDIAN(I39:I50)</f>
        <v>#NUM!</v>
      </c>
      <c r="M31">
        <f>MAX(I39:I50)</f>
        <v>0</v>
      </c>
      <c r="N31" t="e">
        <f>_xlfn.STDEV.S(I39:I50)</f>
        <v>#DIV/0!</v>
      </c>
      <c r="P31">
        <f>AVERAGE(W31:W42)</f>
        <v>7.8888888888888893</v>
      </c>
      <c r="Q31">
        <f>MEDIAN(W31:W42)</f>
        <v>6</v>
      </c>
      <c r="R31">
        <f>MAX(W31:W42)</f>
        <v>27</v>
      </c>
      <c r="S31">
        <f>_xlfn.STDEV.S(W31:W42)</f>
        <v>8.4918261352379982</v>
      </c>
      <c r="W31">
        <f t="shared" ref="W31:W33" si="48">IF(AND(ISBLANK(Q4), ISBLANK(R4), ISBLANK(G4), ISBLANK(H4)), "", U4)</f>
        <v>6</v>
      </c>
      <c r="Y31">
        <f t="shared" ref="Y31:Y42" si="49">IF(ISBLANK(Y4), IF(X4 = 0, "", (G4 + H4/3 + V4/9 + W4/3)), U4)</f>
        <v>6</v>
      </c>
      <c r="AH31" t="s">
        <v>80</v>
      </c>
    </row>
    <row r="32" spans="1:66" x14ac:dyDescent="0.2">
      <c r="D32" s="3"/>
      <c r="K32" t="s">
        <v>64</v>
      </c>
      <c r="P32" t="s">
        <v>149</v>
      </c>
      <c r="W32">
        <f t="shared" si="48"/>
        <v>6</v>
      </c>
      <c r="Y32">
        <f t="shared" si="49"/>
        <v>6</v>
      </c>
      <c r="AH32" t="s">
        <v>81</v>
      </c>
    </row>
    <row r="33" spans="1:34" x14ac:dyDescent="0.2">
      <c r="D33" s="3"/>
      <c r="K33" t="s">
        <v>57</v>
      </c>
      <c r="L33" t="s">
        <v>58</v>
      </c>
      <c r="M33" t="s">
        <v>59</v>
      </c>
      <c r="N33" t="s">
        <v>60</v>
      </c>
      <c r="P33" t="s">
        <v>57</v>
      </c>
      <c r="Q33" t="s">
        <v>58</v>
      </c>
      <c r="R33" t="s">
        <v>59</v>
      </c>
      <c r="S33" t="s">
        <v>60</v>
      </c>
      <c r="W33" t="str">
        <f t="shared" si="48"/>
        <v/>
      </c>
      <c r="Y33" t="str">
        <f t="shared" si="49"/>
        <v/>
      </c>
      <c r="AH33" t="s">
        <v>82</v>
      </c>
    </row>
    <row r="34" spans="1:34" x14ac:dyDescent="0.2">
      <c r="D34" s="3"/>
      <c r="K34">
        <f>AVERAGE(K39:K50)</f>
        <v>0.5</v>
      </c>
      <c r="L34">
        <f>MEDIAN(K39:K50)</f>
        <v>0</v>
      </c>
      <c r="M34">
        <f>MAX(K39:K50)</f>
        <v>2</v>
      </c>
      <c r="N34">
        <f>_xlfn.STDEV.S(K39:K50)</f>
        <v>0.67419986246324204</v>
      </c>
      <c r="P34">
        <f>AVERAGE(Y31:Y42)</f>
        <v>2.9629629629629632</v>
      </c>
      <c r="Q34">
        <f>MEDIAN(Y31:Y42)</f>
        <v>2</v>
      </c>
      <c r="R34">
        <f>MAX(Y31:Y42)</f>
        <v>6</v>
      </c>
      <c r="S34">
        <f>_xlfn.STDEV.S(Y31:Y42)</f>
        <v>2.4520084989682123</v>
      </c>
      <c r="W34" t="str">
        <f>IF(AND(ISBLANK(Q7), ISBLANK(R7), ISBLANK(G7), ISBLANK(H7)), "", U7)</f>
        <v/>
      </c>
      <c r="Y34" t="str">
        <f t="shared" si="49"/>
        <v/>
      </c>
      <c r="AH34" t="s">
        <v>83</v>
      </c>
    </row>
    <row r="35" spans="1:34" x14ac:dyDescent="0.2">
      <c r="P35" t="s">
        <v>95</v>
      </c>
      <c r="R35" t="s">
        <v>197</v>
      </c>
      <c r="W35">
        <f t="shared" ref="W35:W42" si="50">IF(AND(ISBLANK(Q8), ISBLANK(R8), ISBLANK(G8), ISBLANK(H8)), "", U8)</f>
        <v>27</v>
      </c>
      <c r="Y35">
        <f t="shared" si="49"/>
        <v>1</v>
      </c>
    </row>
    <row r="36" spans="1:34" x14ac:dyDescent="0.2">
      <c r="P36">
        <f>Q16/(Q16+R16)</f>
        <v>0</v>
      </c>
      <c r="R36">
        <f>R16/(Q16+R16)</f>
        <v>1</v>
      </c>
      <c r="W36">
        <f t="shared" si="50"/>
        <v>2</v>
      </c>
      <c r="Y36">
        <f t="shared" si="49"/>
        <v>2</v>
      </c>
    </row>
    <row r="37" spans="1:34" x14ac:dyDescent="0.2">
      <c r="W37">
        <f t="shared" si="50"/>
        <v>1</v>
      </c>
      <c r="Y37">
        <f t="shared" si="49"/>
        <v>1</v>
      </c>
    </row>
    <row r="38" spans="1:34" x14ac:dyDescent="0.2">
      <c r="A38" t="s">
        <v>68</v>
      </c>
      <c r="C38" t="s">
        <v>69</v>
      </c>
      <c r="E38" t="s">
        <v>72</v>
      </c>
      <c r="G38" t="s">
        <v>250</v>
      </c>
      <c r="K38" t="s">
        <v>73</v>
      </c>
      <c r="M38" t="s">
        <v>70</v>
      </c>
      <c r="N38" t="s">
        <v>71</v>
      </c>
      <c r="O38" t="s">
        <v>199</v>
      </c>
      <c r="Q38" t="s">
        <v>200</v>
      </c>
      <c r="S38" t="s">
        <v>201</v>
      </c>
      <c r="W38">
        <f t="shared" si="50"/>
        <v>15</v>
      </c>
      <c r="Y38">
        <f t="shared" si="49"/>
        <v>4</v>
      </c>
    </row>
    <row r="39" spans="1:34" x14ac:dyDescent="0.2">
      <c r="A39">
        <f t="shared" ref="A39:A50" si="51">IF(ISBLANK(B4), "", SUM(AE16+AF16+AG16))</f>
        <v>1</v>
      </c>
      <c r="C39">
        <f t="shared" ref="C39:C50" si="52">IF(ISBLANK(B4), "", O4)</f>
        <v>3</v>
      </c>
      <c r="E39">
        <f t="shared" ref="E39:E50" si="53">IF(ISBLANK(B4), "", Q4)</f>
        <v>0</v>
      </c>
      <c r="G39">
        <f t="shared" ref="G39:G50" si="54">IF(ISBLANK(B4), "", R4)</f>
        <v>1</v>
      </c>
      <c r="K39">
        <f t="shared" ref="K39:K50" si="55">IF(ISBLANK(B4), "", SUM(Q4 + R4))</f>
        <v>1</v>
      </c>
      <c r="M39">
        <f t="shared" ref="M39:M50" si="56">IF(ISBLANK(B4), "", SUM(K4+M4) - O4)</f>
        <v>-1</v>
      </c>
      <c r="N39">
        <f t="shared" ref="N39:N50" si="57">IF(ISBLANK(B4), "", U4)</f>
        <v>6</v>
      </c>
      <c r="O39">
        <f t="shared" ref="O39:O50" si="58">COUNTIF(E4, "1")*COUNTIF(F4, "1")</f>
        <v>0</v>
      </c>
      <c r="Q39">
        <f t="shared" ref="Q39:Q50" si="59">COUNTIF(D4, "1")*COUNTIF(F4, "")</f>
        <v>0</v>
      </c>
      <c r="S39">
        <f t="shared" ref="S39:S50" si="60">COUNTIF(E4, "1")*COUNTIF(F4, "")</f>
        <v>0</v>
      </c>
      <c r="W39" t="str">
        <f t="shared" si="50"/>
        <v/>
      </c>
      <c r="Y39" t="str">
        <f t="shared" si="49"/>
        <v/>
      </c>
    </row>
    <row r="40" spans="1:34" x14ac:dyDescent="0.2">
      <c r="A40">
        <f t="shared" si="51"/>
        <v>1</v>
      </c>
      <c r="C40">
        <f t="shared" si="52"/>
        <v>3</v>
      </c>
      <c r="E40">
        <f t="shared" si="53"/>
        <v>0</v>
      </c>
      <c r="G40">
        <f t="shared" si="54"/>
        <v>0</v>
      </c>
      <c r="K40">
        <f t="shared" si="55"/>
        <v>0</v>
      </c>
      <c r="M40">
        <f t="shared" si="56"/>
        <v>0</v>
      </c>
      <c r="N40">
        <f t="shared" si="57"/>
        <v>6</v>
      </c>
      <c r="O40">
        <f t="shared" si="58"/>
        <v>0</v>
      </c>
      <c r="Q40">
        <f t="shared" si="59"/>
        <v>1</v>
      </c>
      <c r="S40">
        <f t="shared" si="60"/>
        <v>1</v>
      </c>
      <c r="W40">
        <f t="shared" si="50"/>
        <v>9</v>
      </c>
      <c r="Y40">
        <f t="shared" si="49"/>
        <v>1</v>
      </c>
    </row>
    <row r="41" spans="1:34" x14ac:dyDescent="0.2">
      <c r="A41">
        <f t="shared" si="51"/>
        <v>0</v>
      </c>
      <c r="C41">
        <f t="shared" si="52"/>
        <v>4</v>
      </c>
      <c r="E41">
        <f t="shared" si="53"/>
        <v>0</v>
      </c>
      <c r="G41">
        <f t="shared" si="54"/>
        <v>0</v>
      </c>
      <c r="K41">
        <f t="shared" si="55"/>
        <v>0</v>
      </c>
      <c r="M41">
        <f t="shared" si="56"/>
        <v>0</v>
      </c>
      <c r="N41">
        <f t="shared" si="57"/>
        <v>23</v>
      </c>
      <c r="O41">
        <f t="shared" si="58"/>
        <v>1</v>
      </c>
      <c r="Q41">
        <f t="shared" si="59"/>
        <v>0</v>
      </c>
      <c r="S41">
        <f t="shared" si="60"/>
        <v>0</v>
      </c>
      <c r="W41">
        <f t="shared" si="50"/>
        <v>5</v>
      </c>
      <c r="Y41">
        <f t="shared" si="49"/>
        <v>5.666666666666667</v>
      </c>
    </row>
    <row r="42" spans="1:34" x14ac:dyDescent="0.2">
      <c r="A42">
        <f t="shared" si="51"/>
        <v>0</v>
      </c>
      <c r="C42">
        <f t="shared" si="52"/>
        <v>4</v>
      </c>
      <c r="E42">
        <f t="shared" si="53"/>
        <v>0</v>
      </c>
      <c r="G42">
        <f t="shared" si="54"/>
        <v>0</v>
      </c>
      <c r="K42">
        <f t="shared" si="55"/>
        <v>0</v>
      </c>
      <c r="M42">
        <f t="shared" si="56"/>
        <v>-1</v>
      </c>
      <c r="N42">
        <f t="shared" si="57"/>
        <v>8</v>
      </c>
      <c r="O42">
        <f t="shared" si="58"/>
        <v>0</v>
      </c>
      <c r="Q42">
        <f t="shared" si="59"/>
        <v>1</v>
      </c>
      <c r="S42">
        <f t="shared" si="60"/>
        <v>0</v>
      </c>
      <c r="W42">
        <f t="shared" si="50"/>
        <v>0</v>
      </c>
      <c r="Y42">
        <f t="shared" si="49"/>
        <v>0</v>
      </c>
    </row>
    <row r="43" spans="1:34" x14ac:dyDescent="0.2">
      <c r="A43">
        <f t="shared" si="51"/>
        <v>0</v>
      </c>
      <c r="C43">
        <f t="shared" si="52"/>
        <v>1</v>
      </c>
      <c r="E43">
        <f t="shared" si="53"/>
        <v>0</v>
      </c>
      <c r="G43">
        <f t="shared" si="54"/>
        <v>1</v>
      </c>
      <c r="K43">
        <f t="shared" si="55"/>
        <v>1</v>
      </c>
      <c r="M43">
        <f t="shared" si="56"/>
        <v>0</v>
      </c>
      <c r="N43">
        <f t="shared" si="57"/>
        <v>27</v>
      </c>
      <c r="O43">
        <f t="shared" si="58"/>
        <v>0</v>
      </c>
      <c r="Q43">
        <f t="shared" si="59"/>
        <v>1</v>
      </c>
      <c r="S43">
        <f t="shared" si="60"/>
        <v>1</v>
      </c>
    </row>
    <row r="44" spans="1:34" x14ac:dyDescent="0.2">
      <c r="A44">
        <f t="shared" si="51"/>
        <v>0</v>
      </c>
      <c r="C44">
        <f t="shared" si="52"/>
        <v>2</v>
      </c>
      <c r="E44">
        <f t="shared" si="53"/>
        <v>0</v>
      </c>
      <c r="G44">
        <f t="shared" si="54"/>
        <v>0</v>
      </c>
      <c r="K44">
        <f t="shared" si="55"/>
        <v>0</v>
      </c>
      <c r="M44">
        <f t="shared" si="56"/>
        <v>0</v>
      </c>
      <c r="N44">
        <f t="shared" si="57"/>
        <v>2</v>
      </c>
      <c r="O44">
        <f t="shared" si="58"/>
        <v>0</v>
      </c>
      <c r="Q44">
        <f t="shared" si="59"/>
        <v>1</v>
      </c>
      <c r="S44">
        <f t="shared" si="60"/>
        <v>1</v>
      </c>
    </row>
    <row r="45" spans="1:34" x14ac:dyDescent="0.2">
      <c r="A45">
        <f t="shared" si="51"/>
        <v>0</v>
      </c>
      <c r="C45">
        <f t="shared" si="52"/>
        <v>3</v>
      </c>
      <c r="E45">
        <f t="shared" si="53"/>
        <v>0</v>
      </c>
      <c r="G45">
        <f t="shared" si="54"/>
        <v>0</v>
      </c>
      <c r="K45">
        <f t="shared" si="55"/>
        <v>0</v>
      </c>
      <c r="M45">
        <f t="shared" si="56"/>
        <v>0</v>
      </c>
      <c r="N45">
        <f t="shared" si="57"/>
        <v>1</v>
      </c>
      <c r="O45">
        <f t="shared" si="58"/>
        <v>0</v>
      </c>
      <c r="Q45">
        <f t="shared" si="59"/>
        <v>0</v>
      </c>
      <c r="S45">
        <f t="shared" si="60"/>
        <v>0</v>
      </c>
    </row>
    <row r="46" spans="1:34" x14ac:dyDescent="0.2">
      <c r="A46">
        <f t="shared" si="51"/>
        <v>0</v>
      </c>
      <c r="C46">
        <f t="shared" si="52"/>
        <v>4</v>
      </c>
      <c r="E46">
        <f t="shared" si="53"/>
        <v>0</v>
      </c>
      <c r="G46">
        <f t="shared" si="54"/>
        <v>0</v>
      </c>
      <c r="K46">
        <f t="shared" si="55"/>
        <v>0</v>
      </c>
      <c r="M46">
        <f t="shared" si="56"/>
        <v>0</v>
      </c>
      <c r="N46">
        <f t="shared" si="57"/>
        <v>15</v>
      </c>
      <c r="O46">
        <f t="shared" si="58"/>
        <v>0</v>
      </c>
      <c r="Q46">
        <f t="shared" si="59"/>
        <v>1</v>
      </c>
      <c r="S46">
        <f t="shared" si="60"/>
        <v>1</v>
      </c>
    </row>
    <row r="47" spans="1:34" x14ac:dyDescent="0.2">
      <c r="A47">
        <f t="shared" si="51"/>
        <v>1</v>
      </c>
      <c r="C47">
        <f t="shared" si="52"/>
        <v>3</v>
      </c>
      <c r="E47">
        <f t="shared" si="53"/>
        <v>0</v>
      </c>
      <c r="G47">
        <f t="shared" si="54"/>
        <v>0</v>
      </c>
      <c r="K47">
        <f t="shared" si="55"/>
        <v>0</v>
      </c>
      <c r="M47">
        <f t="shared" si="56"/>
        <v>0</v>
      </c>
      <c r="N47">
        <f t="shared" si="57"/>
        <v>4</v>
      </c>
      <c r="O47">
        <f t="shared" si="58"/>
        <v>0</v>
      </c>
      <c r="Q47">
        <f t="shared" si="59"/>
        <v>0</v>
      </c>
      <c r="S47">
        <f t="shared" si="60"/>
        <v>0</v>
      </c>
    </row>
    <row r="48" spans="1:34" x14ac:dyDescent="0.2">
      <c r="A48">
        <f t="shared" si="51"/>
        <v>0</v>
      </c>
      <c r="C48">
        <f t="shared" si="52"/>
        <v>3</v>
      </c>
      <c r="E48">
        <f t="shared" si="53"/>
        <v>0</v>
      </c>
      <c r="G48">
        <f t="shared" si="54"/>
        <v>2</v>
      </c>
      <c r="K48">
        <f t="shared" si="55"/>
        <v>2</v>
      </c>
      <c r="M48">
        <f t="shared" si="56"/>
        <v>0</v>
      </c>
      <c r="N48">
        <f t="shared" si="57"/>
        <v>9</v>
      </c>
      <c r="O48">
        <f t="shared" si="58"/>
        <v>0</v>
      </c>
      <c r="Q48">
        <f t="shared" si="59"/>
        <v>0</v>
      </c>
      <c r="S48">
        <f t="shared" si="60"/>
        <v>0</v>
      </c>
    </row>
    <row r="49" spans="1:19" x14ac:dyDescent="0.2">
      <c r="A49">
        <f t="shared" si="51"/>
        <v>2</v>
      </c>
      <c r="C49">
        <f t="shared" si="52"/>
        <v>3</v>
      </c>
      <c r="E49">
        <f t="shared" si="53"/>
        <v>0</v>
      </c>
      <c r="G49">
        <f t="shared" si="54"/>
        <v>1</v>
      </c>
      <c r="K49">
        <f t="shared" si="55"/>
        <v>1</v>
      </c>
      <c r="M49">
        <f t="shared" si="56"/>
        <v>0</v>
      </c>
      <c r="N49">
        <f t="shared" si="57"/>
        <v>5</v>
      </c>
      <c r="O49">
        <f t="shared" si="58"/>
        <v>1</v>
      </c>
      <c r="Q49">
        <f t="shared" si="59"/>
        <v>0</v>
      </c>
      <c r="S49">
        <f t="shared" si="60"/>
        <v>0</v>
      </c>
    </row>
    <row r="50" spans="1:19" x14ac:dyDescent="0.2">
      <c r="A50">
        <f t="shared" si="51"/>
        <v>1</v>
      </c>
      <c r="C50">
        <f t="shared" si="52"/>
        <v>2</v>
      </c>
      <c r="E50">
        <f t="shared" si="53"/>
        <v>0</v>
      </c>
      <c r="G50">
        <f t="shared" si="54"/>
        <v>1</v>
      </c>
      <c r="K50">
        <f t="shared" si="55"/>
        <v>1</v>
      </c>
      <c r="M50">
        <f t="shared" si="56"/>
        <v>0</v>
      </c>
      <c r="N50">
        <f t="shared" si="57"/>
        <v>0</v>
      </c>
      <c r="O50">
        <f t="shared" si="58"/>
        <v>1</v>
      </c>
      <c r="Q50">
        <f t="shared" si="59"/>
        <v>0</v>
      </c>
      <c r="S50">
        <f t="shared" si="60"/>
        <v>0</v>
      </c>
    </row>
  </sheetData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 enableFormatConditionsCalculation="0"/>
  <dimension ref="A1:BN50"/>
  <sheetViews>
    <sheetView topLeftCell="D1" workbookViewId="0">
      <selection activeCell="V15" sqref="V15"/>
    </sheetView>
  </sheetViews>
  <sheetFormatPr baseColWidth="10" defaultColWidth="11.5" defaultRowHeight="15" x14ac:dyDescent="0.2"/>
  <sheetData>
    <row r="1" spans="1:66" x14ac:dyDescent="0.2">
      <c r="A1" s="1" t="s">
        <v>0</v>
      </c>
      <c r="D1" t="s">
        <v>3</v>
      </c>
      <c r="K1" t="s">
        <v>11</v>
      </c>
      <c r="N1" t="s">
        <v>12</v>
      </c>
      <c r="P1" t="s">
        <v>14</v>
      </c>
      <c r="Q1" t="s">
        <v>17</v>
      </c>
      <c r="S1" t="s">
        <v>18</v>
      </c>
      <c r="Z1" t="s">
        <v>29</v>
      </c>
      <c r="AE1" t="s">
        <v>30</v>
      </c>
      <c r="AK1" t="s">
        <v>42</v>
      </c>
    </row>
    <row r="2" spans="1:66" x14ac:dyDescent="0.2">
      <c r="A2" t="s">
        <v>1</v>
      </c>
      <c r="B2" t="s">
        <v>1</v>
      </c>
      <c r="C2" t="s">
        <v>87</v>
      </c>
      <c r="D2" t="s">
        <v>54</v>
      </c>
      <c r="E2" t="s">
        <v>13</v>
      </c>
      <c r="F2" t="s">
        <v>198</v>
      </c>
      <c r="G2" t="s">
        <v>7</v>
      </c>
      <c r="H2" t="s">
        <v>8</v>
      </c>
      <c r="I2" t="s">
        <v>179</v>
      </c>
      <c r="J2" t="s">
        <v>178</v>
      </c>
      <c r="K2" t="s">
        <v>9</v>
      </c>
      <c r="L2" t="s">
        <v>196</v>
      </c>
      <c r="M2" t="s">
        <v>10</v>
      </c>
      <c r="N2" t="s">
        <v>54</v>
      </c>
      <c r="O2" t="s">
        <v>13</v>
      </c>
      <c r="P2" t="s">
        <v>15</v>
      </c>
      <c r="Q2" t="s">
        <v>8</v>
      </c>
      <c r="R2" t="s">
        <v>7</v>
      </c>
      <c r="S2" t="s">
        <v>181</v>
      </c>
      <c r="T2" t="s">
        <v>182</v>
      </c>
      <c r="U2" t="s">
        <v>19</v>
      </c>
      <c r="V2" t="s">
        <v>191</v>
      </c>
      <c r="W2" t="s">
        <v>192</v>
      </c>
      <c r="X2" t="s">
        <v>175</v>
      </c>
      <c r="Y2" t="s">
        <v>173</v>
      </c>
      <c r="Z2" t="str">
        <f t="shared" ref="Z2:Z13" si="0">LEFT(I4, 1)</f>
        <v/>
      </c>
      <c r="AA2" t="str">
        <f t="shared" ref="AA2:AA13" si="1">MID(I4, 4, 1)</f>
        <v/>
      </c>
      <c r="AB2" t="str">
        <f t="shared" ref="AB2:AB13" si="2">MID(I4, 7, 1)</f>
        <v/>
      </c>
      <c r="AC2" t="str">
        <f t="shared" ref="AC2:AC13" si="3">MID(I4, 10, 1)</f>
        <v/>
      </c>
      <c r="AE2" t="str">
        <f t="shared" ref="AE2:AE13" si="4">LEFT(J4, 1)</f>
        <v/>
      </c>
      <c r="AF2" t="str">
        <f t="shared" ref="AF2:AF13" si="5">MID(J4, 4, 1)</f>
        <v/>
      </c>
      <c r="AG2" t="str">
        <f t="shared" ref="AG2:AG13" si="6">MID(J4, 7, 1)</f>
        <v/>
      </c>
      <c r="AH2" t="str">
        <f t="shared" ref="AH2:AH13" si="7">MID(J4, 10, 1)</f>
        <v/>
      </c>
      <c r="AI2" t="str">
        <f t="shared" ref="AI2:AI13" si="8">MID(J4, 13, 1)</f>
        <v/>
      </c>
      <c r="AK2" t="str">
        <f t="shared" ref="AK2:AK13" si="9">LEFT(P4, 2)</f>
        <v/>
      </c>
      <c r="AL2" t="str">
        <f>MID($P4, 5, 2)</f>
        <v/>
      </c>
      <c r="AM2" t="str">
        <f t="shared" ref="AM2:AM13" si="10">MID($P4, 9, 2)</f>
        <v/>
      </c>
      <c r="AN2" t="str">
        <f t="shared" ref="AN2:AN13" si="11">MID($P4, 13, 2)</f>
        <v/>
      </c>
      <c r="AO2" t="str">
        <f t="shared" ref="AO2:AO13" si="12">MID($P4, 17, 2)</f>
        <v/>
      </c>
      <c r="AP2" t="str">
        <f t="shared" ref="AP2:AP13" si="13">MID($P4, 21, 2)</f>
        <v/>
      </c>
      <c r="AQ2" t="str">
        <f t="shared" ref="AQ2:AQ13" si="14">MID($P4, 25, 2)</f>
        <v/>
      </c>
      <c r="AR2" t="str">
        <f t="shared" ref="AR2:AR13" si="15">MID($P4, 29, 2)</f>
        <v/>
      </c>
      <c r="AS2" t="str">
        <f t="shared" ref="AS2:AS13" si="16">MID($P4, 33, 2)</f>
        <v/>
      </c>
      <c r="AT2" t="str">
        <f t="shared" ref="AT2:AT13" si="17">MID($P4, 37, 2)</f>
        <v/>
      </c>
      <c r="AU2" t="str">
        <f t="shared" ref="AU2:AU13" si="18">MID($P4, 41, 2)</f>
        <v/>
      </c>
      <c r="AV2" t="str">
        <f t="shared" ref="AV2:AV13" si="19">MID($P4, 45, 2)</f>
        <v/>
      </c>
      <c r="AW2" t="str">
        <f t="shared" ref="AW2:AW13" si="20">MID($P4, 49, 2)</f>
        <v/>
      </c>
      <c r="AX2" t="str">
        <f t="shared" ref="AX2:AX13" si="21">MID($P4, 53, 2)</f>
        <v/>
      </c>
      <c r="AY2" t="str">
        <f t="shared" ref="AY2:AY13" si="22">MID($P4, 57, 2)</f>
        <v/>
      </c>
      <c r="AZ2" t="str">
        <f t="shared" ref="AZ2:AZ13" si="23">MID($P4, 61, 2)</f>
        <v/>
      </c>
      <c r="BA2" t="str">
        <f t="shared" ref="BA2:BA13" si="24">MID($P4, 65, 2)</f>
        <v/>
      </c>
      <c r="BB2" t="str">
        <f t="shared" ref="BB2:BB13" si="25">MID($P4, 69, 2)</f>
        <v/>
      </c>
      <c r="BC2" t="str">
        <f t="shared" ref="BC2:BC13" si="26">MID($P4, 73, 2)</f>
        <v/>
      </c>
      <c r="BD2" t="str">
        <f t="shared" ref="BD2:BD13" si="27">MID($P4, 77, 2)</f>
        <v/>
      </c>
      <c r="BE2" t="str">
        <f t="shared" ref="BE2:BE13" si="28">MID($P4, 81, 2)</f>
        <v/>
      </c>
      <c r="BF2" t="str">
        <f t="shared" ref="BF2:BF13" si="29">MID($P4, 85, 2)</f>
        <v/>
      </c>
      <c r="BG2" t="str">
        <f t="shared" ref="BG2:BG13" si="30">MID($P4, 89, 2)</f>
        <v/>
      </c>
      <c r="BH2" t="str">
        <f t="shared" ref="BH2:BH13" si="31">MID($P4, 93, 2)</f>
        <v/>
      </c>
    </row>
    <row r="3" spans="1:66" x14ac:dyDescent="0.2">
      <c r="A3" t="s">
        <v>2</v>
      </c>
      <c r="B3" t="s">
        <v>6</v>
      </c>
      <c r="C3" t="s">
        <v>88</v>
      </c>
      <c r="D3" t="s">
        <v>6</v>
      </c>
      <c r="E3" t="s">
        <v>6</v>
      </c>
      <c r="F3" t="s">
        <v>4</v>
      </c>
      <c r="G3" t="s">
        <v>6</v>
      </c>
      <c r="H3" t="s">
        <v>6</v>
      </c>
      <c r="I3" t="s">
        <v>86</v>
      </c>
      <c r="J3" t="s">
        <v>86</v>
      </c>
      <c r="K3" t="s">
        <v>6</v>
      </c>
      <c r="L3" t="s">
        <v>6</v>
      </c>
      <c r="M3" t="s">
        <v>6</v>
      </c>
      <c r="N3" t="s">
        <v>6</v>
      </c>
      <c r="O3" t="s">
        <v>6</v>
      </c>
      <c r="P3" t="s">
        <v>16</v>
      </c>
      <c r="Q3" t="s">
        <v>6</v>
      </c>
      <c r="R3" t="s">
        <v>6</v>
      </c>
      <c r="S3" t="s">
        <v>4</v>
      </c>
      <c r="T3" t="s">
        <v>4</v>
      </c>
      <c r="U3" t="s">
        <v>6</v>
      </c>
      <c r="V3" t="s">
        <v>6</v>
      </c>
      <c r="W3" t="s">
        <v>6</v>
      </c>
      <c r="X3" t="s">
        <v>6</v>
      </c>
      <c r="Y3" t="s">
        <v>174</v>
      </c>
      <c r="Z3" t="str">
        <f t="shared" si="0"/>
        <v/>
      </c>
      <c r="AA3" t="str">
        <f t="shared" si="1"/>
        <v/>
      </c>
      <c r="AB3" t="str">
        <f t="shared" si="2"/>
        <v/>
      </c>
      <c r="AC3" t="str">
        <f t="shared" si="3"/>
        <v/>
      </c>
      <c r="AE3" t="str">
        <f t="shared" si="4"/>
        <v/>
      </c>
      <c r="AF3" t="str">
        <f t="shared" si="5"/>
        <v/>
      </c>
      <c r="AG3" t="str">
        <f t="shared" si="6"/>
        <v/>
      </c>
      <c r="AH3" t="str">
        <f t="shared" si="7"/>
        <v/>
      </c>
      <c r="AI3" t="str">
        <f t="shared" si="8"/>
        <v/>
      </c>
      <c r="AK3" t="str">
        <f t="shared" si="9"/>
        <v/>
      </c>
      <c r="AL3" t="str">
        <f t="shared" ref="AL3:AL13" si="32">MID(P5, 5, 2)</f>
        <v/>
      </c>
      <c r="AM3" t="str">
        <f t="shared" si="10"/>
        <v/>
      </c>
      <c r="AN3" t="str">
        <f t="shared" si="11"/>
        <v/>
      </c>
      <c r="AO3" t="str">
        <f t="shared" si="12"/>
        <v/>
      </c>
      <c r="AP3" t="str">
        <f t="shared" si="13"/>
        <v/>
      </c>
      <c r="AQ3" t="str">
        <f t="shared" si="14"/>
        <v/>
      </c>
      <c r="AR3" t="str">
        <f t="shared" si="15"/>
        <v/>
      </c>
      <c r="AS3" t="str">
        <f t="shared" si="16"/>
        <v/>
      </c>
      <c r="AT3" t="str">
        <f t="shared" si="17"/>
        <v/>
      </c>
      <c r="AU3" t="str">
        <f t="shared" si="18"/>
        <v/>
      </c>
      <c r="AV3" t="str">
        <f t="shared" si="19"/>
        <v/>
      </c>
      <c r="AW3" t="str">
        <f t="shared" si="20"/>
        <v/>
      </c>
      <c r="AX3" t="str">
        <f t="shared" si="21"/>
        <v/>
      </c>
      <c r="AY3" t="str">
        <f t="shared" si="22"/>
        <v/>
      </c>
      <c r="AZ3" t="str">
        <f t="shared" si="23"/>
        <v/>
      </c>
      <c r="BA3" t="str">
        <f t="shared" si="24"/>
        <v/>
      </c>
      <c r="BB3" t="str">
        <f t="shared" si="25"/>
        <v/>
      </c>
      <c r="BC3" t="str">
        <f t="shared" si="26"/>
        <v/>
      </c>
      <c r="BD3" t="str">
        <f t="shared" si="27"/>
        <v/>
      </c>
      <c r="BE3" t="str">
        <f t="shared" si="28"/>
        <v/>
      </c>
      <c r="BF3" t="str">
        <f t="shared" si="29"/>
        <v/>
      </c>
      <c r="BG3" t="str">
        <f t="shared" si="30"/>
        <v/>
      </c>
      <c r="BH3" t="str">
        <f t="shared" si="31"/>
        <v/>
      </c>
    </row>
    <row r="4" spans="1:66" s="12" customFormat="1" x14ac:dyDescent="0.2">
      <c r="A4">
        <v>1</v>
      </c>
      <c r="B4">
        <v>8</v>
      </c>
      <c r="C4" t="s">
        <v>39</v>
      </c>
      <c r="D4">
        <v>1</v>
      </c>
      <c r="E4">
        <v>1</v>
      </c>
      <c r="F4">
        <v>1</v>
      </c>
      <c r="G4"/>
      <c r="H4"/>
      <c r="I4"/>
      <c r="J4"/>
      <c r="K4">
        <v>3</v>
      </c>
      <c r="L4"/>
      <c r="M4"/>
      <c r="N4">
        <v>2</v>
      </c>
      <c r="O4">
        <v>2</v>
      </c>
      <c r="P4"/>
      <c r="Q4"/>
      <c r="R4"/>
      <c r="S4">
        <v>1</v>
      </c>
      <c r="T4">
        <v>1</v>
      </c>
      <c r="U4">
        <v>38</v>
      </c>
      <c r="V4"/>
      <c r="W4"/>
      <c r="X4">
        <f t="shared" ref="X4:X15" si="33">G4+H4+Q4+R4</f>
        <v>0</v>
      </c>
      <c r="Y4"/>
      <c r="Z4" t="str">
        <f t="shared" si="0"/>
        <v/>
      </c>
      <c r="AA4" t="str">
        <f t="shared" si="1"/>
        <v/>
      </c>
      <c r="AB4" t="str">
        <f t="shared" si="2"/>
        <v/>
      </c>
      <c r="AC4" t="str">
        <f t="shared" si="3"/>
        <v/>
      </c>
      <c r="AD4"/>
      <c r="AE4" t="str">
        <f t="shared" si="4"/>
        <v/>
      </c>
      <c r="AF4" t="str">
        <f t="shared" si="5"/>
        <v/>
      </c>
      <c r="AG4" t="str">
        <f t="shared" si="6"/>
        <v/>
      </c>
      <c r="AH4" t="str">
        <f t="shared" si="7"/>
        <v/>
      </c>
      <c r="AI4" t="str">
        <f t="shared" si="8"/>
        <v/>
      </c>
      <c r="AJ4"/>
      <c r="AK4" t="str">
        <f t="shared" si="9"/>
        <v/>
      </c>
      <c r="AL4" t="str">
        <f t="shared" si="32"/>
        <v/>
      </c>
      <c r="AM4" t="str">
        <f t="shared" si="10"/>
        <v/>
      </c>
      <c r="AN4" t="str">
        <f t="shared" si="11"/>
        <v/>
      </c>
      <c r="AO4" t="str">
        <f t="shared" si="12"/>
        <v/>
      </c>
      <c r="AP4" t="str">
        <f t="shared" si="13"/>
        <v/>
      </c>
      <c r="AQ4" t="str">
        <f t="shared" si="14"/>
        <v/>
      </c>
      <c r="AR4" t="str">
        <f t="shared" si="15"/>
        <v/>
      </c>
      <c r="AS4" t="str">
        <f t="shared" si="16"/>
        <v/>
      </c>
      <c r="AT4" t="str">
        <f t="shared" si="17"/>
        <v/>
      </c>
      <c r="AU4" t="str">
        <f t="shared" si="18"/>
        <v/>
      </c>
      <c r="AV4" t="str">
        <f t="shared" si="19"/>
        <v/>
      </c>
      <c r="AW4" t="str">
        <f t="shared" si="20"/>
        <v/>
      </c>
      <c r="AX4" t="str">
        <f t="shared" si="21"/>
        <v/>
      </c>
      <c r="AY4" t="str">
        <f t="shared" si="22"/>
        <v/>
      </c>
      <c r="AZ4" t="str">
        <f t="shared" si="23"/>
        <v/>
      </c>
      <c r="BA4" t="str">
        <f t="shared" si="24"/>
        <v/>
      </c>
      <c r="BB4" t="str">
        <f t="shared" si="25"/>
        <v/>
      </c>
      <c r="BC4" t="str">
        <f t="shared" si="26"/>
        <v/>
      </c>
      <c r="BD4" t="str">
        <f t="shared" si="27"/>
        <v/>
      </c>
      <c r="BE4" t="str">
        <f t="shared" si="28"/>
        <v/>
      </c>
      <c r="BF4" t="str">
        <f t="shared" si="29"/>
        <v/>
      </c>
      <c r="BG4" t="str">
        <f t="shared" si="30"/>
        <v/>
      </c>
      <c r="BH4" t="str">
        <f t="shared" si="31"/>
        <v/>
      </c>
      <c r="BI4"/>
      <c r="BJ4"/>
      <c r="BK4"/>
      <c r="BL4"/>
      <c r="BM4"/>
      <c r="BN4"/>
    </row>
    <row r="5" spans="1:66" x14ac:dyDescent="0.2">
      <c r="A5">
        <v>2</v>
      </c>
      <c r="B5">
        <v>13</v>
      </c>
      <c r="C5" t="s">
        <v>39</v>
      </c>
      <c r="D5">
        <v>1</v>
      </c>
      <c r="E5">
        <v>1</v>
      </c>
      <c r="K5">
        <v>3</v>
      </c>
      <c r="M5">
        <v>1</v>
      </c>
      <c r="N5">
        <v>4</v>
      </c>
      <c r="O5">
        <v>4</v>
      </c>
      <c r="S5">
        <v>1</v>
      </c>
      <c r="T5">
        <v>1</v>
      </c>
      <c r="X5">
        <f t="shared" si="33"/>
        <v>0</v>
      </c>
      <c r="Z5" t="str">
        <f t="shared" si="0"/>
        <v/>
      </c>
      <c r="AA5" t="str">
        <f t="shared" si="1"/>
        <v/>
      </c>
      <c r="AB5" t="str">
        <f t="shared" si="2"/>
        <v/>
      </c>
      <c r="AC5" t="str">
        <f t="shared" si="3"/>
        <v/>
      </c>
      <c r="AE5" t="str">
        <f t="shared" si="4"/>
        <v/>
      </c>
      <c r="AF5" t="str">
        <f t="shared" si="5"/>
        <v/>
      </c>
      <c r="AG5" t="str">
        <f t="shared" si="6"/>
        <v/>
      </c>
      <c r="AH5" t="str">
        <f t="shared" si="7"/>
        <v/>
      </c>
      <c r="AI5" t="str">
        <f t="shared" si="8"/>
        <v/>
      </c>
      <c r="AK5" t="str">
        <f t="shared" si="9"/>
        <v/>
      </c>
      <c r="AL5" t="str">
        <f t="shared" si="32"/>
        <v/>
      </c>
      <c r="AM5" t="str">
        <f t="shared" si="10"/>
        <v/>
      </c>
      <c r="AN5" t="str">
        <f t="shared" si="11"/>
        <v/>
      </c>
      <c r="AO5" t="str">
        <f t="shared" si="12"/>
        <v/>
      </c>
      <c r="AP5" t="str">
        <f t="shared" si="13"/>
        <v/>
      </c>
      <c r="AQ5" t="str">
        <f t="shared" si="14"/>
        <v/>
      </c>
      <c r="AR5" t="str">
        <f t="shared" si="15"/>
        <v/>
      </c>
      <c r="AS5" t="str">
        <f t="shared" si="16"/>
        <v/>
      </c>
      <c r="AT5" t="str">
        <f t="shared" si="17"/>
        <v/>
      </c>
      <c r="AU5" t="str">
        <f t="shared" si="18"/>
        <v/>
      </c>
      <c r="AV5" t="str">
        <f t="shared" si="19"/>
        <v/>
      </c>
      <c r="AW5" t="str">
        <f t="shared" si="20"/>
        <v/>
      </c>
      <c r="AX5" t="str">
        <f t="shared" si="21"/>
        <v/>
      </c>
      <c r="AY5" t="str">
        <f t="shared" si="22"/>
        <v/>
      </c>
      <c r="AZ5" t="str">
        <f t="shared" si="23"/>
        <v/>
      </c>
      <c r="BA5" t="str">
        <f t="shared" si="24"/>
        <v/>
      </c>
      <c r="BB5" t="str">
        <f t="shared" si="25"/>
        <v/>
      </c>
      <c r="BC5" t="str">
        <f t="shared" si="26"/>
        <v/>
      </c>
      <c r="BD5" t="str">
        <f t="shared" si="27"/>
        <v/>
      </c>
      <c r="BE5" t="str">
        <f t="shared" si="28"/>
        <v/>
      </c>
      <c r="BF5" t="str">
        <f t="shared" si="29"/>
        <v/>
      </c>
      <c r="BG5" t="str">
        <f t="shared" si="30"/>
        <v/>
      </c>
      <c r="BH5" t="str">
        <f t="shared" si="31"/>
        <v/>
      </c>
    </row>
    <row r="6" spans="1:66" x14ac:dyDescent="0.2">
      <c r="A6">
        <v>3</v>
      </c>
      <c r="B6">
        <v>27</v>
      </c>
      <c r="C6" t="s">
        <v>39</v>
      </c>
      <c r="D6">
        <v>1</v>
      </c>
      <c r="K6">
        <v>1</v>
      </c>
      <c r="L6">
        <v>1</v>
      </c>
      <c r="M6">
        <v>1</v>
      </c>
      <c r="N6">
        <v>1</v>
      </c>
      <c r="O6">
        <v>1</v>
      </c>
      <c r="S6">
        <v>1</v>
      </c>
      <c r="T6">
        <v>1</v>
      </c>
      <c r="X6">
        <f t="shared" si="33"/>
        <v>0</v>
      </c>
      <c r="Z6" t="str">
        <f t="shared" si="0"/>
        <v/>
      </c>
      <c r="AA6" t="str">
        <f t="shared" si="1"/>
        <v/>
      </c>
      <c r="AB6" t="str">
        <f t="shared" si="2"/>
        <v/>
      </c>
      <c r="AC6" t="str">
        <f t="shared" si="3"/>
        <v/>
      </c>
      <c r="AE6" t="str">
        <f t="shared" si="4"/>
        <v/>
      </c>
      <c r="AF6" t="str">
        <f t="shared" si="5"/>
        <v/>
      </c>
      <c r="AG6" t="str">
        <f t="shared" si="6"/>
        <v/>
      </c>
      <c r="AH6" t="str">
        <f t="shared" si="7"/>
        <v/>
      </c>
      <c r="AI6" t="str">
        <f t="shared" si="8"/>
        <v/>
      </c>
      <c r="AK6" t="str">
        <f t="shared" si="9"/>
        <v/>
      </c>
      <c r="AL6" t="str">
        <f t="shared" si="32"/>
        <v/>
      </c>
      <c r="AM6" t="str">
        <f t="shared" si="10"/>
        <v/>
      </c>
      <c r="AN6" t="str">
        <f t="shared" si="11"/>
        <v/>
      </c>
      <c r="AO6" t="str">
        <f t="shared" si="12"/>
        <v/>
      </c>
      <c r="AP6" t="str">
        <f t="shared" si="13"/>
        <v/>
      </c>
      <c r="AQ6" t="str">
        <f t="shared" si="14"/>
        <v/>
      </c>
      <c r="AR6" t="str">
        <f t="shared" si="15"/>
        <v/>
      </c>
      <c r="AS6" t="str">
        <f t="shared" si="16"/>
        <v/>
      </c>
      <c r="AT6" t="str">
        <f t="shared" si="17"/>
        <v/>
      </c>
      <c r="AU6" t="str">
        <f t="shared" si="18"/>
        <v/>
      </c>
      <c r="AV6" t="str">
        <f t="shared" si="19"/>
        <v/>
      </c>
      <c r="AW6" t="str">
        <f t="shared" si="20"/>
        <v/>
      </c>
      <c r="AX6" t="str">
        <f t="shared" si="21"/>
        <v/>
      </c>
      <c r="AY6" t="str">
        <f t="shared" si="22"/>
        <v/>
      </c>
      <c r="AZ6" t="str">
        <f t="shared" si="23"/>
        <v/>
      </c>
      <c r="BA6" t="str">
        <f t="shared" si="24"/>
        <v/>
      </c>
      <c r="BB6" t="str">
        <f t="shared" si="25"/>
        <v/>
      </c>
      <c r="BC6" t="str">
        <f t="shared" si="26"/>
        <v/>
      </c>
      <c r="BD6" t="str">
        <f t="shared" si="27"/>
        <v/>
      </c>
      <c r="BE6" t="str">
        <f t="shared" si="28"/>
        <v/>
      </c>
      <c r="BF6" t="str">
        <f t="shared" si="29"/>
        <v/>
      </c>
      <c r="BG6" t="str">
        <f t="shared" si="30"/>
        <v/>
      </c>
      <c r="BH6" t="str">
        <f t="shared" si="31"/>
        <v/>
      </c>
    </row>
    <row r="7" spans="1:66" x14ac:dyDescent="0.2">
      <c r="A7">
        <v>4</v>
      </c>
      <c r="B7">
        <v>40</v>
      </c>
      <c r="C7" t="s">
        <v>39</v>
      </c>
      <c r="D7">
        <v>1</v>
      </c>
      <c r="E7">
        <v>1</v>
      </c>
      <c r="F7">
        <v>1</v>
      </c>
      <c r="K7">
        <v>4</v>
      </c>
      <c r="N7">
        <v>4</v>
      </c>
      <c r="O7">
        <v>4</v>
      </c>
      <c r="S7">
        <v>1</v>
      </c>
      <c r="X7">
        <f t="shared" si="33"/>
        <v>0</v>
      </c>
      <c r="Z7" t="str">
        <f t="shared" si="0"/>
        <v/>
      </c>
      <c r="AA7" t="str">
        <f t="shared" si="1"/>
        <v/>
      </c>
      <c r="AB7" t="str">
        <f t="shared" si="2"/>
        <v/>
      </c>
      <c r="AC7" t="str">
        <f t="shared" si="3"/>
        <v/>
      </c>
      <c r="AE7" t="str">
        <f t="shared" si="4"/>
        <v/>
      </c>
      <c r="AF7" t="str">
        <f t="shared" si="5"/>
        <v/>
      </c>
      <c r="AG7" t="str">
        <f t="shared" si="6"/>
        <v/>
      </c>
      <c r="AH7" t="str">
        <f t="shared" si="7"/>
        <v/>
      </c>
      <c r="AI7" t="str">
        <f t="shared" si="8"/>
        <v/>
      </c>
      <c r="AK7" t="str">
        <f t="shared" si="9"/>
        <v/>
      </c>
      <c r="AL7" t="str">
        <f t="shared" si="32"/>
        <v/>
      </c>
      <c r="AM7" t="str">
        <f t="shared" si="10"/>
        <v/>
      </c>
      <c r="AN7" t="str">
        <f t="shared" si="11"/>
        <v/>
      </c>
      <c r="AO7" t="str">
        <f t="shared" si="12"/>
        <v/>
      </c>
      <c r="AP7" t="str">
        <f t="shared" si="13"/>
        <v/>
      </c>
      <c r="AQ7" t="str">
        <f t="shared" si="14"/>
        <v/>
      </c>
      <c r="AR7" t="str">
        <f t="shared" si="15"/>
        <v/>
      </c>
      <c r="AS7" t="str">
        <f t="shared" si="16"/>
        <v/>
      </c>
      <c r="AT7" t="str">
        <f t="shared" si="17"/>
        <v/>
      </c>
      <c r="AU7" t="str">
        <f t="shared" si="18"/>
        <v/>
      </c>
      <c r="AV7" t="str">
        <f t="shared" si="19"/>
        <v/>
      </c>
      <c r="AW7" t="str">
        <f t="shared" si="20"/>
        <v/>
      </c>
      <c r="AX7" t="str">
        <f t="shared" si="21"/>
        <v/>
      </c>
      <c r="AY7" t="str">
        <f t="shared" si="22"/>
        <v/>
      </c>
      <c r="AZ7" t="str">
        <f t="shared" si="23"/>
        <v/>
      </c>
      <c r="BA7" t="str">
        <f t="shared" si="24"/>
        <v/>
      </c>
      <c r="BB7" t="str">
        <f t="shared" si="25"/>
        <v/>
      </c>
      <c r="BC7" t="str">
        <f t="shared" si="26"/>
        <v/>
      </c>
      <c r="BD7" t="str">
        <f t="shared" si="27"/>
        <v/>
      </c>
      <c r="BE7" t="str">
        <f t="shared" si="28"/>
        <v/>
      </c>
      <c r="BF7" t="str">
        <f t="shared" si="29"/>
        <v/>
      </c>
      <c r="BG7" t="str">
        <f t="shared" si="30"/>
        <v/>
      </c>
      <c r="BH7" t="str">
        <f t="shared" si="31"/>
        <v/>
      </c>
    </row>
    <row r="8" spans="1:66" x14ac:dyDescent="0.2">
      <c r="A8">
        <v>5</v>
      </c>
      <c r="B8">
        <v>47</v>
      </c>
      <c r="C8" t="s">
        <v>207</v>
      </c>
      <c r="D8">
        <v>1</v>
      </c>
      <c r="K8">
        <v>4</v>
      </c>
      <c r="M8">
        <v>1</v>
      </c>
      <c r="N8">
        <v>5</v>
      </c>
      <c r="O8">
        <v>5</v>
      </c>
      <c r="S8">
        <v>1</v>
      </c>
      <c r="T8">
        <v>1</v>
      </c>
      <c r="X8">
        <f t="shared" si="33"/>
        <v>0</v>
      </c>
      <c r="Z8" t="str">
        <f t="shared" si="0"/>
        <v/>
      </c>
      <c r="AA8" t="str">
        <f t="shared" si="1"/>
        <v/>
      </c>
      <c r="AB8" t="str">
        <f t="shared" si="2"/>
        <v/>
      </c>
      <c r="AC8" t="str">
        <f t="shared" si="3"/>
        <v/>
      </c>
      <c r="AE8" t="str">
        <f t="shared" si="4"/>
        <v/>
      </c>
      <c r="AF8" t="str">
        <f t="shared" si="5"/>
        <v/>
      </c>
      <c r="AG8" t="str">
        <f t="shared" si="6"/>
        <v/>
      </c>
      <c r="AH8" t="str">
        <f t="shared" si="7"/>
        <v/>
      </c>
      <c r="AI8" t="str">
        <f t="shared" si="8"/>
        <v/>
      </c>
      <c r="AK8" t="str">
        <f t="shared" si="9"/>
        <v/>
      </c>
      <c r="AL8" t="str">
        <f t="shared" si="32"/>
        <v/>
      </c>
      <c r="AM8" t="str">
        <f t="shared" si="10"/>
        <v/>
      </c>
      <c r="AN8" t="str">
        <f t="shared" si="11"/>
        <v/>
      </c>
      <c r="AO8" t="str">
        <f t="shared" si="12"/>
        <v/>
      </c>
      <c r="AP8" t="str">
        <f t="shared" si="13"/>
        <v/>
      </c>
      <c r="AQ8" t="str">
        <f t="shared" si="14"/>
        <v/>
      </c>
      <c r="AR8" t="str">
        <f t="shared" si="15"/>
        <v/>
      </c>
      <c r="AS8" t="str">
        <f t="shared" si="16"/>
        <v/>
      </c>
      <c r="AT8" t="str">
        <f t="shared" si="17"/>
        <v/>
      </c>
      <c r="AU8" t="str">
        <f t="shared" si="18"/>
        <v/>
      </c>
      <c r="AV8" t="str">
        <f t="shared" si="19"/>
        <v/>
      </c>
      <c r="AW8" t="str">
        <f t="shared" si="20"/>
        <v/>
      </c>
      <c r="AX8" t="str">
        <f t="shared" si="21"/>
        <v/>
      </c>
      <c r="AY8" t="str">
        <f t="shared" si="22"/>
        <v/>
      </c>
      <c r="AZ8" t="str">
        <f t="shared" si="23"/>
        <v/>
      </c>
      <c r="BA8" t="str">
        <f t="shared" si="24"/>
        <v/>
      </c>
      <c r="BB8" t="str">
        <f t="shared" si="25"/>
        <v/>
      </c>
      <c r="BC8" t="str">
        <f t="shared" si="26"/>
        <v/>
      </c>
      <c r="BD8" t="str">
        <f t="shared" si="27"/>
        <v/>
      </c>
      <c r="BE8" t="str">
        <f t="shared" si="28"/>
        <v/>
      </c>
      <c r="BF8" t="str">
        <f t="shared" si="29"/>
        <v/>
      </c>
      <c r="BG8" t="str">
        <f t="shared" si="30"/>
        <v/>
      </c>
      <c r="BH8" t="str">
        <f t="shared" si="31"/>
        <v/>
      </c>
    </row>
    <row r="9" spans="1:66" x14ac:dyDescent="0.2">
      <c r="A9">
        <v>6</v>
      </c>
      <c r="B9">
        <v>58</v>
      </c>
      <c r="C9" t="s">
        <v>207</v>
      </c>
      <c r="D9">
        <v>1</v>
      </c>
      <c r="K9">
        <v>4</v>
      </c>
      <c r="N9">
        <v>5</v>
      </c>
      <c r="O9">
        <v>4</v>
      </c>
      <c r="S9">
        <v>1</v>
      </c>
      <c r="T9">
        <v>1</v>
      </c>
      <c r="U9">
        <v>14</v>
      </c>
      <c r="X9">
        <f t="shared" si="33"/>
        <v>0</v>
      </c>
      <c r="Z9" t="str">
        <f t="shared" si="0"/>
        <v/>
      </c>
      <c r="AA9" t="str">
        <f t="shared" si="1"/>
        <v/>
      </c>
      <c r="AB9" t="str">
        <f t="shared" si="2"/>
        <v/>
      </c>
      <c r="AC9" t="str">
        <f t="shared" si="3"/>
        <v/>
      </c>
      <c r="AE9" t="str">
        <f t="shared" si="4"/>
        <v/>
      </c>
      <c r="AF9" t="str">
        <f t="shared" si="5"/>
        <v/>
      </c>
      <c r="AG9" t="str">
        <f t="shared" si="6"/>
        <v/>
      </c>
      <c r="AH9" t="str">
        <f t="shared" si="7"/>
        <v/>
      </c>
      <c r="AI9" t="str">
        <f t="shared" si="8"/>
        <v/>
      </c>
      <c r="AK9" t="str">
        <f t="shared" si="9"/>
        <v/>
      </c>
      <c r="AL9" t="str">
        <f t="shared" si="32"/>
        <v/>
      </c>
      <c r="AM9" t="str">
        <f t="shared" si="10"/>
        <v/>
      </c>
      <c r="AN9" t="str">
        <f t="shared" si="11"/>
        <v/>
      </c>
      <c r="AO9" t="str">
        <f t="shared" si="12"/>
        <v/>
      </c>
      <c r="AP9" t="str">
        <f t="shared" si="13"/>
        <v/>
      </c>
      <c r="AQ9" t="str">
        <f t="shared" si="14"/>
        <v/>
      </c>
      <c r="AR9" t="str">
        <f t="shared" si="15"/>
        <v/>
      </c>
      <c r="AS9" t="str">
        <f t="shared" si="16"/>
        <v/>
      </c>
      <c r="AT9" t="str">
        <f t="shared" si="17"/>
        <v/>
      </c>
      <c r="AU9" t="str">
        <f t="shared" si="18"/>
        <v/>
      </c>
      <c r="AV9" t="str">
        <f t="shared" si="19"/>
        <v/>
      </c>
      <c r="AW9" t="str">
        <f t="shared" si="20"/>
        <v/>
      </c>
      <c r="AX9" t="str">
        <f t="shared" si="21"/>
        <v/>
      </c>
      <c r="AY9" t="str">
        <f t="shared" si="22"/>
        <v/>
      </c>
      <c r="AZ9" t="str">
        <f t="shared" si="23"/>
        <v/>
      </c>
      <c r="BA9" t="str">
        <f t="shared" si="24"/>
        <v/>
      </c>
      <c r="BB9" t="str">
        <f t="shared" si="25"/>
        <v/>
      </c>
      <c r="BC9" t="str">
        <f t="shared" si="26"/>
        <v/>
      </c>
      <c r="BD9" t="str">
        <f t="shared" si="27"/>
        <v/>
      </c>
      <c r="BE9" t="str">
        <f t="shared" si="28"/>
        <v/>
      </c>
      <c r="BF9" t="str">
        <f t="shared" si="29"/>
        <v/>
      </c>
      <c r="BG9" t="str">
        <f t="shared" si="30"/>
        <v/>
      </c>
      <c r="BH9" t="str">
        <f t="shared" si="31"/>
        <v/>
      </c>
    </row>
    <row r="10" spans="1:66" x14ac:dyDescent="0.2">
      <c r="A10">
        <v>7</v>
      </c>
      <c r="B10">
        <v>64</v>
      </c>
      <c r="C10" t="s">
        <v>39</v>
      </c>
      <c r="D10">
        <v>1</v>
      </c>
      <c r="K10">
        <v>2</v>
      </c>
      <c r="M10">
        <v>1</v>
      </c>
      <c r="N10">
        <v>4</v>
      </c>
      <c r="O10">
        <v>3</v>
      </c>
      <c r="S10">
        <v>1</v>
      </c>
      <c r="U10">
        <v>15</v>
      </c>
      <c r="X10">
        <f t="shared" si="33"/>
        <v>0</v>
      </c>
      <c r="Z10" t="str">
        <f t="shared" si="0"/>
        <v/>
      </c>
      <c r="AA10" t="str">
        <f t="shared" si="1"/>
        <v/>
      </c>
      <c r="AB10" t="str">
        <f t="shared" si="2"/>
        <v/>
      </c>
      <c r="AC10" t="str">
        <f t="shared" si="3"/>
        <v/>
      </c>
      <c r="AE10" t="str">
        <f t="shared" si="4"/>
        <v/>
      </c>
      <c r="AF10" t="str">
        <f t="shared" si="5"/>
        <v/>
      </c>
      <c r="AG10" t="str">
        <f t="shared" si="6"/>
        <v/>
      </c>
      <c r="AH10" t="str">
        <f t="shared" si="7"/>
        <v/>
      </c>
      <c r="AI10" t="str">
        <f t="shared" si="8"/>
        <v/>
      </c>
      <c r="AK10" t="str">
        <f t="shared" si="9"/>
        <v/>
      </c>
      <c r="AL10" t="str">
        <f t="shared" si="32"/>
        <v/>
      </c>
      <c r="AM10" t="str">
        <f t="shared" si="10"/>
        <v/>
      </c>
      <c r="AN10" t="str">
        <f t="shared" si="11"/>
        <v/>
      </c>
      <c r="AO10" t="str">
        <f t="shared" si="12"/>
        <v/>
      </c>
      <c r="AP10" t="str">
        <f t="shared" si="13"/>
        <v/>
      </c>
      <c r="AQ10" t="str">
        <f t="shared" si="14"/>
        <v/>
      </c>
      <c r="AR10" t="str">
        <f t="shared" si="15"/>
        <v/>
      </c>
      <c r="AS10" t="str">
        <f t="shared" si="16"/>
        <v/>
      </c>
      <c r="AT10" t="str">
        <f t="shared" si="17"/>
        <v/>
      </c>
      <c r="AU10" t="str">
        <f t="shared" si="18"/>
        <v/>
      </c>
      <c r="AV10" t="str">
        <f t="shared" si="19"/>
        <v/>
      </c>
      <c r="AW10" t="str">
        <f t="shared" si="20"/>
        <v/>
      </c>
      <c r="AX10" t="str">
        <f t="shared" si="21"/>
        <v/>
      </c>
      <c r="AY10" t="str">
        <f t="shared" si="22"/>
        <v/>
      </c>
      <c r="AZ10" t="str">
        <f t="shared" si="23"/>
        <v/>
      </c>
      <c r="BA10" t="str">
        <f t="shared" si="24"/>
        <v/>
      </c>
      <c r="BB10" t="str">
        <f t="shared" si="25"/>
        <v/>
      </c>
      <c r="BC10" t="str">
        <f t="shared" si="26"/>
        <v/>
      </c>
      <c r="BD10" t="str">
        <f t="shared" si="27"/>
        <v/>
      </c>
      <c r="BE10" t="str">
        <f t="shared" si="28"/>
        <v/>
      </c>
      <c r="BF10" t="str">
        <f t="shared" si="29"/>
        <v/>
      </c>
      <c r="BG10" t="str">
        <f t="shared" si="30"/>
        <v/>
      </c>
      <c r="BH10" t="str">
        <f t="shared" si="31"/>
        <v/>
      </c>
    </row>
    <row r="11" spans="1:66" x14ac:dyDescent="0.2">
      <c r="A11" s="33">
        <v>8</v>
      </c>
      <c r="B11" s="33">
        <v>72</v>
      </c>
      <c r="C11" s="33" t="s">
        <v>207</v>
      </c>
      <c r="D11" s="33">
        <v>1</v>
      </c>
      <c r="E11" s="33"/>
      <c r="F11" s="33"/>
      <c r="G11" s="33"/>
      <c r="H11" s="33"/>
      <c r="I11" s="33"/>
      <c r="J11" s="33"/>
      <c r="K11" s="33">
        <v>4</v>
      </c>
      <c r="L11" s="33"/>
      <c r="M11" s="33"/>
      <c r="N11" s="33">
        <v>4</v>
      </c>
      <c r="O11" s="33">
        <v>4</v>
      </c>
      <c r="P11" s="33"/>
      <c r="Q11" s="33"/>
      <c r="R11" s="33"/>
      <c r="S11" s="33">
        <v>1</v>
      </c>
      <c r="T11" s="33">
        <v>1</v>
      </c>
      <c r="U11" s="33">
        <v>4</v>
      </c>
      <c r="V11" s="33"/>
      <c r="W11" s="33"/>
      <c r="X11" s="33">
        <f t="shared" si="33"/>
        <v>0</v>
      </c>
      <c r="Z11" t="str">
        <f t="shared" si="0"/>
        <v/>
      </c>
      <c r="AA11" t="str">
        <f t="shared" si="1"/>
        <v/>
      </c>
      <c r="AB11" t="str">
        <f t="shared" si="2"/>
        <v/>
      </c>
      <c r="AC11" t="str">
        <f t="shared" si="3"/>
        <v/>
      </c>
      <c r="AE11" t="str">
        <f t="shared" si="4"/>
        <v/>
      </c>
      <c r="AF11" t="str">
        <f t="shared" si="5"/>
        <v/>
      </c>
      <c r="AG11" t="str">
        <f t="shared" si="6"/>
        <v/>
      </c>
      <c r="AH11" t="str">
        <f t="shared" si="7"/>
        <v/>
      </c>
      <c r="AI11" t="str">
        <f t="shared" si="8"/>
        <v/>
      </c>
      <c r="AK11" t="str">
        <f t="shared" si="9"/>
        <v/>
      </c>
      <c r="AL11" t="str">
        <f t="shared" si="32"/>
        <v/>
      </c>
      <c r="AM11" t="str">
        <f t="shared" si="10"/>
        <v/>
      </c>
      <c r="AN11" t="str">
        <f t="shared" si="11"/>
        <v/>
      </c>
      <c r="AO11" t="str">
        <f t="shared" si="12"/>
        <v/>
      </c>
      <c r="AP11" t="str">
        <f t="shared" si="13"/>
        <v/>
      </c>
      <c r="AQ11" t="str">
        <f t="shared" si="14"/>
        <v/>
      </c>
      <c r="AR11" t="str">
        <f t="shared" si="15"/>
        <v/>
      </c>
      <c r="AS11" t="str">
        <f t="shared" si="16"/>
        <v/>
      </c>
      <c r="AT11" t="str">
        <f t="shared" si="17"/>
        <v/>
      </c>
      <c r="AU11" t="str">
        <f t="shared" si="18"/>
        <v/>
      </c>
      <c r="AV11" t="str">
        <f t="shared" si="19"/>
        <v/>
      </c>
      <c r="AW11" t="str">
        <f t="shared" si="20"/>
        <v/>
      </c>
      <c r="AX11" t="str">
        <f t="shared" si="21"/>
        <v/>
      </c>
      <c r="AY11" t="str">
        <f t="shared" si="22"/>
        <v/>
      </c>
      <c r="AZ11" t="str">
        <f t="shared" si="23"/>
        <v/>
      </c>
      <c r="BA11" t="str">
        <f t="shared" si="24"/>
        <v/>
      </c>
      <c r="BB11" t="str">
        <f t="shared" si="25"/>
        <v/>
      </c>
      <c r="BC11" t="str">
        <f t="shared" si="26"/>
        <v/>
      </c>
      <c r="BD11" t="str">
        <f t="shared" si="27"/>
        <v/>
      </c>
      <c r="BE11" t="str">
        <f t="shared" si="28"/>
        <v/>
      </c>
      <c r="BF11" t="str">
        <f t="shared" si="29"/>
        <v/>
      </c>
      <c r="BG11" t="str">
        <f t="shared" si="30"/>
        <v/>
      </c>
      <c r="BH11" t="str">
        <f t="shared" si="31"/>
        <v/>
      </c>
    </row>
    <row r="12" spans="1:66" x14ac:dyDescent="0.2">
      <c r="A12">
        <v>9</v>
      </c>
      <c r="B12">
        <v>81</v>
      </c>
      <c r="C12" t="s">
        <v>207</v>
      </c>
      <c r="D12">
        <v>1</v>
      </c>
      <c r="E12">
        <v>1</v>
      </c>
      <c r="K12">
        <v>4</v>
      </c>
      <c r="N12">
        <v>4</v>
      </c>
      <c r="O12">
        <v>4</v>
      </c>
      <c r="S12">
        <v>1</v>
      </c>
      <c r="T12">
        <v>1</v>
      </c>
      <c r="U12">
        <v>4</v>
      </c>
      <c r="X12">
        <f t="shared" si="33"/>
        <v>0</v>
      </c>
      <c r="Z12" t="str">
        <f t="shared" si="0"/>
        <v/>
      </c>
      <c r="AA12" t="str">
        <f t="shared" si="1"/>
        <v/>
      </c>
      <c r="AB12" t="str">
        <f t="shared" si="2"/>
        <v/>
      </c>
      <c r="AC12" t="str">
        <f t="shared" si="3"/>
        <v/>
      </c>
      <c r="AE12" t="str">
        <f t="shared" si="4"/>
        <v/>
      </c>
      <c r="AF12" t="str">
        <f t="shared" si="5"/>
        <v/>
      </c>
      <c r="AG12" t="str">
        <f t="shared" si="6"/>
        <v/>
      </c>
      <c r="AH12" t="str">
        <f t="shared" si="7"/>
        <v/>
      </c>
      <c r="AI12" t="str">
        <f t="shared" si="8"/>
        <v/>
      </c>
      <c r="AK12" t="str">
        <f t="shared" si="9"/>
        <v/>
      </c>
      <c r="AL12" t="str">
        <f t="shared" si="32"/>
        <v/>
      </c>
      <c r="AM12" t="str">
        <f t="shared" si="10"/>
        <v/>
      </c>
      <c r="AN12" t="str">
        <f t="shared" si="11"/>
        <v/>
      </c>
      <c r="AO12" t="str">
        <f t="shared" si="12"/>
        <v/>
      </c>
      <c r="AP12" t="str">
        <f t="shared" si="13"/>
        <v/>
      </c>
      <c r="AQ12" t="str">
        <f t="shared" si="14"/>
        <v/>
      </c>
      <c r="AR12" t="str">
        <f t="shared" si="15"/>
        <v/>
      </c>
      <c r="AS12" t="str">
        <f t="shared" si="16"/>
        <v/>
      </c>
      <c r="AT12" t="str">
        <f t="shared" si="17"/>
        <v/>
      </c>
      <c r="AU12" t="str">
        <f t="shared" si="18"/>
        <v/>
      </c>
      <c r="AV12" t="str">
        <f t="shared" si="19"/>
        <v/>
      </c>
      <c r="AW12" t="str">
        <f t="shared" si="20"/>
        <v/>
      </c>
      <c r="AX12" t="str">
        <f t="shared" si="21"/>
        <v/>
      </c>
      <c r="AY12" t="str">
        <f t="shared" si="22"/>
        <v/>
      </c>
      <c r="AZ12" t="str">
        <f t="shared" si="23"/>
        <v/>
      </c>
      <c r="BA12" t="str">
        <f t="shared" si="24"/>
        <v/>
      </c>
      <c r="BB12" t="str">
        <f t="shared" si="25"/>
        <v/>
      </c>
      <c r="BC12" t="str">
        <f t="shared" si="26"/>
        <v/>
      </c>
      <c r="BD12" t="str">
        <f t="shared" si="27"/>
        <v/>
      </c>
      <c r="BE12" t="str">
        <f t="shared" si="28"/>
        <v/>
      </c>
      <c r="BF12" t="str">
        <f t="shared" si="29"/>
        <v/>
      </c>
      <c r="BG12" t="str">
        <f t="shared" si="30"/>
        <v/>
      </c>
      <c r="BH12" t="str">
        <f t="shared" si="31"/>
        <v/>
      </c>
    </row>
    <row r="13" spans="1:66" x14ac:dyDescent="0.2">
      <c r="A13">
        <v>10</v>
      </c>
      <c r="B13">
        <v>94</v>
      </c>
      <c r="C13" t="s">
        <v>207</v>
      </c>
      <c r="D13">
        <v>1</v>
      </c>
      <c r="E13">
        <v>1</v>
      </c>
      <c r="K13">
        <v>5</v>
      </c>
      <c r="L13">
        <v>1</v>
      </c>
      <c r="N13">
        <v>5</v>
      </c>
      <c r="O13">
        <v>5</v>
      </c>
      <c r="S13">
        <v>1</v>
      </c>
      <c r="T13">
        <v>1</v>
      </c>
      <c r="X13">
        <f t="shared" si="33"/>
        <v>0</v>
      </c>
      <c r="Z13" t="str">
        <f t="shared" si="0"/>
        <v/>
      </c>
      <c r="AA13" t="str">
        <f t="shared" si="1"/>
        <v/>
      </c>
      <c r="AB13" t="str">
        <f t="shared" si="2"/>
        <v/>
      </c>
      <c r="AC13" t="str">
        <f t="shared" si="3"/>
        <v/>
      </c>
      <c r="AE13" t="str">
        <f t="shared" si="4"/>
        <v/>
      </c>
      <c r="AF13" t="str">
        <f t="shared" si="5"/>
        <v/>
      </c>
      <c r="AG13" t="str">
        <f t="shared" si="6"/>
        <v/>
      </c>
      <c r="AH13" t="str">
        <f t="shared" si="7"/>
        <v/>
      </c>
      <c r="AI13" t="str">
        <f t="shared" si="8"/>
        <v/>
      </c>
      <c r="AK13" t="str">
        <f t="shared" si="9"/>
        <v/>
      </c>
      <c r="AL13" t="str">
        <f t="shared" si="32"/>
        <v/>
      </c>
      <c r="AM13" t="str">
        <f t="shared" si="10"/>
        <v/>
      </c>
      <c r="AN13" t="str">
        <f t="shared" si="11"/>
        <v/>
      </c>
      <c r="AO13" t="str">
        <f t="shared" si="12"/>
        <v/>
      </c>
      <c r="AP13" t="str">
        <f t="shared" si="13"/>
        <v/>
      </c>
      <c r="AQ13" t="str">
        <f t="shared" si="14"/>
        <v/>
      </c>
      <c r="AR13" t="str">
        <f t="shared" si="15"/>
        <v/>
      </c>
      <c r="AS13" t="str">
        <f t="shared" si="16"/>
        <v/>
      </c>
      <c r="AT13" t="str">
        <f t="shared" si="17"/>
        <v/>
      </c>
      <c r="AU13" t="str">
        <f t="shared" si="18"/>
        <v/>
      </c>
      <c r="AV13" t="str">
        <f t="shared" si="19"/>
        <v/>
      </c>
      <c r="AW13" t="str">
        <f t="shared" si="20"/>
        <v/>
      </c>
      <c r="AX13" t="str">
        <f t="shared" si="21"/>
        <v/>
      </c>
      <c r="AY13" t="str">
        <f t="shared" si="22"/>
        <v/>
      </c>
      <c r="AZ13" t="str">
        <f t="shared" si="23"/>
        <v/>
      </c>
      <c r="BA13" t="str">
        <f t="shared" si="24"/>
        <v/>
      </c>
      <c r="BB13" t="str">
        <f t="shared" si="25"/>
        <v/>
      </c>
      <c r="BC13" t="str">
        <f t="shared" si="26"/>
        <v/>
      </c>
      <c r="BD13" t="str">
        <f t="shared" si="27"/>
        <v/>
      </c>
      <c r="BE13" t="str">
        <f t="shared" si="28"/>
        <v/>
      </c>
      <c r="BF13" t="str">
        <f t="shared" si="29"/>
        <v/>
      </c>
      <c r="BG13" t="str">
        <f t="shared" si="30"/>
        <v/>
      </c>
      <c r="BH13" t="str">
        <f t="shared" si="31"/>
        <v/>
      </c>
    </row>
    <row r="14" spans="1:66" x14ac:dyDescent="0.2">
      <c r="A14">
        <v>11</v>
      </c>
      <c r="B14">
        <v>101</v>
      </c>
      <c r="C14" t="s">
        <v>207</v>
      </c>
      <c r="D14">
        <v>1</v>
      </c>
      <c r="K14">
        <v>3</v>
      </c>
      <c r="M14">
        <v>1</v>
      </c>
      <c r="N14">
        <v>4</v>
      </c>
      <c r="O14">
        <v>4</v>
      </c>
      <c r="S14">
        <v>1</v>
      </c>
      <c r="T14">
        <v>1</v>
      </c>
      <c r="U14">
        <v>15</v>
      </c>
      <c r="X14">
        <f t="shared" si="33"/>
        <v>0</v>
      </c>
      <c r="Z14" t="s">
        <v>31</v>
      </c>
      <c r="AE14" t="s">
        <v>34</v>
      </c>
      <c r="AK14" t="s">
        <v>43</v>
      </c>
      <c r="AP14" t="s">
        <v>84</v>
      </c>
    </row>
    <row r="15" spans="1:66" x14ac:dyDescent="0.2">
      <c r="A15">
        <v>12</v>
      </c>
      <c r="B15">
        <v>115</v>
      </c>
      <c r="C15" t="s">
        <v>39</v>
      </c>
      <c r="D15">
        <v>1</v>
      </c>
      <c r="K15">
        <v>3</v>
      </c>
      <c r="L15">
        <v>1</v>
      </c>
      <c r="M15">
        <v>3</v>
      </c>
      <c r="N15">
        <v>5</v>
      </c>
      <c r="O15">
        <v>5</v>
      </c>
      <c r="S15">
        <v>1</v>
      </c>
      <c r="T15">
        <v>1</v>
      </c>
      <c r="U15">
        <v>5</v>
      </c>
      <c r="X15">
        <f t="shared" si="33"/>
        <v>0</v>
      </c>
      <c r="Z15" t="s">
        <v>21</v>
      </c>
      <c r="AA15" t="s">
        <v>22</v>
      </c>
      <c r="AE15" t="s">
        <v>21</v>
      </c>
      <c r="AF15" t="s">
        <v>22</v>
      </c>
      <c r="AG15" t="s">
        <v>35</v>
      </c>
      <c r="AK15" t="s">
        <v>10</v>
      </c>
      <c r="AL15" t="s">
        <v>25</v>
      </c>
      <c r="AM15" t="s">
        <v>26</v>
      </c>
      <c r="AN15" t="s">
        <v>27</v>
      </c>
      <c r="AP15" t="s">
        <v>15</v>
      </c>
      <c r="AQ15" t="s">
        <v>85</v>
      </c>
    </row>
    <row r="16" spans="1:66" x14ac:dyDescent="0.2">
      <c r="A16" t="s">
        <v>28</v>
      </c>
      <c r="D16">
        <f>SUM(D4:D15)</f>
        <v>12</v>
      </c>
      <c r="E16">
        <f>SUM(E4:E15)</f>
        <v>5</v>
      </c>
      <c r="F16">
        <f>SUM(F4:F15)</f>
        <v>2</v>
      </c>
      <c r="G16">
        <f>SUM(G4:G15)</f>
        <v>0</v>
      </c>
      <c r="H16">
        <f>SUM(H4:H15)</f>
        <v>0</v>
      </c>
      <c r="K16">
        <f>SUM(K4:K15)</f>
        <v>40</v>
      </c>
      <c r="L16">
        <f>SUM(L4:L15)</f>
        <v>3</v>
      </c>
      <c r="M16">
        <f>SUM(M4:M15)</f>
        <v>8</v>
      </c>
      <c r="N16">
        <f>SUM(N4:N15)</f>
        <v>47</v>
      </c>
      <c r="O16">
        <f>SUM(O4:O15)</f>
        <v>45</v>
      </c>
      <c r="Q16">
        <f t="shared" ref="Q16:R16" si="34">SUM(Q4:Q15)</f>
        <v>0</v>
      </c>
      <c r="R16">
        <f t="shared" si="34"/>
        <v>0</v>
      </c>
      <c r="S16">
        <f>SUM(S4:S15)</f>
        <v>12</v>
      </c>
      <c r="T16">
        <f>SUM(T4:T15)</f>
        <v>10</v>
      </c>
      <c r="U16">
        <f>SUM(U4:U15)</f>
        <v>95</v>
      </c>
      <c r="V16">
        <f>SUM(V4:V15)</f>
        <v>0</v>
      </c>
      <c r="W16">
        <f>SUM(W4:W15)</f>
        <v>0</v>
      </c>
      <c r="Z16">
        <f t="shared" ref="Z16:Z27" si="35">COUNTIF(Z2:AC2, "3")*COUNTIF(C4, "r")+COUNTIF(Z2:AC2, "5")*COUNTIF(C4, "b")</f>
        <v>0</v>
      </c>
      <c r="AA16">
        <f t="shared" ref="AA16:AA27" si="36">COUNTIF(Z2:AC2, "1")+COUNTIF(Z2:AC2, "2")+COUNTIF(Z2:AC2, "4")</f>
        <v>0</v>
      </c>
      <c r="AE16">
        <f t="shared" ref="AE16:AE27" si="37">COUNTIF(AE2:AI2, "3")*COUNTIF(C4, "r") + COUNTIF(AE2:AI2, "5")*COUNTIF(C4, "b")</f>
        <v>0</v>
      </c>
      <c r="AF16">
        <f t="shared" ref="AF16:AF27" si="38">COUNTIF(AE2:AI2, "1")+COUNTIF(AE2:AI2, "2")+COUNTIF(AE2:AI2, "4")</f>
        <v>0</v>
      </c>
      <c r="AG16">
        <f t="shared" ref="AG16:AG27" si="39">COUNTIF(AE2:AI2, "3")*COUNTIF(AE2:AI2, "b")+COUNTIF(AE2:AI2, "5")*COUNTIF(AE2:AI2, "r")</f>
        <v>0</v>
      </c>
      <c r="AK16">
        <f t="shared" ref="AK16:AK27" si="40">SUMPRODUCT(LEN($AK2:$BH2) - LEN(SUBSTITUTE($AK2:$BH2, "g", "")))</f>
        <v>0</v>
      </c>
      <c r="AL16">
        <f t="shared" ref="AL16:AL27" si="41">SUMPRODUCT(LEN($AK2:$BH2) - LEN(SUBSTITUTE($AK2:$BH2, "h", "")))</f>
        <v>0</v>
      </c>
      <c r="AM16">
        <f t="shared" ref="AM16:AM27" si="42">SUMPRODUCT(LEN($AK2:$BH2) - LEN(SUBSTITUTE($AK2:$BH2, "v", "")))</f>
        <v>0</v>
      </c>
      <c r="AN16">
        <f t="shared" ref="AN16:AN27" si="43">SUMPRODUCT(LEN($AK2:$BH2) - LEN(SUBSTITUTE($AK2:$BH2, "r", "")))</f>
        <v>0</v>
      </c>
      <c r="AP16">
        <f>MAX(AQ16:BN16)</f>
        <v>0</v>
      </c>
      <c r="AQ16" s="4">
        <f>_xlfn.NUMBERVALUE(RIGHT(AK2,1))</f>
        <v>0</v>
      </c>
      <c r="AR16" s="4">
        <f t="shared" ref="AR16:BG27" si="44">_xlfn.NUMBERVALUE(RIGHT(AL2,1))</f>
        <v>0</v>
      </c>
      <c r="AS16" s="4">
        <f t="shared" si="44"/>
        <v>0</v>
      </c>
      <c r="AT16" s="4">
        <f t="shared" si="44"/>
        <v>0</v>
      </c>
      <c r="AU16" s="4">
        <f t="shared" si="44"/>
        <v>0</v>
      </c>
      <c r="AV16" s="4">
        <f t="shared" si="44"/>
        <v>0</v>
      </c>
      <c r="AW16" s="4">
        <f t="shared" si="44"/>
        <v>0</v>
      </c>
      <c r="AX16" s="4">
        <f t="shared" si="44"/>
        <v>0</v>
      </c>
      <c r="AY16" s="4">
        <f t="shared" si="44"/>
        <v>0</v>
      </c>
      <c r="AZ16" s="4">
        <f t="shared" si="44"/>
        <v>0</v>
      </c>
      <c r="BA16" s="4">
        <f t="shared" si="44"/>
        <v>0</v>
      </c>
      <c r="BB16" s="4">
        <f t="shared" si="44"/>
        <v>0</v>
      </c>
      <c r="BC16" s="4">
        <f t="shared" si="44"/>
        <v>0</v>
      </c>
      <c r="BD16" s="4">
        <f t="shared" si="44"/>
        <v>0</v>
      </c>
      <c r="BE16" s="4">
        <f t="shared" si="44"/>
        <v>0</v>
      </c>
      <c r="BF16" s="4">
        <f t="shared" si="44"/>
        <v>0</v>
      </c>
      <c r="BG16" s="4">
        <f t="shared" si="44"/>
        <v>0</v>
      </c>
      <c r="BH16" s="4">
        <f t="shared" ref="BH16:BN27" si="45">_xlfn.NUMBERVALUE(RIGHT(BB2,1))</f>
        <v>0</v>
      </c>
      <c r="BI16" s="4">
        <f t="shared" si="45"/>
        <v>0</v>
      </c>
      <c r="BJ16" s="4">
        <f t="shared" si="45"/>
        <v>0</v>
      </c>
      <c r="BK16" s="4">
        <f t="shared" si="45"/>
        <v>0</v>
      </c>
      <c r="BL16" s="4">
        <f t="shared" si="45"/>
        <v>0</v>
      </c>
      <c r="BM16" s="4">
        <f t="shared" si="45"/>
        <v>0</v>
      </c>
      <c r="BN16" s="4">
        <f t="shared" si="45"/>
        <v>0</v>
      </c>
    </row>
    <row r="17" spans="1:66" x14ac:dyDescent="0.2">
      <c r="A17" s="1" t="s">
        <v>20</v>
      </c>
      <c r="D17" s="1" t="s">
        <v>49</v>
      </c>
      <c r="G17" s="1" t="s">
        <v>52</v>
      </c>
      <c r="K17" s="3" t="s">
        <v>74</v>
      </c>
      <c r="P17" s="1" t="s">
        <v>66</v>
      </c>
      <c r="Z17">
        <f t="shared" si="35"/>
        <v>0</v>
      </c>
      <c r="AA17">
        <f t="shared" si="36"/>
        <v>0</v>
      </c>
      <c r="AE17">
        <f t="shared" si="37"/>
        <v>0</v>
      </c>
      <c r="AF17">
        <f t="shared" si="38"/>
        <v>0</v>
      </c>
      <c r="AG17">
        <f t="shared" si="39"/>
        <v>0</v>
      </c>
      <c r="AK17">
        <f t="shared" si="40"/>
        <v>0</v>
      </c>
      <c r="AL17">
        <f t="shared" si="41"/>
        <v>0</v>
      </c>
      <c r="AM17">
        <f t="shared" si="42"/>
        <v>0</v>
      </c>
      <c r="AN17">
        <f t="shared" si="43"/>
        <v>0</v>
      </c>
      <c r="AP17">
        <f t="shared" ref="AP17:AP27" si="46">MAX(AQ17:BN17)</f>
        <v>0</v>
      </c>
      <c r="AQ17" s="4">
        <f t="shared" ref="AQ17:AQ27" si="47">_xlfn.NUMBERVALUE(RIGHT(AK3,1))</f>
        <v>0</v>
      </c>
      <c r="AR17" s="4">
        <f t="shared" si="44"/>
        <v>0</v>
      </c>
      <c r="AS17" s="4">
        <f t="shared" si="44"/>
        <v>0</v>
      </c>
      <c r="AT17" s="4">
        <f t="shared" si="44"/>
        <v>0</v>
      </c>
      <c r="AU17" s="4">
        <f t="shared" si="44"/>
        <v>0</v>
      </c>
      <c r="AV17" s="4">
        <f t="shared" si="44"/>
        <v>0</v>
      </c>
      <c r="AW17" s="4">
        <f t="shared" si="44"/>
        <v>0</v>
      </c>
      <c r="AX17" s="4">
        <f t="shared" si="44"/>
        <v>0</v>
      </c>
      <c r="AY17" s="4">
        <f t="shared" si="44"/>
        <v>0</v>
      </c>
      <c r="AZ17" s="4">
        <f t="shared" si="44"/>
        <v>0</v>
      </c>
      <c r="BA17" s="4">
        <f t="shared" si="44"/>
        <v>0</v>
      </c>
      <c r="BB17" s="4">
        <f t="shared" si="44"/>
        <v>0</v>
      </c>
      <c r="BC17" s="4">
        <f t="shared" si="44"/>
        <v>0</v>
      </c>
      <c r="BD17" s="4">
        <f t="shared" si="44"/>
        <v>0</v>
      </c>
      <c r="BE17" s="4">
        <f t="shared" si="44"/>
        <v>0</v>
      </c>
      <c r="BF17" s="4">
        <f t="shared" si="44"/>
        <v>0</v>
      </c>
      <c r="BG17" s="4">
        <f t="shared" si="44"/>
        <v>0</v>
      </c>
      <c r="BH17" s="4">
        <f t="shared" si="45"/>
        <v>0</v>
      </c>
      <c r="BI17" s="4">
        <f t="shared" si="45"/>
        <v>0</v>
      </c>
      <c r="BJ17" s="4">
        <f t="shared" si="45"/>
        <v>0</v>
      </c>
      <c r="BK17" s="4">
        <f t="shared" si="45"/>
        <v>0</v>
      </c>
      <c r="BL17" s="4">
        <f t="shared" si="45"/>
        <v>0</v>
      </c>
      <c r="BM17" s="4">
        <f t="shared" si="45"/>
        <v>0</v>
      </c>
      <c r="BN17" s="4">
        <f t="shared" si="45"/>
        <v>0</v>
      </c>
    </row>
    <row r="18" spans="1:66" x14ac:dyDescent="0.2">
      <c r="A18" t="s">
        <v>32</v>
      </c>
      <c r="B18" t="s">
        <v>21</v>
      </c>
      <c r="D18" t="s">
        <v>180</v>
      </c>
      <c r="G18" s="3" t="s">
        <v>53</v>
      </c>
      <c r="K18" t="s">
        <v>55</v>
      </c>
      <c r="M18" t="s">
        <v>65</v>
      </c>
      <c r="P18" t="s">
        <v>67</v>
      </c>
      <c r="Z18">
        <f t="shared" si="35"/>
        <v>0</v>
      </c>
      <c r="AA18">
        <f t="shared" si="36"/>
        <v>0</v>
      </c>
      <c r="AE18">
        <f t="shared" si="37"/>
        <v>0</v>
      </c>
      <c r="AF18">
        <f t="shared" si="38"/>
        <v>0</v>
      </c>
      <c r="AG18">
        <f t="shared" si="39"/>
        <v>0</v>
      </c>
      <c r="AK18">
        <f t="shared" si="40"/>
        <v>0</v>
      </c>
      <c r="AL18">
        <f t="shared" si="41"/>
        <v>0</v>
      </c>
      <c r="AM18">
        <f t="shared" si="42"/>
        <v>0</v>
      </c>
      <c r="AN18">
        <f t="shared" si="43"/>
        <v>0</v>
      </c>
      <c r="AP18">
        <f t="shared" si="46"/>
        <v>0</v>
      </c>
      <c r="AQ18" s="4">
        <f t="shared" si="47"/>
        <v>0</v>
      </c>
      <c r="AR18" s="4">
        <f t="shared" si="44"/>
        <v>0</v>
      </c>
      <c r="AS18" s="4">
        <f t="shared" si="44"/>
        <v>0</v>
      </c>
      <c r="AT18" s="4">
        <f t="shared" si="44"/>
        <v>0</v>
      </c>
      <c r="AU18" s="4">
        <f t="shared" si="44"/>
        <v>0</v>
      </c>
      <c r="AV18" s="4">
        <f t="shared" si="44"/>
        <v>0</v>
      </c>
      <c r="AW18" s="4">
        <f t="shared" si="44"/>
        <v>0</v>
      </c>
      <c r="AX18" s="4">
        <f t="shared" si="44"/>
        <v>0</v>
      </c>
      <c r="AY18" s="4">
        <f t="shared" si="44"/>
        <v>0</v>
      </c>
      <c r="AZ18" s="4">
        <f t="shared" si="44"/>
        <v>0</v>
      </c>
      <c r="BA18" s="4">
        <f t="shared" si="44"/>
        <v>0</v>
      </c>
      <c r="BB18" s="4">
        <f t="shared" si="44"/>
        <v>0</v>
      </c>
      <c r="BC18" s="4">
        <f t="shared" si="44"/>
        <v>0</v>
      </c>
      <c r="BD18" s="4">
        <f t="shared" si="44"/>
        <v>0</v>
      </c>
      <c r="BE18" s="4">
        <f t="shared" si="44"/>
        <v>0</v>
      </c>
      <c r="BF18" s="4">
        <f t="shared" si="44"/>
        <v>0</v>
      </c>
      <c r="BG18" s="4">
        <f t="shared" si="44"/>
        <v>0</v>
      </c>
      <c r="BH18" s="4">
        <f t="shared" si="45"/>
        <v>0</v>
      </c>
      <c r="BI18" s="4">
        <f t="shared" si="45"/>
        <v>0</v>
      </c>
      <c r="BJ18" s="4">
        <f t="shared" si="45"/>
        <v>0</v>
      </c>
      <c r="BK18" s="4">
        <f t="shared" si="45"/>
        <v>0</v>
      </c>
      <c r="BL18" s="4">
        <f t="shared" si="45"/>
        <v>0</v>
      </c>
      <c r="BM18" s="4">
        <f t="shared" si="45"/>
        <v>0</v>
      </c>
      <c r="BN18" s="4">
        <f t="shared" si="45"/>
        <v>0</v>
      </c>
    </row>
    <row r="19" spans="1:66" x14ac:dyDescent="0.2">
      <c r="A19" t="s">
        <v>40</v>
      </c>
      <c r="B19" t="s">
        <v>22</v>
      </c>
      <c r="D19">
        <f>E16/D16</f>
        <v>0.41666666666666669</v>
      </c>
      <c r="G19" t="s">
        <v>75</v>
      </c>
      <c r="K19">
        <f>O16/N16</f>
        <v>0.95744680851063835</v>
      </c>
      <c r="M19">
        <f>SUM(M39:M50)</f>
        <v>3</v>
      </c>
      <c r="P19">
        <f>T16/S16</f>
        <v>0.83333333333333337</v>
      </c>
      <c r="Z19">
        <f t="shared" si="35"/>
        <v>0</v>
      </c>
      <c r="AA19">
        <f t="shared" si="36"/>
        <v>0</v>
      </c>
      <c r="AE19">
        <f t="shared" si="37"/>
        <v>0</v>
      </c>
      <c r="AF19">
        <f t="shared" si="38"/>
        <v>0</v>
      </c>
      <c r="AG19">
        <f t="shared" si="39"/>
        <v>0</v>
      </c>
      <c r="AK19">
        <f t="shared" si="40"/>
        <v>0</v>
      </c>
      <c r="AL19">
        <f t="shared" si="41"/>
        <v>0</v>
      </c>
      <c r="AM19">
        <f t="shared" si="42"/>
        <v>0</v>
      </c>
      <c r="AN19">
        <f t="shared" si="43"/>
        <v>0</v>
      </c>
      <c r="AP19">
        <f t="shared" si="46"/>
        <v>0</v>
      </c>
      <c r="AQ19" s="4">
        <f t="shared" si="47"/>
        <v>0</v>
      </c>
      <c r="AR19" s="4">
        <f t="shared" si="44"/>
        <v>0</v>
      </c>
      <c r="AS19" s="4">
        <f t="shared" si="44"/>
        <v>0</v>
      </c>
      <c r="AT19" s="4">
        <f t="shared" si="44"/>
        <v>0</v>
      </c>
      <c r="AU19" s="4">
        <f t="shared" si="44"/>
        <v>0</v>
      </c>
      <c r="AV19" s="4">
        <f t="shared" si="44"/>
        <v>0</v>
      </c>
      <c r="AW19" s="4">
        <f t="shared" si="44"/>
        <v>0</v>
      </c>
      <c r="AX19" s="4">
        <f t="shared" si="44"/>
        <v>0</v>
      </c>
      <c r="AY19" s="4">
        <f t="shared" si="44"/>
        <v>0</v>
      </c>
      <c r="AZ19" s="4">
        <f t="shared" si="44"/>
        <v>0</v>
      </c>
      <c r="BA19" s="4">
        <f t="shared" si="44"/>
        <v>0</v>
      </c>
      <c r="BB19" s="4">
        <f t="shared" si="44"/>
        <v>0</v>
      </c>
      <c r="BC19" s="4">
        <f t="shared" si="44"/>
        <v>0</v>
      </c>
      <c r="BD19" s="4">
        <f t="shared" si="44"/>
        <v>0</v>
      </c>
      <c r="BE19" s="4">
        <f t="shared" si="44"/>
        <v>0</v>
      </c>
      <c r="BF19" s="4">
        <f t="shared" si="44"/>
        <v>0</v>
      </c>
      <c r="BG19" s="4">
        <f t="shared" si="44"/>
        <v>0</v>
      </c>
      <c r="BH19" s="4">
        <f t="shared" si="45"/>
        <v>0</v>
      </c>
      <c r="BI19" s="4">
        <f t="shared" si="45"/>
        <v>0</v>
      </c>
      <c r="BJ19" s="4">
        <f t="shared" si="45"/>
        <v>0</v>
      </c>
      <c r="BK19" s="4">
        <f t="shared" si="45"/>
        <v>0</v>
      </c>
      <c r="BL19" s="4">
        <f t="shared" si="45"/>
        <v>0</v>
      </c>
      <c r="BM19" s="4">
        <f t="shared" si="45"/>
        <v>0</v>
      </c>
      <c r="BN19" s="4">
        <f t="shared" si="45"/>
        <v>0</v>
      </c>
    </row>
    <row r="20" spans="1:66" x14ac:dyDescent="0.2">
      <c r="A20" t="s">
        <v>41</v>
      </c>
      <c r="B20" t="s">
        <v>23</v>
      </c>
      <c r="D20" t="s">
        <v>47</v>
      </c>
      <c r="G20" t="e">
        <f>AK28/AP28</f>
        <v>#DIV/0!</v>
      </c>
      <c r="K20" t="s">
        <v>13</v>
      </c>
      <c r="Z20">
        <f t="shared" si="35"/>
        <v>0</v>
      </c>
      <c r="AA20">
        <f t="shared" si="36"/>
        <v>0</v>
      </c>
      <c r="AE20">
        <f t="shared" si="37"/>
        <v>0</v>
      </c>
      <c r="AF20">
        <f t="shared" si="38"/>
        <v>0</v>
      </c>
      <c r="AG20">
        <f t="shared" si="39"/>
        <v>0</v>
      </c>
      <c r="AK20">
        <f t="shared" si="40"/>
        <v>0</v>
      </c>
      <c r="AL20">
        <f t="shared" si="41"/>
        <v>0</v>
      </c>
      <c r="AM20">
        <f t="shared" si="42"/>
        <v>0</v>
      </c>
      <c r="AN20">
        <f t="shared" si="43"/>
        <v>0</v>
      </c>
      <c r="AP20">
        <f t="shared" si="46"/>
        <v>0</v>
      </c>
      <c r="AQ20" s="4">
        <f t="shared" si="47"/>
        <v>0</v>
      </c>
      <c r="AR20" s="4">
        <f t="shared" si="44"/>
        <v>0</v>
      </c>
      <c r="AS20" s="4">
        <f t="shared" si="44"/>
        <v>0</v>
      </c>
      <c r="AT20" s="4">
        <f t="shared" si="44"/>
        <v>0</v>
      </c>
      <c r="AU20" s="4">
        <f t="shared" si="44"/>
        <v>0</v>
      </c>
      <c r="AV20" s="4">
        <f t="shared" si="44"/>
        <v>0</v>
      </c>
      <c r="AW20" s="4">
        <f t="shared" si="44"/>
        <v>0</v>
      </c>
      <c r="AX20" s="4">
        <f t="shared" si="44"/>
        <v>0</v>
      </c>
      <c r="AY20" s="4">
        <f t="shared" si="44"/>
        <v>0</v>
      </c>
      <c r="AZ20" s="4">
        <f t="shared" si="44"/>
        <v>0</v>
      </c>
      <c r="BA20" s="4">
        <f t="shared" si="44"/>
        <v>0</v>
      </c>
      <c r="BB20" s="4">
        <f t="shared" si="44"/>
        <v>0</v>
      </c>
      <c r="BC20" s="4">
        <f t="shared" si="44"/>
        <v>0</v>
      </c>
      <c r="BD20" s="4">
        <f t="shared" si="44"/>
        <v>0</v>
      </c>
      <c r="BE20" s="4">
        <f t="shared" si="44"/>
        <v>0</v>
      </c>
      <c r="BF20" s="4">
        <f t="shared" si="44"/>
        <v>0</v>
      </c>
      <c r="BG20" s="4">
        <f t="shared" si="44"/>
        <v>0</v>
      </c>
      <c r="BH20" s="4">
        <f t="shared" si="45"/>
        <v>0</v>
      </c>
      <c r="BI20" s="4">
        <f t="shared" si="45"/>
        <v>0</v>
      </c>
      <c r="BJ20" s="4">
        <f t="shared" si="45"/>
        <v>0</v>
      </c>
      <c r="BK20" s="4">
        <f t="shared" si="45"/>
        <v>0</v>
      </c>
      <c r="BL20" s="4">
        <f t="shared" si="45"/>
        <v>0</v>
      </c>
      <c r="BM20" s="4">
        <f t="shared" si="45"/>
        <v>0</v>
      </c>
      <c r="BN20" s="4">
        <f t="shared" si="45"/>
        <v>0</v>
      </c>
    </row>
    <row r="21" spans="1:66" x14ac:dyDescent="0.2">
      <c r="A21" s="1" t="s">
        <v>24</v>
      </c>
      <c r="D21">
        <f>G16/A31</f>
        <v>0</v>
      </c>
      <c r="G21" t="s">
        <v>76</v>
      </c>
      <c r="K21" t="s">
        <v>57</v>
      </c>
      <c r="L21" t="s">
        <v>58</v>
      </c>
      <c r="M21" t="s">
        <v>59</v>
      </c>
      <c r="N21" t="s">
        <v>60</v>
      </c>
      <c r="Z21">
        <f t="shared" si="35"/>
        <v>0</v>
      </c>
      <c r="AA21">
        <f t="shared" si="36"/>
        <v>0</v>
      </c>
      <c r="AE21">
        <f t="shared" si="37"/>
        <v>0</v>
      </c>
      <c r="AF21">
        <f t="shared" si="38"/>
        <v>0</v>
      </c>
      <c r="AG21">
        <f t="shared" si="39"/>
        <v>0</v>
      </c>
      <c r="AK21">
        <f t="shared" si="40"/>
        <v>0</v>
      </c>
      <c r="AL21">
        <f t="shared" si="41"/>
        <v>0</v>
      </c>
      <c r="AM21">
        <f t="shared" si="42"/>
        <v>0</v>
      </c>
      <c r="AN21">
        <f t="shared" si="43"/>
        <v>0</v>
      </c>
      <c r="AP21">
        <f t="shared" si="46"/>
        <v>0</v>
      </c>
      <c r="AQ21" s="4">
        <f t="shared" si="47"/>
        <v>0</v>
      </c>
      <c r="AR21" s="4">
        <f t="shared" si="44"/>
        <v>0</v>
      </c>
      <c r="AS21" s="4">
        <f t="shared" si="44"/>
        <v>0</v>
      </c>
      <c r="AT21" s="4">
        <f t="shared" si="44"/>
        <v>0</v>
      </c>
      <c r="AU21" s="4">
        <f t="shared" si="44"/>
        <v>0</v>
      </c>
      <c r="AV21" s="4">
        <f t="shared" si="44"/>
        <v>0</v>
      </c>
      <c r="AW21" s="4">
        <f t="shared" si="44"/>
        <v>0</v>
      </c>
      <c r="AX21" s="4">
        <f t="shared" si="44"/>
        <v>0</v>
      </c>
      <c r="AY21" s="4">
        <f t="shared" si="44"/>
        <v>0</v>
      </c>
      <c r="AZ21" s="4">
        <f t="shared" si="44"/>
        <v>0</v>
      </c>
      <c r="BA21" s="4">
        <f t="shared" si="44"/>
        <v>0</v>
      </c>
      <c r="BB21" s="4">
        <f t="shared" si="44"/>
        <v>0</v>
      </c>
      <c r="BC21" s="4">
        <f t="shared" si="44"/>
        <v>0</v>
      </c>
      <c r="BD21" s="4">
        <f t="shared" si="44"/>
        <v>0</v>
      </c>
      <c r="BE21" s="4">
        <f t="shared" si="44"/>
        <v>0</v>
      </c>
      <c r="BF21" s="4">
        <f t="shared" si="44"/>
        <v>0</v>
      </c>
      <c r="BG21" s="4">
        <f t="shared" si="44"/>
        <v>0</v>
      </c>
      <c r="BH21" s="4">
        <f t="shared" si="45"/>
        <v>0</v>
      </c>
      <c r="BI21" s="4">
        <f t="shared" si="45"/>
        <v>0</v>
      </c>
      <c r="BJ21" s="4">
        <f t="shared" si="45"/>
        <v>0</v>
      </c>
      <c r="BK21" s="4">
        <f t="shared" si="45"/>
        <v>0</v>
      </c>
      <c r="BL21" s="4">
        <f t="shared" si="45"/>
        <v>0</v>
      </c>
      <c r="BM21" s="4">
        <f t="shared" si="45"/>
        <v>0</v>
      </c>
      <c r="BN21" s="4">
        <f t="shared" si="45"/>
        <v>0</v>
      </c>
    </row>
    <row r="22" spans="1:66" x14ac:dyDescent="0.2">
      <c r="A22" t="s">
        <v>36</v>
      </c>
      <c r="B22" t="s">
        <v>10</v>
      </c>
      <c r="D22" t="s">
        <v>48</v>
      </c>
      <c r="G22" t="e">
        <f>AL28/AP28</f>
        <v>#DIV/0!</v>
      </c>
      <c r="K22">
        <f>AVERAGE(C39:C50)</f>
        <v>3.75</v>
      </c>
      <c r="L22">
        <f>MEDIAN(C39:C50)</f>
        <v>4</v>
      </c>
      <c r="M22">
        <f>MAX(C39:C50)</f>
        <v>5</v>
      </c>
      <c r="N22">
        <f>_xlfn.STDEV.S(C39:C50)</f>
        <v>1.2154310870109943</v>
      </c>
      <c r="Z22">
        <f t="shared" si="35"/>
        <v>0</v>
      </c>
      <c r="AA22">
        <f t="shared" si="36"/>
        <v>0</v>
      </c>
      <c r="AE22">
        <f t="shared" si="37"/>
        <v>0</v>
      </c>
      <c r="AF22">
        <f t="shared" si="38"/>
        <v>0</v>
      </c>
      <c r="AG22">
        <f t="shared" si="39"/>
        <v>0</v>
      </c>
      <c r="AK22">
        <f t="shared" si="40"/>
        <v>0</v>
      </c>
      <c r="AL22">
        <f t="shared" si="41"/>
        <v>0</v>
      </c>
      <c r="AM22">
        <f t="shared" si="42"/>
        <v>0</v>
      </c>
      <c r="AN22">
        <f t="shared" si="43"/>
        <v>0</v>
      </c>
      <c r="AP22">
        <f t="shared" si="46"/>
        <v>0</v>
      </c>
      <c r="AQ22" s="4">
        <f t="shared" si="47"/>
        <v>0</v>
      </c>
      <c r="AR22" s="4">
        <f t="shared" si="44"/>
        <v>0</v>
      </c>
      <c r="AS22" s="4">
        <f t="shared" si="44"/>
        <v>0</v>
      </c>
      <c r="AT22" s="4">
        <f t="shared" si="44"/>
        <v>0</v>
      </c>
      <c r="AU22" s="4">
        <f t="shared" si="44"/>
        <v>0</v>
      </c>
      <c r="AV22" s="4">
        <f t="shared" si="44"/>
        <v>0</v>
      </c>
      <c r="AW22" s="4">
        <f t="shared" si="44"/>
        <v>0</v>
      </c>
      <c r="AX22" s="4">
        <f t="shared" si="44"/>
        <v>0</v>
      </c>
      <c r="AY22" s="4">
        <f t="shared" si="44"/>
        <v>0</v>
      </c>
      <c r="AZ22" s="4">
        <f t="shared" si="44"/>
        <v>0</v>
      </c>
      <c r="BA22" s="4">
        <f t="shared" si="44"/>
        <v>0</v>
      </c>
      <c r="BB22" s="4">
        <f t="shared" si="44"/>
        <v>0</v>
      </c>
      <c r="BC22" s="4">
        <f t="shared" si="44"/>
        <v>0</v>
      </c>
      <c r="BD22" s="4">
        <f t="shared" si="44"/>
        <v>0</v>
      </c>
      <c r="BE22" s="4">
        <f t="shared" si="44"/>
        <v>0</v>
      </c>
      <c r="BF22" s="4">
        <f t="shared" si="44"/>
        <v>0</v>
      </c>
      <c r="BG22" s="4">
        <f t="shared" si="44"/>
        <v>0</v>
      </c>
      <c r="BH22" s="4">
        <f t="shared" si="45"/>
        <v>0</v>
      </c>
      <c r="BI22" s="4">
        <f t="shared" si="45"/>
        <v>0</v>
      </c>
      <c r="BJ22" s="4">
        <f t="shared" si="45"/>
        <v>0</v>
      </c>
      <c r="BK22" s="4">
        <f t="shared" si="45"/>
        <v>0</v>
      </c>
      <c r="BL22" s="4">
        <f t="shared" si="45"/>
        <v>0</v>
      </c>
      <c r="BM22" s="4">
        <f t="shared" si="45"/>
        <v>0</v>
      </c>
      <c r="BN22" s="4">
        <f t="shared" si="45"/>
        <v>0</v>
      </c>
    </row>
    <row r="23" spans="1:66" x14ac:dyDescent="0.2">
      <c r="A23" t="s">
        <v>37</v>
      </c>
      <c r="B23" t="s">
        <v>25</v>
      </c>
      <c r="D23">
        <f>H16/A31</f>
        <v>0</v>
      </c>
      <c r="G23" t="s">
        <v>77</v>
      </c>
      <c r="K23" t="s">
        <v>8</v>
      </c>
      <c r="Z23">
        <f t="shared" si="35"/>
        <v>0</v>
      </c>
      <c r="AA23">
        <f t="shared" si="36"/>
        <v>0</v>
      </c>
      <c r="AE23">
        <f t="shared" si="37"/>
        <v>0</v>
      </c>
      <c r="AF23">
        <f t="shared" si="38"/>
        <v>0</v>
      </c>
      <c r="AG23">
        <f t="shared" si="39"/>
        <v>0</v>
      </c>
      <c r="AK23">
        <f t="shared" si="40"/>
        <v>0</v>
      </c>
      <c r="AL23">
        <f t="shared" si="41"/>
        <v>0</v>
      </c>
      <c r="AM23">
        <f t="shared" si="42"/>
        <v>0</v>
      </c>
      <c r="AN23">
        <f t="shared" si="43"/>
        <v>0</v>
      </c>
      <c r="AP23">
        <f t="shared" si="46"/>
        <v>0</v>
      </c>
      <c r="AQ23" s="4">
        <f t="shared" si="47"/>
        <v>0</v>
      </c>
      <c r="AR23" s="4">
        <f t="shared" si="44"/>
        <v>0</v>
      </c>
      <c r="AS23" s="4">
        <f t="shared" si="44"/>
        <v>0</v>
      </c>
      <c r="AT23" s="4">
        <f t="shared" si="44"/>
        <v>0</v>
      </c>
      <c r="AU23" s="4">
        <f t="shared" si="44"/>
        <v>0</v>
      </c>
      <c r="AV23" s="4">
        <f t="shared" si="44"/>
        <v>0</v>
      </c>
      <c r="AW23" s="4">
        <f t="shared" si="44"/>
        <v>0</v>
      </c>
      <c r="AX23" s="4">
        <f t="shared" si="44"/>
        <v>0</v>
      </c>
      <c r="AY23" s="4">
        <f t="shared" si="44"/>
        <v>0</v>
      </c>
      <c r="AZ23" s="4">
        <f t="shared" si="44"/>
        <v>0</v>
      </c>
      <c r="BA23" s="4">
        <f t="shared" si="44"/>
        <v>0</v>
      </c>
      <c r="BB23" s="4">
        <f t="shared" si="44"/>
        <v>0</v>
      </c>
      <c r="BC23" s="4">
        <f t="shared" si="44"/>
        <v>0</v>
      </c>
      <c r="BD23" s="4">
        <f t="shared" si="44"/>
        <v>0</v>
      </c>
      <c r="BE23" s="4">
        <f t="shared" si="44"/>
        <v>0</v>
      </c>
      <c r="BF23" s="4">
        <f t="shared" si="44"/>
        <v>0</v>
      </c>
      <c r="BG23" s="4">
        <f t="shared" si="44"/>
        <v>0</v>
      </c>
      <c r="BH23" s="4">
        <f t="shared" si="45"/>
        <v>0</v>
      </c>
      <c r="BI23" s="4">
        <f t="shared" si="45"/>
        <v>0</v>
      </c>
      <c r="BJ23" s="4">
        <f t="shared" si="45"/>
        <v>0</v>
      </c>
      <c r="BK23" s="4">
        <f t="shared" si="45"/>
        <v>0</v>
      </c>
      <c r="BL23" s="4">
        <f t="shared" si="45"/>
        <v>0</v>
      </c>
      <c r="BM23" s="4">
        <f t="shared" si="45"/>
        <v>0</v>
      </c>
      <c r="BN23" s="4">
        <f t="shared" si="45"/>
        <v>0</v>
      </c>
    </row>
    <row r="24" spans="1:66" x14ac:dyDescent="0.2">
      <c r="A24" t="s">
        <v>38</v>
      </c>
      <c r="B24" t="s">
        <v>26</v>
      </c>
      <c r="D24" t="s">
        <v>50</v>
      </c>
      <c r="G24" t="e">
        <f>AM28/AP28</f>
        <v>#DIV/0!</v>
      </c>
      <c r="K24" t="s">
        <v>57</v>
      </c>
      <c r="L24" t="s">
        <v>61</v>
      </c>
      <c r="M24" t="s">
        <v>59</v>
      </c>
      <c r="N24" t="s">
        <v>60</v>
      </c>
      <c r="Z24">
        <f t="shared" si="35"/>
        <v>0</v>
      </c>
      <c r="AA24">
        <f t="shared" si="36"/>
        <v>0</v>
      </c>
      <c r="AE24">
        <f t="shared" si="37"/>
        <v>0</v>
      </c>
      <c r="AF24">
        <f t="shared" si="38"/>
        <v>0</v>
      </c>
      <c r="AG24">
        <f t="shared" si="39"/>
        <v>0</v>
      </c>
      <c r="AK24">
        <f t="shared" si="40"/>
        <v>0</v>
      </c>
      <c r="AL24">
        <f t="shared" si="41"/>
        <v>0</v>
      </c>
      <c r="AM24">
        <f t="shared" si="42"/>
        <v>0</v>
      </c>
      <c r="AN24">
        <f t="shared" si="43"/>
        <v>0</v>
      </c>
      <c r="AP24">
        <f t="shared" si="46"/>
        <v>0</v>
      </c>
      <c r="AQ24" s="4">
        <f t="shared" si="47"/>
        <v>0</v>
      </c>
      <c r="AR24" s="4">
        <f t="shared" si="44"/>
        <v>0</v>
      </c>
      <c r="AS24" s="4">
        <f t="shared" si="44"/>
        <v>0</v>
      </c>
      <c r="AT24" s="4">
        <f t="shared" si="44"/>
        <v>0</v>
      </c>
      <c r="AU24" s="4">
        <f t="shared" si="44"/>
        <v>0</v>
      </c>
      <c r="AV24" s="4">
        <f t="shared" si="44"/>
        <v>0</v>
      </c>
      <c r="AW24" s="4">
        <f t="shared" si="44"/>
        <v>0</v>
      </c>
      <c r="AX24" s="4">
        <f t="shared" si="44"/>
        <v>0</v>
      </c>
      <c r="AY24" s="4">
        <f t="shared" si="44"/>
        <v>0</v>
      </c>
      <c r="AZ24" s="4">
        <f t="shared" si="44"/>
        <v>0</v>
      </c>
      <c r="BA24" s="4">
        <f t="shared" si="44"/>
        <v>0</v>
      </c>
      <c r="BB24" s="4">
        <f t="shared" si="44"/>
        <v>0</v>
      </c>
      <c r="BC24" s="4">
        <f t="shared" si="44"/>
        <v>0</v>
      </c>
      <c r="BD24" s="4">
        <f t="shared" si="44"/>
        <v>0</v>
      </c>
      <c r="BE24" s="4">
        <f t="shared" si="44"/>
        <v>0</v>
      </c>
      <c r="BF24" s="4">
        <f t="shared" si="44"/>
        <v>0</v>
      </c>
      <c r="BG24" s="4">
        <f t="shared" si="44"/>
        <v>0</v>
      </c>
      <c r="BH24" s="4">
        <f t="shared" si="45"/>
        <v>0</v>
      </c>
      <c r="BI24" s="4">
        <f t="shared" si="45"/>
        <v>0</v>
      </c>
      <c r="BJ24" s="4">
        <f t="shared" si="45"/>
        <v>0</v>
      </c>
      <c r="BK24" s="4">
        <f t="shared" si="45"/>
        <v>0</v>
      </c>
      <c r="BL24" s="4">
        <f t="shared" si="45"/>
        <v>0</v>
      </c>
      <c r="BM24" s="4">
        <f t="shared" si="45"/>
        <v>0</v>
      </c>
      <c r="BN24" s="4">
        <f t="shared" si="45"/>
        <v>0</v>
      </c>
    </row>
    <row r="25" spans="1:66" x14ac:dyDescent="0.2">
      <c r="A25" t="s">
        <v>39</v>
      </c>
      <c r="B25" t="s">
        <v>27</v>
      </c>
      <c r="D25">
        <f>Z28/A31</f>
        <v>0</v>
      </c>
      <c r="G25" t="s">
        <v>78</v>
      </c>
      <c r="K25">
        <f>AVERAGE(E39:E50)</f>
        <v>0</v>
      </c>
      <c r="L25">
        <f>MEDIAN(E39:E50)</f>
        <v>0</v>
      </c>
      <c r="M25">
        <f>MAX(E39:E50)</f>
        <v>0</v>
      </c>
      <c r="N25">
        <f>_xlfn.STDEV.S(E39:E50)</f>
        <v>0</v>
      </c>
      <c r="Z25">
        <f t="shared" si="35"/>
        <v>0</v>
      </c>
      <c r="AA25">
        <f t="shared" si="36"/>
        <v>0</v>
      </c>
      <c r="AE25">
        <f t="shared" si="37"/>
        <v>0</v>
      </c>
      <c r="AF25">
        <f t="shared" si="38"/>
        <v>0</v>
      </c>
      <c r="AG25">
        <f t="shared" si="39"/>
        <v>0</v>
      </c>
      <c r="AK25">
        <f t="shared" si="40"/>
        <v>0</v>
      </c>
      <c r="AL25">
        <f t="shared" si="41"/>
        <v>0</v>
      </c>
      <c r="AM25">
        <f t="shared" si="42"/>
        <v>0</v>
      </c>
      <c r="AN25">
        <f t="shared" si="43"/>
        <v>0</v>
      </c>
      <c r="AP25">
        <f t="shared" si="46"/>
        <v>0</v>
      </c>
      <c r="AQ25" s="4">
        <f t="shared" si="47"/>
        <v>0</v>
      </c>
      <c r="AR25" s="4">
        <f t="shared" si="44"/>
        <v>0</v>
      </c>
      <c r="AS25" s="4">
        <f t="shared" si="44"/>
        <v>0</v>
      </c>
      <c r="AT25" s="4">
        <f t="shared" si="44"/>
        <v>0</v>
      </c>
      <c r="AU25" s="4">
        <f t="shared" si="44"/>
        <v>0</v>
      </c>
      <c r="AV25" s="4">
        <f t="shared" si="44"/>
        <v>0</v>
      </c>
      <c r="AW25" s="4">
        <f t="shared" si="44"/>
        <v>0</v>
      </c>
      <c r="AX25" s="4">
        <f t="shared" si="44"/>
        <v>0</v>
      </c>
      <c r="AY25" s="4">
        <f t="shared" si="44"/>
        <v>0</v>
      </c>
      <c r="AZ25" s="4">
        <f t="shared" si="44"/>
        <v>0</v>
      </c>
      <c r="BA25" s="4">
        <f t="shared" si="44"/>
        <v>0</v>
      </c>
      <c r="BB25" s="4">
        <f t="shared" si="44"/>
        <v>0</v>
      </c>
      <c r="BC25" s="4">
        <f t="shared" si="44"/>
        <v>0</v>
      </c>
      <c r="BD25" s="4">
        <f t="shared" si="44"/>
        <v>0</v>
      </c>
      <c r="BE25" s="4">
        <f t="shared" si="44"/>
        <v>0</v>
      </c>
      <c r="BF25" s="4">
        <f t="shared" si="44"/>
        <v>0</v>
      </c>
      <c r="BG25" s="4">
        <f t="shared" si="44"/>
        <v>0</v>
      </c>
      <c r="BH25" s="4">
        <f t="shared" si="45"/>
        <v>0</v>
      </c>
      <c r="BI25" s="4">
        <f t="shared" si="45"/>
        <v>0</v>
      </c>
      <c r="BJ25" s="4">
        <f t="shared" si="45"/>
        <v>0</v>
      </c>
      <c r="BK25" s="4">
        <f t="shared" si="45"/>
        <v>0</v>
      </c>
      <c r="BL25" s="4">
        <f t="shared" si="45"/>
        <v>0</v>
      </c>
      <c r="BM25" s="4">
        <f t="shared" si="45"/>
        <v>0</v>
      </c>
      <c r="BN25" s="4">
        <f t="shared" si="45"/>
        <v>0</v>
      </c>
    </row>
    <row r="26" spans="1:66" x14ac:dyDescent="0.2">
      <c r="A26" t="s">
        <v>44</v>
      </c>
      <c r="D26" t="s">
        <v>51</v>
      </c>
      <c r="G26" t="e">
        <f>AN28/AP28</f>
        <v>#DIV/0!</v>
      </c>
      <c r="K26" t="s">
        <v>62</v>
      </c>
      <c r="P26" t="s">
        <v>19</v>
      </c>
      <c r="Z26">
        <f t="shared" si="35"/>
        <v>0</v>
      </c>
      <c r="AA26">
        <f t="shared" si="36"/>
        <v>0</v>
      </c>
      <c r="AE26">
        <f t="shared" si="37"/>
        <v>0</v>
      </c>
      <c r="AF26">
        <f t="shared" si="38"/>
        <v>0</v>
      </c>
      <c r="AG26">
        <f t="shared" si="39"/>
        <v>0</v>
      </c>
      <c r="AK26">
        <f t="shared" si="40"/>
        <v>0</v>
      </c>
      <c r="AL26">
        <f t="shared" si="41"/>
        <v>0</v>
      </c>
      <c r="AM26">
        <f t="shared" si="42"/>
        <v>0</v>
      </c>
      <c r="AN26">
        <f t="shared" si="43"/>
        <v>0</v>
      </c>
      <c r="AP26">
        <f t="shared" si="46"/>
        <v>0</v>
      </c>
      <c r="AQ26" s="4">
        <f t="shared" si="47"/>
        <v>0</v>
      </c>
      <c r="AR26" s="4">
        <f t="shared" si="44"/>
        <v>0</v>
      </c>
      <c r="AS26" s="4">
        <f t="shared" si="44"/>
        <v>0</v>
      </c>
      <c r="AT26" s="4">
        <f t="shared" si="44"/>
        <v>0</v>
      </c>
      <c r="AU26" s="4">
        <f t="shared" si="44"/>
        <v>0</v>
      </c>
      <c r="AV26" s="4">
        <f t="shared" si="44"/>
        <v>0</v>
      </c>
      <c r="AW26" s="4">
        <f t="shared" si="44"/>
        <v>0</v>
      </c>
      <c r="AX26" s="4">
        <f t="shared" si="44"/>
        <v>0</v>
      </c>
      <c r="AY26" s="4">
        <f t="shared" si="44"/>
        <v>0</v>
      </c>
      <c r="AZ26" s="4">
        <f t="shared" si="44"/>
        <v>0</v>
      </c>
      <c r="BA26" s="4">
        <f t="shared" si="44"/>
        <v>0</v>
      </c>
      <c r="BB26" s="4">
        <f t="shared" si="44"/>
        <v>0</v>
      </c>
      <c r="BC26" s="4">
        <f t="shared" si="44"/>
        <v>0</v>
      </c>
      <c r="BD26" s="4">
        <f t="shared" si="44"/>
        <v>0</v>
      </c>
      <c r="BE26" s="4">
        <f t="shared" si="44"/>
        <v>0</v>
      </c>
      <c r="BF26" s="4">
        <f t="shared" si="44"/>
        <v>0</v>
      </c>
      <c r="BG26" s="4">
        <f t="shared" si="44"/>
        <v>0</v>
      </c>
      <c r="BH26" s="4">
        <f t="shared" si="45"/>
        <v>0</v>
      </c>
      <c r="BI26" s="4">
        <f t="shared" si="45"/>
        <v>0</v>
      </c>
      <c r="BJ26" s="4">
        <f t="shared" si="45"/>
        <v>0</v>
      </c>
      <c r="BK26" s="4">
        <f t="shared" si="45"/>
        <v>0</v>
      </c>
      <c r="BL26" s="4">
        <f t="shared" si="45"/>
        <v>0</v>
      </c>
      <c r="BM26" s="4">
        <f t="shared" si="45"/>
        <v>0</v>
      </c>
      <c r="BN26" s="4">
        <f t="shared" si="45"/>
        <v>0</v>
      </c>
    </row>
    <row r="27" spans="1:66" x14ac:dyDescent="0.2">
      <c r="A27" t="s">
        <v>45</v>
      </c>
      <c r="D27">
        <f>AA28/A31</f>
        <v>0</v>
      </c>
      <c r="G27" t="s">
        <v>56</v>
      </c>
      <c r="K27" t="s">
        <v>57</v>
      </c>
      <c r="L27" t="s">
        <v>58</v>
      </c>
      <c r="M27" t="s">
        <v>59</v>
      </c>
      <c r="N27" t="s">
        <v>60</v>
      </c>
      <c r="P27" t="s">
        <v>57</v>
      </c>
      <c r="Q27" t="s">
        <v>58</v>
      </c>
      <c r="R27" t="s">
        <v>59</v>
      </c>
      <c r="S27" t="s">
        <v>60</v>
      </c>
      <c r="Z27">
        <f t="shared" si="35"/>
        <v>0</v>
      </c>
      <c r="AA27">
        <f t="shared" si="36"/>
        <v>0</v>
      </c>
      <c r="AE27">
        <f t="shared" si="37"/>
        <v>0</v>
      </c>
      <c r="AF27">
        <f t="shared" si="38"/>
        <v>0</v>
      </c>
      <c r="AG27">
        <f t="shared" si="39"/>
        <v>0</v>
      </c>
      <c r="AK27">
        <f t="shared" si="40"/>
        <v>0</v>
      </c>
      <c r="AL27">
        <f t="shared" si="41"/>
        <v>0</v>
      </c>
      <c r="AM27">
        <f t="shared" si="42"/>
        <v>0</v>
      </c>
      <c r="AN27">
        <f t="shared" si="43"/>
        <v>0</v>
      </c>
      <c r="AP27">
        <f t="shared" si="46"/>
        <v>0</v>
      </c>
      <c r="AQ27" s="4">
        <f t="shared" si="47"/>
        <v>0</v>
      </c>
      <c r="AR27" s="4">
        <f t="shared" si="44"/>
        <v>0</v>
      </c>
      <c r="AS27" s="4">
        <f t="shared" si="44"/>
        <v>0</v>
      </c>
      <c r="AT27" s="4">
        <f t="shared" si="44"/>
        <v>0</v>
      </c>
      <c r="AU27" s="4">
        <f t="shared" si="44"/>
        <v>0</v>
      </c>
      <c r="AV27" s="4">
        <f t="shared" si="44"/>
        <v>0</v>
      </c>
      <c r="AW27" s="4">
        <f t="shared" si="44"/>
        <v>0</v>
      </c>
      <c r="AX27" s="4">
        <f t="shared" si="44"/>
        <v>0</v>
      </c>
      <c r="AY27" s="4">
        <f t="shared" si="44"/>
        <v>0</v>
      </c>
      <c r="AZ27" s="4">
        <f t="shared" si="44"/>
        <v>0</v>
      </c>
      <c r="BA27" s="4">
        <f t="shared" si="44"/>
        <v>0</v>
      </c>
      <c r="BB27" s="4">
        <f t="shared" si="44"/>
        <v>0</v>
      </c>
      <c r="BC27" s="4">
        <f t="shared" si="44"/>
        <v>0</v>
      </c>
      <c r="BD27" s="4">
        <f t="shared" si="44"/>
        <v>0</v>
      </c>
      <c r="BE27" s="4">
        <f t="shared" si="44"/>
        <v>0</v>
      </c>
      <c r="BF27" s="4">
        <f t="shared" si="44"/>
        <v>0</v>
      </c>
      <c r="BG27" s="4">
        <f t="shared" si="44"/>
        <v>0</v>
      </c>
      <c r="BH27" s="4">
        <f t="shared" si="45"/>
        <v>0</v>
      </c>
      <c r="BI27" s="4">
        <f t="shared" si="45"/>
        <v>0</v>
      </c>
      <c r="BJ27" s="4">
        <f t="shared" si="45"/>
        <v>0</v>
      </c>
      <c r="BK27" s="4">
        <f t="shared" si="45"/>
        <v>0</v>
      </c>
      <c r="BL27" s="4">
        <f t="shared" si="45"/>
        <v>0</v>
      </c>
      <c r="BM27" s="4">
        <f t="shared" si="45"/>
        <v>0</v>
      </c>
      <c r="BN27" s="4">
        <f t="shared" si="45"/>
        <v>0</v>
      </c>
    </row>
    <row r="28" spans="1:66" x14ac:dyDescent="0.2">
      <c r="A28" t="s">
        <v>46</v>
      </c>
      <c r="D28" t="s">
        <v>202</v>
      </c>
      <c r="G28" t="s">
        <v>57</v>
      </c>
      <c r="H28" t="s">
        <v>58</v>
      </c>
      <c r="I28" t="s">
        <v>59</v>
      </c>
      <c r="J28" t="s">
        <v>60</v>
      </c>
      <c r="K28">
        <f>AVERAGE(G39:G50)</f>
        <v>0</v>
      </c>
      <c r="L28">
        <f>MEDIAN(G39:G50)</f>
        <v>0</v>
      </c>
      <c r="M28">
        <f>MAX(G39:G50)</f>
        <v>0</v>
      </c>
      <c r="N28">
        <f>_xlfn.STDEV.S(G39:G50)</f>
        <v>0</v>
      </c>
      <c r="P28">
        <f>AVERAGE(N39:N50)</f>
        <v>7.916666666666667</v>
      </c>
      <c r="Q28">
        <f>MEDIAN(N39:N50)</f>
        <v>4</v>
      </c>
      <c r="R28">
        <f>MAX(N39:N50)</f>
        <v>38</v>
      </c>
      <c r="S28">
        <f>_xlfn.STDEV.S(N39:N50)</f>
        <v>11.261021537169976</v>
      </c>
      <c r="Y28" t="s">
        <v>33</v>
      </c>
      <c r="Z28">
        <f>SUM(Z16:Z27)</f>
        <v>0</v>
      </c>
      <c r="AA28">
        <f>SUM(AA16:AA27)</f>
        <v>0</v>
      </c>
      <c r="AE28">
        <f>SUM(AE16:AE27)</f>
        <v>0</v>
      </c>
      <c r="AF28">
        <f>SUM(AF16:AF27)</f>
        <v>0</v>
      </c>
      <c r="AG28">
        <f>SUM(AG16:AG27)</f>
        <v>0</v>
      </c>
      <c r="AK28">
        <f>SUM(AK16:AK27)</f>
        <v>0</v>
      </c>
      <c r="AL28">
        <f>SUM(AL16:AL27)</f>
        <v>0</v>
      </c>
      <c r="AM28">
        <f>SUM(AM16:AM27)</f>
        <v>0</v>
      </c>
      <c r="AN28">
        <f>SUM(AN16:AN27)</f>
        <v>0</v>
      </c>
      <c r="AP28">
        <f>SUM(AP16:AP27)</f>
        <v>0</v>
      </c>
    </row>
    <row r="29" spans="1:66" x14ac:dyDescent="0.2">
      <c r="D29">
        <f>SUM(O39:O50)/F16</f>
        <v>1</v>
      </c>
      <c r="G29">
        <f>AVERAGE(A39:A50)</f>
        <v>0</v>
      </c>
      <c r="H29">
        <f>MEDIAN(A39:A50)</f>
        <v>0</v>
      </c>
      <c r="I29">
        <f>MAX(A39:A50)</f>
        <v>0</v>
      </c>
      <c r="J29">
        <f>_xlfn.STDEV.S(A39:A50)</f>
        <v>0</v>
      </c>
      <c r="K29" t="s">
        <v>63</v>
      </c>
      <c r="P29" t="s">
        <v>148</v>
      </c>
    </row>
    <row r="30" spans="1:66" x14ac:dyDescent="0.2">
      <c r="A30" t="s">
        <v>147</v>
      </c>
      <c r="D30" t="s">
        <v>203</v>
      </c>
      <c r="G30" t="s">
        <v>50</v>
      </c>
      <c r="H30" t="s">
        <v>51</v>
      </c>
      <c r="I30" t="s">
        <v>89</v>
      </c>
      <c r="K30" t="s">
        <v>57</v>
      </c>
      <c r="L30" t="s">
        <v>58</v>
      </c>
      <c r="M30" t="s">
        <v>59</v>
      </c>
      <c r="N30" t="s">
        <v>60</v>
      </c>
      <c r="P30" t="s">
        <v>57</v>
      </c>
      <c r="Q30" t="s">
        <v>58</v>
      </c>
      <c r="R30" t="s">
        <v>59</v>
      </c>
      <c r="S30" t="s">
        <v>60</v>
      </c>
      <c r="W30" t="s">
        <v>148</v>
      </c>
      <c r="Y30" t="s">
        <v>149</v>
      </c>
      <c r="AH30" t="s">
        <v>79</v>
      </c>
    </row>
    <row r="31" spans="1:66" x14ac:dyDescent="0.2">
      <c r="A31">
        <f>COUNT(B4:B15)</f>
        <v>12</v>
      </c>
      <c r="D31" s="2">
        <f>SUM(S39:S50)/SUM(Q39:Q50)</f>
        <v>0.3</v>
      </c>
      <c r="G31">
        <f>AE28/A31</f>
        <v>0</v>
      </c>
      <c r="H31">
        <f>AF28/A31</f>
        <v>0</v>
      </c>
      <c r="I31">
        <f>AG28/A31</f>
        <v>0</v>
      </c>
      <c r="K31" t="e">
        <f>AVERAGE(I39:I50)</f>
        <v>#DIV/0!</v>
      </c>
      <c r="L31" t="e">
        <f>MEDIAN(I39:I50)</f>
        <v>#NUM!</v>
      </c>
      <c r="M31">
        <f>MAX(I39:I50)</f>
        <v>0</v>
      </c>
      <c r="N31" t="e">
        <f>_xlfn.STDEV.S(I39:I50)</f>
        <v>#DIV/0!</v>
      </c>
      <c r="P31" t="e">
        <f>AVERAGE(W31:W42)</f>
        <v>#DIV/0!</v>
      </c>
      <c r="Q31" t="e">
        <f>MEDIAN(W31:W42)</f>
        <v>#NUM!</v>
      </c>
      <c r="R31">
        <f>MAX(W31:W42)</f>
        <v>0</v>
      </c>
      <c r="S31" t="e">
        <f>_xlfn.STDEV.S(W31:W42)</f>
        <v>#DIV/0!</v>
      </c>
      <c r="W31" t="str">
        <f t="shared" ref="W31:W33" si="48">IF(AND(ISBLANK(Q4), ISBLANK(R4), ISBLANK(G4), ISBLANK(H4)), "", U4)</f>
        <v/>
      </c>
      <c r="Y31" t="str">
        <f t="shared" ref="Y31:Y42" si="49">IF(ISBLANK(Y4), IF(X4 = 0, "", (G4 + H4/3 + V4/9 + W4/3)), U4)</f>
        <v/>
      </c>
      <c r="AH31" t="s">
        <v>80</v>
      </c>
    </row>
    <row r="32" spans="1:66" x14ac:dyDescent="0.2">
      <c r="D32" s="3"/>
      <c r="K32" t="s">
        <v>64</v>
      </c>
      <c r="P32" t="s">
        <v>149</v>
      </c>
      <c r="W32" t="str">
        <f t="shared" si="48"/>
        <v/>
      </c>
      <c r="Y32" t="str">
        <f t="shared" si="49"/>
        <v/>
      </c>
      <c r="AH32" t="s">
        <v>81</v>
      </c>
    </row>
    <row r="33" spans="1:34" x14ac:dyDescent="0.2">
      <c r="A33" t="s">
        <v>215</v>
      </c>
      <c r="D33" s="3"/>
      <c r="K33" t="s">
        <v>57</v>
      </c>
      <c r="L33" t="s">
        <v>58</v>
      </c>
      <c r="M33" t="s">
        <v>59</v>
      </c>
      <c r="N33" t="s">
        <v>60</v>
      </c>
      <c r="P33" t="s">
        <v>57</v>
      </c>
      <c r="Q33" t="s">
        <v>58</v>
      </c>
      <c r="R33" t="s">
        <v>59</v>
      </c>
      <c r="S33" t="s">
        <v>60</v>
      </c>
      <c r="W33" t="str">
        <f t="shared" si="48"/>
        <v/>
      </c>
      <c r="Y33" t="str">
        <f t="shared" si="49"/>
        <v/>
      </c>
      <c r="AH33" t="s">
        <v>82</v>
      </c>
    </row>
    <row r="34" spans="1:34" x14ac:dyDescent="0.2">
      <c r="A34" t="s">
        <v>257</v>
      </c>
      <c r="D34" s="3"/>
      <c r="K34">
        <f>AVERAGE(K39:K50)</f>
        <v>0</v>
      </c>
      <c r="L34">
        <f>MEDIAN(K39:K50)</f>
        <v>0</v>
      </c>
      <c r="M34">
        <f>MAX(K39:K50)</f>
        <v>0</v>
      </c>
      <c r="N34">
        <f>_xlfn.STDEV.S(K39:K50)</f>
        <v>0</v>
      </c>
      <c r="P34" t="e">
        <f>AVERAGE(Y31:Y42)</f>
        <v>#DIV/0!</v>
      </c>
      <c r="Q34" t="e">
        <f>MEDIAN(Y31:Y42)</f>
        <v>#NUM!</v>
      </c>
      <c r="R34">
        <f>MAX(Y31:Y42)</f>
        <v>0</v>
      </c>
      <c r="S34" t="e">
        <f>_xlfn.STDEV.S(Y31:Y42)</f>
        <v>#DIV/0!</v>
      </c>
      <c r="W34" t="str">
        <f>IF(AND(ISBLANK(Q7), ISBLANK(R7), ISBLANK(G7), ISBLANK(H7)), "", U7)</f>
        <v/>
      </c>
      <c r="Y34" t="str">
        <f t="shared" si="49"/>
        <v/>
      </c>
      <c r="AH34" t="s">
        <v>83</v>
      </c>
    </row>
    <row r="35" spans="1:34" x14ac:dyDescent="0.2">
      <c r="A35" t="s">
        <v>262</v>
      </c>
      <c r="P35" t="s">
        <v>95</v>
      </c>
      <c r="R35" t="s">
        <v>197</v>
      </c>
      <c r="W35" t="str">
        <f t="shared" ref="W35:W42" si="50">IF(AND(ISBLANK(Q8), ISBLANK(R8), ISBLANK(G8), ISBLANK(H8)), "", U8)</f>
        <v/>
      </c>
      <c r="Y35" t="str">
        <f t="shared" si="49"/>
        <v/>
      </c>
    </row>
    <row r="36" spans="1:34" x14ac:dyDescent="0.2">
      <c r="P36" t="e">
        <f>Q16/(Q16+R16)</f>
        <v>#DIV/0!</v>
      </c>
      <c r="R36" t="e">
        <f>R16/(Q16+R16)</f>
        <v>#DIV/0!</v>
      </c>
      <c r="W36" t="str">
        <f t="shared" si="50"/>
        <v/>
      </c>
      <c r="Y36" t="str">
        <f t="shared" si="49"/>
        <v/>
      </c>
    </row>
    <row r="37" spans="1:34" x14ac:dyDescent="0.2">
      <c r="W37" t="str">
        <f t="shared" si="50"/>
        <v/>
      </c>
      <c r="Y37" t="str">
        <f t="shared" si="49"/>
        <v/>
      </c>
    </row>
    <row r="38" spans="1:34" x14ac:dyDescent="0.2">
      <c r="A38" t="s">
        <v>68</v>
      </c>
      <c r="C38" t="s">
        <v>69</v>
      </c>
      <c r="E38" t="s">
        <v>72</v>
      </c>
      <c r="G38" t="s">
        <v>250</v>
      </c>
      <c r="K38" t="s">
        <v>73</v>
      </c>
      <c r="M38" t="s">
        <v>70</v>
      </c>
      <c r="N38" t="s">
        <v>71</v>
      </c>
      <c r="O38" t="s">
        <v>199</v>
      </c>
      <c r="Q38" t="s">
        <v>200</v>
      </c>
      <c r="S38" t="s">
        <v>201</v>
      </c>
      <c r="W38" t="str">
        <f t="shared" si="50"/>
        <v/>
      </c>
      <c r="Y38" t="str">
        <f t="shared" si="49"/>
        <v/>
      </c>
    </row>
    <row r="39" spans="1:34" x14ac:dyDescent="0.2">
      <c r="A39">
        <f t="shared" ref="A39:A50" si="51">IF(ISBLANK(B4), "", SUM(AE16+AF16+AG16))</f>
        <v>0</v>
      </c>
      <c r="C39">
        <f t="shared" ref="C39:C50" si="52">IF(ISBLANK(B4), "", O4)</f>
        <v>2</v>
      </c>
      <c r="E39">
        <f t="shared" ref="E39:E50" si="53">IF(ISBLANK(B4), "", Q4)</f>
        <v>0</v>
      </c>
      <c r="G39">
        <f t="shared" ref="G39:G50" si="54">IF(ISBLANK(B4), "", R4)</f>
        <v>0</v>
      </c>
      <c r="K39">
        <f t="shared" ref="K39:K50" si="55">IF(ISBLANK(B4), "", SUM(Q4 + R4))</f>
        <v>0</v>
      </c>
      <c r="M39">
        <f t="shared" ref="M39:M50" si="56">IF(ISBLANK(B4), "", SUM(K4+M4) - O4)</f>
        <v>1</v>
      </c>
      <c r="N39">
        <f t="shared" ref="N39:N50" si="57">IF(ISBLANK(B4), "", U4)</f>
        <v>38</v>
      </c>
      <c r="O39">
        <f t="shared" ref="O39:O50" si="58">COUNTIF(E4, "1")*COUNTIF(F4, "1")</f>
        <v>1</v>
      </c>
      <c r="Q39">
        <f t="shared" ref="Q39:Q50" si="59">COUNTIF(D4, "1")*COUNTIF(F4, "")</f>
        <v>0</v>
      </c>
      <c r="S39">
        <f t="shared" ref="S39:S50" si="60">COUNTIF(E4, "1")*COUNTIF(F4, "")</f>
        <v>0</v>
      </c>
      <c r="W39" t="str">
        <f t="shared" si="50"/>
        <v/>
      </c>
      <c r="Y39" t="str">
        <f t="shared" si="49"/>
        <v/>
      </c>
    </row>
    <row r="40" spans="1:34" x14ac:dyDescent="0.2">
      <c r="A40">
        <f t="shared" si="51"/>
        <v>0</v>
      </c>
      <c r="C40">
        <f t="shared" si="52"/>
        <v>4</v>
      </c>
      <c r="E40">
        <f t="shared" si="53"/>
        <v>0</v>
      </c>
      <c r="G40">
        <f t="shared" si="54"/>
        <v>0</v>
      </c>
      <c r="K40">
        <f t="shared" si="55"/>
        <v>0</v>
      </c>
      <c r="M40">
        <f t="shared" si="56"/>
        <v>0</v>
      </c>
      <c r="N40">
        <f t="shared" si="57"/>
        <v>0</v>
      </c>
      <c r="O40">
        <f t="shared" si="58"/>
        <v>0</v>
      </c>
      <c r="Q40">
        <f t="shared" si="59"/>
        <v>1</v>
      </c>
      <c r="S40">
        <f t="shared" si="60"/>
        <v>1</v>
      </c>
      <c r="W40" t="str">
        <f t="shared" si="50"/>
        <v/>
      </c>
      <c r="Y40" t="str">
        <f t="shared" si="49"/>
        <v/>
      </c>
    </row>
    <row r="41" spans="1:34" x14ac:dyDescent="0.2">
      <c r="A41">
        <f t="shared" si="51"/>
        <v>0</v>
      </c>
      <c r="C41">
        <f t="shared" si="52"/>
        <v>1</v>
      </c>
      <c r="E41">
        <f t="shared" si="53"/>
        <v>0</v>
      </c>
      <c r="G41">
        <f t="shared" si="54"/>
        <v>0</v>
      </c>
      <c r="K41">
        <f t="shared" si="55"/>
        <v>0</v>
      </c>
      <c r="M41">
        <f t="shared" si="56"/>
        <v>1</v>
      </c>
      <c r="N41">
        <f t="shared" si="57"/>
        <v>0</v>
      </c>
      <c r="O41">
        <f t="shared" si="58"/>
        <v>0</v>
      </c>
      <c r="Q41">
        <f t="shared" si="59"/>
        <v>1</v>
      </c>
      <c r="S41">
        <f t="shared" si="60"/>
        <v>0</v>
      </c>
      <c r="W41" t="str">
        <f t="shared" si="50"/>
        <v/>
      </c>
      <c r="Y41" t="str">
        <f t="shared" si="49"/>
        <v/>
      </c>
    </row>
    <row r="42" spans="1:34" x14ac:dyDescent="0.2">
      <c r="A42">
        <f t="shared" si="51"/>
        <v>0</v>
      </c>
      <c r="C42">
        <f t="shared" si="52"/>
        <v>4</v>
      </c>
      <c r="E42">
        <f t="shared" si="53"/>
        <v>0</v>
      </c>
      <c r="G42">
        <f t="shared" si="54"/>
        <v>0</v>
      </c>
      <c r="K42">
        <f t="shared" si="55"/>
        <v>0</v>
      </c>
      <c r="M42">
        <f t="shared" si="56"/>
        <v>0</v>
      </c>
      <c r="N42">
        <f t="shared" si="57"/>
        <v>0</v>
      </c>
      <c r="O42">
        <f t="shared" si="58"/>
        <v>1</v>
      </c>
      <c r="Q42">
        <f t="shared" si="59"/>
        <v>0</v>
      </c>
      <c r="S42">
        <f t="shared" si="60"/>
        <v>0</v>
      </c>
      <c r="W42" t="str">
        <f t="shared" si="50"/>
        <v/>
      </c>
      <c r="Y42" t="str">
        <f t="shared" si="49"/>
        <v/>
      </c>
    </row>
    <row r="43" spans="1:34" x14ac:dyDescent="0.2">
      <c r="A43">
        <f t="shared" si="51"/>
        <v>0</v>
      </c>
      <c r="C43">
        <f t="shared" si="52"/>
        <v>5</v>
      </c>
      <c r="E43">
        <f t="shared" si="53"/>
        <v>0</v>
      </c>
      <c r="G43">
        <f t="shared" si="54"/>
        <v>0</v>
      </c>
      <c r="K43">
        <f t="shared" si="55"/>
        <v>0</v>
      </c>
      <c r="M43">
        <f t="shared" si="56"/>
        <v>0</v>
      </c>
      <c r="N43">
        <f t="shared" si="57"/>
        <v>0</v>
      </c>
      <c r="O43">
        <f t="shared" si="58"/>
        <v>0</v>
      </c>
      <c r="Q43">
        <f t="shared" si="59"/>
        <v>1</v>
      </c>
      <c r="S43">
        <f t="shared" si="60"/>
        <v>0</v>
      </c>
    </row>
    <row r="44" spans="1:34" x14ac:dyDescent="0.2">
      <c r="A44">
        <f t="shared" si="51"/>
        <v>0</v>
      </c>
      <c r="C44">
        <f t="shared" si="52"/>
        <v>4</v>
      </c>
      <c r="E44">
        <f t="shared" si="53"/>
        <v>0</v>
      </c>
      <c r="G44">
        <f t="shared" si="54"/>
        <v>0</v>
      </c>
      <c r="K44">
        <f t="shared" si="55"/>
        <v>0</v>
      </c>
      <c r="M44">
        <f t="shared" si="56"/>
        <v>0</v>
      </c>
      <c r="N44">
        <f t="shared" si="57"/>
        <v>14</v>
      </c>
      <c r="O44">
        <f t="shared" si="58"/>
        <v>0</v>
      </c>
      <c r="Q44">
        <f t="shared" si="59"/>
        <v>1</v>
      </c>
      <c r="S44">
        <f t="shared" si="60"/>
        <v>0</v>
      </c>
    </row>
    <row r="45" spans="1:34" x14ac:dyDescent="0.2">
      <c r="A45">
        <f t="shared" si="51"/>
        <v>0</v>
      </c>
      <c r="C45">
        <f t="shared" si="52"/>
        <v>3</v>
      </c>
      <c r="E45">
        <f t="shared" si="53"/>
        <v>0</v>
      </c>
      <c r="G45">
        <f t="shared" si="54"/>
        <v>0</v>
      </c>
      <c r="K45">
        <f t="shared" si="55"/>
        <v>0</v>
      </c>
      <c r="M45">
        <f t="shared" si="56"/>
        <v>0</v>
      </c>
      <c r="N45">
        <f t="shared" si="57"/>
        <v>15</v>
      </c>
      <c r="O45">
        <f t="shared" si="58"/>
        <v>0</v>
      </c>
      <c r="Q45">
        <f t="shared" si="59"/>
        <v>1</v>
      </c>
      <c r="S45">
        <f t="shared" si="60"/>
        <v>0</v>
      </c>
    </row>
    <row r="46" spans="1:34" x14ac:dyDescent="0.2">
      <c r="A46">
        <f t="shared" si="51"/>
        <v>0</v>
      </c>
      <c r="C46">
        <f t="shared" si="52"/>
        <v>4</v>
      </c>
      <c r="E46">
        <f t="shared" si="53"/>
        <v>0</v>
      </c>
      <c r="G46">
        <f t="shared" si="54"/>
        <v>0</v>
      </c>
      <c r="K46">
        <f t="shared" si="55"/>
        <v>0</v>
      </c>
      <c r="M46">
        <f t="shared" si="56"/>
        <v>0</v>
      </c>
      <c r="N46">
        <f t="shared" si="57"/>
        <v>4</v>
      </c>
      <c r="O46">
        <f t="shared" si="58"/>
        <v>0</v>
      </c>
      <c r="Q46">
        <f t="shared" si="59"/>
        <v>1</v>
      </c>
      <c r="S46">
        <f t="shared" si="60"/>
        <v>0</v>
      </c>
    </row>
    <row r="47" spans="1:34" x14ac:dyDescent="0.2">
      <c r="A47">
        <f t="shared" si="51"/>
        <v>0</v>
      </c>
      <c r="C47">
        <f t="shared" si="52"/>
        <v>4</v>
      </c>
      <c r="E47">
        <f t="shared" si="53"/>
        <v>0</v>
      </c>
      <c r="G47">
        <f t="shared" si="54"/>
        <v>0</v>
      </c>
      <c r="K47">
        <f t="shared" si="55"/>
        <v>0</v>
      </c>
      <c r="M47">
        <f t="shared" si="56"/>
        <v>0</v>
      </c>
      <c r="N47">
        <f t="shared" si="57"/>
        <v>4</v>
      </c>
      <c r="O47">
        <f t="shared" si="58"/>
        <v>0</v>
      </c>
      <c r="Q47">
        <f t="shared" si="59"/>
        <v>1</v>
      </c>
      <c r="S47">
        <f t="shared" si="60"/>
        <v>1</v>
      </c>
    </row>
    <row r="48" spans="1:34" x14ac:dyDescent="0.2">
      <c r="A48">
        <f t="shared" si="51"/>
        <v>0</v>
      </c>
      <c r="C48">
        <f t="shared" si="52"/>
        <v>5</v>
      </c>
      <c r="E48">
        <f t="shared" si="53"/>
        <v>0</v>
      </c>
      <c r="G48">
        <f t="shared" si="54"/>
        <v>0</v>
      </c>
      <c r="K48">
        <f t="shared" si="55"/>
        <v>0</v>
      </c>
      <c r="M48">
        <f t="shared" si="56"/>
        <v>0</v>
      </c>
      <c r="N48">
        <f t="shared" si="57"/>
        <v>0</v>
      </c>
      <c r="O48">
        <f t="shared" si="58"/>
        <v>0</v>
      </c>
      <c r="Q48">
        <f t="shared" si="59"/>
        <v>1</v>
      </c>
      <c r="S48">
        <f t="shared" si="60"/>
        <v>1</v>
      </c>
    </row>
    <row r="49" spans="1:19" x14ac:dyDescent="0.2">
      <c r="A49">
        <f t="shared" si="51"/>
        <v>0</v>
      </c>
      <c r="C49">
        <f t="shared" si="52"/>
        <v>4</v>
      </c>
      <c r="E49">
        <f t="shared" si="53"/>
        <v>0</v>
      </c>
      <c r="G49">
        <f t="shared" si="54"/>
        <v>0</v>
      </c>
      <c r="K49">
        <f t="shared" si="55"/>
        <v>0</v>
      </c>
      <c r="M49">
        <f t="shared" si="56"/>
        <v>0</v>
      </c>
      <c r="N49">
        <f t="shared" si="57"/>
        <v>15</v>
      </c>
      <c r="O49">
        <f t="shared" si="58"/>
        <v>0</v>
      </c>
      <c r="Q49">
        <f t="shared" si="59"/>
        <v>1</v>
      </c>
      <c r="S49">
        <f t="shared" si="60"/>
        <v>0</v>
      </c>
    </row>
    <row r="50" spans="1:19" x14ac:dyDescent="0.2">
      <c r="A50">
        <f t="shared" si="51"/>
        <v>0</v>
      </c>
      <c r="C50">
        <f t="shared" si="52"/>
        <v>5</v>
      </c>
      <c r="E50">
        <f t="shared" si="53"/>
        <v>0</v>
      </c>
      <c r="G50">
        <f t="shared" si="54"/>
        <v>0</v>
      </c>
      <c r="K50">
        <f t="shared" si="55"/>
        <v>0</v>
      </c>
      <c r="M50">
        <f t="shared" si="56"/>
        <v>1</v>
      </c>
      <c r="N50">
        <f t="shared" si="57"/>
        <v>5</v>
      </c>
      <c r="O50">
        <f t="shared" si="58"/>
        <v>0</v>
      </c>
      <c r="Q50">
        <f t="shared" si="59"/>
        <v>1</v>
      </c>
      <c r="S50">
        <f t="shared" si="60"/>
        <v>0</v>
      </c>
    </row>
  </sheetData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 enableFormatConditionsCalculation="0"/>
  <dimension ref="A1:BN50"/>
  <sheetViews>
    <sheetView topLeftCell="C1" workbookViewId="0">
      <selection activeCell="U16" sqref="U16"/>
    </sheetView>
  </sheetViews>
  <sheetFormatPr baseColWidth="10" defaultColWidth="11.5" defaultRowHeight="15" x14ac:dyDescent="0.2"/>
  <sheetData>
    <row r="1" spans="1:66" x14ac:dyDescent="0.2">
      <c r="A1" s="1" t="s">
        <v>0</v>
      </c>
      <c r="D1" t="s">
        <v>3</v>
      </c>
      <c r="K1" t="s">
        <v>11</v>
      </c>
      <c r="N1" t="s">
        <v>12</v>
      </c>
      <c r="P1" t="s">
        <v>14</v>
      </c>
      <c r="Q1" t="s">
        <v>17</v>
      </c>
      <c r="S1" t="s">
        <v>18</v>
      </c>
      <c r="Z1" t="s">
        <v>29</v>
      </c>
      <c r="AE1" t="s">
        <v>30</v>
      </c>
      <c r="AK1" t="s">
        <v>42</v>
      </c>
    </row>
    <row r="2" spans="1:66" x14ac:dyDescent="0.2">
      <c r="A2" t="s">
        <v>1</v>
      </c>
      <c r="B2" t="s">
        <v>1</v>
      </c>
      <c r="C2" t="s">
        <v>87</v>
      </c>
      <c r="D2" t="s">
        <v>54</v>
      </c>
      <c r="E2" t="s">
        <v>13</v>
      </c>
      <c r="F2" t="s">
        <v>198</v>
      </c>
      <c r="G2" t="s">
        <v>7</v>
      </c>
      <c r="H2" t="s">
        <v>8</v>
      </c>
      <c r="I2" t="s">
        <v>179</v>
      </c>
      <c r="J2" t="s">
        <v>178</v>
      </c>
      <c r="K2" t="s">
        <v>9</v>
      </c>
      <c r="L2" t="s">
        <v>196</v>
      </c>
      <c r="M2" t="s">
        <v>10</v>
      </c>
      <c r="N2" t="s">
        <v>54</v>
      </c>
      <c r="O2" t="s">
        <v>13</v>
      </c>
      <c r="P2" t="s">
        <v>15</v>
      </c>
      <c r="Q2" t="s">
        <v>8</v>
      </c>
      <c r="R2" t="s">
        <v>7</v>
      </c>
      <c r="S2" t="s">
        <v>181</v>
      </c>
      <c r="T2" t="s">
        <v>182</v>
      </c>
      <c r="U2" t="s">
        <v>19</v>
      </c>
      <c r="V2" t="s">
        <v>191</v>
      </c>
      <c r="W2" t="s">
        <v>192</v>
      </c>
      <c r="X2" t="s">
        <v>175</v>
      </c>
      <c r="Y2" t="s">
        <v>173</v>
      </c>
      <c r="Z2" t="str">
        <f t="shared" ref="Z2:Z13" si="0">LEFT(I4, 1)</f>
        <v/>
      </c>
      <c r="AA2" t="str">
        <f t="shared" ref="AA2:AA13" si="1">MID(I4, 4, 1)</f>
        <v/>
      </c>
      <c r="AB2" t="str">
        <f t="shared" ref="AB2:AB13" si="2">MID(I4, 7, 1)</f>
        <v/>
      </c>
      <c r="AC2" t="str">
        <f t="shared" ref="AC2:AC13" si="3">MID(I4, 10, 1)</f>
        <v/>
      </c>
      <c r="AE2" t="str">
        <f t="shared" ref="AE2:AE13" si="4">LEFT(J4, 1)</f>
        <v/>
      </c>
      <c r="AF2" t="str">
        <f t="shared" ref="AF2:AF13" si="5">MID(J4, 4, 1)</f>
        <v/>
      </c>
      <c r="AG2" t="str">
        <f t="shared" ref="AG2:AG13" si="6">MID(J4, 7, 1)</f>
        <v/>
      </c>
      <c r="AH2" t="str">
        <f t="shared" ref="AH2:AH13" si="7">MID(J4, 10, 1)</f>
        <v/>
      </c>
      <c r="AI2" t="str">
        <f t="shared" ref="AI2:AI13" si="8">MID(J4, 13, 1)</f>
        <v/>
      </c>
      <c r="AK2" t="str">
        <f t="shared" ref="AK2:AK13" si="9">LEFT(P4, 2)</f>
        <v/>
      </c>
      <c r="AL2" t="str">
        <f>MID($P4, 5, 2)</f>
        <v/>
      </c>
      <c r="AM2" t="str">
        <f t="shared" ref="AM2:AM13" si="10">MID($P4, 9, 2)</f>
        <v/>
      </c>
      <c r="AN2" t="str">
        <f t="shared" ref="AN2:AN13" si="11">MID($P4, 13, 2)</f>
        <v/>
      </c>
      <c r="AO2" t="str">
        <f t="shared" ref="AO2:AO13" si="12">MID($P4, 17, 2)</f>
        <v/>
      </c>
      <c r="AP2" t="str">
        <f t="shared" ref="AP2:AP13" si="13">MID($P4, 21, 2)</f>
        <v/>
      </c>
      <c r="AQ2" t="str">
        <f t="shared" ref="AQ2:AQ13" si="14">MID($P4, 25, 2)</f>
        <v/>
      </c>
      <c r="AR2" t="str">
        <f t="shared" ref="AR2:AR13" si="15">MID($P4, 29, 2)</f>
        <v/>
      </c>
      <c r="AS2" t="str">
        <f t="shared" ref="AS2:AS13" si="16">MID($P4, 33, 2)</f>
        <v/>
      </c>
      <c r="AT2" t="str">
        <f t="shared" ref="AT2:AT13" si="17">MID($P4, 37, 2)</f>
        <v/>
      </c>
      <c r="AU2" t="str">
        <f t="shared" ref="AU2:AU13" si="18">MID($P4, 41, 2)</f>
        <v/>
      </c>
      <c r="AV2" t="str">
        <f t="shared" ref="AV2:AV13" si="19">MID($P4, 45, 2)</f>
        <v/>
      </c>
      <c r="AW2" t="str">
        <f t="shared" ref="AW2:AW13" si="20">MID($P4, 49, 2)</f>
        <v/>
      </c>
      <c r="AX2" t="str">
        <f t="shared" ref="AX2:AX13" si="21">MID($P4, 53, 2)</f>
        <v/>
      </c>
      <c r="AY2" t="str">
        <f t="shared" ref="AY2:AY13" si="22">MID($P4, 57, 2)</f>
        <v/>
      </c>
      <c r="AZ2" t="str">
        <f t="shared" ref="AZ2:AZ13" si="23">MID($P4, 61, 2)</f>
        <v/>
      </c>
      <c r="BA2" t="str">
        <f t="shared" ref="BA2:BA13" si="24">MID($P4, 65, 2)</f>
        <v/>
      </c>
      <c r="BB2" t="str">
        <f t="shared" ref="BB2:BB13" si="25">MID($P4, 69, 2)</f>
        <v/>
      </c>
      <c r="BC2" t="str">
        <f t="shared" ref="BC2:BC13" si="26">MID($P4, 73, 2)</f>
        <v/>
      </c>
      <c r="BD2" t="str">
        <f t="shared" ref="BD2:BD13" si="27">MID($P4, 77, 2)</f>
        <v/>
      </c>
      <c r="BE2" t="str">
        <f t="shared" ref="BE2:BE13" si="28">MID($P4, 81, 2)</f>
        <v/>
      </c>
      <c r="BF2" t="str">
        <f t="shared" ref="BF2:BF13" si="29">MID($P4, 85, 2)</f>
        <v/>
      </c>
      <c r="BG2" t="str">
        <f t="shared" ref="BG2:BG13" si="30">MID($P4, 89, 2)</f>
        <v/>
      </c>
      <c r="BH2" t="str">
        <f t="shared" ref="BH2:BH13" si="31">MID($P4, 93, 2)</f>
        <v/>
      </c>
    </row>
    <row r="3" spans="1:66" x14ac:dyDescent="0.2">
      <c r="A3" t="s">
        <v>2</v>
      </c>
      <c r="B3" t="s">
        <v>6</v>
      </c>
      <c r="C3" t="s">
        <v>88</v>
      </c>
      <c r="D3" t="s">
        <v>6</v>
      </c>
      <c r="E3" t="s">
        <v>6</v>
      </c>
      <c r="F3" t="s">
        <v>4</v>
      </c>
      <c r="G3" t="s">
        <v>6</v>
      </c>
      <c r="H3" t="s">
        <v>6</v>
      </c>
      <c r="I3" t="s">
        <v>86</v>
      </c>
      <c r="J3" t="s">
        <v>86</v>
      </c>
      <c r="K3" t="s">
        <v>6</v>
      </c>
      <c r="L3" t="s">
        <v>6</v>
      </c>
      <c r="M3" t="s">
        <v>6</v>
      </c>
      <c r="N3" t="s">
        <v>6</v>
      </c>
      <c r="O3" t="s">
        <v>6</v>
      </c>
      <c r="P3" t="s">
        <v>16</v>
      </c>
      <c r="Q3" t="s">
        <v>6</v>
      </c>
      <c r="R3" t="s">
        <v>6</v>
      </c>
      <c r="S3" t="s">
        <v>4</v>
      </c>
      <c r="T3" t="s">
        <v>4</v>
      </c>
      <c r="U3" t="s">
        <v>6</v>
      </c>
      <c r="V3" t="s">
        <v>6</v>
      </c>
      <c r="W3" t="s">
        <v>6</v>
      </c>
      <c r="X3" t="s">
        <v>6</v>
      </c>
      <c r="Y3" t="s">
        <v>174</v>
      </c>
      <c r="Z3" t="str">
        <f t="shared" si="0"/>
        <v/>
      </c>
      <c r="AA3" t="str">
        <f t="shared" si="1"/>
        <v/>
      </c>
      <c r="AB3" t="str">
        <f t="shared" si="2"/>
        <v/>
      </c>
      <c r="AC3" t="str">
        <f t="shared" si="3"/>
        <v/>
      </c>
      <c r="AE3" t="str">
        <f t="shared" si="4"/>
        <v/>
      </c>
      <c r="AF3" t="str">
        <f t="shared" si="5"/>
        <v/>
      </c>
      <c r="AG3" t="str">
        <f t="shared" si="6"/>
        <v/>
      </c>
      <c r="AH3" t="str">
        <f t="shared" si="7"/>
        <v/>
      </c>
      <c r="AI3" t="str">
        <f t="shared" si="8"/>
        <v/>
      </c>
      <c r="AK3" t="str">
        <f t="shared" si="9"/>
        <v/>
      </c>
      <c r="AL3" t="str">
        <f t="shared" ref="AL3:AL13" si="32">MID(P5, 5, 2)</f>
        <v/>
      </c>
      <c r="AM3" t="str">
        <f t="shared" si="10"/>
        <v/>
      </c>
      <c r="AN3" t="str">
        <f t="shared" si="11"/>
        <v/>
      </c>
      <c r="AO3" t="str">
        <f t="shared" si="12"/>
        <v/>
      </c>
      <c r="AP3" t="str">
        <f t="shared" si="13"/>
        <v/>
      </c>
      <c r="AQ3" t="str">
        <f t="shared" si="14"/>
        <v/>
      </c>
      <c r="AR3" t="str">
        <f t="shared" si="15"/>
        <v/>
      </c>
      <c r="AS3" t="str">
        <f t="shared" si="16"/>
        <v/>
      </c>
      <c r="AT3" t="str">
        <f t="shared" si="17"/>
        <v/>
      </c>
      <c r="AU3" t="str">
        <f t="shared" si="18"/>
        <v/>
      </c>
      <c r="AV3" t="str">
        <f t="shared" si="19"/>
        <v/>
      </c>
      <c r="AW3" t="str">
        <f t="shared" si="20"/>
        <v/>
      </c>
      <c r="AX3" t="str">
        <f t="shared" si="21"/>
        <v/>
      </c>
      <c r="AY3" t="str">
        <f t="shared" si="22"/>
        <v/>
      </c>
      <c r="AZ3" t="str">
        <f t="shared" si="23"/>
        <v/>
      </c>
      <c r="BA3" t="str">
        <f t="shared" si="24"/>
        <v/>
      </c>
      <c r="BB3" t="str">
        <f t="shared" si="25"/>
        <v/>
      </c>
      <c r="BC3" t="str">
        <f t="shared" si="26"/>
        <v/>
      </c>
      <c r="BD3" t="str">
        <f t="shared" si="27"/>
        <v/>
      </c>
      <c r="BE3" t="str">
        <f t="shared" si="28"/>
        <v/>
      </c>
      <c r="BF3" t="str">
        <f t="shared" si="29"/>
        <v/>
      </c>
      <c r="BG3" t="str">
        <f t="shared" si="30"/>
        <v/>
      </c>
      <c r="BH3" t="str">
        <f t="shared" si="31"/>
        <v/>
      </c>
    </row>
    <row r="4" spans="1:66" x14ac:dyDescent="0.2">
      <c r="A4">
        <v>1</v>
      </c>
      <c r="B4">
        <v>9</v>
      </c>
      <c r="C4" t="s">
        <v>207</v>
      </c>
      <c r="D4">
        <v>1</v>
      </c>
      <c r="E4">
        <v>1</v>
      </c>
      <c r="F4">
        <v>1</v>
      </c>
      <c r="K4">
        <v>3</v>
      </c>
      <c r="L4">
        <v>4</v>
      </c>
      <c r="N4">
        <v>3</v>
      </c>
      <c r="O4">
        <v>3</v>
      </c>
      <c r="S4">
        <v>1</v>
      </c>
      <c r="T4">
        <v>1</v>
      </c>
      <c r="U4">
        <v>10</v>
      </c>
      <c r="X4">
        <f t="shared" ref="X4:X15" si="33">G4+H4+Q4+R4</f>
        <v>0</v>
      </c>
      <c r="Z4" t="str">
        <f t="shared" si="0"/>
        <v/>
      </c>
      <c r="AA4" t="str">
        <f t="shared" si="1"/>
        <v/>
      </c>
      <c r="AB4" t="str">
        <f t="shared" si="2"/>
        <v/>
      </c>
      <c r="AC4" t="str">
        <f t="shared" si="3"/>
        <v/>
      </c>
      <c r="AE4" t="str">
        <f t="shared" si="4"/>
        <v/>
      </c>
      <c r="AF4" t="str">
        <f t="shared" si="5"/>
        <v/>
      </c>
      <c r="AG4" t="str">
        <f t="shared" si="6"/>
        <v/>
      </c>
      <c r="AH4" t="str">
        <f t="shared" si="7"/>
        <v/>
      </c>
      <c r="AI4" t="str">
        <f t="shared" si="8"/>
        <v/>
      </c>
      <c r="AK4" t="str">
        <f t="shared" si="9"/>
        <v/>
      </c>
      <c r="AL4" t="str">
        <f t="shared" si="32"/>
        <v/>
      </c>
      <c r="AM4" t="str">
        <f t="shared" si="10"/>
        <v/>
      </c>
      <c r="AN4" t="str">
        <f t="shared" si="11"/>
        <v/>
      </c>
      <c r="AO4" t="str">
        <f t="shared" si="12"/>
        <v/>
      </c>
      <c r="AP4" t="str">
        <f t="shared" si="13"/>
        <v/>
      </c>
      <c r="AQ4" t="str">
        <f t="shared" si="14"/>
        <v/>
      </c>
      <c r="AR4" t="str">
        <f t="shared" si="15"/>
        <v/>
      </c>
      <c r="AS4" t="str">
        <f t="shared" si="16"/>
        <v/>
      </c>
      <c r="AT4" t="str">
        <f t="shared" si="17"/>
        <v/>
      </c>
      <c r="AU4" t="str">
        <f t="shared" si="18"/>
        <v/>
      </c>
      <c r="AV4" t="str">
        <f t="shared" si="19"/>
        <v/>
      </c>
      <c r="AW4" t="str">
        <f t="shared" si="20"/>
        <v/>
      </c>
      <c r="AX4" t="str">
        <f t="shared" si="21"/>
        <v/>
      </c>
      <c r="AY4" t="str">
        <f t="shared" si="22"/>
        <v/>
      </c>
      <c r="AZ4" t="str">
        <f t="shared" si="23"/>
        <v/>
      </c>
      <c r="BA4" t="str">
        <f t="shared" si="24"/>
        <v/>
      </c>
      <c r="BB4" t="str">
        <f t="shared" si="25"/>
        <v/>
      </c>
      <c r="BC4" t="str">
        <f t="shared" si="26"/>
        <v/>
      </c>
      <c r="BD4" t="str">
        <f t="shared" si="27"/>
        <v/>
      </c>
      <c r="BE4" t="str">
        <f t="shared" si="28"/>
        <v/>
      </c>
      <c r="BF4" t="str">
        <f t="shared" si="29"/>
        <v/>
      </c>
      <c r="BG4" t="str">
        <f t="shared" si="30"/>
        <v/>
      </c>
      <c r="BH4" t="str">
        <f t="shared" si="31"/>
        <v/>
      </c>
    </row>
    <row r="5" spans="1:66" x14ac:dyDescent="0.2">
      <c r="A5">
        <v>2</v>
      </c>
      <c r="B5">
        <v>17</v>
      </c>
      <c r="C5" t="s">
        <v>207</v>
      </c>
      <c r="D5">
        <v>1</v>
      </c>
      <c r="E5">
        <v>1</v>
      </c>
      <c r="K5">
        <v>3</v>
      </c>
      <c r="N5">
        <v>3</v>
      </c>
      <c r="O5">
        <v>3</v>
      </c>
      <c r="S5">
        <v>1</v>
      </c>
      <c r="T5">
        <v>1</v>
      </c>
      <c r="U5">
        <v>3</v>
      </c>
      <c r="X5">
        <f t="shared" si="33"/>
        <v>0</v>
      </c>
      <c r="Z5" t="str">
        <f t="shared" si="0"/>
        <v/>
      </c>
      <c r="AA5" t="str">
        <f t="shared" si="1"/>
        <v/>
      </c>
      <c r="AB5" t="str">
        <f t="shared" si="2"/>
        <v/>
      </c>
      <c r="AC5" t="str">
        <f t="shared" si="3"/>
        <v/>
      </c>
      <c r="AE5" t="str">
        <f t="shared" si="4"/>
        <v/>
      </c>
      <c r="AF5" t="str">
        <f t="shared" si="5"/>
        <v/>
      </c>
      <c r="AG5" t="str">
        <f t="shared" si="6"/>
        <v/>
      </c>
      <c r="AH5" t="str">
        <f t="shared" si="7"/>
        <v/>
      </c>
      <c r="AI5" t="str">
        <f t="shared" si="8"/>
        <v/>
      </c>
      <c r="AK5" t="str">
        <f t="shared" si="9"/>
        <v/>
      </c>
      <c r="AL5" t="str">
        <f t="shared" si="32"/>
        <v/>
      </c>
      <c r="AM5" t="str">
        <f t="shared" si="10"/>
        <v/>
      </c>
      <c r="AN5" t="str">
        <f t="shared" si="11"/>
        <v/>
      </c>
      <c r="AO5" t="str">
        <f t="shared" si="12"/>
        <v/>
      </c>
      <c r="AP5" t="str">
        <f t="shared" si="13"/>
        <v/>
      </c>
      <c r="AQ5" t="str">
        <f t="shared" si="14"/>
        <v/>
      </c>
      <c r="AR5" t="str">
        <f t="shared" si="15"/>
        <v/>
      </c>
      <c r="AS5" t="str">
        <f t="shared" si="16"/>
        <v/>
      </c>
      <c r="AT5" t="str">
        <f t="shared" si="17"/>
        <v/>
      </c>
      <c r="AU5" t="str">
        <f t="shared" si="18"/>
        <v/>
      </c>
      <c r="AV5" t="str">
        <f t="shared" si="19"/>
        <v/>
      </c>
      <c r="AW5" t="str">
        <f t="shared" si="20"/>
        <v/>
      </c>
      <c r="AX5" t="str">
        <f t="shared" si="21"/>
        <v/>
      </c>
      <c r="AY5" t="str">
        <f t="shared" si="22"/>
        <v/>
      </c>
      <c r="AZ5" t="str">
        <f t="shared" si="23"/>
        <v/>
      </c>
      <c r="BA5" t="str">
        <f t="shared" si="24"/>
        <v/>
      </c>
      <c r="BB5" t="str">
        <f t="shared" si="25"/>
        <v/>
      </c>
      <c r="BC5" t="str">
        <f t="shared" si="26"/>
        <v/>
      </c>
      <c r="BD5" t="str">
        <f t="shared" si="27"/>
        <v/>
      </c>
      <c r="BE5" t="str">
        <f t="shared" si="28"/>
        <v/>
      </c>
      <c r="BF5" t="str">
        <f t="shared" si="29"/>
        <v/>
      </c>
      <c r="BG5" t="str">
        <f t="shared" si="30"/>
        <v/>
      </c>
      <c r="BH5" t="str">
        <f t="shared" si="31"/>
        <v/>
      </c>
    </row>
    <row r="6" spans="1:66" x14ac:dyDescent="0.2">
      <c r="A6">
        <v>3</v>
      </c>
      <c r="B6">
        <v>28</v>
      </c>
      <c r="C6" t="s">
        <v>39</v>
      </c>
      <c r="K6">
        <v>3</v>
      </c>
      <c r="N6">
        <v>2</v>
      </c>
      <c r="O6">
        <v>2</v>
      </c>
      <c r="U6">
        <v>5</v>
      </c>
      <c r="X6">
        <f t="shared" si="33"/>
        <v>0</v>
      </c>
      <c r="Z6" t="str">
        <f t="shared" si="0"/>
        <v/>
      </c>
      <c r="AA6" t="str">
        <f t="shared" si="1"/>
        <v/>
      </c>
      <c r="AB6" t="str">
        <f t="shared" si="2"/>
        <v/>
      </c>
      <c r="AC6" t="str">
        <f t="shared" si="3"/>
        <v/>
      </c>
      <c r="AE6" t="str">
        <f t="shared" si="4"/>
        <v>2</v>
      </c>
      <c r="AF6" t="str">
        <f t="shared" si="5"/>
        <v/>
      </c>
      <c r="AG6" t="str">
        <f t="shared" si="6"/>
        <v/>
      </c>
      <c r="AH6" t="str">
        <f t="shared" si="7"/>
        <v/>
      </c>
      <c r="AI6" t="str">
        <f t="shared" si="8"/>
        <v/>
      </c>
      <c r="AK6" t="str">
        <f t="shared" si="9"/>
        <v/>
      </c>
      <c r="AL6" t="str">
        <f t="shared" si="32"/>
        <v/>
      </c>
      <c r="AM6" t="str">
        <f t="shared" si="10"/>
        <v/>
      </c>
      <c r="AN6" t="str">
        <f t="shared" si="11"/>
        <v/>
      </c>
      <c r="AO6" t="str">
        <f t="shared" si="12"/>
        <v/>
      </c>
      <c r="AP6" t="str">
        <f t="shared" si="13"/>
        <v/>
      </c>
      <c r="AQ6" t="str">
        <f t="shared" si="14"/>
        <v/>
      </c>
      <c r="AR6" t="str">
        <f t="shared" si="15"/>
        <v/>
      </c>
      <c r="AS6" t="str">
        <f t="shared" si="16"/>
        <v/>
      </c>
      <c r="AT6" t="str">
        <f t="shared" si="17"/>
        <v/>
      </c>
      <c r="AU6" t="str">
        <f t="shared" si="18"/>
        <v/>
      </c>
      <c r="AV6" t="str">
        <f t="shared" si="19"/>
        <v/>
      </c>
      <c r="AW6" t="str">
        <f t="shared" si="20"/>
        <v/>
      </c>
      <c r="AX6" t="str">
        <f t="shared" si="21"/>
        <v/>
      </c>
      <c r="AY6" t="str">
        <f t="shared" si="22"/>
        <v/>
      </c>
      <c r="AZ6" t="str">
        <f t="shared" si="23"/>
        <v/>
      </c>
      <c r="BA6" t="str">
        <f t="shared" si="24"/>
        <v/>
      </c>
      <c r="BB6" t="str">
        <f t="shared" si="25"/>
        <v/>
      </c>
      <c r="BC6" t="str">
        <f t="shared" si="26"/>
        <v/>
      </c>
      <c r="BD6" t="str">
        <f t="shared" si="27"/>
        <v/>
      </c>
      <c r="BE6" t="str">
        <f t="shared" si="28"/>
        <v/>
      </c>
      <c r="BF6" t="str">
        <f t="shared" si="29"/>
        <v/>
      </c>
      <c r="BG6" t="str">
        <f t="shared" si="30"/>
        <v/>
      </c>
      <c r="BH6" t="str">
        <f t="shared" si="31"/>
        <v/>
      </c>
    </row>
    <row r="7" spans="1:66" x14ac:dyDescent="0.2">
      <c r="A7">
        <v>4</v>
      </c>
      <c r="B7">
        <v>37</v>
      </c>
      <c r="C7" t="s">
        <v>39</v>
      </c>
      <c r="D7">
        <v>1</v>
      </c>
      <c r="E7">
        <v>1</v>
      </c>
      <c r="K7">
        <v>4</v>
      </c>
      <c r="N7">
        <v>4</v>
      </c>
      <c r="O7">
        <v>4</v>
      </c>
      <c r="S7">
        <v>1</v>
      </c>
      <c r="T7">
        <v>1</v>
      </c>
      <c r="U7">
        <v>7</v>
      </c>
      <c r="X7">
        <f t="shared" si="33"/>
        <v>0</v>
      </c>
      <c r="Z7" t="str">
        <f t="shared" si="0"/>
        <v/>
      </c>
      <c r="AA7" t="str">
        <f t="shared" si="1"/>
        <v/>
      </c>
      <c r="AB7" t="str">
        <f t="shared" si="2"/>
        <v/>
      </c>
      <c r="AC7" t="str">
        <f t="shared" si="3"/>
        <v/>
      </c>
      <c r="AE7" t="str">
        <f t="shared" si="4"/>
        <v>1</v>
      </c>
      <c r="AF7" t="str">
        <f t="shared" si="5"/>
        <v>2</v>
      </c>
      <c r="AG7" t="str">
        <f t="shared" si="6"/>
        <v/>
      </c>
      <c r="AH7" t="str">
        <f t="shared" si="7"/>
        <v/>
      </c>
      <c r="AI7" t="str">
        <f t="shared" si="8"/>
        <v/>
      </c>
      <c r="AK7" t="str">
        <f t="shared" si="9"/>
        <v/>
      </c>
      <c r="AL7" t="str">
        <f t="shared" si="32"/>
        <v/>
      </c>
      <c r="AM7" t="str">
        <f t="shared" si="10"/>
        <v/>
      </c>
      <c r="AN7" t="str">
        <f t="shared" si="11"/>
        <v/>
      </c>
      <c r="AO7" t="str">
        <f t="shared" si="12"/>
        <v/>
      </c>
      <c r="AP7" t="str">
        <f t="shared" si="13"/>
        <v/>
      </c>
      <c r="AQ7" t="str">
        <f t="shared" si="14"/>
        <v/>
      </c>
      <c r="AR7" t="str">
        <f t="shared" si="15"/>
        <v/>
      </c>
      <c r="AS7" t="str">
        <f t="shared" si="16"/>
        <v/>
      </c>
      <c r="AT7" t="str">
        <f t="shared" si="17"/>
        <v/>
      </c>
      <c r="AU7" t="str">
        <f t="shared" si="18"/>
        <v/>
      </c>
      <c r="AV7" t="str">
        <f t="shared" si="19"/>
        <v/>
      </c>
      <c r="AW7" t="str">
        <f t="shared" si="20"/>
        <v/>
      </c>
      <c r="AX7" t="str">
        <f t="shared" si="21"/>
        <v/>
      </c>
      <c r="AY7" t="str">
        <f t="shared" si="22"/>
        <v/>
      </c>
      <c r="AZ7" t="str">
        <f t="shared" si="23"/>
        <v/>
      </c>
      <c r="BA7" t="str">
        <f t="shared" si="24"/>
        <v/>
      </c>
      <c r="BB7" t="str">
        <f t="shared" si="25"/>
        <v/>
      </c>
      <c r="BC7" t="str">
        <f t="shared" si="26"/>
        <v/>
      </c>
      <c r="BD7" t="str">
        <f t="shared" si="27"/>
        <v/>
      </c>
      <c r="BE7" t="str">
        <f t="shared" si="28"/>
        <v/>
      </c>
      <c r="BF7" t="str">
        <f t="shared" si="29"/>
        <v/>
      </c>
      <c r="BG7" t="str">
        <f t="shared" si="30"/>
        <v/>
      </c>
      <c r="BH7" t="str">
        <f t="shared" si="31"/>
        <v/>
      </c>
    </row>
    <row r="8" spans="1:66" x14ac:dyDescent="0.2">
      <c r="A8">
        <v>5</v>
      </c>
      <c r="B8">
        <v>46</v>
      </c>
      <c r="C8" t="s">
        <v>207</v>
      </c>
      <c r="G8">
        <v>3</v>
      </c>
      <c r="J8">
        <v>2</v>
      </c>
      <c r="K8">
        <v>3</v>
      </c>
      <c r="N8">
        <v>4</v>
      </c>
      <c r="O8">
        <v>2</v>
      </c>
      <c r="S8">
        <v>1</v>
      </c>
      <c r="T8">
        <v>1</v>
      </c>
      <c r="U8">
        <v>2</v>
      </c>
      <c r="X8">
        <f t="shared" si="33"/>
        <v>3</v>
      </c>
      <c r="Z8" t="str">
        <f t="shared" si="0"/>
        <v/>
      </c>
      <c r="AA8" t="str">
        <f t="shared" si="1"/>
        <v/>
      </c>
      <c r="AB8" t="str">
        <f t="shared" si="2"/>
        <v/>
      </c>
      <c r="AC8" t="str">
        <f t="shared" si="3"/>
        <v/>
      </c>
      <c r="AE8" t="str">
        <f t="shared" si="4"/>
        <v>5</v>
      </c>
      <c r="AF8" t="str">
        <f t="shared" si="5"/>
        <v/>
      </c>
      <c r="AG8" t="str">
        <f t="shared" si="6"/>
        <v/>
      </c>
      <c r="AH8" t="str">
        <f t="shared" si="7"/>
        <v/>
      </c>
      <c r="AI8" t="str">
        <f t="shared" si="8"/>
        <v/>
      </c>
      <c r="AK8" t="str">
        <f t="shared" si="9"/>
        <v>h1</v>
      </c>
      <c r="AL8" t="str">
        <f t="shared" si="32"/>
        <v/>
      </c>
      <c r="AM8" t="str">
        <f t="shared" si="10"/>
        <v/>
      </c>
      <c r="AN8" t="str">
        <f t="shared" si="11"/>
        <v/>
      </c>
      <c r="AO8" t="str">
        <f t="shared" si="12"/>
        <v/>
      </c>
      <c r="AP8" t="str">
        <f t="shared" si="13"/>
        <v/>
      </c>
      <c r="AQ8" t="str">
        <f t="shared" si="14"/>
        <v/>
      </c>
      <c r="AR8" t="str">
        <f t="shared" si="15"/>
        <v/>
      </c>
      <c r="AS8" t="str">
        <f t="shared" si="16"/>
        <v/>
      </c>
      <c r="AT8" t="str">
        <f t="shared" si="17"/>
        <v/>
      </c>
      <c r="AU8" t="str">
        <f t="shared" si="18"/>
        <v/>
      </c>
      <c r="AV8" t="str">
        <f t="shared" si="19"/>
        <v/>
      </c>
      <c r="AW8" t="str">
        <f t="shared" si="20"/>
        <v/>
      </c>
      <c r="AX8" t="str">
        <f t="shared" si="21"/>
        <v/>
      </c>
      <c r="AY8" t="str">
        <f t="shared" si="22"/>
        <v/>
      </c>
      <c r="AZ8" t="str">
        <f t="shared" si="23"/>
        <v/>
      </c>
      <c r="BA8" t="str">
        <f t="shared" si="24"/>
        <v/>
      </c>
      <c r="BB8" t="str">
        <f t="shared" si="25"/>
        <v/>
      </c>
      <c r="BC8" t="str">
        <f t="shared" si="26"/>
        <v/>
      </c>
      <c r="BD8" t="str">
        <f t="shared" si="27"/>
        <v/>
      </c>
      <c r="BE8" t="str">
        <f t="shared" si="28"/>
        <v/>
      </c>
      <c r="BF8" t="str">
        <f t="shared" si="29"/>
        <v/>
      </c>
      <c r="BG8" t="str">
        <f t="shared" si="30"/>
        <v/>
      </c>
      <c r="BH8" t="str">
        <f t="shared" si="31"/>
        <v/>
      </c>
    </row>
    <row r="9" spans="1:66" x14ac:dyDescent="0.2">
      <c r="A9">
        <v>6</v>
      </c>
      <c r="B9">
        <v>59</v>
      </c>
      <c r="C9" t="s">
        <v>39</v>
      </c>
      <c r="D9">
        <v>1</v>
      </c>
      <c r="E9">
        <v>1</v>
      </c>
      <c r="J9" t="s">
        <v>261</v>
      </c>
      <c r="K9">
        <v>4</v>
      </c>
      <c r="M9">
        <v>1</v>
      </c>
      <c r="N9">
        <v>4</v>
      </c>
      <c r="O9">
        <v>4</v>
      </c>
      <c r="S9">
        <v>1</v>
      </c>
      <c r="T9">
        <v>1</v>
      </c>
      <c r="U9">
        <v>7</v>
      </c>
      <c r="X9">
        <f t="shared" si="33"/>
        <v>0</v>
      </c>
      <c r="Z9" t="str">
        <f t="shared" si="0"/>
        <v/>
      </c>
      <c r="AA9" t="str">
        <f t="shared" si="1"/>
        <v/>
      </c>
      <c r="AB9" t="str">
        <f t="shared" si="2"/>
        <v/>
      </c>
      <c r="AC9" t="str">
        <f t="shared" si="3"/>
        <v/>
      </c>
      <c r="AE9" t="str">
        <f t="shared" si="4"/>
        <v/>
      </c>
      <c r="AF9" t="str">
        <f t="shared" si="5"/>
        <v/>
      </c>
      <c r="AG9" t="str">
        <f t="shared" si="6"/>
        <v/>
      </c>
      <c r="AH9" t="str">
        <f t="shared" si="7"/>
        <v/>
      </c>
      <c r="AI9" t="str">
        <f t="shared" si="8"/>
        <v/>
      </c>
      <c r="AK9" t="str">
        <f t="shared" si="9"/>
        <v/>
      </c>
      <c r="AL9" t="str">
        <f t="shared" si="32"/>
        <v/>
      </c>
      <c r="AM9" t="str">
        <f t="shared" si="10"/>
        <v/>
      </c>
      <c r="AN9" t="str">
        <f t="shared" si="11"/>
        <v/>
      </c>
      <c r="AO9" t="str">
        <f t="shared" si="12"/>
        <v/>
      </c>
      <c r="AP9" t="str">
        <f t="shared" si="13"/>
        <v/>
      </c>
      <c r="AQ9" t="str">
        <f t="shared" si="14"/>
        <v/>
      </c>
      <c r="AR9" t="str">
        <f t="shared" si="15"/>
        <v/>
      </c>
      <c r="AS9" t="str">
        <f t="shared" si="16"/>
        <v/>
      </c>
      <c r="AT9" t="str">
        <f t="shared" si="17"/>
        <v/>
      </c>
      <c r="AU9" t="str">
        <f t="shared" si="18"/>
        <v/>
      </c>
      <c r="AV9" t="str">
        <f t="shared" si="19"/>
        <v/>
      </c>
      <c r="AW9" t="str">
        <f t="shared" si="20"/>
        <v/>
      </c>
      <c r="AX9" t="str">
        <f t="shared" si="21"/>
        <v/>
      </c>
      <c r="AY9" t="str">
        <f t="shared" si="22"/>
        <v/>
      </c>
      <c r="AZ9" t="str">
        <f t="shared" si="23"/>
        <v/>
      </c>
      <c r="BA9" t="str">
        <f t="shared" si="24"/>
        <v/>
      </c>
      <c r="BB9" t="str">
        <f t="shared" si="25"/>
        <v/>
      </c>
      <c r="BC9" t="str">
        <f t="shared" si="26"/>
        <v/>
      </c>
      <c r="BD9" t="str">
        <f t="shared" si="27"/>
        <v/>
      </c>
      <c r="BE9" t="str">
        <f t="shared" si="28"/>
        <v/>
      </c>
      <c r="BF9" t="str">
        <f t="shared" si="29"/>
        <v/>
      </c>
      <c r="BG9" t="str">
        <f t="shared" si="30"/>
        <v/>
      </c>
      <c r="BH9" t="str">
        <f t="shared" si="31"/>
        <v/>
      </c>
    </row>
    <row r="10" spans="1:66" x14ac:dyDescent="0.2">
      <c r="A10">
        <v>7</v>
      </c>
      <c r="B10">
        <v>68</v>
      </c>
      <c r="C10" t="s">
        <v>207</v>
      </c>
      <c r="D10">
        <v>1</v>
      </c>
      <c r="J10">
        <v>5</v>
      </c>
      <c r="K10">
        <v>3</v>
      </c>
      <c r="N10">
        <v>2</v>
      </c>
      <c r="O10">
        <v>2</v>
      </c>
      <c r="P10" t="s">
        <v>209</v>
      </c>
      <c r="R10">
        <v>1</v>
      </c>
      <c r="S10">
        <v>1</v>
      </c>
      <c r="T10">
        <v>1</v>
      </c>
      <c r="U10">
        <v>1</v>
      </c>
      <c r="X10">
        <f t="shared" si="33"/>
        <v>1</v>
      </c>
      <c r="Y10" t="s">
        <v>174</v>
      </c>
      <c r="Z10" t="str">
        <f t="shared" si="0"/>
        <v/>
      </c>
      <c r="AA10" t="str">
        <f t="shared" si="1"/>
        <v/>
      </c>
      <c r="AB10" t="str">
        <f t="shared" si="2"/>
        <v/>
      </c>
      <c r="AC10" t="str">
        <f t="shared" si="3"/>
        <v/>
      </c>
      <c r="AE10" t="str">
        <f t="shared" si="4"/>
        <v/>
      </c>
      <c r="AF10" t="str">
        <f t="shared" si="5"/>
        <v/>
      </c>
      <c r="AG10" t="str">
        <f t="shared" si="6"/>
        <v/>
      </c>
      <c r="AH10" t="str">
        <f t="shared" si="7"/>
        <v/>
      </c>
      <c r="AI10" t="str">
        <f t="shared" si="8"/>
        <v/>
      </c>
      <c r="AK10" t="str">
        <f t="shared" si="9"/>
        <v/>
      </c>
      <c r="AL10" t="str">
        <f t="shared" si="32"/>
        <v/>
      </c>
      <c r="AM10" t="str">
        <f t="shared" si="10"/>
        <v/>
      </c>
      <c r="AN10" t="str">
        <f t="shared" si="11"/>
        <v/>
      </c>
      <c r="AO10" t="str">
        <f t="shared" si="12"/>
        <v/>
      </c>
      <c r="AP10" t="str">
        <f t="shared" si="13"/>
        <v/>
      </c>
      <c r="AQ10" t="str">
        <f t="shared" si="14"/>
        <v/>
      </c>
      <c r="AR10" t="str">
        <f t="shared" si="15"/>
        <v/>
      </c>
      <c r="AS10" t="str">
        <f t="shared" si="16"/>
        <v/>
      </c>
      <c r="AT10" t="str">
        <f t="shared" si="17"/>
        <v/>
      </c>
      <c r="AU10" t="str">
        <f t="shared" si="18"/>
        <v/>
      </c>
      <c r="AV10" t="str">
        <f t="shared" si="19"/>
        <v/>
      </c>
      <c r="AW10" t="str">
        <f t="shared" si="20"/>
        <v/>
      </c>
      <c r="AX10" t="str">
        <f t="shared" si="21"/>
        <v/>
      </c>
      <c r="AY10" t="str">
        <f t="shared" si="22"/>
        <v/>
      </c>
      <c r="AZ10" t="str">
        <f t="shared" si="23"/>
        <v/>
      </c>
      <c r="BA10" t="str">
        <f t="shared" si="24"/>
        <v/>
      </c>
      <c r="BB10" t="str">
        <f t="shared" si="25"/>
        <v/>
      </c>
      <c r="BC10" t="str">
        <f t="shared" si="26"/>
        <v/>
      </c>
      <c r="BD10" t="str">
        <f t="shared" si="27"/>
        <v/>
      </c>
      <c r="BE10" t="str">
        <f t="shared" si="28"/>
        <v/>
      </c>
      <c r="BF10" t="str">
        <f t="shared" si="29"/>
        <v/>
      </c>
      <c r="BG10" t="str">
        <f t="shared" si="30"/>
        <v/>
      </c>
      <c r="BH10" t="str">
        <f t="shared" si="31"/>
        <v/>
      </c>
    </row>
    <row r="11" spans="1:66" x14ac:dyDescent="0.2">
      <c r="A11">
        <v>8</v>
      </c>
      <c r="B11">
        <v>76</v>
      </c>
      <c r="C11" t="s">
        <v>39</v>
      </c>
      <c r="D11">
        <v>1</v>
      </c>
      <c r="K11">
        <v>3</v>
      </c>
      <c r="N11">
        <v>4</v>
      </c>
      <c r="O11">
        <v>2</v>
      </c>
      <c r="S11">
        <v>1</v>
      </c>
      <c r="T11">
        <v>1</v>
      </c>
      <c r="U11">
        <v>5</v>
      </c>
      <c r="X11">
        <f t="shared" si="33"/>
        <v>0</v>
      </c>
      <c r="Z11" t="str">
        <f t="shared" si="0"/>
        <v/>
      </c>
      <c r="AA11" t="str">
        <f t="shared" si="1"/>
        <v/>
      </c>
      <c r="AB11" t="str">
        <f t="shared" si="2"/>
        <v/>
      </c>
      <c r="AC11" t="str">
        <f t="shared" si="3"/>
        <v/>
      </c>
      <c r="AE11" t="str">
        <f t="shared" si="4"/>
        <v/>
      </c>
      <c r="AF11" t="str">
        <f t="shared" si="5"/>
        <v/>
      </c>
      <c r="AG11" t="str">
        <f t="shared" si="6"/>
        <v/>
      </c>
      <c r="AH11" t="str">
        <f t="shared" si="7"/>
        <v/>
      </c>
      <c r="AI11" t="str">
        <f t="shared" si="8"/>
        <v/>
      </c>
      <c r="AK11" t="str">
        <f t="shared" si="9"/>
        <v/>
      </c>
      <c r="AL11" t="str">
        <f t="shared" si="32"/>
        <v/>
      </c>
      <c r="AM11" t="str">
        <f t="shared" si="10"/>
        <v/>
      </c>
      <c r="AN11" t="str">
        <f t="shared" si="11"/>
        <v/>
      </c>
      <c r="AO11" t="str">
        <f t="shared" si="12"/>
        <v/>
      </c>
      <c r="AP11" t="str">
        <f t="shared" si="13"/>
        <v/>
      </c>
      <c r="AQ11" t="str">
        <f t="shared" si="14"/>
        <v/>
      </c>
      <c r="AR11" t="str">
        <f t="shared" si="15"/>
        <v/>
      </c>
      <c r="AS11" t="str">
        <f t="shared" si="16"/>
        <v/>
      </c>
      <c r="AT11" t="str">
        <f t="shared" si="17"/>
        <v/>
      </c>
      <c r="AU11" t="str">
        <f t="shared" si="18"/>
        <v/>
      </c>
      <c r="AV11" t="str">
        <f t="shared" si="19"/>
        <v/>
      </c>
      <c r="AW11" t="str">
        <f t="shared" si="20"/>
        <v/>
      </c>
      <c r="AX11" t="str">
        <f t="shared" si="21"/>
        <v/>
      </c>
      <c r="AY11" t="str">
        <f t="shared" si="22"/>
        <v/>
      </c>
      <c r="AZ11" t="str">
        <f t="shared" si="23"/>
        <v/>
      </c>
      <c r="BA11" t="str">
        <f t="shared" si="24"/>
        <v/>
      </c>
      <c r="BB11" t="str">
        <f t="shared" si="25"/>
        <v/>
      </c>
      <c r="BC11" t="str">
        <f t="shared" si="26"/>
        <v/>
      </c>
      <c r="BD11" t="str">
        <f t="shared" si="27"/>
        <v/>
      </c>
      <c r="BE11" t="str">
        <f t="shared" si="28"/>
        <v/>
      </c>
      <c r="BF11" t="str">
        <f t="shared" si="29"/>
        <v/>
      </c>
      <c r="BG11" t="str">
        <f t="shared" si="30"/>
        <v/>
      </c>
      <c r="BH11" t="str">
        <f t="shared" si="31"/>
        <v/>
      </c>
    </row>
    <row r="12" spans="1:66" x14ac:dyDescent="0.2">
      <c r="A12">
        <v>9</v>
      </c>
      <c r="B12">
        <v>82</v>
      </c>
      <c r="C12" t="s">
        <v>39</v>
      </c>
      <c r="D12">
        <v>1</v>
      </c>
      <c r="E12">
        <v>1</v>
      </c>
      <c r="K12">
        <v>4</v>
      </c>
      <c r="L12">
        <v>1</v>
      </c>
      <c r="N12">
        <v>3</v>
      </c>
      <c r="O12">
        <v>3</v>
      </c>
      <c r="S12">
        <v>1</v>
      </c>
      <c r="T12">
        <v>1</v>
      </c>
      <c r="X12">
        <f t="shared" si="33"/>
        <v>0</v>
      </c>
      <c r="Z12" t="str">
        <f t="shared" si="0"/>
        <v/>
      </c>
      <c r="AA12" t="str">
        <f t="shared" si="1"/>
        <v/>
      </c>
      <c r="AB12" t="str">
        <f t="shared" si="2"/>
        <v/>
      </c>
      <c r="AC12" t="str">
        <f t="shared" si="3"/>
        <v/>
      </c>
      <c r="AE12" t="str">
        <f t="shared" si="4"/>
        <v/>
      </c>
      <c r="AF12" t="str">
        <f t="shared" si="5"/>
        <v/>
      </c>
      <c r="AG12" t="str">
        <f t="shared" si="6"/>
        <v/>
      </c>
      <c r="AH12" t="str">
        <f t="shared" si="7"/>
        <v/>
      </c>
      <c r="AI12" t="str">
        <f t="shared" si="8"/>
        <v/>
      </c>
      <c r="AK12" t="str">
        <f t="shared" si="9"/>
        <v/>
      </c>
      <c r="AL12" t="str">
        <f t="shared" si="32"/>
        <v/>
      </c>
      <c r="AM12" t="str">
        <f t="shared" si="10"/>
        <v/>
      </c>
      <c r="AN12" t="str">
        <f t="shared" si="11"/>
        <v/>
      </c>
      <c r="AO12" t="str">
        <f t="shared" si="12"/>
        <v/>
      </c>
      <c r="AP12" t="str">
        <f t="shared" si="13"/>
        <v/>
      </c>
      <c r="AQ12" t="str">
        <f t="shared" si="14"/>
        <v/>
      </c>
      <c r="AR12" t="str">
        <f t="shared" si="15"/>
        <v/>
      </c>
      <c r="AS12" t="str">
        <f t="shared" si="16"/>
        <v/>
      </c>
      <c r="AT12" t="str">
        <f t="shared" si="17"/>
        <v/>
      </c>
      <c r="AU12" t="str">
        <f t="shared" si="18"/>
        <v/>
      </c>
      <c r="AV12" t="str">
        <f t="shared" si="19"/>
        <v/>
      </c>
      <c r="AW12" t="str">
        <f t="shared" si="20"/>
        <v/>
      </c>
      <c r="AX12" t="str">
        <f t="shared" si="21"/>
        <v/>
      </c>
      <c r="AY12" t="str">
        <f t="shared" si="22"/>
        <v/>
      </c>
      <c r="AZ12" t="str">
        <f t="shared" si="23"/>
        <v/>
      </c>
      <c r="BA12" t="str">
        <f t="shared" si="24"/>
        <v/>
      </c>
      <c r="BB12" t="str">
        <f t="shared" si="25"/>
        <v/>
      </c>
      <c r="BC12" t="str">
        <f t="shared" si="26"/>
        <v/>
      </c>
      <c r="BD12" t="str">
        <f t="shared" si="27"/>
        <v/>
      </c>
      <c r="BE12" t="str">
        <f t="shared" si="28"/>
        <v/>
      </c>
      <c r="BF12" t="str">
        <f t="shared" si="29"/>
        <v/>
      </c>
      <c r="BG12" t="str">
        <f t="shared" si="30"/>
        <v/>
      </c>
      <c r="BH12" t="str">
        <f t="shared" si="31"/>
        <v/>
      </c>
    </row>
    <row r="13" spans="1:66" x14ac:dyDescent="0.2">
      <c r="A13">
        <v>10</v>
      </c>
      <c r="B13">
        <v>100</v>
      </c>
      <c r="C13" t="s">
        <v>207</v>
      </c>
      <c r="D13">
        <v>1</v>
      </c>
      <c r="G13">
        <v>4</v>
      </c>
      <c r="K13">
        <v>3</v>
      </c>
      <c r="N13">
        <v>4</v>
      </c>
      <c r="O13">
        <v>4</v>
      </c>
      <c r="S13">
        <v>1</v>
      </c>
      <c r="T13">
        <v>1</v>
      </c>
      <c r="X13">
        <f t="shared" si="33"/>
        <v>4</v>
      </c>
      <c r="Z13" t="str">
        <f t="shared" si="0"/>
        <v/>
      </c>
      <c r="AA13" t="str">
        <f t="shared" si="1"/>
        <v/>
      </c>
      <c r="AB13" t="str">
        <f t="shared" si="2"/>
        <v/>
      </c>
      <c r="AC13" t="str">
        <f t="shared" si="3"/>
        <v/>
      </c>
      <c r="AE13" t="str">
        <f t="shared" si="4"/>
        <v/>
      </c>
      <c r="AF13" t="str">
        <f t="shared" si="5"/>
        <v/>
      </c>
      <c r="AG13" t="str">
        <f t="shared" si="6"/>
        <v/>
      </c>
      <c r="AH13" t="str">
        <f t="shared" si="7"/>
        <v/>
      </c>
      <c r="AI13" t="str">
        <f t="shared" si="8"/>
        <v/>
      </c>
      <c r="AK13" t="str">
        <f t="shared" si="9"/>
        <v/>
      </c>
      <c r="AL13" t="str">
        <f t="shared" si="32"/>
        <v/>
      </c>
      <c r="AM13" t="str">
        <f t="shared" si="10"/>
        <v/>
      </c>
      <c r="AN13" t="str">
        <f t="shared" si="11"/>
        <v/>
      </c>
      <c r="AO13" t="str">
        <f t="shared" si="12"/>
        <v/>
      </c>
      <c r="AP13" t="str">
        <f t="shared" si="13"/>
        <v/>
      </c>
      <c r="AQ13" t="str">
        <f t="shared" si="14"/>
        <v/>
      </c>
      <c r="AR13" t="str">
        <f t="shared" si="15"/>
        <v/>
      </c>
      <c r="AS13" t="str">
        <f t="shared" si="16"/>
        <v/>
      </c>
      <c r="AT13" t="str">
        <f t="shared" si="17"/>
        <v/>
      </c>
      <c r="AU13" t="str">
        <f t="shared" si="18"/>
        <v/>
      </c>
      <c r="AV13" t="str">
        <f t="shared" si="19"/>
        <v/>
      </c>
      <c r="AW13" t="str">
        <f t="shared" si="20"/>
        <v/>
      </c>
      <c r="AX13" t="str">
        <f t="shared" si="21"/>
        <v/>
      </c>
      <c r="AY13" t="str">
        <f t="shared" si="22"/>
        <v/>
      </c>
      <c r="AZ13" t="str">
        <f t="shared" si="23"/>
        <v/>
      </c>
      <c r="BA13" t="str">
        <f t="shared" si="24"/>
        <v/>
      </c>
      <c r="BB13" t="str">
        <f t="shared" si="25"/>
        <v/>
      </c>
      <c r="BC13" t="str">
        <f t="shared" si="26"/>
        <v/>
      </c>
      <c r="BD13" t="str">
        <f t="shared" si="27"/>
        <v/>
      </c>
      <c r="BE13" t="str">
        <f t="shared" si="28"/>
        <v/>
      </c>
      <c r="BF13" t="str">
        <f t="shared" si="29"/>
        <v/>
      </c>
      <c r="BG13" t="str">
        <f t="shared" si="30"/>
        <v/>
      </c>
      <c r="BH13" t="str">
        <f t="shared" si="31"/>
        <v/>
      </c>
    </row>
    <row r="14" spans="1:66" x14ac:dyDescent="0.2">
      <c r="A14">
        <v>11</v>
      </c>
      <c r="B14">
        <v>107</v>
      </c>
      <c r="C14" t="s">
        <v>207</v>
      </c>
      <c r="D14">
        <v>1</v>
      </c>
      <c r="G14">
        <v>4</v>
      </c>
      <c r="K14">
        <v>2</v>
      </c>
      <c r="N14">
        <v>3</v>
      </c>
      <c r="O14">
        <v>3</v>
      </c>
      <c r="S14">
        <v>1</v>
      </c>
      <c r="U14">
        <v>4</v>
      </c>
      <c r="X14">
        <f t="shared" si="33"/>
        <v>4</v>
      </c>
      <c r="Z14" t="s">
        <v>31</v>
      </c>
      <c r="AE14" t="s">
        <v>34</v>
      </c>
      <c r="AK14" t="s">
        <v>43</v>
      </c>
      <c r="AP14" t="s">
        <v>84</v>
      </c>
    </row>
    <row r="15" spans="1:66" x14ac:dyDescent="0.2">
      <c r="A15">
        <v>12</v>
      </c>
      <c r="B15">
        <v>117</v>
      </c>
      <c r="C15" t="s">
        <v>39</v>
      </c>
      <c r="D15">
        <v>1</v>
      </c>
      <c r="E15">
        <v>1</v>
      </c>
      <c r="F15">
        <v>1</v>
      </c>
      <c r="K15">
        <v>2</v>
      </c>
      <c r="N15">
        <v>2</v>
      </c>
      <c r="O15">
        <v>1</v>
      </c>
      <c r="S15">
        <v>1</v>
      </c>
      <c r="T15">
        <v>1</v>
      </c>
      <c r="U15">
        <v>40</v>
      </c>
      <c r="X15">
        <f t="shared" si="33"/>
        <v>0</v>
      </c>
      <c r="Z15" t="s">
        <v>21</v>
      </c>
      <c r="AA15" t="s">
        <v>22</v>
      </c>
      <c r="AE15" t="s">
        <v>21</v>
      </c>
      <c r="AF15" t="s">
        <v>22</v>
      </c>
      <c r="AG15" t="s">
        <v>35</v>
      </c>
      <c r="AK15" t="s">
        <v>10</v>
      </c>
      <c r="AL15" t="s">
        <v>25</v>
      </c>
      <c r="AM15" t="s">
        <v>26</v>
      </c>
      <c r="AN15" t="s">
        <v>27</v>
      </c>
      <c r="AP15" t="s">
        <v>15</v>
      </c>
      <c r="AQ15" t="s">
        <v>85</v>
      </c>
    </row>
    <row r="16" spans="1:66" x14ac:dyDescent="0.2">
      <c r="A16" t="s">
        <v>28</v>
      </c>
      <c r="D16">
        <f>SUM(D4:D15)</f>
        <v>10</v>
      </c>
      <c r="E16">
        <f>SUM(E4:E15)</f>
        <v>6</v>
      </c>
      <c r="F16">
        <f>SUM(F4:F15)</f>
        <v>2</v>
      </c>
      <c r="G16">
        <f>SUM(G4:G15)</f>
        <v>11</v>
      </c>
      <c r="H16">
        <f>SUM(H4:H15)</f>
        <v>0</v>
      </c>
      <c r="K16">
        <f>SUM(K4:K15)</f>
        <v>37</v>
      </c>
      <c r="L16">
        <f>SUM(L4:L15)</f>
        <v>5</v>
      </c>
      <c r="M16">
        <f>SUM(M4:M15)</f>
        <v>1</v>
      </c>
      <c r="N16">
        <f>SUM(N4:N15)</f>
        <v>38</v>
      </c>
      <c r="O16">
        <f>SUM(O4:O15)</f>
        <v>33</v>
      </c>
      <c r="Q16">
        <f t="shared" ref="Q16:R16" si="34">SUM(Q4:Q15)</f>
        <v>0</v>
      </c>
      <c r="R16">
        <f t="shared" si="34"/>
        <v>1</v>
      </c>
      <c r="S16">
        <f>SUM(S4:S15)</f>
        <v>11</v>
      </c>
      <c r="T16">
        <f>SUM(T4:T15)</f>
        <v>10</v>
      </c>
      <c r="U16">
        <f>SUM(U4:U15)</f>
        <v>84</v>
      </c>
      <c r="V16">
        <f>SUM(V4:V15)</f>
        <v>0</v>
      </c>
      <c r="W16">
        <f>SUM(W4:W15)</f>
        <v>0</v>
      </c>
      <c r="Z16">
        <f t="shared" ref="Z16:Z27" si="35">COUNTIF(Z2:AC2, "3")*COUNTIF(C4, "r")+COUNTIF(Z2:AC2, "5")*COUNTIF(C4, "b")</f>
        <v>0</v>
      </c>
      <c r="AA16">
        <f t="shared" ref="AA16:AA27" si="36">COUNTIF(Z2:AC2, "1")+COUNTIF(Z2:AC2, "2")+COUNTIF(Z2:AC2, "4")</f>
        <v>0</v>
      </c>
      <c r="AE16">
        <f t="shared" ref="AE16:AE27" si="37">COUNTIF(AE2:AI2, "3")*COUNTIF(C4, "r") + COUNTIF(AE2:AI2, "5")*COUNTIF(C4, "b")</f>
        <v>0</v>
      </c>
      <c r="AF16">
        <f t="shared" ref="AF16:AF27" si="38">COUNTIF(AE2:AI2, "1")+COUNTIF(AE2:AI2, "2")+COUNTIF(AE2:AI2, "4")</f>
        <v>0</v>
      </c>
      <c r="AG16">
        <f t="shared" ref="AG16:AG27" si="39">COUNTIF(AE2:AI2, "3")*COUNTIF(AE2:AI2, "b")+COUNTIF(AE2:AI2, "5")*COUNTIF(AE2:AI2, "r")</f>
        <v>0</v>
      </c>
      <c r="AK16">
        <f t="shared" ref="AK16:AK27" si="40">SUMPRODUCT(LEN($AK2:$BH2) - LEN(SUBSTITUTE($AK2:$BH2, "g", "")))</f>
        <v>0</v>
      </c>
      <c r="AL16">
        <f t="shared" ref="AL16:AL27" si="41">SUMPRODUCT(LEN($AK2:$BH2) - LEN(SUBSTITUTE($AK2:$BH2, "h", "")))</f>
        <v>0</v>
      </c>
      <c r="AM16">
        <f t="shared" ref="AM16:AM27" si="42">SUMPRODUCT(LEN($AK2:$BH2) - LEN(SUBSTITUTE($AK2:$BH2, "v", "")))</f>
        <v>0</v>
      </c>
      <c r="AN16">
        <f t="shared" ref="AN16:AN27" si="43">SUMPRODUCT(LEN($AK2:$BH2) - LEN(SUBSTITUTE($AK2:$BH2, "r", "")))</f>
        <v>0</v>
      </c>
      <c r="AP16">
        <f>MAX(AQ16:BN16)</f>
        <v>0</v>
      </c>
      <c r="AQ16" s="4">
        <f>_xlfn.NUMBERVALUE(RIGHT(AK2,1))</f>
        <v>0</v>
      </c>
      <c r="AR16" s="4">
        <f t="shared" ref="AR16:BG27" si="44">_xlfn.NUMBERVALUE(RIGHT(AL2,1))</f>
        <v>0</v>
      </c>
      <c r="AS16" s="4">
        <f t="shared" si="44"/>
        <v>0</v>
      </c>
      <c r="AT16" s="4">
        <f t="shared" si="44"/>
        <v>0</v>
      </c>
      <c r="AU16" s="4">
        <f t="shared" si="44"/>
        <v>0</v>
      </c>
      <c r="AV16" s="4">
        <f t="shared" si="44"/>
        <v>0</v>
      </c>
      <c r="AW16" s="4">
        <f t="shared" si="44"/>
        <v>0</v>
      </c>
      <c r="AX16" s="4">
        <f t="shared" si="44"/>
        <v>0</v>
      </c>
      <c r="AY16" s="4">
        <f t="shared" si="44"/>
        <v>0</v>
      </c>
      <c r="AZ16" s="4">
        <f t="shared" si="44"/>
        <v>0</v>
      </c>
      <c r="BA16" s="4">
        <f t="shared" si="44"/>
        <v>0</v>
      </c>
      <c r="BB16" s="4">
        <f t="shared" si="44"/>
        <v>0</v>
      </c>
      <c r="BC16" s="4">
        <f t="shared" si="44"/>
        <v>0</v>
      </c>
      <c r="BD16" s="4">
        <f t="shared" si="44"/>
        <v>0</v>
      </c>
      <c r="BE16" s="4">
        <f t="shared" si="44"/>
        <v>0</v>
      </c>
      <c r="BF16" s="4">
        <f t="shared" si="44"/>
        <v>0</v>
      </c>
      <c r="BG16" s="4">
        <f t="shared" si="44"/>
        <v>0</v>
      </c>
      <c r="BH16" s="4">
        <f t="shared" ref="BH16:BN27" si="45">_xlfn.NUMBERVALUE(RIGHT(BB2,1))</f>
        <v>0</v>
      </c>
      <c r="BI16" s="4">
        <f t="shared" si="45"/>
        <v>0</v>
      </c>
      <c r="BJ16" s="4">
        <f t="shared" si="45"/>
        <v>0</v>
      </c>
      <c r="BK16" s="4">
        <f t="shared" si="45"/>
        <v>0</v>
      </c>
      <c r="BL16" s="4">
        <f t="shared" si="45"/>
        <v>0</v>
      </c>
      <c r="BM16" s="4">
        <f t="shared" si="45"/>
        <v>0</v>
      </c>
      <c r="BN16" s="4">
        <f t="shared" si="45"/>
        <v>0</v>
      </c>
    </row>
    <row r="17" spans="1:66" x14ac:dyDescent="0.2">
      <c r="A17" s="1" t="s">
        <v>20</v>
      </c>
      <c r="D17" s="1" t="s">
        <v>49</v>
      </c>
      <c r="G17" s="1" t="s">
        <v>52</v>
      </c>
      <c r="K17" s="3" t="s">
        <v>74</v>
      </c>
      <c r="P17" s="1" t="s">
        <v>66</v>
      </c>
      <c r="Z17">
        <f t="shared" si="35"/>
        <v>0</v>
      </c>
      <c r="AA17">
        <f t="shared" si="36"/>
        <v>0</v>
      </c>
      <c r="AE17">
        <f t="shared" si="37"/>
        <v>0</v>
      </c>
      <c r="AF17">
        <f t="shared" si="38"/>
        <v>0</v>
      </c>
      <c r="AG17">
        <f t="shared" si="39"/>
        <v>0</v>
      </c>
      <c r="AK17">
        <f t="shared" si="40"/>
        <v>0</v>
      </c>
      <c r="AL17">
        <f t="shared" si="41"/>
        <v>0</v>
      </c>
      <c r="AM17">
        <f t="shared" si="42"/>
        <v>0</v>
      </c>
      <c r="AN17">
        <f t="shared" si="43"/>
        <v>0</v>
      </c>
      <c r="AP17">
        <f t="shared" ref="AP17:AP27" si="46">MAX(AQ17:BN17)</f>
        <v>0</v>
      </c>
      <c r="AQ17" s="4">
        <f t="shared" ref="AQ17:AQ27" si="47">_xlfn.NUMBERVALUE(RIGHT(AK3,1))</f>
        <v>0</v>
      </c>
      <c r="AR17" s="4">
        <f t="shared" si="44"/>
        <v>0</v>
      </c>
      <c r="AS17" s="4">
        <f t="shared" si="44"/>
        <v>0</v>
      </c>
      <c r="AT17" s="4">
        <f t="shared" si="44"/>
        <v>0</v>
      </c>
      <c r="AU17" s="4">
        <f t="shared" si="44"/>
        <v>0</v>
      </c>
      <c r="AV17" s="4">
        <f t="shared" si="44"/>
        <v>0</v>
      </c>
      <c r="AW17" s="4">
        <f t="shared" si="44"/>
        <v>0</v>
      </c>
      <c r="AX17" s="4">
        <f t="shared" si="44"/>
        <v>0</v>
      </c>
      <c r="AY17" s="4">
        <f t="shared" si="44"/>
        <v>0</v>
      </c>
      <c r="AZ17" s="4">
        <f t="shared" si="44"/>
        <v>0</v>
      </c>
      <c r="BA17" s="4">
        <f t="shared" si="44"/>
        <v>0</v>
      </c>
      <c r="BB17" s="4">
        <f t="shared" si="44"/>
        <v>0</v>
      </c>
      <c r="BC17" s="4">
        <f t="shared" si="44"/>
        <v>0</v>
      </c>
      <c r="BD17" s="4">
        <f t="shared" si="44"/>
        <v>0</v>
      </c>
      <c r="BE17" s="4">
        <f t="shared" si="44"/>
        <v>0</v>
      </c>
      <c r="BF17" s="4">
        <f t="shared" si="44"/>
        <v>0</v>
      </c>
      <c r="BG17" s="4">
        <f t="shared" si="44"/>
        <v>0</v>
      </c>
      <c r="BH17" s="4">
        <f t="shared" si="45"/>
        <v>0</v>
      </c>
      <c r="BI17" s="4">
        <f t="shared" si="45"/>
        <v>0</v>
      </c>
      <c r="BJ17" s="4">
        <f t="shared" si="45"/>
        <v>0</v>
      </c>
      <c r="BK17" s="4">
        <f t="shared" si="45"/>
        <v>0</v>
      </c>
      <c r="BL17" s="4">
        <f t="shared" si="45"/>
        <v>0</v>
      </c>
      <c r="BM17" s="4">
        <f t="shared" si="45"/>
        <v>0</v>
      </c>
      <c r="BN17" s="4">
        <f t="shared" si="45"/>
        <v>0</v>
      </c>
    </row>
    <row r="18" spans="1:66" x14ac:dyDescent="0.2">
      <c r="A18" t="s">
        <v>32</v>
      </c>
      <c r="B18" t="s">
        <v>21</v>
      </c>
      <c r="D18" t="s">
        <v>180</v>
      </c>
      <c r="G18" s="3" t="s">
        <v>53</v>
      </c>
      <c r="K18" t="s">
        <v>55</v>
      </c>
      <c r="M18" t="s">
        <v>65</v>
      </c>
      <c r="P18" t="s">
        <v>67</v>
      </c>
      <c r="Z18">
        <f t="shared" si="35"/>
        <v>0</v>
      </c>
      <c r="AA18">
        <f t="shared" si="36"/>
        <v>0</v>
      </c>
      <c r="AE18">
        <f t="shared" si="37"/>
        <v>0</v>
      </c>
      <c r="AF18">
        <f t="shared" si="38"/>
        <v>0</v>
      </c>
      <c r="AG18">
        <f t="shared" si="39"/>
        <v>0</v>
      </c>
      <c r="AK18">
        <f t="shared" si="40"/>
        <v>0</v>
      </c>
      <c r="AL18">
        <f t="shared" si="41"/>
        <v>0</v>
      </c>
      <c r="AM18">
        <f t="shared" si="42"/>
        <v>0</v>
      </c>
      <c r="AN18">
        <f t="shared" si="43"/>
        <v>0</v>
      </c>
      <c r="AP18">
        <f t="shared" si="46"/>
        <v>0</v>
      </c>
      <c r="AQ18" s="4">
        <f t="shared" si="47"/>
        <v>0</v>
      </c>
      <c r="AR18" s="4">
        <f t="shared" si="44"/>
        <v>0</v>
      </c>
      <c r="AS18" s="4">
        <f t="shared" si="44"/>
        <v>0</v>
      </c>
      <c r="AT18" s="4">
        <f t="shared" si="44"/>
        <v>0</v>
      </c>
      <c r="AU18" s="4">
        <f t="shared" si="44"/>
        <v>0</v>
      </c>
      <c r="AV18" s="4">
        <f t="shared" si="44"/>
        <v>0</v>
      </c>
      <c r="AW18" s="4">
        <f t="shared" si="44"/>
        <v>0</v>
      </c>
      <c r="AX18" s="4">
        <f t="shared" si="44"/>
        <v>0</v>
      </c>
      <c r="AY18" s="4">
        <f t="shared" si="44"/>
        <v>0</v>
      </c>
      <c r="AZ18" s="4">
        <f t="shared" si="44"/>
        <v>0</v>
      </c>
      <c r="BA18" s="4">
        <f t="shared" si="44"/>
        <v>0</v>
      </c>
      <c r="BB18" s="4">
        <f t="shared" si="44"/>
        <v>0</v>
      </c>
      <c r="BC18" s="4">
        <f t="shared" si="44"/>
        <v>0</v>
      </c>
      <c r="BD18" s="4">
        <f t="shared" si="44"/>
        <v>0</v>
      </c>
      <c r="BE18" s="4">
        <f t="shared" si="44"/>
        <v>0</v>
      </c>
      <c r="BF18" s="4">
        <f t="shared" si="44"/>
        <v>0</v>
      </c>
      <c r="BG18" s="4">
        <f t="shared" si="44"/>
        <v>0</v>
      </c>
      <c r="BH18" s="4">
        <f t="shared" si="45"/>
        <v>0</v>
      </c>
      <c r="BI18" s="4">
        <f t="shared" si="45"/>
        <v>0</v>
      </c>
      <c r="BJ18" s="4">
        <f t="shared" si="45"/>
        <v>0</v>
      </c>
      <c r="BK18" s="4">
        <f t="shared" si="45"/>
        <v>0</v>
      </c>
      <c r="BL18" s="4">
        <f t="shared" si="45"/>
        <v>0</v>
      </c>
      <c r="BM18" s="4">
        <f t="shared" si="45"/>
        <v>0</v>
      </c>
      <c r="BN18" s="4">
        <f t="shared" si="45"/>
        <v>0</v>
      </c>
    </row>
    <row r="19" spans="1:66" x14ac:dyDescent="0.2">
      <c r="A19" t="s">
        <v>40</v>
      </c>
      <c r="B19" t="s">
        <v>22</v>
      </c>
      <c r="D19">
        <f>E16/D16</f>
        <v>0.6</v>
      </c>
      <c r="G19" t="s">
        <v>75</v>
      </c>
      <c r="K19">
        <f>O16/N16</f>
        <v>0.86842105263157898</v>
      </c>
      <c r="M19">
        <f>SUM(M39:M50)</f>
        <v>5</v>
      </c>
      <c r="P19">
        <f>T16/S16</f>
        <v>0.90909090909090906</v>
      </c>
      <c r="Z19">
        <f t="shared" si="35"/>
        <v>0</v>
      </c>
      <c r="AA19">
        <f t="shared" si="36"/>
        <v>0</v>
      </c>
      <c r="AE19">
        <f t="shared" si="37"/>
        <v>0</v>
      </c>
      <c r="AF19">
        <f t="shared" si="38"/>
        <v>0</v>
      </c>
      <c r="AG19">
        <f t="shared" si="39"/>
        <v>0</v>
      </c>
      <c r="AK19">
        <f t="shared" si="40"/>
        <v>0</v>
      </c>
      <c r="AL19">
        <f t="shared" si="41"/>
        <v>0</v>
      </c>
      <c r="AM19">
        <f t="shared" si="42"/>
        <v>0</v>
      </c>
      <c r="AN19">
        <f t="shared" si="43"/>
        <v>0</v>
      </c>
      <c r="AP19">
        <f t="shared" si="46"/>
        <v>0</v>
      </c>
      <c r="AQ19" s="4">
        <f t="shared" si="47"/>
        <v>0</v>
      </c>
      <c r="AR19" s="4">
        <f t="shared" si="44"/>
        <v>0</v>
      </c>
      <c r="AS19" s="4">
        <f t="shared" si="44"/>
        <v>0</v>
      </c>
      <c r="AT19" s="4">
        <f t="shared" si="44"/>
        <v>0</v>
      </c>
      <c r="AU19" s="4">
        <f t="shared" si="44"/>
        <v>0</v>
      </c>
      <c r="AV19" s="4">
        <f t="shared" si="44"/>
        <v>0</v>
      </c>
      <c r="AW19" s="4">
        <f t="shared" si="44"/>
        <v>0</v>
      </c>
      <c r="AX19" s="4">
        <f t="shared" si="44"/>
        <v>0</v>
      </c>
      <c r="AY19" s="4">
        <f t="shared" si="44"/>
        <v>0</v>
      </c>
      <c r="AZ19" s="4">
        <f t="shared" si="44"/>
        <v>0</v>
      </c>
      <c r="BA19" s="4">
        <f t="shared" si="44"/>
        <v>0</v>
      </c>
      <c r="BB19" s="4">
        <f t="shared" si="44"/>
        <v>0</v>
      </c>
      <c r="BC19" s="4">
        <f t="shared" si="44"/>
        <v>0</v>
      </c>
      <c r="BD19" s="4">
        <f t="shared" si="44"/>
        <v>0</v>
      </c>
      <c r="BE19" s="4">
        <f t="shared" si="44"/>
        <v>0</v>
      </c>
      <c r="BF19" s="4">
        <f t="shared" si="44"/>
        <v>0</v>
      </c>
      <c r="BG19" s="4">
        <f t="shared" si="44"/>
        <v>0</v>
      </c>
      <c r="BH19" s="4">
        <f t="shared" si="45"/>
        <v>0</v>
      </c>
      <c r="BI19" s="4">
        <f t="shared" si="45"/>
        <v>0</v>
      </c>
      <c r="BJ19" s="4">
        <f t="shared" si="45"/>
        <v>0</v>
      </c>
      <c r="BK19" s="4">
        <f t="shared" si="45"/>
        <v>0</v>
      </c>
      <c r="BL19" s="4">
        <f t="shared" si="45"/>
        <v>0</v>
      </c>
      <c r="BM19" s="4">
        <f t="shared" si="45"/>
        <v>0</v>
      </c>
      <c r="BN19" s="4">
        <f t="shared" si="45"/>
        <v>0</v>
      </c>
    </row>
    <row r="20" spans="1:66" x14ac:dyDescent="0.2">
      <c r="A20" t="s">
        <v>41</v>
      </c>
      <c r="B20" t="s">
        <v>23</v>
      </c>
      <c r="D20" t="s">
        <v>47</v>
      </c>
      <c r="G20">
        <f>AK28/AP28</f>
        <v>0</v>
      </c>
      <c r="K20" t="s">
        <v>13</v>
      </c>
      <c r="Z20">
        <f t="shared" si="35"/>
        <v>0</v>
      </c>
      <c r="AA20">
        <f t="shared" si="36"/>
        <v>0</v>
      </c>
      <c r="AE20">
        <f t="shared" si="37"/>
        <v>0</v>
      </c>
      <c r="AF20">
        <f t="shared" si="38"/>
        <v>1</v>
      </c>
      <c r="AG20">
        <f t="shared" si="39"/>
        <v>0</v>
      </c>
      <c r="AK20">
        <f t="shared" si="40"/>
        <v>0</v>
      </c>
      <c r="AL20">
        <f t="shared" si="41"/>
        <v>0</v>
      </c>
      <c r="AM20">
        <f t="shared" si="42"/>
        <v>0</v>
      </c>
      <c r="AN20">
        <f t="shared" si="43"/>
        <v>0</v>
      </c>
      <c r="AP20">
        <f t="shared" si="46"/>
        <v>0</v>
      </c>
      <c r="AQ20" s="4">
        <f t="shared" si="47"/>
        <v>0</v>
      </c>
      <c r="AR20" s="4">
        <f t="shared" si="44"/>
        <v>0</v>
      </c>
      <c r="AS20" s="4">
        <f t="shared" si="44"/>
        <v>0</v>
      </c>
      <c r="AT20" s="4">
        <f t="shared" si="44"/>
        <v>0</v>
      </c>
      <c r="AU20" s="4">
        <f t="shared" si="44"/>
        <v>0</v>
      </c>
      <c r="AV20" s="4">
        <f t="shared" si="44"/>
        <v>0</v>
      </c>
      <c r="AW20" s="4">
        <f t="shared" si="44"/>
        <v>0</v>
      </c>
      <c r="AX20" s="4">
        <f t="shared" si="44"/>
        <v>0</v>
      </c>
      <c r="AY20" s="4">
        <f t="shared" si="44"/>
        <v>0</v>
      </c>
      <c r="AZ20" s="4">
        <f t="shared" si="44"/>
        <v>0</v>
      </c>
      <c r="BA20" s="4">
        <f t="shared" si="44"/>
        <v>0</v>
      </c>
      <c r="BB20" s="4">
        <f t="shared" si="44"/>
        <v>0</v>
      </c>
      <c r="BC20" s="4">
        <f t="shared" si="44"/>
        <v>0</v>
      </c>
      <c r="BD20" s="4">
        <f t="shared" si="44"/>
        <v>0</v>
      </c>
      <c r="BE20" s="4">
        <f t="shared" si="44"/>
        <v>0</v>
      </c>
      <c r="BF20" s="4">
        <f t="shared" si="44"/>
        <v>0</v>
      </c>
      <c r="BG20" s="4">
        <f t="shared" si="44"/>
        <v>0</v>
      </c>
      <c r="BH20" s="4">
        <f t="shared" si="45"/>
        <v>0</v>
      </c>
      <c r="BI20" s="4">
        <f t="shared" si="45"/>
        <v>0</v>
      </c>
      <c r="BJ20" s="4">
        <f t="shared" si="45"/>
        <v>0</v>
      </c>
      <c r="BK20" s="4">
        <f t="shared" si="45"/>
        <v>0</v>
      </c>
      <c r="BL20" s="4">
        <f t="shared" si="45"/>
        <v>0</v>
      </c>
      <c r="BM20" s="4">
        <f t="shared" si="45"/>
        <v>0</v>
      </c>
      <c r="BN20" s="4">
        <f t="shared" si="45"/>
        <v>0</v>
      </c>
    </row>
    <row r="21" spans="1:66" x14ac:dyDescent="0.2">
      <c r="A21" s="1" t="s">
        <v>24</v>
      </c>
      <c r="D21">
        <f>G16/A31</f>
        <v>0.91666666666666663</v>
      </c>
      <c r="G21" t="s">
        <v>76</v>
      </c>
      <c r="K21" t="s">
        <v>57</v>
      </c>
      <c r="L21" t="s">
        <v>58</v>
      </c>
      <c r="M21" t="s">
        <v>59</v>
      </c>
      <c r="N21" t="s">
        <v>60</v>
      </c>
      <c r="Z21">
        <f t="shared" si="35"/>
        <v>0</v>
      </c>
      <c r="AA21">
        <f t="shared" si="36"/>
        <v>0</v>
      </c>
      <c r="AE21">
        <f t="shared" si="37"/>
        <v>0</v>
      </c>
      <c r="AF21">
        <f t="shared" si="38"/>
        <v>2</v>
      </c>
      <c r="AG21">
        <f t="shared" si="39"/>
        <v>0</v>
      </c>
      <c r="AK21">
        <f t="shared" si="40"/>
        <v>0</v>
      </c>
      <c r="AL21">
        <f t="shared" si="41"/>
        <v>0</v>
      </c>
      <c r="AM21">
        <f t="shared" si="42"/>
        <v>0</v>
      </c>
      <c r="AN21">
        <f t="shared" si="43"/>
        <v>0</v>
      </c>
      <c r="AP21">
        <f t="shared" si="46"/>
        <v>0</v>
      </c>
      <c r="AQ21" s="4">
        <f t="shared" si="47"/>
        <v>0</v>
      </c>
      <c r="AR21" s="4">
        <f t="shared" si="44"/>
        <v>0</v>
      </c>
      <c r="AS21" s="4">
        <f t="shared" si="44"/>
        <v>0</v>
      </c>
      <c r="AT21" s="4">
        <f t="shared" si="44"/>
        <v>0</v>
      </c>
      <c r="AU21" s="4">
        <f t="shared" si="44"/>
        <v>0</v>
      </c>
      <c r="AV21" s="4">
        <f t="shared" si="44"/>
        <v>0</v>
      </c>
      <c r="AW21" s="4">
        <f t="shared" si="44"/>
        <v>0</v>
      </c>
      <c r="AX21" s="4">
        <f t="shared" si="44"/>
        <v>0</v>
      </c>
      <c r="AY21" s="4">
        <f t="shared" si="44"/>
        <v>0</v>
      </c>
      <c r="AZ21" s="4">
        <f t="shared" si="44"/>
        <v>0</v>
      </c>
      <c r="BA21" s="4">
        <f t="shared" si="44"/>
        <v>0</v>
      </c>
      <c r="BB21" s="4">
        <f t="shared" si="44"/>
        <v>0</v>
      </c>
      <c r="BC21" s="4">
        <f t="shared" si="44"/>
        <v>0</v>
      </c>
      <c r="BD21" s="4">
        <f t="shared" si="44"/>
        <v>0</v>
      </c>
      <c r="BE21" s="4">
        <f t="shared" si="44"/>
        <v>0</v>
      </c>
      <c r="BF21" s="4">
        <f t="shared" si="44"/>
        <v>0</v>
      </c>
      <c r="BG21" s="4">
        <f t="shared" si="44"/>
        <v>0</v>
      </c>
      <c r="BH21" s="4">
        <f t="shared" si="45"/>
        <v>0</v>
      </c>
      <c r="BI21" s="4">
        <f t="shared" si="45"/>
        <v>0</v>
      </c>
      <c r="BJ21" s="4">
        <f t="shared" si="45"/>
        <v>0</v>
      </c>
      <c r="BK21" s="4">
        <f t="shared" si="45"/>
        <v>0</v>
      </c>
      <c r="BL21" s="4">
        <f t="shared" si="45"/>
        <v>0</v>
      </c>
      <c r="BM21" s="4">
        <f t="shared" si="45"/>
        <v>0</v>
      </c>
      <c r="BN21" s="4">
        <f t="shared" si="45"/>
        <v>0</v>
      </c>
    </row>
    <row r="22" spans="1:66" x14ac:dyDescent="0.2">
      <c r="A22" t="s">
        <v>36</v>
      </c>
      <c r="B22" t="s">
        <v>10</v>
      </c>
      <c r="D22" t="s">
        <v>48</v>
      </c>
      <c r="G22">
        <f>AL28/AP28</f>
        <v>1</v>
      </c>
      <c r="K22">
        <f>AVERAGE(C39:C50)</f>
        <v>2.75</v>
      </c>
      <c r="L22">
        <f>MEDIAN(C39:C50)</f>
        <v>3</v>
      </c>
      <c r="M22">
        <f>MAX(C39:C50)</f>
        <v>4</v>
      </c>
      <c r="N22">
        <f>_xlfn.STDEV.S(C39:C50)</f>
        <v>0.96530729916342273</v>
      </c>
      <c r="Z22">
        <f t="shared" si="35"/>
        <v>0</v>
      </c>
      <c r="AA22">
        <f t="shared" si="36"/>
        <v>0</v>
      </c>
      <c r="AE22">
        <f t="shared" si="37"/>
        <v>1</v>
      </c>
      <c r="AF22">
        <f t="shared" si="38"/>
        <v>0</v>
      </c>
      <c r="AG22">
        <f t="shared" si="39"/>
        <v>0</v>
      </c>
      <c r="AK22">
        <f t="shared" si="40"/>
        <v>0</v>
      </c>
      <c r="AL22">
        <f t="shared" si="41"/>
        <v>1</v>
      </c>
      <c r="AM22">
        <f t="shared" si="42"/>
        <v>0</v>
      </c>
      <c r="AN22">
        <f t="shared" si="43"/>
        <v>0</v>
      </c>
      <c r="AP22">
        <f t="shared" si="46"/>
        <v>1</v>
      </c>
      <c r="AQ22" s="4">
        <f t="shared" si="47"/>
        <v>1</v>
      </c>
      <c r="AR22" s="4">
        <f t="shared" si="44"/>
        <v>0</v>
      </c>
      <c r="AS22" s="4">
        <f t="shared" si="44"/>
        <v>0</v>
      </c>
      <c r="AT22" s="4">
        <f t="shared" si="44"/>
        <v>0</v>
      </c>
      <c r="AU22" s="4">
        <f t="shared" si="44"/>
        <v>0</v>
      </c>
      <c r="AV22" s="4">
        <f t="shared" si="44"/>
        <v>0</v>
      </c>
      <c r="AW22" s="4">
        <f t="shared" si="44"/>
        <v>0</v>
      </c>
      <c r="AX22" s="4">
        <f t="shared" si="44"/>
        <v>0</v>
      </c>
      <c r="AY22" s="4">
        <f t="shared" si="44"/>
        <v>0</v>
      </c>
      <c r="AZ22" s="4">
        <f t="shared" si="44"/>
        <v>0</v>
      </c>
      <c r="BA22" s="4">
        <f t="shared" si="44"/>
        <v>0</v>
      </c>
      <c r="BB22" s="4">
        <f t="shared" si="44"/>
        <v>0</v>
      </c>
      <c r="BC22" s="4">
        <f t="shared" si="44"/>
        <v>0</v>
      </c>
      <c r="BD22" s="4">
        <f t="shared" si="44"/>
        <v>0</v>
      </c>
      <c r="BE22" s="4">
        <f t="shared" si="44"/>
        <v>0</v>
      </c>
      <c r="BF22" s="4">
        <f t="shared" si="44"/>
        <v>0</v>
      </c>
      <c r="BG22" s="4">
        <f t="shared" si="44"/>
        <v>0</v>
      </c>
      <c r="BH22" s="4">
        <f t="shared" si="45"/>
        <v>0</v>
      </c>
      <c r="BI22" s="4">
        <f t="shared" si="45"/>
        <v>0</v>
      </c>
      <c r="BJ22" s="4">
        <f t="shared" si="45"/>
        <v>0</v>
      </c>
      <c r="BK22" s="4">
        <f t="shared" si="45"/>
        <v>0</v>
      </c>
      <c r="BL22" s="4">
        <f t="shared" si="45"/>
        <v>0</v>
      </c>
      <c r="BM22" s="4">
        <f t="shared" si="45"/>
        <v>0</v>
      </c>
      <c r="BN22" s="4">
        <f t="shared" si="45"/>
        <v>0</v>
      </c>
    </row>
    <row r="23" spans="1:66" x14ac:dyDescent="0.2">
      <c r="A23" t="s">
        <v>37</v>
      </c>
      <c r="B23" t="s">
        <v>25</v>
      </c>
      <c r="D23">
        <f>H16/A31</f>
        <v>0</v>
      </c>
      <c r="G23" t="s">
        <v>77</v>
      </c>
      <c r="K23" t="s">
        <v>8</v>
      </c>
      <c r="Z23">
        <f t="shared" si="35"/>
        <v>0</v>
      </c>
      <c r="AA23">
        <f t="shared" si="36"/>
        <v>0</v>
      </c>
      <c r="AE23">
        <f t="shared" si="37"/>
        <v>0</v>
      </c>
      <c r="AF23">
        <f t="shared" si="38"/>
        <v>0</v>
      </c>
      <c r="AG23">
        <f t="shared" si="39"/>
        <v>0</v>
      </c>
      <c r="AK23">
        <f t="shared" si="40"/>
        <v>0</v>
      </c>
      <c r="AL23">
        <f t="shared" si="41"/>
        <v>0</v>
      </c>
      <c r="AM23">
        <f t="shared" si="42"/>
        <v>0</v>
      </c>
      <c r="AN23">
        <f t="shared" si="43"/>
        <v>0</v>
      </c>
      <c r="AP23">
        <f t="shared" si="46"/>
        <v>0</v>
      </c>
      <c r="AQ23" s="4">
        <f t="shared" si="47"/>
        <v>0</v>
      </c>
      <c r="AR23" s="4">
        <f t="shared" si="44"/>
        <v>0</v>
      </c>
      <c r="AS23" s="4">
        <f t="shared" si="44"/>
        <v>0</v>
      </c>
      <c r="AT23" s="4">
        <f t="shared" si="44"/>
        <v>0</v>
      </c>
      <c r="AU23" s="4">
        <f t="shared" si="44"/>
        <v>0</v>
      </c>
      <c r="AV23" s="4">
        <f t="shared" si="44"/>
        <v>0</v>
      </c>
      <c r="AW23" s="4">
        <f t="shared" si="44"/>
        <v>0</v>
      </c>
      <c r="AX23" s="4">
        <f t="shared" si="44"/>
        <v>0</v>
      </c>
      <c r="AY23" s="4">
        <f t="shared" si="44"/>
        <v>0</v>
      </c>
      <c r="AZ23" s="4">
        <f t="shared" si="44"/>
        <v>0</v>
      </c>
      <c r="BA23" s="4">
        <f t="shared" si="44"/>
        <v>0</v>
      </c>
      <c r="BB23" s="4">
        <f t="shared" si="44"/>
        <v>0</v>
      </c>
      <c r="BC23" s="4">
        <f t="shared" si="44"/>
        <v>0</v>
      </c>
      <c r="BD23" s="4">
        <f t="shared" si="44"/>
        <v>0</v>
      </c>
      <c r="BE23" s="4">
        <f t="shared" si="44"/>
        <v>0</v>
      </c>
      <c r="BF23" s="4">
        <f t="shared" si="44"/>
        <v>0</v>
      </c>
      <c r="BG23" s="4">
        <f t="shared" si="44"/>
        <v>0</v>
      </c>
      <c r="BH23" s="4">
        <f t="shared" si="45"/>
        <v>0</v>
      </c>
      <c r="BI23" s="4">
        <f t="shared" si="45"/>
        <v>0</v>
      </c>
      <c r="BJ23" s="4">
        <f t="shared" si="45"/>
        <v>0</v>
      </c>
      <c r="BK23" s="4">
        <f t="shared" si="45"/>
        <v>0</v>
      </c>
      <c r="BL23" s="4">
        <f t="shared" si="45"/>
        <v>0</v>
      </c>
      <c r="BM23" s="4">
        <f t="shared" si="45"/>
        <v>0</v>
      </c>
      <c r="BN23" s="4">
        <f t="shared" si="45"/>
        <v>0</v>
      </c>
    </row>
    <row r="24" spans="1:66" x14ac:dyDescent="0.2">
      <c r="A24" t="s">
        <v>38</v>
      </c>
      <c r="B24" t="s">
        <v>26</v>
      </c>
      <c r="D24" t="s">
        <v>50</v>
      </c>
      <c r="G24">
        <f>AM28/AP28</f>
        <v>0</v>
      </c>
      <c r="K24" t="s">
        <v>57</v>
      </c>
      <c r="L24" t="s">
        <v>61</v>
      </c>
      <c r="M24" t="s">
        <v>59</v>
      </c>
      <c r="N24" t="s">
        <v>60</v>
      </c>
      <c r="Z24">
        <f t="shared" si="35"/>
        <v>0</v>
      </c>
      <c r="AA24">
        <f t="shared" si="36"/>
        <v>0</v>
      </c>
      <c r="AE24">
        <f t="shared" si="37"/>
        <v>0</v>
      </c>
      <c r="AF24">
        <f t="shared" si="38"/>
        <v>0</v>
      </c>
      <c r="AG24">
        <f t="shared" si="39"/>
        <v>0</v>
      </c>
      <c r="AK24">
        <f t="shared" si="40"/>
        <v>0</v>
      </c>
      <c r="AL24">
        <f t="shared" si="41"/>
        <v>0</v>
      </c>
      <c r="AM24">
        <f t="shared" si="42"/>
        <v>0</v>
      </c>
      <c r="AN24">
        <f t="shared" si="43"/>
        <v>0</v>
      </c>
      <c r="AP24">
        <f t="shared" si="46"/>
        <v>0</v>
      </c>
      <c r="AQ24" s="4">
        <f t="shared" si="47"/>
        <v>0</v>
      </c>
      <c r="AR24" s="4">
        <f t="shared" si="44"/>
        <v>0</v>
      </c>
      <c r="AS24" s="4">
        <f t="shared" si="44"/>
        <v>0</v>
      </c>
      <c r="AT24" s="4">
        <f t="shared" si="44"/>
        <v>0</v>
      </c>
      <c r="AU24" s="4">
        <f t="shared" si="44"/>
        <v>0</v>
      </c>
      <c r="AV24" s="4">
        <f t="shared" si="44"/>
        <v>0</v>
      </c>
      <c r="AW24" s="4">
        <f t="shared" si="44"/>
        <v>0</v>
      </c>
      <c r="AX24" s="4">
        <f t="shared" si="44"/>
        <v>0</v>
      </c>
      <c r="AY24" s="4">
        <f t="shared" si="44"/>
        <v>0</v>
      </c>
      <c r="AZ24" s="4">
        <f t="shared" si="44"/>
        <v>0</v>
      </c>
      <c r="BA24" s="4">
        <f t="shared" si="44"/>
        <v>0</v>
      </c>
      <c r="BB24" s="4">
        <f t="shared" si="44"/>
        <v>0</v>
      </c>
      <c r="BC24" s="4">
        <f t="shared" si="44"/>
        <v>0</v>
      </c>
      <c r="BD24" s="4">
        <f t="shared" si="44"/>
        <v>0</v>
      </c>
      <c r="BE24" s="4">
        <f t="shared" si="44"/>
        <v>0</v>
      </c>
      <c r="BF24" s="4">
        <f t="shared" si="44"/>
        <v>0</v>
      </c>
      <c r="BG24" s="4">
        <f t="shared" si="44"/>
        <v>0</v>
      </c>
      <c r="BH24" s="4">
        <f t="shared" si="45"/>
        <v>0</v>
      </c>
      <c r="BI24" s="4">
        <f t="shared" si="45"/>
        <v>0</v>
      </c>
      <c r="BJ24" s="4">
        <f t="shared" si="45"/>
        <v>0</v>
      </c>
      <c r="BK24" s="4">
        <f t="shared" si="45"/>
        <v>0</v>
      </c>
      <c r="BL24" s="4">
        <f t="shared" si="45"/>
        <v>0</v>
      </c>
      <c r="BM24" s="4">
        <f t="shared" si="45"/>
        <v>0</v>
      </c>
      <c r="BN24" s="4">
        <f t="shared" si="45"/>
        <v>0</v>
      </c>
    </row>
    <row r="25" spans="1:66" x14ac:dyDescent="0.2">
      <c r="A25" t="s">
        <v>39</v>
      </c>
      <c r="B25" t="s">
        <v>27</v>
      </c>
      <c r="D25">
        <f>Z28/A31</f>
        <v>0</v>
      </c>
      <c r="G25" t="s">
        <v>78</v>
      </c>
      <c r="K25">
        <f>AVERAGE(E39:E50)</f>
        <v>0</v>
      </c>
      <c r="L25">
        <f>MEDIAN(E39:E50)</f>
        <v>0</v>
      </c>
      <c r="M25">
        <f>MAX(E39:E50)</f>
        <v>0</v>
      </c>
      <c r="N25">
        <f>_xlfn.STDEV.S(E39:E50)</f>
        <v>0</v>
      </c>
      <c r="Z25">
        <f t="shared" si="35"/>
        <v>0</v>
      </c>
      <c r="AA25">
        <f t="shared" si="36"/>
        <v>0</v>
      </c>
      <c r="AE25">
        <f t="shared" si="37"/>
        <v>0</v>
      </c>
      <c r="AF25">
        <f t="shared" si="38"/>
        <v>0</v>
      </c>
      <c r="AG25">
        <f t="shared" si="39"/>
        <v>0</v>
      </c>
      <c r="AK25">
        <f t="shared" si="40"/>
        <v>0</v>
      </c>
      <c r="AL25">
        <f t="shared" si="41"/>
        <v>0</v>
      </c>
      <c r="AM25">
        <f t="shared" si="42"/>
        <v>0</v>
      </c>
      <c r="AN25">
        <f t="shared" si="43"/>
        <v>0</v>
      </c>
      <c r="AP25">
        <f t="shared" si="46"/>
        <v>0</v>
      </c>
      <c r="AQ25" s="4">
        <f t="shared" si="47"/>
        <v>0</v>
      </c>
      <c r="AR25" s="4">
        <f t="shared" si="44"/>
        <v>0</v>
      </c>
      <c r="AS25" s="4">
        <f t="shared" si="44"/>
        <v>0</v>
      </c>
      <c r="AT25" s="4">
        <f t="shared" si="44"/>
        <v>0</v>
      </c>
      <c r="AU25" s="4">
        <f t="shared" si="44"/>
        <v>0</v>
      </c>
      <c r="AV25" s="4">
        <f t="shared" si="44"/>
        <v>0</v>
      </c>
      <c r="AW25" s="4">
        <f t="shared" si="44"/>
        <v>0</v>
      </c>
      <c r="AX25" s="4">
        <f t="shared" si="44"/>
        <v>0</v>
      </c>
      <c r="AY25" s="4">
        <f t="shared" si="44"/>
        <v>0</v>
      </c>
      <c r="AZ25" s="4">
        <f t="shared" si="44"/>
        <v>0</v>
      </c>
      <c r="BA25" s="4">
        <f t="shared" si="44"/>
        <v>0</v>
      </c>
      <c r="BB25" s="4">
        <f t="shared" si="44"/>
        <v>0</v>
      </c>
      <c r="BC25" s="4">
        <f t="shared" si="44"/>
        <v>0</v>
      </c>
      <c r="BD25" s="4">
        <f t="shared" si="44"/>
        <v>0</v>
      </c>
      <c r="BE25" s="4">
        <f t="shared" si="44"/>
        <v>0</v>
      </c>
      <c r="BF25" s="4">
        <f t="shared" si="44"/>
        <v>0</v>
      </c>
      <c r="BG25" s="4">
        <f t="shared" si="44"/>
        <v>0</v>
      </c>
      <c r="BH25" s="4">
        <f t="shared" si="45"/>
        <v>0</v>
      </c>
      <c r="BI25" s="4">
        <f t="shared" si="45"/>
        <v>0</v>
      </c>
      <c r="BJ25" s="4">
        <f t="shared" si="45"/>
        <v>0</v>
      </c>
      <c r="BK25" s="4">
        <f t="shared" si="45"/>
        <v>0</v>
      </c>
      <c r="BL25" s="4">
        <f t="shared" si="45"/>
        <v>0</v>
      </c>
      <c r="BM25" s="4">
        <f t="shared" si="45"/>
        <v>0</v>
      </c>
      <c r="BN25" s="4">
        <f t="shared" si="45"/>
        <v>0</v>
      </c>
    </row>
    <row r="26" spans="1:66" x14ac:dyDescent="0.2">
      <c r="A26" t="s">
        <v>44</v>
      </c>
      <c r="D26" t="s">
        <v>51</v>
      </c>
      <c r="G26">
        <f>AN28/AP28</f>
        <v>0</v>
      </c>
      <c r="K26" t="s">
        <v>62</v>
      </c>
      <c r="P26" t="s">
        <v>19</v>
      </c>
      <c r="Z26">
        <f t="shared" si="35"/>
        <v>0</v>
      </c>
      <c r="AA26">
        <f t="shared" si="36"/>
        <v>0</v>
      </c>
      <c r="AE26">
        <f t="shared" si="37"/>
        <v>0</v>
      </c>
      <c r="AF26">
        <f t="shared" si="38"/>
        <v>0</v>
      </c>
      <c r="AG26">
        <f t="shared" si="39"/>
        <v>0</v>
      </c>
      <c r="AK26">
        <f t="shared" si="40"/>
        <v>0</v>
      </c>
      <c r="AL26">
        <f t="shared" si="41"/>
        <v>0</v>
      </c>
      <c r="AM26">
        <f t="shared" si="42"/>
        <v>0</v>
      </c>
      <c r="AN26">
        <f t="shared" si="43"/>
        <v>0</v>
      </c>
      <c r="AP26">
        <f t="shared" si="46"/>
        <v>0</v>
      </c>
      <c r="AQ26" s="4">
        <f t="shared" si="47"/>
        <v>0</v>
      </c>
      <c r="AR26" s="4">
        <f t="shared" si="44"/>
        <v>0</v>
      </c>
      <c r="AS26" s="4">
        <f t="shared" si="44"/>
        <v>0</v>
      </c>
      <c r="AT26" s="4">
        <f t="shared" si="44"/>
        <v>0</v>
      </c>
      <c r="AU26" s="4">
        <f t="shared" si="44"/>
        <v>0</v>
      </c>
      <c r="AV26" s="4">
        <f t="shared" si="44"/>
        <v>0</v>
      </c>
      <c r="AW26" s="4">
        <f t="shared" si="44"/>
        <v>0</v>
      </c>
      <c r="AX26" s="4">
        <f t="shared" si="44"/>
        <v>0</v>
      </c>
      <c r="AY26" s="4">
        <f t="shared" si="44"/>
        <v>0</v>
      </c>
      <c r="AZ26" s="4">
        <f t="shared" si="44"/>
        <v>0</v>
      </c>
      <c r="BA26" s="4">
        <f t="shared" si="44"/>
        <v>0</v>
      </c>
      <c r="BB26" s="4">
        <f t="shared" si="44"/>
        <v>0</v>
      </c>
      <c r="BC26" s="4">
        <f t="shared" si="44"/>
        <v>0</v>
      </c>
      <c r="BD26" s="4">
        <f t="shared" si="44"/>
        <v>0</v>
      </c>
      <c r="BE26" s="4">
        <f t="shared" si="44"/>
        <v>0</v>
      </c>
      <c r="BF26" s="4">
        <f t="shared" si="44"/>
        <v>0</v>
      </c>
      <c r="BG26" s="4">
        <f t="shared" si="44"/>
        <v>0</v>
      </c>
      <c r="BH26" s="4">
        <f t="shared" si="45"/>
        <v>0</v>
      </c>
      <c r="BI26" s="4">
        <f t="shared" si="45"/>
        <v>0</v>
      </c>
      <c r="BJ26" s="4">
        <f t="shared" si="45"/>
        <v>0</v>
      </c>
      <c r="BK26" s="4">
        <f t="shared" si="45"/>
        <v>0</v>
      </c>
      <c r="BL26" s="4">
        <f t="shared" si="45"/>
        <v>0</v>
      </c>
      <c r="BM26" s="4">
        <f t="shared" si="45"/>
        <v>0</v>
      </c>
      <c r="BN26" s="4">
        <f t="shared" si="45"/>
        <v>0</v>
      </c>
    </row>
    <row r="27" spans="1:66" x14ac:dyDescent="0.2">
      <c r="A27" t="s">
        <v>45</v>
      </c>
      <c r="D27">
        <f>AA28/A31</f>
        <v>0</v>
      </c>
      <c r="G27" t="s">
        <v>56</v>
      </c>
      <c r="K27" t="s">
        <v>57</v>
      </c>
      <c r="L27" t="s">
        <v>58</v>
      </c>
      <c r="M27" t="s">
        <v>59</v>
      </c>
      <c r="N27" t="s">
        <v>60</v>
      </c>
      <c r="P27" t="s">
        <v>57</v>
      </c>
      <c r="Q27" t="s">
        <v>58</v>
      </c>
      <c r="R27" t="s">
        <v>59</v>
      </c>
      <c r="S27" t="s">
        <v>60</v>
      </c>
      <c r="Z27">
        <f t="shared" si="35"/>
        <v>0</v>
      </c>
      <c r="AA27">
        <f t="shared" si="36"/>
        <v>0</v>
      </c>
      <c r="AE27">
        <f t="shared" si="37"/>
        <v>0</v>
      </c>
      <c r="AF27">
        <f t="shared" si="38"/>
        <v>0</v>
      </c>
      <c r="AG27">
        <f t="shared" si="39"/>
        <v>0</v>
      </c>
      <c r="AK27">
        <f t="shared" si="40"/>
        <v>0</v>
      </c>
      <c r="AL27">
        <f t="shared" si="41"/>
        <v>0</v>
      </c>
      <c r="AM27">
        <f t="shared" si="42"/>
        <v>0</v>
      </c>
      <c r="AN27">
        <f t="shared" si="43"/>
        <v>0</v>
      </c>
      <c r="AP27">
        <f t="shared" si="46"/>
        <v>0</v>
      </c>
      <c r="AQ27" s="4">
        <f t="shared" si="47"/>
        <v>0</v>
      </c>
      <c r="AR27" s="4">
        <f t="shared" si="44"/>
        <v>0</v>
      </c>
      <c r="AS27" s="4">
        <f t="shared" si="44"/>
        <v>0</v>
      </c>
      <c r="AT27" s="4">
        <f t="shared" si="44"/>
        <v>0</v>
      </c>
      <c r="AU27" s="4">
        <f t="shared" si="44"/>
        <v>0</v>
      </c>
      <c r="AV27" s="4">
        <f t="shared" si="44"/>
        <v>0</v>
      </c>
      <c r="AW27" s="4">
        <f t="shared" si="44"/>
        <v>0</v>
      </c>
      <c r="AX27" s="4">
        <f t="shared" si="44"/>
        <v>0</v>
      </c>
      <c r="AY27" s="4">
        <f t="shared" si="44"/>
        <v>0</v>
      </c>
      <c r="AZ27" s="4">
        <f t="shared" si="44"/>
        <v>0</v>
      </c>
      <c r="BA27" s="4">
        <f t="shared" si="44"/>
        <v>0</v>
      </c>
      <c r="BB27" s="4">
        <f t="shared" si="44"/>
        <v>0</v>
      </c>
      <c r="BC27" s="4">
        <f t="shared" si="44"/>
        <v>0</v>
      </c>
      <c r="BD27" s="4">
        <f t="shared" si="44"/>
        <v>0</v>
      </c>
      <c r="BE27" s="4">
        <f t="shared" si="44"/>
        <v>0</v>
      </c>
      <c r="BF27" s="4">
        <f t="shared" si="44"/>
        <v>0</v>
      </c>
      <c r="BG27" s="4">
        <f t="shared" si="44"/>
        <v>0</v>
      </c>
      <c r="BH27" s="4">
        <f t="shared" si="45"/>
        <v>0</v>
      </c>
      <c r="BI27" s="4">
        <f t="shared" si="45"/>
        <v>0</v>
      </c>
      <c r="BJ27" s="4">
        <f t="shared" si="45"/>
        <v>0</v>
      </c>
      <c r="BK27" s="4">
        <f t="shared" si="45"/>
        <v>0</v>
      </c>
      <c r="BL27" s="4">
        <f t="shared" si="45"/>
        <v>0</v>
      </c>
      <c r="BM27" s="4">
        <f t="shared" si="45"/>
        <v>0</v>
      </c>
      <c r="BN27" s="4">
        <f t="shared" si="45"/>
        <v>0</v>
      </c>
    </row>
    <row r="28" spans="1:66" x14ac:dyDescent="0.2">
      <c r="A28" t="s">
        <v>46</v>
      </c>
      <c r="D28" t="s">
        <v>202</v>
      </c>
      <c r="G28" t="s">
        <v>57</v>
      </c>
      <c r="H28" t="s">
        <v>58</v>
      </c>
      <c r="I28" t="s">
        <v>59</v>
      </c>
      <c r="J28" t="s">
        <v>60</v>
      </c>
      <c r="K28">
        <f>AVERAGE(G39:G50)</f>
        <v>8.3333333333333329E-2</v>
      </c>
      <c r="L28">
        <f>MEDIAN(G39:G50)</f>
        <v>0</v>
      </c>
      <c r="M28">
        <f>MAX(G39:G50)</f>
        <v>1</v>
      </c>
      <c r="N28">
        <f>_xlfn.STDEV.S(G39:G50)</f>
        <v>0.28867513459481287</v>
      </c>
      <c r="P28">
        <f>AVERAGE(N39:N50)</f>
        <v>7</v>
      </c>
      <c r="Q28">
        <f>MEDIAN(N39:N50)</f>
        <v>4.5</v>
      </c>
      <c r="R28">
        <f>MAX(N39:N50)</f>
        <v>40</v>
      </c>
      <c r="S28">
        <f>_xlfn.STDEV.S(N39:N50)</f>
        <v>10.829253310950264</v>
      </c>
      <c r="Y28" t="s">
        <v>33</v>
      </c>
      <c r="Z28">
        <f>SUM(Z16:Z27)</f>
        <v>0</v>
      </c>
      <c r="AA28">
        <f>SUM(AA16:AA27)</f>
        <v>0</v>
      </c>
      <c r="AE28">
        <f>SUM(AE16:AE27)</f>
        <v>1</v>
      </c>
      <c r="AF28">
        <f>SUM(AF16:AF27)</f>
        <v>3</v>
      </c>
      <c r="AG28">
        <f>SUM(AG16:AG27)</f>
        <v>0</v>
      </c>
      <c r="AK28">
        <f>SUM(AK16:AK27)</f>
        <v>0</v>
      </c>
      <c r="AL28">
        <f>SUM(AL16:AL27)</f>
        <v>1</v>
      </c>
      <c r="AM28">
        <f>SUM(AM16:AM27)</f>
        <v>0</v>
      </c>
      <c r="AN28">
        <f>SUM(AN16:AN27)</f>
        <v>0</v>
      </c>
      <c r="AP28">
        <f>SUM(AP16:AP27)</f>
        <v>1</v>
      </c>
    </row>
    <row r="29" spans="1:66" x14ac:dyDescent="0.2">
      <c r="D29">
        <f>SUM(O39:O50)/F16</f>
        <v>1</v>
      </c>
      <c r="G29">
        <f>AVERAGE(A39:A50)</f>
        <v>0.33333333333333331</v>
      </c>
      <c r="H29">
        <f>MEDIAN(A39:A50)</f>
        <v>0</v>
      </c>
      <c r="I29">
        <f>MAX(A39:A50)</f>
        <v>2</v>
      </c>
      <c r="J29">
        <f>_xlfn.STDEV.S(A39:A50)</f>
        <v>0.6513389472789296</v>
      </c>
      <c r="K29" t="s">
        <v>63</v>
      </c>
      <c r="P29" t="s">
        <v>148</v>
      </c>
    </row>
    <row r="30" spans="1:66" x14ac:dyDescent="0.2">
      <c r="A30" t="s">
        <v>147</v>
      </c>
      <c r="D30" t="s">
        <v>203</v>
      </c>
      <c r="G30" t="s">
        <v>50</v>
      </c>
      <c r="H30" t="s">
        <v>51</v>
      </c>
      <c r="I30" t="s">
        <v>89</v>
      </c>
      <c r="K30" t="s">
        <v>57</v>
      </c>
      <c r="L30" t="s">
        <v>58</v>
      </c>
      <c r="M30" t="s">
        <v>59</v>
      </c>
      <c r="N30" t="s">
        <v>60</v>
      </c>
      <c r="P30" t="s">
        <v>57</v>
      </c>
      <c r="Q30" t="s">
        <v>58</v>
      </c>
      <c r="R30" t="s">
        <v>59</v>
      </c>
      <c r="S30" t="s">
        <v>60</v>
      </c>
      <c r="W30" t="s">
        <v>148</v>
      </c>
      <c r="Y30" t="s">
        <v>149</v>
      </c>
      <c r="AH30" t="s">
        <v>79</v>
      </c>
    </row>
    <row r="31" spans="1:66" x14ac:dyDescent="0.2">
      <c r="A31">
        <f>COUNT(B4:B15)</f>
        <v>12</v>
      </c>
      <c r="D31" s="2">
        <f>SUM(S39:S50)/SUM(Q39:Q50)</f>
        <v>0.5</v>
      </c>
      <c r="G31">
        <f>AE28/A31</f>
        <v>8.3333333333333329E-2</v>
      </c>
      <c r="H31">
        <f>AF28/A31</f>
        <v>0.25</v>
      </c>
      <c r="I31">
        <f>AG28/A31</f>
        <v>0</v>
      </c>
      <c r="K31" t="e">
        <f>AVERAGE(I39:I50)</f>
        <v>#DIV/0!</v>
      </c>
      <c r="L31" t="e">
        <f>MEDIAN(I39:I50)</f>
        <v>#NUM!</v>
      </c>
      <c r="M31">
        <f>MAX(I39:I50)</f>
        <v>0</v>
      </c>
      <c r="N31" t="e">
        <f>_xlfn.STDEV.S(I39:I50)</f>
        <v>#DIV/0!</v>
      </c>
      <c r="P31">
        <f>AVERAGE(W31:W42)</f>
        <v>1.75</v>
      </c>
      <c r="Q31">
        <f>MEDIAN(W31:W42)</f>
        <v>1.5</v>
      </c>
      <c r="R31">
        <f>MAX(W31:W42)</f>
        <v>4</v>
      </c>
      <c r="S31">
        <f>_xlfn.STDEV.S(W31:W42)</f>
        <v>1.707825127659933</v>
      </c>
      <c r="W31" t="str">
        <f t="shared" ref="W31:W33" si="48">IF(AND(ISBLANK(Q4), ISBLANK(R4), ISBLANK(G4), ISBLANK(H4)), "", U4)</f>
        <v/>
      </c>
      <c r="Y31" t="str">
        <f t="shared" ref="Y31:Y42" si="49">IF(ISBLANK(Y4), IF(X4 = 0, "", (G4 + H4/3 + V4/9 + W4/3)), U4)</f>
        <v/>
      </c>
      <c r="AH31" t="s">
        <v>80</v>
      </c>
    </row>
    <row r="32" spans="1:66" x14ac:dyDescent="0.2">
      <c r="D32" s="3"/>
      <c r="K32" t="s">
        <v>64</v>
      </c>
      <c r="P32" t="s">
        <v>149</v>
      </c>
      <c r="W32" t="str">
        <f t="shared" si="48"/>
        <v/>
      </c>
      <c r="Y32" t="str">
        <f t="shared" si="49"/>
        <v/>
      </c>
      <c r="AH32" t="s">
        <v>81</v>
      </c>
    </row>
    <row r="33" spans="1:34" x14ac:dyDescent="0.2">
      <c r="D33" s="3"/>
      <c r="K33" t="s">
        <v>57</v>
      </c>
      <c r="L33" t="s">
        <v>58</v>
      </c>
      <c r="M33" t="s">
        <v>59</v>
      </c>
      <c r="N33" t="s">
        <v>60</v>
      </c>
      <c r="P33" t="s">
        <v>57</v>
      </c>
      <c r="Q33" t="s">
        <v>58</v>
      </c>
      <c r="R33" t="s">
        <v>59</v>
      </c>
      <c r="S33" t="s">
        <v>60</v>
      </c>
      <c r="W33" t="str">
        <f t="shared" si="48"/>
        <v/>
      </c>
      <c r="Y33" t="str">
        <f t="shared" si="49"/>
        <v/>
      </c>
      <c r="AH33" t="s">
        <v>82</v>
      </c>
    </row>
    <row r="34" spans="1:34" x14ac:dyDescent="0.2">
      <c r="D34" s="3"/>
      <c r="K34">
        <f>AVERAGE(K39:K50)</f>
        <v>8.3333333333333329E-2</v>
      </c>
      <c r="L34">
        <f>MEDIAN(K39:K50)</f>
        <v>0</v>
      </c>
      <c r="M34">
        <f>MAX(K39:K50)</f>
        <v>1</v>
      </c>
      <c r="N34">
        <f>_xlfn.STDEV.S(K39:K50)</f>
        <v>0.28867513459481287</v>
      </c>
      <c r="P34">
        <f>AVERAGE(Y31:Y42)</f>
        <v>3</v>
      </c>
      <c r="Q34">
        <f>MEDIAN(Y31:Y42)</f>
        <v>3.5</v>
      </c>
      <c r="R34">
        <f>MAX(Y31:Y42)</f>
        <v>4</v>
      </c>
      <c r="S34">
        <f>_xlfn.STDEV.S(Y31:Y42)</f>
        <v>1.4142135623730951</v>
      </c>
      <c r="W34" t="str">
        <f>IF(AND(ISBLANK(Q7), ISBLANK(R7), ISBLANK(G7), ISBLANK(H7)), "", U7)</f>
        <v/>
      </c>
      <c r="Y34" t="str">
        <f t="shared" si="49"/>
        <v/>
      </c>
      <c r="AH34" t="s">
        <v>83</v>
      </c>
    </row>
    <row r="35" spans="1:34" x14ac:dyDescent="0.2">
      <c r="P35" t="s">
        <v>95</v>
      </c>
      <c r="R35" t="s">
        <v>197</v>
      </c>
      <c r="W35">
        <f t="shared" ref="W35:W42" si="50">IF(AND(ISBLANK(Q8), ISBLANK(R8), ISBLANK(G8), ISBLANK(H8)), "", U8)</f>
        <v>2</v>
      </c>
      <c r="Y35">
        <f t="shared" si="49"/>
        <v>3</v>
      </c>
    </row>
    <row r="36" spans="1:34" x14ac:dyDescent="0.2">
      <c r="P36">
        <f>Q16/(Q16+R16)</f>
        <v>0</v>
      </c>
      <c r="R36">
        <f>R16/(Q16+R16)</f>
        <v>1</v>
      </c>
      <c r="W36" t="str">
        <f t="shared" si="50"/>
        <v/>
      </c>
      <c r="Y36" t="str">
        <f t="shared" si="49"/>
        <v/>
      </c>
    </row>
    <row r="37" spans="1:34" x14ac:dyDescent="0.2">
      <c r="W37">
        <f t="shared" si="50"/>
        <v>1</v>
      </c>
      <c r="Y37">
        <f t="shared" si="49"/>
        <v>1</v>
      </c>
    </row>
    <row r="38" spans="1:34" x14ac:dyDescent="0.2">
      <c r="A38" t="s">
        <v>68</v>
      </c>
      <c r="C38" t="s">
        <v>69</v>
      </c>
      <c r="E38" t="s">
        <v>72</v>
      </c>
      <c r="G38" t="s">
        <v>250</v>
      </c>
      <c r="K38" t="s">
        <v>73</v>
      </c>
      <c r="M38" t="s">
        <v>70</v>
      </c>
      <c r="N38" t="s">
        <v>71</v>
      </c>
      <c r="O38" t="s">
        <v>199</v>
      </c>
      <c r="Q38" t="s">
        <v>200</v>
      </c>
      <c r="S38" t="s">
        <v>201</v>
      </c>
      <c r="W38" t="str">
        <f t="shared" si="50"/>
        <v/>
      </c>
      <c r="Y38" t="str">
        <f t="shared" si="49"/>
        <v/>
      </c>
    </row>
    <row r="39" spans="1:34" x14ac:dyDescent="0.2">
      <c r="A39">
        <f t="shared" ref="A39:A50" si="51">IF(ISBLANK(B4), "", SUM(AE16+AF16+AG16))</f>
        <v>0</v>
      </c>
      <c r="C39">
        <f t="shared" ref="C39:C50" si="52">IF(ISBLANK(B4), "", O4)</f>
        <v>3</v>
      </c>
      <c r="E39">
        <f t="shared" ref="E39:E50" si="53">IF(ISBLANK(B4), "", Q4)</f>
        <v>0</v>
      </c>
      <c r="G39">
        <f t="shared" ref="G39:G50" si="54">IF(ISBLANK(B4), "", R4)</f>
        <v>0</v>
      </c>
      <c r="K39">
        <f t="shared" ref="K39:K50" si="55">IF(ISBLANK(B4), "", SUM(Q4 + R4))</f>
        <v>0</v>
      </c>
      <c r="M39">
        <f t="shared" ref="M39:M50" si="56">IF(ISBLANK(B4), "", SUM(K4+M4) - O4)</f>
        <v>0</v>
      </c>
      <c r="N39">
        <f t="shared" ref="N39:N50" si="57">IF(ISBLANK(B4), "", U4)</f>
        <v>10</v>
      </c>
      <c r="O39">
        <f t="shared" ref="O39:O50" si="58">COUNTIF(E4, "1")*COUNTIF(F4, "1")</f>
        <v>1</v>
      </c>
      <c r="Q39">
        <f t="shared" ref="Q39:Q50" si="59">COUNTIF(D4, "1")*COUNTIF(F4, "")</f>
        <v>0</v>
      </c>
      <c r="S39">
        <f t="shared" ref="S39:S50" si="60">COUNTIF(E4, "1")*COUNTIF(F4, "")</f>
        <v>0</v>
      </c>
      <c r="W39" t="str">
        <f t="shared" si="50"/>
        <v/>
      </c>
      <c r="Y39" t="str">
        <f t="shared" si="49"/>
        <v/>
      </c>
    </row>
    <row r="40" spans="1:34" x14ac:dyDescent="0.2">
      <c r="A40">
        <f t="shared" si="51"/>
        <v>0</v>
      </c>
      <c r="C40">
        <f t="shared" si="52"/>
        <v>3</v>
      </c>
      <c r="E40">
        <f t="shared" si="53"/>
        <v>0</v>
      </c>
      <c r="G40">
        <f t="shared" si="54"/>
        <v>0</v>
      </c>
      <c r="K40">
        <f t="shared" si="55"/>
        <v>0</v>
      </c>
      <c r="M40">
        <f t="shared" si="56"/>
        <v>0</v>
      </c>
      <c r="N40">
        <f t="shared" si="57"/>
        <v>3</v>
      </c>
      <c r="O40">
        <f t="shared" si="58"/>
        <v>0</v>
      </c>
      <c r="Q40">
        <f t="shared" si="59"/>
        <v>1</v>
      </c>
      <c r="S40">
        <f t="shared" si="60"/>
        <v>1</v>
      </c>
      <c r="W40">
        <f t="shared" si="50"/>
        <v>0</v>
      </c>
      <c r="Y40">
        <f t="shared" si="49"/>
        <v>4</v>
      </c>
    </row>
    <row r="41" spans="1:34" x14ac:dyDescent="0.2">
      <c r="A41">
        <f t="shared" si="51"/>
        <v>0</v>
      </c>
      <c r="C41">
        <f t="shared" si="52"/>
        <v>2</v>
      </c>
      <c r="E41">
        <f t="shared" si="53"/>
        <v>0</v>
      </c>
      <c r="G41">
        <f t="shared" si="54"/>
        <v>0</v>
      </c>
      <c r="K41">
        <f t="shared" si="55"/>
        <v>0</v>
      </c>
      <c r="M41">
        <f t="shared" si="56"/>
        <v>1</v>
      </c>
      <c r="N41">
        <f t="shared" si="57"/>
        <v>5</v>
      </c>
      <c r="O41">
        <f t="shared" si="58"/>
        <v>0</v>
      </c>
      <c r="Q41">
        <f t="shared" si="59"/>
        <v>0</v>
      </c>
      <c r="S41">
        <f t="shared" si="60"/>
        <v>0</v>
      </c>
      <c r="W41">
        <f t="shared" si="50"/>
        <v>4</v>
      </c>
      <c r="Y41">
        <f t="shared" si="49"/>
        <v>4</v>
      </c>
    </row>
    <row r="42" spans="1:34" x14ac:dyDescent="0.2">
      <c r="A42">
        <f t="shared" si="51"/>
        <v>0</v>
      </c>
      <c r="C42">
        <f t="shared" si="52"/>
        <v>4</v>
      </c>
      <c r="E42">
        <f t="shared" si="53"/>
        <v>0</v>
      </c>
      <c r="G42">
        <f t="shared" si="54"/>
        <v>0</v>
      </c>
      <c r="K42">
        <f t="shared" si="55"/>
        <v>0</v>
      </c>
      <c r="M42">
        <f t="shared" si="56"/>
        <v>0</v>
      </c>
      <c r="N42">
        <f t="shared" si="57"/>
        <v>7</v>
      </c>
      <c r="O42">
        <f t="shared" si="58"/>
        <v>0</v>
      </c>
      <c r="Q42">
        <f t="shared" si="59"/>
        <v>1</v>
      </c>
      <c r="S42">
        <f t="shared" si="60"/>
        <v>1</v>
      </c>
      <c r="W42" t="str">
        <f t="shared" si="50"/>
        <v/>
      </c>
      <c r="Y42" t="str">
        <f t="shared" si="49"/>
        <v/>
      </c>
    </row>
    <row r="43" spans="1:34" x14ac:dyDescent="0.2">
      <c r="A43">
        <f t="shared" si="51"/>
        <v>1</v>
      </c>
      <c r="C43">
        <f t="shared" si="52"/>
        <v>2</v>
      </c>
      <c r="E43">
        <f t="shared" si="53"/>
        <v>0</v>
      </c>
      <c r="G43">
        <f t="shared" si="54"/>
        <v>0</v>
      </c>
      <c r="K43">
        <f t="shared" si="55"/>
        <v>0</v>
      </c>
      <c r="M43">
        <f t="shared" si="56"/>
        <v>1</v>
      </c>
      <c r="N43">
        <f t="shared" si="57"/>
        <v>2</v>
      </c>
      <c r="O43">
        <f t="shared" si="58"/>
        <v>0</v>
      </c>
      <c r="Q43">
        <f t="shared" si="59"/>
        <v>0</v>
      </c>
      <c r="S43">
        <f t="shared" si="60"/>
        <v>0</v>
      </c>
    </row>
    <row r="44" spans="1:34" x14ac:dyDescent="0.2">
      <c r="A44">
        <f t="shared" si="51"/>
        <v>2</v>
      </c>
      <c r="C44">
        <f t="shared" si="52"/>
        <v>4</v>
      </c>
      <c r="E44">
        <f t="shared" si="53"/>
        <v>0</v>
      </c>
      <c r="G44">
        <f t="shared" si="54"/>
        <v>0</v>
      </c>
      <c r="K44">
        <f t="shared" si="55"/>
        <v>0</v>
      </c>
      <c r="M44">
        <f t="shared" si="56"/>
        <v>1</v>
      </c>
      <c r="N44">
        <f t="shared" si="57"/>
        <v>7</v>
      </c>
      <c r="O44">
        <f t="shared" si="58"/>
        <v>0</v>
      </c>
      <c r="Q44">
        <f t="shared" si="59"/>
        <v>1</v>
      </c>
      <c r="S44">
        <f t="shared" si="60"/>
        <v>1</v>
      </c>
    </row>
    <row r="45" spans="1:34" x14ac:dyDescent="0.2">
      <c r="A45">
        <f t="shared" si="51"/>
        <v>1</v>
      </c>
      <c r="C45">
        <f t="shared" si="52"/>
        <v>2</v>
      </c>
      <c r="E45">
        <f t="shared" si="53"/>
        <v>0</v>
      </c>
      <c r="G45">
        <f t="shared" si="54"/>
        <v>1</v>
      </c>
      <c r="K45">
        <f t="shared" si="55"/>
        <v>1</v>
      </c>
      <c r="M45">
        <f t="shared" si="56"/>
        <v>1</v>
      </c>
      <c r="N45">
        <f t="shared" si="57"/>
        <v>1</v>
      </c>
      <c r="O45">
        <f t="shared" si="58"/>
        <v>0</v>
      </c>
      <c r="Q45">
        <f t="shared" si="59"/>
        <v>1</v>
      </c>
      <c r="S45">
        <f t="shared" si="60"/>
        <v>0</v>
      </c>
    </row>
    <row r="46" spans="1:34" x14ac:dyDescent="0.2">
      <c r="A46">
        <f t="shared" si="51"/>
        <v>0</v>
      </c>
      <c r="C46">
        <f t="shared" si="52"/>
        <v>2</v>
      </c>
      <c r="E46">
        <f t="shared" si="53"/>
        <v>0</v>
      </c>
      <c r="G46">
        <f t="shared" si="54"/>
        <v>0</v>
      </c>
      <c r="K46">
        <f t="shared" si="55"/>
        <v>0</v>
      </c>
      <c r="M46">
        <f t="shared" si="56"/>
        <v>1</v>
      </c>
      <c r="N46">
        <f t="shared" si="57"/>
        <v>5</v>
      </c>
      <c r="O46">
        <f t="shared" si="58"/>
        <v>0</v>
      </c>
      <c r="Q46">
        <f t="shared" si="59"/>
        <v>1</v>
      </c>
      <c r="S46">
        <f t="shared" si="60"/>
        <v>0</v>
      </c>
    </row>
    <row r="47" spans="1:34" x14ac:dyDescent="0.2">
      <c r="A47">
        <f t="shared" si="51"/>
        <v>0</v>
      </c>
      <c r="C47">
        <f t="shared" si="52"/>
        <v>3</v>
      </c>
      <c r="E47">
        <f t="shared" si="53"/>
        <v>0</v>
      </c>
      <c r="G47">
        <f t="shared" si="54"/>
        <v>0</v>
      </c>
      <c r="K47">
        <f t="shared" si="55"/>
        <v>0</v>
      </c>
      <c r="M47">
        <f t="shared" si="56"/>
        <v>1</v>
      </c>
      <c r="N47">
        <f t="shared" si="57"/>
        <v>0</v>
      </c>
      <c r="O47">
        <f t="shared" si="58"/>
        <v>0</v>
      </c>
      <c r="Q47">
        <f t="shared" si="59"/>
        <v>1</v>
      </c>
      <c r="S47">
        <f t="shared" si="60"/>
        <v>1</v>
      </c>
    </row>
    <row r="48" spans="1:34" x14ac:dyDescent="0.2">
      <c r="A48">
        <f t="shared" si="51"/>
        <v>0</v>
      </c>
      <c r="C48">
        <f t="shared" si="52"/>
        <v>4</v>
      </c>
      <c r="E48">
        <f t="shared" si="53"/>
        <v>0</v>
      </c>
      <c r="G48">
        <f t="shared" si="54"/>
        <v>0</v>
      </c>
      <c r="K48">
        <f t="shared" si="55"/>
        <v>0</v>
      </c>
      <c r="M48">
        <f t="shared" si="56"/>
        <v>-1</v>
      </c>
      <c r="N48">
        <f t="shared" si="57"/>
        <v>0</v>
      </c>
      <c r="O48">
        <f t="shared" si="58"/>
        <v>0</v>
      </c>
      <c r="Q48">
        <f t="shared" si="59"/>
        <v>1</v>
      </c>
      <c r="S48">
        <f t="shared" si="60"/>
        <v>0</v>
      </c>
    </row>
    <row r="49" spans="1:19" x14ac:dyDescent="0.2">
      <c r="A49">
        <f t="shared" si="51"/>
        <v>0</v>
      </c>
      <c r="C49">
        <f t="shared" si="52"/>
        <v>3</v>
      </c>
      <c r="E49">
        <f t="shared" si="53"/>
        <v>0</v>
      </c>
      <c r="G49">
        <f t="shared" si="54"/>
        <v>0</v>
      </c>
      <c r="K49">
        <f t="shared" si="55"/>
        <v>0</v>
      </c>
      <c r="M49">
        <f t="shared" si="56"/>
        <v>-1</v>
      </c>
      <c r="N49">
        <f t="shared" si="57"/>
        <v>4</v>
      </c>
      <c r="O49">
        <f t="shared" si="58"/>
        <v>0</v>
      </c>
      <c r="Q49">
        <f t="shared" si="59"/>
        <v>1</v>
      </c>
      <c r="S49">
        <f t="shared" si="60"/>
        <v>0</v>
      </c>
    </row>
    <row r="50" spans="1:19" x14ac:dyDescent="0.2">
      <c r="A50">
        <f t="shared" si="51"/>
        <v>0</v>
      </c>
      <c r="C50">
        <f t="shared" si="52"/>
        <v>1</v>
      </c>
      <c r="E50">
        <f t="shared" si="53"/>
        <v>0</v>
      </c>
      <c r="G50">
        <f t="shared" si="54"/>
        <v>0</v>
      </c>
      <c r="K50">
        <f t="shared" si="55"/>
        <v>0</v>
      </c>
      <c r="M50">
        <f t="shared" si="56"/>
        <v>1</v>
      </c>
      <c r="N50">
        <f t="shared" si="57"/>
        <v>40</v>
      </c>
      <c r="O50">
        <f t="shared" si="58"/>
        <v>1</v>
      </c>
      <c r="Q50">
        <f t="shared" si="59"/>
        <v>0</v>
      </c>
      <c r="S50">
        <f t="shared" si="60"/>
        <v>0</v>
      </c>
    </row>
  </sheetData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 enableFormatConditionsCalculation="0"/>
  <dimension ref="A1:BN50"/>
  <sheetViews>
    <sheetView topLeftCell="E1" workbookViewId="0">
      <selection activeCell="H14" sqref="H14"/>
    </sheetView>
  </sheetViews>
  <sheetFormatPr baseColWidth="10" defaultColWidth="11.5" defaultRowHeight="15" x14ac:dyDescent="0.2"/>
  <sheetData>
    <row r="1" spans="1:66" x14ac:dyDescent="0.2">
      <c r="A1" s="1" t="s">
        <v>0</v>
      </c>
      <c r="D1" t="s">
        <v>3</v>
      </c>
      <c r="K1" t="s">
        <v>11</v>
      </c>
      <c r="N1" t="s">
        <v>12</v>
      </c>
      <c r="P1" t="s">
        <v>14</v>
      </c>
      <c r="Q1" t="s">
        <v>17</v>
      </c>
      <c r="S1" t="s">
        <v>18</v>
      </c>
      <c r="Z1" t="s">
        <v>29</v>
      </c>
      <c r="AE1" t="s">
        <v>30</v>
      </c>
      <c r="AK1" t="s">
        <v>42</v>
      </c>
    </row>
    <row r="2" spans="1:66" x14ac:dyDescent="0.2">
      <c r="A2" t="s">
        <v>1</v>
      </c>
      <c r="B2" t="s">
        <v>1</v>
      </c>
      <c r="C2" t="s">
        <v>87</v>
      </c>
      <c r="D2" t="s">
        <v>54</v>
      </c>
      <c r="E2" t="s">
        <v>13</v>
      </c>
      <c r="F2" t="s">
        <v>198</v>
      </c>
      <c r="G2" t="s">
        <v>7</v>
      </c>
      <c r="H2" t="s">
        <v>8</v>
      </c>
      <c r="I2" t="s">
        <v>179</v>
      </c>
      <c r="J2" t="s">
        <v>178</v>
      </c>
      <c r="K2" t="s">
        <v>9</v>
      </c>
      <c r="L2" t="s">
        <v>196</v>
      </c>
      <c r="M2" t="s">
        <v>10</v>
      </c>
      <c r="N2" t="s">
        <v>54</v>
      </c>
      <c r="O2" t="s">
        <v>13</v>
      </c>
      <c r="P2" t="s">
        <v>15</v>
      </c>
      <c r="Q2" t="s">
        <v>8</v>
      </c>
      <c r="R2" t="s">
        <v>7</v>
      </c>
      <c r="S2" t="s">
        <v>181</v>
      </c>
      <c r="T2" t="s">
        <v>182</v>
      </c>
      <c r="U2" t="s">
        <v>19</v>
      </c>
      <c r="V2" t="s">
        <v>191</v>
      </c>
      <c r="W2" t="s">
        <v>192</v>
      </c>
      <c r="X2" t="s">
        <v>175</v>
      </c>
      <c r="Y2" t="s">
        <v>173</v>
      </c>
      <c r="Z2" t="str">
        <f t="shared" ref="Z2:Z13" si="0">LEFT(I4, 1)</f>
        <v/>
      </c>
      <c r="AA2" t="str">
        <f t="shared" ref="AA2:AA13" si="1">MID(I4, 4, 1)</f>
        <v/>
      </c>
      <c r="AB2" t="str">
        <f t="shared" ref="AB2:AB13" si="2">MID(I4, 7, 1)</f>
        <v/>
      </c>
      <c r="AC2" t="str">
        <f t="shared" ref="AC2:AC13" si="3">MID(I4, 10, 1)</f>
        <v/>
      </c>
      <c r="AE2" t="str">
        <f t="shared" ref="AE2:AE13" si="4">LEFT(J4, 1)</f>
        <v/>
      </c>
      <c r="AF2" t="str">
        <f t="shared" ref="AF2:AF13" si="5">MID(J4, 4, 1)</f>
        <v/>
      </c>
      <c r="AG2" t="str">
        <f t="shared" ref="AG2:AG13" si="6">MID(J4, 7, 1)</f>
        <v/>
      </c>
      <c r="AH2" t="str">
        <f t="shared" ref="AH2:AH13" si="7">MID(J4, 10, 1)</f>
        <v/>
      </c>
      <c r="AI2" t="str">
        <f t="shared" ref="AI2:AI13" si="8">MID(J4, 13, 1)</f>
        <v/>
      </c>
      <c r="AK2" t="str">
        <f t="shared" ref="AK2:AK13" si="9">LEFT(P4, 2)</f>
        <v>h1</v>
      </c>
      <c r="AL2" t="str">
        <f>MID($P4, 5, 2)</f>
        <v/>
      </c>
      <c r="AM2" t="str">
        <f t="shared" ref="AM2:AM13" si="10">MID($P4, 9, 2)</f>
        <v/>
      </c>
      <c r="AN2" t="str">
        <f t="shared" ref="AN2:AN13" si="11">MID($P4, 13, 2)</f>
        <v/>
      </c>
      <c r="AO2" t="str">
        <f t="shared" ref="AO2:AO13" si="12">MID($P4, 17, 2)</f>
        <v/>
      </c>
      <c r="AP2" t="str">
        <f t="shared" ref="AP2:AP13" si="13">MID($P4, 21, 2)</f>
        <v/>
      </c>
      <c r="AQ2" t="str">
        <f t="shared" ref="AQ2:AQ13" si="14">MID($P4, 25, 2)</f>
        <v/>
      </c>
      <c r="AR2" t="str">
        <f t="shared" ref="AR2:AR13" si="15">MID($P4, 29, 2)</f>
        <v/>
      </c>
      <c r="AS2" t="str">
        <f t="shared" ref="AS2:AS13" si="16">MID($P4, 33, 2)</f>
        <v/>
      </c>
      <c r="AT2" t="str">
        <f t="shared" ref="AT2:AT13" si="17">MID($P4, 37, 2)</f>
        <v/>
      </c>
      <c r="AU2" t="str">
        <f t="shared" ref="AU2:AU13" si="18">MID($P4, 41, 2)</f>
        <v/>
      </c>
      <c r="AV2" t="str">
        <f t="shared" ref="AV2:AV13" si="19">MID($P4, 45, 2)</f>
        <v/>
      </c>
      <c r="AW2" t="str">
        <f t="shared" ref="AW2:AW13" si="20">MID($P4, 49, 2)</f>
        <v/>
      </c>
      <c r="AX2" t="str">
        <f t="shared" ref="AX2:AX13" si="21">MID($P4, 53, 2)</f>
        <v/>
      </c>
      <c r="AY2" t="str">
        <f t="shared" ref="AY2:AY13" si="22">MID($P4, 57, 2)</f>
        <v/>
      </c>
      <c r="AZ2" t="str">
        <f t="shared" ref="AZ2:AZ13" si="23">MID($P4, 61, 2)</f>
        <v/>
      </c>
      <c r="BA2" t="str">
        <f t="shared" ref="BA2:BA13" si="24">MID($P4, 65, 2)</f>
        <v/>
      </c>
      <c r="BB2" t="str">
        <f t="shared" ref="BB2:BB13" si="25">MID($P4, 69, 2)</f>
        <v/>
      </c>
      <c r="BC2" t="str">
        <f t="shared" ref="BC2:BC13" si="26">MID($P4, 73, 2)</f>
        <v/>
      </c>
      <c r="BD2" t="str">
        <f t="shared" ref="BD2:BD13" si="27">MID($P4, 77, 2)</f>
        <v/>
      </c>
      <c r="BE2" t="str">
        <f t="shared" ref="BE2:BE13" si="28">MID($P4, 81, 2)</f>
        <v/>
      </c>
      <c r="BF2" t="str">
        <f t="shared" ref="BF2:BF13" si="29">MID($P4, 85, 2)</f>
        <v/>
      </c>
      <c r="BG2" t="str">
        <f t="shared" ref="BG2:BG13" si="30">MID($P4, 89, 2)</f>
        <v/>
      </c>
      <c r="BH2" t="str">
        <f t="shared" ref="BH2:BH13" si="31">MID($P4, 93, 2)</f>
        <v/>
      </c>
    </row>
    <row r="3" spans="1:66" x14ac:dyDescent="0.2">
      <c r="A3" t="s">
        <v>2</v>
      </c>
      <c r="B3" t="s">
        <v>6</v>
      </c>
      <c r="C3" t="s">
        <v>88</v>
      </c>
      <c r="D3" t="s">
        <v>6</v>
      </c>
      <c r="E3" t="s">
        <v>6</v>
      </c>
      <c r="F3" t="s">
        <v>4</v>
      </c>
      <c r="G3" t="s">
        <v>6</v>
      </c>
      <c r="H3" t="s">
        <v>6</v>
      </c>
      <c r="I3" t="s">
        <v>86</v>
      </c>
      <c r="J3" t="s">
        <v>86</v>
      </c>
      <c r="K3" t="s">
        <v>6</v>
      </c>
      <c r="L3" t="s">
        <v>6</v>
      </c>
      <c r="M3" t="s">
        <v>6</v>
      </c>
      <c r="N3" t="s">
        <v>6</v>
      </c>
      <c r="O3" t="s">
        <v>6</v>
      </c>
      <c r="P3" t="s">
        <v>16</v>
      </c>
      <c r="Q3" t="s">
        <v>6</v>
      </c>
      <c r="R3" t="s">
        <v>6</v>
      </c>
      <c r="S3" t="s">
        <v>4</v>
      </c>
      <c r="T3" t="s">
        <v>4</v>
      </c>
      <c r="U3" t="s">
        <v>6</v>
      </c>
      <c r="V3" t="s">
        <v>6</v>
      </c>
      <c r="W3" t="s">
        <v>6</v>
      </c>
      <c r="X3" t="s">
        <v>6</v>
      </c>
      <c r="Y3" t="s">
        <v>174</v>
      </c>
      <c r="Z3" t="str">
        <f t="shared" si="0"/>
        <v/>
      </c>
      <c r="AA3" t="str">
        <f t="shared" si="1"/>
        <v/>
      </c>
      <c r="AB3" t="str">
        <f t="shared" si="2"/>
        <v/>
      </c>
      <c r="AC3" t="str">
        <f t="shared" si="3"/>
        <v/>
      </c>
      <c r="AE3" t="str">
        <f t="shared" si="4"/>
        <v/>
      </c>
      <c r="AF3" t="str">
        <f t="shared" si="5"/>
        <v/>
      </c>
      <c r="AG3" t="str">
        <f t="shared" si="6"/>
        <v/>
      </c>
      <c r="AH3" t="str">
        <f t="shared" si="7"/>
        <v/>
      </c>
      <c r="AI3" t="str">
        <f t="shared" si="8"/>
        <v/>
      </c>
      <c r="AK3" t="str">
        <f t="shared" si="9"/>
        <v/>
      </c>
      <c r="AL3" t="str">
        <f t="shared" ref="AL3:AL13" si="32">MID(P5, 5, 2)</f>
        <v/>
      </c>
      <c r="AM3" t="str">
        <f t="shared" si="10"/>
        <v/>
      </c>
      <c r="AN3" t="str">
        <f t="shared" si="11"/>
        <v/>
      </c>
      <c r="AO3" t="str">
        <f t="shared" si="12"/>
        <v/>
      </c>
      <c r="AP3" t="str">
        <f t="shared" si="13"/>
        <v/>
      </c>
      <c r="AQ3" t="str">
        <f t="shared" si="14"/>
        <v/>
      </c>
      <c r="AR3" t="str">
        <f t="shared" si="15"/>
        <v/>
      </c>
      <c r="AS3" t="str">
        <f t="shared" si="16"/>
        <v/>
      </c>
      <c r="AT3" t="str">
        <f t="shared" si="17"/>
        <v/>
      </c>
      <c r="AU3" t="str">
        <f t="shared" si="18"/>
        <v/>
      </c>
      <c r="AV3" t="str">
        <f t="shared" si="19"/>
        <v/>
      </c>
      <c r="AW3" t="str">
        <f t="shared" si="20"/>
        <v/>
      </c>
      <c r="AX3" t="str">
        <f t="shared" si="21"/>
        <v/>
      </c>
      <c r="AY3" t="str">
        <f t="shared" si="22"/>
        <v/>
      </c>
      <c r="AZ3" t="str">
        <f t="shared" si="23"/>
        <v/>
      </c>
      <c r="BA3" t="str">
        <f t="shared" si="24"/>
        <v/>
      </c>
      <c r="BB3" t="str">
        <f t="shared" si="25"/>
        <v/>
      </c>
      <c r="BC3" t="str">
        <f t="shared" si="26"/>
        <v/>
      </c>
      <c r="BD3" t="str">
        <f t="shared" si="27"/>
        <v/>
      </c>
      <c r="BE3" t="str">
        <f t="shared" si="28"/>
        <v/>
      </c>
      <c r="BF3" t="str">
        <f t="shared" si="29"/>
        <v/>
      </c>
      <c r="BG3" t="str">
        <f t="shared" si="30"/>
        <v/>
      </c>
      <c r="BH3" t="str">
        <f t="shared" si="31"/>
        <v/>
      </c>
    </row>
    <row r="4" spans="1:66" x14ac:dyDescent="0.2">
      <c r="A4">
        <v>1</v>
      </c>
      <c r="B4">
        <v>8</v>
      </c>
      <c r="C4" t="s">
        <v>39</v>
      </c>
      <c r="G4">
        <v>19</v>
      </c>
      <c r="K4">
        <v>3</v>
      </c>
      <c r="N4">
        <v>3</v>
      </c>
      <c r="O4">
        <v>3</v>
      </c>
      <c r="P4" t="s">
        <v>209</v>
      </c>
      <c r="R4">
        <v>2</v>
      </c>
      <c r="S4">
        <v>1</v>
      </c>
      <c r="T4">
        <v>1</v>
      </c>
      <c r="U4">
        <v>38</v>
      </c>
      <c r="W4">
        <v>57</v>
      </c>
      <c r="X4">
        <f>G4+H4+Q4+R4</f>
        <v>21</v>
      </c>
      <c r="Y4" t="s">
        <v>174</v>
      </c>
      <c r="Z4" t="str">
        <f t="shared" si="0"/>
        <v>3</v>
      </c>
      <c r="AA4" t="str">
        <f t="shared" si="1"/>
        <v/>
      </c>
      <c r="AB4" t="str">
        <f t="shared" si="2"/>
        <v/>
      </c>
      <c r="AC4" t="str">
        <f t="shared" si="3"/>
        <v/>
      </c>
      <c r="AE4" t="str">
        <f t="shared" si="4"/>
        <v>4</v>
      </c>
      <c r="AF4" t="str">
        <f t="shared" si="5"/>
        <v/>
      </c>
      <c r="AG4" t="str">
        <f t="shared" si="6"/>
        <v/>
      </c>
      <c r="AH4" t="str">
        <f t="shared" si="7"/>
        <v/>
      </c>
      <c r="AI4" t="str">
        <f t="shared" si="8"/>
        <v/>
      </c>
      <c r="AK4" t="str">
        <f t="shared" si="9"/>
        <v>h1</v>
      </c>
      <c r="AL4" t="str">
        <f t="shared" si="32"/>
        <v>g2</v>
      </c>
      <c r="AM4" t="str">
        <f t="shared" si="10"/>
        <v/>
      </c>
      <c r="AN4" t="str">
        <f t="shared" si="11"/>
        <v/>
      </c>
      <c r="AO4" t="str">
        <f t="shared" si="12"/>
        <v/>
      </c>
      <c r="AP4" t="str">
        <f t="shared" si="13"/>
        <v/>
      </c>
      <c r="AQ4" t="str">
        <f t="shared" si="14"/>
        <v/>
      </c>
      <c r="AR4" t="str">
        <f t="shared" si="15"/>
        <v/>
      </c>
      <c r="AS4" t="str">
        <f t="shared" si="16"/>
        <v/>
      </c>
      <c r="AT4" t="str">
        <f t="shared" si="17"/>
        <v/>
      </c>
      <c r="AU4" t="str">
        <f t="shared" si="18"/>
        <v/>
      </c>
      <c r="AV4" t="str">
        <f t="shared" si="19"/>
        <v/>
      </c>
      <c r="AW4" t="str">
        <f t="shared" si="20"/>
        <v/>
      </c>
      <c r="AX4" t="str">
        <f t="shared" si="21"/>
        <v/>
      </c>
      <c r="AY4" t="str">
        <f t="shared" si="22"/>
        <v/>
      </c>
      <c r="AZ4" t="str">
        <f t="shared" si="23"/>
        <v/>
      </c>
      <c r="BA4" t="str">
        <f t="shared" si="24"/>
        <v/>
      </c>
      <c r="BB4" t="str">
        <f t="shared" si="25"/>
        <v/>
      </c>
      <c r="BC4" t="str">
        <f t="shared" si="26"/>
        <v/>
      </c>
      <c r="BD4" t="str">
        <f t="shared" si="27"/>
        <v/>
      </c>
      <c r="BE4" t="str">
        <f t="shared" si="28"/>
        <v/>
      </c>
      <c r="BF4" t="str">
        <f t="shared" si="29"/>
        <v/>
      </c>
      <c r="BG4" t="str">
        <f t="shared" si="30"/>
        <v/>
      </c>
      <c r="BH4" t="str">
        <f t="shared" si="31"/>
        <v/>
      </c>
    </row>
    <row r="5" spans="1:66" x14ac:dyDescent="0.2">
      <c r="A5">
        <v>2</v>
      </c>
      <c r="B5">
        <v>16</v>
      </c>
      <c r="C5" t="s">
        <v>207</v>
      </c>
      <c r="D5">
        <v>1</v>
      </c>
      <c r="E5">
        <v>1</v>
      </c>
      <c r="G5">
        <v>23</v>
      </c>
      <c r="K5">
        <v>1</v>
      </c>
      <c r="N5">
        <v>1</v>
      </c>
      <c r="O5">
        <v>1</v>
      </c>
      <c r="R5">
        <v>3</v>
      </c>
      <c r="S5">
        <v>1</v>
      </c>
      <c r="T5">
        <v>1</v>
      </c>
      <c r="U5">
        <v>47</v>
      </c>
      <c r="W5">
        <v>23</v>
      </c>
      <c r="X5">
        <f t="shared" ref="X5:X15" si="33">G5+H5+Q5+R5</f>
        <v>26</v>
      </c>
      <c r="Z5" t="str">
        <f t="shared" si="0"/>
        <v>5</v>
      </c>
      <c r="AA5" t="str">
        <f t="shared" si="1"/>
        <v/>
      </c>
      <c r="AB5" t="str">
        <f t="shared" si="2"/>
        <v/>
      </c>
      <c r="AC5" t="str">
        <f t="shared" si="3"/>
        <v/>
      </c>
      <c r="AE5" t="str">
        <f t="shared" si="4"/>
        <v>4</v>
      </c>
      <c r="AF5" t="str">
        <f t="shared" si="5"/>
        <v/>
      </c>
      <c r="AG5" t="str">
        <f t="shared" si="6"/>
        <v/>
      </c>
      <c r="AH5" t="str">
        <f t="shared" si="7"/>
        <v/>
      </c>
      <c r="AI5" t="str">
        <f t="shared" si="8"/>
        <v/>
      </c>
      <c r="AK5" t="str">
        <f t="shared" si="9"/>
        <v>h1</v>
      </c>
      <c r="AL5" t="str">
        <f t="shared" si="32"/>
        <v/>
      </c>
      <c r="AM5" t="str">
        <f t="shared" si="10"/>
        <v/>
      </c>
      <c r="AN5" t="str">
        <f t="shared" si="11"/>
        <v/>
      </c>
      <c r="AO5" t="str">
        <f t="shared" si="12"/>
        <v/>
      </c>
      <c r="AP5" t="str">
        <f t="shared" si="13"/>
        <v/>
      </c>
      <c r="AQ5" t="str">
        <f t="shared" si="14"/>
        <v/>
      </c>
      <c r="AR5" t="str">
        <f t="shared" si="15"/>
        <v/>
      </c>
      <c r="AS5" t="str">
        <f t="shared" si="16"/>
        <v/>
      </c>
      <c r="AT5" t="str">
        <f t="shared" si="17"/>
        <v/>
      </c>
      <c r="AU5" t="str">
        <f t="shared" si="18"/>
        <v/>
      </c>
      <c r="AV5" t="str">
        <f t="shared" si="19"/>
        <v/>
      </c>
      <c r="AW5" t="str">
        <f t="shared" si="20"/>
        <v/>
      </c>
      <c r="AX5" t="str">
        <f t="shared" si="21"/>
        <v/>
      </c>
      <c r="AY5" t="str">
        <f t="shared" si="22"/>
        <v/>
      </c>
      <c r="AZ5" t="str">
        <f t="shared" si="23"/>
        <v/>
      </c>
      <c r="BA5" t="str">
        <f t="shared" si="24"/>
        <v/>
      </c>
      <c r="BB5" t="str">
        <f t="shared" si="25"/>
        <v/>
      </c>
      <c r="BC5" t="str">
        <f t="shared" si="26"/>
        <v/>
      </c>
      <c r="BD5" t="str">
        <f t="shared" si="27"/>
        <v/>
      </c>
      <c r="BE5" t="str">
        <f t="shared" si="28"/>
        <v/>
      </c>
      <c r="BF5" t="str">
        <f t="shared" si="29"/>
        <v/>
      </c>
      <c r="BG5" t="str">
        <f t="shared" si="30"/>
        <v/>
      </c>
      <c r="BH5" t="str">
        <f t="shared" si="31"/>
        <v/>
      </c>
    </row>
    <row r="6" spans="1:66" x14ac:dyDescent="0.2">
      <c r="A6">
        <v>3</v>
      </c>
      <c r="B6">
        <v>24</v>
      </c>
      <c r="C6" t="s">
        <v>39</v>
      </c>
      <c r="G6">
        <v>1</v>
      </c>
      <c r="I6">
        <v>3</v>
      </c>
      <c r="J6">
        <v>4</v>
      </c>
      <c r="K6">
        <v>2</v>
      </c>
      <c r="L6">
        <v>1</v>
      </c>
      <c r="N6">
        <v>3</v>
      </c>
      <c r="O6">
        <v>3</v>
      </c>
      <c r="P6" t="s">
        <v>234</v>
      </c>
      <c r="R6">
        <v>3</v>
      </c>
      <c r="S6">
        <v>1</v>
      </c>
      <c r="T6">
        <v>1</v>
      </c>
      <c r="U6">
        <v>45</v>
      </c>
      <c r="X6">
        <f t="shared" si="33"/>
        <v>4</v>
      </c>
      <c r="Y6" t="s">
        <v>174</v>
      </c>
      <c r="Z6" t="str">
        <f t="shared" si="0"/>
        <v/>
      </c>
      <c r="AA6" t="str">
        <f t="shared" si="1"/>
        <v/>
      </c>
      <c r="AB6" t="str">
        <f t="shared" si="2"/>
        <v/>
      </c>
      <c r="AC6" t="str">
        <f t="shared" si="3"/>
        <v/>
      </c>
      <c r="AE6" t="str">
        <f t="shared" si="4"/>
        <v/>
      </c>
      <c r="AF6" t="str">
        <f t="shared" si="5"/>
        <v/>
      </c>
      <c r="AG6" t="str">
        <f t="shared" si="6"/>
        <v/>
      </c>
      <c r="AH6" t="str">
        <f t="shared" si="7"/>
        <v/>
      </c>
      <c r="AI6" t="str">
        <f t="shared" si="8"/>
        <v/>
      </c>
      <c r="AK6" t="str">
        <f t="shared" si="9"/>
        <v>g1</v>
      </c>
      <c r="AL6" t="str">
        <f t="shared" si="32"/>
        <v>h1</v>
      </c>
      <c r="AM6" t="str">
        <f t="shared" si="10"/>
        <v>h2</v>
      </c>
      <c r="AN6" t="str">
        <f t="shared" si="11"/>
        <v/>
      </c>
      <c r="AO6" t="str">
        <f t="shared" si="12"/>
        <v/>
      </c>
      <c r="AP6" t="str">
        <f t="shared" si="13"/>
        <v/>
      </c>
      <c r="AQ6" t="str">
        <f t="shared" si="14"/>
        <v/>
      </c>
      <c r="AR6" t="str">
        <f t="shared" si="15"/>
        <v/>
      </c>
      <c r="AS6" t="str">
        <f t="shared" si="16"/>
        <v/>
      </c>
      <c r="AT6" t="str">
        <f t="shared" si="17"/>
        <v/>
      </c>
      <c r="AU6" t="str">
        <f t="shared" si="18"/>
        <v/>
      </c>
      <c r="AV6" t="str">
        <f t="shared" si="19"/>
        <v/>
      </c>
      <c r="AW6" t="str">
        <f t="shared" si="20"/>
        <v/>
      </c>
      <c r="AX6" t="str">
        <f t="shared" si="21"/>
        <v/>
      </c>
      <c r="AY6" t="str">
        <f t="shared" si="22"/>
        <v/>
      </c>
      <c r="AZ6" t="str">
        <f t="shared" si="23"/>
        <v/>
      </c>
      <c r="BA6" t="str">
        <f t="shared" si="24"/>
        <v/>
      </c>
      <c r="BB6" t="str">
        <f t="shared" si="25"/>
        <v/>
      </c>
      <c r="BC6" t="str">
        <f t="shared" si="26"/>
        <v/>
      </c>
      <c r="BD6" t="str">
        <f t="shared" si="27"/>
        <v/>
      </c>
      <c r="BE6" t="str">
        <f t="shared" si="28"/>
        <v/>
      </c>
      <c r="BF6" t="str">
        <f t="shared" si="29"/>
        <v/>
      </c>
      <c r="BG6" t="str">
        <f t="shared" si="30"/>
        <v/>
      </c>
      <c r="BH6" t="str">
        <f t="shared" si="31"/>
        <v/>
      </c>
    </row>
    <row r="7" spans="1:66" x14ac:dyDescent="0.2">
      <c r="A7">
        <v>4</v>
      </c>
      <c r="B7">
        <v>32</v>
      </c>
      <c r="C7" t="s">
        <v>207</v>
      </c>
      <c r="G7">
        <v>22</v>
      </c>
      <c r="I7">
        <v>5</v>
      </c>
      <c r="J7">
        <v>4</v>
      </c>
      <c r="K7">
        <v>3</v>
      </c>
      <c r="L7">
        <v>3</v>
      </c>
      <c r="N7">
        <v>2</v>
      </c>
      <c r="O7">
        <v>2</v>
      </c>
      <c r="P7" t="s">
        <v>247</v>
      </c>
      <c r="R7">
        <v>2</v>
      </c>
      <c r="S7">
        <v>1</v>
      </c>
      <c r="U7">
        <v>29</v>
      </c>
      <c r="X7">
        <f t="shared" si="33"/>
        <v>24</v>
      </c>
      <c r="Y7" t="s">
        <v>174</v>
      </c>
      <c r="Z7" t="str">
        <f t="shared" si="0"/>
        <v>5</v>
      </c>
      <c r="AA7" t="str">
        <f t="shared" si="1"/>
        <v/>
      </c>
      <c r="AB7" t="str">
        <f t="shared" si="2"/>
        <v/>
      </c>
      <c r="AC7" t="str">
        <f t="shared" si="3"/>
        <v/>
      </c>
      <c r="AE7" t="str">
        <f t="shared" si="4"/>
        <v>3</v>
      </c>
      <c r="AF7" t="str">
        <f t="shared" si="5"/>
        <v>4</v>
      </c>
      <c r="AG7" t="str">
        <f t="shared" si="6"/>
        <v/>
      </c>
      <c r="AH7" t="str">
        <f t="shared" si="7"/>
        <v/>
      </c>
      <c r="AI7" t="str">
        <f t="shared" si="8"/>
        <v/>
      </c>
      <c r="AK7" t="str">
        <f t="shared" si="9"/>
        <v>g1</v>
      </c>
      <c r="AL7" t="str">
        <f t="shared" si="32"/>
        <v>h1</v>
      </c>
      <c r="AM7" t="str">
        <f t="shared" si="10"/>
        <v>g2</v>
      </c>
      <c r="AN7" t="str">
        <f t="shared" si="11"/>
        <v>h2</v>
      </c>
      <c r="AO7" t="str">
        <f t="shared" si="12"/>
        <v>g3</v>
      </c>
      <c r="AP7" t="str">
        <f t="shared" si="13"/>
        <v/>
      </c>
      <c r="AQ7" t="str">
        <f t="shared" si="14"/>
        <v/>
      </c>
      <c r="AR7" t="str">
        <f t="shared" si="15"/>
        <v/>
      </c>
      <c r="AS7" t="str">
        <f t="shared" si="16"/>
        <v/>
      </c>
      <c r="AT7" t="str">
        <f t="shared" si="17"/>
        <v/>
      </c>
      <c r="AU7" t="str">
        <f t="shared" si="18"/>
        <v/>
      </c>
      <c r="AV7" t="str">
        <f t="shared" si="19"/>
        <v/>
      </c>
      <c r="AW7" t="str">
        <f t="shared" si="20"/>
        <v/>
      </c>
      <c r="AX7" t="str">
        <f t="shared" si="21"/>
        <v/>
      </c>
      <c r="AY7" t="str">
        <f t="shared" si="22"/>
        <v/>
      </c>
      <c r="AZ7" t="str">
        <f t="shared" si="23"/>
        <v/>
      </c>
      <c r="BA7" t="str">
        <f t="shared" si="24"/>
        <v/>
      </c>
      <c r="BB7" t="str">
        <f t="shared" si="25"/>
        <v/>
      </c>
      <c r="BC7" t="str">
        <f t="shared" si="26"/>
        <v/>
      </c>
      <c r="BD7" t="str">
        <f t="shared" si="27"/>
        <v/>
      </c>
      <c r="BE7" t="str">
        <f t="shared" si="28"/>
        <v/>
      </c>
      <c r="BF7" t="str">
        <f t="shared" si="29"/>
        <v/>
      </c>
      <c r="BG7" t="str">
        <f t="shared" si="30"/>
        <v/>
      </c>
      <c r="BH7" t="str">
        <f t="shared" si="31"/>
        <v/>
      </c>
    </row>
    <row r="8" spans="1:66" x14ac:dyDescent="0.2">
      <c r="A8">
        <v>5</v>
      </c>
      <c r="B8">
        <v>43</v>
      </c>
      <c r="C8" t="s">
        <v>39</v>
      </c>
      <c r="G8">
        <v>17</v>
      </c>
      <c r="L8">
        <v>1</v>
      </c>
      <c r="N8">
        <v>1</v>
      </c>
      <c r="O8">
        <v>1</v>
      </c>
      <c r="P8" t="s">
        <v>263</v>
      </c>
      <c r="R8">
        <v>2</v>
      </c>
      <c r="S8">
        <v>1</v>
      </c>
      <c r="U8">
        <v>42</v>
      </c>
      <c r="W8">
        <v>75</v>
      </c>
      <c r="X8">
        <f t="shared" si="33"/>
        <v>19</v>
      </c>
      <c r="Y8" t="s">
        <v>174</v>
      </c>
      <c r="Z8" t="str">
        <f t="shared" si="0"/>
        <v/>
      </c>
      <c r="AA8" t="str">
        <f t="shared" si="1"/>
        <v/>
      </c>
      <c r="AB8" t="str">
        <f t="shared" si="2"/>
        <v/>
      </c>
      <c r="AC8" t="str">
        <f t="shared" si="3"/>
        <v/>
      </c>
      <c r="AE8" t="str">
        <f t="shared" si="4"/>
        <v>4</v>
      </c>
      <c r="AF8" t="str">
        <f t="shared" si="5"/>
        <v>5</v>
      </c>
      <c r="AG8" t="str">
        <f t="shared" si="6"/>
        <v/>
      </c>
      <c r="AH8" t="str">
        <f t="shared" si="7"/>
        <v/>
      </c>
      <c r="AI8" t="str">
        <f t="shared" si="8"/>
        <v/>
      </c>
      <c r="AK8" t="str">
        <f t="shared" si="9"/>
        <v>h1</v>
      </c>
      <c r="AL8" t="str">
        <f t="shared" si="32"/>
        <v>g2</v>
      </c>
      <c r="AM8" t="str">
        <f t="shared" si="10"/>
        <v/>
      </c>
      <c r="AN8" t="str">
        <f t="shared" si="11"/>
        <v/>
      </c>
      <c r="AO8" t="str">
        <f t="shared" si="12"/>
        <v/>
      </c>
      <c r="AP8" t="str">
        <f t="shared" si="13"/>
        <v/>
      </c>
      <c r="AQ8" t="str">
        <f t="shared" si="14"/>
        <v/>
      </c>
      <c r="AR8" t="str">
        <f t="shared" si="15"/>
        <v/>
      </c>
      <c r="AS8" t="str">
        <f t="shared" si="16"/>
        <v/>
      </c>
      <c r="AT8" t="str">
        <f t="shared" si="17"/>
        <v/>
      </c>
      <c r="AU8" t="str">
        <f t="shared" si="18"/>
        <v/>
      </c>
      <c r="AV8" t="str">
        <f t="shared" si="19"/>
        <v/>
      </c>
      <c r="AW8" t="str">
        <f t="shared" si="20"/>
        <v/>
      </c>
      <c r="AX8" t="str">
        <f t="shared" si="21"/>
        <v/>
      </c>
      <c r="AY8" t="str">
        <f t="shared" si="22"/>
        <v/>
      </c>
      <c r="AZ8" t="str">
        <f t="shared" si="23"/>
        <v/>
      </c>
      <c r="BA8" t="str">
        <f t="shared" si="24"/>
        <v/>
      </c>
      <c r="BB8" t="str">
        <f t="shared" si="25"/>
        <v/>
      </c>
      <c r="BC8" t="str">
        <f t="shared" si="26"/>
        <v/>
      </c>
      <c r="BD8" t="str">
        <f t="shared" si="27"/>
        <v/>
      </c>
      <c r="BE8" t="str">
        <f t="shared" si="28"/>
        <v/>
      </c>
      <c r="BF8" t="str">
        <f t="shared" si="29"/>
        <v/>
      </c>
      <c r="BG8" t="str">
        <f t="shared" si="30"/>
        <v/>
      </c>
      <c r="BH8" t="str">
        <f t="shared" si="31"/>
        <v/>
      </c>
    </row>
    <row r="9" spans="1:66" x14ac:dyDescent="0.2">
      <c r="A9">
        <v>6</v>
      </c>
      <c r="B9">
        <v>52</v>
      </c>
      <c r="C9" t="s">
        <v>207</v>
      </c>
      <c r="G9">
        <v>25</v>
      </c>
      <c r="I9">
        <v>5</v>
      </c>
      <c r="J9" t="s">
        <v>269</v>
      </c>
      <c r="K9">
        <v>1</v>
      </c>
      <c r="N9">
        <v>2</v>
      </c>
      <c r="O9">
        <v>2</v>
      </c>
      <c r="P9" t="s">
        <v>270</v>
      </c>
      <c r="R9">
        <v>4</v>
      </c>
      <c r="S9">
        <v>1</v>
      </c>
      <c r="T9">
        <v>1</v>
      </c>
      <c r="U9">
        <v>43</v>
      </c>
      <c r="X9">
        <f t="shared" si="33"/>
        <v>29</v>
      </c>
      <c r="Y9" t="s">
        <v>174</v>
      </c>
      <c r="Z9" t="str">
        <f t="shared" si="0"/>
        <v>5</v>
      </c>
      <c r="AA9" t="str">
        <f t="shared" si="1"/>
        <v/>
      </c>
      <c r="AB9" t="str">
        <f t="shared" si="2"/>
        <v/>
      </c>
      <c r="AC9" t="str">
        <f t="shared" si="3"/>
        <v/>
      </c>
      <c r="AE9" t="str">
        <f t="shared" si="4"/>
        <v>2</v>
      </c>
      <c r="AF9" t="str">
        <f t="shared" si="5"/>
        <v>4</v>
      </c>
      <c r="AG9" t="str">
        <f t="shared" si="6"/>
        <v/>
      </c>
      <c r="AH9" t="str">
        <f t="shared" si="7"/>
        <v/>
      </c>
      <c r="AI9" t="str">
        <f t="shared" si="8"/>
        <v/>
      </c>
      <c r="AK9" t="str">
        <f t="shared" si="9"/>
        <v>h1</v>
      </c>
      <c r="AL9" t="str">
        <f t="shared" si="32"/>
        <v>h2</v>
      </c>
      <c r="AM9" t="str">
        <f t="shared" si="10"/>
        <v/>
      </c>
      <c r="AN9" t="str">
        <f t="shared" si="11"/>
        <v/>
      </c>
      <c r="AO9" t="str">
        <f t="shared" si="12"/>
        <v/>
      </c>
      <c r="AP9" t="str">
        <f t="shared" si="13"/>
        <v/>
      </c>
      <c r="AQ9" t="str">
        <f t="shared" si="14"/>
        <v/>
      </c>
      <c r="AR9" t="str">
        <f t="shared" si="15"/>
        <v/>
      </c>
      <c r="AS9" t="str">
        <f t="shared" si="16"/>
        <v/>
      </c>
      <c r="AT9" t="str">
        <f t="shared" si="17"/>
        <v/>
      </c>
      <c r="AU9" t="str">
        <f t="shared" si="18"/>
        <v/>
      </c>
      <c r="AV9" t="str">
        <f t="shared" si="19"/>
        <v/>
      </c>
      <c r="AW9" t="str">
        <f t="shared" si="20"/>
        <v/>
      </c>
      <c r="AX9" t="str">
        <f t="shared" si="21"/>
        <v/>
      </c>
      <c r="AY9" t="str">
        <f t="shared" si="22"/>
        <v/>
      </c>
      <c r="AZ9" t="str">
        <f t="shared" si="23"/>
        <v/>
      </c>
      <c r="BA9" t="str">
        <f t="shared" si="24"/>
        <v/>
      </c>
      <c r="BB9" t="str">
        <f t="shared" si="25"/>
        <v/>
      </c>
      <c r="BC9" t="str">
        <f t="shared" si="26"/>
        <v/>
      </c>
      <c r="BD9" t="str">
        <f t="shared" si="27"/>
        <v/>
      </c>
      <c r="BE9" t="str">
        <f t="shared" si="28"/>
        <v/>
      </c>
      <c r="BF9" t="str">
        <f t="shared" si="29"/>
        <v/>
      </c>
      <c r="BG9" t="str">
        <f t="shared" si="30"/>
        <v/>
      </c>
      <c r="BH9" t="str">
        <f t="shared" si="31"/>
        <v/>
      </c>
    </row>
    <row r="10" spans="1:66" x14ac:dyDescent="0.2">
      <c r="A10">
        <v>7</v>
      </c>
      <c r="B10">
        <v>70</v>
      </c>
      <c r="C10" t="s">
        <v>207</v>
      </c>
      <c r="G10">
        <v>21</v>
      </c>
      <c r="J10" t="s">
        <v>285</v>
      </c>
      <c r="K10">
        <v>3</v>
      </c>
      <c r="L10">
        <v>1</v>
      </c>
      <c r="N10">
        <v>3</v>
      </c>
      <c r="O10">
        <v>3</v>
      </c>
      <c r="P10" t="s">
        <v>234</v>
      </c>
      <c r="R10">
        <v>2</v>
      </c>
      <c r="S10">
        <v>1</v>
      </c>
      <c r="T10">
        <v>1</v>
      </c>
      <c r="U10">
        <v>49</v>
      </c>
      <c r="W10">
        <v>16</v>
      </c>
      <c r="X10">
        <f t="shared" si="33"/>
        <v>23</v>
      </c>
      <c r="Y10" t="s">
        <v>174</v>
      </c>
      <c r="Z10" t="str">
        <f t="shared" si="0"/>
        <v>3</v>
      </c>
      <c r="AA10" t="str">
        <f t="shared" si="1"/>
        <v/>
      </c>
      <c r="AB10" t="str">
        <f t="shared" si="2"/>
        <v/>
      </c>
      <c r="AC10" t="str">
        <f t="shared" si="3"/>
        <v/>
      </c>
      <c r="AE10" t="str">
        <f t="shared" si="4"/>
        <v/>
      </c>
      <c r="AF10" t="str">
        <f t="shared" si="5"/>
        <v/>
      </c>
      <c r="AG10" t="str">
        <f t="shared" si="6"/>
        <v/>
      </c>
      <c r="AH10" t="str">
        <f t="shared" si="7"/>
        <v/>
      </c>
      <c r="AI10" t="str">
        <f t="shared" si="8"/>
        <v/>
      </c>
      <c r="AK10" t="str">
        <f t="shared" si="9"/>
        <v>g1</v>
      </c>
      <c r="AL10" t="str">
        <f t="shared" si="32"/>
        <v>g2</v>
      </c>
      <c r="AM10" t="str">
        <f t="shared" si="10"/>
        <v/>
      </c>
      <c r="AN10" t="str">
        <f t="shared" si="11"/>
        <v/>
      </c>
      <c r="AO10" t="str">
        <f t="shared" si="12"/>
        <v/>
      </c>
      <c r="AP10" t="str">
        <f t="shared" si="13"/>
        <v/>
      </c>
      <c r="AQ10" t="str">
        <f t="shared" si="14"/>
        <v/>
      </c>
      <c r="AR10" t="str">
        <f t="shared" si="15"/>
        <v/>
      </c>
      <c r="AS10" t="str">
        <f t="shared" si="16"/>
        <v/>
      </c>
      <c r="AT10" t="str">
        <f t="shared" si="17"/>
        <v/>
      </c>
      <c r="AU10" t="str">
        <f t="shared" si="18"/>
        <v/>
      </c>
      <c r="AV10" t="str">
        <f t="shared" si="19"/>
        <v/>
      </c>
      <c r="AW10" t="str">
        <f t="shared" si="20"/>
        <v/>
      </c>
      <c r="AX10" t="str">
        <f t="shared" si="21"/>
        <v/>
      </c>
      <c r="AY10" t="str">
        <f t="shared" si="22"/>
        <v/>
      </c>
      <c r="AZ10" t="str">
        <f t="shared" si="23"/>
        <v/>
      </c>
      <c r="BA10" t="str">
        <f t="shared" si="24"/>
        <v/>
      </c>
      <c r="BB10" t="str">
        <f t="shared" si="25"/>
        <v/>
      </c>
      <c r="BC10" t="str">
        <f t="shared" si="26"/>
        <v/>
      </c>
      <c r="BD10" t="str">
        <f t="shared" si="27"/>
        <v/>
      </c>
      <c r="BE10" t="str">
        <f t="shared" si="28"/>
        <v/>
      </c>
      <c r="BF10" t="str">
        <f t="shared" si="29"/>
        <v/>
      </c>
      <c r="BG10" t="str">
        <f t="shared" si="30"/>
        <v/>
      </c>
      <c r="BH10" t="str">
        <f t="shared" si="31"/>
        <v/>
      </c>
    </row>
    <row r="11" spans="1:66" x14ac:dyDescent="0.2">
      <c r="A11">
        <v>8</v>
      </c>
      <c r="B11">
        <v>76</v>
      </c>
      <c r="C11" t="s">
        <v>207</v>
      </c>
      <c r="G11">
        <v>1</v>
      </c>
      <c r="I11">
        <v>5</v>
      </c>
      <c r="J11" t="s">
        <v>239</v>
      </c>
      <c r="K11">
        <v>2</v>
      </c>
      <c r="N11">
        <v>3</v>
      </c>
      <c r="O11">
        <v>3</v>
      </c>
      <c r="P11" t="s">
        <v>295</v>
      </c>
      <c r="R11">
        <v>3</v>
      </c>
      <c r="S11">
        <v>1</v>
      </c>
      <c r="T11">
        <v>1</v>
      </c>
      <c r="U11">
        <v>49</v>
      </c>
      <c r="X11">
        <f t="shared" si="33"/>
        <v>4</v>
      </c>
      <c r="Y11" t="s">
        <v>174</v>
      </c>
      <c r="Z11" t="str">
        <f t="shared" si="0"/>
        <v>3</v>
      </c>
      <c r="AA11" t="str">
        <f t="shared" si="1"/>
        <v/>
      </c>
      <c r="AB11" t="str">
        <f t="shared" si="2"/>
        <v/>
      </c>
      <c r="AC11" t="str">
        <f t="shared" si="3"/>
        <v/>
      </c>
      <c r="AE11" t="str">
        <f t="shared" si="4"/>
        <v>4</v>
      </c>
      <c r="AF11" t="str">
        <f t="shared" si="5"/>
        <v>5</v>
      </c>
      <c r="AG11" t="str">
        <f t="shared" si="6"/>
        <v/>
      </c>
      <c r="AH11" t="str">
        <f t="shared" si="7"/>
        <v/>
      </c>
      <c r="AI11" t="str">
        <f t="shared" si="8"/>
        <v/>
      </c>
      <c r="AK11" t="str">
        <f t="shared" si="9"/>
        <v>h1</v>
      </c>
      <c r="AL11" t="str">
        <f t="shared" si="32"/>
        <v>h2</v>
      </c>
      <c r="AM11" t="str">
        <f t="shared" si="10"/>
        <v/>
      </c>
      <c r="AN11" t="str">
        <f t="shared" si="11"/>
        <v/>
      </c>
      <c r="AO11" t="str">
        <f t="shared" si="12"/>
        <v/>
      </c>
      <c r="AP11" t="str">
        <f t="shared" si="13"/>
        <v/>
      </c>
      <c r="AQ11" t="str">
        <f t="shared" si="14"/>
        <v/>
      </c>
      <c r="AR11" t="str">
        <f t="shared" si="15"/>
        <v/>
      </c>
      <c r="AS11" t="str">
        <f t="shared" si="16"/>
        <v/>
      </c>
      <c r="AT11" t="str">
        <f t="shared" si="17"/>
        <v/>
      </c>
      <c r="AU11" t="str">
        <f t="shared" si="18"/>
        <v/>
      </c>
      <c r="AV11" t="str">
        <f t="shared" si="19"/>
        <v/>
      </c>
      <c r="AW11" t="str">
        <f t="shared" si="20"/>
        <v/>
      </c>
      <c r="AX11" t="str">
        <f t="shared" si="21"/>
        <v/>
      </c>
      <c r="AY11" t="str">
        <f t="shared" si="22"/>
        <v/>
      </c>
      <c r="AZ11" t="str">
        <f t="shared" si="23"/>
        <v/>
      </c>
      <c r="BA11" t="str">
        <f t="shared" si="24"/>
        <v/>
      </c>
      <c r="BB11" t="str">
        <f t="shared" si="25"/>
        <v/>
      </c>
      <c r="BC11" t="str">
        <f t="shared" si="26"/>
        <v/>
      </c>
      <c r="BD11" t="str">
        <f t="shared" si="27"/>
        <v/>
      </c>
      <c r="BE11" t="str">
        <f t="shared" si="28"/>
        <v/>
      </c>
      <c r="BF11" t="str">
        <f t="shared" si="29"/>
        <v/>
      </c>
      <c r="BG11" t="str">
        <f t="shared" si="30"/>
        <v/>
      </c>
      <c r="BH11" t="str">
        <f t="shared" si="31"/>
        <v/>
      </c>
    </row>
    <row r="12" spans="1:66" x14ac:dyDescent="0.2">
      <c r="A12">
        <v>9</v>
      </c>
      <c r="B12">
        <v>83</v>
      </c>
      <c r="C12" t="s">
        <v>39</v>
      </c>
      <c r="G12">
        <v>25</v>
      </c>
      <c r="I12">
        <v>3</v>
      </c>
      <c r="K12">
        <v>2</v>
      </c>
      <c r="L12">
        <v>1</v>
      </c>
      <c r="N12">
        <v>2</v>
      </c>
      <c r="O12">
        <v>2</v>
      </c>
      <c r="P12" t="s">
        <v>220</v>
      </c>
      <c r="R12">
        <v>2</v>
      </c>
      <c r="S12">
        <v>1</v>
      </c>
      <c r="T12">
        <v>1</v>
      </c>
      <c r="U12">
        <v>45</v>
      </c>
      <c r="W12">
        <v>60</v>
      </c>
      <c r="X12">
        <f t="shared" si="33"/>
        <v>27</v>
      </c>
      <c r="Y12" t="s">
        <v>174</v>
      </c>
      <c r="Z12" t="str">
        <f t="shared" si="0"/>
        <v>3</v>
      </c>
      <c r="AA12" t="str">
        <f t="shared" si="1"/>
        <v/>
      </c>
      <c r="AB12" t="str">
        <f t="shared" si="2"/>
        <v/>
      </c>
      <c r="AC12" t="str">
        <f t="shared" si="3"/>
        <v/>
      </c>
      <c r="AE12" t="str">
        <f t="shared" si="4"/>
        <v/>
      </c>
      <c r="AF12" t="str">
        <f t="shared" si="5"/>
        <v/>
      </c>
      <c r="AG12" t="str">
        <f t="shared" si="6"/>
        <v/>
      </c>
      <c r="AH12" t="str">
        <f t="shared" si="7"/>
        <v/>
      </c>
      <c r="AI12" t="str">
        <f t="shared" si="8"/>
        <v/>
      </c>
      <c r="AK12" t="str">
        <f t="shared" si="9"/>
        <v>h1</v>
      </c>
      <c r="AL12" t="str">
        <f t="shared" si="32"/>
        <v>h2</v>
      </c>
      <c r="AM12" t="str">
        <f t="shared" si="10"/>
        <v>g3</v>
      </c>
      <c r="AN12" t="str">
        <f t="shared" si="11"/>
        <v/>
      </c>
      <c r="AO12" t="str">
        <f t="shared" si="12"/>
        <v/>
      </c>
      <c r="AP12" t="str">
        <f t="shared" si="13"/>
        <v/>
      </c>
      <c r="AQ12" t="str">
        <f t="shared" si="14"/>
        <v/>
      </c>
      <c r="AR12" t="str">
        <f t="shared" si="15"/>
        <v/>
      </c>
      <c r="AS12" t="str">
        <f t="shared" si="16"/>
        <v/>
      </c>
      <c r="AT12" t="str">
        <f t="shared" si="17"/>
        <v/>
      </c>
      <c r="AU12" t="str">
        <f t="shared" si="18"/>
        <v/>
      </c>
      <c r="AV12" t="str">
        <f t="shared" si="19"/>
        <v/>
      </c>
      <c r="AW12" t="str">
        <f t="shared" si="20"/>
        <v/>
      </c>
      <c r="AX12" t="str">
        <f t="shared" si="21"/>
        <v/>
      </c>
      <c r="AY12" t="str">
        <f t="shared" si="22"/>
        <v/>
      </c>
      <c r="AZ12" t="str">
        <f t="shared" si="23"/>
        <v/>
      </c>
      <c r="BA12" t="str">
        <f t="shared" si="24"/>
        <v/>
      </c>
      <c r="BB12" t="str">
        <f t="shared" si="25"/>
        <v/>
      </c>
      <c r="BC12" t="str">
        <f t="shared" si="26"/>
        <v/>
      </c>
      <c r="BD12" t="str">
        <f t="shared" si="27"/>
        <v/>
      </c>
      <c r="BE12" t="str">
        <f t="shared" si="28"/>
        <v/>
      </c>
      <c r="BF12" t="str">
        <f t="shared" si="29"/>
        <v/>
      </c>
      <c r="BG12" t="str">
        <f t="shared" si="30"/>
        <v/>
      </c>
      <c r="BH12" t="str">
        <f t="shared" si="31"/>
        <v/>
      </c>
    </row>
    <row r="13" spans="1:66" x14ac:dyDescent="0.2">
      <c r="A13">
        <v>10</v>
      </c>
      <c r="B13">
        <v>95</v>
      </c>
      <c r="C13" t="s">
        <v>39</v>
      </c>
      <c r="G13">
        <v>23</v>
      </c>
      <c r="I13">
        <v>3</v>
      </c>
      <c r="J13" t="s">
        <v>285</v>
      </c>
      <c r="K13">
        <v>3</v>
      </c>
      <c r="N13">
        <v>4</v>
      </c>
      <c r="O13">
        <v>4</v>
      </c>
      <c r="P13" t="s">
        <v>275</v>
      </c>
      <c r="R13">
        <v>2</v>
      </c>
      <c r="S13">
        <v>1</v>
      </c>
      <c r="T13">
        <v>1</v>
      </c>
      <c r="U13">
        <v>36</v>
      </c>
      <c r="W13">
        <v>60</v>
      </c>
      <c r="X13">
        <f t="shared" si="33"/>
        <v>25</v>
      </c>
      <c r="Y13" t="s">
        <v>174</v>
      </c>
      <c r="Z13" t="str">
        <f t="shared" si="0"/>
        <v>3</v>
      </c>
      <c r="AA13" t="str">
        <f t="shared" si="1"/>
        <v/>
      </c>
      <c r="AB13" t="str">
        <f t="shared" si="2"/>
        <v/>
      </c>
      <c r="AC13" t="str">
        <f t="shared" si="3"/>
        <v/>
      </c>
      <c r="AE13" t="str">
        <f t="shared" si="4"/>
        <v>2</v>
      </c>
      <c r="AF13" t="str">
        <f t="shared" si="5"/>
        <v>4</v>
      </c>
      <c r="AG13" t="str">
        <f t="shared" si="6"/>
        <v/>
      </c>
      <c r="AH13" t="str">
        <f t="shared" si="7"/>
        <v/>
      </c>
      <c r="AI13" t="str">
        <f t="shared" si="8"/>
        <v/>
      </c>
      <c r="AK13" t="str">
        <f t="shared" si="9"/>
        <v>g1</v>
      </c>
      <c r="AL13" t="str">
        <f t="shared" si="32"/>
        <v>h1</v>
      </c>
      <c r="AM13" t="str">
        <f t="shared" si="10"/>
        <v/>
      </c>
      <c r="AN13" t="str">
        <f t="shared" si="11"/>
        <v/>
      </c>
      <c r="AO13" t="str">
        <f t="shared" si="12"/>
        <v/>
      </c>
      <c r="AP13" t="str">
        <f t="shared" si="13"/>
        <v/>
      </c>
      <c r="AQ13" t="str">
        <f t="shared" si="14"/>
        <v/>
      </c>
      <c r="AR13" t="str">
        <f t="shared" si="15"/>
        <v/>
      </c>
      <c r="AS13" t="str">
        <f t="shared" si="16"/>
        <v/>
      </c>
      <c r="AT13" t="str">
        <f t="shared" si="17"/>
        <v/>
      </c>
      <c r="AU13" t="str">
        <f t="shared" si="18"/>
        <v/>
      </c>
      <c r="AV13" t="str">
        <f t="shared" si="19"/>
        <v/>
      </c>
      <c r="AW13" t="str">
        <f t="shared" si="20"/>
        <v/>
      </c>
      <c r="AX13" t="str">
        <f t="shared" si="21"/>
        <v/>
      </c>
      <c r="AY13" t="str">
        <f t="shared" si="22"/>
        <v/>
      </c>
      <c r="AZ13" t="str">
        <f t="shared" si="23"/>
        <v/>
      </c>
      <c r="BA13" t="str">
        <f t="shared" si="24"/>
        <v/>
      </c>
      <c r="BB13" t="str">
        <f t="shared" si="25"/>
        <v/>
      </c>
      <c r="BC13" t="str">
        <f t="shared" si="26"/>
        <v/>
      </c>
      <c r="BD13" t="str">
        <f t="shared" si="27"/>
        <v/>
      </c>
      <c r="BE13" t="str">
        <f t="shared" si="28"/>
        <v/>
      </c>
      <c r="BF13" t="str">
        <f t="shared" si="29"/>
        <v/>
      </c>
      <c r="BG13" t="str">
        <f t="shared" si="30"/>
        <v/>
      </c>
      <c r="BH13" t="str">
        <f t="shared" si="31"/>
        <v/>
      </c>
    </row>
    <row r="14" spans="1:66" x14ac:dyDescent="0.2">
      <c r="A14">
        <v>11</v>
      </c>
      <c r="B14">
        <v>104</v>
      </c>
      <c r="C14" t="s">
        <v>39</v>
      </c>
      <c r="G14">
        <v>25</v>
      </c>
      <c r="I14">
        <v>3</v>
      </c>
      <c r="K14">
        <v>2</v>
      </c>
      <c r="M14">
        <v>1</v>
      </c>
      <c r="N14">
        <v>3</v>
      </c>
      <c r="O14">
        <v>3</v>
      </c>
      <c r="P14" t="s">
        <v>330</v>
      </c>
      <c r="R14">
        <v>3</v>
      </c>
      <c r="S14">
        <v>1</v>
      </c>
      <c r="T14">
        <v>1</v>
      </c>
      <c r="U14">
        <v>33</v>
      </c>
      <c r="X14">
        <f t="shared" si="33"/>
        <v>28</v>
      </c>
      <c r="Z14" t="s">
        <v>31</v>
      </c>
      <c r="AE14" t="s">
        <v>34</v>
      </c>
      <c r="AK14" t="s">
        <v>43</v>
      </c>
      <c r="AP14" t="s">
        <v>84</v>
      </c>
    </row>
    <row r="15" spans="1:66" x14ac:dyDescent="0.2">
      <c r="A15">
        <v>12</v>
      </c>
      <c r="B15">
        <v>117</v>
      </c>
      <c r="C15" t="s">
        <v>39</v>
      </c>
      <c r="G15">
        <v>22</v>
      </c>
      <c r="I15">
        <v>3</v>
      </c>
      <c r="J15" t="s">
        <v>239</v>
      </c>
      <c r="K15">
        <v>2</v>
      </c>
      <c r="N15">
        <v>3</v>
      </c>
      <c r="O15">
        <v>3</v>
      </c>
      <c r="P15" t="s">
        <v>347</v>
      </c>
      <c r="R15">
        <v>1</v>
      </c>
      <c r="S15">
        <v>1</v>
      </c>
      <c r="U15">
        <v>40</v>
      </c>
      <c r="W15">
        <v>30</v>
      </c>
      <c r="X15">
        <f t="shared" si="33"/>
        <v>23</v>
      </c>
      <c r="Z15" t="s">
        <v>21</v>
      </c>
      <c r="AA15" t="s">
        <v>22</v>
      </c>
      <c r="AE15" t="s">
        <v>21</v>
      </c>
      <c r="AF15" t="s">
        <v>22</v>
      </c>
      <c r="AG15" t="s">
        <v>35</v>
      </c>
      <c r="AK15" t="s">
        <v>10</v>
      </c>
      <c r="AL15" t="s">
        <v>25</v>
      </c>
      <c r="AM15" t="s">
        <v>26</v>
      </c>
      <c r="AN15" t="s">
        <v>27</v>
      </c>
      <c r="AP15" t="s">
        <v>15</v>
      </c>
      <c r="AQ15" t="s">
        <v>85</v>
      </c>
    </row>
    <row r="16" spans="1:66" x14ac:dyDescent="0.2">
      <c r="A16" t="s">
        <v>28</v>
      </c>
      <c r="D16">
        <f>SUM(D4:D15)</f>
        <v>1</v>
      </c>
      <c r="E16">
        <f>SUM(E4:E15)</f>
        <v>1</v>
      </c>
      <c r="F16">
        <f>SUM(F4:F15)</f>
        <v>0</v>
      </c>
      <c r="G16">
        <f>SUM(G4:G15)</f>
        <v>224</v>
      </c>
      <c r="H16">
        <f>SUM(H4:H15)</f>
        <v>0</v>
      </c>
      <c r="K16">
        <f>SUM(K4:K15)</f>
        <v>24</v>
      </c>
      <c r="L16">
        <f>SUM(L4:L15)</f>
        <v>7</v>
      </c>
      <c r="M16">
        <f>SUM(M4:M15)</f>
        <v>1</v>
      </c>
      <c r="N16">
        <f>SUM(N4:N15)</f>
        <v>30</v>
      </c>
      <c r="O16">
        <f>SUM(O4:O15)</f>
        <v>30</v>
      </c>
      <c r="Q16">
        <f t="shared" ref="Q16:R16" si="34">SUM(Q4:Q15)</f>
        <v>0</v>
      </c>
      <c r="R16">
        <f t="shared" si="34"/>
        <v>29</v>
      </c>
      <c r="S16">
        <f>SUM(S4:S15)</f>
        <v>12</v>
      </c>
      <c r="T16">
        <f>SUM(T4:T15)</f>
        <v>9</v>
      </c>
      <c r="U16">
        <f>SUM(U4:U15)</f>
        <v>496</v>
      </c>
      <c r="V16">
        <f>SUM(V4:V15)</f>
        <v>0</v>
      </c>
      <c r="W16">
        <f>SUM(W4:W15)</f>
        <v>321</v>
      </c>
      <c r="Z16">
        <f t="shared" ref="Z16:Z27" si="35">COUNTIF(Z2:AC2, "3")*COUNTIF(C4, "r")+COUNTIF(Z2:AC2, "5")*COUNTIF(C4, "b")</f>
        <v>0</v>
      </c>
      <c r="AA16">
        <f t="shared" ref="AA16:AA27" si="36">COUNTIF(Z2:AC2, "1")+COUNTIF(Z2:AC2, "2")+COUNTIF(Z2:AC2, "4")</f>
        <v>0</v>
      </c>
      <c r="AE16">
        <f t="shared" ref="AE16:AE27" si="37">COUNTIF(AE2:AI2, "3")*COUNTIF(C4, "r") + COUNTIF(AE2:AI2, "5")*COUNTIF(C4, "b")</f>
        <v>0</v>
      </c>
      <c r="AF16">
        <f t="shared" ref="AF16:AF27" si="38">COUNTIF(AE2:AI2, "1")+COUNTIF(AE2:AI2, "2")+COUNTIF(AE2:AI2, "4")</f>
        <v>0</v>
      </c>
      <c r="AG16">
        <f t="shared" ref="AG16:AG27" si="39">COUNTIF(AE2:AI2, "3")*COUNTIF(AE2:AI2, "b")+COUNTIF(AE2:AI2, "5")*COUNTIF(AE2:AI2, "r")</f>
        <v>0</v>
      </c>
      <c r="AK16">
        <f t="shared" ref="AK16:AK27" si="40">SUMPRODUCT(LEN($AK2:$BH2) - LEN(SUBSTITUTE($AK2:$BH2, "g", "")))</f>
        <v>0</v>
      </c>
      <c r="AL16">
        <f t="shared" ref="AL16:AL27" si="41">SUMPRODUCT(LEN($AK2:$BH2) - LEN(SUBSTITUTE($AK2:$BH2, "h", "")))</f>
        <v>1</v>
      </c>
      <c r="AM16">
        <f t="shared" ref="AM16:AM27" si="42">SUMPRODUCT(LEN($AK2:$BH2) - LEN(SUBSTITUTE($AK2:$BH2, "v", "")))</f>
        <v>0</v>
      </c>
      <c r="AN16">
        <f t="shared" ref="AN16:AN27" si="43">SUMPRODUCT(LEN($AK2:$BH2) - LEN(SUBSTITUTE($AK2:$BH2, "r", "")))</f>
        <v>0</v>
      </c>
      <c r="AP16">
        <f>MAX(AQ16:BN16)</f>
        <v>1</v>
      </c>
      <c r="AQ16" s="4">
        <f>_xlfn.NUMBERVALUE(RIGHT(AK2,1))</f>
        <v>1</v>
      </c>
      <c r="AR16" s="4">
        <f t="shared" ref="AR16:BG27" si="44">_xlfn.NUMBERVALUE(RIGHT(AL2,1))</f>
        <v>0</v>
      </c>
      <c r="AS16" s="4">
        <f t="shared" si="44"/>
        <v>0</v>
      </c>
      <c r="AT16" s="4">
        <f t="shared" si="44"/>
        <v>0</v>
      </c>
      <c r="AU16" s="4">
        <f t="shared" si="44"/>
        <v>0</v>
      </c>
      <c r="AV16" s="4">
        <f t="shared" si="44"/>
        <v>0</v>
      </c>
      <c r="AW16" s="4">
        <f t="shared" si="44"/>
        <v>0</v>
      </c>
      <c r="AX16" s="4">
        <f t="shared" si="44"/>
        <v>0</v>
      </c>
      <c r="AY16" s="4">
        <f t="shared" si="44"/>
        <v>0</v>
      </c>
      <c r="AZ16" s="4">
        <f t="shared" si="44"/>
        <v>0</v>
      </c>
      <c r="BA16" s="4">
        <f t="shared" si="44"/>
        <v>0</v>
      </c>
      <c r="BB16" s="4">
        <f t="shared" si="44"/>
        <v>0</v>
      </c>
      <c r="BC16" s="4">
        <f t="shared" si="44"/>
        <v>0</v>
      </c>
      <c r="BD16" s="4">
        <f t="shared" si="44"/>
        <v>0</v>
      </c>
      <c r="BE16" s="4">
        <f t="shared" si="44"/>
        <v>0</v>
      </c>
      <c r="BF16" s="4">
        <f t="shared" si="44"/>
        <v>0</v>
      </c>
      <c r="BG16" s="4">
        <f t="shared" si="44"/>
        <v>0</v>
      </c>
      <c r="BH16" s="4">
        <f t="shared" ref="BH16:BN27" si="45">_xlfn.NUMBERVALUE(RIGHT(BB2,1))</f>
        <v>0</v>
      </c>
      <c r="BI16" s="4">
        <f t="shared" si="45"/>
        <v>0</v>
      </c>
      <c r="BJ16" s="4">
        <f t="shared" si="45"/>
        <v>0</v>
      </c>
      <c r="BK16" s="4">
        <f t="shared" si="45"/>
        <v>0</v>
      </c>
      <c r="BL16" s="4">
        <f t="shared" si="45"/>
        <v>0</v>
      </c>
      <c r="BM16" s="4">
        <f t="shared" si="45"/>
        <v>0</v>
      </c>
      <c r="BN16" s="4">
        <f t="shared" si="45"/>
        <v>0</v>
      </c>
    </row>
    <row r="17" spans="1:66" x14ac:dyDescent="0.2">
      <c r="A17" s="1" t="s">
        <v>20</v>
      </c>
      <c r="D17" s="1" t="s">
        <v>49</v>
      </c>
      <c r="G17" s="1" t="s">
        <v>52</v>
      </c>
      <c r="K17" s="3" t="s">
        <v>74</v>
      </c>
      <c r="P17" s="1" t="s">
        <v>66</v>
      </c>
      <c r="Z17">
        <f t="shared" si="35"/>
        <v>0</v>
      </c>
      <c r="AA17">
        <f t="shared" si="36"/>
        <v>0</v>
      </c>
      <c r="AE17">
        <f t="shared" si="37"/>
        <v>0</v>
      </c>
      <c r="AF17">
        <f t="shared" si="38"/>
        <v>0</v>
      </c>
      <c r="AG17">
        <f t="shared" si="39"/>
        <v>0</v>
      </c>
      <c r="AK17">
        <f t="shared" si="40"/>
        <v>0</v>
      </c>
      <c r="AL17">
        <f t="shared" si="41"/>
        <v>0</v>
      </c>
      <c r="AM17">
        <f t="shared" si="42"/>
        <v>0</v>
      </c>
      <c r="AN17">
        <f t="shared" si="43"/>
        <v>0</v>
      </c>
      <c r="AP17">
        <f t="shared" ref="AP17:AP27" si="46">MAX(AQ17:BN17)</f>
        <v>0</v>
      </c>
      <c r="AQ17" s="4">
        <f t="shared" ref="AQ17:AQ27" si="47">_xlfn.NUMBERVALUE(RIGHT(AK3,1))</f>
        <v>0</v>
      </c>
      <c r="AR17" s="4">
        <f t="shared" si="44"/>
        <v>0</v>
      </c>
      <c r="AS17" s="4">
        <f t="shared" si="44"/>
        <v>0</v>
      </c>
      <c r="AT17" s="4">
        <f t="shared" si="44"/>
        <v>0</v>
      </c>
      <c r="AU17" s="4">
        <f t="shared" si="44"/>
        <v>0</v>
      </c>
      <c r="AV17" s="4">
        <f t="shared" si="44"/>
        <v>0</v>
      </c>
      <c r="AW17" s="4">
        <f t="shared" si="44"/>
        <v>0</v>
      </c>
      <c r="AX17" s="4">
        <f t="shared" si="44"/>
        <v>0</v>
      </c>
      <c r="AY17" s="4">
        <f t="shared" si="44"/>
        <v>0</v>
      </c>
      <c r="AZ17" s="4">
        <f t="shared" si="44"/>
        <v>0</v>
      </c>
      <c r="BA17" s="4">
        <f t="shared" si="44"/>
        <v>0</v>
      </c>
      <c r="BB17" s="4">
        <f t="shared" si="44"/>
        <v>0</v>
      </c>
      <c r="BC17" s="4">
        <f t="shared" si="44"/>
        <v>0</v>
      </c>
      <c r="BD17" s="4">
        <f t="shared" si="44"/>
        <v>0</v>
      </c>
      <c r="BE17" s="4">
        <f t="shared" si="44"/>
        <v>0</v>
      </c>
      <c r="BF17" s="4">
        <f t="shared" si="44"/>
        <v>0</v>
      </c>
      <c r="BG17" s="4">
        <f t="shared" si="44"/>
        <v>0</v>
      </c>
      <c r="BH17" s="4">
        <f t="shared" si="45"/>
        <v>0</v>
      </c>
      <c r="BI17" s="4">
        <f t="shared" si="45"/>
        <v>0</v>
      </c>
      <c r="BJ17" s="4">
        <f t="shared" si="45"/>
        <v>0</v>
      </c>
      <c r="BK17" s="4">
        <f t="shared" si="45"/>
        <v>0</v>
      </c>
      <c r="BL17" s="4">
        <f t="shared" si="45"/>
        <v>0</v>
      </c>
      <c r="BM17" s="4">
        <f t="shared" si="45"/>
        <v>0</v>
      </c>
      <c r="BN17" s="4">
        <f t="shared" si="45"/>
        <v>0</v>
      </c>
    </row>
    <row r="18" spans="1:66" x14ac:dyDescent="0.2">
      <c r="A18" t="s">
        <v>32</v>
      </c>
      <c r="B18" t="s">
        <v>21</v>
      </c>
      <c r="D18" t="s">
        <v>180</v>
      </c>
      <c r="G18" s="3" t="s">
        <v>53</v>
      </c>
      <c r="K18" t="s">
        <v>55</v>
      </c>
      <c r="M18" t="s">
        <v>65</v>
      </c>
      <c r="P18" t="s">
        <v>67</v>
      </c>
      <c r="Z18">
        <f t="shared" si="35"/>
        <v>1</v>
      </c>
      <c r="AA18">
        <f t="shared" si="36"/>
        <v>0</v>
      </c>
      <c r="AE18">
        <f t="shared" si="37"/>
        <v>0</v>
      </c>
      <c r="AF18">
        <f t="shared" si="38"/>
        <v>1</v>
      </c>
      <c r="AG18">
        <f t="shared" si="39"/>
        <v>0</v>
      </c>
      <c r="AK18">
        <f t="shared" si="40"/>
        <v>1</v>
      </c>
      <c r="AL18">
        <f t="shared" si="41"/>
        <v>1</v>
      </c>
      <c r="AM18">
        <f t="shared" si="42"/>
        <v>0</v>
      </c>
      <c r="AN18">
        <f t="shared" si="43"/>
        <v>0</v>
      </c>
      <c r="AP18">
        <f t="shared" si="46"/>
        <v>2</v>
      </c>
      <c r="AQ18" s="4">
        <f t="shared" si="47"/>
        <v>1</v>
      </c>
      <c r="AR18" s="4">
        <f t="shared" si="44"/>
        <v>2</v>
      </c>
      <c r="AS18" s="4">
        <f t="shared" si="44"/>
        <v>0</v>
      </c>
      <c r="AT18" s="4">
        <f t="shared" si="44"/>
        <v>0</v>
      </c>
      <c r="AU18" s="4">
        <f t="shared" si="44"/>
        <v>0</v>
      </c>
      <c r="AV18" s="4">
        <f t="shared" si="44"/>
        <v>0</v>
      </c>
      <c r="AW18" s="4">
        <f t="shared" si="44"/>
        <v>0</v>
      </c>
      <c r="AX18" s="4">
        <f t="shared" si="44"/>
        <v>0</v>
      </c>
      <c r="AY18" s="4">
        <f t="shared" si="44"/>
        <v>0</v>
      </c>
      <c r="AZ18" s="4">
        <f t="shared" si="44"/>
        <v>0</v>
      </c>
      <c r="BA18" s="4">
        <f t="shared" si="44"/>
        <v>0</v>
      </c>
      <c r="BB18" s="4">
        <f t="shared" si="44"/>
        <v>0</v>
      </c>
      <c r="BC18" s="4">
        <f t="shared" si="44"/>
        <v>0</v>
      </c>
      <c r="BD18" s="4">
        <f t="shared" si="44"/>
        <v>0</v>
      </c>
      <c r="BE18" s="4">
        <f t="shared" si="44"/>
        <v>0</v>
      </c>
      <c r="BF18" s="4">
        <f t="shared" si="44"/>
        <v>0</v>
      </c>
      <c r="BG18" s="4">
        <f t="shared" si="44"/>
        <v>0</v>
      </c>
      <c r="BH18" s="4">
        <f t="shared" si="45"/>
        <v>0</v>
      </c>
      <c r="BI18" s="4">
        <f t="shared" si="45"/>
        <v>0</v>
      </c>
      <c r="BJ18" s="4">
        <f t="shared" si="45"/>
        <v>0</v>
      </c>
      <c r="BK18" s="4">
        <f t="shared" si="45"/>
        <v>0</v>
      </c>
      <c r="BL18" s="4">
        <f t="shared" si="45"/>
        <v>0</v>
      </c>
      <c r="BM18" s="4">
        <f t="shared" si="45"/>
        <v>0</v>
      </c>
      <c r="BN18" s="4">
        <f t="shared" si="45"/>
        <v>0</v>
      </c>
    </row>
    <row r="19" spans="1:66" x14ac:dyDescent="0.2">
      <c r="A19" t="s">
        <v>40</v>
      </c>
      <c r="B19" t="s">
        <v>22</v>
      </c>
      <c r="D19">
        <f>E16/D16</f>
        <v>1</v>
      </c>
      <c r="G19" t="s">
        <v>75</v>
      </c>
      <c r="K19">
        <f>O16/N16</f>
        <v>1</v>
      </c>
      <c r="M19">
        <f>SUM(M39:M50)</f>
        <v>-5</v>
      </c>
      <c r="P19">
        <f>T16/S16</f>
        <v>0.75</v>
      </c>
      <c r="Z19">
        <f t="shared" si="35"/>
        <v>1</v>
      </c>
      <c r="AA19">
        <f t="shared" si="36"/>
        <v>0</v>
      </c>
      <c r="AE19">
        <f t="shared" si="37"/>
        <v>0</v>
      </c>
      <c r="AF19">
        <f t="shared" si="38"/>
        <v>1</v>
      </c>
      <c r="AG19">
        <f t="shared" si="39"/>
        <v>0</v>
      </c>
      <c r="AK19">
        <f t="shared" si="40"/>
        <v>0</v>
      </c>
      <c r="AL19">
        <f t="shared" si="41"/>
        <v>1</v>
      </c>
      <c r="AM19">
        <f t="shared" si="42"/>
        <v>0</v>
      </c>
      <c r="AN19">
        <f t="shared" si="43"/>
        <v>0</v>
      </c>
      <c r="AP19">
        <f t="shared" si="46"/>
        <v>1</v>
      </c>
      <c r="AQ19" s="4">
        <f t="shared" si="47"/>
        <v>1</v>
      </c>
      <c r="AR19" s="4">
        <f t="shared" si="44"/>
        <v>0</v>
      </c>
      <c r="AS19" s="4">
        <f t="shared" si="44"/>
        <v>0</v>
      </c>
      <c r="AT19" s="4">
        <f t="shared" si="44"/>
        <v>0</v>
      </c>
      <c r="AU19" s="4">
        <f t="shared" si="44"/>
        <v>0</v>
      </c>
      <c r="AV19" s="4">
        <f t="shared" si="44"/>
        <v>0</v>
      </c>
      <c r="AW19" s="4">
        <f t="shared" si="44"/>
        <v>0</v>
      </c>
      <c r="AX19" s="4">
        <f t="shared" si="44"/>
        <v>0</v>
      </c>
      <c r="AY19" s="4">
        <f t="shared" si="44"/>
        <v>0</v>
      </c>
      <c r="AZ19" s="4">
        <f t="shared" si="44"/>
        <v>0</v>
      </c>
      <c r="BA19" s="4">
        <f t="shared" si="44"/>
        <v>0</v>
      </c>
      <c r="BB19" s="4">
        <f t="shared" si="44"/>
        <v>0</v>
      </c>
      <c r="BC19" s="4">
        <f t="shared" si="44"/>
        <v>0</v>
      </c>
      <c r="BD19" s="4">
        <f t="shared" si="44"/>
        <v>0</v>
      </c>
      <c r="BE19" s="4">
        <f t="shared" si="44"/>
        <v>0</v>
      </c>
      <c r="BF19" s="4">
        <f t="shared" si="44"/>
        <v>0</v>
      </c>
      <c r="BG19" s="4">
        <f t="shared" si="44"/>
        <v>0</v>
      </c>
      <c r="BH19" s="4">
        <f t="shared" si="45"/>
        <v>0</v>
      </c>
      <c r="BI19" s="4">
        <f t="shared" si="45"/>
        <v>0</v>
      </c>
      <c r="BJ19" s="4">
        <f t="shared" si="45"/>
        <v>0</v>
      </c>
      <c r="BK19" s="4">
        <f t="shared" si="45"/>
        <v>0</v>
      </c>
      <c r="BL19" s="4">
        <f t="shared" si="45"/>
        <v>0</v>
      </c>
      <c r="BM19" s="4">
        <f t="shared" si="45"/>
        <v>0</v>
      </c>
      <c r="BN19" s="4">
        <f t="shared" si="45"/>
        <v>0</v>
      </c>
    </row>
    <row r="20" spans="1:66" x14ac:dyDescent="0.2">
      <c r="A20" t="s">
        <v>41</v>
      </c>
      <c r="B20" t="s">
        <v>23</v>
      </c>
      <c r="D20" t="s">
        <v>47</v>
      </c>
      <c r="G20">
        <f>AK28/AP28</f>
        <v>0.47619047619047616</v>
      </c>
      <c r="K20" t="s">
        <v>13</v>
      </c>
      <c r="Z20">
        <f t="shared" si="35"/>
        <v>0</v>
      </c>
      <c r="AA20">
        <f t="shared" si="36"/>
        <v>0</v>
      </c>
      <c r="AE20">
        <f t="shared" si="37"/>
        <v>0</v>
      </c>
      <c r="AF20">
        <f t="shared" si="38"/>
        <v>0</v>
      </c>
      <c r="AG20">
        <f t="shared" si="39"/>
        <v>0</v>
      </c>
      <c r="AK20">
        <f t="shared" si="40"/>
        <v>1</v>
      </c>
      <c r="AL20">
        <f t="shared" si="41"/>
        <v>2</v>
      </c>
      <c r="AM20">
        <f t="shared" si="42"/>
        <v>0</v>
      </c>
      <c r="AN20">
        <f t="shared" si="43"/>
        <v>0</v>
      </c>
      <c r="AP20">
        <f t="shared" si="46"/>
        <v>2</v>
      </c>
      <c r="AQ20" s="4">
        <f t="shared" si="47"/>
        <v>1</v>
      </c>
      <c r="AR20" s="4">
        <f t="shared" si="44"/>
        <v>1</v>
      </c>
      <c r="AS20" s="4">
        <f t="shared" si="44"/>
        <v>2</v>
      </c>
      <c r="AT20" s="4">
        <f t="shared" si="44"/>
        <v>0</v>
      </c>
      <c r="AU20" s="4">
        <f t="shared" si="44"/>
        <v>0</v>
      </c>
      <c r="AV20" s="4">
        <f t="shared" si="44"/>
        <v>0</v>
      </c>
      <c r="AW20" s="4">
        <f t="shared" si="44"/>
        <v>0</v>
      </c>
      <c r="AX20" s="4">
        <f t="shared" si="44"/>
        <v>0</v>
      </c>
      <c r="AY20" s="4">
        <f t="shared" si="44"/>
        <v>0</v>
      </c>
      <c r="AZ20" s="4">
        <f t="shared" si="44"/>
        <v>0</v>
      </c>
      <c r="BA20" s="4">
        <f t="shared" si="44"/>
        <v>0</v>
      </c>
      <c r="BB20" s="4">
        <f t="shared" si="44"/>
        <v>0</v>
      </c>
      <c r="BC20" s="4">
        <f t="shared" si="44"/>
        <v>0</v>
      </c>
      <c r="BD20" s="4">
        <f t="shared" si="44"/>
        <v>0</v>
      </c>
      <c r="BE20" s="4">
        <f t="shared" si="44"/>
        <v>0</v>
      </c>
      <c r="BF20" s="4">
        <f t="shared" si="44"/>
        <v>0</v>
      </c>
      <c r="BG20" s="4">
        <f t="shared" si="44"/>
        <v>0</v>
      </c>
      <c r="BH20" s="4">
        <f t="shared" si="45"/>
        <v>0</v>
      </c>
      <c r="BI20" s="4">
        <f t="shared" si="45"/>
        <v>0</v>
      </c>
      <c r="BJ20" s="4">
        <f t="shared" si="45"/>
        <v>0</v>
      </c>
      <c r="BK20" s="4">
        <f t="shared" si="45"/>
        <v>0</v>
      </c>
      <c r="BL20" s="4">
        <f t="shared" si="45"/>
        <v>0</v>
      </c>
      <c r="BM20" s="4">
        <f t="shared" si="45"/>
        <v>0</v>
      </c>
      <c r="BN20" s="4">
        <f t="shared" si="45"/>
        <v>0</v>
      </c>
    </row>
    <row r="21" spans="1:66" x14ac:dyDescent="0.2">
      <c r="A21" s="1" t="s">
        <v>24</v>
      </c>
      <c r="D21">
        <f>G16/A31</f>
        <v>18.666666666666668</v>
      </c>
      <c r="G21" t="s">
        <v>76</v>
      </c>
      <c r="K21" t="s">
        <v>57</v>
      </c>
      <c r="L21" t="s">
        <v>58</v>
      </c>
      <c r="M21" t="s">
        <v>59</v>
      </c>
      <c r="N21" t="s">
        <v>60</v>
      </c>
      <c r="Z21">
        <f t="shared" si="35"/>
        <v>1</v>
      </c>
      <c r="AA21">
        <f t="shared" si="36"/>
        <v>0</v>
      </c>
      <c r="AE21">
        <f t="shared" si="37"/>
        <v>0</v>
      </c>
      <c r="AF21">
        <f t="shared" si="38"/>
        <v>1</v>
      </c>
      <c r="AG21">
        <f t="shared" si="39"/>
        <v>0</v>
      </c>
      <c r="AK21">
        <f t="shared" si="40"/>
        <v>3</v>
      </c>
      <c r="AL21">
        <f t="shared" si="41"/>
        <v>2</v>
      </c>
      <c r="AM21">
        <f t="shared" si="42"/>
        <v>0</v>
      </c>
      <c r="AN21">
        <f t="shared" si="43"/>
        <v>0</v>
      </c>
      <c r="AP21">
        <f t="shared" si="46"/>
        <v>3</v>
      </c>
      <c r="AQ21" s="4">
        <f t="shared" si="47"/>
        <v>1</v>
      </c>
      <c r="AR21" s="4">
        <f t="shared" si="44"/>
        <v>1</v>
      </c>
      <c r="AS21" s="4">
        <f t="shared" si="44"/>
        <v>2</v>
      </c>
      <c r="AT21" s="4">
        <f t="shared" si="44"/>
        <v>2</v>
      </c>
      <c r="AU21" s="4">
        <f t="shared" si="44"/>
        <v>3</v>
      </c>
      <c r="AV21" s="4">
        <f t="shared" si="44"/>
        <v>0</v>
      </c>
      <c r="AW21" s="4">
        <f t="shared" si="44"/>
        <v>0</v>
      </c>
      <c r="AX21" s="4">
        <f t="shared" si="44"/>
        <v>0</v>
      </c>
      <c r="AY21" s="4">
        <f t="shared" si="44"/>
        <v>0</v>
      </c>
      <c r="AZ21" s="4">
        <f t="shared" si="44"/>
        <v>0</v>
      </c>
      <c r="BA21" s="4">
        <f t="shared" si="44"/>
        <v>0</v>
      </c>
      <c r="BB21" s="4">
        <f t="shared" si="44"/>
        <v>0</v>
      </c>
      <c r="BC21" s="4">
        <f t="shared" si="44"/>
        <v>0</v>
      </c>
      <c r="BD21" s="4">
        <f t="shared" si="44"/>
        <v>0</v>
      </c>
      <c r="BE21" s="4">
        <f t="shared" si="44"/>
        <v>0</v>
      </c>
      <c r="BF21" s="4">
        <f t="shared" si="44"/>
        <v>0</v>
      </c>
      <c r="BG21" s="4">
        <f t="shared" si="44"/>
        <v>0</v>
      </c>
      <c r="BH21" s="4">
        <f t="shared" si="45"/>
        <v>0</v>
      </c>
      <c r="BI21" s="4">
        <f t="shared" si="45"/>
        <v>0</v>
      </c>
      <c r="BJ21" s="4">
        <f t="shared" si="45"/>
        <v>0</v>
      </c>
      <c r="BK21" s="4">
        <f t="shared" si="45"/>
        <v>0</v>
      </c>
      <c r="BL21" s="4">
        <f t="shared" si="45"/>
        <v>0</v>
      </c>
      <c r="BM21" s="4">
        <f t="shared" si="45"/>
        <v>0</v>
      </c>
      <c r="BN21" s="4">
        <f t="shared" si="45"/>
        <v>0</v>
      </c>
    </row>
    <row r="22" spans="1:66" x14ac:dyDescent="0.2">
      <c r="A22" t="s">
        <v>36</v>
      </c>
      <c r="B22" t="s">
        <v>10</v>
      </c>
      <c r="D22" t="s">
        <v>48</v>
      </c>
      <c r="G22">
        <f>AL28/AP28</f>
        <v>0.7142857142857143</v>
      </c>
      <c r="K22">
        <f>AVERAGE(C39:C50)</f>
        <v>2.5</v>
      </c>
      <c r="L22">
        <f>MEDIAN(C39:C50)</f>
        <v>3</v>
      </c>
      <c r="M22">
        <f>MAX(C39:C50)</f>
        <v>4</v>
      </c>
      <c r="N22">
        <f>_xlfn.STDEV.S(C39:C50)</f>
        <v>0.90453403373329089</v>
      </c>
      <c r="Z22">
        <f t="shared" si="35"/>
        <v>0</v>
      </c>
      <c r="AA22">
        <f t="shared" si="36"/>
        <v>0</v>
      </c>
      <c r="AE22">
        <f t="shared" si="37"/>
        <v>1</v>
      </c>
      <c r="AF22">
        <f t="shared" si="38"/>
        <v>1</v>
      </c>
      <c r="AG22">
        <f t="shared" si="39"/>
        <v>0</v>
      </c>
      <c r="AK22">
        <f t="shared" si="40"/>
        <v>1</v>
      </c>
      <c r="AL22">
        <f t="shared" si="41"/>
        <v>1</v>
      </c>
      <c r="AM22">
        <f t="shared" si="42"/>
        <v>0</v>
      </c>
      <c r="AN22">
        <f t="shared" si="43"/>
        <v>0</v>
      </c>
      <c r="AP22">
        <f t="shared" si="46"/>
        <v>2</v>
      </c>
      <c r="AQ22" s="4">
        <f t="shared" si="47"/>
        <v>1</v>
      </c>
      <c r="AR22" s="4">
        <f t="shared" si="44"/>
        <v>2</v>
      </c>
      <c r="AS22" s="4">
        <f t="shared" si="44"/>
        <v>0</v>
      </c>
      <c r="AT22" s="4">
        <f t="shared" si="44"/>
        <v>0</v>
      </c>
      <c r="AU22" s="4">
        <f t="shared" si="44"/>
        <v>0</v>
      </c>
      <c r="AV22" s="4">
        <f t="shared" si="44"/>
        <v>0</v>
      </c>
      <c r="AW22" s="4">
        <f t="shared" si="44"/>
        <v>0</v>
      </c>
      <c r="AX22" s="4">
        <f t="shared" si="44"/>
        <v>0</v>
      </c>
      <c r="AY22" s="4">
        <f t="shared" si="44"/>
        <v>0</v>
      </c>
      <c r="AZ22" s="4">
        <f t="shared" si="44"/>
        <v>0</v>
      </c>
      <c r="BA22" s="4">
        <f t="shared" si="44"/>
        <v>0</v>
      </c>
      <c r="BB22" s="4">
        <f t="shared" si="44"/>
        <v>0</v>
      </c>
      <c r="BC22" s="4">
        <f t="shared" si="44"/>
        <v>0</v>
      </c>
      <c r="BD22" s="4">
        <f t="shared" si="44"/>
        <v>0</v>
      </c>
      <c r="BE22" s="4">
        <f t="shared" si="44"/>
        <v>0</v>
      </c>
      <c r="BF22" s="4">
        <f t="shared" si="44"/>
        <v>0</v>
      </c>
      <c r="BG22" s="4">
        <f t="shared" si="44"/>
        <v>0</v>
      </c>
      <c r="BH22" s="4">
        <f t="shared" si="45"/>
        <v>0</v>
      </c>
      <c r="BI22" s="4">
        <f t="shared" si="45"/>
        <v>0</v>
      </c>
      <c r="BJ22" s="4">
        <f t="shared" si="45"/>
        <v>0</v>
      </c>
      <c r="BK22" s="4">
        <f t="shared" si="45"/>
        <v>0</v>
      </c>
      <c r="BL22" s="4">
        <f t="shared" si="45"/>
        <v>0</v>
      </c>
      <c r="BM22" s="4">
        <f t="shared" si="45"/>
        <v>0</v>
      </c>
      <c r="BN22" s="4">
        <f t="shared" si="45"/>
        <v>0</v>
      </c>
    </row>
    <row r="23" spans="1:66" x14ac:dyDescent="0.2">
      <c r="A23" t="s">
        <v>37</v>
      </c>
      <c r="B23" t="s">
        <v>25</v>
      </c>
      <c r="D23">
        <f>H16/A31</f>
        <v>0</v>
      </c>
      <c r="G23" t="s">
        <v>77</v>
      </c>
      <c r="K23" t="s">
        <v>8</v>
      </c>
      <c r="Z23">
        <f t="shared" si="35"/>
        <v>1</v>
      </c>
      <c r="AA23">
        <f t="shared" si="36"/>
        <v>0</v>
      </c>
      <c r="AE23">
        <f t="shared" si="37"/>
        <v>0</v>
      </c>
      <c r="AF23">
        <f t="shared" si="38"/>
        <v>2</v>
      </c>
      <c r="AG23">
        <f t="shared" si="39"/>
        <v>0</v>
      </c>
      <c r="AK23">
        <f t="shared" si="40"/>
        <v>0</v>
      </c>
      <c r="AL23">
        <f t="shared" si="41"/>
        <v>2</v>
      </c>
      <c r="AM23">
        <f t="shared" si="42"/>
        <v>0</v>
      </c>
      <c r="AN23">
        <f t="shared" si="43"/>
        <v>0</v>
      </c>
      <c r="AP23">
        <f t="shared" si="46"/>
        <v>2</v>
      </c>
      <c r="AQ23" s="4">
        <f t="shared" si="47"/>
        <v>1</v>
      </c>
      <c r="AR23" s="4">
        <f t="shared" si="44"/>
        <v>2</v>
      </c>
      <c r="AS23" s="4">
        <f t="shared" si="44"/>
        <v>0</v>
      </c>
      <c r="AT23" s="4">
        <f t="shared" si="44"/>
        <v>0</v>
      </c>
      <c r="AU23" s="4">
        <f t="shared" si="44"/>
        <v>0</v>
      </c>
      <c r="AV23" s="4">
        <f t="shared" si="44"/>
        <v>0</v>
      </c>
      <c r="AW23" s="4">
        <f t="shared" si="44"/>
        <v>0</v>
      </c>
      <c r="AX23" s="4">
        <f t="shared" si="44"/>
        <v>0</v>
      </c>
      <c r="AY23" s="4">
        <f t="shared" si="44"/>
        <v>0</v>
      </c>
      <c r="AZ23" s="4">
        <f t="shared" si="44"/>
        <v>0</v>
      </c>
      <c r="BA23" s="4">
        <f t="shared" si="44"/>
        <v>0</v>
      </c>
      <c r="BB23" s="4">
        <f t="shared" si="44"/>
        <v>0</v>
      </c>
      <c r="BC23" s="4">
        <f t="shared" si="44"/>
        <v>0</v>
      </c>
      <c r="BD23" s="4">
        <f t="shared" si="44"/>
        <v>0</v>
      </c>
      <c r="BE23" s="4">
        <f t="shared" si="44"/>
        <v>0</v>
      </c>
      <c r="BF23" s="4">
        <f t="shared" si="44"/>
        <v>0</v>
      </c>
      <c r="BG23" s="4">
        <f t="shared" si="44"/>
        <v>0</v>
      </c>
      <c r="BH23" s="4">
        <f t="shared" si="45"/>
        <v>0</v>
      </c>
      <c r="BI23" s="4">
        <f t="shared" si="45"/>
        <v>0</v>
      </c>
      <c r="BJ23" s="4">
        <f t="shared" si="45"/>
        <v>0</v>
      </c>
      <c r="BK23" s="4">
        <f t="shared" si="45"/>
        <v>0</v>
      </c>
      <c r="BL23" s="4">
        <f t="shared" si="45"/>
        <v>0</v>
      </c>
      <c r="BM23" s="4">
        <f t="shared" si="45"/>
        <v>0</v>
      </c>
      <c r="BN23" s="4">
        <f t="shared" si="45"/>
        <v>0</v>
      </c>
    </row>
    <row r="24" spans="1:66" x14ac:dyDescent="0.2">
      <c r="A24" t="s">
        <v>38</v>
      </c>
      <c r="B24" t="s">
        <v>26</v>
      </c>
      <c r="D24" t="s">
        <v>50</v>
      </c>
      <c r="G24">
        <f>AM28/AP28</f>
        <v>0</v>
      </c>
      <c r="K24" t="s">
        <v>57</v>
      </c>
      <c r="L24" t="s">
        <v>61</v>
      </c>
      <c r="M24" t="s">
        <v>59</v>
      </c>
      <c r="N24" t="s">
        <v>60</v>
      </c>
      <c r="Z24">
        <f t="shared" si="35"/>
        <v>1</v>
      </c>
      <c r="AA24">
        <f t="shared" si="36"/>
        <v>0</v>
      </c>
      <c r="AE24">
        <f t="shared" si="37"/>
        <v>0</v>
      </c>
      <c r="AF24">
        <f t="shared" si="38"/>
        <v>0</v>
      </c>
      <c r="AG24">
        <f t="shared" si="39"/>
        <v>0</v>
      </c>
      <c r="AK24">
        <f t="shared" si="40"/>
        <v>2</v>
      </c>
      <c r="AL24">
        <f t="shared" si="41"/>
        <v>0</v>
      </c>
      <c r="AM24">
        <f t="shared" si="42"/>
        <v>0</v>
      </c>
      <c r="AN24">
        <f t="shared" si="43"/>
        <v>0</v>
      </c>
      <c r="AP24">
        <f t="shared" si="46"/>
        <v>2</v>
      </c>
      <c r="AQ24" s="4">
        <f t="shared" si="47"/>
        <v>1</v>
      </c>
      <c r="AR24" s="4">
        <f t="shared" si="44"/>
        <v>2</v>
      </c>
      <c r="AS24" s="4">
        <f t="shared" si="44"/>
        <v>0</v>
      </c>
      <c r="AT24" s="4">
        <f t="shared" si="44"/>
        <v>0</v>
      </c>
      <c r="AU24" s="4">
        <f t="shared" si="44"/>
        <v>0</v>
      </c>
      <c r="AV24" s="4">
        <f t="shared" si="44"/>
        <v>0</v>
      </c>
      <c r="AW24" s="4">
        <f t="shared" si="44"/>
        <v>0</v>
      </c>
      <c r="AX24" s="4">
        <f t="shared" si="44"/>
        <v>0</v>
      </c>
      <c r="AY24" s="4">
        <f t="shared" si="44"/>
        <v>0</v>
      </c>
      <c r="AZ24" s="4">
        <f t="shared" si="44"/>
        <v>0</v>
      </c>
      <c r="BA24" s="4">
        <f t="shared" si="44"/>
        <v>0</v>
      </c>
      <c r="BB24" s="4">
        <f t="shared" si="44"/>
        <v>0</v>
      </c>
      <c r="BC24" s="4">
        <f t="shared" si="44"/>
        <v>0</v>
      </c>
      <c r="BD24" s="4">
        <f t="shared" si="44"/>
        <v>0</v>
      </c>
      <c r="BE24" s="4">
        <f t="shared" si="44"/>
        <v>0</v>
      </c>
      <c r="BF24" s="4">
        <f t="shared" si="44"/>
        <v>0</v>
      </c>
      <c r="BG24" s="4">
        <f t="shared" si="44"/>
        <v>0</v>
      </c>
      <c r="BH24" s="4">
        <f t="shared" si="45"/>
        <v>0</v>
      </c>
      <c r="BI24" s="4">
        <f t="shared" si="45"/>
        <v>0</v>
      </c>
      <c r="BJ24" s="4">
        <f t="shared" si="45"/>
        <v>0</v>
      </c>
      <c r="BK24" s="4">
        <f t="shared" si="45"/>
        <v>0</v>
      </c>
      <c r="BL24" s="4">
        <f t="shared" si="45"/>
        <v>0</v>
      </c>
      <c r="BM24" s="4">
        <f t="shared" si="45"/>
        <v>0</v>
      </c>
      <c r="BN24" s="4">
        <f t="shared" si="45"/>
        <v>0</v>
      </c>
    </row>
    <row r="25" spans="1:66" x14ac:dyDescent="0.2">
      <c r="A25" t="s">
        <v>39</v>
      </c>
      <c r="B25" t="s">
        <v>27</v>
      </c>
      <c r="D25">
        <f>Z28/A31</f>
        <v>0.66666666666666663</v>
      </c>
      <c r="G25" t="s">
        <v>78</v>
      </c>
      <c r="K25">
        <f>AVERAGE(E39:E50)</f>
        <v>0</v>
      </c>
      <c r="L25">
        <f>MEDIAN(E39:E50)</f>
        <v>0</v>
      </c>
      <c r="M25">
        <f>MAX(E39:E50)</f>
        <v>0</v>
      </c>
      <c r="N25">
        <f>_xlfn.STDEV.S(E39:E50)</f>
        <v>0</v>
      </c>
      <c r="Z25">
        <f t="shared" si="35"/>
        <v>1</v>
      </c>
      <c r="AA25">
        <f t="shared" si="36"/>
        <v>0</v>
      </c>
      <c r="AE25">
        <f t="shared" si="37"/>
        <v>0</v>
      </c>
      <c r="AF25">
        <f t="shared" si="38"/>
        <v>1</v>
      </c>
      <c r="AG25">
        <f t="shared" si="39"/>
        <v>0</v>
      </c>
      <c r="AK25">
        <f t="shared" si="40"/>
        <v>0</v>
      </c>
      <c r="AL25">
        <f t="shared" si="41"/>
        <v>2</v>
      </c>
      <c r="AM25">
        <f t="shared" si="42"/>
        <v>0</v>
      </c>
      <c r="AN25">
        <f t="shared" si="43"/>
        <v>0</v>
      </c>
      <c r="AP25">
        <f t="shared" si="46"/>
        <v>2</v>
      </c>
      <c r="AQ25" s="4">
        <f t="shared" si="47"/>
        <v>1</v>
      </c>
      <c r="AR25" s="4">
        <f t="shared" si="44"/>
        <v>2</v>
      </c>
      <c r="AS25" s="4">
        <f t="shared" si="44"/>
        <v>0</v>
      </c>
      <c r="AT25" s="4">
        <f t="shared" si="44"/>
        <v>0</v>
      </c>
      <c r="AU25" s="4">
        <f t="shared" si="44"/>
        <v>0</v>
      </c>
      <c r="AV25" s="4">
        <f t="shared" si="44"/>
        <v>0</v>
      </c>
      <c r="AW25" s="4">
        <f t="shared" si="44"/>
        <v>0</v>
      </c>
      <c r="AX25" s="4">
        <f t="shared" si="44"/>
        <v>0</v>
      </c>
      <c r="AY25" s="4">
        <f t="shared" si="44"/>
        <v>0</v>
      </c>
      <c r="AZ25" s="4">
        <f t="shared" si="44"/>
        <v>0</v>
      </c>
      <c r="BA25" s="4">
        <f t="shared" si="44"/>
        <v>0</v>
      </c>
      <c r="BB25" s="4">
        <f t="shared" si="44"/>
        <v>0</v>
      </c>
      <c r="BC25" s="4">
        <f t="shared" si="44"/>
        <v>0</v>
      </c>
      <c r="BD25" s="4">
        <f t="shared" si="44"/>
        <v>0</v>
      </c>
      <c r="BE25" s="4">
        <f t="shared" si="44"/>
        <v>0</v>
      </c>
      <c r="BF25" s="4">
        <f t="shared" si="44"/>
        <v>0</v>
      </c>
      <c r="BG25" s="4">
        <f t="shared" si="44"/>
        <v>0</v>
      </c>
      <c r="BH25" s="4">
        <f t="shared" si="45"/>
        <v>0</v>
      </c>
      <c r="BI25" s="4">
        <f t="shared" si="45"/>
        <v>0</v>
      </c>
      <c r="BJ25" s="4">
        <f t="shared" si="45"/>
        <v>0</v>
      </c>
      <c r="BK25" s="4">
        <f t="shared" si="45"/>
        <v>0</v>
      </c>
      <c r="BL25" s="4">
        <f t="shared" si="45"/>
        <v>0</v>
      </c>
      <c r="BM25" s="4">
        <f t="shared" si="45"/>
        <v>0</v>
      </c>
      <c r="BN25" s="4">
        <f t="shared" si="45"/>
        <v>0</v>
      </c>
    </row>
    <row r="26" spans="1:66" x14ac:dyDescent="0.2">
      <c r="A26" t="s">
        <v>44</v>
      </c>
      <c r="D26" t="s">
        <v>51</v>
      </c>
      <c r="G26">
        <f>AN28/AP28</f>
        <v>0</v>
      </c>
      <c r="K26" t="s">
        <v>62</v>
      </c>
      <c r="P26" t="s">
        <v>19</v>
      </c>
      <c r="Z26">
        <f t="shared" si="35"/>
        <v>1</v>
      </c>
      <c r="AA26">
        <f t="shared" si="36"/>
        <v>0</v>
      </c>
      <c r="AE26">
        <f t="shared" si="37"/>
        <v>0</v>
      </c>
      <c r="AF26">
        <f t="shared" si="38"/>
        <v>0</v>
      </c>
      <c r="AG26">
        <f t="shared" si="39"/>
        <v>0</v>
      </c>
      <c r="AK26">
        <f t="shared" si="40"/>
        <v>1</v>
      </c>
      <c r="AL26">
        <f t="shared" si="41"/>
        <v>2</v>
      </c>
      <c r="AM26">
        <f t="shared" si="42"/>
        <v>0</v>
      </c>
      <c r="AN26">
        <f t="shared" si="43"/>
        <v>0</v>
      </c>
      <c r="AP26">
        <f t="shared" si="46"/>
        <v>3</v>
      </c>
      <c r="AQ26" s="4">
        <f t="shared" si="47"/>
        <v>1</v>
      </c>
      <c r="AR26" s="4">
        <f t="shared" si="44"/>
        <v>2</v>
      </c>
      <c r="AS26" s="4">
        <f t="shared" si="44"/>
        <v>3</v>
      </c>
      <c r="AT26" s="4">
        <f t="shared" si="44"/>
        <v>0</v>
      </c>
      <c r="AU26" s="4">
        <f t="shared" si="44"/>
        <v>0</v>
      </c>
      <c r="AV26" s="4">
        <f t="shared" si="44"/>
        <v>0</v>
      </c>
      <c r="AW26" s="4">
        <f t="shared" si="44"/>
        <v>0</v>
      </c>
      <c r="AX26" s="4">
        <f t="shared" si="44"/>
        <v>0</v>
      </c>
      <c r="AY26" s="4">
        <f t="shared" si="44"/>
        <v>0</v>
      </c>
      <c r="AZ26" s="4">
        <f t="shared" si="44"/>
        <v>0</v>
      </c>
      <c r="BA26" s="4">
        <f t="shared" si="44"/>
        <v>0</v>
      </c>
      <c r="BB26" s="4">
        <f t="shared" si="44"/>
        <v>0</v>
      </c>
      <c r="BC26" s="4">
        <f t="shared" si="44"/>
        <v>0</v>
      </c>
      <c r="BD26" s="4">
        <f t="shared" si="44"/>
        <v>0</v>
      </c>
      <c r="BE26" s="4">
        <f t="shared" si="44"/>
        <v>0</v>
      </c>
      <c r="BF26" s="4">
        <f t="shared" si="44"/>
        <v>0</v>
      </c>
      <c r="BG26" s="4">
        <f t="shared" si="44"/>
        <v>0</v>
      </c>
      <c r="BH26" s="4">
        <f t="shared" si="45"/>
        <v>0</v>
      </c>
      <c r="BI26" s="4">
        <f t="shared" si="45"/>
        <v>0</v>
      </c>
      <c r="BJ26" s="4">
        <f t="shared" si="45"/>
        <v>0</v>
      </c>
      <c r="BK26" s="4">
        <f t="shared" si="45"/>
        <v>0</v>
      </c>
      <c r="BL26" s="4">
        <f t="shared" si="45"/>
        <v>0</v>
      </c>
      <c r="BM26" s="4">
        <f t="shared" si="45"/>
        <v>0</v>
      </c>
      <c r="BN26" s="4">
        <f t="shared" si="45"/>
        <v>0</v>
      </c>
    </row>
    <row r="27" spans="1:66" x14ac:dyDescent="0.2">
      <c r="A27" t="s">
        <v>45</v>
      </c>
      <c r="D27">
        <f>AA28/A31</f>
        <v>0</v>
      </c>
      <c r="G27" t="s">
        <v>56</v>
      </c>
      <c r="K27" t="s">
        <v>57</v>
      </c>
      <c r="L27" t="s">
        <v>58</v>
      </c>
      <c r="M27" t="s">
        <v>59</v>
      </c>
      <c r="N27" t="s">
        <v>60</v>
      </c>
      <c r="P27" t="s">
        <v>57</v>
      </c>
      <c r="Q27" t="s">
        <v>58</v>
      </c>
      <c r="R27" t="s">
        <v>59</v>
      </c>
      <c r="S27" t="s">
        <v>60</v>
      </c>
      <c r="Z27">
        <f t="shared" si="35"/>
        <v>1</v>
      </c>
      <c r="AA27">
        <f t="shared" si="36"/>
        <v>0</v>
      </c>
      <c r="AE27">
        <f t="shared" si="37"/>
        <v>0</v>
      </c>
      <c r="AF27">
        <f t="shared" si="38"/>
        <v>2</v>
      </c>
      <c r="AG27">
        <f t="shared" si="39"/>
        <v>0</v>
      </c>
      <c r="AK27">
        <f t="shared" si="40"/>
        <v>1</v>
      </c>
      <c r="AL27">
        <f t="shared" si="41"/>
        <v>1</v>
      </c>
      <c r="AM27">
        <f t="shared" si="42"/>
        <v>0</v>
      </c>
      <c r="AN27">
        <f t="shared" si="43"/>
        <v>0</v>
      </c>
      <c r="AP27">
        <f t="shared" si="46"/>
        <v>1</v>
      </c>
      <c r="AQ27" s="4">
        <f t="shared" si="47"/>
        <v>1</v>
      </c>
      <c r="AR27" s="4">
        <f t="shared" si="44"/>
        <v>1</v>
      </c>
      <c r="AS27" s="4">
        <f t="shared" si="44"/>
        <v>0</v>
      </c>
      <c r="AT27" s="4">
        <f t="shared" si="44"/>
        <v>0</v>
      </c>
      <c r="AU27" s="4">
        <f t="shared" si="44"/>
        <v>0</v>
      </c>
      <c r="AV27" s="4">
        <f t="shared" si="44"/>
        <v>0</v>
      </c>
      <c r="AW27" s="4">
        <f t="shared" si="44"/>
        <v>0</v>
      </c>
      <c r="AX27" s="4">
        <f t="shared" si="44"/>
        <v>0</v>
      </c>
      <c r="AY27" s="4">
        <f t="shared" si="44"/>
        <v>0</v>
      </c>
      <c r="AZ27" s="4">
        <f t="shared" si="44"/>
        <v>0</v>
      </c>
      <c r="BA27" s="4">
        <f t="shared" si="44"/>
        <v>0</v>
      </c>
      <c r="BB27" s="4">
        <f t="shared" si="44"/>
        <v>0</v>
      </c>
      <c r="BC27" s="4">
        <f t="shared" si="44"/>
        <v>0</v>
      </c>
      <c r="BD27" s="4">
        <f t="shared" si="44"/>
        <v>0</v>
      </c>
      <c r="BE27" s="4">
        <f t="shared" si="44"/>
        <v>0</v>
      </c>
      <c r="BF27" s="4">
        <f t="shared" si="44"/>
        <v>0</v>
      </c>
      <c r="BG27" s="4">
        <f t="shared" si="44"/>
        <v>0</v>
      </c>
      <c r="BH27" s="4">
        <f t="shared" si="45"/>
        <v>0</v>
      </c>
      <c r="BI27" s="4">
        <f t="shared" si="45"/>
        <v>0</v>
      </c>
      <c r="BJ27" s="4">
        <f t="shared" si="45"/>
        <v>0</v>
      </c>
      <c r="BK27" s="4">
        <f t="shared" si="45"/>
        <v>0</v>
      </c>
      <c r="BL27" s="4">
        <f t="shared" si="45"/>
        <v>0</v>
      </c>
      <c r="BM27" s="4">
        <f t="shared" si="45"/>
        <v>0</v>
      </c>
      <c r="BN27" s="4">
        <f t="shared" si="45"/>
        <v>0</v>
      </c>
    </row>
    <row r="28" spans="1:66" x14ac:dyDescent="0.2">
      <c r="A28" t="s">
        <v>46</v>
      </c>
      <c r="D28" t="s">
        <v>202</v>
      </c>
      <c r="G28" t="s">
        <v>57</v>
      </c>
      <c r="H28" t="s">
        <v>58</v>
      </c>
      <c r="I28" t="s">
        <v>59</v>
      </c>
      <c r="J28" t="s">
        <v>60</v>
      </c>
      <c r="K28">
        <f>AVERAGE(G39:G50)</f>
        <v>2.4166666666666665</v>
      </c>
      <c r="L28">
        <f>MEDIAN(G39:G50)</f>
        <v>2</v>
      </c>
      <c r="M28">
        <f>MAX(G39:G50)</f>
        <v>4</v>
      </c>
      <c r="N28">
        <f>_xlfn.STDEV.S(G39:G50)</f>
        <v>0.79296146109875931</v>
      </c>
      <c r="P28">
        <f>AVERAGE(N39:N50)</f>
        <v>41.333333333333336</v>
      </c>
      <c r="Q28">
        <f>MEDIAN(N39:N50)</f>
        <v>42.5</v>
      </c>
      <c r="R28">
        <f>MAX(N39:N50)</f>
        <v>49</v>
      </c>
      <c r="S28">
        <f>_xlfn.STDEV.S(N39:N50)</f>
        <v>6.3436916887900816</v>
      </c>
      <c r="Y28" t="s">
        <v>33</v>
      </c>
      <c r="Z28">
        <f>SUM(Z16:Z27)</f>
        <v>8</v>
      </c>
      <c r="AA28">
        <f>SUM(AA16:AA27)</f>
        <v>0</v>
      </c>
      <c r="AE28">
        <f>SUM(AE16:AE27)</f>
        <v>1</v>
      </c>
      <c r="AF28">
        <f>SUM(AF16:AF27)</f>
        <v>9</v>
      </c>
      <c r="AG28">
        <f>SUM(AG16:AG27)</f>
        <v>0</v>
      </c>
      <c r="AK28">
        <f>SUM(AK16:AK27)</f>
        <v>10</v>
      </c>
      <c r="AL28">
        <f>SUM(AL16:AL27)</f>
        <v>15</v>
      </c>
      <c r="AM28">
        <f>SUM(AM16:AM27)</f>
        <v>0</v>
      </c>
      <c r="AN28">
        <f>SUM(AN16:AN27)</f>
        <v>0</v>
      </c>
      <c r="AP28">
        <f>SUM(AP16:AP27)</f>
        <v>21</v>
      </c>
    </row>
    <row r="29" spans="1:66" x14ac:dyDescent="0.2">
      <c r="D29" t="e">
        <f>SUM(O39:O50)/F16</f>
        <v>#DIV/0!</v>
      </c>
      <c r="G29">
        <f>AVERAGE(A39:A50)</f>
        <v>0.83333333333333337</v>
      </c>
      <c r="H29">
        <f>MEDIAN(A39:A50)</f>
        <v>1</v>
      </c>
      <c r="I29">
        <f>MAX(A39:A50)</f>
        <v>2</v>
      </c>
      <c r="J29">
        <f>_xlfn.STDEV.S(A39:A50)</f>
        <v>0.83484710993672184</v>
      </c>
      <c r="K29" t="s">
        <v>63</v>
      </c>
      <c r="P29" t="s">
        <v>148</v>
      </c>
    </row>
    <row r="30" spans="1:66" x14ac:dyDescent="0.2">
      <c r="A30" t="s">
        <v>147</v>
      </c>
      <c r="D30" t="s">
        <v>203</v>
      </c>
      <c r="G30" t="s">
        <v>50</v>
      </c>
      <c r="H30" t="s">
        <v>51</v>
      </c>
      <c r="I30" t="s">
        <v>89</v>
      </c>
      <c r="K30" t="s">
        <v>57</v>
      </c>
      <c r="L30" t="s">
        <v>58</v>
      </c>
      <c r="M30" t="s">
        <v>59</v>
      </c>
      <c r="N30" t="s">
        <v>60</v>
      </c>
      <c r="P30" t="s">
        <v>57</v>
      </c>
      <c r="Q30" t="s">
        <v>58</v>
      </c>
      <c r="R30" t="s">
        <v>59</v>
      </c>
      <c r="S30" t="s">
        <v>60</v>
      </c>
      <c r="W30" t="s">
        <v>148</v>
      </c>
      <c r="Y30" t="s">
        <v>149</v>
      </c>
      <c r="AH30" t="s">
        <v>79</v>
      </c>
    </row>
    <row r="31" spans="1:66" x14ac:dyDescent="0.2">
      <c r="A31">
        <f>COUNT(B4:B15)</f>
        <v>12</v>
      </c>
      <c r="D31" s="2">
        <f>SUM(S39:S50)/SUM(Q39:Q50)</f>
        <v>1</v>
      </c>
      <c r="G31">
        <f>AE28/A31</f>
        <v>8.3333333333333329E-2</v>
      </c>
      <c r="H31">
        <f>AF28/A31</f>
        <v>0.75</v>
      </c>
      <c r="I31">
        <f>AG28/A31</f>
        <v>0</v>
      </c>
      <c r="K31" t="e">
        <f>AVERAGE(I39:I50)</f>
        <v>#DIV/0!</v>
      </c>
      <c r="L31" t="e">
        <f>MEDIAN(I39:I50)</f>
        <v>#NUM!</v>
      </c>
      <c r="M31">
        <f>MAX(I39:I50)</f>
        <v>0</v>
      </c>
      <c r="N31" t="e">
        <f>_xlfn.STDEV.S(I39:I50)</f>
        <v>#DIV/0!</v>
      </c>
      <c r="P31">
        <f>AVERAGE(W31:W42)</f>
        <v>41.333333333333336</v>
      </c>
      <c r="Q31">
        <f>MEDIAN(W31:W42)</f>
        <v>42.5</v>
      </c>
      <c r="R31">
        <f>MAX(W31:W42)</f>
        <v>49</v>
      </c>
      <c r="S31">
        <f>_xlfn.STDEV.S(W31:W42)</f>
        <v>6.3436916887900816</v>
      </c>
      <c r="W31">
        <f t="shared" ref="W31:W33" si="48">IF(AND(ISBLANK(Q4), ISBLANK(R4), ISBLANK(G4), ISBLANK(H4)), "", U4)</f>
        <v>38</v>
      </c>
      <c r="Y31">
        <f t="shared" ref="Y31:Y42" si="49">IF(ISBLANK(Y4), IF(X4 = 0, "", (G4 + H4/3 + V4/9 + W4/3)), U4)</f>
        <v>38</v>
      </c>
      <c r="AH31" t="s">
        <v>80</v>
      </c>
    </row>
    <row r="32" spans="1:66" x14ac:dyDescent="0.2">
      <c r="D32" s="3"/>
      <c r="K32" t="s">
        <v>64</v>
      </c>
      <c r="P32" t="s">
        <v>149</v>
      </c>
      <c r="W32">
        <f t="shared" si="48"/>
        <v>47</v>
      </c>
      <c r="Y32">
        <f t="shared" si="49"/>
        <v>30.666666666666668</v>
      </c>
      <c r="AH32" t="s">
        <v>81</v>
      </c>
    </row>
    <row r="33" spans="1:34" x14ac:dyDescent="0.2">
      <c r="D33" s="3"/>
      <c r="K33" t="s">
        <v>57</v>
      </c>
      <c r="L33" t="s">
        <v>58</v>
      </c>
      <c r="M33" t="s">
        <v>59</v>
      </c>
      <c r="N33" t="s">
        <v>60</v>
      </c>
      <c r="P33" t="s">
        <v>57</v>
      </c>
      <c r="Q33" t="s">
        <v>58</v>
      </c>
      <c r="R33" t="s">
        <v>59</v>
      </c>
      <c r="S33" t="s">
        <v>60</v>
      </c>
      <c r="W33">
        <f t="shared" si="48"/>
        <v>45</v>
      </c>
      <c r="Y33">
        <f t="shared" si="49"/>
        <v>45</v>
      </c>
      <c r="AH33" t="s">
        <v>82</v>
      </c>
    </row>
    <row r="34" spans="1:34" x14ac:dyDescent="0.2">
      <c r="D34" s="3"/>
      <c r="K34">
        <f>AVERAGE(K39:K50)</f>
        <v>2.4166666666666665</v>
      </c>
      <c r="L34">
        <f>MEDIAN(K39:K50)</f>
        <v>2</v>
      </c>
      <c r="M34">
        <f>MAX(K39:K50)</f>
        <v>4</v>
      </c>
      <c r="N34">
        <f>_xlfn.STDEV.S(K39:K50)</f>
        <v>0.79296146109875931</v>
      </c>
      <c r="P34">
        <f>AVERAGE(Y31:Y42)</f>
        <v>38.638888888888893</v>
      </c>
      <c r="Q34">
        <f>MEDIAN(Y31:Y42)</f>
        <v>40</v>
      </c>
      <c r="R34">
        <f>MAX(Y31:Y42)</f>
        <v>49</v>
      </c>
      <c r="S34">
        <f>_xlfn.STDEV.S(Y31:Y42)</f>
        <v>8.0897220405649826</v>
      </c>
      <c r="W34">
        <f>IF(AND(ISBLANK(Q7), ISBLANK(R7), ISBLANK(G7), ISBLANK(H7)), "", U7)</f>
        <v>29</v>
      </c>
      <c r="Y34">
        <f t="shared" si="49"/>
        <v>29</v>
      </c>
      <c r="AH34" t="s">
        <v>83</v>
      </c>
    </row>
    <row r="35" spans="1:34" x14ac:dyDescent="0.2">
      <c r="P35" t="s">
        <v>95</v>
      </c>
      <c r="R35" t="s">
        <v>197</v>
      </c>
      <c r="W35">
        <f t="shared" ref="W35:W42" si="50">IF(AND(ISBLANK(Q8), ISBLANK(R8), ISBLANK(G8), ISBLANK(H8)), "", U8)</f>
        <v>42</v>
      </c>
      <c r="Y35">
        <f t="shared" si="49"/>
        <v>42</v>
      </c>
    </row>
    <row r="36" spans="1:34" x14ac:dyDescent="0.2">
      <c r="P36">
        <f>Q16/(Q16+R16)</f>
        <v>0</v>
      </c>
      <c r="R36">
        <f>R16/(Q16+R16)</f>
        <v>1</v>
      </c>
      <c r="W36">
        <f t="shared" si="50"/>
        <v>43</v>
      </c>
      <c r="Y36">
        <f t="shared" si="49"/>
        <v>43</v>
      </c>
    </row>
    <row r="37" spans="1:34" x14ac:dyDescent="0.2">
      <c r="W37">
        <f t="shared" si="50"/>
        <v>49</v>
      </c>
      <c r="Y37">
        <f t="shared" si="49"/>
        <v>49</v>
      </c>
    </row>
    <row r="38" spans="1:34" x14ac:dyDescent="0.2">
      <c r="A38" t="s">
        <v>68</v>
      </c>
      <c r="C38" t="s">
        <v>69</v>
      </c>
      <c r="E38" t="s">
        <v>72</v>
      </c>
      <c r="G38" t="s">
        <v>250</v>
      </c>
      <c r="K38" t="s">
        <v>73</v>
      </c>
      <c r="M38" t="s">
        <v>70</v>
      </c>
      <c r="N38" t="s">
        <v>71</v>
      </c>
      <c r="O38" t="s">
        <v>199</v>
      </c>
      <c r="Q38" t="s">
        <v>200</v>
      </c>
      <c r="S38" t="s">
        <v>201</v>
      </c>
      <c r="W38">
        <f t="shared" si="50"/>
        <v>49</v>
      </c>
      <c r="Y38">
        <f t="shared" si="49"/>
        <v>49</v>
      </c>
    </row>
    <row r="39" spans="1:34" x14ac:dyDescent="0.2">
      <c r="A39">
        <f t="shared" ref="A39:A50" si="51">IF(ISBLANK(B4), "", SUM(AE16+AF16+AG16))</f>
        <v>0</v>
      </c>
      <c r="C39">
        <f t="shared" ref="C39:C50" si="52">IF(ISBLANK(B4), "", O4)</f>
        <v>3</v>
      </c>
      <c r="E39">
        <f t="shared" ref="E39:E50" si="53">IF(ISBLANK(B4), "", Q4)</f>
        <v>0</v>
      </c>
      <c r="G39">
        <f t="shared" ref="G39:G50" si="54">IF(ISBLANK(B4), "", R4)</f>
        <v>2</v>
      </c>
      <c r="K39">
        <f t="shared" ref="K39:K50" si="55">IF(ISBLANK(B4), "", SUM(Q4 + R4))</f>
        <v>2</v>
      </c>
      <c r="M39">
        <f t="shared" ref="M39:M50" si="56">IF(ISBLANK(B4), "", SUM(K4+M4) - O4)</f>
        <v>0</v>
      </c>
      <c r="N39">
        <f t="shared" ref="N39:N50" si="57">IF(ISBLANK(B4), "", U4)</f>
        <v>38</v>
      </c>
      <c r="O39">
        <f t="shared" ref="O39:O50" si="58">COUNTIF(E4, "1")*COUNTIF(F4, "1")</f>
        <v>0</v>
      </c>
      <c r="Q39">
        <f t="shared" ref="Q39:Q50" si="59">COUNTIF(D4, "1")*COUNTIF(F4, "")</f>
        <v>0</v>
      </c>
      <c r="S39">
        <f t="shared" ref="S39:S50" si="60">COUNTIF(E4, "1")*COUNTIF(F4, "")</f>
        <v>0</v>
      </c>
      <c r="W39">
        <f t="shared" si="50"/>
        <v>45</v>
      </c>
      <c r="Y39">
        <f t="shared" si="49"/>
        <v>45</v>
      </c>
    </row>
    <row r="40" spans="1:34" x14ac:dyDescent="0.2">
      <c r="A40">
        <f t="shared" si="51"/>
        <v>0</v>
      </c>
      <c r="C40">
        <f t="shared" si="52"/>
        <v>1</v>
      </c>
      <c r="E40">
        <f t="shared" si="53"/>
        <v>0</v>
      </c>
      <c r="G40">
        <f t="shared" si="54"/>
        <v>3</v>
      </c>
      <c r="K40">
        <f t="shared" si="55"/>
        <v>3</v>
      </c>
      <c r="M40">
        <f t="shared" si="56"/>
        <v>0</v>
      </c>
      <c r="N40">
        <f t="shared" si="57"/>
        <v>47</v>
      </c>
      <c r="O40">
        <f t="shared" si="58"/>
        <v>0</v>
      </c>
      <c r="Q40">
        <f t="shared" si="59"/>
        <v>1</v>
      </c>
      <c r="S40">
        <f t="shared" si="60"/>
        <v>1</v>
      </c>
      <c r="W40">
        <f t="shared" si="50"/>
        <v>36</v>
      </c>
      <c r="Y40">
        <f t="shared" si="49"/>
        <v>36</v>
      </c>
    </row>
    <row r="41" spans="1:34" x14ac:dyDescent="0.2">
      <c r="A41">
        <f t="shared" si="51"/>
        <v>1</v>
      </c>
      <c r="C41">
        <f t="shared" si="52"/>
        <v>3</v>
      </c>
      <c r="E41">
        <f t="shared" si="53"/>
        <v>0</v>
      </c>
      <c r="G41">
        <f t="shared" si="54"/>
        <v>3</v>
      </c>
      <c r="K41">
        <f t="shared" si="55"/>
        <v>3</v>
      </c>
      <c r="M41">
        <f t="shared" si="56"/>
        <v>-1</v>
      </c>
      <c r="N41">
        <f t="shared" si="57"/>
        <v>45</v>
      </c>
      <c r="O41">
        <f t="shared" si="58"/>
        <v>0</v>
      </c>
      <c r="Q41">
        <f t="shared" si="59"/>
        <v>0</v>
      </c>
      <c r="S41">
        <f t="shared" si="60"/>
        <v>0</v>
      </c>
      <c r="W41">
        <f t="shared" si="50"/>
        <v>33</v>
      </c>
      <c r="Y41">
        <f t="shared" si="49"/>
        <v>25</v>
      </c>
    </row>
    <row r="42" spans="1:34" x14ac:dyDescent="0.2">
      <c r="A42">
        <f t="shared" si="51"/>
        <v>1</v>
      </c>
      <c r="C42">
        <f t="shared" si="52"/>
        <v>2</v>
      </c>
      <c r="E42">
        <f t="shared" si="53"/>
        <v>0</v>
      </c>
      <c r="G42">
        <f t="shared" si="54"/>
        <v>2</v>
      </c>
      <c r="K42">
        <f t="shared" si="55"/>
        <v>2</v>
      </c>
      <c r="M42">
        <f t="shared" si="56"/>
        <v>1</v>
      </c>
      <c r="N42">
        <f t="shared" si="57"/>
        <v>29</v>
      </c>
      <c r="O42">
        <f t="shared" si="58"/>
        <v>0</v>
      </c>
      <c r="Q42">
        <f t="shared" si="59"/>
        <v>0</v>
      </c>
      <c r="S42">
        <f t="shared" si="60"/>
        <v>0</v>
      </c>
      <c r="W42">
        <f t="shared" si="50"/>
        <v>40</v>
      </c>
      <c r="Y42">
        <f t="shared" si="49"/>
        <v>32</v>
      </c>
    </row>
    <row r="43" spans="1:34" x14ac:dyDescent="0.2">
      <c r="A43">
        <f t="shared" si="51"/>
        <v>0</v>
      </c>
      <c r="C43">
        <f t="shared" si="52"/>
        <v>1</v>
      </c>
      <c r="E43">
        <f t="shared" si="53"/>
        <v>0</v>
      </c>
      <c r="G43">
        <f t="shared" si="54"/>
        <v>2</v>
      </c>
      <c r="K43">
        <f t="shared" si="55"/>
        <v>2</v>
      </c>
      <c r="M43">
        <f t="shared" si="56"/>
        <v>-1</v>
      </c>
      <c r="N43">
        <f t="shared" si="57"/>
        <v>42</v>
      </c>
      <c r="O43">
        <f t="shared" si="58"/>
        <v>0</v>
      </c>
      <c r="Q43">
        <f t="shared" si="59"/>
        <v>0</v>
      </c>
      <c r="S43">
        <f t="shared" si="60"/>
        <v>0</v>
      </c>
    </row>
    <row r="44" spans="1:34" x14ac:dyDescent="0.2">
      <c r="A44">
        <f t="shared" si="51"/>
        <v>1</v>
      </c>
      <c r="C44">
        <f t="shared" si="52"/>
        <v>2</v>
      </c>
      <c r="E44">
        <f t="shared" si="53"/>
        <v>0</v>
      </c>
      <c r="G44">
        <f t="shared" si="54"/>
        <v>4</v>
      </c>
      <c r="K44">
        <f t="shared" si="55"/>
        <v>4</v>
      </c>
      <c r="M44">
        <f t="shared" si="56"/>
        <v>-1</v>
      </c>
      <c r="N44">
        <f t="shared" si="57"/>
        <v>43</v>
      </c>
      <c r="O44">
        <f t="shared" si="58"/>
        <v>0</v>
      </c>
      <c r="Q44">
        <f t="shared" si="59"/>
        <v>0</v>
      </c>
      <c r="S44">
        <f t="shared" si="60"/>
        <v>0</v>
      </c>
    </row>
    <row r="45" spans="1:34" x14ac:dyDescent="0.2">
      <c r="A45">
        <f t="shared" si="51"/>
        <v>2</v>
      </c>
      <c r="C45">
        <f t="shared" si="52"/>
        <v>3</v>
      </c>
      <c r="E45">
        <f t="shared" si="53"/>
        <v>0</v>
      </c>
      <c r="G45">
        <f t="shared" si="54"/>
        <v>2</v>
      </c>
      <c r="K45">
        <f t="shared" si="55"/>
        <v>2</v>
      </c>
      <c r="M45">
        <f t="shared" si="56"/>
        <v>0</v>
      </c>
      <c r="N45">
        <f t="shared" si="57"/>
        <v>49</v>
      </c>
      <c r="O45">
        <f t="shared" si="58"/>
        <v>0</v>
      </c>
      <c r="Q45">
        <f t="shared" si="59"/>
        <v>0</v>
      </c>
      <c r="S45">
        <f t="shared" si="60"/>
        <v>0</v>
      </c>
    </row>
    <row r="46" spans="1:34" x14ac:dyDescent="0.2">
      <c r="A46">
        <f t="shared" si="51"/>
        <v>2</v>
      </c>
      <c r="C46">
        <f t="shared" si="52"/>
        <v>3</v>
      </c>
      <c r="E46">
        <f t="shared" si="53"/>
        <v>0</v>
      </c>
      <c r="G46">
        <f t="shared" si="54"/>
        <v>3</v>
      </c>
      <c r="K46">
        <f t="shared" si="55"/>
        <v>3</v>
      </c>
      <c r="M46">
        <f t="shared" si="56"/>
        <v>-1</v>
      </c>
      <c r="N46">
        <f t="shared" si="57"/>
        <v>49</v>
      </c>
      <c r="O46">
        <f t="shared" si="58"/>
        <v>0</v>
      </c>
      <c r="Q46">
        <f t="shared" si="59"/>
        <v>0</v>
      </c>
      <c r="S46">
        <f t="shared" si="60"/>
        <v>0</v>
      </c>
    </row>
    <row r="47" spans="1:34" x14ac:dyDescent="0.2">
      <c r="A47">
        <f t="shared" si="51"/>
        <v>0</v>
      </c>
      <c r="C47">
        <f t="shared" si="52"/>
        <v>2</v>
      </c>
      <c r="E47">
        <f t="shared" si="53"/>
        <v>0</v>
      </c>
      <c r="G47">
        <f t="shared" si="54"/>
        <v>2</v>
      </c>
      <c r="K47">
        <f t="shared" si="55"/>
        <v>2</v>
      </c>
      <c r="M47">
        <f t="shared" si="56"/>
        <v>0</v>
      </c>
      <c r="N47">
        <f t="shared" si="57"/>
        <v>45</v>
      </c>
      <c r="O47">
        <f t="shared" si="58"/>
        <v>0</v>
      </c>
      <c r="Q47">
        <f t="shared" si="59"/>
        <v>0</v>
      </c>
      <c r="S47">
        <f t="shared" si="60"/>
        <v>0</v>
      </c>
    </row>
    <row r="48" spans="1:34" x14ac:dyDescent="0.2">
      <c r="A48">
        <f t="shared" si="51"/>
        <v>1</v>
      </c>
      <c r="C48">
        <f t="shared" si="52"/>
        <v>4</v>
      </c>
      <c r="E48">
        <f t="shared" si="53"/>
        <v>0</v>
      </c>
      <c r="G48">
        <f t="shared" si="54"/>
        <v>2</v>
      </c>
      <c r="K48">
        <f t="shared" si="55"/>
        <v>2</v>
      </c>
      <c r="M48">
        <f t="shared" si="56"/>
        <v>-1</v>
      </c>
      <c r="N48">
        <f t="shared" si="57"/>
        <v>36</v>
      </c>
      <c r="O48">
        <f t="shared" si="58"/>
        <v>0</v>
      </c>
      <c r="Q48">
        <f t="shared" si="59"/>
        <v>0</v>
      </c>
      <c r="S48">
        <f t="shared" si="60"/>
        <v>0</v>
      </c>
    </row>
    <row r="49" spans="1:19" x14ac:dyDescent="0.2">
      <c r="A49">
        <f t="shared" si="51"/>
        <v>0</v>
      </c>
      <c r="C49">
        <f t="shared" si="52"/>
        <v>3</v>
      </c>
      <c r="E49">
        <f t="shared" si="53"/>
        <v>0</v>
      </c>
      <c r="G49">
        <f t="shared" si="54"/>
        <v>3</v>
      </c>
      <c r="K49">
        <f t="shared" si="55"/>
        <v>3</v>
      </c>
      <c r="M49">
        <f t="shared" si="56"/>
        <v>0</v>
      </c>
      <c r="N49">
        <f t="shared" si="57"/>
        <v>33</v>
      </c>
      <c r="O49">
        <f t="shared" si="58"/>
        <v>0</v>
      </c>
      <c r="Q49">
        <f t="shared" si="59"/>
        <v>0</v>
      </c>
      <c r="S49">
        <f t="shared" si="60"/>
        <v>0</v>
      </c>
    </row>
    <row r="50" spans="1:19" x14ac:dyDescent="0.2">
      <c r="A50">
        <f t="shared" si="51"/>
        <v>2</v>
      </c>
      <c r="C50">
        <f t="shared" si="52"/>
        <v>3</v>
      </c>
      <c r="E50">
        <f t="shared" si="53"/>
        <v>0</v>
      </c>
      <c r="G50">
        <f t="shared" si="54"/>
        <v>1</v>
      </c>
      <c r="K50">
        <f t="shared" si="55"/>
        <v>1</v>
      </c>
      <c r="M50">
        <f t="shared" si="56"/>
        <v>-1</v>
      </c>
      <c r="N50">
        <f t="shared" si="57"/>
        <v>40</v>
      </c>
      <c r="O50">
        <f t="shared" si="58"/>
        <v>0</v>
      </c>
      <c r="Q50">
        <f t="shared" si="59"/>
        <v>0</v>
      </c>
      <c r="S50">
        <f t="shared" si="60"/>
        <v>0</v>
      </c>
    </row>
  </sheetData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 enableFormatConditionsCalculation="0"/>
  <dimension ref="A1:BN50"/>
  <sheetViews>
    <sheetView topLeftCell="C1" workbookViewId="0">
      <selection activeCell="U15" sqref="U15"/>
    </sheetView>
  </sheetViews>
  <sheetFormatPr baseColWidth="10" defaultColWidth="11.5" defaultRowHeight="15" x14ac:dyDescent="0.2"/>
  <sheetData>
    <row r="1" spans="1:66" x14ac:dyDescent="0.2">
      <c r="A1" s="1" t="s">
        <v>0</v>
      </c>
      <c r="D1" t="s">
        <v>3</v>
      </c>
      <c r="K1" t="s">
        <v>11</v>
      </c>
      <c r="N1" t="s">
        <v>12</v>
      </c>
      <c r="P1" t="s">
        <v>14</v>
      </c>
      <c r="Q1" t="s">
        <v>17</v>
      </c>
      <c r="S1" t="s">
        <v>18</v>
      </c>
      <c r="Z1" t="s">
        <v>29</v>
      </c>
      <c r="AE1" t="s">
        <v>30</v>
      </c>
      <c r="AK1" t="s">
        <v>42</v>
      </c>
    </row>
    <row r="2" spans="1:66" x14ac:dyDescent="0.2">
      <c r="A2" t="s">
        <v>1</v>
      </c>
      <c r="B2" t="s">
        <v>1</v>
      </c>
      <c r="C2" t="s">
        <v>87</v>
      </c>
      <c r="D2" t="s">
        <v>54</v>
      </c>
      <c r="E2" t="s">
        <v>13</v>
      </c>
      <c r="F2" t="s">
        <v>198</v>
      </c>
      <c r="G2" t="s">
        <v>7</v>
      </c>
      <c r="H2" t="s">
        <v>8</v>
      </c>
      <c r="I2" t="s">
        <v>179</v>
      </c>
      <c r="J2" t="s">
        <v>178</v>
      </c>
      <c r="K2" t="s">
        <v>9</v>
      </c>
      <c r="L2" t="s">
        <v>196</v>
      </c>
      <c r="M2" t="s">
        <v>10</v>
      </c>
      <c r="N2" t="s">
        <v>54</v>
      </c>
      <c r="O2" t="s">
        <v>13</v>
      </c>
      <c r="P2" t="s">
        <v>15</v>
      </c>
      <c r="Q2" t="s">
        <v>8</v>
      </c>
      <c r="R2" t="s">
        <v>7</v>
      </c>
      <c r="S2" t="s">
        <v>181</v>
      </c>
      <c r="T2" t="s">
        <v>182</v>
      </c>
      <c r="U2" t="s">
        <v>19</v>
      </c>
      <c r="V2" t="s">
        <v>191</v>
      </c>
      <c r="W2" t="s">
        <v>192</v>
      </c>
      <c r="X2" t="s">
        <v>175</v>
      </c>
      <c r="Y2" t="s">
        <v>173</v>
      </c>
      <c r="Z2" t="str">
        <f t="shared" ref="Z2:Z13" si="0">LEFT(I4, 1)</f>
        <v/>
      </c>
      <c r="AA2" t="str">
        <f t="shared" ref="AA2:AA13" si="1">MID(I4, 4, 1)</f>
        <v/>
      </c>
      <c r="AB2" t="str">
        <f t="shared" ref="AB2:AB13" si="2">MID(I4, 7, 1)</f>
        <v/>
      </c>
      <c r="AC2" t="str">
        <f t="shared" ref="AC2:AC13" si="3">MID(I4, 10, 1)</f>
        <v/>
      </c>
      <c r="AE2" t="str">
        <f t="shared" ref="AE2:AE13" si="4">LEFT(J4, 1)</f>
        <v>2</v>
      </c>
      <c r="AF2" t="str">
        <f t="shared" ref="AF2:AF13" si="5">MID(J4, 4, 1)</f>
        <v/>
      </c>
      <c r="AG2" t="str">
        <f t="shared" ref="AG2:AG13" si="6">MID(J4, 7, 1)</f>
        <v/>
      </c>
      <c r="AH2" t="str">
        <f t="shared" ref="AH2:AH13" si="7">MID(J4, 10, 1)</f>
        <v/>
      </c>
      <c r="AI2" t="str">
        <f t="shared" ref="AI2:AI13" si="8">MID(J4, 13, 1)</f>
        <v/>
      </c>
      <c r="AK2" t="str">
        <f t="shared" ref="AK2:AK13" si="9">LEFT(P4, 2)</f>
        <v>h1</v>
      </c>
      <c r="AL2" t="str">
        <f>MID($P4, 5, 2)</f>
        <v/>
      </c>
      <c r="AM2" t="str">
        <f t="shared" ref="AM2:AM13" si="10">MID($P4, 9, 2)</f>
        <v/>
      </c>
      <c r="AN2" t="str">
        <f t="shared" ref="AN2:AN13" si="11">MID($P4, 13, 2)</f>
        <v/>
      </c>
      <c r="AO2" t="str">
        <f t="shared" ref="AO2:AO13" si="12">MID($P4, 17, 2)</f>
        <v/>
      </c>
      <c r="AP2" t="str">
        <f t="shared" ref="AP2:AP13" si="13">MID($P4, 21, 2)</f>
        <v/>
      </c>
      <c r="AQ2" t="str">
        <f t="shared" ref="AQ2:AQ13" si="14">MID($P4, 25, 2)</f>
        <v/>
      </c>
      <c r="AR2" t="str">
        <f t="shared" ref="AR2:AR13" si="15">MID($P4, 29, 2)</f>
        <v/>
      </c>
      <c r="AS2" t="str">
        <f t="shared" ref="AS2:AS13" si="16">MID($P4, 33, 2)</f>
        <v/>
      </c>
      <c r="AT2" t="str">
        <f t="shared" ref="AT2:AT13" si="17">MID($P4, 37, 2)</f>
        <v/>
      </c>
      <c r="AU2" t="str">
        <f t="shared" ref="AU2:AU13" si="18">MID($P4, 41, 2)</f>
        <v/>
      </c>
      <c r="AV2" t="str">
        <f t="shared" ref="AV2:AV13" si="19">MID($P4, 45, 2)</f>
        <v/>
      </c>
      <c r="AW2" t="str">
        <f t="shared" ref="AW2:AW13" si="20">MID($P4, 49, 2)</f>
        <v/>
      </c>
      <c r="AX2" t="str">
        <f t="shared" ref="AX2:AX13" si="21">MID($P4, 53, 2)</f>
        <v/>
      </c>
      <c r="AY2" t="str">
        <f t="shared" ref="AY2:AY13" si="22">MID($P4, 57, 2)</f>
        <v/>
      </c>
      <c r="AZ2" t="str">
        <f t="shared" ref="AZ2:AZ13" si="23">MID($P4, 61, 2)</f>
        <v/>
      </c>
      <c r="BA2" t="str">
        <f t="shared" ref="BA2:BA13" si="24">MID($P4, 65, 2)</f>
        <v/>
      </c>
      <c r="BB2" t="str">
        <f t="shared" ref="BB2:BB13" si="25">MID($P4, 69, 2)</f>
        <v/>
      </c>
      <c r="BC2" t="str">
        <f t="shared" ref="BC2:BC13" si="26">MID($P4, 73, 2)</f>
        <v/>
      </c>
      <c r="BD2" t="str">
        <f t="shared" ref="BD2:BD13" si="27">MID($P4, 77, 2)</f>
        <v/>
      </c>
      <c r="BE2" t="str">
        <f t="shared" ref="BE2:BE13" si="28">MID($P4, 81, 2)</f>
        <v/>
      </c>
      <c r="BF2" t="str">
        <f t="shared" ref="BF2:BF13" si="29">MID($P4, 85, 2)</f>
        <v/>
      </c>
      <c r="BG2" t="str">
        <f t="shared" ref="BG2:BG13" si="30">MID($P4, 89, 2)</f>
        <v/>
      </c>
      <c r="BH2" t="str">
        <f t="shared" ref="BH2:BH13" si="31">MID($P4, 93, 2)</f>
        <v/>
      </c>
    </row>
    <row r="3" spans="1:66" x14ac:dyDescent="0.2">
      <c r="A3" t="s">
        <v>2</v>
      </c>
      <c r="B3" t="s">
        <v>6</v>
      </c>
      <c r="C3" t="s">
        <v>88</v>
      </c>
      <c r="D3" t="s">
        <v>6</v>
      </c>
      <c r="E3" t="s">
        <v>6</v>
      </c>
      <c r="F3" t="s">
        <v>4</v>
      </c>
      <c r="G3" t="s">
        <v>6</v>
      </c>
      <c r="H3" t="s">
        <v>6</v>
      </c>
      <c r="I3" t="s">
        <v>86</v>
      </c>
      <c r="J3" t="s">
        <v>86</v>
      </c>
      <c r="K3" t="s">
        <v>6</v>
      </c>
      <c r="L3" t="s">
        <v>6</v>
      </c>
      <c r="M3" t="s">
        <v>6</v>
      </c>
      <c r="N3" t="s">
        <v>6</v>
      </c>
      <c r="O3" t="s">
        <v>6</v>
      </c>
      <c r="P3" t="s">
        <v>16</v>
      </c>
      <c r="Q3" t="s">
        <v>6</v>
      </c>
      <c r="R3" t="s">
        <v>6</v>
      </c>
      <c r="S3" t="s">
        <v>4</v>
      </c>
      <c r="T3" t="s">
        <v>4</v>
      </c>
      <c r="U3" t="s">
        <v>6</v>
      </c>
      <c r="V3" t="s">
        <v>6</v>
      </c>
      <c r="W3" t="s">
        <v>6</v>
      </c>
      <c r="X3" t="s">
        <v>6</v>
      </c>
      <c r="Y3" t="s">
        <v>174</v>
      </c>
      <c r="Z3" t="str">
        <f t="shared" si="0"/>
        <v/>
      </c>
      <c r="AA3" t="str">
        <f t="shared" si="1"/>
        <v/>
      </c>
      <c r="AB3" t="str">
        <f t="shared" si="2"/>
        <v/>
      </c>
      <c r="AC3" t="str">
        <f t="shared" si="3"/>
        <v/>
      </c>
      <c r="AE3" t="str">
        <f t="shared" si="4"/>
        <v/>
      </c>
      <c r="AF3" t="str">
        <f t="shared" si="5"/>
        <v/>
      </c>
      <c r="AG3" t="str">
        <f t="shared" si="6"/>
        <v/>
      </c>
      <c r="AH3" t="str">
        <f t="shared" si="7"/>
        <v/>
      </c>
      <c r="AI3" t="str">
        <f t="shared" si="8"/>
        <v/>
      </c>
      <c r="AK3" t="str">
        <f t="shared" si="9"/>
        <v/>
      </c>
      <c r="AL3" t="str">
        <f t="shared" ref="AL3:AL13" si="32">MID(P5, 5, 2)</f>
        <v/>
      </c>
      <c r="AM3" t="str">
        <f t="shared" si="10"/>
        <v/>
      </c>
      <c r="AN3" t="str">
        <f t="shared" si="11"/>
        <v/>
      </c>
      <c r="AO3" t="str">
        <f t="shared" si="12"/>
        <v/>
      </c>
      <c r="AP3" t="str">
        <f t="shared" si="13"/>
        <v/>
      </c>
      <c r="AQ3" t="str">
        <f t="shared" si="14"/>
        <v/>
      </c>
      <c r="AR3" t="str">
        <f t="shared" si="15"/>
        <v/>
      </c>
      <c r="AS3" t="str">
        <f t="shared" si="16"/>
        <v/>
      </c>
      <c r="AT3" t="str">
        <f t="shared" si="17"/>
        <v/>
      </c>
      <c r="AU3" t="str">
        <f t="shared" si="18"/>
        <v/>
      </c>
      <c r="AV3" t="str">
        <f t="shared" si="19"/>
        <v/>
      </c>
      <c r="AW3" t="str">
        <f t="shared" si="20"/>
        <v/>
      </c>
      <c r="AX3" t="str">
        <f t="shared" si="21"/>
        <v/>
      </c>
      <c r="AY3" t="str">
        <f t="shared" si="22"/>
        <v/>
      </c>
      <c r="AZ3" t="str">
        <f t="shared" si="23"/>
        <v/>
      </c>
      <c r="BA3" t="str">
        <f t="shared" si="24"/>
        <v/>
      </c>
      <c r="BB3" t="str">
        <f t="shared" si="25"/>
        <v/>
      </c>
      <c r="BC3" t="str">
        <f t="shared" si="26"/>
        <v/>
      </c>
      <c r="BD3" t="str">
        <f t="shared" si="27"/>
        <v/>
      </c>
      <c r="BE3" t="str">
        <f t="shared" si="28"/>
        <v/>
      </c>
      <c r="BF3" t="str">
        <f t="shared" si="29"/>
        <v/>
      </c>
      <c r="BG3" t="str">
        <f t="shared" si="30"/>
        <v/>
      </c>
      <c r="BH3" t="str">
        <f t="shared" si="31"/>
        <v/>
      </c>
    </row>
    <row r="4" spans="1:66" x14ac:dyDescent="0.2">
      <c r="A4">
        <v>1</v>
      </c>
      <c r="B4">
        <v>9</v>
      </c>
      <c r="C4" t="s">
        <v>39</v>
      </c>
      <c r="D4">
        <v>1</v>
      </c>
      <c r="J4">
        <v>2</v>
      </c>
      <c r="K4">
        <v>3</v>
      </c>
      <c r="N4">
        <v>4</v>
      </c>
      <c r="O4">
        <v>4</v>
      </c>
      <c r="P4" t="s">
        <v>209</v>
      </c>
      <c r="S4">
        <v>1</v>
      </c>
      <c r="T4">
        <v>1</v>
      </c>
      <c r="X4">
        <f t="shared" ref="X4:X15" si="33">G4+H4+Q4+R4</f>
        <v>0</v>
      </c>
      <c r="Z4" t="str">
        <f t="shared" si="0"/>
        <v/>
      </c>
      <c r="AA4" t="str">
        <f t="shared" si="1"/>
        <v/>
      </c>
      <c r="AB4" t="str">
        <f t="shared" si="2"/>
        <v/>
      </c>
      <c r="AC4" t="str">
        <f t="shared" si="3"/>
        <v/>
      </c>
      <c r="AE4" t="str">
        <f t="shared" si="4"/>
        <v/>
      </c>
      <c r="AF4" t="str">
        <f t="shared" si="5"/>
        <v/>
      </c>
      <c r="AG4" t="str">
        <f t="shared" si="6"/>
        <v/>
      </c>
      <c r="AH4" t="str">
        <f t="shared" si="7"/>
        <v/>
      </c>
      <c r="AI4" t="str">
        <f t="shared" si="8"/>
        <v/>
      </c>
      <c r="AK4" t="str">
        <f t="shared" si="9"/>
        <v/>
      </c>
      <c r="AL4" t="str">
        <f t="shared" si="32"/>
        <v/>
      </c>
      <c r="AM4" t="str">
        <f t="shared" si="10"/>
        <v/>
      </c>
      <c r="AN4" t="str">
        <f t="shared" si="11"/>
        <v/>
      </c>
      <c r="AO4" t="str">
        <f t="shared" si="12"/>
        <v/>
      </c>
      <c r="AP4" t="str">
        <f t="shared" si="13"/>
        <v/>
      </c>
      <c r="AQ4" t="str">
        <f t="shared" si="14"/>
        <v/>
      </c>
      <c r="AR4" t="str">
        <f t="shared" si="15"/>
        <v/>
      </c>
      <c r="AS4" t="str">
        <f t="shared" si="16"/>
        <v/>
      </c>
      <c r="AT4" t="str">
        <f t="shared" si="17"/>
        <v/>
      </c>
      <c r="AU4" t="str">
        <f t="shared" si="18"/>
        <v/>
      </c>
      <c r="AV4" t="str">
        <f t="shared" si="19"/>
        <v/>
      </c>
      <c r="AW4" t="str">
        <f t="shared" si="20"/>
        <v/>
      </c>
      <c r="AX4" t="str">
        <f t="shared" si="21"/>
        <v/>
      </c>
      <c r="AY4" t="str">
        <f t="shared" si="22"/>
        <v/>
      </c>
      <c r="AZ4" t="str">
        <f t="shared" si="23"/>
        <v/>
      </c>
      <c r="BA4" t="str">
        <f t="shared" si="24"/>
        <v/>
      </c>
      <c r="BB4" t="str">
        <f t="shared" si="25"/>
        <v/>
      </c>
      <c r="BC4" t="str">
        <f t="shared" si="26"/>
        <v/>
      </c>
      <c r="BD4" t="str">
        <f t="shared" si="27"/>
        <v/>
      </c>
      <c r="BE4" t="str">
        <f t="shared" si="28"/>
        <v/>
      </c>
      <c r="BF4" t="str">
        <f t="shared" si="29"/>
        <v/>
      </c>
      <c r="BG4" t="str">
        <f t="shared" si="30"/>
        <v/>
      </c>
      <c r="BH4" t="str">
        <f t="shared" si="31"/>
        <v/>
      </c>
    </row>
    <row r="5" spans="1:66" s="12" customFormat="1" x14ac:dyDescent="0.2">
      <c r="A5">
        <v>2</v>
      </c>
      <c r="B5">
        <v>20</v>
      </c>
      <c r="C5" t="s">
        <v>207</v>
      </c>
      <c r="D5">
        <v>1</v>
      </c>
      <c r="E5"/>
      <c r="F5"/>
      <c r="G5"/>
      <c r="H5"/>
      <c r="I5"/>
      <c r="J5"/>
      <c r="K5"/>
      <c r="L5"/>
      <c r="M5">
        <v>5</v>
      </c>
      <c r="N5">
        <v>4</v>
      </c>
      <c r="O5">
        <v>3</v>
      </c>
      <c r="P5"/>
      <c r="Q5"/>
      <c r="R5"/>
      <c r="S5"/>
      <c r="T5"/>
      <c r="U5">
        <v>6</v>
      </c>
      <c r="V5"/>
      <c r="W5"/>
      <c r="X5">
        <f t="shared" si="33"/>
        <v>0</v>
      </c>
      <c r="Y5"/>
      <c r="Z5" t="str">
        <f t="shared" si="0"/>
        <v/>
      </c>
      <c r="AA5" t="str">
        <f t="shared" si="1"/>
        <v/>
      </c>
      <c r="AB5" t="str">
        <f t="shared" si="2"/>
        <v/>
      </c>
      <c r="AC5" t="str">
        <f t="shared" si="3"/>
        <v/>
      </c>
      <c r="AD5"/>
      <c r="AE5" t="str">
        <f t="shared" si="4"/>
        <v/>
      </c>
      <c r="AF5" t="str">
        <f t="shared" si="5"/>
        <v/>
      </c>
      <c r="AG5" t="str">
        <f t="shared" si="6"/>
        <v/>
      </c>
      <c r="AH5" t="str">
        <f t="shared" si="7"/>
        <v/>
      </c>
      <c r="AI5" t="str">
        <f t="shared" si="8"/>
        <v/>
      </c>
      <c r="AJ5"/>
      <c r="AK5" t="str">
        <f t="shared" si="9"/>
        <v/>
      </c>
      <c r="AL5" t="str">
        <f t="shared" si="32"/>
        <v/>
      </c>
      <c r="AM5" t="str">
        <f t="shared" si="10"/>
        <v/>
      </c>
      <c r="AN5" t="str">
        <f t="shared" si="11"/>
        <v/>
      </c>
      <c r="AO5" t="str">
        <f t="shared" si="12"/>
        <v/>
      </c>
      <c r="AP5" t="str">
        <f t="shared" si="13"/>
        <v/>
      </c>
      <c r="AQ5" t="str">
        <f t="shared" si="14"/>
        <v/>
      </c>
      <c r="AR5" t="str">
        <f t="shared" si="15"/>
        <v/>
      </c>
      <c r="AS5" t="str">
        <f t="shared" si="16"/>
        <v/>
      </c>
      <c r="AT5" t="str">
        <f t="shared" si="17"/>
        <v/>
      </c>
      <c r="AU5" t="str">
        <f t="shared" si="18"/>
        <v/>
      </c>
      <c r="AV5" t="str">
        <f t="shared" si="19"/>
        <v/>
      </c>
      <c r="AW5" t="str">
        <f t="shared" si="20"/>
        <v/>
      </c>
      <c r="AX5" t="str">
        <f t="shared" si="21"/>
        <v/>
      </c>
      <c r="AY5" t="str">
        <f t="shared" si="22"/>
        <v/>
      </c>
      <c r="AZ5" t="str">
        <f t="shared" si="23"/>
        <v/>
      </c>
      <c r="BA5" t="str">
        <f t="shared" si="24"/>
        <v/>
      </c>
      <c r="BB5" t="str">
        <f t="shared" si="25"/>
        <v/>
      </c>
      <c r="BC5" t="str">
        <f t="shared" si="26"/>
        <v/>
      </c>
      <c r="BD5" t="str">
        <f t="shared" si="27"/>
        <v/>
      </c>
      <c r="BE5" t="str">
        <f t="shared" si="28"/>
        <v/>
      </c>
      <c r="BF5" t="str">
        <f t="shared" si="29"/>
        <v/>
      </c>
      <c r="BG5" t="str">
        <f t="shared" si="30"/>
        <v/>
      </c>
      <c r="BH5" t="str">
        <f t="shared" si="31"/>
        <v/>
      </c>
      <c r="BI5"/>
      <c r="BJ5"/>
      <c r="BK5"/>
      <c r="BL5"/>
      <c r="BM5"/>
      <c r="BN5"/>
    </row>
    <row r="6" spans="1:66" x14ac:dyDescent="0.2">
      <c r="A6">
        <v>3</v>
      </c>
      <c r="B6">
        <v>30</v>
      </c>
      <c r="C6" t="s">
        <v>39</v>
      </c>
      <c r="D6">
        <v>1</v>
      </c>
      <c r="F6">
        <v>1</v>
      </c>
      <c r="K6">
        <v>1</v>
      </c>
      <c r="M6">
        <v>1</v>
      </c>
      <c r="N6">
        <v>6</v>
      </c>
      <c r="O6">
        <v>3</v>
      </c>
      <c r="S6">
        <v>1</v>
      </c>
      <c r="T6">
        <v>1</v>
      </c>
      <c r="X6">
        <f t="shared" si="33"/>
        <v>0</v>
      </c>
      <c r="Z6" t="str">
        <f t="shared" si="0"/>
        <v/>
      </c>
      <c r="AA6" t="str">
        <f t="shared" si="1"/>
        <v/>
      </c>
      <c r="AB6" t="str">
        <f t="shared" si="2"/>
        <v/>
      </c>
      <c r="AC6" t="str">
        <f t="shared" si="3"/>
        <v/>
      </c>
      <c r="AE6" t="str">
        <f t="shared" si="4"/>
        <v/>
      </c>
      <c r="AF6" t="str">
        <f t="shared" si="5"/>
        <v/>
      </c>
      <c r="AG6" t="str">
        <f t="shared" si="6"/>
        <v/>
      </c>
      <c r="AH6" t="str">
        <f t="shared" si="7"/>
        <v/>
      </c>
      <c r="AI6" t="str">
        <f t="shared" si="8"/>
        <v/>
      </c>
      <c r="AK6" t="str">
        <f t="shared" si="9"/>
        <v/>
      </c>
      <c r="AL6" t="str">
        <f t="shared" si="32"/>
        <v/>
      </c>
      <c r="AM6" t="str">
        <f t="shared" si="10"/>
        <v/>
      </c>
      <c r="AN6" t="str">
        <f t="shared" si="11"/>
        <v/>
      </c>
      <c r="AO6" t="str">
        <f t="shared" si="12"/>
        <v/>
      </c>
      <c r="AP6" t="str">
        <f t="shared" si="13"/>
        <v/>
      </c>
      <c r="AQ6" t="str">
        <f t="shared" si="14"/>
        <v/>
      </c>
      <c r="AR6" t="str">
        <f t="shared" si="15"/>
        <v/>
      </c>
      <c r="AS6" t="str">
        <f t="shared" si="16"/>
        <v/>
      </c>
      <c r="AT6" t="str">
        <f t="shared" si="17"/>
        <v/>
      </c>
      <c r="AU6" t="str">
        <f t="shared" si="18"/>
        <v/>
      </c>
      <c r="AV6" t="str">
        <f t="shared" si="19"/>
        <v/>
      </c>
      <c r="AW6" t="str">
        <f t="shared" si="20"/>
        <v/>
      </c>
      <c r="AX6" t="str">
        <f t="shared" si="21"/>
        <v/>
      </c>
      <c r="AY6" t="str">
        <f t="shared" si="22"/>
        <v/>
      </c>
      <c r="AZ6" t="str">
        <f t="shared" si="23"/>
        <v/>
      </c>
      <c r="BA6" t="str">
        <f t="shared" si="24"/>
        <v/>
      </c>
      <c r="BB6" t="str">
        <f t="shared" si="25"/>
        <v/>
      </c>
      <c r="BC6" t="str">
        <f t="shared" si="26"/>
        <v/>
      </c>
      <c r="BD6" t="str">
        <f t="shared" si="27"/>
        <v/>
      </c>
      <c r="BE6" t="str">
        <f t="shared" si="28"/>
        <v/>
      </c>
      <c r="BF6" t="str">
        <f t="shared" si="29"/>
        <v/>
      </c>
      <c r="BG6" t="str">
        <f t="shared" si="30"/>
        <v/>
      </c>
      <c r="BH6" t="str">
        <f t="shared" si="31"/>
        <v/>
      </c>
    </row>
    <row r="7" spans="1:66" x14ac:dyDescent="0.2">
      <c r="A7">
        <v>4</v>
      </c>
      <c r="B7">
        <v>39</v>
      </c>
      <c r="C7" t="s">
        <v>39</v>
      </c>
      <c r="M7">
        <v>4</v>
      </c>
      <c r="N7">
        <v>5</v>
      </c>
      <c r="O7">
        <v>5</v>
      </c>
      <c r="S7">
        <v>1</v>
      </c>
      <c r="T7">
        <v>1</v>
      </c>
      <c r="U7">
        <v>3</v>
      </c>
      <c r="X7">
        <f t="shared" si="33"/>
        <v>0</v>
      </c>
      <c r="Z7" t="str">
        <f t="shared" si="0"/>
        <v/>
      </c>
      <c r="AA7" t="str">
        <f t="shared" si="1"/>
        <v/>
      </c>
      <c r="AB7" t="str">
        <f t="shared" si="2"/>
        <v/>
      </c>
      <c r="AC7" t="str">
        <f t="shared" si="3"/>
        <v/>
      </c>
      <c r="AE7" t="str">
        <f t="shared" si="4"/>
        <v/>
      </c>
      <c r="AF7" t="str">
        <f t="shared" si="5"/>
        <v/>
      </c>
      <c r="AG7" t="str">
        <f t="shared" si="6"/>
        <v/>
      </c>
      <c r="AH7" t="str">
        <f t="shared" si="7"/>
        <v/>
      </c>
      <c r="AI7" t="str">
        <f t="shared" si="8"/>
        <v/>
      </c>
      <c r="AK7" t="str">
        <f t="shared" si="9"/>
        <v/>
      </c>
      <c r="AL7" t="str">
        <f t="shared" si="32"/>
        <v/>
      </c>
      <c r="AM7" t="str">
        <f t="shared" si="10"/>
        <v/>
      </c>
      <c r="AN7" t="str">
        <f t="shared" si="11"/>
        <v/>
      </c>
      <c r="AO7" t="str">
        <f t="shared" si="12"/>
        <v/>
      </c>
      <c r="AP7" t="str">
        <f t="shared" si="13"/>
        <v/>
      </c>
      <c r="AQ7" t="str">
        <f t="shared" si="14"/>
        <v/>
      </c>
      <c r="AR7" t="str">
        <f t="shared" si="15"/>
        <v/>
      </c>
      <c r="AS7" t="str">
        <f t="shared" si="16"/>
        <v/>
      </c>
      <c r="AT7" t="str">
        <f t="shared" si="17"/>
        <v/>
      </c>
      <c r="AU7" t="str">
        <f t="shared" si="18"/>
        <v/>
      </c>
      <c r="AV7" t="str">
        <f t="shared" si="19"/>
        <v/>
      </c>
      <c r="AW7" t="str">
        <f t="shared" si="20"/>
        <v/>
      </c>
      <c r="AX7" t="str">
        <f t="shared" si="21"/>
        <v/>
      </c>
      <c r="AY7" t="str">
        <f t="shared" si="22"/>
        <v/>
      </c>
      <c r="AZ7" t="str">
        <f t="shared" si="23"/>
        <v/>
      </c>
      <c r="BA7" t="str">
        <f t="shared" si="24"/>
        <v/>
      </c>
      <c r="BB7" t="str">
        <f t="shared" si="25"/>
        <v/>
      </c>
      <c r="BC7" t="str">
        <f t="shared" si="26"/>
        <v/>
      </c>
      <c r="BD7" t="str">
        <f t="shared" si="27"/>
        <v/>
      </c>
      <c r="BE7" t="str">
        <f t="shared" si="28"/>
        <v/>
      </c>
      <c r="BF7" t="str">
        <f t="shared" si="29"/>
        <v/>
      </c>
      <c r="BG7" t="str">
        <f t="shared" si="30"/>
        <v/>
      </c>
      <c r="BH7" t="str">
        <f t="shared" si="31"/>
        <v/>
      </c>
    </row>
    <row r="8" spans="1:66" x14ac:dyDescent="0.2">
      <c r="A8">
        <v>5</v>
      </c>
      <c r="B8">
        <v>47</v>
      </c>
      <c r="C8" t="s">
        <v>207</v>
      </c>
      <c r="D8">
        <v>1</v>
      </c>
      <c r="K8">
        <v>4</v>
      </c>
      <c r="N8">
        <v>5</v>
      </c>
      <c r="O8">
        <v>5</v>
      </c>
      <c r="S8">
        <v>1</v>
      </c>
      <c r="T8">
        <v>1</v>
      </c>
      <c r="X8">
        <f t="shared" si="33"/>
        <v>0</v>
      </c>
      <c r="Z8" t="str">
        <f t="shared" si="0"/>
        <v/>
      </c>
      <c r="AA8" t="str">
        <f t="shared" si="1"/>
        <v/>
      </c>
      <c r="AB8" t="str">
        <f t="shared" si="2"/>
        <v/>
      </c>
      <c r="AC8" t="str">
        <f t="shared" si="3"/>
        <v/>
      </c>
      <c r="AE8" t="str">
        <f t="shared" si="4"/>
        <v>1</v>
      </c>
      <c r="AF8" t="str">
        <f t="shared" si="5"/>
        <v/>
      </c>
      <c r="AG8" t="str">
        <f t="shared" si="6"/>
        <v/>
      </c>
      <c r="AH8" t="str">
        <f t="shared" si="7"/>
        <v/>
      </c>
      <c r="AI8" t="str">
        <f t="shared" si="8"/>
        <v/>
      </c>
      <c r="AK8" t="str">
        <f t="shared" si="9"/>
        <v/>
      </c>
      <c r="AL8" t="str">
        <f t="shared" si="32"/>
        <v/>
      </c>
      <c r="AM8" t="str">
        <f t="shared" si="10"/>
        <v/>
      </c>
      <c r="AN8" t="str">
        <f t="shared" si="11"/>
        <v/>
      </c>
      <c r="AO8" t="str">
        <f t="shared" si="12"/>
        <v/>
      </c>
      <c r="AP8" t="str">
        <f t="shared" si="13"/>
        <v/>
      </c>
      <c r="AQ8" t="str">
        <f t="shared" si="14"/>
        <v/>
      </c>
      <c r="AR8" t="str">
        <f t="shared" si="15"/>
        <v/>
      </c>
      <c r="AS8" t="str">
        <f t="shared" si="16"/>
        <v/>
      </c>
      <c r="AT8" t="str">
        <f t="shared" si="17"/>
        <v/>
      </c>
      <c r="AU8" t="str">
        <f t="shared" si="18"/>
        <v/>
      </c>
      <c r="AV8" t="str">
        <f t="shared" si="19"/>
        <v/>
      </c>
      <c r="AW8" t="str">
        <f t="shared" si="20"/>
        <v/>
      </c>
      <c r="AX8" t="str">
        <f t="shared" si="21"/>
        <v/>
      </c>
      <c r="AY8" t="str">
        <f t="shared" si="22"/>
        <v/>
      </c>
      <c r="AZ8" t="str">
        <f t="shared" si="23"/>
        <v/>
      </c>
      <c r="BA8" t="str">
        <f t="shared" si="24"/>
        <v/>
      </c>
      <c r="BB8" t="str">
        <f t="shared" si="25"/>
        <v/>
      </c>
      <c r="BC8" t="str">
        <f t="shared" si="26"/>
        <v/>
      </c>
      <c r="BD8" t="str">
        <f t="shared" si="27"/>
        <v/>
      </c>
      <c r="BE8" t="str">
        <f t="shared" si="28"/>
        <v/>
      </c>
      <c r="BF8" t="str">
        <f t="shared" si="29"/>
        <v/>
      </c>
      <c r="BG8" t="str">
        <f t="shared" si="30"/>
        <v/>
      </c>
      <c r="BH8" t="str">
        <f t="shared" si="31"/>
        <v/>
      </c>
    </row>
    <row r="9" spans="1:66" x14ac:dyDescent="0.2">
      <c r="A9">
        <v>6</v>
      </c>
      <c r="B9">
        <v>57</v>
      </c>
      <c r="C9" t="s">
        <v>207</v>
      </c>
      <c r="D9">
        <v>1</v>
      </c>
      <c r="E9">
        <v>1</v>
      </c>
      <c r="F9">
        <v>1</v>
      </c>
      <c r="K9">
        <v>4</v>
      </c>
      <c r="N9">
        <v>4</v>
      </c>
      <c r="O9">
        <v>4</v>
      </c>
      <c r="S9">
        <v>1</v>
      </c>
      <c r="T9">
        <v>1</v>
      </c>
      <c r="U9">
        <v>9</v>
      </c>
      <c r="X9">
        <f t="shared" si="33"/>
        <v>0</v>
      </c>
      <c r="Z9" t="str">
        <f t="shared" si="0"/>
        <v/>
      </c>
      <c r="AA9" t="str">
        <f t="shared" si="1"/>
        <v/>
      </c>
      <c r="AB9" t="str">
        <f t="shared" si="2"/>
        <v/>
      </c>
      <c r="AC9" t="str">
        <f t="shared" si="3"/>
        <v/>
      </c>
      <c r="AE9" t="str">
        <f t="shared" si="4"/>
        <v/>
      </c>
      <c r="AF9" t="str">
        <f t="shared" si="5"/>
        <v/>
      </c>
      <c r="AG9" t="str">
        <f t="shared" si="6"/>
        <v/>
      </c>
      <c r="AH9" t="str">
        <f t="shared" si="7"/>
        <v/>
      </c>
      <c r="AI9" t="str">
        <f t="shared" si="8"/>
        <v/>
      </c>
      <c r="AK9" t="str">
        <f t="shared" si="9"/>
        <v/>
      </c>
      <c r="AL9" t="str">
        <f t="shared" si="32"/>
        <v/>
      </c>
      <c r="AM9" t="str">
        <f t="shared" si="10"/>
        <v/>
      </c>
      <c r="AN9" t="str">
        <f t="shared" si="11"/>
        <v/>
      </c>
      <c r="AO9" t="str">
        <f t="shared" si="12"/>
        <v/>
      </c>
      <c r="AP9" t="str">
        <f t="shared" si="13"/>
        <v/>
      </c>
      <c r="AQ9" t="str">
        <f t="shared" si="14"/>
        <v/>
      </c>
      <c r="AR9" t="str">
        <f t="shared" si="15"/>
        <v/>
      </c>
      <c r="AS9" t="str">
        <f t="shared" si="16"/>
        <v/>
      </c>
      <c r="AT9" t="str">
        <f t="shared" si="17"/>
        <v/>
      </c>
      <c r="AU9" t="str">
        <f t="shared" si="18"/>
        <v/>
      </c>
      <c r="AV9" t="str">
        <f t="shared" si="19"/>
        <v/>
      </c>
      <c r="AW9" t="str">
        <f t="shared" si="20"/>
        <v/>
      </c>
      <c r="AX9" t="str">
        <f t="shared" si="21"/>
        <v/>
      </c>
      <c r="AY9" t="str">
        <f t="shared" si="22"/>
        <v/>
      </c>
      <c r="AZ9" t="str">
        <f t="shared" si="23"/>
        <v/>
      </c>
      <c r="BA9" t="str">
        <f t="shared" si="24"/>
        <v/>
      </c>
      <c r="BB9" t="str">
        <f t="shared" si="25"/>
        <v/>
      </c>
      <c r="BC9" t="str">
        <f t="shared" si="26"/>
        <v/>
      </c>
      <c r="BD9" t="str">
        <f t="shared" si="27"/>
        <v/>
      </c>
      <c r="BE9" t="str">
        <f t="shared" si="28"/>
        <v/>
      </c>
      <c r="BF9" t="str">
        <f t="shared" si="29"/>
        <v/>
      </c>
      <c r="BG9" t="str">
        <f t="shared" si="30"/>
        <v/>
      </c>
      <c r="BH9" t="str">
        <f t="shared" si="31"/>
        <v/>
      </c>
    </row>
    <row r="10" spans="1:66" x14ac:dyDescent="0.2">
      <c r="A10">
        <v>7</v>
      </c>
      <c r="B10">
        <v>64</v>
      </c>
      <c r="C10" t="s">
        <v>207</v>
      </c>
      <c r="D10">
        <v>1</v>
      </c>
      <c r="E10">
        <v>1</v>
      </c>
      <c r="F10">
        <v>1</v>
      </c>
      <c r="J10">
        <v>1</v>
      </c>
      <c r="M10">
        <v>2</v>
      </c>
      <c r="N10">
        <v>2</v>
      </c>
      <c r="O10">
        <v>2</v>
      </c>
      <c r="S10">
        <v>1</v>
      </c>
      <c r="T10">
        <v>1</v>
      </c>
      <c r="X10">
        <f t="shared" si="33"/>
        <v>0</v>
      </c>
      <c r="Z10" t="str">
        <f t="shared" si="0"/>
        <v/>
      </c>
      <c r="AA10" t="str">
        <f t="shared" si="1"/>
        <v/>
      </c>
      <c r="AB10" t="str">
        <f t="shared" si="2"/>
        <v/>
      </c>
      <c r="AC10" t="str">
        <f t="shared" si="3"/>
        <v/>
      </c>
      <c r="AE10" t="str">
        <f t="shared" si="4"/>
        <v/>
      </c>
      <c r="AF10" t="str">
        <f t="shared" si="5"/>
        <v/>
      </c>
      <c r="AG10" t="str">
        <f t="shared" si="6"/>
        <v/>
      </c>
      <c r="AH10" t="str">
        <f t="shared" si="7"/>
        <v/>
      </c>
      <c r="AI10" t="str">
        <f t="shared" si="8"/>
        <v/>
      </c>
      <c r="AK10" t="str">
        <f t="shared" si="9"/>
        <v/>
      </c>
      <c r="AL10" t="str">
        <f t="shared" si="32"/>
        <v/>
      </c>
      <c r="AM10" t="str">
        <f t="shared" si="10"/>
        <v/>
      </c>
      <c r="AN10" t="str">
        <f t="shared" si="11"/>
        <v/>
      </c>
      <c r="AO10" t="str">
        <f t="shared" si="12"/>
        <v/>
      </c>
      <c r="AP10" t="str">
        <f t="shared" si="13"/>
        <v/>
      </c>
      <c r="AQ10" t="str">
        <f t="shared" si="14"/>
        <v/>
      </c>
      <c r="AR10" t="str">
        <f t="shared" si="15"/>
        <v/>
      </c>
      <c r="AS10" t="str">
        <f t="shared" si="16"/>
        <v/>
      </c>
      <c r="AT10" t="str">
        <f t="shared" si="17"/>
        <v/>
      </c>
      <c r="AU10" t="str">
        <f t="shared" si="18"/>
        <v/>
      </c>
      <c r="AV10" t="str">
        <f t="shared" si="19"/>
        <v/>
      </c>
      <c r="AW10" t="str">
        <f t="shared" si="20"/>
        <v/>
      </c>
      <c r="AX10" t="str">
        <f t="shared" si="21"/>
        <v/>
      </c>
      <c r="AY10" t="str">
        <f t="shared" si="22"/>
        <v/>
      </c>
      <c r="AZ10" t="str">
        <f t="shared" si="23"/>
        <v/>
      </c>
      <c r="BA10" t="str">
        <f t="shared" si="24"/>
        <v/>
      </c>
      <c r="BB10" t="str">
        <f t="shared" si="25"/>
        <v/>
      </c>
      <c r="BC10" t="str">
        <f t="shared" si="26"/>
        <v/>
      </c>
      <c r="BD10" t="str">
        <f t="shared" si="27"/>
        <v/>
      </c>
      <c r="BE10" t="str">
        <f t="shared" si="28"/>
        <v/>
      </c>
      <c r="BF10" t="str">
        <f t="shared" si="29"/>
        <v/>
      </c>
      <c r="BG10" t="str">
        <f t="shared" si="30"/>
        <v/>
      </c>
      <c r="BH10" t="str">
        <f t="shared" si="31"/>
        <v/>
      </c>
    </row>
    <row r="11" spans="1:66" x14ac:dyDescent="0.2">
      <c r="A11">
        <v>8</v>
      </c>
      <c r="B11">
        <v>71</v>
      </c>
      <c r="C11" t="s">
        <v>39</v>
      </c>
      <c r="D11">
        <v>1</v>
      </c>
      <c r="K11">
        <v>5</v>
      </c>
      <c r="N11">
        <v>5</v>
      </c>
      <c r="O11">
        <v>5</v>
      </c>
      <c r="S11">
        <v>1</v>
      </c>
      <c r="T11">
        <v>1</v>
      </c>
      <c r="X11">
        <f t="shared" si="33"/>
        <v>0</v>
      </c>
      <c r="Z11" t="str">
        <f t="shared" si="0"/>
        <v/>
      </c>
      <c r="AA11" t="str">
        <f t="shared" si="1"/>
        <v/>
      </c>
      <c r="AB11" t="str">
        <f t="shared" si="2"/>
        <v/>
      </c>
      <c r="AC11" t="str">
        <f t="shared" si="3"/>
        <v/>
      </c>
      <c r="AE11" t="str">
        <f t="shared" si="4"/>
        <v/>
      </c>
      <c r="AF11" t="str">
        <f t="shared" si="5"/>
        <v/>
      </c>
      <c r="AG11" t="str">
        <f t="shared" si="6"/>
        <v/>
      </c>
      <c r="AH11" t="str">
        <f t="shared" si="7"/>
        <v/>
      </c>
      <c r="AI11" t="str">
        <f t="shared" si="8"/>
        <v/>
      </c>
      <c r="AK11" t="str">
        <f t="shared" si="9"/>
        <v/>
      </c>
      <c r="AL11" t="str">
        <f t="shared" si="32"/>
        <v/>
      </c>
      <c r="AM11" t="str">
        <f t="shared" si="10"/>
        <v/>
      </c>
      <c r="AN11" t="str">
        <f t="shared" si="11"/>
        <v/>
      </c>
      <c r="AO11" t="str">
        <f t="shared" si="12"/>
        <v/>
      </c>
      <c r="AP11" t="str">
        <f t="shared" si="13"/>
        <v/>
      </c>
      <c r="AQ11" t="str">
        <f t="shared" si="14"/>
        <v/>
      </c>
      <c r="AR11" t="str">
        <f t="shared" si="15"/>
        <v/>
      </c>
      <c r="AS11" t="str">
        <f t="shared" si="16"/>
        <v/>
      </c>
      <c r="AT11" t="str">
        <f t="shared" si="17"/>
        <v/>
      </c>
      <c r="AU11" t="str">
        <f t="shared" si="18"/>
        <v/>
      </c>
      <c r="AV11" t="str">
        <f t="shared" si="19"/>
        <v/>
      </c>
      <c r="AW11" t="str">
        <f t="shared" si="20"/>
        <v/>
      </c>
      <c r="AX11" t="str">
        <f t="shared" si="21"/>
        <v/>
      </c>
      <c r="AY11" t="str">
        <f t="shared" si="22"/>
        <v/>
      </c>
      <c r="AZ11" t="str">
        <f t="shared" si="23"/>
        <v/>
      </c>
      <c r="BA11" t="str">
        <f t="shared" si="24"/>
        <v/>
      </c>
      <c r="BB11" t="str">
        <f t="shared" si="25"/>
        <v/>
      </c>
      <c r="BC11" t="str">
        <f t="shared" si="26"/>
        <v/>
      </c>
      <c r="BD11" t="str">
        <f t="shared" si="27"/>
        <v/>
      </c>
      <c r="BE11" t="str">
        <f t="shared" si="28"/>
        <v/>
      </c>
      <c r="BF11" t="str">
        <f t="shared" si="29"/>
        <v/>
      </c>
      <c r="BG11" t="str">
        <f t="shared" si="30"/>
        <v/>
      </c>
      <c r="BH11" t="str">
        <f t="shared" si="31"/>
        <v/>
      </c>
    </row>
    <row r="12" spans="1:66" x14ac:dyDescent="0.2">
      <c r="A12">
        <v>9</v>
      </c>
      <c r="B12">
        <v>85</v>
      </c>
      <c r="C12" t="s">
        <v>39</v>
      </c>
      <c r="D12">
        <v>1</v>
      </c>
      <c r="E12">
        <v>1</v>
      </c>
      <c r="F12">
        <v>1</v>
      </c>
      <c r="K12">
        <v>3</v>
      </c>
      <c r="N12">
        <v>3</v>
      </c>
      <c r="O12">
        <v>2</v>
      </c>
      <c r="S12">
        <v>1</v>
      </c>
      <c r="T12">
        <v>1</v>
      </c>
      <c r="X12">
        <f t="shared" si="33"/>
        <v>0</v>
      </c>
      <c r="Z12" t="str">
        <f t="shared" si="0"/>
        <v/>
      </c>
      <c r="AA12" t="str">
        <f t="shared" si="1"/>
        <v/>
      </c>
      <c r="AB12" t="str">
        <f t="shared" si="2"/>
        <v/>
      </c>
      <c r="AC12" t="str">
        <f t="shared" si="3"/>
        <v/>
      </c>
      <c r="AE12" t="str">
        <f t="shared" si="4"/>
        <v/>
      </c>
      <c r="AF12" t="str">
        <f t="shared" si="5"/>
        <v/>
      </c>
      <c r="AG12" t="str">
        <f t="shared" si="6"/>
        <v/>
      </c>
      <c r="AH12" t="str">
        <f t="shared" si="7"/>
        <v/>
      </c>
      <c r="AI12" t="str">
        <f t="shared" si="8"/>
        <v/>
      </c>
      <c r="AK12" t="str">
        <f t="shared" si="9"/>
        <v/>
      </c>
      <c r="AL12" t="str">
        <f t="shared" si="32"/>
        <v/>
      </c>
      <c r="AM12" t="str">
        <f t="shared" si="10"/>
        <v/>
      </c>
      <c r="AN12" t="str">
        <f t="shared" si="11"/>
        <v/>
      </c>
      <c r="AO12" t="str">
        <f t="shared" si="12"/>
        <v/>
      </c>
      <c r="AP12" t="str">
        <f t="shared" si="13"/>
        <v/>
      </c>
      <c r="AQ12" t="str">
        <f t="shared" si="14"/>
        <v/>
      </c>
      <c r="AR12" t="str">
        <f t="shared" si="15"/>
        <v/>
      </c>
      <c r="AS12" t="str">
        <f t="shared" si="16"/>
        <v/>
      </c>
      <c r="AT12" t="str">
        <f t="shared" si="17"/>
        <v/>
      </c>
      <c r="AU12" t="str">
        <f t="shared" si="18"/>
        <v/>
      </c>
      <c r="AV12" t="str">
        <f t="shared" si="19"/>
        <v/>
      </c>
      <c r="AW12" t="str">
        <f t="shared" si="20"/>
        <v/>
      </c>
      <c r="AX12" t="str">
        <f t="shared" si="21"/>
        <v/>
      </c>
      <c r="AY12" t="str">
        <f t="shared" si="22"/>
        <v/>
      </c>
      <c r="AZ12" t="str">
        <f t="shared" si="23"/>
        <v/>
      </c>
      <c r="BA12" t="str">
        <f t="shared" si="24"/>
        <v/>
      </c>
      <c r="BB12" t="str">
        <f t="shared" si="25"/>
        <v/>
      </c>
      <c r="BC12" t="str">
        <f t="shared" si="26"/>
        <v/>
      </c>
      <c r="BD12" t="str">
        <f t="shared" si="27"/>
        <v/>
      </c>
      <c r="BE12" t="str">
        <f t="shared" si="28"/>
        <v/>
      </c>
      <c r="BF12" t="str">
        <f t="shared" si="29"/>
        <v/>
      </c>
      <c r="BG12" t="str">
        <f t="shared" si="30"/>
        <v/>
      </c>
      <c r="BH12" t="str">
        <f t="shared" si="31"/>
        <v/>
      </c>
    </row>
    <row r="13" spans="1:66" x14ac:dyDescent="0.2">
      <c r="A13">
        <v>10</v>
      </c>
      <c r="B13">
        <v>96</v>
      </c>
      <c r="C13" t="s">
        <v>207</v>
      </c>
      <c r="D13">
        <v>1</v>
      </c>
      <c r="E13">
        <v>1</v>
      </c>
      <c r="F13">
        <v>1</v>
      </c>
      <c r="K13">
        <v>2</v>
      </c>
      <c r="M13">
        <v>1</v>
      </c>
      <c r="N13">
        <v>3</v>
      </c>
      <c r="O13">
        <v>3</v>
      </c>
      <c r="S13">
        <v>1</v>
      </c>
      <c r="T13">
        <v>1</v>
      </c>
      <c r="X13">
        <f t="shared" si="33"/>
        <v>0</v>
      </c>
      <c r="Z13" t="str">
        <f t="shared" si="0"/>
        <v/>
      </c>
      <c r="AA13" t="str">
        <f t="shared" si="1"/>
        <v/>
      </c>
      <c r="AB13" t="str">
        <f t="shared" si="2"/>
        <v/>
      </c>
      <c r="AC13" t="str">
        <f t="shared" si="3"/>
        <v/>
      </c>
      <c r="AE13" t="str">
        <f t="shared" si="4"/>
        <v/>
      </c>
      <c r="AF13" t="str">
        <f t="shared" si="5"/>
        <v/>
      </c>
      <c r="AG13" t="str">
        <f t="shared" si="6"/>
        <v/>
      </c>
      <c r="AH13" t="str">
        <f t="shared" si="7"/>
        <v/>
      </c>
      <c r="AI13" t="str">
        <f t="shared" si="8"/>
        <v/>
      </c>
      <c r="AK13" t="str">
        <f t="shared" si="9"/>
        <v/>
      </c>
      <c r="AL13" t="str">
        <f t="shared" si="32"/>
        <v/>
      </c>
      <c r="AM13" t="str">
        <f t="shared" si="10"/>
        <v/>
      </c>
      <c r="AN13" t="str">
        <f t="shared" si="11"/>
        <v/>
      </c>
      <c r="AO13" t="str">
        <f t="shared" si="12"/>
        <v/>
      </c>
      <c r="AP13" t="str">
        <f t="shared" si="13"/>
        <v/>
      </c>
      <c r="AQ13" t="str">
        <f t="shared" si="14"/>
        <v/>
      </c>
      <c r="AR13" t="str">
        <f t="shared" si="15"/>
        <v/>
      </c>
      <c r="AS13" t="str">
        <f t="shared" si="16"/>
        <v/>
      </c>
      <c r="AT13" t="str">
        <f t="shared" si="17"/>
        <v/>
      </c>
      <c r="AU13" t="str">
        <f t="shared" si="18"/>
        <v/>
      </c>
      <c r="AV13" t="str">
        <f t="shared" si="19"/>
        <v/>
      </c>
      <c r="AW13" t="str">
        <f t="shared" si="20"/>
        <v/>
      </c>
      <c r="AX13" t="str">
        <f t="shared" si="21"/>
        <v/>
      </c>
      <c r="AY13" t="str">
        <f t="shared" si="22"/>
        <v/>
      </c>
      <c r="AZ13" t="str">
        <f t="shared" si="23"/>
        <v/>
      </c>
      <c r="BA13" t="str">
        <f t="shared" si="24"/>
        <v/>
      </c>
      <c r="BB13" t="str">
        <f t="shared" si="25"/>
        <v/>
      </c>
      <c r="BC13" t="str">
        <f t="shared" si="26"/>
        <v/>
      </c>
      <c r="BD13" t="str">
        <f t="shared" si="27"/>
        <v/>
      </c>
      <c r="BE13" t="str">
        <f t="shared" si="28"/>
        <v/>
      </c>
      <c r="BF13" t="str">
        <f t="shared" si="29"/>
        <v/>
      </c>
      <c r="BG13" t="str">
        <f t="shared" si="30"/>
        <v/>
      </c>
      <c r="BH13" t="str">
        <f t="shared" si="31"/>
        <v/>
      </c>
    </row>
    <row r="14" spans="1:66" x14ac:dyDescent="0.2">
      <c r="A14">
        <v>11</v>
      </c>
      <c r="B14">
        <v>104</v>
      </c>
      <c r="C14" t="s">
        <v>207</v>
      </c>
      <c r="D14">
        <v>1</v>
      </c>
      <c r="E14">
        <v>1</v>
      </c>
      <c r="K14">
        <v>3</v>
      </c>
      <c r="M14">
        <v>1</v>
      </c>
      <c r="N14">
        <v>4</v>
      </c>
      <c r="O14">
        <v>4</v>
      </c>
      <c r="S14">
        <v>1</v>
      </c>
      <c r="T14">
        <v>1</v>
      </c>
      <c r="U14">
        <v>6</v>
      </c>
      <c r="X14">
        <f t="shared" si="33"/>
        <v>0</v>
      </c>
      <c r="Z14" t="s">
        <v>31</v>
      </c>
      <c r="AE14" t="s">
        <v>34</v>
      </c>
      <c r="AK14" t="s">
        <v>43</v>
      </c>
      <c r="AP14" t="s">
        <v>84</v>
      </c>
    </row>
    <row r="15" spans="1:66" x14ac:dyDescent="0.2">
      <c r="A15">
        <v>12</v>
      </c>
      <c r="B15">
        <v>111</v>
      </c>
      <c r="C15" t="s">
        <v>39</v>
      </c>
      <c r="D15">
        <v>1</v>
      </c>
      <c r="E15">
        <v>1</v>
      </c>
      <c r="F15">
        <v>1</v>
      </c>
      <c r="K15">
        <v>4</v>
      </c>
      <c r="N15">
        <v>4</v>
      </c>
      <c r="O15">
        <v>4</v>
      </c>
      <c r="S15">
        <v>1</v>
      </c>
      <c r="T15">
        <v>1</v>
      </c>
      <c r="X15">
        <f t="shared" si="33"/>
        <v>0</v>
      </c>
      <c r="Z15" t="s">
        <v>21</v>
      </c>
      <c r="AA15" t="s">
        <v>22</v>
      </c>
      <c r="AE15" t="s">
        <v>21</v>
      </c>
      <c r="AF15" t="s">
        <v>22</v>
      </c>
      <c r="AG15" t="s">
        <v>35</v>
      </c>
      <c r="AK15" t="s">
        <v>10</v>
      </c>
      <c r="AL15" t="s">
        <v>25</v>
      </c>
      <c r="AM15" t="s">
        <v>26</v>
      </c>
      <c r="AN15" t="s">
        <v>27</v>
      </c>
      <c r="AP15" t="s">
        <v>15</v>
      </c>
      <c r="AQ15" t="s">
        <v>85</v>
      </c>
    </row>
    <row r="16" spans="1:66" x14ac:dyDescent="0.2">
      <c r="A16" t="s">
        <v>28</v>
      </c>
      <c r="D16">
        <f>SUM(D4:D15)</f>
        <v>11</v>
      </c>
      <c r="E16">
        <f>SUM(E4:E15)</f>
        <v>6</v>
      </c>
      <c r="F16">
        <f>SUM(F4:F15)</f>
        <v>6</v>
      </c>
      <c r="G16">
        <f>SUM(G4:G15)</f>
        <v>0</v>
      </c>
      <c r="H16">
        <f>SUM(H4:H15)</f>
        <v>0</v>
      </c>
      <c r="K16">
        <f>SUM(K4:K15)</f>
        <v>29</v>
      </c>
      <c r="L16">
        <f>SUM(L4:L15)</f>
        <v>0</v>
      </c>
      <c r="M16">
        <f>SUM(M4:M15)</f>
        <v>14</v>
      </c>
      <c r="N16">
        <f>SUM(N4:N15)</f>
        <v>49</v>
      </c>
      <c r="O16">
        <f>SUM(O4:O15)</f>
        <v>44</v>
      </c>
      <c r="Q16">
        <f t="shared" ref="Q16:R16" si="34">SUM(Q4:Q15)</f>
        <v>0</v>
      </c>
      <c r="R16">
        <f t="shared" si="34"/>
        <v>0</v>
      </c>
      <c r="S16">
        <f>SUM(S4:S15)</f>
        <v>11</v>
      </c>
      <c r="T16">
        <f>SUM(T4:T15)</f>
        <v>11</v>
      </c>
      <c r="U16">
        <f>SUM(U4:U15)</f>
        <v>24</v>
      </c>
      <c r="V16">
        <f>SUM(V4:V15)</f>
        <v>0</v>
      </c>
      <c r="W16">
        <f>SUM(W4:W15)</f>
        <v>0</v>
      </c>
      <c r="Z16">
        <f t="shared" ref="Z16:Z27" si="35">COUNTIF(Z2:AC2, "3")*COUNTIF(C4, "r")+COUNTIF(Z2:AC2, "5")*COUNTIF(C4, "b")</f>
        <v>0</v>
      </c>
      <c r="AA16">
        <f t="shared" ref="AA16:AA27" si="36">COUNTIF(Z2:AC2, "1")+COUNTIF(Z2:AC2, "2")+COUNTIF(Z2:AC2, "4")</f>
        <v>0</v>
      </c>
      <c r="AE16">
        <f t="shared" ref="AE16:AE27" si="37">COUNTIF(AE2:AI2, "3")*COUNTIF(C4, "r") + COUNTIF(AE2:AI2, "5")*COUNTIF(C4, "b")</f>
        <v>0</v>
      </c>
      <c r="AF16">
        <f t="shared" ref="AF16:AF27" si="38">COUNTIF(AE2:AI2, "1")+COUNTIF(AE2:AI2, "2")+COUNTIF(AE2:AI2, "4")</f>
        <v>1</v>
      </c>
      <c r="AG16">
        <f t="shared" ref="AG16:AG27" si="39">COUNTIF(AE2:AI2, "3")*COUNTIF(AE2:AI2, "b")+COUNTIF(AE2:AI2, "5")*COUNTIF(AE2:AI2, "r")</f>
        <v>0</v>
      </c>
      <c r="AK16">
        <f t="shared" ref="AK16:AK27" si="40">SUMPRODUCT(LEN($AK2:$BH2) - LEN(SUBSTITUTE($AK2:$BH2, "g", "")))</f>
        <v>0</v>
      </c>
      <c r="AL16">
        <f t="shared" ref="AL16:AL27" si="41">SUMPRODUCT(LEN($AK2:$BH2) - LEN(SUBSTITUTE($AK2:$BH2, "h", "")))</f>
        <v>1</v>
      </c>
      <c r="AM16">
        <f t="shared" ref="AM16:AM27" si="42">SUMPRODUCT(LEN($AK2:$BH2) - LEN(SUBSTITUTE($AK2:$BH2, "v", "")))</f>
        <v>0</v>
      </c>
      <c r="AN16">
        <f t="shared" ref="AN16:AN27" si="43">SUMPRODUCT(LEN($AK2:$BH2) - LEN(SUBSTITUTE($AK2:$BH2, "r", "")))</f>
        <v>0</v>
      </c>
      <c r="AP16">
        <f>MAX(AQ16:BN16)</f>
        <v>1</v>
      </c>
      <c r="AQ16" s="4">
        <f>_xlfn.NUMBERVALUE(RIGHT(AK2,1))</f>
        <v>1</v>
      </c>
      <c r="AR16" s="4">
        <f t="shared" ref="AR16:BG27" si="44">_xlfn.NUMBERVALUE(RIGHT(AL2,1))</f>
        <v>0</v>
      </c>
      <c r="AS16" s="4">
        <f t="shared" si="44"/>
        <v>0</v>
      </c>
      <c r="AT16" s="4">
        <f t="shared" si="44"/>
        <v>0</v>
      </c>
      <c r="AU16" s="4">
        <f t="shared" si="44"/>
        <v>0</v>
      </c>
      <c r="AV16" s="4">
        <f t="shared" si="44"/>
        <v>0</v>
      </c>
      <c r="AW16" s="4">
        <f t="shared" si="44"/>
        <v>0</v>
      </c>
      <c r="AX16" s="4">
        <f t="shared" si="44"/>
        <v>0</v>
      </c>
      <c r="AY16" s="4">
        <f t="shared" si="44"/>
        <v>0</v>
      </c>
      <c r="AZ16" s="4">
        <f t="shared" si="44"/>
        <v>0</v>
      </c>
      <c r="BA16" s="4">
        <f t="shared" si="44"/>
        <v>0</v>
      </c>
      <c r="BB16" s="4">
        <f t="shared" si="44"/>
        <v>0</v>
      </c>
      <c r="BC16" s="4">
        <f t="shared" si="44"/>
        <v>0</v>
      </c>
      <c r="BD16" s="4">
        <f t="shared" si="44"/>
        <v>0</v>
      </c>
      <c r="BE16" s="4">
        <f t="shared" si="44"/>
        <v>0</v>
      </c>
      <c r="BF16" s="4">
        <f t="shared" si="44"/>
        <v>0</v>
      </c>
      <c r="BG16" s="4">
        <f t="shared" si="44"/>
        <v>0</v>
      </c>
      <c r="BH16" s="4">
        <f t="shared" ref="BH16:BN27" si="45">_xlfn.NUMBERVALUE(RIGHT(BB2,1))</f>
        <v>0</v>
      </c>
      <c r="BI16" s="4">
        <f t="shared" si="45"/>
        <v>0</v>
      </c>
      <c r="BJ16" s="4">
        <f t="shared" si="45"/>
        <v>0</v>
      </c>
      <c r="BK16" s="4">
        <f t="shared" si="45"/>
        <v>0</v>
      </c>
      <c r="BL16" s="4">
        <f t="shared" si="45"/>
        <v>0</v>
      </c>
      <c r="BM16" s="4">
        <f t="shared" si="45"/>
        <v>0</v>
      </c>
      <c r="BN16" s="4">
        <f t="shared" si="45"/>
        <v>0</v>
      </c>
    </row>
    <row r="17" spans="1:66" x14ac:dyDescent="0.2">
      <c r="A17" s="1" t="s">
        <v>20</v>
      </c>
      <c r="D17" s="1" t="s">
        <v>49</v>
      </c>
      <c r="G17" s="1" t="s">
        <v>52</v>
      </c>
      <c r="K17" s="3" t="s">
        <v>74</v>
      </c>
      <c r="P17" s="1" t="s">
        <v>66</v>
      </c>
      <c r="Z17">
        <f t="shared" si="35"/>
        <v>0</v>
      </c>
      <c r="AA17">
        <f t="shared" si="36"/>
        <v>0</v>
      </c>
      <c r="AE17">
        <f t="shared" si="37"/>
        <v>0</v>
      </c>
      <c r="AF17">
        <f t="shared" si="38"/>
        <v>0</v>
      </c>
      <c r="AG17">
        <f t="shared" si="39"/>
        <v>0</v>
      </c>
      <c r="AK17">
        <f t="shared" si="40"/>
        <v>0</v>
      </c>
      <c r="AL17">
        <f t="shared" si="41"/>
        <v>0</v>
      </c>
      <c r="AM17">
        <f t="shared" si="42"/>
        <v>0</v>
      </c>
      <c r="AN17">
        <f t="shared" si="43"/>
        <v>0</v>
      </c>
      <c r="AP17">
        <f t="shared" ref="AP17:AP27" si="46">MAX(AQ17:BN17)</f>
        <v>0</v>
      </c>
      <c r="AQ17" s="4">
        <f t="shared" ref="AQ17:AQ27" si="47">_xlfn.NUMBERVALUE(RIGHT(AK3,1))</f>
        <v>0</v>
      </c>
      <c r="AR17" s="4">
        <f t="shared" si="44"/>
        <v>0</v>
      </c>
      <c r="AS17" s="4">
        <f t="shared" si="44"/>
        <v>0</v>
      </c>
      <c r="AT17" s="4">
        <f t="shared" si="44"/>
        <v>0</v>
      </c>
      <c r="AU17" s="4">
        <f t="shared" si="44"/>
        <v>0</v>
      </c>
      <c r="AV17" s="4">
        <f t="shared" si="44"/>
        <v>0</v>
      </c>
      <c r="AW17" s="4">
        <f t="shared" si="44"/>
        <v>0</v>
      </c>
      <c r="AX17" s="4">
        <f t="shared" si="44"/>
        <v>0</v>
      </c>
      <c r="AY17" s="4">
        <f t="shared" si="44"/>
        <v>0</v>
      </c>
      <c r="AZ17" s="4">
        <f t="shared" si="44"/>
        <v>0</v>
      </c>
      <c r="BA17" s="4">
        <f t="shared" si="44"/>
        <v>0</v>
      </c>
      <c r="BB17" s="4">
        <f t="shared" si="44"/>
        <v>0</v>
      </c>
      <c r="BC17" s="4">
        <f t="shared" si="44"/>
        <v>0</v>
      </c>
      <c r="BD17" s="4">
        <f t="shared" si="44"/>
        <v>0</v>
      </c>
      <c r="BE17" s="4">
        <f t="shared" si="44"/>
        <v>0</v>
      </c>
      <c r="BF17" s="4">
        <f t="shared" si="44"/>
        <v>0</v>
      </c>
      <c r="BG17" s="4">
        <f t="shared" si="44"/>
        <v>0</v>
      </c>
      <c r="BH17" s="4">
        <f t="shared" si="45"/>
        <v>0</v>
      </c>
      <c r="BI17" s="4">
        <f t="shared" si="45"/>
        <v>0</v>
      </c>
      <c r="BJ17" s="4">
        <f t="shared" si="45"/>
        <v>0</v>
      </c>
      <c r="BK17" s="4">
        <f t="shared" si="45"/>
        <v>0</v>
      </c>
      <c r="BL17" s="4">
        <f t="shared" si="45"/>
        <v>0</v>
      </c>
      <c r="BM17" s="4">
        <f t="shared" si="45"/>
        <v>0</v>
      </c>
      <c r="BN17" s="4">
        <f t="shared" si="45"/>
        <v>0</v>
      </c>
    </row>
    <row r="18" spans="1:66" x14ac:dyDescent="0.2">
      <c r="A18" t="s">
        <v>32</v>
      </c>
      <c r="B18" t="s">
        <v>21</v>
      </c>
      <c r="D18" t="s">
        <v>180</v>
      </c>
      <c r="G18" s="3" t="s">
        <v>53</v>
      </c>
      <c r="K18" t="s">
        <v>55</v>
      </c>
      <c r="M18" t="s">
        <v>65</v>
      </c>
      <c r="P18" t="s">
        <v>67</v>
      </c>
      <c r="Z18">
        <f t="shared" si="35"/>
        <v>0</v>
      </c>
      <c r="AA18">
        <f t="shared" si="36"/>
        <v>0</v>
      </c>
      <c r="AE18">
        <f t="shared" si="37"/>
        <v>0</v>
      </c>
      <c r="AF18">
        <f t="shared" si="38"/>
        <v>0</v>
      </c>
      <c r="AG18">
        <f t="shared" si="39"/>
        <v>0</v>
      </c>
      <c r="AK18">
        <f t="shared" si="40"/>
        <v>0</v>
      </c>
      <c r="AL18">
        <f t="shared" si="41"/>
        <v>0</v>
      </c>
      <c r="AM18">
        <f t="shared" si="42"/>
        <v>0</v>
      </c>
      <c r="AN18">
        <f t="shared" si="43"/>
        <v>0</v>
      </c>
      <c r="AP18">
        <f t="shared" si="46"/>
        <v>0</v>
      </c>
      <c r="AQ18" s="4">
        <f t="shared" si="47"/>
        <v>0</v>
      </c>
      <c r="AR18" s="4">
        <f t="shared" si="44"/>
        <v>0</v>
      </c>
      <c r="AS18" s="4">
        <f t="shared" si="44"/>
        <v>0</v>
      </c>
      <c r="AT18" s="4">
        <f t="shared" si="44"/>
        <v>0</v>
      </c>
      <c r="AU18" s="4">
        <f t="shared" si="44"/>
        <v>0</v>
      </c>
      <c r="AV18" s="4">
        <f t="shared" si="44"/>
        <v>0</v>
      </c>
      <c r="AW18" s="4">
        <f t="shared" si="44"/>
        <v>0</v>
      </c>
      <c r="AX18" s="4">
        <f t="shared" si="44"/>
        <v>0</v>
      </c>
      <c r="AY18" s="4">
        <f t="shared" si="44"/>
        <v>0</v>
      </c>
      <c r="AZ18" s="4">
        <f t="shared" si="44"/>
        <v>0</v>
      </c>
      <c r="BA18" s="4">
        <f t="shared" si="44"/>
        <v>0</v>
      </c>
      <c r="BB18" s="4">
        <f t="shared" si="44"/>
        <v>0</v>
      </c>
      <c r="BC18" s="4">
        <f t="shared" si="44"/>
        <v>0</v>
      </c>
      <c r="BD18" s="4">
        <f t="shared" si="44"/>
        <v>0</v>
      </c>
      <c r="BE18" s="4">
        <f t="shared" si="44"/>
        <v>0</v>
      </c>
      <c r="BF18" s="4">
        <f t="shared" si="44"/>
        <v>0</v>
      </c>
      <c r="BG18" s="4">
        <f t="shared" si="44"/>
        <v>0</v>
      </c>
      <c r="BH18" s="4">
        <f t="shared" si="45"/>
        <v>0</v>
      </c>
      <c r="BI18" s="4">
        <f t="shared" si="45"/>
        <v>0</v>
      </c>
      <c r="BJ18" s="4">
        <f t="shared" si="45"/>
        <v>0</v>
      </c>
      <c r="BK18" s="4">
        <f t="shared" si="45"/>
        <v>0</v>
      </c>
      <c r="BL18" s="4">
        <f t="shared" si="45"/>
        <v>0</v>
      </c>
      <c r="BM18" s="4">
        <f t="shared" si="45"/>
        <v>0</v>
      </c>
      <c r="BN18" s="4">
        <f t="shared" si="45"/>
        <v>0</v>
      </c>
    </row>
    <row r="19" spans="1:66" x14ac:dyDescent="0.2">
      <c r="A19" t="s">
        <v>40</v>
      </c>
      <c r="B19" t="s">
        <v>22</v>
      </c>
      <c r="D19">
        <f>E16/D16</f>
        <v>0.54545454545454541</v>
      </c>
      <c r="G19" t="s">
        <v>75</v>
      </c>
      <c r="K19">
        <f>O16/N16</f>
        <v>0.89795918367346939</v>
      </c>
      <c r="M19">
        <f>SUM(M39:M50)</f>
        <v>-1</v>
      </c>
      <c r="P19">
        <f>T16/S16</f>
        <v>1</v>
      </c>
      <c r="Z19">
        <f t="shared" si="35"/>
        <v>0</v>
      </c>
      <c r="AA19">
        <f t="shared" si="36"/>
        <v>0</v>
      </c>
      <c r="AE19">
        <f t="shared" si="37"/>
        <v>0</v>
      </c>
      <c r="AF19">
        <f t="shared" si="38"/>
        <v>0</v>
      </c>
      <c r="AG19">
        <f t="shared" si="39"/>
        <v>0</v>
      </c>
      <c r="AK19">
        <f t="shared" si="40"/>
        <v>0</v>
      </c>
      <c r="AL19">
        <f t="shared" si="41"/>
        <v>0</v>
      </c>
      <c r="AM19">
        <f t="shared" si="42"/>
        <v>0</v>
      </c>
      <c r="AN19">
        <f t="shared" si="43"/>
        <v>0</v>
      </c>
      <c r="AP19">
        <f t="shared" si="46"/>
        <v>0</v>
      </c>
      <c r="AQ19" s="4">
        <f t="shared" si="47"/>
        <v>0</v>
      </c>
      <c r="AR19" s="4">
        <f t="shared" si="44"/>
        <v>0</v>
      </c>
      <c r="AS19" s="4">
        <f t="shared" si="44"/>
        <v>0</v>
      </c>
      <c r="AT19" s="4">
        <f t="shared" si="44"/>
        <v>0</v>
      </c>
      <c r="AU19" s="4">
        <f t="shared" si="44"/>
        <v>0</v>
      </c>
      <c r="AV19" s="4">
        <f t="shared" si="44"/>
        <v>0</v>
      </c>
      <c r="AW19" s="4">
        <f t="shared" si="44"/>
        <v>0</v>
      </c>
      <c r="AX19" s="4">
        <f t="shared" si="44"/>
        <v>0</v>
      </c>
      <c r="AY19" s="4">
        <f t="shared" si="44"/>
        <v>0</v>
      </c>
      <c r="AZ19" s="4">
        <f t="shared" si="44"/>
        <v>0</v>
      </c>
      <c r="BA19" s="4">
        <f t="shared" si="44"/>
        <v>0</v>
      </c>
      <c r="BB19" s="4">
        <f t="shared" si="44"/>
        <v>0</v>
      </c>
      <c r="BC19" s="4">
        <f t="shared" si="44"/>
        <v>0</v>
      </c>
      <c r="BD19" s="4">
        <f t="shared" si="44"/>
        <v>0</v>
      </c>
      <c r="BE19" s="4">
        <f t="shared" si="44"/>
        <v>0</v>
      </c>
      <c r="BF19" s="4">
        <f t="shared" si="44"/>
        <v>0</v>
      </c>
      <c r="BG19" s="4">
        <f t="shared" si="44"/>
        <v>0</v>
      </c>
      <c r="BH19" s="4">
        <f t="shared" si="45"/>
        <v>0</v>
      </c>
      <c r="BI19" s="4">
        <f t="shared" si="45"/>
        <v>0</v>
      </c>
      <c r="BJ19" s="4">
        <f t="shared" si="45"/>
        <v>0</v>
      </c>
      <c r="BK19" s="4">
        <f t="shared" si="45"/>
        <v>0</v>
      </c>
      <c r="BL19" s="4">
        <f t="shared" si="45"/>
        <v>0</v>
      </c>
      <c r="BM19" s="4">
        <f t="shared" si="45"/>
        <v>0</v>
      </c>
      <c r="BN19" s="4">
        <f t="shared" si="45"/>
        <v>0</v>
      </c>
    </row>
    <row r="20" spans="1:66" x14ac:dyDescent="0.2">
      <c r="A20" t="s">
        <v>41</v>
      </c>
      <c r="B20" t="s">
        <v>23</v>
      </c>
      <c r="D20" t="s">
        <v>47</v>
      </c>
      <c r="G20">
        <f>AK28/AP28</f>
        <v>0</v>
      </c>
      <c r="K20" t="s">
        <v>13</v>
      </c>
      <c r="Z20">
        <f t="shared" si="35"/>
        <v>0</v>
      </c>
      <c r="AA20">
        <f t="shared" si="36"/>
        <v>0</v>
      </c>
      <c r="AE20">
        <f t="shared" si="37"/>
        <v>0</v>
      </c>
      <c r="AF20">
        <f t="shared" si="38"/>
        <v>0</v>
      </c>
      <c r="AG20">
        <f t="shared" si="39"/>
        <v>0</v>
      </c>
      <c r="AK20">
        <f t="shared" si="40"/>
        <v>0</v>
      </c>
      <c r="AL20">
        <f t="shared" si="41"/>
        <v>0</v>
      </c>
      <c r="AM20">
        <f t="shared" si="42"/>
        <v>0</v>
      </c>
      <c r="AN20">
        <f t="shared" si="43"/>
        <v>0</v>
      </c>
      <c r="AP20">
        <f t="shared" si="46"/>
        <v>0</v>
      </c>
      <c r="AQ20" s="4">
        <f t="shared" si="47"/>
        <v>0</v>
      </c>
      <c r="AR20" s="4">
        <f t="shared" si="44"/>
        <v>0</v>
      </c>
      <c r="AS20" s="4">
        <f t="shared" si="44"/>
        <v>0</v>
      </c>
      <c r="AT20" s="4">
        <f t="shared" si="44"/>
        <v>0</v>
      </c>
      <c r="AU20" s="4">
        <f t="shared" si="44"/>
        <v>0</v>
      </c>
      <c r="AV20" s="4">
        <f t="shared" si="44"/>
        <v>0</v>
      </c>
      <c r="AW20" s="4">
        <f t="shared" si="44"/>
        <v>0</v>
      </c>
      <c r="AX20" s="4">
        <f t="shared" si="44"/>
        <v>0</v>
      </c>
      <c r="AY20" s="4">
        <f t="shared" si="44"/>
        <v>0</v>
      </c>
      <c r="AZ20" s="4">
        <f t="shared" si="44"/>
        <v>0</v>
      </c>
      <c r="BA20" s="4">
        <f t="shared" si="44"/>
        <v>0</v>
      </c>
      <c r="BB20" s="4">
        <f t="shared" si="44"/>
        <v>0</v>
      </c>
      <c r="BC20" s="4">
        <f t="shared" si="44"/>
        <v>0</v>
      </c>
      <c r="BD20" s="4">
        <f t="shared" si="44"/>
        <v>0</v>
      </c>
      <c r="BE20" s="4">
        <f t="shared" si="44"/>
        <v>0</v>
      </c>
      <c r="BF20" s="4">
        <f t="shared" si="44"/>
        <v>0</v>
      </c>
      <c r="BG20" s="4">
        <f t="shared" si="44"/>
        <v>0</v>
      </c>
      <c r="BH20" s="4">
        <f t="shared" si="45"/>
        <v>0</v>
      </c>
      <c r="BI20" s="4">
        <f t="shared" si="45"/>
        <v>0</v>
      </c>
      <c r="BJ20" s="4">
        <f t="shared" si="45"/>
        <v>0</v>
      </c>
      <c r="BK20" s="4">
        <f t="shared" si="45"/>
        <v>0</v>
      </c>
      <c r="BL20" s="4">
        <f t="shared" si="45"/>
        <v>0</v>
      </c>
      <c r="BM20" s="4">
        <f t="shared" si="45"/>
        <v>0</v>
      </c>
      <c r="BN20" s="4">
        <f t="shared" si="45"/>
        <v>0</v>
      </c>
    </row>
    <row r="21" spans="1:66" x14ac:dyDescent="0.2">
      <c r="A21" s="1" t="s">
        <v>24</v>
      </c>
      <c r="D21">
        <f>G16/A31</f>
        <v>0</v>
      </c>
      <c r="G21" t="s">
        <v>76</v>
      </c>
      <c r="K21" t="s">
        <v>57</v>
      </c>
      <c r="L21" t="s">
        <v>58</v>
      </c>
      <c r="M21" t="s">
        <v>59</v>
      </c>
      <c r="N21" t="s">
        <v>60</v>
      </c>
      <c r="Z21">
        <f t="shared" si="35"/>
        <v>0</v>
      </c>
      <c r="AA21">
        <f t="shared" si="36"/>
        <v>0</v>
      </c>
      <c r="AE21">
        <f t="shared" si="37"/>
        <v>0</v>
      </c>
      <c r="AF21">
        <f t="shared" si="38"/>
        <v>0</v>
      </c>
      <c r="AG21">
        <f t="shared" si="39"/>
        <v>0</v>
      </c>
      <c r="AK21">
        <f t="shared" si="40"/>
        <v>0</v>
      </c>
      <c r="AL21">
        <f t="shared" si="41"/>
        <v>0</v>
      </c>
      <c r="AM21">
        <f t="shared" si="42"/>
        <v>0</v>
      </c>
      <c r="AN21">
        <f t="shared" si="43"/>
        <v>0</v>
      </c>
      <c r="AP21">
        <f t="shared" si="46"/>
        <v>0</v>
      </c>
      <c r="AQ21" s="4">
        <f t="shared" si="47"/>
        <v>0</v>
      </c>
      <c r="AR21" s="4">
        <f t="shared" si="44"/>
        <v>0</v>
      </c>
      <c r="AS21" s="4">
        <f t="shared" si="44"/>
        <v>0</v>
      </c>
      <c r="AT21" s="4">
        <f t="shared" si="44"/>
        <v>0</v>
      </c>
      <c r="AU21" s="4">
        <f t="shared" si="44"/>
        <v>0</v>
      </c>
      <c r="AV21" s="4">
        <f t="shared" si="44"/>
        <v>0</v>
      </c>
      <c r="AW21" s="4">
        <f t="shared" si="44"/>
        <v>0</v>
      </c>
      <c r="AX21" s="4">
        <f t="shared" si="44"/>
        <v>0</v>
      </c>
      <c r="AY21" s="4">
        <f t="shared" si="44"/>
        <v>0</v>
      </c>
      <c r="AZ21" s="4">
        <f t="shared" si="44"/>
        <v>0</v>
      </c>
      <c r="BA21" s="4">
        <f t="shared" si="44"/>
        <v>0</v>
      </c>
      <c r="BB21" s="4">
        <f t="shared" si="44"/>
        <v>0</v>
      </c>
      <c r="BC21" s="4">
        <f t="shared" si="44"/>
        <v>0</v>
      </c>
      <c r="BD21" s="4">
        <f t="shared" si="44"/>
        <v>0</v>
      </c>
      <c r="BE21" s="4">
        <f t="shared" si="44"/>
        <v>0</v>
      </c>
      <c r="BF21" s="4">
        <f t="shared" si="44"/>
        <v>0</v>
      </c>
      <c r="BG21" s="4">
        <f t="shared" si="44"/>
        <v>0</v>
      </c>
      <c r="BH21" s="4">
        <f t="shared" si="45"/>
        <v>0</v>
      </c>
      <c r="BI21" s="4">
        <f t="shared" si="45"/>
        <v>0</v>
      </c>
      <c r="BJ21" s="4">
        <f t="shared" si="45"/>
        <v>0</v>
      </c>
      <c r="BK21" s="4">
        <f t="shared" si="45"/>
        <v>0</v>
      </c>
      <c r="BL21" s="4">
        <f t="shared" si="45"/>
        <v>0</v>
      </c>
      <c r="BM21" s="4">
        <f t="shared" si="45"/>
        <v>0</v>
      </c>
      <c r="BN21" s="4">
        <f t="shared" si="45"/>
        <v>0</v>
      </c>
    </row>
    <row r="22" spans="1:66" x14ac:dyDescent="0.2">
      <c r="A22" t="s">
        <v>36</v>
      </c>
      <c r="B22" t="s">
        <v>10</v>
      </c>
      <c r="D22" t="s">
        <v>48</v>
      </c>
      <c r="G22">
        <f>AL28/AP28</f>
        <v>1</v>
      </c>
      <c r="K22">
        <f>AVERAGE(C39:C50)</f>
        <v>3.6666666666666665</v>
      </c>
      <c r="L22">
        <f>MEDIAN(C39:C50)</f>
        <v>4</v>
      </c>
      <c r="M22">
        <f>MAX(C39:C50)</f>
        <v>5</v>
      </c>
      <c r="N22">
        <f>_xlfn.STDEV.S(C39:C50)</f>
        <v>1.0730867399773192</v>
      </c>
      <c r="Z22">
        <f t="shared" si="35"/>
        <v>0</v>
      </c>
      <c r="AA22">
        <f t="shared" si="36"/>
        <v>0</v>
      </c>
      <c r="AE22">
        <f t="shared" si="37"/>
        <v>0</v>
      </c>
      <c r="AF22">
        <f t="shared" si="38"/>
        <v>1</v>
      </c>
      <c r="AG22">
        <f t="shared" si="39"/>
        <v>0</v>
      </c>
      <c r="AK22">
        <f t="shared" si="40"/>
        <v>0</v>
      </c>
      <c r="AL22">
        <f t="shared" si="41"/>
        <v>0</v>
      </c>
      <c r="AM22">
        <f t="shared" si="42"/>
        <v>0</v>
      </c>
      <c r="AN22">
        <f t="shared" si="43"/>
        <v>0</v>
      </c>
      <c r="AP22">
        <f t="shared" si="46"/>
        <v>0</v>
      </c>
      <c r="AQ22" s="4">
        <f t="shared" si="47"/>
        <v>0</v>
      </c>
      <c r="AR22" s="4">
        <f t="shared" si="44"/>
        <v>0</v>
      </c>
      <c r="AS22" s="4">
        <f t="shared" si="44"/>
        <v>0</v>
      </c>
      <c r="AT22" s="4">
        <f t="shared" si="44"/>
        <v>0</v>
      </c>
      <c r="AU22" s="4">
        <f t="shared" si="44"/>
        <v>0</v>
      </c>
      <c r="AV22" s="4">
        <f t="shared" si="44"/>
        <v>0</v>
      </c>
      <c r="AW22" s="4">
        <f t="shared" si="44"/>
        <v>0</v>
      </c>
      <c r="AX22" s="4">
        <f t="shared" si="44"/>
        <v>0</v>
      </c>
      <c r="AY22" s="4">
        <f t="shared" si="44"/>
        <v>0</v>
      </c>
      <c r="AZ22" s="4">
        <f t="shared" si="44"/>
        <v>0</v>
      </c>
      <c r="BA22" s="4">
        <f t="shared" si="44"/>
        <v>0</v>
      </c>
      <c r="BB22" s="4">
        <f t="shared" si="44"/>
        <v>0</v>
      </c>
      <c r="BC22" s="4">
        <f t="shared" si="44"/>
        <v>0</v>
      </c>
      <c r="BD22" s="4">
        <f t="shared" si="44"/>
        <v>0</v>
      </c>
      <c r="BE22" s="4">
        <f t="shared" si="44"/>
        <v>0</v>
      </c>
      <c r="BF22" s="4">
        <f t="shared" si="44"/>
        <v>0</v>
      </c>
      <c r="BG22" s="4">
        <f t="shared" si="44"/>
        <v>0</v>
      </c>
      <c r="BH22" s="4">
        <f t="shared" si="45"/>
        <v>0</v>
      </c>
      <c r="BI22" s="4">
        <f t="shared" si="45"/>
        <v>0</v>
      </c>
      <c r="BJ22" s="4">
        <f t="shared" si="45"/>
        <v>0</v>
      </c>
      <c r="BK22" s="4">
        <f t="shared" si="45"/>
        <v>0</v>
      </c>
      <c r="BL22" s="4">
        <f t="shared" si="45"/>
        <v>0</v>
      </c>
      <c r="BM22" s="4">
        <f t="shared" si="45"/>
        <v>0</v>
      </c>
      <c r="BN22" s="4">
        <f t="shared" si="45"/>
        <v>0</v>
      </c>
    </row>
    <row r="23" spans="1:66" x14ac:dyDescent="0.2">
      <c r="A23" t="s">
        <v>37</v>
      </c>
      <c r="B23" t="s">
        <v>25</v>
      </c>
      <c r="D23">
        <f>H16/A31</f>
        <v>0</v>
      </c>
      <c r="G23" t="s">
        <v>77</v>
      </c>
      <c r="K23" t="s">
        <v>8</v>
      </c>
      <c r="Z23">
        <f t="shared" si="35"/>
        <v>0</v>
      </c>
      <c r="AA23">
        <f t="shared" si="36"/>
        <v>0</v>
      </c>
      <c r="AE23">
        <f t="shared" si="37"/>
        <v>0</v>
      </c>
      <c r="AF23">
        <f t="shared" si="38"/>
        <v>0</v>
      </c>
      <c r="AG23">
        <f t="shared" si="39"/>
        <v>0</v>
      </c>
      <c r="AK23">
        <f t="shared" si="40"/>
        <v>0</v>
      </c>
      <c r="AL23">
        <f t="shared" si="41"/>
        <v>0</v>
      </c>
      <c r="AM23">
        <f t="shared" si="42"/>
        <v>0</v>
      </c>
      <c r="AN23">
        <f t="shared" si="43"/>
        <v>0</v>
      </c>
      <c r="AP23">
        <f t="shared" si="46"/>
        <v>0</v>
      </c>
      <c r="AQ23" s="4">
        <f t="shared" si="47"/>
        <v>0</v>
      </c>
      <c r="AR23" s="4">
        <f t="shared" si="44"/>
        <v>0</v>
      </c>
      <c r="AS23" s="4">
        <f t="shared" si="44"/>
        <v>0</v>
      </c>
      <c r="AT23" s="4">
        <f t="shared" si="44"/>
        <v>0</v>
      </c>
      <c r="AU23" s="4">
        <f t="shared" si="44"/>
        <v>0</v>
      </c>
      <c r="AV23" s="4">
        <f t="shared" si="44"/>
        <v>0</v>
      </c>
      <c r="AW23" s="4">
        <f t="shared" si="44"/>
        <v>0</v>
      </c>
      <c r="AX23" s="4">
        <f t="shared" si="44"/>
        <v>0</v>
      </c>
      <c r="AY23" s="4">
        <f t="shared" si="44"/>
        <v>0</v>
      </c>
      <c r="AZ23" s="4">
        <f t="shared" si="44"/>
        <v>0</v>
      </c>
      <c r="BA23" s="4">
        <f t="shared" si="44"/>
        <v>0</v>
      </c>
      <c r="BB23" s="4">
        <f t="shared" si="44"/>
        <v>0</v>
      </c>
      <c r="BC23" s="4">
        <f t="shared" si="44"/>
        <v>0</v>
      </c>
      <c r="BD23" s="4">
        <f t="shared" si="44"/>
        <v>0</v>
      </c>
      <c r="BE23" s="4">
        <f t="shared" si="44"/>
        <v>0</v>
      </c>
      <c r="BF23" s="4">
        <f t="shared" si="44"/>
        <v>0</v>
      </c>
      <c r="BG23" s="4">
        <f t="shared" si="44"/>
        <v>0</v>
      </c>
      <c r="BH23" s="4">
        <f t="shared" si="45"/>
        <v>0</v>
      </c>
      <c r="BI23" s="4">
        <f t="shared" si="45"/>
        <v>0</v>
      </c>
      <c r="BJ23" s="4">
        <f t="shared" si="45"/>
        <v>0</v>
      </c>
      <c r="BK23" s="4">
        <f t="shared" si="45"/>
        <v>0</v>
      </c>
      <c r="BL23" s="4">
        <f t="shared" si="45"/>
        <v>0</v>
      </c>
      <c r="BM23" s="4">
        <f t="shared" si="45"/>
        <v>0</v>
      </c>
      <c r="BN23" s="4">
        <f t="shared" si="45"/>
        <v>0</v>
      </c>
    </row>
    <row r="24" spans="1:66" x14ac:dyDescent="0.2">
      <c r="A24" t="s">
        <v>38</v>
      </c>
      <c r="B24" t="s">
        <v>26</v>
      </c>
      <c r="D24" t="s">
        <v>50</v>
      </c>
      <c r="G24">
        <f>AM28/AP28</f>
        <v>0</v>
      </c>
      <c r="K24" t="s">
        <v>57</v>
      </c>
      <c r="L24" t="s">
        <v>61</v>
      </c>
      <c r="M24" t="s">
        <v>59</v>
      </c>
      <c r="N24" t="s">
        <v>60</v>
      </c>
      <c r="Z24">
        <f t="shared" si="35"/>
        <v>0</v>
      </c>
      <c r="AA24">
        <f t="shared" si="36"/>
        <v>0</v>
      </c>
      <c r="AE24">
        <f t="shared" si="37"/>
        <v>0</v>
      </c>
      <c r="AF24">
        <f t="shared" si="38"/>
        <v>0</v>
      </c>
      <c r="AG24">
        <f t="shared" si="39"/>
        <v>0</v>
      </c>
      <c r="AK24">
        <f t="shared" si="40"/>
        <v>0</v>
      </c>
      <c r="AL24">
        <f t="shared" si="41"/>
        <v>0</v>
      </c>
      <c r="AM24">
        <f t="shared" si="42"/>
        <v>0</v>
      </c>
      <c r="AN24">
        <f t="shared" si="43"/>
        <v>0</v>
      </c>
      <c r="AP24">
        <f t="shared" si="46"/>
        <v>0</v>
      </c>
      <c r="AQ24" s="4">
        <f t="shared" si="47"/>
        <v>0</v>
      </c>
      <c r="AR24" s="4">
        <f t="shared" si="44"/>
        <v>0</v>
      </c>
      <c r="AS24" s="4">
        <f t="shared" si="44"/>
        <v>0</v>
      </c>
      <c r="AT24" s="4">
        <f t="shared" si="44"/>
        <v>0</v>
      </c>
      <c r="AU24" s="4">
        <f t="shared" si="44"/>
        <v>0</v>
      </c>
      <c r="AV24" s="4">
        <f t="shared" si="44"/>
        <v>0</v>
      </c>
      <c r="AW24" s="4">
        <f t="shared" si="44"/>
        <v>0</v>
      </c>
      <c r="AX24" s="4">
        <f t="shared" si="44"/>
        <v>0</v>
      </c>
      <c r="AY24" s="4">
        <f t="shared" si="44"/>
        <v>0</v>
      </c>
      <c r="AZ24" s="4">
        <f t="shared" si="44"/>
        <v>0</v>
      </c>
      <c r="BA24" s="4">
        <f t="shared" si="44"/>
        <v>0</v>
      </c>
      <c r="BB24" s="4">
        <f t="shared" si="44"/>
        <v>0</v>
      </c>
      <c r="BC24" s="4">
        <f t="shared" si="44"/>
        <v>0</v>
      </c>
      <c r="BD24" s="4">
        <f t="shared" si="44"/>
        <v>0</v>
      </c>
      <c r="BE24" s="4">
        <f t="shared" si="44"/>
        <v>0</v>
      </c>
      <c r="BF24" s="4">
        <f t="shared" si="44"/>
        <v>0</v>
      </c>
      <c r="BG24" s="4">
        <f t="shared" si="44"/>
        <v>0</v>
      </c>
      <c r="BH24" s="4">
        <f t="shared" si="45"/>
        <v>0</v>
      </c>
      <c r="BI24" s="4">
        <f t="shared" si="45"/>
        <v>0</v>
      </c>
      <c r="BJ24" s="4">
        <f t="shared" si="45"/>
        <v>0</v>
      </c>
      <c r="BK24" s="4">
        <f t="shared" si="45"/>
        <v>0</v>
      </c>
      <c r="BL24" s="4">
        <f t="shared" si="45"/>
        <v>0</v>
      </c>
      <c r="BM24" s="4">
        <f t="shared" si="45"/>
        <v>0</v>
      </c>
      <c r="BN24" s="4">
        <f t="shared" si="45"/>
        <v>0</v>
      </c>
    </row>
    <row r="25" spans="1:66" x14ac:dyDescent="0.2">
      <c r="A25" t="s">
        <v>39</v>
      </c>
      <c r="B25" t="s">
        <v>27</v>
      </c>
      <c r="D25">
        <f>Z28/A31</f>
        <v>0</v>
      </c>
      <c r="G25" t="s">
        <v>78</v>
      </c>
      <c r="K25">
        <f>AVERAGE(E39:E50)</f>
        <v>0</v>
      </c>
      <c r="L25">
        <f>MEDIAN(E39:E50)</f>
        <v>0</v>
      </c>
      <c r="M25">
        <f>MAX(E39:E50)</f>
        <v>0</v>
      </c>
      <c r="N25">
        <f>_xlfn.STDEV.S(E39:E50)</f>
        <v>0</v>
      </c>
      <c r="Z25">
        <f t="shared" si="35"/>
        <v>0</v>
      </c>
      <c r="AA25">
        <f t="shared" si="36"/>
        <v>0</v>
      </c>
      <c r="AE25">
        <f t="shared" si="37"/>
        <v>0</v>
      </c>
      <c r="AF25">
        <f t="shared" si="38"/>
        <v>0</v>
      </c>
      <c r="AG25">
        <f t="shared" si="39"/>
        <v>0</v>
      </c>
      <c r="AK25">
        <f t="shared" si="40"/>
        <v>0</v>
      </c>
      <c r="AL25">
        <f t="shared" si="41"/>
        <v>0</v>
      </c>
      <c r="AM25">
        <f t="shared" si="42"/>
        <v>0</v>
      </c>
      <c r="AN25">
        <f t="shared" si="43"/>
        <v>0</v>
      </c>
      <c r="AP25">
        <f t="shared" si="46"/>
        <v>0</v>
      </c>
      <c r="AQ25" s="4">
        <f t="shared" si="47"/>
        <v>0</v>
      </c>
      <c r="AR25" s="4">
        <f t="shared" si="44"/>
        <v>0</v>
      </c>
      <c r="AS25" s="4">
        <f t="shared" si="44"/>
        <v>0</v>
      </c>
      <c r="AT25" s="4">
        <f t="shared" si="44"/>
        <v>0</v>
      </c>
      <c r="AU25" s="4">
        <f t="shared" si="44"/>
        <v>0</v>
      </c>
      <c r="AV25" s="4">
        <f t="shared" si="44"/>
        <v>0</v>
      </c>
      <c r="AW25" s="4">
        <f t="shared" si="44"/>
        <v>0</v>
      </c>
      <c r="AX25" s="4">
        <f t="shared" si="44"/>
        <v>0</v>
      </c>
      <c r="AY25" s="4">
        <f t="shared" si="44"/>
        <v>0</v>
      </c>
      <c r="AZ25" s="4">
        <f t="shared" si="44"/>
        <v>0</v>
      </c>
      <c r="BA25" s="4">
        <f t="shared" si="44"/>
        <v>0</v>
      </c>
      <c r="BB25" s="4">
        <f t="shared" si="44"/>
        <v>0</v>
      </c>
      <c r="BC25" s="4">
        <f t="shared" si="44"/>
        <v>0</v>
      </c>
      <c r="BD25" s="4">
        <f t="shared" si="44"/>
        <v>0</v>
      </c>
      <c r="BE25" s="4">
        <f t="shared" si="44"/>
        <v>0</v>
      </c>
      <c r="BF25" s="4">
        <f t="shared" si="44"/>
        <v>0</v>
      </c>
      <c r="BG25" s="4">
        <f t="shared" si="44"/>
        <v>0</v>
      </c>
      <c r="BH25" s="4">
        <f t="shared" si="45"/>
        <v>0</v>
      </c>
      <c r="BI25" s="4">
        <f t="shared" si="45"/>
        <v>0</v>
      </c>
      <c r="BJ25" s="4">
        <f t="shared" si="45"/>
        <v>0</v>
      </c>
      <c r="BK25" s="4">
        <f t="shared" si="45"/>
        <v>0</v>
      </c>
      <c r="BL25" s="4">
        <f t="shared" si="45"/>
        <v>0</v>
      </c>
      <c r="BM25" s="4">
        <f t="shared" si="45"/>
        <v>0</v>
      </c>
      <c r="BN25" s="4">
        <f t="shared" si="45"/>
        <v>0</v>
      </c>
    </row>
    <row r="26" spans="1:66" x14ac:dyDescent="0.2">
      <c r="A26" t="s">
        <v>44</v>
      </c>
      <c r="D26" t="s">
        <v>51</v>
      </c>
      <c r="G26">
        <f>AN28/AP28</f>
        <v>0</v>
      </c>
      <c r="K26" t="s">
        <v>62</v>
      </c>
      <c r="P26" t="s">
        <v>19</v>
      </c>
      <c r="Z26">
        <f t="shared" si="35"/>
        <v>0</v>
      </c>
      <c r="AA26">
        <f t="shared" si="36"/>
        <v>0</v>
      </c>
      <c r="AE26">
        <f t="shared" si="37"/>
        <v>0</v>
      </c>
      <c r="AF26">
        <f t="shared" si="38"/>
        <v>0</v>
      </c>
      <c r="AG26">
        <f t="shared" si="39"/>
        <v>0</v>
      </c>
      <c r="AK26">
        <f t="shared" si="40"/>
        <v>0</v>
      </c>
      <c r="AL26">
        <f t="shared" si="41"/>
        <v>0</v>
      </c>
      <c r="AM26">
        <f t="shared" si="42"/>
        <v>0</v>
      </c>
      <c r="AN26">
        <f t="shared" si="43"/>
        <v>0</v>
      </c>
      <c r="AP26">
        <f t="shared" si="46"/>
        <v>0</v>
      </c>
      <c r="AQ26" s="4">
        <f t="shared" si="47"/>
        <v>0</v>
      </c>
      <c r="AR26" s="4">
        <f t="shared" si="44"/>
        <v>0</v>
      </c>
      <c r="AS26" s="4">
        <f t="shared" si="44"/>
        <v>0</v>
      </c>
      <c r="AT26" s="4">
        <f t="shared" si="44"/>
        <v>0</v>
      </c>
      <c r="AU26" s="4">
        <f t="shared" si="44"/>
        <v>0</v>
      </c>
      <c r="AV26" s="4">
        <f t="shared" si="44"/>
        <v>0</v>
      </c>
      <c r="AW26" s="4">
        <f t="shared" si="44"/>
        <v>0</v>
      </c>
      <c r="AX26" s="4">
        <f t="shared" si="44"/>
        <v>0</v>
      </c>
      <c r="AY26" s="4">
        <f t="shared" si="44"/>
        <v>0</v>
      </c>
      <c r="AZ26" s="4">
        <f t="shared" si="44"/>
        <v>0</v>
      </c>
      <c r="BA26" s="4">
        <f t="shared" si="44"/>
        <v>0</v>
      </c>
      <c r="BB26" s="4">
        <f t="shared" si="44"/>
        <v>0</v>
      </c>
      <c r="BC26" s="4">
        <f t="shared" si="44"/>
        <v>0</v>
      </c>
      <c r="BD26" s="4">
        <f t="shared" si="44"/>
        <v>0</v>
      </c>
      <c r="BE26" s="4">
        <f t="shared" si="44"/>
        <v>0</v>
      </c>
      <c r="BF26" s="4">
        <f t="shared" si="44"/>
        <v>0</v>
      </c>
      <c r="BG26" s="4">
        <f t="shared" si="44"/>
        <v>0</v>
      </c>
      <c r="BH26" s="4">
        <f t="shared" si="45"/>
        <v>0</v>
      </c>
      <c r="BI26" s="4">
        <f t="shared" si="45"/>
        <v>0</v>
      </c>
      <c r="BJ26" s="4">
        <f t="shared" si="45"/>
        <v>0</v>
      </c>
      <c r="BK26" s="4">
        <f t="shared" si="45"/>
        <v>0</v>
      </c>
      <c r="BL26" s="4">
        <f t="shared" si="45"/>
        <v>0</v>
      </c>
      <c r="BM26" s="4">
        <f t="shared" si="45"/>
        <v>0</v>
      </c>
      <c r="BN26" s="4">
        <f t="shared" si="45"/>
        <v>0</v>
      </c>
    </row>
    <row r="27" spans="1:66" x14ac:dyDescent="0.2">
      <c r="A27" t="s">
        <v>45</v>
      </c>
      <c r="D27">
        <f>AA28/A31</f>
        <v>0</v>
      </c>
      <c r="G27" t="s">
        <v>56</v>
      </c>
      <c r="K27" t="s">
        <v>57</v>
      </c>
      <c r="L27" t="s">
        <v>58</v>
      </c>
      <c r="M27" t="s">
        <v>59</v>
      </c>
      <c r="N27" t="s">
        <v>60</v>
      </c>
      <c r="P27" t="s">
        <v>57</v>
      </c>
      <c r="Q27" t="s">
        <v>58</v>
      </c>
      <c r="R27" t="s">
        <v>59</v>
      </c>
      <c r="S27" t="s">
        <v>60</v>
      </c>
      <c r="Z27">
        <f t="shared" si="35"/>
        <v>0</v>
      </c>
      <c r="AA27">
        <f t="shared" si="36"/>
        <v>0</v>
      </c>
      <c r="AE27">
        <f t="shared" si="37"/>
        <v>0</v>
      </c>
      <c r="AF27">
        <f t="shared" si="38"/>
        <v>0</v>
      </c>
      <c r="AG27">
        <f t="shared" si="39"/>
        <v>0</v>
      </c>
      <c r="AK27">
        <f t="shared" si="40"/>
        <v>0</v>
      </c>
      <c r="AL27">
        <f t="shared" si="41"/>
        <v>0</v>
      </c>
      <c r="AM27">
        <f t="shared" si="42"/>
        <v>0</v>
      </c>
      <c r="AN27">
        <f t="shared" si="43"/>
        <v>0</v>
      </c>
      <c r="AP27">
        <f t="shared" si="46"/>
        <v>0</v>
      </c>
      <c r="AQ27" s="4">
        <f t="shared" si="47"/>
        <v>0</v>
      </c>
      <c r="AR27" s="4">
        <f t="shared" si="44"/>
        <v>0</v>
      </c>
      <c r="AS27" s="4">
        <f t="shared" si="44"/>
        <v>0</v>
      </c>
      <c r="AT27" s="4">
        <f t="shared" si="44"/>
        <v>0</v>
      </c>
      <c r="AU27" s="4">
        <f t="shared" si="44"/>
        <v>0</v>
      </c>
      <c r="AV27" s="4">
        <f t="shared" si="44"/>
        <v>0</v>
      </c>
      <c r="AW27" s="4">
        <f t="shared" si="44"/>
        <v>0</v>
      </c>
      <c r="AX27" s="4">
        <f t="shared" si="44"/>
        <v>0</v>
      </c>
      <c r="AY27" s="4">
        <f t="shared" si="44"/>
        <v>0</v>
      </c>
      <c r="AZ27" s="4">
        <f t="shared" si="44"/>
        <v>0</v>
      </c>
      <c r="BA27" s="4">
        <f t="shared" si="44"/>
        <v>0</v>
      </c>
      <c r="BB27" s="4">
        <f t="shared" si="44"/>
        <v>0</v>
      </c>
      <c r="BC27" s="4">
        <f t="shared" si="44"/>
        <v>0</v>
      </c>
      <c r="BD27" s="4">
        <f t="shared" si="44"/>
        <v>0</v>
      </c>
      <c r="BE27" s="4">
        <f t="shared" si="44"/>
        <v>0</v>
      </c>
      <c r="BF27" s="4">
        <f t="shared" si="44"/>
        <v>0</v>
      </c>
      <c r="BG27" s="4">
        <f t="shared" si="44"/>
        <v>0</v>
      </c>
      <c r="BH27" s="4">
        <f t="shared" si="45"/>
        <v>0</v>
      </c>
      <c r="BI27" s="4">
        <f t="shared" si="45"/>
        <v>0</v>
      </c>
      <c r="BJ27" s="4">
        <f t="shared" si="45"/>
        <v>0</v>
      </c>
      <c r="BK27" s="4">
        <f t="shared" si="45"/>
        <v>0</v>
      </c>
      <c r="BL27" s="4">
        <f t="shared" si="45"/>
        <v>0</v>
      </c>
      <c r="BM27" s="4">
        <f t="shared" si="45"/>
        <v>0</v>
      </c>
      <c r="BN27" s="4">
        <f t="shared" si="45"/>
        <v>0</v>
      </c>
    </row>
    <row r="28" spans="1:66" x14ac:dyDescent="0.2">
      <c r="A28" t="s">
        <v>46</v>
      </c>
      <c r="D28" t="s">
        <v>202</v>
      </c>
      <c r="G28" t="s">
        <v>57</v>
      </c>
      <c r="H28" t="s">
        <v>58</v>
      </c>
      <c r="I28" t="s">
        <v>59</v>
      </c>
      <c r="J28" t="s">
        <v>60</v>
      </c>
      <c r="K28">
        <f>AVERAGE(G39:G50)</f>
        <v>0</v>
      </c>
      <c r="L28">
        <f>MEDIAN(G39:G50)</f>
        <v>0</v>
      </c>
      <c r="M28">
        <f>MAX(G39:G50)</f>
        <v>0</v>
      </c>
      <c r="N28">
        <f>_xlfn.STDEV.S(G39:G50)</f>
        <v>0</v>
      </c>
      <c r="P28">
        <f>AVERAGE(N39:N50)</f>
        <v>2</v>
      </c>
      <c r="Q28">
        <f>MEDIAN(N39:N50)</f>
        <v>0</v>
      </c>
      <c r="R28">
        <f>MAX(N39:N50)</f>
        <v>9</v>
      </c>
      <c r="S28">
        <f>_xlfn.STDEV.S(N39:N50)</f>
        <v>3.2192602199319587</v>
      </c>
      <c r="Y28" t="s">
        <v>33</v>
      </c>
      <c r="Z28">
        <f>SUM(Z16:Z27)</f>
        <v>0</v>
      </c>
      <c r="AA28">
        <f>SUM(AA16:AA27)</f>
        <v>0</v>
      </c>
      <c r="AE28">
        <f>SUM(AE16:AE27)</f>
        <v>0</v>
      </c>
      <c r="AF28">
        <f>SUM(AF16:AF27)</f>
        <v>2</v>
      </c>
      <c r="AG28">
        <f>SUM(AG16:AG27)</f>
        <v>0</v>
      </c>
      <c r="AK28">
        <f>SUM(AK16:AK27)</f>
        <v>0</v>
      </c>
      <c r="AL28">
        <f>SUM(AL16:AL27)</f>
        <v>1</v>
      </c>
      <c r="AM28">
        <f>SUM(AM16:AM27)</f>
        <v>0</v>
      </c>
      <c r="AN28">
        <f>SUM(AN16:AN27)</f>
        <v>0</v>
      </c>
      <c r="AP28">
        <f>SUM(AP16:AP27)</f>
        <v>1</v>
      </c>
    </row>
    <row r="29" spans="1:66" x14ac:dyDescent="0.2">
      <c r="D29">
        <f>SUM(O39:O50)/F16</f>
        <v>0.83333333333333337</v>
      </c>
      <c r="G29">
        <f>AVERAGE(A39:A50)</f>
        <v>0.16666666666666666</v>
      </c>
      <c r="H29">
        <f>MEDIAN(A39:A50)</f>
        <v>0</v>
      </c>
      <c r="I29">
        <f>MAX(A39:A50)</f>
        <v>1</v>
      </c>
      <c r="J29">
        <f>_xlfn.STDEV.S(A39:A50)</f>
        <v>0.38924947208076149</v>
      </c>
      <c r="K29" t="s">
        <v>63</v>
      </c>
      <c r="P29" t="s">
        <v>148</v>
      </c>
    </row>
    <row r="30" spans="1:66" x14ac:dyDescent="0.2">
      <c r="A30" t="s">
        <v>147</v>
      </c>
      <c r="D30" t="s">
        <v>203</v>
      </c>
      <c r="G30" t="s">
        <v>50</v>
      </c>
      <c r="H30" t="s">
        <v>51</v>
      </c>
      <c r="I30" t="s">
        <v>89</v>
      </c>
      <c r="K30" t="s">
        <v>57</v>
      </c>
      <c r="L30" t="s">
        <v>58</v>
      </c>
      <c r="M30" t="s">
        <v>59</v>
      </c>
      <c r="N30" t="s">
        <v>60</v>
      </c>
      <c r="P30" t="s">
        <v>57</v>
      </c>
      <c r="Q30" t="s">
        <v>58</v>
      </c>
      <c r="R30" t="s">
        <v>59</v>
      </c>
      <c r="S30" t="s">
        <v>60</v>
      </c>
      <c r="W30" t="s">
        <v>148</v>
      </c>
      <c r="Y30" t="s">
        <v>149</v>
      </c>
      <c r="AH30" t="s">
        <v>79</v>
      </c>
    </row>
    <row r="31" spans="1:66" x14ac:dyDescent="0.2">
      <c r="A31">
        <f>COUNT(B4:B15)</f>
        <v>12</v>
      </c>
      <c r="D31" s="2">
        <f>SUM(S39:S50)/SUM(Q39:Q50)</f>
        <v>0.2</v>
      </c>
      <c r="G31">
        <f>AE28/A31</f>
        <v>0</v>
      </c>
      <c r="H31">
        <f>AF28/A31</f>
        <v>0.16666666666666666</v>
      </c>
      <c r="I31">
        <f>AG28/A31</f>
        <v>0</v>
      </c>
      <c r="K31" t="e">
        <f>AVERAGE(I39:I50)</f>
        <v>#DIV/0!</v>
      </c>
      <c r="L31" t="e">
        <f>MEDIAN(I39:I50)</f>
        <v>#NUM!</v>
      </c>
      <c r="M31">
        <f>MAX(I39:I50)</f>
        <v>0</v>
      </c>
      <c r="N31" t="e">
        <f>_xlfn.STDEV.S(I39:I50)</f>
        <v>#DIV/0!</v>
      </c>
      <c r="P31" t="e">
        <f>AVERAGE(W31:W42)</f>
        <v>#DIV/0!</v>
      </c>
      <c r="Q31" t="e">
        <f>MEDIAN(W31:W42)</f>
        <v>#NUM!</v>
      </c>
      <c r="R31">
        <f>MAX(W31:W42)</f>
        <v>0</v>
      </c>
      <c r="S31" t="e">
        <f>_xlfn.STDEV.S(W31:W42)</f>
        <v>#DIV/0!</v>
      </c>
      <c r="W31" t="str">
        <f t="shared" ref="W31:W33" si="48">IF(AND(ISBLANK(Q4), ISBLANK(R4), ISBLANK(G4), ISBLANK(H4)), "", U4)</f>
        <v/>
      </c>
      <c r="Y31" t="str">
        <f t="shared" ref="Y31:Y42" si="49">IF(ISBLANK(Y4), IF(X4 = 0, "", (G4 + H4/3 + V4/9 + W4/3)), U4)</f>
        <v/>
      </c>
      <c r="AH31" t="s">
        <v>80</v>
      </c>
    </row>
    <row r="32" spans="1:66" x14ac:dyDescent="0.2">
      <c r="D32" s="3"/>
      <c r="K32" t="s">
        <v>64</v>
      </c>
      <c r="P32" t="s">
        <v>149</v>
      </c>
      <c r="W32" t="str">
        <f t="shared" si="48"/>
        <v/>
      </c>
      <c r="Y32" t="str">
        <f t="shared" si="49"/>
        <v/>
      </c>
      <c r="AH32" t="s">
        <v>81</v>
      </c>
    </row>
    <row r="33" spans="1:34" x14ac:dyDescent="0.2">
      <c r="A33" t="s">
        <v>217</v>
      </c>
      <c r="D33" s="3"/>
      <c r="K33" t="s">
        <v>57</v>
      </c>
      <c r="L33" t="s">
        <v>58</v>
      </c>
      <c r="M33" t="s">
        <v>59</v>
      </c>
      <c r="N33" t="s">
        <v>60</v>
      </c>
      <c r="P33" t="s">
        <v>57</v>
      </c>
      <c r="Q33" t="s">
        <v>58</v>
      </c>
      <c r="R33" t="s">
        <v>59</v>
      </c>
      <c r="S33" t="s">
        <v>60</v>
      </c>
      <c r="W33" t="str">
        <f t="shared" si="48"/>
        <v/>
      </c>
      <c r="Y33" t="str">
        <f t="shared" si="49"/>
        <v/>
      </c>
      <c r="AH33" t="s">
        <v>82</v>
      </c>
    </row>
    <row r="34" spans="1:34" x14ac:dyDescent="0.2">
      <c r="D34" s="3"/>
      <c r="K34">
        <f>AVERAGE(K39:K50)</f>
        <v>0</v>
      </c>
      <c r="L34">
        <f>MEDIAN(K39:K50)</f>
        <v>0</v>
      </c>
      <c r="M34">
        <f>MAX(K39:K50)</f>
        <v>0</v>
      </c>
      <c r="N34">
        <f>_xlfn.STDEV.S(K39:K50)</f>
        <v>0</v>
      </c>
      <c r="P34" t="e">
        <f>AVERAGE(Y31:Y42)</f>
        <v>#DIV/0!</v>
      </c>
      <c r="Q34" t="e">
        <f>MEDIAN(Y31:Y42)</f>
        <v>#NUM!</v>
      </c>
      <c r="R34">
        <f>MAX(Y31:Y42)</f>
        <v>0</v>
      </c>
      <c r="S34" t="e">
        <f>_xlfn.STDEV.S(Y31:Y42)</f>
        <v>#DIV/0!</v>
      </c>
      <c r="W34" t="str">
        <f>IF(AND(ISBLANK(Q7), ISBLANK(R7), ISBLANK(G7), ISBLANK(H7)), "", U7)</f>
        <v/>
      </c>
      <c r="Y34" t="str">
        <f t="shared" si="49"/>
        <v/>
      </c>
      <c r="AH34" t="s">
        <v>83</v>
      </c>
    </row>
    <row r="35" spans="1:34" x14ac:dyDescent="0.2">
      <c r="P35" t="s">
        <v>95</v>
      </c>
      <c r="R35" t="s">
        <v>197</v>
      </c>
      <c r="W35" t="str">
        <f t="shared" ref="W35:W42" si="50">IF(AND(ISBLANK(Q8), ISBLANK(R8), ISBLANK(G8), ISBLANK(H8)), "", U8)</f>
        <v/>
      </c>
      <c r="Y35" t="str">
        <f t="shared" si="49"/>
        <v/>
      </c>
    </row>
    <row r="36" spans="1:34" x14ac:dyDescent="0.2">
      <c r="P36" t="e">
        <f>Q16/(Q16+R16)</f>
        <v>#DIV/0!</v>
      </c>
      <c r="R36" t="e">
        <f>R16/(Q16+R16)</f>
        <v>#DIV/0!</v>
      </c>
      <c r="W36" t="str">
        <f t="shared" si="50"/>
        <v/>
      </c>
      <c r="Y36" t="str">
        <f t="shared" si="49"/>
        <v/>
      </c>
    </row>
    <row r="37" spans="1:34" x14ac:dyDescent="0.2">
      <c r="W37" t="str">
        <f t="shared" si="50"/>
        <v/>
      </c>
      <c r="Y37" t="str">
        <f t="shared" si="49"/>
        <v/>
      </c>
    </row>
    <row r="38" spans="1:34" x14ac:dyDescent="0.2">
      <c r="A38" t="s">
        <v>68</v>
      </c>
      <c r="C38" t="s">
        <v>69</v>
      </c>
      <c r="E38" t="s">
        <v>72</v>
      </c>
      <c r="G38" t="s">
        <v>250</v>
      </c>
      <c r="K38" t="s">
        <v>73</v>
      </c>
      <c r="M38" t="s">
        <v>70</v>
      </c>
      <c r="N38" t="s">
        <v>71</v>
      </c>
      <c r="O38" t="s">
        <v>199</v>
      </c>
      <c r="Q38" t="s">
        <v>200</v>
      </c>
      <c r="S38" t="s">
        <v>201</v>
      </c>
      <c r="W38" t="str">
        <f t="shared" si="50"/>
        <v/>
      </c>
      <c r="Y38" t="str">
        <f t="shared" si="49"/>
        <v/>
      </c>
    </row>
    <row r="39" spans="1:34" x14ac:dyDescent="0.2">
      <c r="A39">
        <f t="shared" ref="A39:A50" si="51">IF(ISBLANK(B4), "", SUM(AE16+AF16+AG16))</f>
        <v>1</v>
      </c>
      <c r="C39">
        <f t="shared" ref="C39:C50" si="52">IF(ISBLANK(B4), "", O4)</f>
        <v>4</v>
      </c>
      <c r="E39">
        <f t="shared" ref="E39:E50" si="53">IF(ISBLANK(B4), "", Q4)</f>
        <v>0</v>
      </c>
      <c r="G39">
        <f t="shared" ref="G39:G50" si="54">IF(ISBLANK(B4), "", R4)</f>
        <v>0</v>
      </c>
      <c r="K39">
        <f t="shared" ref="K39:K50" si="55">IF(ISBLANK(B4), "", SUM(Q4 + R4))</f>
        <v>0</v>
      </c>
      <c r="M39">
        <f t="shared" ref="M39:M50" si="56">IF(ISBLANK(B4), "", SUM(K4+M4) - O4)</f>
        <v>-1</v>
      </c>
      <c r="N39">
        <f t="shared" ref="N39:N50" si="57">IF(ISBLANK(B4), "", U4)</f>
        <v>0</v>
      </c>
      <c r="O39">
        <f t="shared" ref="O39:O50" si="58">COUNTIF(E4, "1")*COUNTIF(F4, "1")</f>
        <v>0</v>
      </c>
      <c r="Q39">
        <f t="shared" ref="Q39:Q50" si="59">COUNTIF(D4, "1")*COUNTIF(F4, "")</f>
        <v>1</v>
      </c>
      <c r="S39">
        <f t="shared" ref="S39:S50" si="60">COUNTIF(E4, "1")*COUNTIF(F4, "")</f>
        <v>0</v>
      </c>
      <c r="W39" t="str">
        <f t="shared" si="50"/>
        <v/>
      </c>
      <c r="Y39" t="str">
        <f t="shared" si="49"/>
        <v/>
      </c>
    </row>
    <row r="40" spans="1:34" x14ac:dyDescent="0.2">
      <c r="A40">
        <f t="shared" si="51"/>
        <v>0</v>
      </c>
      <c r="C40">
        <f t="shared" si="52"/>
        <v>3</v>
      </c>
      <c r="E40">
        <f t="shared" si="53"/>
        <v>0</v>
      </c>
      <c r="G40">
        <f t="shared" si="54"/>
        <v>0</v>
      </c>
      <c r="K40">
        <f t="shared" si="55"/>
        <v>0</v>
      </c>
      <c r="M40">
        <f t="shared" si="56"/>
        <v>2</v>
      </c>
      <c r="N40">
        <f t="shared" si="57"/>
        <v>6</v>
      </c>
      <c r="O40">
        <f t="shared" si="58"/>
        <v>0</v>
      </c>
      <c r="Q40">
        <f t="shared" si="59"/>
        <v>1</v>
      </c>
      <c r="S40">
        <f t="shared" si="60"/>
        <v>0</v>
      </c>
      <c r="W40" t="str">
        <f t="shared" si="50"/>
        <v/>
      </c>
      <c r="Y40" t="str">
        <f t="shared" si="49"/>
        <v/>
      </c>
    </row>
    <row r="41" spans="1:34" x14ac:dyDescent="0.2">
      <c r="A41">
        <f t="shared" si="51"/>
        <v>0</v>
      </c>
      <c r="C41">
        <f t="shared" si="52"/>
        <v>3</v>
      </c>
      <c r="E41">
        <f t="shared" si="53"/>
        <v>0</v>
      </c>
      <c r="G41">
        <f t="shared" si="54"/>
        <v>0</v>
      </c>
      <c r="K41">
        <f t="shared" si="55"/>
        <v>0</v>
      </c>
      <c r="M41">
        <f t="shared" si="56"/>
        <v>-1</v>
      </c>
      <c r="N41">
        <f t="shared" si="57"/>
        <v>0</v>
      </c>
      <c r="O41">
        <f t="shared" si="58"/>
        <v>0</v>
      </c>
      <c r="Q41">
        <f t="shared" si="59"/>
        <v>0</v>
      </c>
      <c r="S41">
        <f t="shared" si="60"/>
        <v>0</v>
      </c>
      <c r="W41" t="str">
        <f t="shared" si="50"/>
        <v/>
      </c>
      <c r="Y41" t="str">
        <f t="shared" si="49"/>
        <v/>
      </c>
    </row>
    <row r="42" spans="1:34" x14ac:dyDescent="0.2">
      <c r="A42">
        <f t="shared" si="51"/>
        <v>0</v>
      </c>
      <c r="C42">
        <f t="shared" si="52"/>
        <v>5</v>
      </c>
      <c r="E42">
        <f t="shared" si="53"/>
        <v>0</v>
      </c>
      <c r="G42">
        <f t="shared" si="54"/>
        <v>0</v>
      </c>
      <c r="K42">
        <f t="shared" si="55"/>
        <v>0</v>
      </c>
      <c r="M42">
        <f t="shared" si="56"/>
        <v>-1</v>
      </c>
      <c r="N42">
        <f t="shared" si="57"/>
        <v>3</v>
      </c>
      <c r="O42">
        <f t="shared" si="58"/>
        <v>0</v>
      </c>
      <c r="Q42">
        <f t="shared" si="59"/>
        <v>0</v>
      </c>
      <c r="S42">
        <f t="shared" si="60"/>
        <v>0</v>
      </c>
      <c r="W42" t="str">
        <f t="shared" si="50"/>
        <v/>
      </c>
      <c r="Y42" t="str">
        <f t="shared" si="49"/>
        <v/>
      </c>
    </row>
    <row r="43" spans="1:34" x14ac:dyDescent="0.2">
      <c r="A43">
        <f t="shared" si="51"/>
        <v>0</v>
      </c>
      <c r="C43">
        <f t="shared" si="52"/>
        <v>5</v>
      </c>
      <c r="E43">
        <f t="shared" si="53"/>
        <v>0</v>
      </c>
      <c r="G43">
        <f t="shared" si="54"/>
        <v>0</v>
      </c>
      <c r="K43">
        <f t="shared" si="55"/>
        <v>0</v>
      </c>
      <c r="M43">
        <f t="shared" si="56"/>
        <v>-1</v>
      </c>
      <c r="N43">
        <f t="shared" si="57"/>
        <v>0</v>
      </c>
      <c r="O43">
        <f t="shared" si="58"/>
        <v>0</v>
      </c>
      <c r="Q43">
        <f t="shared" si="59"/>
        <v>1</v>
      </c>
      <c r="S43">
        <f t="shared" si="60"/>
        <v>0</v>
      </c>
    </row>
    <row r="44" spans="1:34" x14ac:dyDescent="0.2">
      <c r="A44">
        <f t="shared" si="51"/>
        <v>0</v>
      </c>
      <c r="C44">
        <f t="shared" si="52"/>
        <v>4</v>
      </c>
      <c r="E44">
        <f t="shared" si="53"/>
        <v>0</v>
      </c>
      <c r="G44">
        <f t="shared" si="54"/>
        <v>0</v>
      </c>
      <c r="K44">
        <f t="shared" si="55"/>
        <v>0</v>
      </c>
      <c r="M44">
        <f t="shared" si="56"/>
        <v>0</v>
      </c>
      <c r="N44">
        <f t="shared" si="57"/>
        <v>9</v>
      </c>
      <c r="O44">
        <f t="shared" si="58"/>
        <v>1</v>
      </c>
      <c r="Q44">
        <f t="shared" si="59"/>
        <v>0</v>
      </c>
      <c r="S44">
        <f t="shared" si="60"/>
        <v>0</v>
      </c>
    </row>
    <row r="45" spans="1:34" x14ac:dyDescent="0.2">
      <c r="A45">
        <f t="shared" si="51"/>
        <v>1</v>
      </c>
      <c r="C45">
        <f t="shared" si="52"/>
        <v>2</v>
      </c>
      <c r="E45">
        <f t="shared" si="53"/>
        <v>0</v>
      </c>
      <c r="G45">
        <f t="shared" si="54"/>
        <v>0</v>
      </c>
      <c r="K45">
        <f t="shared" si="55"/>
        <v>0</v>
      </c>
      <c r="M45">
        <f t="shared" si="56"/>
        <v>0</v>
      </c>
      <c r="N45">
        <f t="shared" si="57"/>
        <v>0</v>
      </c>
      <c r="O45">
        <f t="shared" si="58"/>
        <v>1</v>
      </c>
      <c r="Q45">
        <f t="shared" si="59"/>
        <v>0</v>
      </c>
      <c r="S45">
        <f t="shared" si="60"/>
        <v>0</v>
      </c>
    </row>
    <row r="46" spans="1:34" x14ac:dyDescent="0.2">
      <c r="A46">
        <f t="shared" si="51"/>
        <v>0</v>
      </c>
      <c r="C46">
        <f t="shared" si="52"/>
        <v>5</v>
      </c>
      <c r="E46">
        <f t="shared" si="53"/>
        <v>0</v>
      </c>
      <c r="G46">
        <f t="shared" si="54"/>
        <v>0</v>
      </c>
      <c r="K46">
        <f t="shared" si="55"/>
        <v>0</v>
      </c>
      <c r="M46">
        <f t="shared" si="56"/>
        <v>0</v>
      </c>
      <c r="N46">
        <f t="shared" si="57"/>
        <v>0</v>
      </c>
      <c r="O46">
        <f t="shared" si="58"/>
        <v>0</v>
      </c>
      <c r="Q46">
        <f t="shared" si="59"/>
        <v>1</v>
      </c>
      <c r="S46">
        <f t="shared" si="60"/>
        <v>0</v>
      </c>
    </row>
    <row r="47" spans="1:34" x14ac:dyDescent="0.2">
      <c r="A47">
        <f t="shared" si="51"/>
        <v>0</v>
      </c>
      <c r="C47">
        <f t="shared" si="52"/>
        <v>2</v>
      </c>
      <c r="E47">
        <f t="shared" si="53"/>
        <v>0</v>
      </c>
      <c r="G47">
        <f t="shared" si="54"/>
        <v>0</v>
      </c>
      <c r="K47">
        <f t="shared" si="55"/>
        <v>0</v>
      </c>
      <c r="M47">
        <f t="shared" si="56"/>
        <v>1</v>
      </c>
      <c r="N47">
        <f t="shared" si="57"/>
        <v>0</v>
      </c>
      <c r="O47">
        <f t="shared" si="58"/>
        <v>1</v>
      </c>
      <c r="Q47">
        <f t="shared" si="59"/>
        <v>0</v>
      </c>
      <c r="S47">
        <f t="shared" si="60"/>
        <v>0</v>
      </c>
    </row>
    <row r="48" spans="1:34" x14ac:dyDescent="0.2">
      <c r="A48">
        <f t="shared" si="51"/>
        <v>0</v>
      </c>
      <c r="C48">
        <f t="shared" si="52"/>
        <v>3</v>
      </c>
      <c r="E48">
        <f t="shared" si="53"/>
        <v>0</v>
      </c>
      <c r="G48">
        <f t="shared" si="54"/>
        <v>0</v>
      </c>
      <c r="K48">
        <f t="shared" si="55"/>
        <v>0</v>
      </c>
      <c r="M48">
        <f t="shared" si="56"/>
        <v>0</v>
      </c>
      <c r="N48">
        <f t="shared" si="57"/>
        <v>0</v>
      </c>
      <c r="O48">
        <f t="shared" si="58"/>
        <v>1</v>
      </c>
      <c r="Q48">
        <f t="shared" si="59"/>
        <v>0</v>
      </c>
      <c r="S48">
        <f t="shared" si="60"/>
        <v>0</v>
      </c>
    </row>
    <row r="49" spans="1:19" x14ac:dyDescent="0.2">
      <c r="A49">
        <f t="shared" si="51"/>
        <v>0</v>
      </c>
      <c r="C49">
        <f t="shared" si="52"/>
        <v>4</v>
      </c>
      <c r="E49">
        <f t="shared" si="53"/>
        <v>0</v>
      </c>
      <c r="G49">
        <f t="shared" si="54"/>
        <v>0</v>
      </c>
      <c r="K49">
        <f t="shared" si="55"/>
        <v>0</v>
      </c>
      <c r="M49">
        <f t="shared" si="56"/>
        <v>0</v>
      </c>
      <c r="N49">
        <f t="shared" si="57"/>
        <v>6</v>
      </c>
      <c r="O49">
        <f t="shared" si="58"/>
        <v>0</v>
      </c>
      <c r="Q49">
        <f t="shared" si="59"/>
        <v>1</v>
      </c>
      <c r="S49">
        <f t="shared" si="60"/>
        <v>1</v>
      </c>
    </row>
    <row r="50" spans="1:19" x14ac:dyDescent="0.2">
      <c r="A50">
        <f t="shared" si="51"/>
        <v>0</v>
      </c>
      <c r="C50">
        <f t="shared" si="52"/>
        <v>4</v>
      </c>
      <c r="E50">
        <f t="shared" si="53"/>
        <v>0</v>
      </c>
      <c r="G50">
        <f t="shared" si="54"/>
        <v>0</v>
      </c>
      <c r="K50">
        <f t="shared" si="55"/>
        <v>0</v>
      </c>
      <c r="M50">
        <f t="shared" si="56"/>
        <v>0</v>
      </c>
      <c r="N50">
        <f t="shared" si="57"/>
        <v>0</v>
      </c>
      <c r="O50">
        <f t="shared" si="58"/>
        <v>1</v>
      </c>
      <c r="Q50">
        <f t="shared" si="59"/>
        <v>0</v>
      </c>
      <c r="S50">
        <f t="shared" si="60"/>
        <v>0</v>
      </c>
    </row>
  </sheetData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 enableFormatConditionsCalculation="0"/>
  <dimension ref="A1:BN50"/>
  <sheetViews>
    <sheetView topLeftCell="C1" workbookViewId="0">
      <selection activeCell="U15" sqref="U15"/>
    </sheetView>
  </sheetViews>
  <sheetFormatPr baseColWidth="10" defaultColWidth="11.5" defaultRowHeight="15" x14ac:dyDescent="0.2"/>
  <sheetData>
    <row r="1" spans="1:66" x14ac:dyDescent="0.2">
      <c r="A1" s="1" t="s">
        <v>0</v>
      </c>
      <c r="D1" t="s">
        <v>3</v>
      </c>
      <c r="K1" t="s">
        <v>11</v>
      </c>
      <c r="N1" t="s">
        <v>12</v>
      </c>
      <c r="P1" t="s">
        <v>14</v>
      </c>
      <c r="Q1" t="s">
        <v>17</v>
      </c>
      <c r="S1" t="s">
        <v>18</v>
      </c>
      <c r="Z1" t="s">
        <v>29</v>
      </c>
      <c r="AE1" t="s">
        <v>30</v>
      </c>
      <c r="AK1" t="s">
        <v>42</v>
      </c>
    </row>
    <row r="2" spans="1:66" x14ac:dyDescent="0.2">
      <c r="A2" t="s">
        <v>1</v>
      </c>
      <c r="B2" t="s">
        <v>1</v>
      </c>
      <c r="C2" t="s">
        <v>87</v>
      </c>
      <c r="D2" t="s">
        <v>54</v>
      </c>
      <c r="E2" t="s">
        <v>13</v>
      </c>
      <c r="F2" t="s">
        <v>198</v>
      </c>
      <c r="G2" t="s">
        <v>7</v>
      </c>
      <c r="H2" t="s">
        <v>8</v>
      </c>
      <c r="I2" t="s">
        <v>179</v>
      </c>
      <c r="J2" t="s">
        <v>178</v>
      </c>
      <c r="K2" t="s">
        <v>9</v>
      </c>
      <c r="L2" t="s">
        <v>196</v>
      </c>
      <c r="M2" t="s">
        <v>10</v>
      </c>
      <c r="N2" t="s">
        <v>54</v>
      </c>
      <c r="O2" t="s">
        <v>13</v>
      </c>
      <c r="P2" t="s">
        <v>15</v>
      </c>
      <c r="Q2" t="s">
        <v>8</v>
      </c>
      <c r="R2" t="s">
        <v>7</v>
      </c>
      <c r="S2" t="s">
        <v>181</v>
      </c>
      <c r="T2" t="s">
        <v>182</v>
      </c>
      <c r="U2" t="s">
        <v>19</v>
      </c>
      <c r="V2" t="s">
        <v>191</v>
      </c>
      <c r="W2" t="s">
        <v>192</v>
      </c>
      <c r="X2" t="s">
        <v>175</v>
      </c>
      <c r="Y2" t="s">
        <v>173</v>
      </c>
      <c r="Z2" t="str">
        <f t="shared" ref="Z2:Z13" si="0">LEFT(I4, 1)</f>
        <v/>
      </c>
      <c r="AA2" t="str">
        <f t="shared" ref="AA2:AA13" si="1">MID(I4, 4, 1)</f>
        <v/>
      </c>
      <c r="AB2" t="str">
        <f t="shared" ref="AB2:AB13" si="2">MID(I4, 7, 1)</f>
        <v/>
      </c>
      <c r="AC2" t="str">
        <f t="shared" ref="AC2:AC13" si="3">MID(I4, 10, 1)</f>
        <v/>
      </c>
      <c r="AE2" t="str">
        <f t="shared" ref="AE2:AE13" si="4">LEFT(J4, 1)</f>
        <v>2</v>
      </c>
      <c r="AF2" t="str">
        <f t="shared" ref="AF2:AF13" si="5">MID(J4, 4, 1)</f>
        <v/>
      </c>
      <c r="AG2" t="str">
        <f t="shared" ref="AG2:AG13" si="6">MID(J4, 7, 1)</f>
        <v/>
      </c>
      <c r="AH2" t="str">
        <f t="shared" ref="AH2:AH13" si="7">MID(J4, 10, 1)</f>
        <v/>
      </c>
      <c r="AI2" t="str">
        <f t="shared" ref="AI2:AI13" si="8">MID(J4, 13, 1)</f>
        <v/>
      </c>
      <c r="AK2" t="str">
        <f t="shared" ref="AK2:AK13" si="9">LEFT(P4, 2)</f>
        <v>g1</v>
      </c>
      <c r="AL2" t="str">
        <f>MID($P4, 5, 2)</f>
        <v/>
      </c>
      <c r="AM2" t="str">
        <f t="shared" ref="AM2:AM13" si="10">MID($P4, 9, 2)</f>
        <v/>
      </c>
      <c r="AN2" t="str">
        <f t="shared" ref="AN2:AN13" si="11">MID($P4, 13, 2)</f>
        <v/>
      </c>
      <c r="AO2" t="str">
        <f t="shared" ref="AO2:AO13" si="12">MID($P4, 17, 2)</f>
        <v/>
      </c>
      <c r="AP2" t="str">
        <f t="shared" ref="AP2:AP13" si="13">MID($P4, 21, 2)</f>
        <v/>
      </c>
      <c r="AQ2" t="str">
        <f t="shared" ref="AQ2:AQ13" si="14">MID($P4, 25, 2)</f>
        <v/>
      </c>
      <c r="AR2" t="str">
        <f t="shared" ref="AR2:AR13" si="15">MID($P4, 29, 2)</f>
        <v/>
      </c>
      <c r="AS2" t="str">
        <f t="shared" ref="AS2:AS13" si="16">MID($P4, 33, 2)</f>
        <v/>
      </c>
      <c r="AT2" t="str">
        <f t="shared" ref="AT2:AT13" si="17">MID($P4, 37, 2)</f>
        <v/>
      </c>
      <c r="AU2" t="str">
        <f t="shared" ref="AU2:AU13" si="18">MID($P4, 41, 2)</f>
        <v/>
      </c>
      <c r="AV2" t="str">
        <f t="shared" ref="AV2:AV13" si="19">MID($P4, 45, 2)</f>
        <v/>
      </c>
      <c r="AW2" t="str">
        <f t="shared" ref="AW2:AW13" si="20">MID($P4, 49, 2)</f>
        <v/>
      </c>
      <c r="AX2" t="str">
        <f t="shared" ref="AX2:AX13" si="21">MID($P4, 53, 2)</f>
        <v/>
      </c>
      <c r="AY2" t="str">
        <f t="shared" ref="AY2:AY13" si="22">MID($P4, 57, 2)</f>
        <v/>
      </c>
      <c r="AZ2" t="str">
        <f t="shared" ref="AZ2:AZ13" si="23">MID($P4, 61, 2)</f>
        <v/>
      </c>
      <c r="BA2" t="str">
        <f t="shared" ref="BA2:BA13" si="24">MID($P4, 65, 2)</f>
        <v/>
      </c>
      <c r="BB2" t="str">
        <f t="shared" ref="BB2:BB13" si="25">MID($P4, 69, 2)</f>
        <v/>
      </c>
      <c r="BC2" t="str">
        <f t="shared" ref="BC2:BC13" si="26">MID($P4, 73, 2)</f>
        <v/>
      </c>
      <c r="BD2" t="str">
        <f t="shared" ref="BD2:BD13" si="27">MID($P4, 77, 2)</f>
        <v/>
      </c>
      <c r="BE2" t="str">
        <f t="shared" ref="BE2:BE13" si="28">MID($P4, 81, 2)</f>
        <v/>
      </c>
      <c r="BF2" t="str">
        <f t="shared" ref="BF2:BF13" si="29">MID($P4, 85, 2)</f>
        <v/>
      </c>
      <c r="BG2" t="str">
        <f t="shared" ref="BG2:BG13" si="30">MID($P4, 89, 2)</f>
        <v/>
      </c>
      <c r="BH2" t="str">
        <f t="shared" ref="BH2:BH13" si="31">MID($P4, 93, 2)</f>
        <v/>
      </c>
    </row>
    <row r="3" spans="1:66" x14ac:dyDescent="0.2">
      <c r="A3" t="s">
        <v>2</v>
      </c>
      <c r="B3" t="s">
        <v>6</v>
      </c>
      <c r="C3" t="s">
        <v>88</v>
      </c>
      <c r="D3" t="s">
        <v>6</v>
      </c>
      <c r="E3" t="s">
        <v>6</v>
      </c>
      <c r="F3" t="s">
        <v>4</v>
      </c>
      <c r="G3" t="s">
        <v>6</v>
      </c>
      <c r="H3" t="s">
        <v>6</v>
      </c>
      <c r="I3" t="s">
        <v>86</v>
      </c>
      <c r="J3" t="s">
        <v>86</v>
      </c>
      <c r="K3" t="s">
        <v>6</v>
      </c>
      <c r="L3" t="s">
        <v>6</v>
      </c>
      <c r="M3" t="s">
        <v>6</v>
      </c>
      <c r="N3" t="s">
        <v>6</v>
      </c>
      <c r="O3" t="s">
        <v>6</v>
      </c>
      <c r="P3" t="s">
        <v>16</v>
      </c>
      <c r="Q3" t="s">
        <v>6</v>
      </c>
      <c r="R3" t="s">
        <v>6</v>
      </c>
      <c r="S3" t="s">
        <v>4</v>
      </c>
      <c r="T3" t="s">
        <v>4</v>
      </c>
      <c r="U3" t="s">
        <v>6</v>
      </c>
      <c r="V3" t="s">
        <v>6</v>
      </c>
      <c r="W3" t="s">
        <v>6</v>
      </c>
      <c r="X3" t="s">
        <v>6</v>
      </c>
      <c r="Y3" t="s">
        <v>174</v>
      </c>
      <c r="Z3" t="str">
        <f t="shared" si="0"/>
        <v/>
      </c>
      <c r="AA3" t="str">
        <f t="shared" si="1"/>
        <v/>
      </c>
      <c r="AB3" t="str">
        <f t="shared" si="2"/>
        <v/>
      </c>
      <c r="AC3" t="str">
        <f t="shared" si="3"/>
        <v/>
      </c>
      <c r="AE3" t="str">
        <f t="shared" si="4"/>
        <v/>
      </c>
      <c r="AF3" t="str">
        <f t="shared" si="5"/>
        <v/>
      </c>
      <c r="AG3" t="str">
        <f t="shared" si="6"/>
        <v/>
      </c>
      <c r="AH3" t="str">
        <f t="shared" si="7"/>
        <v/>
      </c>
      <c r="AI3" t="str">
        <f t="shared" si="8"/>
        <v/>
      </c>
      <c r="AK3" t="str">
        <f t="shared" si="9"/>
        <v/>
      </c>
      <c r="AL3" t="str">
        <f t="shared" ref="AL3:AL13" si="32">MID(P5, 5, 2)</f>
        <v/>
      </c>
      <c r="AM3" t="str">
        <f t="shared" si="10"/>
        <v/>
      </c>
      <c r="AN3" t="str">
        <f t="shared" si="11"/>
        <v/>
      </c>
      <c r="AO3" t="str">
        <f t="shared" si="12"/>
        <v/>
      </c>
      <c r="AP3" t="str">
        <f t="shared" si="13"/>
        <v/>
      </c>
      <c r="AQ3" t="str">
        <f t="shared" si="14"/>
        <v/>
      </c>
      <c r="AR3" t="str">
        <f t="shared" si="15"/>
        <v/>
      </c>
      <c r="AS3" t="str">
        <f t="shared" si="16"/>
        <v/>
      </c>
      <c r="AT3" t="str">
        <f t="shared" si="17"/>
        <v/>
      </c>
      <c r="AU3" t="str">
        <f t="shared" si="18"/>
        <v/>
      </c>
      <c r="AV3" t="str">
        <f t="shared" si="19"/>
        <v/>
      </c>
      <c r="AW3" t="str">
        <f t="shared" si="20"/>
        <v/>
      </c>
      <c r="AX3" t="str">
        <f t="shared" si="21"/>
        <v/>
      </c>
      <c r="AY3" t="str">
        <f t="shared" si="22"/>
        <v/>
      </c>
      <c r="AZ3" t="str">
        <f t="shared" si="23"/>
        <v/>
      </c>
      <c r="BA3" t="str">
        <f t="shared" si="24"/>
        <v/>
      </c>
      <c r="BB3" t="str">
        <f t="shared" si="25"/>
        <v/>
      </c>
      <c r="BC3" t="str">
        <f t="shared" si="26"/>
        <v/>
      </c>
      <c r="BD3" t="str">
        <f t="shared" si="27"/>
        <v/>
      </c>
      <c r="BE3" t="str">
        <f t="shared" si="28"/>
        <v/>
      </c>
      <c r="BF3" t="str">
        <f t="shared" si="29"/>
        <v/>
      </c>
      <c r="BG3" t="str">
        <f t="shared" si="30"/>
        <v/>
      </c>
      <c r="BH3" t="str">
        <f t="shared" si="31"/>
        <v/>
      </c>
    </row>
    <row r="4" spans="1:66" x14ac:dyDescent="0.2">
      <c r="A4">
        <v>1</v>
      </c>
      <c r="B4">
        <v>10</v>
      </c>
      <c r="C4" t="s">
        <v>207</v>
      </c>
      <c r="D4">
        <v>1</v>
      </c>
      <c r="E4">
        <v>1</v>
      </c>
      <c r="J4">
        <v>2</v>
      </c>
      <c r="K4">
        <v>4</v>
      </c>
      <c r="N4">
        <v>4</v>
      </c>
      <c r="O4">
        <v>4</v>
      </c>
      <c r="P4" t="s">
        <v>218</v>
      </c>
      <c r="S4">
        <v>1</v>
      </c>
      <c r="T4">
        <v>1</v>
      </c>
      <c r="U4">
        <v>3</v>
      </c>
      <c r="X4">
        <f t="shared" ref="X4:X15" si="33">G4+H4+Q4+R4</f>
        <v>0</v>
      </c>
      <c r="Z4" t="str">
        <f t="shared" si="0"/>
        <v/>
      </c>
      <c r="AA4" t="str">
        <f t="shared" si="1"/>
        <v/>
      </c>
      <c r="AB4" t="str">
        <f t="shared" si="2"/>
        <v/>
      </c>
      <c r="AC4" t="str">
        <f t="shared" si="3"/>
        <v/>
      </c>
      <c r="AE4" t="str">
        <f t="shared" si="4"/>
        <v/>
      </c>
      <c r="AF4" t="str">
        <f t="shared" si="5"/>
        <v/>
      </c>
      <c r="AG4" t="str">
        <f t="shared" si="6"/>
        <v/>
      </c>
      <c r="AH4" t="str">
        <f t="shared" si="7"/>
        <v/>
      </c>
      <c r="AI4" t="str">
        <f t="shared" si="8"/>
        <v/>
      </c>
      <c r="AK4" t="str">
        <f t="shared" si="9"/>
        <v/>
      </c>
      <c r="AL4" t="str">
        <f t="shared" si="32"/>
        <v/>
      </c>
      <c r="AM4" t="str">
        <f t="shared" si="10"/>
        <v/>
      </c>
      <c r="AN4" t="str">
        <f t="shared" si="11"/>
        <v/>
      </c>
      <c r="AO4" t="str">
        <f t="shared" si="12"/>
        <v/>
      </c>
      <c r="AP4" t="str">
        <f t="shared" si="13"/>
        <v/>
      </c>
      <c r="AQ4" t="str">
        <f t="shared" si="14"/>
        <v/>
      </c>
      <c r="AR4" t="str">
        <f t="shared" si="15"/>
        <v/>
      </c>
      <c r="AS4" t="str">
        <f t="shared" si="16"/>
        <v/>
      </c>
      <c r="AT4" t="str">
        <f t="shared" si="17"/>
        <v/>
      </c>
      <c r="AU4" t="str">
        <f t="shared" si="18"/>
        <v/>
      </c>
      <c r="AV4" t="str">
        <f t="shared" si="19"/>
        <v/>
      </c>
      <c r="AW4" t="str">
        <f t="shared" si="20"/>
        <v/>
      </c>
      <c r="AX4" t="str">
        <f t="shared" si="21"/>
        <v/>
      </c>
      <c r="AY4" t="str">
        <f t="shared" si="22"/>
        <v/>
      </c>
      <c r="AZ4" t="str">
        <f t="shared" si="23"/>
        <v/>
      </c>
      <c r="BA4" t="str">
        <f t="shared" si="24"/>
        <v/>
      </c>
      <c r="BB4" t="str">
        <f t="shared" si="25"/>
        <v/>
      </c>
      <c r="BC4" t="str">
        <f t="shared" si="26"/>
        <v/>
      </c>
      <c r="BD4" t="str">
        <f t="shared" si="27"/>
        <v/>
      </c>
      <c r="BE4" t="str">
        <f t="shared" si="28"/>
        <v/>
      </c>
      <c r="BF4" t="str">
        <f t="shared" si="29"/>
        <v/>
      </c>
      <c r="BG4" t="str">
        <f t="shared" si="30"/>
        <v/>
      </c>
      <c r="BH4" t="str">
        <f t="shared" si="31"/>
        <v/>
      </c>
    </row>
    <row r="5" spans="1:66" x14ac:dyDescent="0.2">
      <c r="A5">
        <v>2</v>
      </c>
      <c r="B5">
        <v>16</v>
      </c>
      <c r="C5" t="s">
        <v>39</v>
      </c>
      <c r="D5">
        <v>1</v>
      </c>
      <c r="K5">
        <v>4</v>
      </c>
      <c r="N5">
        <v>5</v>
      </c>
      <c r="O5">
        <v>5</v>
      </c>
      <c r="S5">
        <v>1</v>
      </c>
      <c r="T5">
        <v>1</v>
      </c>
      <c r="X5">
        <f t="shared" si="33"/>
        <v>0</v>
      </c>
      <c r="Z5" t="str">
        <f t="shared" si="0"/>
        <v/>
      </c>
      <c r="AA5" t="str">
        <f t="shared" si="1"/>
        <v/>
      </c>
      <c r="AB5" t="str">
        <f t="shared" si="2"/>
        <v/>
      </c>
      <c r="AC5" t="str">
        <f t="shared" si="3"/>
        <v/>
      </c>
      <c r="AE5" t="str">
        <f t="shared" si="4"/>
        <v/>
      </c>
      <c r="AF5" t="str">
        <f t="shared" si="5"/>
        <v/>
      </c>
      <c r="AG5" t="str">
        <f t="shared" si="6"/>
        <v/>
      </c>
      <c r="AH5" t="str">
        <f t="shared" si="7"/>
        <v/>
      </c>
      <c r="AI5" t="str">
        <f t="shared" si="8"/>
        <v/>
      </c>
      <c r="AK5" t="str">
        <f t="shared" si="9"/>
        <v/>
      </c>
      <c r="AL5" t="str">
        <f t="shared" si="32"/>
        <v/>
      </c>
      <c r="AM5" t="str">
        <f t="shared" si="10"/>
        <v/>
      </c>
      <c r="AN5" t="str">
        <f t="shared" si="11"/>
        <v/>
      </c>
      <c r="AO5" t="str">
        <f t="shared" si="12"/>
        <v/>
      </c>
      <c r="AP5" t="str">
        <f t="shared" si="13"/>
        <v/>
      </c>
      <c r="AQ5" t="str">
        <f t="shared" si="14"/>
        <v/>
      </c>
      <c r="AR5" t="str">
        <f t="shared" si="15"/>
        <v/>
      </c>
      <c r="AS5" t="str">
        <f t="shared" si="16"/>
        <v/>
      </c>
      <c r="AT5" t="str">
        <f t="shared" si="17"/>
        <v/>
      </c>
      <c r="AU5" t="str">
        <f t="shared" si="18"/>
        <v/>
      </c>
      <c r="AV5" t="str">
        <f t="shared" si="19"/>
        <v/>
      </c>
      <c r="AW5" t="str">
        <f t="shared" si="20"/>
        <v/>
      </c>
      <c r="AX5" t="str">
        <f t="shared" si="21"/>
        <v/>
      </c>
      <c r="AY5" t="str">
        <f t="shared" si="22"/>
        <v/>
      </c>
      <c r="AZ5" t="str">
        <f t="shared" si="23"/>
        <v/>
      </c>
      <c r="BA5" t="str">
        <f t="shared" si="24"/>
        <v/>
      </c>
      <c r="BB5" t="str">
        <f t="shared" si="25"/>
        <v/>
      </c>
      <c r="BC5" t="str">
        <f t="shared" si="26"/>
        <v/>
      </c>
      <c r="BD5" t="str">
        <f t="shared" si="27"/>
        <v/>
      </c>
      <c r="BE5" t="str">
        <f t="shared" si="28"/>
        <v/>
      </c>
      <c r="BF5" t="str">
        <f t="shared" si="29"/>
        <v/>
      </c>
      <c r="BG5" t="str">
        <f t="shared" si="30"/>
        <v/>
      </c>
      <c r="BH5" t="str">
        <f t="shared" si="31"/>
        <v/>
      </c>
    </row>
    <row r="6" spans="1:66" x14ac:dyDescent="0.2">
      <c r="A6">
        <v>3</v>
      </c>
      <c r="B6">
        <v>28</v>
      </c>
      <c r="C6" t="s">
        <v>39</v>
      </c>
      <c r="D6">
        <v>1</v>
      </c>
      <c r="K6">
        <v>4</v>
      </c>
      <c r="N6">
        <v>5</v>
      </c>
      <c r="O6">
        <v>5</v>
      </c>
      <c r="U6">
        <v>5</v>
      </c>
      <c r="X6">
        <f t="shared" si="33"/>
        <v>0</v>
      </c>
      <c r="Z6" t="str">
        <f t="shared" si="0"/>
        <v/>
      </c>
      <c r="AA6" t="str">
        <f t="shared" si="1"/>
        <v/>
      </c>
      <c r="AB6" t="str">
        <f t="shared" si="2"/>
        <v/>
      </c>
      <c r="AC6" t="str">
        <f t="shared" si="3"/>
        <v/>
      </c>
      <c r="AE6" t="str">
        <f t="shared" si="4"/>
        <v/>
      </c>
      <c r="AF6" t="str">
        <f t="shared" si="5"/>
        <v/>
      </c>
      <c r="AG6" t="str">
        <f t="shared" si="6"/>
        <v/>
      </c>
      <c r="AH6" t="str">
        <f t="shared" si="7"/>
        <v/>
      </c>
      <c r="AI6" t="str">
        <f t="shared" si="8"/>
        <v/>
      </c>
      <c r="AK6" t="str">
        <f t="shared" si="9"/>
        <v/>
      </c>
      <c r="AL6" t="str">
        <f t="shared" si="32"/>
        <v/>
      </c>
      <c r="AM6" t="str">
        <f t="shared" si="10"/>
        <v/>
      </c>
      <c r="AN6" t="str">
        <f t="shared" si="11"/>
        <v/>
      </c>
      <c r="AO6" t="str">
        <f t="shared" si="12"/>
        <v/>
      </c>
      <c r="AP6" t="str">
        <f t="shared" si="13"/>
        <v/>
      </c>
      <c r="AQ6" t="str">
        <f t="shared" si="14"/>
        <v/>
      </c>
      <c r="AR6" t="str">
        <f t="shared" si="15"/>
        <v/>
      </c>
      <c r="AS6" t="str">
        <f t="shared" si="16"/>
        <v/>
      </c>
      <c r="AT6" t="str">
        <f t="shared" si="17"/>
        <v/>
      </c>
      <c r="AU6" t="str">
        <f t="shared" si="18"/>
        <v/>
      </c>
      <c r="AV6" t="str">
        <f t="shared" si="19"/>
        <v/>
      </c>
      <c r="AW6" t="str">
        <f t="shared" si="20"/>
        <v/>
      </c>
      <c r="AX6" t="str">
        <f t="shared" si="21"/>
        <v/>
      </c>
      <c r="AY6" t="str">
        <f t="shared" si="22"/>
        <v/>
      </c>
      <c r="AZ6" t="str">
        <f t="shared" si="23"/>
        <v/>
      </c>
      <c r="BA6" t="str">
        <f t="shared" si="24"/>
        <v/>
      </c>
      <c r="BB6" t="str">
        <f t="shared" si="25"/>
        <v/>
      </c>
      <c r="BC6" t="str">
        <f t="shared" si="26"/>
        <v/>
      </c>
      <c r="BD6" t="str">
        <f t="shared" si="27"/>
        <v/>
      </c>
      <c r="BE6" t="str">
        <f t="shared" si="28"/>
        <v/>
      </c>
      <c r="BF6" t="str">
        <f t="shared" si="29"/>
        <v/>
      </c>
      <c r="BG6" t="str">
        <f t="shared" si="30"/>
        <v/>
      </c>
      <c r="BH6" t="str">
        <f t="shared" si="31"/>
        <v/>
      </c>
    </row>
    <row r="7" spans="1:66" x14ac:dyDescent="0.2">
      <c r="A7">
        <v>4</v>
      </c>
      <c r="B7">
        <v>35</v>
      </c>
      <c r="C7" t="s">
        <v>207</v>
      </c>
      <c r="D7">
        <v>1</v>
      </c>
      <c r="F7">
        <v>1</v>
      </c>
      <c r="K7">
        <v>4</v>
      </c>
      <c r="N7">
        <v>3</v>
      </c>
      <c r="O7">
        <v>3</v>
      </c>
      <c r="S7">
        <v>1</v>
      </c>
      <c r="X7">
        <f t="shared" si="33"/>
        <v>0</v>
      </c>
      <c r="Z7" t="str">
        <f t="shared" si="0"/>
        <v/>
      </c>
      <c r="AA7" t="str">
        <f t="shared" si="1"/>
        <v/>
      </c>
      <c r="AB7" t="str">
        <f t="shared" si="2"/>
        <v/>
      </c>
      <c r="AC7" t="str">
        <f t="shared" si="3"/>
        <v/>
      </c>
      <c r="AE7" t="str">
        <f t="shared" si="4"/>
        <v/>
      </c>
      <c r="AF7" t="str">
        <f t="shared" si="5"/>
        <v/>
      </c>
      <c r="AG7" t="str">
        <f t="shared" si="6"/>
        <v/>
      </c>
      <c r="AH7" t="str">
        <f t="shared" si="7"/>
        <v/>
      </c>
      <c r="AI7" t="str">
        <f t="shared" si="8"/>
        <v/>
      </c>
      <c r="AK7" t="str">
        <f t="shared" si="9"/>
        <v/>
      </c>
      <c r="AL7" t="str">
        <f t="shared" si="32"/>
        <v/>
      </c>
      <c r="AM7" t="str">
        <f t="shared" si="10"/>
        <v/>
      </c>
      <c r="AN7" t="str">
        <f t="shared" si="11"/>
        <v/>
      </c>
      <c r="AO7" t="str">
        <f t="shared" si="12"/>
        <v/>
      </c>
      <c r="AP7" t="str">
        <f t="shared" si="13"/>
        <v/>
      </c>
      <c r="AQ7" t="str">
        <f t="shared" si="14"/>
        <v/>
      </c>
      <c r="AR7" t="str">
        <f t="shared" si="15"/>
        <v/>
      </c>
      <c r="AS7" t="str">
        <f t="shared" si="16"/>
        <v/>
      </c>
      <c r="AT7" t="str">
        <f t="shared" si="17"/>
        <v/>
      </c>
      <c r="AU7" t="str">
        <f t="shared" si="18"/>
        <v/>
      </c>
      <c r="AV7" t="str">
        <f t="shared" si="19"/>
        <v/>
      </c>
      <c r="AW7" t="str">
        <f t="shared" si="20"/>
        <v/>
      </c>
      <c r="AX7" t="str">
        <f t="shared" si="21"/>
        <v/>
      </c>
      <c r="AY7" t="str">
        <f t="shared" si="22"/>
        <v/>
      </c>
      <c r="AZ7" t="str">
        <f t="shared" si="23"/>
        <v/>
      </c>
      <c r="BA7" t="str">
        <f t="shared" si="24"/>
        <v/>
      </c>
      <c r="BB7" t="str">
        <f t="shared" si="25"/>
        <v/>
      </c>
      <c r="BC7" t="str">
        <f t="shared" si="26"/>
        <v/>
      </c>
      <c r="BD7" t="str">
        <f t="shared" si="27"/>
        <v/>
      </c>
      <c r="BE7" t="str">
        <f t="shared" si="28"/>
        <v/>
      </c>
      <c r="BF7" t="str">
        <f t="shared" si="29"/>
        <v/>
      </c>
      <c r="BG7" t="str">
        <f t="shared" si="30"/>
        <v/>
      </c>
      <c r="BH7" t="str">
        <f t="shared" si="31"/>
        <v/>
      </c>
    </row>
    <row r="8" spans="1:66" x14ac:dyDescent="0.2">
      <c r="A8">
        <v>5</v>
      </c>
      <c r="B8">
        <v>42</v>
      </c>
      <c r="C8" t="s">
        <v>207</v>
      </c>
      <c r="D8">
        <v>1</v>
      </c>
      <c r="E8">
        <v>1</v>
      </c>
      <c r="K8">
        <v>3</v>
      </c>
      <c r="L8">
        <v>1</v>
      </c>
      <c r="N8">
        <v>3</v>
      </c>
      <c r="O8">
        <v>3</v>
      </c>
      <c r="S8">
        <v>1</v>
      </c>
      <c r="T8">
        <v>1</v>
      </c>
      <c r="U8">
        <v>1</v>
      </c>
      <c r="X8">
        <f t="shared" si="33"/>
        <v>0</v>
      </c>
      <c r="Z8" t="str">
        <f t="shared" si="0"/>
        <v/>
      </c>
      <c r="AA8" t="str">
        <f t="shared" si="1"/>
        <v/>
      </c>
      <c r="AB8" t="str">
        <f t="shared" si="2"/>
        <v/>
      </c>
      <c r="AC8" t="str">
        <f t="shared" si="3"/>
        <v/>
      </c>
      <c r="AE8" t="str">
        <f t="shared" si="4"/>
        <v/>
      </c>
      <c r="AF8" t="str">
        <f t="shared" si="5"/>
        <v/>
      </c>
      <c r="AG8" t="str">
        <f t="shared" si="6"/>
        <v/>
      </c>
      <c r="AH8" t="str">
        <f t="shared" si="7"/>
        <v/>
      </c>
      <c r="AI8" t="str">
        <f t="shared" si="8"/>
        <v/>
      </c>
      <c r="AK8" t="str">
        <f t="shared" si="9"/>
        <v/>
      </c>
      <c r="AL8" t="str">
        <f t="shared" si="32"/>
        <v/>
      </c>
      <c r="AM8" t="str">
        <f t="shared" si="10"/>
        <v/>
      </c>
      <c r="AN8" t="str">
        <f t="shared" si="11"/>
        <v/>
      </c>
      <c r="AO8" t="str">
        <f t="shared" si="12"/>
        <v/>
      </c>
      <c r="AP8" t="str">
        <f t="shared" si="13"/>
        <v/>
      </c>
      <c r="AQ8" t="str">
        <f t="shared" si="14"/>
        <v/>
      </c>
      <c r="AR8" t="str">
        <f t="shared" si="15"/>
        <v/>
      </c>
      <c r="AS8" t="str">
        <f t="shared" si="16"/>
        <v/>
      </c>
      <c r="AT8" t="str">
        <f t="shared" si="17"/>
        <v/>
      </c>
      <c r="AU8" t="str">
        <f t="shared" si="18"/>
        <v/>
      </c>
      <c r="AV8" t="str">
        <f t="shared" si="19"/>
        <v/>
      </c>
      <c r="AW8" t="str">
        <f t="shared" si="20"/>
        <v/>
      </c>
      <c r="AX8" t="str">
        <f t="shared" si="21"/>
        <v/>
      </c>
      <c r="AY8" t="str">
        <f t="shared" si="22"/>
        <v/>
      </c>
      <c r="AZ8" t="str">
        <f t="shared" si="23"/>
        <v/>
      </c>
      <c r="BA8" t="str">
        <f t="shared" si="24"/>
        <v/>
      </c>
      <c r="BB8" t="str">
        <f t="shared" si="25"/>
        <v/>
      </c>
      <c r="BC8" t="str">
        <f t="shared" si="26"/>
        <v/>
      </c>
      <c r="BD8" t="str">
        <f t="shared" si="27"/>
        <v/>
      </c>
      <c r="BE8" t="str">
        <f t="shared" si="28"/>
        <v/>
      </c>
      <c r="BF8" t="str">
        <f t="shared" si="29"/>
        <v/>
      </c>
      <c r="BG8" t="str">
        <f t="shared" si="30"/>
        <v/>
      </c>
      <c r="BH8" t="str">
        <f t="shared" si="31"/>
        <v/>
      </c>
    </row>
    <row r="9" spans="1:66" x14ac:dyDescent="0.2">
      <c r="A9">
        <v>6</v>
      </c>
      <c r="B9">
        <v>57</v>
      </c>
      <c r="C9" t="s">
        <v>39</v>
      </c>
      <c r="D9">
        <v>1</v>
      </c>
      <c r="K9">
        <v>2</v>
      </c>
      <c r="N9">
        <v>3</v>
      </c>
      <c r="O9">
        <v>2</v>
      </c>
      <c r="S9">
        <v>1</v>
      </c>
      <c r="T9">
        <v>1</v>
      </c>
      <c r="X9">
        <f t="shared" si="33"/>
        <v>0</v>
      </c>
      <c r="Z9" t="str">
        <f t="shared" si="0"/>
        <v>5</v>
      </c>
      <c r="AA9" t="str">
        <f t="shared" si="1"/>
        <v/>
      </c>
      <c r="AB9" t="str">
        <f t="shared" si="2"/>
        <v/>
      </c>
      <c r="AC9" t="str">
        <f t="shared" si="3"/>
        <v/>
      </c>
      <c r="AE9" t="str">
        <f t="shared" si="4"/>
        <v>4</v>
      </c>
      <c r="AF9" t="str">
        <f t="shared" si="5"/>
        <v/>
      </c>
      <c r="AG9" t="str">
        <f t="shared" si="6"/>
        <v/>
      </c>
      <c r="AH9" t="str">
        <f t="shared" si="7"/>
        <v/>
      </c>
      <c r="AI9" t="str">
        <f t="shared" si="8"/>
        <v/>
      </c>
      <c r="AK9" t="str">
        <f t="shared" si="9"/>
        <v/>
      </c>
      <c r="AL9" t="str">
        <f t="shared" si="32"/>
        <v/>
      </c>
      <c r="AM9" t="str">
        <f t="shared" si="10"/>
        <v/>
      </c>
      <c r="AN9" t="str">
        <f t="shared" si="11"/>
        <v/>
      </c>
      <c r="AO9" t="str">
        <f t="shared" si="12"/>
        <v/>
      </c>
      <c r="AP9" t="str">
        <f t="shared" si="13"/>
        <v/>
      </c>
      <c r="AQ9" t="str">
        <f t="shared" si="14"/>
        <v/>
      </c>
      <c r="AR9" t="str">
        <f t="shared" si="15"/>
        <v/>
      </c>
      <c r="AS9" t="str">
        <f t="shared" si="16"/>
        <v/>
      </c>
      <c r="AT9" t="str">
        <f t="shared" si="17"/>
        <v/>
      </c>
      <c r="AU9" t="str">
        <f t="shared" si="18"/>
        <v/>
      </c>
      <c r="AV9" t="str">
        <f t="shared" si="19"/>
        <v/>
      </c>
      <c r="AW9" t="str">
        <f t="shared" si="20"/>
        <v/>
      </c>
      <c r="AX9" t="str">
        <f t="shared" si="21"/>
        <v/>
      </c>
      <c r="AY9" t="str">
        <f t="shared" si="22"/>
        <v/>
      </c>
      <c r="AZ9" t="str">
        <f t="shared" si="23"/>
        <v/>
      </c>
      <c r="BA9" t="str">
        <f t="shared" si="24"/>
        <v/>
      </c>
      <c r="BB9" t="str">
        <f t="shared" si="25"/>
        <v/>
      </c>
      <c r="BC9" t="str">
        <f t="shared" si="26"/>
        <v/>
      </c>
      <c r="BD9" t="str">
        <f t="shared" si="27"/>
        <v/>
      </c>
      <c r="BE9" t="str">
        <f t="shared" si="28"/>
        <v/>
      </c>
      <c r="BF9" t="str">
        <f t="shared" si="29"/>
        <v/>
      </c>
      <c r="BG9" t="str">
        <f t="shared" si="30"/>
        <v/>
      </c>
      <c r="BH9" t="str">
        <f t="shared" si="31"/>
        <v/>
      </c>
    </row>
    <row r="10" spans="1:66" x14ac:dyDescent="0.2">
      <c r="A10">
        <v>7</v>
      </c>
      <c r="B10">
        <v>65</v>
      </c>
      <c r="C10" t="s">
        <v>207</v>
      </c>
      <c r="D10">
        <v>1</v>
      </c>
      <c r="K10">
        <v>4</v>
      </c>
      <c r="N10">
        <v>5</v>
      </c>
      <c r="O10">
        <v>5</v>
      </c>
      <c r="S10">
        <v>1</v>
      </c>
      <c r="T10">
        <v>1</v>
      </c>
      <c r="X10">
        <f t="shared" si="33"/>
        <v>0</v>
      </c>
      <c r="Z10" t="str">
        <f t="shared" si="0"/>
        <v/>
      </c>
      <c r="AA10" t="str">
        <f t="shared" si="1"/>
        <v/>
      </c>
      <c r="AB10" t="str">
        <f t="shared" si="2"/>
        <v/>
      </c>
      <c r="AC10" t="str">
        <f t="shared" si="3"/>
        <v/>
      </c>
      <c r="AE10" t="str">
        <f t="shared" si="4"/>
        <v>1</v>
      </c>
      <c r="AF10" t="str">
        <f t="shared" si="5"/>
        <v/>
      </c>
      <c r="AG10" t="str">
        <f t="shared" si="6"/>
        <v/>
      </c>
      <c r="AH10" t="str">
        <f t="shared" si="7"/>
        <v/>
      </c>
      <c r="AI10" t="str">
        <f t="shared" si="8"/>
        <v/>
      </c>
      <c r="AK10" t="str">
        <f t="shared" si="9"/>
        <v/>
      </c>
      <c r="AL10" t="str">
        <f t="shared" si="32"/>
        <v/>
      </c>
      <c r="AM10" t="str">
        <f t="shared" si="10"/>
        <v/>
      </c>
      <c r="AN10" t="str">
        <f t="shared" si="11"/>
        <v/>
      </c>
      <c r="AO10" t="str">
        <f t="shared" si="12"/>
        <v/>
      </c>
      <c r="AP10" t="str">
        <f t="shared" si="13"/>
        <v/>
      </c>
      <c r="AQ10" t="str">
        <f t="shared" si="14"/>
        <v/>
      </c>
      <c r="AR10" t="str">
        <f t="shared" si="15"/>
        <v/>
      </c>
      <c r="AS10" t="str">
        <f t="shared" si="16"/>
        <v/>
      </c>
      <c r="AT10" t="str">
        <f t="shared" si="17"/>
        <v/>
      </c>
      <c r="AU10" t="str">
        <f t="shared" si="18"/>
        <v/>
      </c>
      <c r="AV10" t="str">
        <f t="shared" si="19"/>
        <v/>
      </c>
      <c r="AW10" t="str">
        <f t="shared" si="20"/>
        <v/>
      </c>
      <c r="AX10" t="str">
        <f t="shared" si="21"/>
        <v/>
      </c>
      <c r="AY10" t="str">
        <f t="shared" si="22"/>
        <v/>
      </c>
      <c r="AZ10" t="str">
        <f t="shared" si="23"/>
        <v/>
      </c>
      <c r="BA10" t="str">
        <f t="shared" si="24"/>
        <v/>
      </c>
      <c r="BB10" t="str">
        <f t="shared" si="25"/>
        <v/>
      </c>
      <c r="BC10" t="str">
        <f t="shared" si="26"/>
        <v/>
      </c>
      <c r="BD10" t="str">
        <f t="shared" si="27"/>
        <v/>
      </c>
      <c r="BE10" t="str">
        <f t="shared" si="28"/>
        <v/>
      </c>
      <c r="BF10" t="str">
        <f t="shared" si="29"/>
        <v/>
      </c>
      <c r="BG10" t="str">
        <f t="shared" si="30"/>
        <v/>
      </c>
      <c r="BH10" t="str">
        <f t="shared" si="31"/>
        <v/>
      </c>
    </row>
    <row r="11" spans="1:66" x14ac:dyDescent="0.2">
      <c r="A11">
        <v>8</v>
      </c>
      <c r="B11">
        <v>74</v>
      </c>
      <c r="C11" t="s">
        <v>207</v>
      </c>
      <c r="I11">
        <v>5</v>
      </c>
      <c r="J11">
        <v>4</v>
      </c>
      <c r="K11">
        <v>3</v>
      </c>
      <c r="L11">
        <v>1</v>
      </c>
      <c r="N11">
        <v>4</v>
      </c>
      <c r="O11">
        <v>3</v>
      </c>
      <c r="S11">
        <v>1</v>
      </c>
      <c r="T11">
        <v>1</v>
      </c>
      <c r="X11">
        <f t="shared" si="33"/>
        <v>0</v>
      </c>
      <c r="Z11" t="str">
        <f t="shared" si="0"/>
        <v/>
      </c>
      <c r="AA11" t="str">
        <f t="shared" si="1"/>
        <v/>
      </c>
      <c r="AB11" t="str">
        <f t="shared" si="2"/>
        <v/>
      </c>
      <c r="AC11" t="str">
        <f t="shared" si="3"/>
        <v/>
      </c>
      <c r="AE11" t="str">
        <f t="shared" si="4"/>
        <v>1</v>
      </c>
      <c r="AF11" t="str">
        <f t="shared" si="5"/>
        <v/>
      </c>
      <c r="AG11" t="str">
        <f t="shared" si="6"/>
        <v/>
      </c>
      <c r="AH11" t="str">
        <f t="shared" si="7"/>
        <v/>
      </c>
      <c r="AI11" t="str">
        <f t="shared" si="8"/>
        <v/>
      </c>
      <c r="AK11" t="str">
        <f t="shared" si="9"/>
        <v/>
      </c>
      <c r="AL11" t="str">
        <f t="shared" si="32"/>
        <v/>
      </c>
      <c r="AM11" t="str">
        <f t="shared" si="10"/>
        <v/>
      </c>
      <c r="AN11" t="str">
        <f t="shared" si="11"/>
        <v/>
      </c>
      <c r="AO11" t="str">
        <f t="shared" si="12"/>
        <v/>
      </c>
      <c r="AP11" t="str">
        <f t="shared" si="13"/>
        <v/>
      </c>
      <c r="AQ11" t="str">
        <f t="shared" si="14"/>
        <v/>
      </c>
      <c r="AR11" t="str">
        <f t="shared" si="15"/>
        <v/>
      </c>
      <c r="AS11" t="str">
        <f t="shared" si="16"/>
        <v/>
      </c>
      <c r="AT11" t="str">
        <f t="shared" si="17"/>
        <v/>
      </c>
      <c r="AU11" t="str">
        <f t="shared" si="18"/>
        <v/>
      </c>
      <c r="AV11" t="str">
        <f t="shared" si="19"/>
        <v/>
      </c>
      <c r="AW11" t="str">
        <f t="shared" si="20"/>
        <v/>
      </c>
      <c r="AX11" t="str">
        <f t="shared" si="21"/>
        <v/>
      </c>
      <c r="AY11" t="str">
        <f t="shared" si="22"/>
        <v/>
      </c>
      <c r="AZ11" t="str">
        <f t="shared" si="23"/>
        <v/>
      </c>
      <c r="BA11" t="str">
        <f t="shared" si="24"/>
        <v/>
      </c>
      <c r="BB11" t="str">
        <f t="shared" si="25"/>
        <v/>
      </c>
      <c r="BC11" t="str">
        <f t="shared" si="26"/>
        <v/>
      </c>
      <c r="BD11" t="str">
        <f t="shared" si="27"/>
        <v/>
      </c>
      <c r="BE11" t="str">
        <f t="shared" si="28"/>
        <v/>
      </c>
      <c r="BF11" t="str">
        <f t="shared" si="29"/>
        <v/>
      </c>
      <c r="BG11" t="str">
        <f t="shared" si="30"/>
        <v/>
      </c>
      <c r="BH11" t="str">
        <f t="shared" si="31"/>
        <v/>
      </c>
    </row>
    <row r="12" spans="1:66" x14ac:dyDescent="0.2">
      <c r="A12">
        <v>9</v>
      </c>
      <c r="B12">
        <v>84</v>
      </c>
      <c r="C12" t="s">
        <v>39</v>
      </c>
      <c r="D12">
        <v>1</v>
      </c>
      <c r="J12">
        <v>1</v>
      </c>
      <c r="K12">
        <v>2</v>
      </c>
      <c r="N12">
        <v>2</v>
      </c>
      <c r="O12">
        <v>1</v>
      </c>
      <c r="S12">
        <v>1</v>
      </c>
      <c r="T12">
        <v>1</v>
      </c>
      <c r="X12">
        <f t="shared" si="33"/>
        <v>0</v>
      </c>
      <c r="Z12" t="str">
        <f t="shared" si="0"/>
        <v/>
      </c>
      <c r="AA12" t="str">
        <f t="shared" si="1"/>
        <v/>
      </c>
      <c r="AB12" t="str">
        <f t="shared" si="2"/>
        <v/>
      </c>
      <c r="AC12" t="str">
        <f t="shared" si="3"/>
        <v/>
      </c>
      <c r="AE12" t="str">
        <f t="shared" si="4"/>
        <v>1</v>
      </c>
      <c r="AF12" t="str">
        <f t="shared" si="5"/>
        <v/>
      </c>
      <c r="AG12" t="str">
        <f t="shared" si="6"/>
        <v/>
      </c>
      <c r="AH12" t="str">
        <f t="shared" si="7"/>
        <v/>
      </c>
      <c r="AI12" t="str">
        <f t="shared" si="8"/>
        <v/>
      </c>
      <c r="AK12" t="str">
        <f t="shared" si="9"/>
        <v/>
      </c>
      <c r="AL12" t="str">
        <f t="shared" si="32"/>
        <v/>
      </c>
      <c r="AM12" t="str">
        <f t="shared" si="10"/>
        <v/>
      </c>
      <c r="AN12" t="str">
        <f t="shared" si="11"/>
        <v/>
      </c>
      <c r="AO12" t="str">
        <f t="shared" si="12"/>
        <v/>
      </c>
      <c r="AP12" t="str">
        <f t="shared" si="13"/>
        <v/>
      </c>
      <c r="AQ12" t="str">
        <f t="shared" si="14"/>
        <v/>
      </c>
      <c r="AR12" t="str">
        <f t="shared" si="15"/>
        <v/>
      </c>
      <c r="AS12" t="str">
        <f t="shared" si="16"/>
        <v/>
      </c>
      <c r="AT12" t="str">
        <f t="shared" si="17"/>
        <v/>
      </c>
      <c r="AU12" t="str">
        <f t="shared" si="18"/>
        <v/>
      </c>
      <c r="AV12" t="str">
        <f t="shared" si="19"/>
        <v/>
      </c>
      <c r="AW12" t="str">
        <f t="shared" si="20"/>
        <v/>
      </c>
      <c r="AX12" t="str">
        <f t="shared" si="21"/>
        <v/>
      </c>
      <c r="AY12" t="str">
        <f t="shared" si="22"/>
        <v/>
      </c>
      <c r="AZ12" t="str">
        <f t="shared" si="23"/>
        <v/>
      </c>
      <c r="BA12" t="str">
        <f t="shared" si="24"/>
        <v/>
      </c>
      <c r="BB12" t="str">
        <f t="shared" si="25"/>
        <v/>
      </c>
      <c r="BC12" t="str">
        <f t="shared" si="26"/>
        <v/>
      </c>
      <c r="BD12" t="str">
        <f t="shared" si="27"/>
        <v/>
      </c>
      <c r="BE12" t="str">
        <f t="shared" si="28"/>
        <v/>
      </c>
      <c r="BF12" t="str">
        <f t="shared" si="29"/>
        <v/>
      </c>
      <c r="BG12" t="str">
        <f t="shared" si="30"/>
        <v/>
      </c>
      <c r="BH12" t="str">
        <f t="shared" si="31"/>
        <v/>
      </c>
    </row>
    <row r="13" spans="1:66" x14ac:dyDescent="0.2">
      <c r="A13">
        <v>10</v>
      </c>
      <c r="B13">
        <v>94</v>
      </c>
      <c r="C13" t="s">
        <v>39</v>
      </c>
      <c r="D13">
        <v>1</v>
      </c>
      <c r="E13">
        <v>1</v>
      </c>
      <c r="F13">
        <v>1</v>
      </c>
      <c r="J13">
        <v>1</v>
      </c>
      <c r="K13">
        <v>4</v>
      </c>
      <c r="O13">
        <v>4</v>
      </c>
      <c r="S13">
        <v>1</v>
      </c>
      <c r="T13">
        <v>1</v>
      </c>
      <c r="U13">
        <v>2</v>
      </c>
      <c r="X13">
        <f t="shared" si="33"/>
        <v>0</v>
      </c>
      <c r="Z13" t="str">
        <f t="shared" si="0"/>
        <v/>
      </c>
      <c r="AA13" t="str">
        <f t="shared" si="1"/>
        <v/>
      </c>
      <c r="AB13" t="str">
        <f t="shared" si="2"/>
        <v/>
      </c>
      <c r="AC13" t="str">
        <f t="shared" si="3"/>
        <v/>
      </c>
      <c r="AE13" t="str">
        <f t="shared" si="4"/>
        <v/>
      </c>
      <c r="AF13" t="str">
        <f t="shared" si="5"/>
        <v/>
      </c>
      <c r="AG13" t="str">
        <f t="shared" si="6"/>
        <v/>
      </c>
      <c r="AH13" t="str">
        <f t="shared" si="7"/>
        <v/>
      </c>
      <c r="AI13" t="str">
        <f t="shared" si="8"/>
        <v/>
      </c>
      <c r="AK13" t="str">
        <f t="shared" si="9"/>
        <v/>
      </c>
      <c r="AL13" t="str">
        <f t="shared" si="32"/>
        <v/>
      </c>
      <c r="AM13" t="str">
        <f t="shared" si="10"/>
        <v/>
      </c>
      <c r="AN13" t="str">
        <f t="shared" si="11"/>
        <v/>
      </c>
      <c r="AO13" t="str">
        <f t="shared" si="12"/>
        <v/>
      </c>
      <c r="AP13" t="str">
        <f t="shared" si="13"/>
        <v/>
      </c>
      <c r="AQ13" t="str">
        <f t="shared" si="14"/>
        <v/>
      </c>
      <c r="AR13" t="str">
        <f t="shared" si="15"/>
        <v/>
      </c>
      <c r="AS13" t="str">
        <f t="shared" si="16"/>
        <v/>
      </c>
      <c r="AT13" t="str">
        <f t="shared" si="17"/>
        <v/>
      </c>
      <c r="AU13" t="str">
        <f t="shared" si="18"/>
        <v/>
      </c>
      <c r="AV13" t="str">
        <f t="shared" si="19"/>
        <v/>
      </c>
      <c r="AW13" t="str">
        <f t="shared" si="20"/>
        <v/>
      </c>
      <c r="AX13" t="str">
        <f t="shared" si="21"/>
        <v/>
      </c>
      <c r="AY13" t="str">
        <f t="shared" si="22"/>
        <v/>
      </c>
      <c r="AZ13" t="str">
        <f t="shared" si="23"/>
        <v/>
      </c>
      <c r="BA13" t="str">
        <f t="shared" si="24"/>
        <v/>
      </c>
      <c r="BB13" t="str">
        <f t="shared" si="25"/>
        <v/>
      </c>
      <c r="BC13" t="str">
        <f t="shared" si="26"/>
        <v/>
      </c>
      <c r="BD13" t="str">
        <f t="shared" si="27"/>
        <v/>
      </c>
      <c r="BE13" t="str">
        <f t="shared" si="28"/>
        <v/>
      </c>
      <c r="BF13" t="str">
        <f t="shared" si="29"/>
        <v/>
      </c>
      <c r="BG13" t="str">
        <f t="shared" si="30"/>
        <v/>
      </c>
      <c r="BH13" t="str">
        <f t="shared" si="31"/>
        <v/>
      </c>
    </row>
    <row r="14" spans="1:66" x14ac:dyDescent="0.2">
      <c r="A14">
        <v>11</v>
      </c>
      <c r="B14">
        <v>105</v>
      </c>
      <c r="C14" t="s">
        <v>39</v>
      </c>
      <c r="D14">
        <v>1</v>
      </c>
      <c r="J14">
        <v>1</v>
      </c>
      <c r="K14">
        <v>3</v>
      </c>
      <c r="N14">
        <v>4</v>
      </c>
      <c r="O14">
        <v>4</v>
      </c>
      <c r="S14">
        <v>1</v>
      </c>
      <c r="T14">
        <v>1</v>
      </c>
      <c r="U14">
        <v>4</v>
      </c>
      <c r="X14">
        <f t="shared" si="33"/>
        <v>0</v>
      </c>
      <c r="Z14" t="s">
        <v>31</v>
      </c>
      <c r="AE14" t="s">
        <v>34</v>
      </c>
      <c r="AK14" t="s">
        <v>43</v>
      </c>
      <c r="AP14" t="s">
        <v>84</v>
      </c>
    </row>
    <row r="15" spans="1:66" x14ac:dyDescent="0.2">
      <c r="A15">
        <v>12</v>
      </c>
      <c r="B15">
        <v>114</v>
      </c>
      <c r="C15" t="s">
        <v>207</v>
      </c>
      <c r="D15">
        <v>1</v>
      </c>
      <c r="K15">
        <v>3</v>
      </c>
      <c r="N15">
        <v>4</v>
      </c>
      <c r="O15">
        <v>4</v>
      </c>
      <c r="S15">
        <v>1</v>
      </c>
      <c r="T15">
        <v>1</v>
      </c>
      <c r="X15">
        <f t="shared" si="33"/>
        <v>0</v>
      </c>
      <c r="Z15" t="s">
        <v>21</v>
      </c>
      <c r="AA15" t="s">
        <v>22</v>
      </c>
      <c r="AE15" t="s">
        <v>21</v>
      </c>
      <c r="AF15" t="s">
        <v>22</v>
      </c>
      <c r="AG15" t="s">
        <v>35</v>
      </c>
      <c r="AK15" t="s">
        <v>10</v>
      </c>
      <c r="AL15" t="s">
        <v>25</v>
      </c>
      <c r="AM15" t="s">
        <v>26</v>
      </c>
      <c r="AN15" t="s">
        <v>27</v>
      </c>
      <c r="AP15" t="s">
        <v>15</v>
      </c>
      <c r="AQ15" t="s">
        <v>85</v>
      </c>
    </row>
    <row r="16" spans="1:66" x14ac:dyDescent="0.2">
      <c r="A16" t="s">
        <v>28</v>
      </c>
      <c r="D16">
        <f>SUM(D4:D15)</f>
        <v>11</v>
      </c>
      <c r="E16">
        <f>SUM(E4:E15)</f>
        <v>3</v>
      </c>
      <c r="F16">
        <f>SUM(F4:F15)</f>
        <v>2</v>
      </c>
      <c r="G16">
        <f>SUM(G4:G15)</f>
        <v>0</v>
      </c>
      <c r="H16">
        <f>SUM(H4:H15)</f>
        <v>0</v>
      </c>
      <c r="K16">
        <f>SUM(K4:K15)</f>
        <v>40</v>
      </c>
      <c r="L16">
        <f>SUM(L4:L15)</f>
        <v>2</v>
      </c>
      <c r="M16">
        <f>SUM(M4:M15)</f>
        <v>0</v>
      </c>
      <c r="N16">
        <f>SUM(N4:N15)</f>
        <v>42</v>
      </c>
      <c r="O16">
        <f>SUM(O4:O15)</f>
        <v>43</v>
      </c>
      <c r="Q16">
        <f t="shared" ref="Q16:R16" si="34">SUM(Q4:Q15)</f>
        <v>0</v>
      </c>
      <c r="R16">
        <f t="shared" si="34"/>
        <v>0</v>
      </c>
      <c r="S16">
        <f>SUM(S4:S15)</f>
        <v>11</v>
      </c>
      <c r="T16">
        <f>SUM(T4:T15)</f>
        <v>10</v>
      </c>
      <c r="U16">
        <f>SUM(U4:U15)</f>
        <v>15</v>
      </c>
      <c r="V16">
        <f>SUM(V4:V15)</f>
        <v>0</v>
      </c>
      <c r="W16">
        <f>SUM(W4:W15)</f>
        <v>0</v>
      </c>
      <c r="Z16">
        <f t="shared" ref="Z16:Z27" si="35">COUNTIF(Z2:AC2, "3")*COUNTIF(C4, "r")+COUNTIF(Z2:AC2, "5")*COUNTIF(C4, "b")</f>
        <v>0</v>
      </c>
      <c r="AA16">
        <f t="shared" ref="AA16:AA27" si="36">COUNTIF(Z2:AC2, "1")+COUNTIF(Z2:AC2, "2")+COUNTIF(Z2:AC2, "4")</f>
        <v>0</v>
      </c>
      <c r="AE16">
        <f t="shared" ref="AE16:AE27" si="37">COUNTIF(AE2:AI2, "3")*COUNTIF(C4, "r") + COUNTIF(AE2:AI2, "5")*COUNTIF(C4, "b")</f>
        <v>0</v>
      </c>
      <c r="AF16">
        <f t="shared" ref="AF16:AF27" si="38">COUNTIF(AE2:AI2, "1")+COUNTIF(AE2:AI2, "2")+COUNTIF(AE2:AI2, "4")</f>
        <v>1</v>
      </c>
      <c r="AG16">
        <f t="shared" ref="AG16:AG27" si="39">COUNTIF(AE2:AI2, "3")*COUNTIF(AE2:AI2, "b")+COUNTIF(AE2:AI2, "5")*COUNTIF(AE2:AI2, "r")</f>
        <v>0</v>
      </c>
      <c r="AK16">
        <f t="shared" ref="AK16:AK27" si="40">SUMPRODUCT(LEN($AK2:$BH2) - LEN(SUBSTITUTE($AK2:$BH2, "g", "")))</f>
        <v>1</v>
      </c>
      <c r="AL16">
        <f t="shared" ref="AL16:AL27" si="41">SUMPRODUCT(LEN($AK2:$BH2) - LEN(SUBSTITUTE($AK2:$BH2, "h", "")))</f>
        <v>0</v>
      </c>
      <c r="AM16">
        <f t="shared" ref="AM16:AM27" si="42">SUMPRODUCT(LEN($AK2:$BH2) - LEN(SUBSTITUTE($AK2:$BH2, "v", "")))</f>
        <v>0</v>
      </c>
      <c r="AN16">
        <f t="shared" ref="AN16:AN27" si="43">SUMPRODUCT(LEN($AK2:$BH2) - LEN(SUBSTITUTE($AK2:$BH2, "r", "")))</f>
        <v>0</v>
      </c>
      <c r="AP16">
        <f>MAX(AQ16:BN16)</f>
        <v>1</v>
      </c>
      <c r="AQ16" s="4">
        <f>_xlfn.NUMBERVALUE(RIGHT(AK2,1))</f>
        <v>1</v>
      </c>
      <c r="AR16" s="4">
        <f t="shared" ref="AR16:BG27" si="44">_xlfn.NUMBERVALUE(RIGHT(AL2,1))</f>
        <v>0</v>
      </c>
      <c r="AS16" s="4">
        <f t="shared" si="44"/>
        <v>0</v>
      </c>
      <c r="AT16" s="4">
        <f t="shared" si="44"/>
        <v>0</v>
      </c>
      <c r="AU16" s="4">
        <f t="shared" si="44"/>
        <v>0</v>
      </c>
      <c r="AV16" s="4">
        <f t="shared" si="44"/>
        <v>0</v>
      </c>
      <c r="AW16" s="4">
        <f t="shared" si="44"/>
        <v>0</v>
      </c>
      <c r="AX16" s="4">
        <f t="shared" si="44"/>
        <v>0</v>
      </c>
      <c r="AY16" s="4">
        <f t="shared" si="44"/>
        <v>0</v>
      </c>
      <c r="AZ16" s="4">
        <f t="shared" si="44"/>
        <v>0</v>
      </c>
      <c r="BA16" s="4">
        <f t="shared" si="44"/>
        <v>0</v>
      </c>
      <c r="BB16" s="4">
        <f t="shared" si="44"/>
        <v>0</v>
      </c>
      <c r="BC16" s="4">
        <f t="shared" si="44"/>
        <v>0</v>
      </c>
      <c r="BD16" s="4">
        <f t="shared" si="44"/>
        <v>0</v>
      </c>
      <c r="BE16" s="4">
        <f t="shared" si="44"/>
        <v>0</v>
      </c>
      <c r="BF16" s="4">
        <f t="shared" si="44"/>
        <v>0</v>
      </c>
      <c r="BG16" s="4">
        <f t="shared" si="44"/>
        <v>0</v>
      </c>
      <c r="BH16" s="4">
        <f t="shared" ref="BH16:BN27" si="45">_xlfn.NUMBERVALUE(RIGHT(BB2,1))</f>
        <v>0</v>
      </c>
      <c r="BI16" s="4">
        <f t="shared" si="45"/>
        <v>0</v>
      </c>
      <c r="BJ16" s="4">
        <f t="shared" si="45"/>
        <v>0</v>
      </c>
      <c r="BK16" s="4">
        <f t="shared" si="45"/>
        <v>0</v>
      </c>
      <c r="BL16" s="4">
        <f t="shared" si="45"/>
        <v>0</v>
      </c>
      <c r="BM16" s="4">
        <f t="shared" si="45"/>
        <v>0</v>
      </c>
      <c r="BN16" s="4">
        <f t="shared" si="45"/>
        <v>0</v>
      </c>
    </row>
    <row r="17" spans="1:66" x14ac:dyDescent="0.2">
      <c r="A17" s="1" t="s">
        <v>20</v>
      </c>
      <c r="D17" s="1" t="s">
        <v>49</v>
      </c>
      <c r="G17" s="1" t="s">
        <v>52</v>
      </c>
      <c r="K17" s="3" t="s">
        <v>74</v>
      </c>
      <c r="P17" s="1" t="s">
        <v>66</v>
      </c>
      <c r="Z17">
        <f t="shared" si="35"/>
        <v>0</v>
      </c>
      <c r="AA17">
        <f t="shared" si="36"/>
        <v>0</v>
      </c>
      <c r="AE17">
        <f t="shared" si="37"/>
        <v>0</v>
      </c>
      <c r="AF17">
        <f t="shared" si="38"/>
        <v>0</v>
      </c>
      <c r="AG17">
        <f t="shared" si="39"/>
        <v>0</v>
      </c>
      <c r="AK17">
        <f t="shared" si="40"/>
        <v>0</v>
      </c>
      <c r="AL17">
        <f t="shared" si="41"/>
        <v>0</v>
      </c>
      <c r="AM17">
        <f t="shared" si="42"/>
        <v>0</v>
      </c>
      <c r="AN17">
        <f t="shared" si="43"/>
        <v>0</v>
      </c>
      <c r="AP17">
        <f t="shared" ref="AP17:AP27" si="46">MAX(AQ17:BN17)</f>
        <v>0</v>
      </c>
      <c r="AQ17" s="4">
        <f t="shared" ref="AQ17:AQ27" si="47">_xlfn.NUMBERVALUE(RIGHT(AK3,1))</f>
        <v>0</v>
      </c>
      <c r="AR17" s="4">
        <f t="shared" si="44"/>
        <v>0</v>
      </c>
      <c r="AS17" s="4">
        <f t="shared" si="44"/>
        <v>0</v>
      </c>
      <c r="AT17" s="4">
        <f t="shared" si="44"/>
        <v>0</v>
      </c>
      <c r="AU17" s="4">
        <f t="shared" si="44"/>
        <v>0</v>
      </c>
      <c r="AV17" s="4">
        <f t="shared" si="44"/>
        <v>0</v>
      </c>
      <c r="AW17" s="4">
        <f t="shared" si="44"/>
        <v>0</v>
      </c>
      <c r="AX17" s="4">
        <f t="shared" si="44"/>
        <v>0</v>
      </c>
      <c r="AY17" s="4">
        <f t="shared" si="44"/>
        <v>0</v>
      </c>
      <c r="AZ17" s="4">
        <f t="shared" si="44"/>
        <v>0</v>
      </c>
      <c r="BA17" s="4">
        <f t="shared" si="44"/>
        <v>0</v>
      </c>
      <c r="BB17" s="4">
        <f t="shared" si="44"/>
        <v>0</v>
      </c>
      <c r="BC17" s="4">
        <f t="shared" si="44"/>
        <v>0</v>
      </c>
      <c r="BD17" s="4">
        <f t="shared" si="44"/>
        <v>0</v>
      </c>
      <c r="BE17" s="4">
        <f t="shared" si="44"/>
        <v>0</v>
      </c>
      <c r="BF17" s="4">
        <f t="shared" si="44"/>
        <v>0</v>
      </c>
      <c r="BG17" s="4">
        <f t="shared" si="44"/>
        <v>0</v>
      </c>
      <c r="BH17" s="4">
        <f t="shared" si="45"/>
        <v>0</v>
      </c>
      <c r="BI17" s="4">
        <f t="shared" si="45"/>
        <v>0</v>
      </c>
      <c r="BJ17" s="4">
        <f t="shared" si="45"/>
        <v>0</v>
      </c>
      <c r="BK17" s="4">
        <f t="shared" si="45"/>
        <v>0</v>
      </c>
      <c r="BL17" s="4">
        <f t="shared" si="45"/>
        <v>0</v>
      </c>
      <c r="BM17" s="4">
        <f t="shared" si="45"/>
        <v>0</v>
      </c>
      <c r="BN17" s="4">
        <f t="shared" si="45"/>
        <v>0</v>
      </c>
    </row>
    <row r="18" spans="1:66" x14ac:dyDescent="0.2">
      <c r="A18" t="s">
        <v>32</v>
      </c>
      <c r="B18" t="s">
        <v>21</v>
      </c>
      <c r="D18" t="s">
        <v>180</v>
      </c>
      <c r="G18" s="3" t="s">
        <v>53</v>
      </c>
      <c r="K18" t="s">
        <v>55</v>
      </c>
      <c r="M18" t="s">
        <v>65</v>
      </c>
      <c r="P18" t="s">
        <v>67</v>
      </c>
      <c r="Z18">
        <f t="shared" si="35"/>
        <v>0</v>
      </c>
      <c r="AA18">
        <f t="shared" si="36"/>
        <v>0</v>
      </c>
      <c r="AE18">
        <f t="shared" si="37"/>
        <v>0</v>
      </c>
      <c r="AF18">
        <f t="shared" si="38"/>
        <v>0</v>
      </c>
      <c r="AG18">
        <f t="shared" si="39"/>
        <v>0</v>
      </c>
      <c r="AK18">
        <f t="shared" si="40"/>
        <v>0</v>
      </c>
      <c r="AL18">
        <f t="shared" si="41"/>
        <v>0</v>
      </c>
      <c r="AM18">
        <f t="shared" si="42"/>
        <v>0</v>
      </c>
      <c r="AN18">
        <f t="shared" si="43"/>
        <v>0</v>
      </c>
      <c r="AP18">
        <f t="shared" si="46"/>
        <v>0</v>
      </c>
      <c r="AQ18" s="4">
        <f t="shared" si="47"/>
        <v>0</v>
      </c>
      <c r="AR18" s="4">
        <f t="shared" si="44"/>
        <v>0</v>
      </c>
      <c r="AS18" s="4">
        <f t="shared" si="44"/>
        <v>0</v>
      </c>
      <c r="AT18" s="4">
        <f t="shared" si="44"/>
        <v>0</v>
      </c>
      <c r="AU18" s="4">
        <f t="shared" si="44"/>
        <v>0</v>
      </c>
      <c r="AV18" s="4">
        <f t="shared" si="44"/>
        <v>0</v>
      </c>
      <c r="AW18" s="4">
        <f t="shared" si="44"/>
        <v>0</v>
      </c>
      <c r="AX18" s="4">
        <f t="shared" si="44"/>
        <v>0</v>
      </c>
      <c r="AY18" s="4">
        <f t="shared" si="44"/>
        <v>0</v>
      </c>
      <c r="AZ18" s="4">
        <f t="shared" si="44"/>
        <v>0</v>
      </c>
      <c r="BA18" s="4">
        <f t="shared" si="44"/>
        <v>0</v>
      </c>
      <c r="BB18" s="4">
        <f t="shared" si="44"/>
        <v>0</v>
      </c>
      <c r="BC18" s="4">
        <f t="shared" si="44"/>
        <v>0</v>
      </c>
      <c r="BD18" s="4">
        <f t="shared" si="44"/>
        <v>0</v>
      </c>
      <c r="BE18" s="4">
        <f t="shared" si="44"/>
        <v>0</v>
      </c>
      <c r="BF18" s="4">
        <f t="shared" si="44"/>
        <v>0</v>
      </c>
      <c r="BG18" s="4">
        <f t="shared" si="44"/>
        <v>0</v>
      </c>
      <c r="BH18" s="4">
        <f t="shared" si="45"/>
        <v>0</v>
      </c>
      <c r="BI18" s="4">
        <f t="shared" si="45"/>
        <v>0</v>
      </c>
      <c r="BJ18" s="4">
        <f t="shared" si="45"/>
        <v>0</v>
      </c>
      <c r="BK18" s="4">
        <f t="shared" si="45"/>
        <v>0</v>
      </c>
      <c r="BL18" s="4">
        <f t="shared" si="45"/>
        <v>0</v>
      </c>
      <c r="BM18" s="4">
        <f t="shared" si="45"/>
        <v>0</v>
      </c>
      <c r="BN18" s="4">
        <f t="shared" si="45"/>
        <v>0</v>
      </c>
    </row>
    <row r="19" spans="1:66" x14ac:dyDescent="0.2">
      <c r="A19" t="s">
        <v>40</v>
      </c>
      <c r="B19" t="s">
        <v>22</v>
      </c>
      <c r="D19">
        <f>E16/D16</f>
        <v>0.27272727272727271</v>
      </c>
      <c r="G19" t="s">
        <v>75</v>
      </c>
      <c r="K19">
        <f>O16/N16</f>
        <v>1.0238095238095237</v>
      </c>
      <c r="M19">
        <f>SUM(M39:M50)</f>
        <v>-3</v>
      </c>
      <c r="P19">
        <f>T16/S16</f>
        <v>0.90909090909090906</v>
      </c>
      <c r="Z19">
        <f t="shared" si="35"/>
        <v>0</v>
      </c>
      <c r="AA19">
        <f t="shared" si="36"/>
        <v>0</v>
      </c>
      <c r="AE19">
        <f t="shared" si="37"/>
        <v>0</v>
      </c>
      <c r="AF19">
        <f t="shared" si="38"/>
        <v>0</v>
      </c>
      <c r="AG19">
        <f t="shared" si="39"/>
        <v>0</v>
      </c>
      <c r="AK19">
        <f t="shared" si="40"/>
        <v>0</v>
      </c>
      <c r="AL19">
        <f t="shared" si="41"/>
        <v>0</v>
      </c>
      <c r="AM19">
        <f t="shared" si="42"/>
        <v>0</v>
      </c>
      <c r="AN19">
        <f t="shared" si="43"/>
        <v>0</v>
      </c>
      <c r="AP19">
        <f t="shared" si="46"/>
        <v>0</v>
      </c>
      <c r="AQ19" s="4">
        <f t="shared" si="47"/>
        <v>0</v>
      </c>
      <c r="AR19" s="4">
        <f t="shared" si="44"/>
        <v>0</v>
      </c>
      <c r="AS19" s="4">
        <f t="shared" si="44"/>
        <v>0</v>
      </c>
      <c r="AT19" s="4">
        <f t="shared" si="44"/>
        <v>0</v>
      </c>
      <c r="AU19" s="4">
        <f t="shared" si="44"/>
        <v>0</v>
      </c>
      <c r="AV19" s="4">
        <f t="shared" si="44"/>
        <v>0</v>
      </c>
      <c r="AW19" s="4">
        <f t="shared" si="44"/>
        <v>0</v>
      </c>
      <c r="AX19" s="4">
        <f t="shared" si="44"/>
        <v>0</v>
      </c>
      <c r="AY19" s="4">
        <f t="shared" si="44"/>
        <v>0</v>
      </c>
      <c r="AZ19" s="4">
        <f t="shared" si="44"/>
        <v>0</v>
      </c>
      <c r="BA19" s="4">
        <f t="shared" si="44"/>
        <v>0</v>
      </c>
      <c r="BB19" s="4">
        <f t="shared" si="44"/>
        <v>0</v>
      </c>
      <c r="BC19" s="4">
        <f t="shared" si="44"/>
        <v>0</v>
      </c>
      <c r="BD19" s="4">
        <f t="shared" si="44"/>
        <v>0</v>
      </c>
      <c r="BE19" s="4">
        <f t="shared" si="44"/>
        <v>0</v>
      </c>
      <c r="BF19" s="4">
        <f t="shared" si="44"/>
        <v>0</v>
      </c>
      <c r="BG19" s="4">
        <f t="shared" si="44"/>
        <v>0</v>
      </c>
      <c r="BH19" s="4">
        <f t="shared" si="45"/>
        <v>0</v>
      </c>
      <c r="BI19" s="4">
        <f t="shared" si="45"/>
        <v>0</v>
      </c>
      <c r="BJ19" s="4">
        <f t="shared" si="45"/>
        <v>0</v>
      </c>
      <c r="BK19" s="4">
        <f t="shared" si="45"/>
        <v>0</v>
      </c>
      <c r="BL19" s="4">
        <f t="shared" si="45"/>
        <v>0</v>
      </c>
      <c r="BM19" s="4">
        <f t="shared" si="45"/>
        <v>0</v>
      </c>
      <c r="BN19" s="4">
        <f t="shared" si="45"/>
        <v>0</v>
      </c>
    </row>
    <row r="20" spans="1:66" x14ac:dyDescent="0.2">
      <c r="A20" t="s">
        <v>41</v>
      </c>
      <c r="B20" t="s">
        <v>23</v>
      </c>
      <c r="D20" t="s">
        <v>47</v>
      </c>
      <c r="G20">
        <f>AK28/AP28</f>
        <v>1</v>
      </c>
      <c r="K20" t="s">
        <v>13</v>
      </c>
      <c r="Z20">
        <f t="shared" si="35"/>
        <v>0</v>
      </c>
      <c r="AA20">
        <f t="shared" si="36"/>
        <v>0</v>
      </c>
      <c r="AE20">
        <f t="shared" si="37"/>
        <v>0</v>
      </c>
      <c r="AF20">
        <f t="shared" si="38"/>
        <v>0</v>
      </c>
      <c r="AG20">
        <f t="shared" si="39"/>
        <v>0</v>
      </c>
      <c r="AK20">
        <f t="shared" si="40"/>
        <v>0</v>
      </c>
      <c r="AL20">
        <f t="shared" si="41"/>
        <v>0</v>
      </c>
      <c r="AM20">
        <f t="shared" si="42"/>
        <v>0</v>
      </c>
      <c r="AN20">
        <f t="shared" si="43"/>
        <v>0</v>
      </c>
      <c r="AP20">
        <f t="shared" si="46"/>
        <v>0</v>
      </c>
      <c r="AQ20" s="4">
        <f t="shared" si="47"/>
        <v>0</v>
      </c>
      <c r="AR20" s="4">
        <f t="shared" si="44"/>
        <v>0</v>
      </c>
      <c r="AS20" s="4">
        <f t="shared" si="44"/>
        <v>0</v>
      </c>
      <c r="AT20" s="4">
        <f t="shared" si="44"/>
        <v>0</v>
      </c>
      <c r="AU20" s="4">
        <f t="shared" si="44"/>
        <v>0</v>
      </c>
      <c r="AV20" s="4">
        <f t="shared" si="44"/>
        <v>0</v>
      </c>
      <c r="AW20" s="4">
        <f t="shared" si="44"/>
        <v>0</v>
      </c>
      <c r="AX20" s="4">
        <f t="shared" si="44"/>
        <v>0</v>
      </c>
      <c r="AY20" s="4">
        <f t="shared" si="44"/>
        <v>0</v>
      </c>
      <c r="AZ20" s="4">
        <f t="shared" si="44"/>
        <v>0</v>
      </c>
      <c r="BA20" s="4">
        <f t="shared" si="44"/>
        <v>0</v>
      </c>
      <c r="BB20" s="4">
        <f t="shared" si="44"/>
        <v>0</v>
      </c>
      <c r="BC20" s="4">
        <f t="shared" si="44"/>
        <v>0</v>
      </c>
      <c r="BD20" s="4">
        <f t="shared" si="44"/>
        <v>0</v>
      </c>
      <c r="BE20" s="4">
        <f t="shared" si="44"/>
        <v>0</v>
      </c>
      <c r="BF20" s="4">
        <f t="shared" si="44"/>
        <v>0</v>
      </c>
      <c r="BG20" s="4">
        <f t="shared" si="44"/>
        <v>0</v>
      </c>
      <c r="BH20" s="4">
        <f t="shared" si="45"/>
        <v>0</v>
      </c>
      <c r="BI20" s="4">
        <f t="shared" si="45"/>
        <v>0</v>
      </c>
      <c r="BJ20" s="4">
        <f t="shared" si="45"/>
        <v>0</v>
      </c>
      <c r="BK20" s="4">
        <f t="shared" si="45"/>
        <v>0</v>
      </c>
      <c r="BL20" s="4">
        <f t="shared" si="45"/>
        <v>0</v>
      </c>
      <c r="BM20" s="4">
        <f t="shared" si="45"/>
        <v>0</v>
      </c>
      <c r="BN20" s="4">
        <f t="shared" si="45"/>
        <v>0</v>
      </c>
    </row>
    <row r="21" spans="1:66" x14ac:dyDescent="0.2">
      <c r="A21" s="1" t="s">
        <v>24</v>
      </c>
      <c r="D21">
        <f>G16/A31</f>
        <v>0</v>
      </c>
      <c r="G21" t="s">
        <v>76</v>
      </c>
      <c r="K21" t="s">
        <v>57</v>
      </c>
      <c r="L21" t="s">
        <v>58</v>
      </c>
      <c r="M21" t="s">
        <v>59</v>
      </c>
      <c r="N21" t="s">
        <v>60</v>
      </c>
      <c r="Z21">
        <f t="shared" si="35"/>
        <v>0</v>
      </c>
      <c r="AA21">
        <f t="shared" si="36"/>
        <v>0</v>
      </c>
      <c r="AE21">
        <f t="shared" si="37"/>
        <v>0</v>
      </c>
      <c r="AF21">
        <f t="shared" si="38"/>
        <v>0</v>
      </c>
      <c r="AG21">
        <f t="shared" si="39"/>
        <v>0</v>
      </c>
      <c r="AK21">
        <f t="shared" si="40"/>
        <v>0</v>
      </c>
      <c r="AL21">
        <f t="shared" si="41"/>
        <v>0</v>
      </c>
      <c r="AM21">
        <f t="shared" si="42"/>
        <v>0</v>
      </c>
      <c r="AN21">
        <f t="shared" si="43"/>
        <v>0</v>
      </c>
      <c r="AP21">
        <f t="shared" si="46"/>
        <v>0</v>
      </c>
      <c r="AQ21" s="4">
        <f t="shared" si="47"/>
        <v>0</v>
      </c>
      <c r="AR21" s="4">
        <f t="shared" si="44"/>
        <v>0</v>
      </c>
      <c r="AS21" s="4">
        <f t="shared" si="44"/>
        <v>0</v>
      </c>
      <c r="AT21" s="4">
        <f t="shared" si="44"/>
        <v>0</v>
      </c>
      <c r="AU21" s="4">
        <f t="shared" si="44"/>
        <v>0</v>
      </c>
      <c r="AV21" s="4">
        <f t="shared" si="44"/>
        <v>0</v>
      </c>
      <c r="AW21" s="4">
        <f t="shared" si="44"/>
        <v>0</v>
      </c>
      <c r="AX21" s="4">
        <f t="shared" si="44"/>
        <v>0</v>
      </c>
      <c r="AY21" s="4">
        <f t="shared" si="44"/>
        <v>0</v>
      </c>
      <c r="AZ21" s="4">
        <f t="shared" si="44"/>
        <v>0</v>
      </c>
      <c r="BA21" s="4">
        <f t="shared" si="44"/>
        <v>0</v>
      </c>
      <c r="BB21" s="4">
        <f t="shared" si="44"/>
        <v>0</v>
      </c>
      <c r="BC21" s="4">
        <f t="shared" si="44"/>
        <v>0</v>
      </c>
      <c r="BD21" s="4">
        <f t="shared" si="44"/>
        <v>0</v>
      </c>
      <c r="BE21" s="4">
        <f t="shared" si="44"/>
        <v>0</v>
      </c>
      <c r="BF21" s="4">
        <f t="shared" si="44"/>
        <v>0</v>
      </c>
      <c r="BG21" s="4">
        <f t="shared" si="44"/>
        <v>0</v>
      </c>
      <c r="BH21" s="4">
        <f t="shared" si="45"/>
        <v>0</v>
      </c>
      <c r="BI21" s="4">
        <f t="shared" si="45"/>
        <v>0</v>
      </c>
      <c r="BJ21" s="4">
        <f t="shared" si="45"/>
        <v>0</v>
      </c>
      <c r="BK21" s="4">
        <f t="shared" si="45"/>
        <v>0</v>
      </c>
      <c r="BL21" s="4">
        <f t="shared" si="45"/>
        <v>0</v>
      </c>
      <c r="BM21" s="4">
        <f t="shared" si="45"/>
        <v>0</v>
      </c>
      <c r="BN21" s="4">
        <f t="shared" si="45"/>
        <v>0</v>
      </c>
    </row>
    <row r="22" spans="1:66" x14ac:dyDescent="0.2">
      <c r="A22" t="s">
        <v>36</v>
      </c>
      <c r="B22" t="s">
        <v>10</v>
      </c>
      <c r="D22" t="s">
        <v>48</v>
      </c>
      <c r="G22">
        <f>AL28/AP28</f>
        <v>0</v>
      </c>
      <c r="K22">
        <f>AVERAGE(C39:C50)</f>
        <v>3.5833333333333335</v>
      </c>
      <c r="L22">
        <f>MEDIAN(C39:C50)</f>
        <v>4</v>
      </c>
      <c r="M22">
        <f>MAX(C39:C50)</f>
        <v>5</v>
      </c>
      <c r="N22">
        <f>_xlfn.STDEV.S(C39:C50)</f>
        <v>1.2401124093721452</v>
      </c>
      <c r="Z22">
        <f t="shared" si="35"/>
        <v>0</v>
      </c>
      <c r="AA22">
        <f t="shared" si="36"/>
        <v>0</v>
      </c>
      <c r="AE22">
        <f t="shared" si="37"/>
        <v>0</v>
      </c>
      <c r="AF22">
        <f t="shared" si="38"/>
        <v>0</v>
      </c>
      <c r="AG22">
        <f t="shared" si="39"/>
        <v>0</v>
      </c>
      <c r="AK22">
        <f t="shared" si="40"/>
        <v>0</v>
      </c>
      <c r="AL22">
        <f t="shared" si="41"/>
        <v>0</v>
      </c>
      <c r="AM22">
        <f t="shared" si="42"/>
        <v>0</v>
      </c>
      <c r="AN22">
        <f t="shared" si="43"/>
        <v>0</v>
      </c>
      <c r="AP22">
        <f t="shared" si="46"/>
        <v>0</v>
      </c>
      <c r="AQ22" s="4">
        <f t="shared" si="47"/>
        <v>0</v>
      </c>
      <c r="AR22" s="4">
        <f t="shared" si="44"/>
        <v>0</v>
      </c>
      <c r="AS22" s="4">
        <f t="shared" si="44"/>
        <v>0</v>
      </c>
      <c r="AT22" s="4">
        <f t="shared" si="44"/>
        <v>0</v>
      </c>
      <c r="AU22" s="4">
        <f t="shared" si="44"/>
        <v>0</v>
      </c>
      <c r="AV22" s="4">
        <f t="shared" si="44"/>
        <v>0</v>
      </c>
      <c r="AW22" s="4">
        <f t="shared" si="44"/>
        <v>0</v>
      </c>
      <c r="AX22" s="4">
        <f t="shared" si="44"/>
        <v>0</v>
      </c>
      <c r="AY22" s="4">
        <f t="shared" si="44"/>
        <v>0</v>
      </c>
      <c r="AZ22" s="4">
        <f t="shared" si="44"/>
        <v>0</v>
      </c>
      <c r="BA22" s="4">
        <f t="shared" si="44"/>
        <v>0</v>
      </c>
      <c r="BB22" s="4">
        <f t="shared" si="44"/>
        <v>0</v>
      </c>
      <c r="BC22" s="4">
        <f t="shared" si="44"/>
        <v>0</v>
      </c>
      <c r="BD22" s="4">
        <f t="shared" si="44"/>
        <v>0</v>
      </c>
      <c r="BE22" s="4">
        <f t="shared" si="44"/>
        <v>0</v>
      </c>
      <c r="BF22" s="4">
        <f t="shared" si="44"/>
        <v>0</v>
      </c>
      <c r="BG22" s="4">
        <f t="shared" si="44"/>
        <v>0</v>
      </c>
      <c r="BH22" s="4">
        <f t="shared" si="45"/>
        <v>0</v>
      </c>
      <c r="BI22" s="4">
        <f t="shared" si="45"/>
        <v>0</v>
      </c>
      <c r="BJ22" s="4">
        <f t="shared" si="45"/>
        <v>0</v>
      </c>
      <c r="BK22" s="4">
        <f t="shared" si="45"/>
        <v>0</v>
      </c>
      <c r="BL22" s="4">
        <f t="shared" si="45"/>
        <v>0</v>
      </c>
      <c r="BM22" s="4">
        <f t="shared" si="45"/>
        <v>0</v>
      </c>
      <c r="BN22" s="4">
        <f t="shared" si="45"/>
        <v>0</v>
      </c>
    </row>
    <row r="23" spans="1:66" x14ac:dyDescent="0.2">
      <c r="A23" t="s">
        <v>37</v>
      </c>
      <c r="B23" t="s">
        <v>25</v>
      </c>
      <c r="D23">
        <f>H16/A31</f>
        <v>0</v>
      </c>
      <c r="G23" t="s">
        <v>77</v>
      </c>
      <c r="K23" t="s">
        <v>8</v>
      </c>
      <c r="Z23">
        <f t="shared" si="35"/>
        <v>1</v>
      </c>
      <c r="AA23">
        <f t="shared" si="36"/>
        <v>0</v>
      </c>
      <c r="AE23">
        <f t="shared" si="37"/>
        <v>0</v>
      </c>
      <c r="AF23">
        <f t="shared" si="38"/>
        <v>1</v>
      </c>
      <c r="AG23">
        <f t="shared" si="39"/>
        <v>0</v>
      </c>
      <c r="AK23">
        <f t="shared" si="40"/>
        <v>0</v>
      </c>
      <c r="AL23">
        <f t="shared" si="41"/>
        <v>0</v>
      </c>
      <c r="AM23">
        <f t="shared" si="42"/>
        <v>0</v>
      </c>
      <c r="AN23">
        <f t="shared" si="43"/>
        <v>0</v>
      </c>
      <c r="AP23">
        <f t="shared" si="46"/>
        <v>0</v>
      </c>
      <c r="AQ23" s="4">
        <f t="shared" si="47"/>
        <v>0</v>
      </c>
      <c r="AR23" s="4">
        <f t="shared" si="44"/>
        <v>0</v>
      </c>
      <c r="AS23" s="4">
        <f t="shared" si="44"/>
        <v>0</v>
      </c>
      <c r="AT23" s="4">
        <f t="shared" si="44"/>
        <v>0</v>
      </c>
      <c r="AU23" s="4">
        <f t="shared" si="44"/>
        <v>0</v>
      </c>
      <c r="AV23" s="4">
        <f t="shared" si="44"/>
        <v>0</v>
      </c>
      <c r="AW23" s="4">
        <f t="shared" si="44"/>
        <v>0</v>
      </c>
      <c r="AX23" s="4">
        <f t="shared" si="44"/>
        <v>0</v>
      </c>
      <c r="AY23" s="4">
        <f t="shared" si="44"/>
        <v>0</v>
      </c>
      <c r="AZ23" s="4">
        <f t="shared" si="44"/>
        <v>0</v>
      </c>
      <c r="BA23" s="4">
        <f t="shared" si="44"/>
        <v>0</v>
      </c>
      <c r="BB23" s="4">
        <f t="shared" si="44"/>
        <v>0</v>
      </c>
      <c r="BC23" s="4">
        <f t="shared" si="44"/>
        <v>0</v>
      </c>
      <c r="BD23" s="4">
        <f t="shared" si="44"/>
        <v>0</v>
      </c>
      <c r="BE23" s="4">
        <f t="shared" si="44"/>
        <v>0</v>
      </c>
      <c r="BF23" s="4">
        <f t="shared" si="44"/>
        <v>0</v>
      </c>
      <c r="BG23" s="4">
        <f t="shared" si="44"/>
        <v>0</v>
      </c>
      <c r="BH23" s="4">
        <f t="shared" si="45"/>
        <v>0</v>
      </c>
      <c r="BI23" s="4">
        <f t="shared" si="45"/>
        <v>0</v>
      </c>
      <c r="BJ23" s="4">
        <f t="shared" si="45"/>
        <v>0</v>
      </c>
      <c r="BK23" s="4">
        <f t="shared" si="45"/>
        <v>0</v>
      </c>
      <c r="BL23" s="4">
        <f t="shared" si="45"/>
        <v>0</v>
      </c>
      <c r="BM23" s="4">
        <f t="shared" si="45"/>
        <v>0</v>
      </c>
      <c r="BN23" s="4">
        <f t="shared" si="45"/>
        <v>0</v>
      </c>
    </row>
    <row r="24" spans="1:66" x14ac:dyDescent="0.2">
      <c r="A24" t="s">
        <v>38</v>
      </c>
      <c r="B24" t="s">
        <v>26</v>
      </c>
      <c r="D24" t="s">
        <v>50</v>
      </c>
      <c r="G24">
        <f>AM28/AP28</f>
        <v>0</v>
      </c>
      <c r="K24" t="s">
        <v>57</v>
      </c>
      <c r="L24" t="s">
        <v>61</v>
      </c>
      <c r="M24" t="s">
        <v>59</v>
      </c>
      <c r="N24" t="s">
        <v>60</v>
      </c>
      <c r="Z24">
        <f t="shared" si="35"/>
        <v>0</v>
      </c>
      <c r="AA24">
        <f t="shared" si="36"/>
        <v>0</v>
      </c>
      <c r="AE24">
        <f t="shared" si="37"/>
        <v>0</v>
      </c>
      <c r="AF24">
        <f t="shared" si="38"/>
        <v>1</v>
      </c>
      <c r="AG24">
        <f t="shared" si="39"/>
        <v>0</v>
      </c>
      <c r="AK24">
        <f t="shared" si="40"/>
        <v>0</v>
      </c>
      <c r="AL24">
        <f t="shared" si="41"/>
        <v>0</v>
      </c>
      <c r="AM24">
        <f t="shared" si="42"/>
        <v>0</v>
      </c>
      <c r="AN24">
        <f t="shared" si="43"/>
        <v>0</v>
      </c>
      <c r="AP24">
        <f t="shared" si="46"/>
        <v>0</v>
      </c>
      <c r="AQ24" s="4">
        <f t="shared" si="47"/>
        <v>0</v>
      </c>
      <c r="AR24" s="4">
        <f t="shared" si="44"/>
        <v>0</v>
      </c>
      <c r="AS24" s="4">
        <f t="shared" si="44"/>
        <v>0</v>
      </c>
      <c r="AT24" s="4">
        <f t="shared" si="44"/>
        <v>0</v>
      </c>
      <c r="AU24" s="4">
        <f t="shared" si="44"/>
        <v>0</v>
      </c>
      <c r="AV24" s="4">
        <f t="shared" si="44"/>
        <v>0</v>
      </c>
      <c r="AW24" s="4">
        <f t="shared" si="44"/>
        <v>0</v>
      </c>
      <c r="AX24" s="4">
        <f t="shared" si="44"/>
        <v>0</v>
      </c>
      <c r="AY24" s="4">
        <f t="shared" si="44"/>
        <v>0</v>
      </c>
      <c r="AZ24" s="4">
        <f t="shared" si="44"/>
        <v>0</v>
      </c>
      <c r="BA24" s="4">
        <f t="shared" si="44"/>
        <v>0</v>
      </c>
      <c r="BB24" s="4">
        <f t="shared" si="44"/>
        <v>0</v>
      </c>
      <c r="BC24" s="4">
        <f t="shared" si="44"/>
        <v>0</v>
      </c>
      <c r="BD24" s="4">
        <f t="shared" si="44"/>
        <v>0</v>
      </c>
      <c r="BE24" s="4">
        <f t="shared" si="44"/>
        <v>0</v>
      </c>
      <c r="BF24" s="4">
        <f t="shared" si="44"/>
        <v>0</v>
      </c>
      <c r="BG24" s="4">
        <f t="shared" si="44"/>
        <v>0</v>
      </c>
      <c r="BH24" s="4">
        <f t="shared" si="45"/>
        <v>0</v>
      </c>
      <c r="BI24" s="4">
        <f t="shared" si="45"/>
        <v>0</v>
      </c>
      <c r="BJ24" s="4">
        <f t="shared" si="45"/>
        <v>0</v>
      </c>
      <c r="BK24" s="4">
        <f t="shared" si="45"/>
        <v>0</v>
      </c>
      <c r="BL24" s="4">
        <f t="shared" si="45"/>
        <v>0</v>
      </c>
      <c r="BM24" s="4">
        <f t="shared" si="45"/>
        <v>0</v>
      </c>
      <c r="BN24" s="4">
        <f t="shared" si="45"/>
        <v>0</v>
      </c>
    </row>
    <row r="25" spans="1:66" x14ac:dyDescent="0.2">
      <c r="A25" t="s">
        <v>39</v>
      </c>
      <c r="B25" t="s">
        <v>27</v>
      </c>
      <c r="D25">
        <f>Z28/A31</f>
        <v>8.3333333333333329E-2</v>
      </c>
      <c r="G25" t="s">
        <v>78</v>
      </c>
      <c r="K25">
        <f>AVERAGE(E39:E50)</f>
        <v>0</v>
      </c>
      <c r="L25">
        <f>MEDIAN(E39:E50)</f>
        <v>0</v>
      </c>
      <c r="M25">
        <f>MAX(E39:E50)</f>
        <v>0</v>
      </c>
      <c r="N25">
        <f>_xlfn.STDEV.S(E39:E50)</f>
        <v>0</v>
      </c>
      <c r="Z25">
        <f t="shared" si="35"/>
        <v>0</v>
      </c>
      <c r="AA25">
        <f t="shared" si="36"/>
        <v>0</v>
      </c>
      <c r="AE25">
        <f t="shared" si="37"/>
        <v>0</v>
      </c>
      <c r="AF25">
        <f t="shared" si="38"/>
        <v>1</v>
      </c>
      <c r="AG25">
        <f t="shared" si="39"/>
        <v>0</v>
      </c>
      <c r="AK25">
        <f t="shared" si="40"/>
        <v>0</v>
      </c>
      <c r="AL25">
        <f t="shared" si="41"/>
        <v>0</v>
      </c>
      <c r="AM25">
        <f t="shared" si="42"/>
        <v>0</v>
      </c>
      <c r="AN25">
        <f t="shared" si="43"/>
        <v>0</v>
      </c>
      <c r="AP25">
        <f t="shared" si="46"/>
        <v>0</v>
      </c>
      <c r="AQ25" s="4">
        <f t="shared" si="47"/>
        <v>0</v>
      </c>
      <c r="AR25" s="4">
        <f t="shared" si="44"/>
        <v>0</v>
      </c>
      <c r="AS25" s="4">
        <f t="shared" si="44"/>
        <v>0</v>
      </c>
      <c r="AT25" s="4">
        <f t="shared" si="44"/>
        <v>0</v>
      </c>
      <c r="AU25" s="4">
        <f t="shared" si="44"/>
        <v>0</v>
      </c>
      <c r="AV25" s="4">
        <f t="shared" si="44"/>
        <v>0</v>
      </c>
      <c r="AW25" s="4">
        <f t="shared" si="44"/>
        <v>0</v>
      </c>
      <c r="AX25" s="4">
        <f t="shared" si="44"/>
        <v>0</v>
      </c>
      <c r="AY25" s="4">
        <f t="shared" si="44"/>
        <v>0</v>
      </c>
      <c r="AZ25" s="4">
        <f t="shared" si="44"/>
        <v>0</v>
      </c>
      <c r="BA25" s="4">
        <f t="shared" si="44"/>
        <v>0</v>
      </c>
      <c r="BB25" s="4">
        <f t="shared" si="44"/>
        <v>0</v>
      </c>
      <c r="BC25" s="4">
        <f t="shared" si="44"/>
        <v>0</v>
      </c>
      <c r="BD25" s="4">
        <f t="shared" si="44"/>
        <v>0</v>
      </c>
      <c r="BE25" s="4">
        <f t="shared" si="44"/>
        <v>0</v>
      </c>
      <c r="BF25" s="4">
        <f t="shared" si="44"/>
        <v>0</v>
      </c>
      <c r="BG25" s="4">
        <f t="shared" si="44"/>
        <v>0</v>
      </c>
      <c r="BH25" s="4">
        <f t="shared" si="45"/>
        <v>0</v>
      </c>
      <c r="BI25" s="4">
        <f t="shared" si="45"/>
        <v>0</v>
      </c>
      <c r="BJ25" s="4">
        <f t="shared" si="45"/>
        <v>0</v>
      </c>
      <c r="BK25" s="4">
        <f t="shared" si="45"/>
        <v>0</v>
      </c>
      <c r="BL25" s="4">
        <f t="shared" si="45"/>
        <v>0</v>
      </c>
      <c r="BM25" s="4">
        <f t="shared" si="45"/>
        <v>0</v>
      </c>
      <c r="BN25" s="4">
        <f t="shared" si="45"/>
        <v>0</v>
      </c>
    </row>
    <row r="26" spans="1:66" x14ac:dyDescent="0.2">
      <c r="A26" t="s">
        <v>44</v>
      </c>
      <c r="D26" t="s">
        <v>51</v>
      </c>
      <c r="G26">
        <f>AN28/AP28</f>
        <v>0</v>
      </c>
      <c r="K26" t="s">
        <v>62</v>
      </c>
      <c r="P26" t="s">
        <v>19</v>
      </c>
      <c r="Z26">
        <f t="shared" si="35"/>
        <v>0</v>
      </c>
      <c r="AA26">
        <f t="shared" si="36"/>
        <v>0</v>
      </c>
      <c r="AE26">
        <f t="shared" si="37"/>
        <v>0</v>
      </c>
      <c r="AF26">
        <f t="shared" si="38"/>
        <v>1</v>
      </c>
      <c r="AG26">
        <f t="shared" si="39"/>
        <v>0</v>
      </c>
      <c r="AK26">
        <f t="shared" si="40"/>
        <v>0</v>
      </c>
      <c r="AL26">
        <f t="shared" si="41"/>
        <v>0</v>
      </c>
      <c r="AM26">
        <f t="shared" si="42"/>
        <v>0</v>
      </c>
      <c r="AN26">
        <f t="shared" si="43"/>
        <v>0</v>
      </c>
      <c r="AP26">
        <f t="shared" si="46"/>
        <v>0</v>
      </c>
      <c r="AQ26" s="4">
        <f t="shared" si="47"/>
        <v>0</v>
      </c>
      <c r="AR26" s="4">
        <f t="shared" si="44"/>
        <v>0</v>
      </c>
      <c r="AS26" s="4">
        <f t="shared" si="44"/>
        <v>0</v>
      </c>
      <c r="AT26" s="4">
        <f t="shared" si="44"/>
        <v>0</v>
      </c>
      <c r="AU26" s="4">
        <f t="shared" si="44"/>
        <v>0</v>
      </c>
      <c r="AV26" s="4">
        <f t="shared" si="44"/>
        <v>0</v>
      </c>
      <c r="AW26" s="4">
        <f t="shared" si="44"/>
        <v>0</v>
      </c>
      <c r="AX26" s="4">
        <f t="shared" si="44"/>
        <v>0</v>
      </c>
      <c r="AY26" s="4">
        <f t="shared" si="44"/>
        <v>0</v>
      </c>
      <c r="AZ26" s="4">
        <f t="shared" si="44"/>
        <v>0</v>
      </c>
      <c r="BA26" s="4">
        <f t="shared" si="44"/>
        <v>0</v>
      </c>
      <c r="BB26" s="4">
        <f t="shared" si="44"/>
        <v>0</v>
      </c>
      <c r="BC26" s="4">
        <f t="shared" si="44"/>
        <v>0</v>
      </c>
      <c r="BD26" s="4">
        <f t="shared" si="44"/>
        <v>0</v>
      </c>
      <c r="BE26" s="4">
        <f t="shared" si="44"/>
        <v>0</v>
      </c>
      <c r="BF26" s="4">
        <f t="shared" si="44"/>
        <v>0</v>
      </c>
      <c r="BG26" s="4">
        <f t="shared" si="44"/>
        <v>0</v>
      </c>
      <c r="BH26" s="4">
        <f t="shared" si="45"/>
        <v>0</v>
      </c>
      <c r="BI26" s="4">
        <f t="shared" si="45"/>
        <v>0</v>
      </c>
      <c r="BJ26" s="4">
        <f t="shared" si="45"/>
        <v>0</v>
      </c>
      <c r="BK26" s="4">
        <f t="shared" si="45"/>
        <v>0</v>
      </c>
      <c r="BL26" s="4">
        <f t="shared" si="45"/>
        <v>0</v>
      </c>
      <c r="BM26" s="4">
        <f t="shared" si="45"/>
        <v>0</v>
      </c>
      <c r="BN26" s="4">
        <f t="shared" si="45"/>
        <v>0</v>
      </c>
    </row>
    <row r="27" spans="1:66" x14ac:dyDescent="0.2">
      <c r="A27" t="s">
        <v>45</v>
      </c>
      <c r="D27">
        <f>AA28/A31</f>
        <v>0</v>
      </c>
      <c r="G27" t="s">
        <v>56</v>
      </c>
      <c r="K27" t="s">
        <v>57</v>
      </c>
      <c r="L27" t="s">
        <v>58</v>
      </c>
      <c r="M27" t="s">
        <v>59</v>
      </c>
      <c r="N27" t="s">
        <v>60</v>
      </c>
      <c r="P27" t="s">
        <v>57</v>
      </c>
      <c r="Q27" t="s">
        <v>58</v>
      </c>
      <c r="R27" t="s">
        <v>59</v>
      </c>
      <c r="S27" t="s">
        <v>60</v>
      </c>
      <c r="Z27">
        <f t="shared" si="35"/>
        <v>0</v>
      </c>
      <c r="AA27">
        <f t="shared" si="36"/>
        <v>0</v>
      </c>
      <c r="AE27">
        <f t="shared" si="37"/>
        <v>0</v>
      </c>
      <c r="AF27">
        <f t="shared" si="38"/>
        <v>0</v>
      </c>
      <c r="AG27">
        <f t="shared" si="39"/>
        <v>0</v>
      </c>
      <c r="AK27">
        <f t="shared" si="40"/>
        <v>0</v>
      </c>
      <c r="AL27">
        <f t="shared" si="41"/>
        <v>0</v>
      </c>
      <c r="AM27">
        <f t="shared" si="42"/>
        <v>0</v>
      </c>
      <c r="AN27">
        <f t="shared" si="43"/>
        <v>0</v>
      </c>
      <c r="AP27">
        <f t="shared" si="46"/>
        <v>0</v>
      </c>
      <c r="AQ27" s="4">
        <f t="shared" si="47"/>
        <v>0</v>
      </c>
      <c r="AR27" s="4">
        <f t="shared" si="44"/>
        <v>0</v>
      </c>
      <c r="AS27" s="4">
        <f t="shared" si="44"/>
        <v>0</v>
      </c>
      <c r="AT27" s="4">
        <f t="shared" si="44"/>
        <v>0</v>
      </c>
      <c r="AU27" s="4">
        <f t="shared" si="44"/>
        <v>0</v>
      </c>
      <c r="AV27" s="4">
        <f t="shared" si="44"/>
        <v>0</v>
      </c>
      <c r="AW27" s="4">
        <f t="shared" si="44"/>
        <v>0</v>
      </c>
      <c r="AX27" s="4">
        <f t="shared" si="44"/>
        <v>0</v>
      </c>
      <c r="AY27" s="4">
        <f t="shared" si="44"/>
        <v>0</v>
      </c>
      <c r="AZ27" s="4">
        <f t="shared" si="44"/>
        <v>0</v>
      </c>
      <c r="BA27" s="4">
        <f t="shared" si="44"/>
        <v>0</v>
      </c>
      <c r="BB27" s="4">
        <f t="shared" si="44"/>
        <v>0</v>
      </c>
      <c r="BC27" s="4">
        <f t="shared" si="44"/>
        <v>0</v>
      </c>
      <c r="BD27" s="4">
        <f t="shared" si="44"/>
        <v>0</v>
      </c>
      <c r="BE27" s="4">
        <f t="shared" si="44"/>
        <v>0</v>
      </c>
      <c r="BF27" s="4">
        <f t="shared" si="44"/>
        <v>0</v>
      </c>
      <c r="BG27" s="4">
        <f t="shared" si="44"/>
        <v>0</v>
      </c>
      <c r="BH27" s="4">
        <f t="shared" si="45"/>
        <v>0</v>
      </c>
      <c r="BI27" s="4">
        <f t="shared" si="45"/>
        <v>0</v>
      </c>
      <c r="BJ27" s="4">
        <f t="shared" si="45"/>
        <v>0</v>
      </c>
      <c r="BK27" s="4">
        <f t="shared" si="45"/>
        <v>0</v>
      </c>
      <c r="BL27" s="4">
        <f t="shared" si="45"/>
        <v>0</v>
      </c>
      <c r="BM27" s="4">
        <f t="shared" si="45"/>
        <v>0</v>
      </c>
      <c r="BN27" s="4">
        <f t="shared" si="45"/>
        <v>0</v>
      </c>
    </row>
    <row r="28" spans="1:66" x14ac:dyDescent="0.2">
      <c r="A28" t="s">
        <v>46</v>
      </c>
      <c r="D28" t="s">
        <v>202</v>
      </c>
      <c r="G28" t="s">
        <v>57</v>
      </c>
      <c r="H28" t="s">
        <v>58</v>
      </c>
      <c r="I28" t="s">
        <v>59</v>
      </c>
      <c r="J28" t="s">
        <v>60</v>
      </c>
      <c r="K28">
        <f>AVERAGE(G39:G50)</f>
        <v>0</v>
      </c>
      <c r="L28">
        <f>MEDIAN(G39:G50)</f>
        <v>0</v>
      </c>
      <c r="M28">
        <f>MAX(G39:G50)</f>
        <v>0</v>
      </c>
      <c r="N28">
        <f>_xlfn.STDEV.S(G39:G50)</f>
        <v>0</v>
      </c>
      <c r="P28">
        <f>AVERAGE(N39:N50)</f>
        <v>1.25</v>
      </c>
      <c r="Q28">
        <f>MEDIAN(N39:N50)</f>
        <v>0</v>
      </c>
      <c r="R28">
        <f>MAX(N39:N50)</f>
        <v>5</v>
      </c>
      <c r="S28">
        <f>_xlfn.STDEV.S(N39:N50)</f>
        <v>1.815338686155987</v>
      </c>
      <c r="Y28" t="s">
        <v>33</v>
      </c>
      <c r="Z28">
        <f>SUM(Z16:Z27)</f>
        <v>1</v>
      </c>
      <c r="AA28">
        <f>SUM(AA16:AA27)</f>
        <v>0</v>
      </c>
      <c r="AE28">
        <f>SUM(AE16:AE27)</f>
        <v>0</v>
      </c>
      <c r="AF28">
        <f>SUM(AF16:AF27)</f>
        <v>5</v>
      </c>
      <c r="AG28">
        <f>SUM(AG16:AG27)</f>
        <v>0</v>
      </c>
      <c r="AK28">
        <f>SUM(AK16:AK27)</f>
        <v>1</v>
      </c>
      <c r="AL28">
        <f>SUM(AL16:AL27)</f>
        <v>0</v>
      </c>
      <c r="AM28">
        <f>SUM(AM16:AM27)</f>
        <v>0</v>
      </c>
      <c r="AN28">
        <f>SUM(AN16:AN27)</f>
        <v>0</v>
      </c>
      <c r="AP28">
        <f>SUM(AP16:AP27)</f>
        <v>1</v>
      </c>
    </row>
    <row r="29" spans="1:66" x14ac:dyDescent="0.2">
      <c r="D29">
        <f>SUM(O39:O50)/F16</f>
        <v>0.5</v>
      </c>
      <c r="G29">
        <f>AVERAGE(A39:A50)</f>
        <v>0.41666666666666669</v>
      </c>
      <c r="H29">
        <f>MEDIAN(A39:A50)</f>
        <v>0</v>
      </c>
      <c r="I29">
        <f>MAX(A39:A50)</f>
        <v>1</v>
      </c>
      <c r="J29">
        <f>_xlfn.STDEV.S(A39:A50)</f>
        <v>0.51492865054443726</v>
      </c>
      <c r="K29" t="s">
        <v>63</v>
      </c>
      <c r="P29" t="s">
        <v>148</v>
      </c>
    </row>
    <row r="30" spans="1:66" x14ac:dyDescent="0.2">
      <c r="A30" t="s">
        <v>147</v>
      </c>
      <c r="D30" t="s">
        <v>203</v>
      </c>
      <c r="G30" t="s">
        <v>50</v>
      </c>
      <c r="H30" t="s">
        <v>51</v>
      </c>
      <c r="I30" t="s">
        <v>89</v>
      </c>
      <c r="K30" t="s">
        <v>57</v>
      </c>
      <c r="L30" t="s">
        <v>58</v>
      </c>
      <c r="M30" t="s">
        <v>59</v>
      </c>
      <c r="N30" t="s">
        <v>60</v>
      </c>
      <c r="P30" t="s">
        <v>57</v>
      </c>
      <c r="Q30" t="s">
        <v>58</v>
      </c>
      <c r="R30" t="s">
        <v>59</v>
      </c>
      <c r="S30" t="s">
        <v>60</v>
      </c>
      <c r="W30" t="s">
        <v>148</v>
      </c>
      <c r="Y30" t="s">
        <v>149</v>
      </c>
      <c r="AH30" t="s">
        <v>79</v>
      </c>
    </row>
    <row r="31" spans="1:66" x14ac:dyDescent="0.2">
      <c r="A31">
        <f>COUNT(B4:B15)</f>
        <v>12</v>
      </c>
      <c r="D31" s="2">
        <f>SUM(S39:S50)/SUM(Q39:Q50)</f>
        <v>0.22222222222222221</v>
      </c>
      <c r="G31">
        <f>AE28/A31</f>
        <v>0</v>
      </c>
      <c r="H31">
        <f>AF28/A31</f>
        <v>0.41666666666666669</v>
      </c>
      <c r="I31">
        <f>AG28/A31</f>
        <v>0</v>
      </c>
      <c r="K31" t="e">
        <f>AVERAGE(I39:I50)</f>
        <v>#DIV/0!</v>
      </c>
      <c r="L31" t="e">
        <f>MEDIAN(I39:I50)</f>
        <v>#NUM!</v>
      </c>
      <c r="M31">
        <f>MAX(I39:I50)</f>
        <v>0</v>
      </c>
      <c r="N31" t="e">
        <f>_xlfn.STDEV.S(I39:I50)</f>
        <v>#DIV/0!</v>
      </c>
      <c r="P31" t="e">
        <f>AVERAGE(W31:W42)</f>
        <v>#DIV/0!</v>
      </c>
      <c r="Q31" t="e">
        <f>MEDIAN(W31:W42)</f>
        <v>#NUM!</v>
      </c>
      <c r="R31">
        <f>MAX(W31:W42)</f>
        <v>0</v>
      </c>
      <c r="S31" t="e">
        <f>_xlfn.STDEV.S(W31:W42)</f>
        <v>#DIV/0!</v>
      </c>
      <c r="W31" t="str">
        <f t="shared" ref="W31:W33" si="48">IF(AND(ISBLANK(Q4), ISBLANK(R4), ISBLANK(G4), ISBLANK(H4)), "", U4)</f>
        <v/>
      </c>
      <c r="Y31" t="str">
        <f t="shared" ref="Y31:Y42" si="49">IF(ISBLANK(Y4), IF(X4 = 0, "", (G4 + H4/3 + V4/9 + W4/3)), U4)</f>
        <v/>
      </c>
      <c r="AH31" t="s">
        <v>80</v>
      </c>
    </row>
    <row r="32" spans="1:66" x14ac:dyDescent="0.2">
      <c r="D32" s="3"/>
      <c r="K32" t="s">
        <v>64</v>
      </c>
      <c r="P32" t="s">
        <v>149</v>
      </c>
      <c r="W32" t="str">
        <f t="shared" si="48"/>
        <v/>
      </c>
      <c r="Y32" t="str">
        <f t="shared" si="49"/>
        <v/>
      </c>
      <c r="AH32" t="s">
        <v>81</v>
      </c>
    </row>
    <row r="33" spans="1:34" x14ac:dyDescent="0.2">
      <c r="D33" s="3"/>
      <c r="K33" t="s">
        <v>57</v>
      </c>
      <c r="L33" t="s">
        <v>58</v>
      </c>
      <c r="M33" t="s">
        <v>59</v>
      </c>
      <c r="N33" t="s">
        <v>60</v>
      </c>
      <c r="P33" t="s">
        <v>57</v>
      </c>
      <c r="Q33" t="s">
        <v>58</v>
      </c>
      <c r="R33" t="s">
        <v>59</v>
      </c>
      <c r="S33" t="s">
        <v>60</v>
      </c>
      <c r="W33" t="str">
        <f t="shared" si="48"/>
        <v/>
      </c>
      <c r="Y33" t="str">
        <f t="shared" si="49"/>
        <v/>
      </c>
      <c r="AH33" t="s">
        <v>82</v>
      </c>
    </row>
    <row r="34" spans="1:34" x14ac:dyDescent="0.2">
      <c r="D34" s="3"/>
      <c r="K34">
        <f>AVERAGE(K39:K50)</f>
        <v>0</v>
      </c>
      <c r="L34">
        <f>MEDIAN(K39:K50)</f>
        <v>0</v>
      </c>
      <c r="M34">
        <f>MAX(K39:K50)</f>
        <v>0</v>
      </c>
      <c r="N34">
        <f>_xlfn.STDEV.S(K39:K50)</f>
        <v>0</v>
      </c>
      <c r="P34" t="e">
        <f>AVERAGE(Y31:Y42)</f>
        <v>#DIV/0!</v>
      </c>
      <c r="Q34" t="e">
        <f>MEDIAN(Y31:Y42)</f>
        <v>#NUM!</v>
      </c>
      <c r="R34">
        <f>MAX(Y31:Y42)</f>
        <v>0</v>
      </c>
      <c r="S34" t="e">
        <f>_xlfn.STDEV.S(Y31:Y42)</f>
        <v>#DIV/0!</v>
      </c>
      <c r="W34" t="str">
        <f>IF(AND(ISBLANK(Q7), ISBLANK(R7), ISBLANK(G7), ISBLANK(H7)), "", U7)</f>
        <v/>
      </c>
      <c r="Y34" t="str">
        <f t="shared" si="49"/>
        <v/>
      </c>
      <c r="AH34" t="s">
        <v>83</v>
      </c>
    </row>
    <row r="35" spans="1:34" x14ac:dyDescent="0.2">
      <c r="P35" t="s">
        <v>95</v>
      </c>
      <c r="R35" t="s">
        <v>197</v>
      </c>
      <c r="W35" t="str">
        <f t="shared" ref="W35:W42" si="50">IF(AND(ISBLANK(Q8), ISBLANK(R8), ISBLANK(G8), ISBLANK(H8)), "", U8)</f>
        <v/>
      </c>
      <c r="Y35" t="str">
        <f t="shared" si="49"/>
        <v/>
      </c>
    </row>
    <row r="36" spans="1:34" x14ac:dyDescent="0.2">
      <c r="P36" t="e">
        <f>Q16/(Q16+R16)</f>
        <v>#DIV/0!</v>
      </c>
      <c r="R36" t="e">
        <f>R16/(Q16+R16)</f>
        <v>#DIV/0!</v>
      </c>
      <c r="W36" t="str">
        <f t="shared" si="50"/>
        <v/>
      </c>
      <c r="Y36" t="str">
        <f t="shared" si="49"/>
        <v/>
      </c>
    </row>
    <row r="37" spans="1:34" x14ac:dyDescent="0.2">
      <c r="W37" t="str">
        <f t="shared" si="50"/>
        <v/>
      </c>
      <c r="Y37" t="str">
        <f t="shared" si="49"/>
        <v/>
      </c>
    </row>
    <row r="38" spans="1:34" x14ac:dyDescent="0.2">
      <c r="A38" t="s">
        <v>68</v>
      </c>
      <c r="C38" t="s">
        <v>69</v>
      </c>
      <c r="E38" t="s">
        <v>72</v>
      </c>
      <c r="G38" t="s">
        <v>250</v>
      </c>
      <c r="K38" t="s">
        <v>73</v>
      </c>
      <c r="M38" t="s">
        <v>70</v>
      </c>
      <c r="N38" t="s">
        <v>71</v>
      </c>
      <c r="O38" t="s">
        <v>199</v>
      </c>
      <c r="Q38" t="s">
        <v>200</v>
      </c>
      <c r="S38" t="s">
        <v>201</v>
      </c>
      <c r="W38" t="str">
        <f t="shared" si="50"/>
        <v/>
      </c>
      <c r="Y38" t="str">
        <f t="shared" si="49"/>
        <v/>
      </c>
    </row>
    <row r="39" spans="1:34" x14ac:dyDescent="0.2">
      <c r="A39">
        <f t="shared" ref="A39:A50" si="51">IF(ISBLANK(B4), "", SUM(AE16+AF16+AG16))</f>
        <v>1</v>
      </c>
      <c r="C39">
        <f t="shared" ref="C39:C50" si="52">IF(ISBLANK(B4), "", O4)</f>
        <v>4</v>
      </c>
      <c r="E39">
        <f t="shared" ref="E39:E50" si="53">IF(ISBLANK(B4), "", Q4)</f>
        <v>0</v>
      </c>
      <c r="G39">
        <f t="shared" ref="G39:G50" si="54">IF(ISBLANK(B4), "", R4)</f>
        <v>0</v>
      </c>
      <c r="K39">
        <f t="shared" ref="K39:K50" si="55">IF(ISBLANK(B4), "", SUM(Q4 + R4))</f>
        <v>0</v>
      </c>
      <c r="M39">
        <f t="shared" ref="M39:M50" si="56">IF(ISBLANK(B4), "", SUM(K4+M4) - O4)</f>
        <v>0</v>
      </c>
      <c r="N39">
        <f t="shared" ref="N39:N50" si="57">IF(ISBLANK(B4), "", U4)</f>
        <v>3</v>
      </c>
      <c r="O39">
        <f t="shared" ref="O39:O50" si="58">COUNTIF(E4, "1")*COUNTIF(F4, "1")</f>
        <v>0</v>
      </c>
      <c r="Q39">
        <f t="shared" ref="Q39:Q50" si="59">COUNTIF(D4, "1")*COUNTIF(F4, "")</f>
        <v>1</v>
      </c>
      <c r="S39">
        <f t="shared" ref="S39:S50" si="60">COUNTIF(E4, "1")*COUNTIF(F4, "")</f>
        <v>1</v>
      </c>
      <c r="W39" t="str">
        <f t="shared" si="50"/>
        <v/>
      </c>
      <c r="Y39" t="str">
        <f t="shared" si="49"/>
        <v/>
      </c>
    </row>
    <row r="40" spans="1:34" x14ac:dyDescent="0.2">
      <c r="A40">
        <f t="shared" si="51"/>
        <v>0</v>
      </c>
      <c r="C40">
        <f t="shared" si="52"/>
        <v>5</v>
      </c>
      <c r="E40">
        <f t="shared" si="53"/>
        <v>0</v>
      </c>
      <c r="G40">
        <f t="shared" si="54"/>
        <v>0</v>
      </c>
      <c r="K40">
        <f t="shared" si="55"/>
        <v>0</v>
      </c>
      <c r="M40">
        <f t="shared" si="56"/>
        <v>-1</v>
      </c>
      <c r="N40">
        <f t="shared" si="57"/>
        <v>0</v>
      </c>
      <c r="O40">
        <f t="shared" si="58"/>
        <v>0</v>
      </c>
      <c r="Q40">
        <f t="shared" si="59"/>
        <v>1</v>
      </c>
      <c r="S40">
        <f t="shared" si="60"/>
        <v>0</v>
      </c>
      <c r="W40" t="str">
        <f t="shared" si="50"/>
        <v/>
      </c>
      <c r="Y40" t="str">
        <f t="shared" si="49"/>
        <v/>
      </c>
    </row>
    <row r="41" spans="1:34" x14ac:dyDescent="0.2">
      <c r="A41">
        <f t="shared" si="51"/>
        <v>0</v>
      </c>
      <c r="C41">
        <f t="shared" si="52"/>
        <v>5</v>
      </c>
      <c r="E41">
        <f t="shared" si="53"/>
        <v>0</v>
      </c>
      <c r="G41">
        <f t="shared" si="54"/>
        <v>0</v>
      </c>
      <c r="K41">
        <f t="shared" si="55"/>
        <v>0</v>
      </c>
      <c r="M41">
        <f t="shared" si="56"/>
        <v>-1</v>
      </c>
      <c r="N41">
        <f t="shared" si="57"/>
        <v>5</v>
      </c>
      <c r="O41">
        <f t="shared" si="58"/>
        <v>0</v>
      </c>
      <c r="Q41">
        <f t="shared" si="59"/>
        <v>1</v>
      </c>
      <c r="S41">
        <f t="shared" si="60"/>
        <v>0</v>
      </c>
      <c r="W41" t="str">
        <f t="shared" si="50"/>
        <v/>
      </c>
      <c r="Y41" t="str">
        <f t="shared" si="49"/>
        <v/>
      </c>
    </row>
    <row r="42" spans="1:34" x14ac:dyDescent="0.2">
      <c r="A42">
        <f t="shared" si="51"/>
        <v>0</v>
      </c>
      <c r="C42">
        <f t="shared" si="52"/>
        <v>3</v>
      </c>
      <c r="E42">
        <f t="shared" si="53"/>
        <v>0</v>
      </c>
      <c r="G42">
        <f t="shared" si="54"/>
        <v>0</v>
      </c>
      <c r="K42">
        <f t="shared" si="55"/>
        <v>0</v>
      </c>
      <c r="M42">
        <f t="shared" si="56"/>
        <v>1</v>
      </c>
      <c r="N42">
        <f t="shared" si="57"/>
        <v>0</v>
      </c>
      <c r="O42">
        <f t="shared" si="58"/>
        <v>0</v>
      </c>
      <c r="Q42">
        <f t="shared" si="59"/>
        <v>0</v>
      </c>
      <c r="S42">
        <f t="shared" si="60"/>
        <v>0</v>
      </c>
      <c r="W42" t="str">
        <f t="shared" si="50"/>
        <v/>
      </c>
      <c r="Y42" t="str">
        <f t="shared" si="49"/>
        <v/>
      </c>
    </row>
    <row r="43" spans="1:34" x14ac:dyDescent="0.2">
      <c r="A43">
        <f t="shared" si="51"/>
        <v>0</v>
      </c>
      <c r="C43">
        <f t="shared" si="52"/>
        <v>3</v>
      </c>
      <c r="E43">
        <f t="shared" si="53"/>
        <v>0</v>
      </c>
      <c r="G43">
        <f t="shared" si="54"/>
        <v>0</v>
      </c>
      <c r="K43">
        <f t="shared" si="55"/>
        <v>0</v>
      </c>
      <c r="M43">
        <f t="shared" si="56"/>
        <v>0</v>
      </c>
      <c r="N43">
        <f t="shared" si="57"/>
        <v>1</v>
      </c>
      <c r="O43">
        <f t="shared" si="58"/>
        <v>0</v>
      </c>
      <c r="Q43">
        <f t="shared" si="59"/>
        <v>1</v>
      </c>
      <c r="S43">
        <f t="shared" si="60"/>
        <v>1</v>
      </c>
    </row>
    <row r="44" spans="1:34" x14ac:dyDescent="0.2">
      <c r="A44">
        <f t="shared" si="51"/>
        <v>0</v>
      </c>
      <c r="C44">
        <f t="shared" si="52"/>
        <v>2</v>
      </c>
      <c r="E44">
        <f t="shared" si="53"/>
        <v>0</v>
      </c>
      <c r="G44">
        <f t="shared" si="54"/>
        <v>0</v>
      </c>
      <c r="K44">
        <f t="shared" si="55"/>
        <v>0</v>
      </c>
      <c r="M44">
        <f t="shared" si="56"/>
        <v>0</v>
      </c>
      <c r="N44">
        <f t="shared" si="57"/>
        <v>0</v>
      </c>
      <c r="O44">
        <f t="shared" si="58"/>
        <v>0</v>
      </c>
      <c r="Q44">
        <f t="shared" si="59"/>
        <v>1</v>
      </c>
      <c r="S44">
        <f t="shared" si="60"/>
        <v>0</v>
      </c>
    </row>
    <row r="45" spans="1:34" x14ac:dyDescent="0.2">
      <c r="A45">
        <f t="shared" si="51"/>
        <v>0</v>
      </c>
      <c r="C45">
        <f t="shared" si="52"/>
        <v>5</v>
      </c>
      <c r="E45">
        <f t="shared" si="53"/>
        <v>0</v>
      </c>
      <c r="G45">
        <f t="shared" si="54"/>
        <v>0</v>
      </c>
      <c r="K45">
        <f t="shared" si="55"/>
        <v>0</v>
      </c>
      <c r="M45">
        <f t="shared" si="56"/>
        <v>-1</v>
      </c>
      <c r="N45">
        <f t="shared" si="57"/>
        <v>0</v>
      </c>
      <c r="O45">
        <f t="shared" si="58"/>
        <v>0</v>
      </c>
      <c r="Q45">
        <f t="shared" si="59"/>
        <v>1</v>
      </c>
      <c r="S45">
        <f t="shared" si="60"/>
        <v>0</v>
      </c>
    </row>
    <row r="46" spans="1:34" x14ac:dyDescent="0.2">
      <c r="A46">
        <f t="shared" si="51"/>
        <v>1</v>
      </c>
      <c r="C46">
        <f t="shared" si="52"/>
        <v>3</v>
      </c>
      <c r="E46">
        <f t="shared" si="53"/>
        <v>0</v>
      </c>
      <c r="G46">
        <f t="shared" si="54"/>
        <v>0</v>
      </c>
      <c r="K46">
        <f t="shared" si="55"/>
        <v>0</v>
      </c>
      <c r="M46">
        <f t="shared" si="56"/>
        <v>0</v>
      </c>
      <c r="N46">
        <f t="shared" si="57"/>
        <v>0</v>
      </c>
      <c r="O46">
        <f t="shared" si="58"/>
        <v>0</v>
      </c>
      <c r="Q46">
        <f t="shared" si="59"/>
        <v>0</v>
      </c>
      <c r="S46">
        <f t="shared" si="60"/>
        <v>0</v>
      </c>
    </row>
    <row r="47" spans="1:34" x14ac:dyDescent="0.2">
      <c r="A47">
        <f t="shared" si="51"/>
        <v>1</v>
      </c>
      <c r="C47">
        <f t="shared" si="52"/>
        <v>1</v>
      </c>
      <c r="E47">
        <f t="shared" si="53"/>
        <v>0</v>
      </c>
      <c r="G47">
        <f t="shared" si="54"/>
        <v>0</v>
      </c>
      <c r="K47">
        <f t="shared" si="55"/>
        <v>0</v>
      </c>
      <c r="M47">
        <f t="shared" si="56"/>
        <v>1</v>
      </c>
      <c r="N47">
        <f t="shared" si="57"/>
        <v>0</v>
      </c>
      <c r="O47">
        <f t="shared" si="58"/>
        <v>0</v>
      </c>
      <c r="Q47">
        <f t="shared" si="59"/>
        <v>1</v>
      </c>
      <c r="S47">
        <f t="shared" si="60"/>
        <v>0</v>
      </c>
    </row>
    <row r="48" spans="1:34" x14ac:dyDescent="0.2">
      <c r="A48">
        <f t="shared" si="51"/>
        <v>1</v>
      </c>
      <c r="C48">
        <f t="shared" si="52"/>
        <v>4</v>
      </c>
      <c r="E48">
        <f t="shared" si="53"/>
        <v>0</v>
      </c>
      <c r="G48">
        <f t="shared" si="54"/>
        <v>0</v>
      </c>
      <c r="K48">
        <f t="shared" si="55"/>
        <v>0</v>
      </c>
      <c r="M48">
        <f t="shared" si="56"/>
        <v>0</v>
      </c>
      <c r="N48">
        <f t="shared" si="57"/>
        <v>2</v>
      </c>
      <c r="O48">
        <f t="shared" si="58"/>
        <v>1</v>
      </c>
      <c r="Q48">
        <f t="shared" si="59"/>
        <v>0</v>
      </c>
      <c r="S48">
        <f t="shared" si="60"/>
        <v>0</v>
      </c>
    </row>
    <row r="49" spans="1:19" x14ac:dyDescent="0.2">
      <c r="A49">
        <f t="shared" si="51"/>
        <v>1</v>
      </c>
      <c r="C49">
        <f t="shared" si="52"/>
        <v>4</v>
      </c>
      <c r="E49">
        <f t="shared" si="53"/>
        <v>0</v>
      </c>
      <c r="G49">
        <f t="shared" si="54"/>
        <v>0</v>
      </c>
      <c r="K49">
        <f t="shared" si="55"/>
        <v>0</v>
      </c>
      <c r="M49">
        <f t="shared" si="56"/>
        <v>-1</v>
      </c>
      <c r="N49">
        <f t="shared" si="57"/>
        <v>4</v>
      </c>
      <c r="O49">
        <f t="shared" si="58"/>
        <v>0</v>
      </c>
      <c r="Q49">
        <f t="shared" si="59"/>
        <v>1</v>
      </c>
      <c r="S49">
        <f t="shared" si="60"/>
        <v>0</v>
      </c>
    </row>
    <row r="50" spans="1:19" x14ac:dyDescent="0.2">
      <c r="A50">
        <f t="shared" si="51"/>
        <v>0</v>
      </c>
      <c r="C50">
        <f t="shared" si="52"/>
        <v>4</v>
      </c>
      <c r="E50">
        <f t="shared" si="53"/>
        <v>0</v>
      </c>
      <c r="G50">
        <f t="shared" si="54"/>
        <v>0</v>
      </c>
      <c r="K50">
        <f t="shared" si="55"/>
        <v>0</v>
      </c>
      <c r="M50">
        <f t="shared" si="56"/>
        <v>-1</v>
      </c>
      <c r="N50">
        <f t="shared" si="57"/>
        <v>0</v>
      </c>
      <c r="O50">
        <f t="shared" si="58"/>
        <v>0</v>
      </c>
      <c r="Q50">
        <f t="shared" si="59"/>
        <v>1</v>
      </c>
      <c r="S50">
        <f t="shared" si="60"/>
        <v>0</v>
      </c>
    </row>
  </sheetData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 enableFormatConditionsCalculation="0"/>
  <dimension ref="A1:BN50"/>
  <sheetViews>
    <sheetView topLeftCell="E1" workbookViewId="0">
      <selection activeCell="U16" sqref="U16"/>
    </sheetView>
  </sheetViews>
  <sheetFormatPr baseColWidth="10" defaultColWidth="11.5" defaultRowHeight="15" x14ac:dyDescent="0.2"/>
  <sheetData>
    <row r="1" spans="1:66" x14ac:dyDescent="0.2">
      <c r="A1" s="1" t="s">
        <v>0</v>
      </c>
      <c r="D1" t="s">
        <v>3</v>
      </c>
      <c r="K1" t="s">
        <v>11</v>
      </c>
      <c r="N1" t="s">
        <v>12</v>
      </c>
      <c r="P1" t="s">
        <v>14</v>
      </c>
      <c r="Q1" t="s">
        <v>17</v>
      </c>
      <c r="S1" t="s">
        <v>18</v>
      </c>
      <c r="Z1" t="s">
        <v>29</v>
      </c>
      <c r="AE1" t="s">
        <v>30</v>
      </c>
      <c r="AK1" t="s">
        <v>42</v>
      </c>
    </row>
    <row r="2" spans="1:66" x14ac:dyDescent="0.2">
      <c r="A2" t="s">
        <v>1</v>
      </c>
      <c r="B2" t="s">
        <v>1</v>
      </c>
      <c r="C2" t="s">
        <v>87</v>
      </c>
      <c r="D2" t="s">
        <v>54</v>
      </c>
      <c r="E2" t="s">
        <v>13</v>
      </c>
      <c r="F2" t="s">
        <v>198</v>
      </c>
      <c r="G2" t="s">
        <v>7</v>
      </c>
      <c r="H2" t="s">
        <v>8</v>
      </c>
      <c r="I2" t="s">
        <v>179</v>
      </c>
      <c r="J2" t="s">
        <v>178</v>
      </c>
      <c r="K2" t="s">
        <v>9</v>
      </c>
      <c r="L2" t="s">
        <v>196</v>
      </c>
      <c r="M2" t="s">
        <v>10</v>
      </c>
      <c r="N2" t="s">
        <v>54</v>
      </c>
      <c r="O2" t="s">
        <v>13</v>
      </c>
      <c r="P2" t="s">
        <v>15</v>
      </c>
      <c r="Q2" t="s">
        <v>8</v>
      </c>
      <c r="R2" t="s">
        <v>7</v>
      </c>
      <c r="S2" t="s">
        <v>181</v>
      </c>
      <c r="T2" t="s">
        <v>182</v>
      </c>
      <c r="U2" t="s">
        <v>19</v>
      </c>
      <c r="V2" t="s">
        <v>191</v>
      </c>
      <c r="W2" t="s">
        <v>192</v>
      </c>
      <c r="X2" t="s">
        <v>175</v>
      </c>
      <c r="Y2" t="s">
        <v>173</v>
      </c>
      <c r="Z2" t="str">
        <f t="shared" ref="Z2:Z13" si="0">LEFT(I4, 1)</f>
        <v/>
      </c>
      <c r="AA2" t="str">
        <f t="shared" ref="AA2:AA13" si="1">MID(I4, 4, 1)</f>
        <v/>
      </c>
      <c r="AB2" t="str">
        <f t="shared" ref="AB2:AB13" si="2">MID(I4, 7, 1)</f>
        <v/>
      </c>
      <c r="AC2" t="str">
        <f t="shared" ref="AC2:AC13" si="3">MID(I4, 10, 1)</f>
        <v/>
      </c>
      <c r="AE2" t="str">
        <f t="shared" ref="AE2:AE13" si="4">LEFT(J4, 1)</f>
        <v>3</v>
      </c>
      <c r="AF2" t="str">
        <f t="shared" ref="AF2:AF13" si="5">MID(J4, 4, 1)</f>
        <v/>
      </c>
      <c r="AG2" t="str">
        <f t="shared" ref="AG2:AG13" si="6">MID(J4, 7, 1)</f>
        <v/>
      </c>
      <c r="AH2" t="str">
        <f t="shared" ref="AH2:AH13" si="7">MID(J4, 10, 1)</f>
        <v/>
      </c>
      <c r="AI2" t="str">
        <f t="shared" ref="AI2:AI13" si="8">MID(J4, 13, 1)</f>
        <v/>
      </c>
      <c r="AK2" t="str">
        <f t="shared" ref="AK2:AK13" si="9">LEFT(P4, 2)</f>
        <v/>
      </c>
      <c r="AL2" t="str">
        <f>MID($P4, 5, 2)</f>
        <v/>
      </c>
      <c r="AM2" t="str">
        <f t="shared" ref="AM2:AM13" si="10">MID($P4, 9, 2)</f>
        <v/>
      </c>
      <c r="AN2" t="str">
        <f t="shared" ref="AN2:AN13" si="11">MID($P4, 13, 2)</f>
        <v/>
      </c>
      <c r="AO2" t="str">
        <f t="shared" ref="AO2:AO13" si="12">MID($P4, 17, 2)</f>
        <v/>
      </c>
      <c r="AP2" t="str">
        <f t="shared" ref="AP2:AP13" si="13">MID($P4, 21, 2)</f>
        <v/>
      </c>
      <c r="AQ2" t="str">
        <f t="shared" ref="AQ2:AQ13" si="14">MID($P4, 25, 2)</f>
        <v/>
      </c>
      <c r="AR2" t="str">
        <f t="shared" ref="AR2:AR13" si="15">MID($P4, 29, 2)</f>
        <v/>
      </c>
      <c r="AS2" t="str">
        <f t="shared" ref="AS2:AS13" si="16">MID($P4, 33, 2)</f>
        <v/>
      </c>
      <c r="AT2" t="str">
        <f t="shared" ref="AT2:AT13" si="17">MID($P4, 37, 2)</f>
        <v/>
      </c>
      <c r="AU2" t="str">
        <f t="shared" ref="AU2:AU13" si="18">MID($P4, 41, 2)</f>
        <v/>
      </c>
      <c r="AV2" t="str">
        <f t="shared" ref="AV2:AV13" si="19">MID($P4, 45, 2)</f>
        <v/>
      </c>
      <c r="AW2" t="str">
        <f t="shared" ref="AW2:AW13" si="20">MID($P4, 49, 2)</f>
        <v/>
      </c>
      <c r="AX2" t="str">
        <f t="shared" ref="AX2:AX13" si="21">MID($P4, 53, 2)</f>
        <v/>
      </c>
      <c r="AY2" t="str">
        <f t="shared" ref="AY2:AY13" si="22">MID($P4, 57, 2)</f>
        <v/>
      </c>
      <c r="AZ2" t="str">
        <f t="shared" ref="AZ2:AZ13" si="23">MID($P4, 61, 2)</f>
        <v/>
      </c>
      <c r="BA2" t="str">
        <f t="shared" ref="BA2:BA13" si="24">MID($P4, 65, 2)</f>
        <v/>
      </c>
      <c r="BB2" t="str">
        <f t="shared" ref="BB2:BB13" si="25">MID($P4, 69, 2)</f>
        <v/>
      </c>
      <c r="BC2" t="str">
        <f t="shared" ref="BC2:BC13" si="26">MID($P4, 73, 2)</f>
        <v/>
      </c>
      <c r="BD2" t="str">
        <f t="shared" ref="BD2:BD13" si="27">MID($P4, 77, 2)</f>
        <v/>
      </c>
      <c r="BE2" t="str">
        <f t="shared" ref="BE2:BE13" si="28">MID($P4, 81, 2)</f>
        <v/>
      </c>
      <c r="BF2" t="str">
        <f t="shared" ref="BF2:BF13" si="29">MID($P4, 85, 2)</f>
        <v/>
      </c>
      <c r="BG2" t="str">
        <f t="shared" ref="BG2:BG13" si="30">MID($P4, 89, 2)</f>
        <v/>
      </c>
      <c r="BH2" t="str">
        <f t="shared" ref="BH2:BH13" si="31">MID($P4, 93, 2)</f>
        <v/>
      </c>
    </row>
    <row r="3" spans="1:66" x14ac:dyDescent="0.2">
      <c r="A3" t="s">
        <v>2</v>
      </c>
      <c r="B3" t="s">
        <v>6</v>
      </c>
      <c r="C3" t="s">
        <v>88</v>
      </c>
      <c r="D3" t="s">
        <v>6</v>
      </c>
      <c r="E3" t="s">
        <v>6</v>
      </c>
      <c r="F3" t="s">
        <v>4</v>
      </c>
      <c r="G3" t="s">
        <v>6</v>
      </c>
      <c r="H3" t="s">
        <v>6</v>
      </c>
      <c r="I3" t="s">
        <v>86</v>
      </c>
      <c r="J3" t="s">
        <v>86</v>
      </c>
      <c r="K3" t="s">
        <v>6</v>
      </c>
      <c r="L3" t="s">
        <v>6</v>
      </c>
      <c r="M3" t="s">
        <v>6</v>
      </c>
      <c r="N3" t="s">
        <v>6</v>
      </c>
      <c r="O3" t="s">
        <v>6</v>
      </c>
      <c r="P3" t="s">
        <v>16</v>
      </c>
      <c r="Q3" t="s">
        <v>6</v>
      </c>
      <c r="R3" t="s">
        <v>6</v>
      </c>
      <c r="S3" t="s">
        <v>4</v>
      </c>
      <c r="T3" t="s">
        <v>4</v>
      </c>
      <c r="U3" t="s">
        <v>6</v>
      </c>
      <c r="V3" t="s">
        <v>6</v>
      </c>
      <c r="W3" t="s">
        <v>6</v>
      </c>
      <c r="X3" t="s">
        <v>6</v>
      </c>
      <c r="Y3" t="s">
        <v>174</v>
      </c>
      <c r="Z3" t="str">
        <f t="shared" si="0"/>
        <v/>
      </c>
      <c r="AA3" t="str">
        <f t="shared" si="1"/>
        <v/>
      </c>
      <c r="AB3" t="str">
        <f t="shared" si="2"/>
        <v/>
      </c>
      <c r="AC3" t="str">
        <f t="shared" si="3"/>
        <v/>
      </c>
      <c r="AE3" t="str">
        <f t="shared" si="4"/>
        <v/>
      </c>
      <c r="AF3" t="str">
        <f t="shared" si="5"/>
        <v/>
      </c>
      <c r="AG3" t="str">
        <f t="shared" si="6"/>
        <v/>
      </c>
      <c r="AH3" t="str">
        <f t="shared" si="7"/>
        <v/>
      </c>
      <c r="AI3" t="str">
        <f t="shared" si="8"/>
        <v/>
      </c>
      <c r="AK3" t="str">
        <f t="shared" si="9"/>
        <v>g1</v>
      </c>
      <c r="AL3" t="str">
        <f t="shared" ref="AL3:AL13" si="32">MID(P5, 5, 2)</f>
        <v/>
      </c>
      <c r="AM3" t="str">
        <f t="shared" si="10"/>
        <v/>
      </c>
      <c r="AN3" t="str">
        <f t="shared" si="11"/>
        <v/>
      </c>
      <c r="AO3" t="str">
        <f t="shared" si="12"/>
        <v/>
      </c>
      <c r="AP3" t="str">
        <f t="shared" si="13"/>
        <v/>
      </c>
      <c r="AQ3" t="str">
        <f t="shared" si="14"/>
        <v/>
      </c>
      <c r="AR3" t="str">
        <f t="shared" si="15"/>
        <v/>
      </c>
      <c r="AS3" t="str">
        <f t="shared" si="16"/>
        <v/>
      </c>
      <c r="AT3" t="str">
        <f t="shared" si="17"/>
        <v/>
      </c>
      <c r="AU3" t="str">
        <f t="shared" si="18"/>
        <v/>
      </c>
      <c r="AV3" t="str">
        <f t="shared" si="19"/>
        <v/>
      </c>
      <c r="AW3" t="str">
        <f t="shared" si="20"/>
        <v/>
      </c>
      <c r="AX3" t="str">
        <f t="shared" si="21"/>
        <v/>
      </c>
      <c r="AY3" t="str">
        <f t="shared" si="22"/>
        <v/>
      </c>
      <c r="AZ3" t="str">
        <f t="shared" si="23"/>
        <v/>
      </c>
      <c r="BA3" t="str">
        <f t="shared" si="24"/>
        <v/>
      </c>
      <c r="BB3" t="str">
        <f t="shared" si="25"/>
        <v/>
      </c>
      <c r="BC3" t="str">
        <f t="shared" si="26"/>
        <v/>
      </c>
      <c r="BD3" t="str">
        <f t="shared" si="27"/>
        <v/>
      </c>
      <c r="BE3" t="str">
        <f t="shared" si="28"/>
        <v/>
      </c>
      <c r="BF3" t="str">
        <f t="shared" si="29"/>
        <v/>
      </c>
      <c r="BG3" t="str">
        <f t="shared" si="30"/>
        <v/>
      </c>
      <c r="BH3" t="str">
        <f t="shared" si="31"/>
        <v/>
      </c>
    </row>
    <row r="4" spans="1:66" x14ac:dyDescent="0.2">
      <c r="A4">
        <v>1</v>
      </c>
      <c r="B4">
        <v>4</v>
      </c>
      <c r="C4" t="s">
        <v>39</v>
      </c>
      <c r="D4">
        <v>1</v>
      </c>
      <c r="E4">
        <v>1</v>
      </c>
      <c r="G4">
        <v>6</v>
      </c>
      <c r="J4">
        <v>3</v>
      </c>
      <c r="K4">
        <v>4</v>
      </c>
      <c r="N4">
        <v>3</v>
      </c>
      <c r="O4">
        <v>4</v>
      </c>
      <c r="S4">
        <v>1</v>
      </c>
      <c r="T4">
        <v>1</v>
      </c>
      <c r="U4">
        <v>8</v>
      </c>
      <c r="X4">
        <f t="shared" ref="X4:X15" si="33">G4+H4+Q4+R4</f>
        <v>6</v>
      </c>
      <c r="Y4" t="s">
        <v>174</v>
      </c>
      <c r="Z4" t="str">
        <f t="shared" si="0"/>
        <v/>
      </c>
      <c r="AA4" t="str">
        <f t="shared" si="1"/>
        <v/>
      </c>
      <c r="AB4" t="str">
        <f t="shared" si="2"/>
        <v/>
      </c>
      <c r="AC4" t="str">
        <f t="shared" si="3"/>
        <v/>
      </c>
      <c r="AE4" t="str">
        <f t="shared" si="4"/>
        <v>3</v>
      </c>
      <c r="AF4" t="str">
        <f t="shared" si="5"/>
        <v/>
      </c>
      <c r="AG4" t="str">
        <f t="shared" si="6"/>
        <v/>
      </c>
      <c r="AH4" t="str">
        <f t="shared" si="7"/>
        <v/>
      </c>
      <c r="AI4" t="str">
        <f t="shared" si="8"/>
        <v/>
      </c>
      <c r="AK4" t="str">
        <f t="shared" si="9"/>
        <v>g1</v>
      </c>
      <c r="AL4" t="str">
        <f t="shared" si="32"/>
        <v>h1</v>
      </c>
      <c r="AM4" t="str">
        <f t="shared" si="10"/>
        <v/>
      </c>
      <c r="AN4" t="str">
        <f t="shared" si="11"/>
        <v/>
      </c>
      <c r="AO4" t="str">
        <f t="shared" si="12"/>
        <v/>
      </c>
      <c r="AP4" t="str">
        <f t="shared" si="13"/>
        <v/>
      </c>
      <c r="AQ4" t="str">
        <f t="shared" si="14"/>
        <v/>
      </c>
      <c r="AR4" t="str">
        <f t="shared" si="15"/>
        <v/>
      </c>
      <c r="AS4" t="str">
        <f t="shared" si="16"/>
        <v/>
      </c>
      <c r="AT4" t="str">
        <f t="shared" si="17"/>
        <v/>
      </c>
      <c r="AU4" t="str">
        <f t="shared" si="18"/>
        <v/>
      </c>
      <c r="AV4" t="str">
        <f t="shared" si="19"/>
        <v/>
      </c>
      <c r="AW4" t="str">
        <f t="shared" si="20"/>
        <v/>
      </c>
      <c r="AX4" t="str">
        <f t="shared" si="21"/>
        <v/>
      </c>
      <c r="AY4" t="str">
        <f t="shared" si="22"/>
        <v/>
      </c>
      <c r="AZ4" t="str">
        <f t="shared" si="23"/>
        <v/>
      </c>
      <c r="BA4" t="str">
        <f t="shared" si="24"/>
        <v/>
      </c>
      <c r="BB4" t="str">
        <f t="shared" si="25"/>
        <v/>
      </c>
      <c r="BC4" t="str">
        <f t="shared" si="26"/>
        <v/>
      </c>
      <c r="BD4" t="str">
        <f t="shared" si="27"/>
        <v/>
      </c>
      <c r="BE4" t="str">
        <f t="shared" si="28"/>
        <v/>
      </c>
      <c r="BF4" t="str">
        <f t="shared" si="29"/>
        <v/>
      </c>
      <c r="BG4" t="str">
        <f t="shared" si="30"/>
        <v/>
      </c>
      <c r="BH4" t="str">
        <f t="shared" si="31"/>
        <v/>
      </c>
    </row>
    <row r="5" spans="1:66" x14ac:dyDescent="0.2">
      <c r="A5">
        <v>2</v>
      </c>
      <c r="B5">
        <v>11</v>
      </c>
      <c r="C5" t="s">
        <v>39</v>
      </c>
      <c r="D5">
        <v>1</v>
      </c>
      <c r="E5">
        <v>1</v>
      </c>
      <c r="G5">
        <v>1</v>
      </c>
      <c r="K5">
        <v>4</v>
      </c>
      <c r="N5">
        <v>3</v>
      </c>
      <c r="O5">
        <v>3</v>
      </c>
      <c r="P5" t="s">
        <v>218</v>
      </c>
      <c r="R5">
        <v>1</v>
      </c>
      <c r="S5">
        <v>1</v>
      </c>
      <c r="T5">
        <v>1</v>
      </c>
      <c r="U5">
        <v>5</v>
      </c>
      <c r="X5">
        <f t="shared" si="33"/>
        <v>2</v>
      </c>
      <c r="Y5" t="s">
        <v>174</v>
      </c>
      <c r="Z5" t="str">
        <f t="shared" si="0"/>
        <v/>
      </c>
      <c r="AA5" t="str">
        <f t="shared" si="1"/>
        <v/>
      </c>
      <c r="AB5" t="str">
        <f t="shared" si="2"/>
        <v/>
      </c>
      <c r="AC5" t="str">
        <f t="shared" si="3"/>
        <v/>
      </c>
      <c r="AE5" t="str">
        <f t="shared" si="4"/>
        <v>3</v>
      </c>
      <c r="AF5" t="str">
        <f t="shared" si="5"/>
        <v/>
      </c>
      <c r="AG5" t="str">
        <f t="shared" si="6"/>
        <v/>
      </c>
      <c r="AH5" t="str">
        <f t="shared" si="7"/>
        <v/>
      </c>
      <c r="AI5" t="str">
        <f t="shared" si="8"/>
        <v/>
      </c>
      <c r="AK5" t="str">
        <f t="shared" si="9"/>
        <v/>
      </c>
      <c r="AL5" t="str">
        <f t="shared" si="32"/>
        <v/>
      </c>
      <c r="AM5" t="str">
        <f t="shared" si="10"/>
        <v/>
      </c>
      <c r="AN5" t="str">
        <f t="shared" si="11"/>
        <v/>
      </c>
      <c r="AO5" t="str">
        <f t="shared" si="12"/>
        <v/>
      </c>
      <c r="AP5" t="str">
        <f t="shared" si="13"/>
        <v/>
      </c>
      <c r="AQ5" t="str">
        <f t="shared" si="14"/>
        <v/>
      </c>
      <c r="AR5" t="str">
        <f t="shared" si="15"/>
        <v/>
      </c>
      <c r="AS5" t="str">
        <f t="shared" si="16"/>
        <v/>
      </c>
      <c r="AT5" t="str">
        <f t="shared" si="17"/>
        <v/>
      </c>
      <c r="AU5" t="str">
        <f t="shared" si="18"/>
        <v/>
      </c>
      <c r="AV5" t="str">
        <f t="shared" si="19"/>
        <v/>
      </c>
      <c r="AW5" t="str">
        <f t="shared" si="20"/>
        <v/>
      </c>
      <c r="AX5" t="str">
        <f t="shared" si="21"/>
        <v/>
      </c>
      <c r="AY5" t="str">
        <f t="shared" si="22"/>
        <v/>
      </c>
      <c r="AZ5" t="str">
        <f t="shared" si="23"/>
        <v/>
      </c>
      <c r="BA5" t="str">
        <f t="shared" si="24"/>
        <v/>
      </c>
      <c r="BB5" t="str">
        <f t="shared" si="25"/>
        <v/>
      </c>
      <c r="BC5" t="str">
        <f t="shared" si="26"/>
        <v/>
      </c>
      <c r="BD5" t="str">
        <f t="shared" si="27"/>
        <v/>
      </c>
      <c r="BE5" t="str">
        <f t="shared" si="28"/>
        <v/>
      </c>
      <c r="BF5" t="str">
        <f t="shared" si="29"/>
        <v/>
      </c>
      <c r="BG5" t="str">
        <f t="shared" si="30"/>
        <v/>
      </c>
      <c r="BH5" t="str">
        <f t="shared" si="31"/>
        <v/>
      </c>
    </row>
    <row r="6" spans="1:66" x14ac:dyDescent="0.2">
      <c r="A6">
        <v>3</v>
      </c>
      <c r="B6">
        <v>25</v>
      </c>
      <c r="C6" t="s">
        <v>39</v>
      </c>
      <c r="D6">
        <v>1</v>
      </c>
      <c r="E6">
        <v>1</v>
      </c>
      <c r="G6">
        <v>5</v>
      </c>
      <c r="J6">
        <v>3</v>
      </c>
      <c r="K6">
        <v>3</v>
      </c>
      <c r="L6">
        <v>1</v>
      </c>
      <c r="N6">
        <v>4</v>
      </c>
      <c r="O6">
        <v>3</v>
      </c>
      <c r="P6" t="s">
        <v>256</v>
      </c>
      <c r="S6">
        <v>1</v>
      </c>
      <c r="U6">
        <v>5</v>
      </c>
      <c r="X6">
        <f t="shared" si="33"/>
        <v>5</v>
      </c>
      <c r="Y6" t="s">
        <v>174</v>
      </c>
      <c r="Z6" t="str">
        <f t="shared" si="0"/>
        <v/>
      </c>
      <c r="AA6" t="str">
        <f t="shared" si="1"/>
        <v/>
      </c>
      <c r="AB6" t="str">
        <f t="shared" si="2"/>
        <v/>
      </c>
      <c r="AC6" t="str">
        <f t="shared" si="3"/>
        <v/>
      </c>
      <c r="AE6" t="str">
        <f t="shared" si="4"/>
        <v/>
      </c>
      <c r="AF6" t="str">
        <f t="shared" si="5"/>
        <v/>
      </c>
      <c r="AG6" t="str">
        <f t="shared" si="6"/>
        <v/>
      </c>
      <c r="AH6" t="str">
        <f t="shared" si="7"/>
        <v/>
      </c>
      <c r="AI6" t="str">
        <f t="shared" si="8"/>
        <v/>
      </c>
      <c r="AK6" t="str">
        <f t="shared" si="9"/>
        <v/>
      </c>
      <c r="AL6" t="str">
        <f t="shared" si="32"/>
        <v/>
      </c>
      <c r="AM6" t="str">
        <f t="shared" si="10"/>
        <v/>
      </c>
      <c r="AN6" t="str">
        <f t="shared" si="11"/>
        <v/>
      </c>
      <c r="AO6" t="str">
        <f t="shared" si="12"/>
        <v/>
      </c>
      <c r="AP6" t="str">
        <f t="shared" si="13"/>
        <v/>
      </c>
      <c r="AQ6" t="str">
        <f t="shared" si="14"/>
        <v/>
      </c>
      <c r="AR6" t="str">
        <f t="shared" si="15"/>
        <v/>
      </c>
      <c r="AS6" t="str">
        <f t="shared" si="16"/>
        <v/>
      </c>
      <c r="AT6" t="str">
        <f t="shared" si="17"/>
        <v/>
      </c>
      <c r="AU6" t="str">
        <f t="shared" si="18"/>
        <v/>
      </c>
      <c r="AV6" t="str">
        <f t="shared" si="19"/>
        <v/>
      </c>
      <c r="AW6" t="str">
        <f t="shared" si="20"/>
        <v/>
      </c>
      <c r="AX6" t="str">
        <f t="shared" si="21"/>
        <v/>
      </c>
      <c r="AY6" t="str">
        <f t="shared" si="22"/>
        <v/>
      </c>
      <c r="AZ6" t="str">
        <f t="shared" si="23"/>
        <v/>
      </c>
      <c r="BA6" t="str">
        <f t="shared" si="24"/>
        <v/>
      </c>
      <c r="BB6" t="str">
        <f t="shared" si="25"/>
        <v/>
      </c>
      <c r="BC6" t="str">
        <f t="shared" si="26"/>
        <v/>
      </c>
      <c r="BD6" t="str">
        <f t="shared" si="27"/>
        <v/>
      </c>
      <c r="BE6" t="str">
        <f t="shared" si="28"/>
        <v/>
      </c>
      <c r="BF6" t="str">
        <f t="shared" si="29"/>
        <v/>
      </c>
      <c r="BG6" t="str">
        <f t="shared" si="30"/>
        <v/>
      </c>
      <c r="BH6" t="str">
        <f t="shared" si="31"/>
        <v/>
      </c>
    </row>
    <row r="7" spans="1:66" x14ac:dyDescent="0.2">
      <c r="A7">
        <v>4</v>
      </c>
      <c r="B7">
        <v>32</v>
      </c>
      <c r="C7" t="s">
        <v>39</v>
      </c>
      <c r="D7">
        <v>1</v>
      </c>
      <c r="E7">
        <v>1</v>
      </c>
      <c r="J7">
        <v>3</v>
      </c>
      <c r="K7">
        <v>4</v>
      </c>
      <c r="L7">
        <v>1</v>
      </c>
      <c r="N7">
        <v>4</v>
      </c>
      <c r="O7">
        <v>3</v>
      </c>
      <c r="S7">
        <v>1</v>
      </c>
      <c r="T7">
        <v>1</v>
      </c>
      <c r="X7">
        <f t="shared" si="33"/>
        <v>0</v>
      </c>
      <c r="Z7" t="str">
        <f t="shared" si="0"/>
        <v/>
      </c>
      <c r="AA7" t="str">
        <f t="shared" si="1"/>
        <v/>
      </c>
      <c r="AB7" t="str">
        <f t="shared" si="2"/>
        <v/>
      </c>
      <c r="AC7" t="str">
        <f t="shared" si="3"/>
        <v/>
      </c>
      <c r="AE7" t="str">
        <f t="shared" si="4"/>
        <v>4</v>
      </c>
      <c r="AF7" t="str">
        <f t="shared" si="5"/>
        <v/>
      </c>
      <c r="AG7" t="str">
        <f t="shared" si="6"/>
        <v/>
      </c>
      <c r="AH7" t="str">
        <f t="shared" si="7"/>
        <v/>
      </c>
      <c r="AI7" t="str">
        <f t="shared" si="8"/>
        <v/>
      </c>
      <c r="AK7" t="str">
        <f t="shared" si="9"/>
        <v>g1</v>
      </c>
      <c r="AL7" t="str">
        <f t="shared" si="32"/>
        <v>h1</v>
      </c>
      <c r="AM7" t="str">
        <f t="shared" si="10"/>
        <v/>
      </c>
      <c r="AN7" t="str">
        <f t="shared" si="11"/>
        <v/>
      </c>
      <c r="AO7" t="str">
        <f t="shared" si="12"/>
        <v/>
      </c>
      <c r="AP7" t="str">
        <f t="shared" si="13"/>
        <v/>
      </c>
      <c r="AQ7" t="str">
        <f t="shared" si="14"/>
        <v/>
      </c>
      <c r="AR7" t="str">
        <f t="shared" si="15"/>
        <v/>
      </c>
      <c r="AS7" t="str">
        <f t="shared" si="16"/>
        <v/>
      </c>
      <c r="AT7" t="str">
        <f t="shared" si="17"/>
        <v/>
      </c>
      <c r="AU7" t="str">
        <f t="shared" si="18"/>
        <v/>
      </c>
      <c r="AV7" t="str">
        <f t="shared" si="19"/>
        <v/>
      </c>
      <c r="AW7" t="str">
        <f t="shared" si="20"/>
        <v/>
      </c>
      <c r="AX7" t="str">
        <f t="shared" si="21"/>
        <v/>
      </c>
      <c r="AY7" t="str">
        <f t="shared" si="22"/>
        <v/>
      </c>
      <c r="AZ7" t="str">
        <f t="shared" si="23"/>
        <v/>
      </c>
      <c r="BA7" t="str">
        <f t="shared" si="24"/>
        <v/>
      </c>
      <c r="BB7" t="str">
        <f t="shared" si="25"/>
        <v/>
      </c>
      <c r="BC7" t="str">
        <f t="shared" si="26"/>
        <v/>
      </c>
      <c r="BD7" t="str">
        <f t="shared" si="27"/>
        <v/>
      </c>
      <c r="BE7" t="str">
        <f t="shared" si="28"/>
        <v/>
      </c>
      <c r="BF7" t="str">
        <f t="shared" si="29"/>
        <v/>
      </c>
      <c r="BG7" t="str">
        <f t="shared" si="30"/>
        <v/>
      </c>
      <c r="BH7" t="str">
        <f t="shared" si="31"/>
        <v/>
      </c>
    </row>
    <row r="8" spans="1:66" x14ac:dyDescent="0.2">
      <c r="A8">
        <v>5</v>
      </c>
      <c r="B8">
        <v>42</v>
      </c>
      <c r="C8" t="s">
        <v>207</v>
      </c>
      <c r="D8">
        <v>1</v>
      </c>
      <c r="G8">
        <v>1</v>
      </c>
      <c r="K8">
        <v>3</v>
      </c>
      <c r="L8">
        <v>2</v>
      </c>
      <c r="N8">
        <v>3</v>
      </c>
      <c r="O8">
        <v>3</v>
      </c>
      <c r="S8">
        <v>1</v>
      </c>
      <c r="T8">
        <v>1</v>
      </c>
      <c r="X8">
        <f t="shared" si="33"/>
        <v>1</v>
      </c>
      <c r="Z8" t="str">
        <f t="shared" si="0"/>
        <v/>
      </c>
      <c r="AA8" t="str">
        <f t="shared" si="1"/>
        <v/>
      </c>
      <c r="AB8" t="str">
        <f t="shared" si="2"/>
        <v/>
      </c>
      <c r="AC8" t="str">
        <f t="shared" si="3"/>
        <v/>
      </c>
      <c r="AE8" t="str">
        <f t="shared" si="4"/>
        <v/>
      </c>
      <c r="AF8" t="str">
        <f t="shared" si="5"/>
        <v/>
      </c>
      <c r="AG8" t="str">
        <f t="shared" si="6"/>
        <v/>
      </c>
      <c r="AH8" t="str">
        <f t="shared" si="7"/>
        <v/>
      </c>
      <c r="AI8" t="str">
        <f t="shared" si="8"/>
        <v/>
      </c>
      <c r="AK8" t="str">
        <f t="shared" si="9"/>
        <v/>
      </c>
      <c r="AL8" t="str">
        <f t="shared" si="32"/>
        <v/>
      </c>
      <c r="AM8" t="str">
        <f t="shared" si="10"/>
        <v/>
      </c>
      <c r="AN8" t="str">
        <f t="shared" si="11"/>
        <v/>
      </c>
      <c r="AO8" t="str">
        <f t="shared" si="12"/>
        <v/>
      </c>
      <c r="AP8" t="str">
        <f t="shared" si="13"/>
        <v/>
      </c>
      <c r="AQ8" t="str">
        <f t="shared" si="14"/>
        <v/>
      </c>
      <c r="AR8" t="str">
        <f t="shared" si="15"/>
        <v/>
      </c>
      <c r="AS8" t="str">
        <f t="shared" si="16"/>
        <v/>
      </c>
      <c r="AT8" t="str">
        <f t="shared" si="17"/>
        <v/>
      </c>
      <c r="AU8" t="str">
        <f t="shared" si="18"/>
        <v/>
      </c>
      <c r="AV8" t="str">
        <f t="shared" si="19"/>
        <v/>
      </c>
      <c r="AW8" t="str">
        <f t="shared" si="20"/>
        <v/>
      </c>
      <c r="AX8" t="str">
        <f t="shared" si="21"/>
        <v/>
      </c>
      <c r="AY8" t="str">
        <f t="shared" si="22"/>
        <v/>
      </c>
      <c r="AZ8" t="str">
        <f t="shared" si="23"/>
        <v/>
      </c>
      <c r="BA8" t="str">
        <f t="shared" si="24"/>
        <v/>
      </c>
      <c r="BB8" t="str">
        <f t="shared" si="25"/>
        <v/>
      </c>
      <c r="BC8" t="str">
        <f t="shared" si="26"/>
        <v/>
      </c>
      <c r="BD8" t="str">
        <f t="shared" si="27"/>
        <v/>
      </c>
      <c r="BE8" t="str">
        <f t="shared" si="28"/>
        <v/>
      </c>
      <c r="BF8" t="str">
        <f t="shared" si="29"/>
        <v/>
      </c>
      <c r="BG8" t="str">
        <f t="shared" si="30"/>
        <v/>
      </c>
      <c r="BH8" t="str">
        <f t="shared" si="31"/>
        <v/>
      </c>
    </row>
    <row r="9" spans="1:66" x14ac:dyDescent="0.2">
      <c r="A9">
        <v>6</v>
      </c>
      <c r="B9">
        <v>59</v>
      </c>
      <c r="C9" t="s">
        <v>39</v>
      </c>
      <c r="G9">
        <v>7</v>
      </c>
      <c r="J9">
        <v>4</v>
      </c>
      <c r="K9">
        <v>2</v>
      </c>
      <c r="N9">
        <v>2</v>
      </c>
      <c r="O9">
        <v>2</v>
      </c>
      <c r="P9" t="s">
        <v>278</v>
      </c>
      <c r="S9">
        <v>1</v>
      </c>
      <c r="U9">
        <v>7</v>
      </c>
      <c r="X9">
        <f t="shared" si="33"/>
        <v>7</v>
      </c>
      <c r="Y9" t="s">
        <v>174</v>
      </c>
      <c r="Z9" t="str">
        <f t="shared" si="0"/>
        <v/>
      </c>
      <c r="AA9" t="str">
        <f t="shared" si="1"/>
        <v/>
      </c>
      <c r="AB9" t="str">
        <f t="shared" si="2"/>
        <v/>
      </c>
      <c r="AC9" t="str">
        <f t="shared" si="3"/>
        <v/>
      </c>
      <c r="AE9" t="str">
        <f t="shared" si="4"/>
        <v/>
      </c>
      <c r="AF9" t="str">
        <f t="shared" si="5"/>
        <v/>
      </c>
      <c r="AG9" t="str">
        <f t="shared" si="6"/>
        <v/>
      </c>
      <c r="AH9" t="str">
        <f t="shared" si="7"/>
        <v/>
      </c>
      <c r="AI9" t="str">
        <f t="shared" si="8"/>
        <v/>
      </c>
      <c r="AK9" t="str">
        <f t="shared" si="9"/>
        <v>g1</v>
      </c>
      <c r="AL9" t="str">
        <f t="shared" si="32"/>
        <v/>
      </c>
      <c r="AM9" t="str">
        <f t="shared" si="10"/>
        <v/>
      </c>
      <c r="AN9" t="str">
        <f t="shared" si="11"/>
        <v/>
      </c>
      <c r="AO9" t="str">
        <f t="shared" si="12"/>
        <v/>
      </c>
      <c r="AP9" t="str">
        <f t="shared" si="13"/>
        <v/>
      </c>
      <c r="AQ9" t="str">
        <f t="shared" si="14"/>
        <v/>
      </c>
      <c r="AR9" t="str">
        <f t="shared" si="15"/>
        <v/>
      </c>
      <c r="AS9" t="str">
        <f t="shared" si="16"/>
        <v/>
      </c>
      <c r="AT9" t="str">
        <f t="shared" si="17"/>
        <v/>
      </c>
      <c r="AU9" t="str">
        <f t="shared" si="18"/>
        <v/>
      </c>
      <c r="AV9" t="str">
        <f t="shared" si="19"/>
        <v/>
      </c>
      <c r="AW9" t="str">
        <f t="shared" si="20"/>
        <v/>
      </c>
      <c r="AX9" t="str">
        <f t="shared" si="21"/>
        <v/>
      </c>
      <c r="AY9" t="str">
        <f t="shared" si="22"/>
        <v/>
      </c>
      <c r="AZ9" t="str">
        <f t="shared" si="23"/>
        <v/>
      </c>
      <c r="BA9" t="str">
        <f t="shared" si="24"/>
        <v/>
      </c>
      <c r="BB9" t="str">
        <f t="shared" si="25"/>
        <v/>
      </c>
      <c r="BC9" t="str">
        <f t="shared" si="26"/>
        <v/>
      </c>
      <c r="BD9" t="str">
        <f t="shared" si="27"/>
        <v/>
      </c>
      <c r="BE9" t="str">
        <f t="shared" si="28"/>
        <v/>
      </c>
      <c r="BF9" t="str">
        <f t="shared" si="29"/>
        <v/>
      </c>
      <c r="BG9" t="str">
        <f t="shared" si="30"/>
        <v/>
      </c>
      <c r="BH9" t="str">
        <f t="shared" si="31"/>
        <v/>
      </c>
    </row>
    <row r="10" spans="1:66" x14ac:dyDescent="0.2">
      <c r="A10">
        <v>7</v>
      </c>
      <c r="B10">
        <v>64</v>
      </c>
      <c r="C10" t="s">
        <v>207</v>
      </c>
      <c r="D10">
        <v>1</v>
      </c>
      <c r="E10">
        <v>1</v>
      </c>
      <c r="K10">
        <v>3</v>
      </c>
      <c r="L10">
        <v>1</v>
      </c>
      <c r="N10">
        <v>3</v>
      </c>
      <c r="O10">
        <v>2</v>
      </c>
      <c r="S10">
        <v>1</v>
      </c>
      <c r="T10">
        <v>1</v>
      </c>
      <c r="X10">
        <f t="shared" si="33"/>
        <v>0</v>
      </c>
      <c r="Z10" t="str">
        <f t="shared" si="0"/>
        <v/>
      </c>
      <c r="AA10" t="str">
        <f t="shared" si="1"/>
        <v/>
      </c>
      <c r="AB10" t="str">
        <f t="shared" si="2"/>
        <v/>
      </c>
      <c r="AC10" t="str">
        <f t="shared" si="3"/>
        <v/>
      </c>
      <c r="AE10" t="str">
        <f t="shared" si="4"/>
        <v/>
      </c>
      <c r="AF10" t="str">
        <f t="shared" si="5"/>
        <v/>
      </c>
      <c r="AG10" t="str">
        <f t="shared" si="6"/>
        <v/>
      </c>
      <c r="AH10" t="str">
        <f t="shared" si="7"/>
        <v/>
      </c>
      <c r="AI10" t="str">
        <f t="shared" si="8"/>
        <v/>
      </c>
      <c r="AK10" t="str">
        <f t="shared" si="9"/>
        <v/>
      </c>
      <c r="AL10" t="str">
        <f t="shared" si="32"/>
        <v/>
      </c>
      <c r="AM10" t="str">
        <f t="shared" si="10"/>
        <v/>
      </c>
      <c r="AN10" t="str">
        <f t="shared" si="11"/>
        <v/>
      </c>
      <c r="AO10" t="str">
        <f t="shared" si="12"/>
        <v/>
      </c>
      <c r="AP10" t="str">
        <f t="shared" si="13"/>
        <v/>
      </c>
      <c r="AQ10" t="str">
        <f t="shared" si="14"/>
        <v/>
      </c>
      <c r="AR10" t="str">
        <f t="shared" si="15"/>
        <v/>
      </c>
      <c r="AS10" t="str">
        <f t="shared" si="16"/>
        <v/>
      </c>
      <c r="AT10" t="str">
        <f t="shared" si="17"/>
        <v/>
      </c>
      <c r="AU10" t="str">
        <f t="shared" si="18"/>
        <v/>
      </c>
      <c r="AV10" t="str">
        <f t="shared" si="19"/>
        <v/>
      </c>
      <c r="AW10" t="str">
        <f t="shared" si="20"/>
        <v/>
      </c>
      <c r="AX10" t="str">
        <f t="shared" si="21"/>
        <v/>
      </c>
      <c r="AY10" t="str">
        <f t="shared" si="22"/>
        <v/>
      </c>
      <c r="AZ10" t="str">
        <f t="shared" si="23"/>
        <v/>
      </c>
      <c r="BA10" t="str">
        <f t="shared" si="24"/>
        <v/>
      </c>
      <c r="BB10" t="str">
        <f t="shared" si="25"/>
        <v/>
      </c>
      <c r="BC10" t="str">
        <f t="shared" si="26"/>
        <v/>
      </c>
      <c r="BD10" t="str">
        <f t="shared" si="27"/>
        <v/>
      </c>
      <c r="BE10" t="str">
        <f t="shared" si="28"/>
        <v/>
      </c>
      <c r="BF10" t="str">
        <f t="shared" si="29"/>
        <v/>
      </c>
      <c r="BG10" t="str">
        <f t="shared" si="30"/>
        <v/>
      </c>
      <c r="BH10" t="str">
        <f t="shared" si="31"/>
        <v/>
      </c>
    </row>
    <row r="11" spans="1:66" x14ac:dyDescent="0.2">
      <c r="A11">
        <v>8</v>
      </c>
      <c r="B11">
        <v>80</v>
      </c>
      <c r="C11" t="s">
        <v>207</v>
      </c>
      <c r="D11">
        <v>1</v>
      </c>
      <c r="E11">
        <v>1</v>
      </c>
      <c r="F11">
        <v>1</v>
      </c>
      <c r="K11">
        <v>3</v>
      </c>
      <c r="N11">
        <v>3</v>
      </c>
      <c r="O11">
        <v>3</v>
      </c>
      <c r="P11" t="s">
        <v>218</v>
      </c>
      <c r="R11">
        <v>1</v>
      </c>
      <c r="S11">
        <v>1</v>
      </c>
      <c r="T11">
        <v>1</v>
      </c>
      <c r="U11">
        <v>7</v>
      </c>
      <c r="X11">
        <f t="shared" si="33"/>
        <v>1</v>
      </c>
      <c r="Y11" t="s">
        <v>174</v>
      </c>
      <c r="Z11" t="str">
        <f t="shared" si="0"/>
        <v/>
      </c>
      <c r="AA11" t="str">
        <f t="shared" si="1"/>
        <v/>
      </c>
      <c r="AB11" t="str">
        <f t="shared" si="2"/>
        <v/>
      </c>
      <c r="AC11" t="str">
        <f t="shared" si="3"/>
        <v/>
      </c>
      <c r="AE11" t="str">
        <f t="shared" si="4"/>
        <v/>
      </c>
      <c r="AF11" t="str">
        <f t="shared" si="5"/>
        <v/>
      </c>
      <c r="AG11" t="str">
        <f t="shared" si="6"/>
        <v/>
      </c>
      <c r="AH11" t="str">
        <f t="shared" si="7"/>
        <v/>
      </c>
      <c r="AI11" t="str">
        <f t="shared" si="8"/>
        <v/>
      </c>
      <c r="AK11" t="str">
        <f t="shared" si="9"/>
        <v/>
      </c>
      <c r="AL11" t="str">
        <f t="shared" si="32"/>
        <v/>
      </c>
      <c r="AM11" t="str">
        <f t="shared" si="10"/>
        <v/>
      </c>
      <c r="AN11" t="str">
        <f t="shared" si="11"/>
        <v/>
      </c>
      <c r="AO11" t="str">
        <f t="shared" si="12"/>
        <v/>
      </c>
      <c r="AP11" t="str">
        <f t="shared" si="13"/>
        <v/>
      </c>
      <c r="AQ11" t="str">
        <f t="shared" si="14"/>
        <v/>
      </c>
      <c r="AR11" t="str">
        <f t="shared" si="15"/>
        <v/>
      </c>
      <c r="AS11" t="str">
        <f t="shared" si="16"/>
        <v/>
      </c>
      <c r="AT11" t="str">
        <f t="shared" si="17"/>
        <v/>
      </c>
      <c r="AU11" t="str">
        <f t="shared" si="18"/>
        <v/>
      </c>
      <c r="AV11" t="str">
        <f t="shared" si="19"/>
        <v/>
      </c>
      <c r="AW11" t="str">
        <f t="shared" si="20"/>
        <v/>
      </c>
      <c r="AX11" t="str">
        <f t="shared" si="21"/>
        <v/>
      </c>
      <c r="AY11" t="str">
        <f t="shared" si="22"/>
        <v/>
      </c>
      <c r="AZ11" t="str">
        <f t="shared" si="23"/>
        <v/>
      </c>
      <c r="BA11" t="str">
        <f t="shared" si="24"/>
        <v/>
      </c>
      <c r="BB11" t="str">
        <f t="shared" si="25"/>
        <v/>
      </c>
      <c r="BC11" t="str">
        <f t="shared" si="26"/>
        <v/>
      </c>
      <c r="BD11" t="str">
        <f t="shared" si="27"/>
        <v/>
      </c>
      <c r="BE11" t="str">
        <f t="shared" si="28"/>
        <v/>
      </c>
      <c r="BF11" t="str">
        <f t="shared" si="29"/>
        <v/>
      </c>
      <c r="BG11" t="str">
        <f t="shared" si="30"/>
        <v/>
      </c>
      <c r="BH11" t="str">
        <f t="shared" si="31"/>
        <v/>
      </c>
    </row>
    <row r="12" spans="1:66" x14ac:dyDescent="0.2">
      <c r="A12">
        <v>9</v>
      </c>
      <c r="B12">
        <v>85</v>
      </c>
      <c r="C12" t="s">
        <v>207</v>
      </c>
      <c r="D12">
        <v>1</v>
      </c>
      <c r="K12">
        <v>4</v>
      </c>
      <c r="N12">
        <v>4</v>
      </c>
      <c r="O12">
        <v>4</v>
      </c>
      <c r="R12">
        <v>1</v>
      </c>
      <c r="S12">
        <v>1</v>
      </c>
      <c r="T12">
        <v>1</v>
      </c>
      <c r="U12">
        <v>4</v>
      </c>
      <c r="X12">
        <f t="shared" si="33"/>
        <v>1</v>
      </c>
      <c r="Y12" t="s">
        <v>174</v>
      </c>
      <c r="Z12" t="str">
        <f t="shared" si="0"/>
        <v/>
      </c>
      <c r="AA12" t="str">
        <f t="shared" si="1"/>
        <v/>
      </c>
      <c r="AB12" t="str">
        <f t="shared" si="2"/>
        <v/>
      </c>
      <c r="AC12" t="str">
        <f t="shared" si="3"/>
        <v/>
      </c>
      <c r="AE12" t="str">
        <f t="shared" si="4"/>
        <v/>
      </c>
      <c r="AF12" t="str">
        <f t="shared" si="5"/>
        <v/>
      </c>
      <c r="AG12" t="str">
        <f t="shared" si="6"/>
        <v/>
      </c>
      <c r="AH12" t="str">
        <f t="shared" si="7"/>
        <v/>
      </c>
      <c r="AI12" t="str">
        <f t="shared" si="8"/>
        <v/>
      </c>
      <c r="AK12" t="str">
        <f t="shared" si="9"/>
        <v>g1</v>
      </c>
      <c r="AL12" t="str">
        <f t="shared" si="32"/>
        <v/>
      </c>
      <c r="AM12" t="str">
        <f t="shared" si="10"/>
        <v/>
      </c>
      <c r="AN12" t="str">
        <f t="shared" si="11"/>
        <v/>
      </c>
      <c r="AO12" t="str">
        <f t="shared" si="12"/>
        <v/>
      </c>
      <c r="AP12" t="str">
        <f t="shared" si="13"/>
        <v/>
      </c>
      <c r="AQ12" t="str">
        <f t="shared" si="14"/>
        <v/>
      </c>
      <c r="AR12" t="str">
        <f t="shared" si="15"/>
        <v/>
      </c>
      <c r="AS12" t="str">
        <f t="shared" si="16"/>
        <v/>
      </c>
      <c r="AT12" t="str">
        <f t="shared" si="17"/>
        <v/>
      </c>
      <c r="AU12" t="str">
        <f t="shared" si="18"/>
        <v/>
      </c>
      <c r="AV12" t="str">
        <f t="shared" si="19"/>
        <v/>
      </c>
      <c r="AW12" t="str">
        <f t="shared" si="20"/>
        <v/>
      </c>
      <c r="AX12" t="str">
        <f t="shared" si="21"/>
        <v/>
      </c>
      <c r="AY12" t="str">
        <f t="shared" si="22"/>
        <v/>
      </c>
      <c r="AZ12" t="str">
        <f t="shared" si="23"/>
        <v/>
      </c>
      <c r="BA12" t="str">
        <f t="shared" si="24"/>
        <v/>
      </c>
      <c r="BB12" t="str">
        <f t="shared" si="25"/>
        <v/>
      </c>
      <c r="BC12" t="str">
        <f t="shared" si="26"/>
        <v/>
      </c>
      <c r="BD12" t="str">
        <f t="shared" si="27"/>
        <v/>
      </c>
      <c r="BE12" t="str">
        <f t="shared" si="28"/>
        <v/>
      </c>
      <c r="BF12" t="str">
        <f t="shared" si="29"/>
        <v/>
      </c>
      <c r="BG12" t="str">
        <f t="shared" si="30"/>
        <v/>
      </c>
      <c r="BH12" t="str">
        <f t="shared" si="31"/>
        <v/>
      </c>
    </row>
    <row r="13" spans="1:66" x14ac:dyDescent="0.2">
      <c r="A13">
        <v>10</v>
      </c>
      <c r="B13">
        <v>92</v>
      </c>
      <c r="C13" t="s">
        <v>207</v>
      </c>
      <c r="D13">
        <v>1</v>
      </c>
      <c r="E13">
        <v>1</v>
      </c>
      <c r="F13">
        <v>1</v>
      </c>
      <c r="K13">
        <v>4</v>
      </c>
      <c r="N13">
        <v>4</v>
      </c>
      <c r="O13">
        <v>4</v>
      </c>
      <c r="R13">
        <v>1</v>
      </c>
      <c r="S13">
        <v>1</v>
      </c>
      <c r="T13">
        <v>1</v>
      </c>
      <c r="U13">
        <v>6</v>
      </c>
      <c r="W13">
        <v>8</v>
      </c>
      <c r="X13">
        <f t="shared" si="33"/>
        <v>1</v>
      </c>
      <c r="Y13" t="s">
        <v>174</v>
      </c>
      <c r="Z13" t="str">
        <f t="shared" si="0"/>
        <v/>
      </c>
      <c r="AA13" t="str">
        <f t="shared" si="1"/>
        <v/>
      </c>
      <c r="AB13" t="str">
        <f t="shared" si="2"/>
        <v/>
      </c>
      <c r="AC13" t="str">
        <f t="shared" si="3"/>
        <v/>
      </c>
      <c r="AE13" t="str">
        <f t="shared" si="4"/>
        <v>3</v>
      </c>
      <c r="AF13" t="str">
        <f t="shared" si="5"/>
        <v>4</v>
      </c>
      <c r="AG13" t="str">
        <f t="shared" si="6"/>
        <v/>
      </c>
      <c r="AH13" t="str">
        <f t="shared" si="7"/>
        <v/>
      </c>
      <c r="AI13" t="str">
        <f t="shared" si="8"/>
        <v/>
      </c>
      <c r="AK13" t="str">
        <f t="shared" si="9"/>
        <v>h1</v>
      </c>
      <c r="AL13" t="str">
        <f t="shared" si="32"/>
        <v>h2</v>
      </c>
      <c r="AM13" t="str">
        <f t="shared" si="10"/>
        <v/>
      </c>
      <c r="AN13" t="str">
        <f t="shared" si="11"/>
        <v/>
      </c>
      <c r="AO13" t="str">
        <f t="shared" si="12"/>
        <v/>
      </c>
      <c r="AP13" t="str">
        <f t="shared" si="13"/>
        <v/>
      </c>
      <c r="AQ13" t="str">
        <f t="shared" si="14"/>
        <v/>
      </c>
      <c r="AR13" t="str">
        <f t="shared" si="15"/>
        <v/>
      </c>
      <c r="AS13" t="str">
        <f t="shared" si="16"/>
        <v/>
      </c>
      <c r="AT13" t="str">
        <f t="shared" si="17"/>
        <v/>
      </c>
      <c r="AU13" t="str">
        <f t="shared" si="18"/>
        <v/>
      </c>
      <c r="AV13" t="str">
        <f t="shared" si="19"/>
        <v/>
      </c>
      <c r="AW13" t="str">
        <f t="shared" si="20"/>
        <v/>
      </c>
      <c r="AX13" t="str">
        <f t="shared" si="21"/>
        <v/>
      </c>
      <c r="AY13" t="str">
        <f t="shared" si="22"/>
        <v/>
      </c>
      <c r="AZ13" t="str">
        <f t="shared" si="23"/>
        <v/>
      </c>
      <c r="BA13" t="str">
        <f t="shared" si="24"/>
        <v/>
      </c>
      <c r="BB13" t="str">
        <f t="shared" si="25"/>
        <v/>
      </c>
      <c r="BC13" t="str">
        <f t="shared" si="26"/>
        <v/>
      </c>
      <c r="BD13" t="str">
        <f t="shared" si="27"/>
        <v/>
      </c>
      <c r="BE13" t="str">
        <f t="shared" si="28"/>
        <v/>
      </c>
      <c r="BF13" t="str">
        <f t="shared" si="29"/>
        <v/>
      </c>
      <c r="BG13" t="str">
        <f t="shared" si="30"/>
        <v/>
      </c>
      <c r="BH13" t="str">
        <f t="shared" si="31"/>
        <v/>
      </c>
    </row>
    <row r="14" spans="1:66" x14ac:dyDescent="0.2">
      <c r="A14">
        <v>11</v>
      </c>
      <c r="B14">
        <v>101</v>
      </c>
      <c r="C14" t="s">
        <v>207</v>
      </c>
      <c r="D14">
        <v>1</v>
      </c>
      <c r="E14">
        <v>1</v>
      </c>
      <c r="F14">
        <v>1</v>
      </c>
      <c r="G14">
        <v>4</v>
      </c>
      <c r="K14">
        <v>4</v>
      </c>
      <c r="L14">
        <v>1</v>
      </c>
      <c r="N14">
        <v>3</v>
      </c>
      <c r="O14">
        <v>3</v>
      </c>
      <c r="P14" t="s">
        <v>218</v>
      </c>
      <c r="S14">
        <v>1</v>
      </c>
      <c r="T14">
        <v>1</v>
      </c>
      <c r="U14">
        <v>15</v>
      </c>
      <c r="X14">
        <f t="shared" si="33"/>
        <v>4</v>
      </c>
      <c r="Z14" t="s">
        <v>31</v>
      </c>
      <c r="AE14" t="s">
        <v>34</v>
      </c>
      <c r="AK14" t="s">
        <v>43</v>
      </c>
      <c r="AP14" t="s">
        <v>84</v>
      </c>
    </row>
    <row r="15" spans="1:66" x14ac:dyDescent="0.2">
      <c r="A15">
        <v>12</v>
      </c>
      <c r="B15">
        <v>119</v>
      </c>
      <c r="C15" t="s">
        <v>39</v>
      </c>
      <c r="D15">
        <v>1</v>
      </c>
      <c r="E15">
        <v>1</v>
      </c>
      <c r="F15">
        <v>1</v>
      </c>
      <c r="J15" t="s">
        <v>312</v>
      </c>
      <c r="K15">
        <v>3</v>
      </c>
      <c r="N15">
        <v>2</v>
      </c>
      <c r="O15">
        <v>2</v>
      </c>
      <c r="P15" t="s">
        <v>295</v>
      </c>
      <c r="R15">
        <v>1</v>
      </c>
      <c r="S15">
        <v>1</v>
      </c>
      <c r="T15">
        <v>1</v>
      </c>
      <c r="U15">
        <v>10</v>
      </c>
      <c r="W15">
        <v>10</v>
      </c>
      <c r="X15">
        <f t="shared" si="33"/>
        <v>1</v>
      </c>
      <c r="Z15" t="s">
        <v>21</v>
      </c>
      <c r="AA15" t="s">
        <v>22</v>
      </c>
      <c r="AE15" t="s">
        <v>21</v>
      </c>
      <c r="AF15" t="s">
        <v>22</v>
      </c>
      <c r="AG15" t="s">
        <v>35</v>
      </c>
      <c r="AK15" t="s">
        <v>10</v>
      </c>
      <c r="AL15" t="s">
        <v>25</v>
      </c>
      <c r="AM15" t="s">
        <v>26</v>
      </c>
      <c r="AN15" t="s">
        <v>27</v>
      </c>
      <c r="AP15" t="s">
        <v>15</v>
      </c>
      <c r="AQ15" t="s">
        <v>85</v>
      </c>
    </row>
    <row r="16" spans="1:66" x14ac:dyDescent="0.2">
      <c r="A16" t="s">
        <v>28</v>
      </c>
      <c r="D16">
        <f>SUM(D4:D15)</f>
        <v>11</v>
      </c>
      <c r="E16">
        <f>SUM(E4:E15)</f>
        <v>9</v>
      </c>
      <c r="F16">
        <f>SUM(F4:F15)</f>
        <v>4</v>
      </c>
      <c r="G16">
        <f>SUM(G4:G15)</f>
        <v>24</v>
      </c>
      <c r="H16">
        <f>SUM(H4:H15)</f>
        <v>0</v>
      </c>
      <c r="K16">
        <f>SUM(K4:K15)</f>
        <v>41</v>
      </c>
      <c r="L16">
        <f>SUM(L4:L15)</f>
        <v>6</v>
      </c>
      <c r="M16">
        <f>SUM(M4:M15)</f>
        <v>0</v>
      </c>
      <c r="N16">
        <f>SUM(N4:N15)</f>
        <v>38</v>
      </c>
      <c r="O16">
        <f>SUM(O4:O15)</f>
        <v>36</v>
      </c>
      <c r="Q16">
        <f t="shared" ref="Q16:R16" si="34">SUM(Q4:Q15)</f>
        <v>0</v>
      </c>
      <c r="R16">
        <f t="shared" si="34"/>
        <v>5</v>
      </c>
      <c r="S16">
        <f>SUM(S4:S15)</f>
        <v>12</v>
      </c>
      <c r="T16">
        <f>SUM(T4:T15)</f>
        <v>10</v>
      </c>
      <c r="U16">
        <f>SUM(U4:U15)</f>
        <v>67</v>
      </c>
      <c r="V16">
        <f>SUM(V4:V15)</f>
        <v>0</v>
      </c>
      <c r="W16">
        <f>SUM(W4:W15)</f>
        <v>18</v>
      </c>
      <c r="Z16">
        <f t="shared" ref="Z16:Z27" si="35">COUNTIF(Z2:AC2, "3")*COUNTIF(C4, "r")+COUNTIF(Z2:AC2, "5")*COUNTIF(C4, "b")</f>
        <v>0</v>
      </c>
      <c r="AA16">
        <f t="shared" ref="AA16:AA27" si="36">COUNTIF(Z2:AC2, "1")+COUNTIF(Z2:AC2, "2")+COUNTIF(Z2:AC2, "4")</f>
        <v>0</v>
      </c>
      <c r="AE16">
        <f t="shared" ref="AE16:AE27" si="37">COUNTIF(AE2:AI2, "3")*COUNTIF(C4, "r") + COUNTIF(AE2:AI2, "5")*COUNTIF(C4, "b")</f>
        <v>1</v>
      </c>
      <c r="AF16">
        <f t="shared" ref="AF16:AF27" si="38">COUNTIF(AE2:AI2, "1")+COUNTIF(AE2:AI2, "2")+COUNTIF(AE2:AI2, "4")</f>
        <v>0</v>
      </c>
      <c r="AG16">
        <f t="shared" ref="AG16:AG27" si="39">COUNTIF(AE2:AI2, "3")*COUNTIF(AE2:AI2, "b")+COUNTIF(AE2:AI2, "5")*COUNTIF(AE2:AI2, "r")</f>
        <v>0</v>
      </c>
      <c r="AK16">
        <f t="shared" ref="AK16:AK27" si="40">SUMPRODUCT(LEN($AK2:$BH2) - LEN(SUBSTITUTE($AK2:$BH2, "g", "")))</f>
        <v>0</v>
      </c>
      <c r="AL16">
        <f t="shared" ref="AL16:AL27" si="41">SUMPRODUCT(LEN($AK2:$BH2) - LEN(SUBSTITUTE($AK2:$BH2, "h", "")))</f>
        <v>0</v>
      </c>
      <c r="AM16">
        <f t="shared" ref="AM16:AM27" si="42">SUMPRODUCT(LEN($AK2:$BH2) - LEN(SUBSTITUTE($AK2:$BH2, "v", "")))</f>
        <v>0</v>
      </c>
      <c r="AN16">
        <f t="shared" ref="AN16:AN27" si="43">SUMPRODUCT(LEN($AK2:$BH2) - LEN(SUBSTITUTE($AK2:$BH2, "r", "")))</f>
        <v>0</v>
      </c>
      <c r="AP16">
        <f>MAX(AQ16:BN16)</f>
        <v>0</v>
      </c>
      <c r="AQ16" s="4">
        <f>_xlfn.NUMBERVALUE(RIGHT(AK2,1))</f>
        <v>0</v>
      </c>
      <c r="AR16" s="4">
        <f t="shared" ref="AR16:BG27" si="44">_xlfn.NUMBERVALUE(RIGHT(AL2,1))</f>
        <v>0</v>
      </c>
      <c r="AS16" s="4">
        <f t="shared" si="44"/>
        <v>0</v>
      </c>
      <c r="AT16" s="4">
        <f t="shared" si="44"/>
        <v>0</v>
      </c>
      <c r="AU16" s="4">
        <f t="shared" si="44"/>
        <v>0</v>
      </c>
      <c r="AV16" s="4">
        <f t="shared" si="44"/>
        <v>0</v>
      </c>
      <c r="AW16" s="4">
        <f t="shared" si="44"/>
        <v>0</v>
      </c>
      <c r="AX16" s="4">
        <f t="shared" si="44"/>
        <v>0</v>
      </c>
      <c r="AY16" s="4">
        <f t="shared" si="44"/>
        <v>0</v>
      </c>
      <c r="AZ16" s="4">
        <f t="shared" si="44"/>
        <v>0</v>
      </c>
      <c r="BA16" s="4">
        <f t="shared" si="44"/>
        <v>0</v>
      </c>
      <c r="BB16" s="4">
        <f t="shared" si="44"/>
        <v>0</v>
      </c>
      <c r="BC16" s="4">
        <f t="shared" si="44"/>
        <v>0</v>
      </c>
      <c r="BD16" s="4">
        <f t="shared" si="44"/>
        <v>0</v>
      </c>
      <c r="BE16" s="4">
        <f t="shared" si="44"/>
        <v>0</v>
      </c>
      <c r="BF16" s="4">
        <f t="shared" si="44"/>
        <v>0</v>
      </c>
      <c r="BG16" s="4">
        <f t="shared" si="44"/>
        <v>0</v>
      </c>
      <c r="BH16" s="4">
        <f t="shared" ref="BH16:BN27" si="45">_xlfn.NUMBERVALUE(RIGHT(BB2,1))</f>
        <v>0</v>
      </c>
      <c r="BI16" s="4">
        <f t="shared" si="45"/>
        <v>0</v>
      </c>
      <c r="BJ16" s="4">
        <f t="shared" si="45"/>
        <v>0</v>
      </c>
      <c r="BK16" s="4">
        <f t="shared" si="45"/>
        <v>0</v>
      </c>
      <c r="BL16" s="4">
        <f t="shared" si="45"/>
        <v>0</v>
      </c>
      <c r="BM16" s="4">
        <f t="shared" si="45"/>
        <v>0</v>
      </c>
      <c r="BN16" s="4">
        <f t="shared" si="45"/>
        <v>0</v>
      </c>
    </row>
    <row r="17" spans="1:66" x14ac:dyDescent="0.2">
      <c r="A17" s="1" t="s">
        <v>20</v>
      </c>
      <c r="D17" s="1" t="s">
        <v>49</v>
      </c>
      <c r="G17" s="1" t="s">
        <v>52</v>
      </c>
      <c r="K17" s="3" t="s">
        <v>74</v>
      </c>
      <c r="P17" s="1" t="s">
        <v>66</v>
      </c>
      <c r="Z17">
        <f t="shared" si="35"/>
        <v>0</v>
      </c>
      <c r="AA17">
        <f t="shared" si="36"/>
        <v>0</v>
      </c>
      <c r="AE17">
        <f t="shared" si="37"/>
        <v>0</v>
      </c>
      <c r="AF17">
        <f t="shared" si="38"/>
        <v>0</v>
      </c>
      <c r="AG17">
        <f t="shared" si="39"/>
        <v>0</v>
      </c>
      <c r="AK17">
        <f t="shared" si="40"/>
        <v>1</v>
      </c>
      <c r="AL17">
        <f t="shared" si="41"/>
        <v>0</v>
      </c>
      <c r="AM17">
        <f t="shared" si="42"/>
        <v>0</v>
      </c>
      <c r="AN17">
        <f t="shared" si="43"/>
        <v>0</v>
      </c>
      <c r="AP17">
        <f t="shared" ref="AP17:AP27" si="46">MAX(AQ17:BN17)</f>
        <v>1</v>
      </c>
      <c r="AQ17" s="4">
        <f t="shared" ref="AQ17:AQ27" si="47">_xlfn.NUMBERVALUE(RIGHT(AK3,1))</f>
        <v>1</v>
      </c>
      <c r="AR17" s="4">
        <f t="shared" si="44"/>
        <v>0</v>
      </c>
      <c r="AS17" s="4">
        <f t="shared" si="44"/>
        <v>0</v>
      </c>
      <c r="AT17" s="4">
        <f t="shared" si="44"/>
        <v>0</v>
      </c>
      <c r="AU17" s="4">
        <f t="shared" si="44"/>
        <v>0</v>
      </c>
      <c r="AV17" s="4">
        <f t="shared" si="44"/>
        <v>0</v>
      </c>
      <c r="AW17" s="4">
        <f t="shared" si="44"/>
        <v>0</v>
      </c>
      <c r="AX17" s="4">
        <f t="shared" si="44"/>
        <v>0</v>
      </c>
      <c r="AY17" s="4">
        <f t="shared" si="44"/>
        <v>0</v>
      </c>
      <c r="AZ17" s="4">
        <f t="shared" si="44"/>
        <v>0</v>
      </c>
      <c r="BA17" s="4">
        <f t="shared" si="44"/>
        <v>0</v>
      </c>
      <c r="BB17" s="4">
        <f t="shared" si="44"/>
        <v>0</v>
      </c>
      <c r="BC17" s="4">
        <f t="shared" si="44"/>
        <v>0</v>
      </c>
      <c r="BD17" s="4">
        <f t="shared" si="44"/>
        <v>0</v>
      </c>
      <c r="BE17" s="4">
        <f t="shared" si="44"/>
        <v>0</v>
      </c>
      <c r="BF17" s="4">
        <f t="shared" si="44"/>
        <v>0</v>
      </c>
      <c r="BG17" s="4">
        <f t="shared" si="44"/>
        <v>0</v>
      </c>
      <c r="BH17" s="4">
        <f t="shared" si="45"/>
        <v>0</v>
      </c>
      <c r="BI17" s="4">
        <f t="shared" si="45"/>
        <v>0</v>
      </c>
      <c r="BJ17" s="4">
        <f t="shared" si="45"/>
        <v>0</v>
      </c>
      <c r="BK17" s="4">
        <f t="shared" si="45"/>
        <v>0</v>
      </c>
      <c r="BL17" s="4">
        <f t="shared" si="45"/>
        <v>0</v>
      </c>
      <c r="BM17" s="4">
        <f t="shared" si="45"/>
        <v>0</v>
      </c>
      <c r="BN17" s="4">
        <f t="shared" si="45"/>
        <v>0</v>
      </c>
    </row>
    <row r="18" spans="1:66" x14ac:dyDescent="0.2">
      <c r="A18" t="s">
        <v>32</v>
      </c>
      <c r="B18" t="s">
        <v>21</v>
      </c>
      <c r="D18" t="s">
        <v>180</v>
      </c>
      <c r="G18" s="3" t="s">
        <v>53</v>
      </c>
      <c r="K18" t="s">
        <v>55</v>
      </c>
      <c r="M18" t="s">
        <v>65</v>
      </c>
      <c r="P18" t="s">
        <v>67</v>
      </c>
      <c r="Z18">
        <f t="shared" si="35"/>
        <v>0</v>
      </c>
      <c r="AA18">
        <f t="shared" si="36"/>
        <v>0</v>
      </c>
      <c r="AE18">
        <f t="shared" si="37"/>
        <v>1</v>
      </c>
      <c r="AF18">
        <f t="shared" si="38"/>
        <v>0</v>
      </c>
      <c r="AG18">
        <f t="shared" si="39"/>
        <v>0</v>
      </c>
      <c r="AK18">
        <f t="shared" si="40"/>
        <v>1</v>
      </c>
      <c r="AL18">
        <f t="shared" si="41"/>
        <v>1</v>
      </c>
      <c r="AM18">
        <f t="shared" si="42"/>
        <v>0</v>
      </c>
      <c r="AN18">
        <f t="shared" si="43"/>
        <v>0</v>
      </c>
      <c r="AP18">
        <f t="shared" si="46"/>
        <v>1</v>
      </c>
      <c r="AQ18" s="4">
        <f t="shared" si="47"/>
        <v>1</v>
      </c>
      <c r="AR18" s="4">
        <f t="shared" si="44"/>
        <v>1</v>
      </c>
      <c r="AS18" s="4">
        <f t="shared" si="44"/>
        <v>0</v>
      </c>
      <c r="AT18" s="4">
        <f t="shared" si="44"/>
        <v>0</v>
      </c>
      <c r="AU18" s="4">
        <f t="shared" si="44"/>
        <v>0</v>
      </c>
      <c r="AV18" s="4">
        <f t="shared" si="44"/>
        <v>0</v>
      </c>
      <c r="AW18" s="4">
        <f t="shared" si="44"/>
        <v>0</v>
      </c>
      <c r="AX18" s="4">
        <f t="shared" si="44"/>
        <v>0</v>
      </c>
      <c r="AY18" s="4">
        <f t="shared" si="44"/>
        <v>0</v>
      </c>
      <c r="AZ18" s="4">
        <f t="shared" si="44"/>
        <v>0</v>
      </c>
      <c r="BA18" s="4">
        <f t="shared" si="44"/>
        <v>0</v>
      </c>
      <c r="BB18" s="4">
        <f t="shared" si="44"/>
        <v>0</v>
      </c>
      <c r="BC18" s="4">
        <f t="shared" si="44"/>
        <v>0</v>
      </c>
      <c r="BD18" s="4">
        <f t="shared" si="44"/>
        <v>0</v>
      </c>
      <c r="BE18" s="4">
        <f t="shared" si="44"/>
        <v>0</v>
      </c>
      <c r="BF18" s="4">
        <f t="shared" si="44"/>
        <v>0</v>
      </c>
      <c r="BG18" s="4">
        <f t="shared" si="44"/>
        <v>0</v>
      </c>
      <c r="BH18" s="4">
        <f t="shared" si="45"/>
        <v>0</v>
      </c>
      <c r="BI18" s="4">
        <f t="shared" si="45"/>
        <v>0</v>
      </c>
      <c r="BJ18" s="4">
        <f t="shared" si="45"/>
        <v>0</v>
      </c>
      <c r="BK18" s="4">
        <f t="shared" si="45"/>
        <v>0</v>
      </c>
      <c r="BL18" s="4">
        <f t="shared" si="45"/>
        <v>0</v>
      </c>
      <c r="BM18" s="4">
        <f t="shared" si="45"/>
        <v>0</v>
      </c>
      <c r="BN18" s="4">
        <f t="shared" si="45"/>
        <v>0</v>
      </c>
    </row>
    <row r="19" spans="1:66" x14ac:dyDescent="0.2">
      <c r="A19" t="s">
        <v>40</v>
      </c>
      <c r="B19" t="s">
        <v>22</v>
      </c>
      <c r="D19">
        <f>E16/D16</f>
        <v>0.81818181818181823</v>
      </c>
      <c r="G19" t="s">
        <v>75</v>
      </c>
      <c r="K19">
        <f>O16/N16</f>
        <v>0.94736842105263153</v>
      </c>
      <c r="M19">
        <f>SUM(M39:M50)</f>
        <v>5</v>
      </c>
      <c r="P19">
        <f>T16/S16</f>
        <v>0.83333333333333337</v>
      </c>
      <c r="Z19">
        <f t="shared" si="35"/>
        <v>0</v>
      </c>
      <c r="AA19">
        <f t="shared" si="36"/>
        <v>0</v>
      </c>
      <c r="AE19">
        <f t="shared" si="37"/>
        <v>1</v>
      </c>
      <c r="AF19">
        <f t="shared" si="38"/>
        <v>0</v>
      </c>
      <c r="AG19">
        <f t="shared" si="39"/>
        <v>0</v>
      </c>
      <c r="AK19">
        <f t="shared" si="40"/>
        <v>0</v>
      </c>
      <c r="AL19">
        <f t="shared" si="41"/>
        <v>0</v>
      </c>
      <c r="AM19">
        <f t="shared" si="42"/>
        <v>0</v>
      </c>
      <c r="AN19">
        <f t="shared" si="43"/>
        <v>0</v>
      </c>
      <c r="AP19">
        <f t="shared" si="46"/>
        <v>0</v>
      </c>
      <c r="AQ19" s="4">
        <f t="shared" si="47"/>
        <v>0</v>
      </c>
      <c r="AR19" s="4">
        <f t="shared" si="44"/>
        <v>0</v>
      </c>
      <c r="AS19" s="4">
        <f t="shared" si="44"/>
        <v>0</v>
      </c>
      <c r="AT19" s="4">
        <f t="shared" si="44"/>
        <v>0</v>
      </c>
      <c r="AU19" s="4">
        <f t="shared" si="44"/>
        <v>0</v>
      </c>
      <c r="AV19" s="4">
        <f t="shared" si="44"/>
        <v>0</v>
      </c>
      <c r="AW19" s="4">
        <f t="shared" si="44"/>
        <v>0</v>
      </c>
      <c r="AX19" s="4">
        <f t="shared" si="44"/>
        <v>0</v>
      </c>
      <c r="AY19" s="4">
        <f t="shared" si="44"/>
        <v>0</v>
      </c>
      <c r="AZ19" s="4">
        <f t="shared" si="44"/>
        <v>0</v>
      </c>
      <c r="BA19" s="4">
        <f t="shared" si="44"/>
        <v>0</v>
      </c>
      <c r="BB19" s="4">
        <f t="shared" si="44"/>
        <v>0</v>
      </c>
      <c r="BC19" s="4">
        <f t="shared" si="44"/>
        <v>0</v>
      </c>
      <c r="BD19" s="4">
        <f t="shared" si="44"/>
        <v>0</v>
      </c>
      <c r="BE19" s="4">
        <f t="shared" si="44"/>
        <v>0</v>
      </c>
      <c r="BF19" s="4">
        <f t="shared" si="44"/>
        <v>0</v>
      </c>
      <c r="BG19" s="4">
        <f t="shared" si="44"/>
        <v>0</v>
      </c>
      <c r="BH19" s="4">
        <f t="shared" si="45"/>
        <v>0</v>
      </c>
      <c r="BI19" s="4">
        <f t="shared" si="45"/>
        <v>0</v>
      </c>
      <c r="BJ19" s="4">
        <f t="shared" si="45"/>
        <v>0</v>
      </c>
      <c r="BK19" s="4">
        <f t="shared" si="45"/>
        <v>0</v>
      </c>
      <c r="BL19" s="4">
        <f t="shared" si="45"/>
        <v>0</v>
      </c>
      <c r="BM19" s="4">
        <f t="shared" si="45"/>
        <v>0</v>
      </c>
      <c r="BN19" s="4">
        <f t="shared" si="45"/>
        <v>0</v>
      </c>
    </row>
    <row r="20" spans="1:66" x14ac:dyDescent="0.2">
      <c r="A20" t="s">
        <v>41</v>
      </c>
      <c r="B20" t="s">
        <v>23</v>
      </c>
      <c r="D20" t="s">
        <v>47</v>
      </c>
      <c r="G20">
        <f>AK28/AP28</f>
        <v>0.7142857142857143</v>
      </c>
      <c r="K20" t="s">
        <v>13</v>
      </c>
      <c r="Z20">
        <f t="shared" si="35"/>
        <v>0</v>
      </c>
      <c r="AA20">
        <f t="shared" si="36"/>
        <v>0</v>
      </c>
      <c r="AE20">
        <f t="shared" si="37"/>
        <v>0</v>
      </c>
      <c r="AF20">
        <f t="shared" si="38"/>
        <v>0</v>
      </c>
      <c r="AG20">
        <f t="shared" si="39"/>
        <v>0</v>
      </c>
      <c r="AK20">
        <f t="shared" si="40"/>
        <v>0</v>
      </c>
      <c r="AL20">
        <f t="shared" si="41"/>
        <v>0</v>
      </c>
      <c r="AM20">
        <f t="shared" si="42"/>
        <v>0</v>
      </c>
      <c r="AN20">
        <f t="shared" si="43"/>
        <v>0</v>
      </c>
      <c r="AP20">
        <f t="shared" si="46"/>
        <v>0</v>
      </c>
      <c r="AQ20" s="4">
        <f t="shared" si="47"/>
        <v>0</v>
      </c>
      <c r="AR20" s="4">
        <f t="shared" si="44"/>
        <v>0</v>
      </c>
      <c r="AS20" s="4">
        <f t="shared" si="44"/>
        <v>0</v>
      </c>
      <c r="AT20" s="4">
        <f t="shared" si="44"/>
        <v>0</v>
      </c>
      <c r="AU20" s="4">
        <f t="shared" si="44"/>
        <v>0</v>
      </c>
      <c r="AV20" s="4">
        <f t="shared" si="44"/>
        <v>0</v>
      </c>
      <c r="AW20" s="4">
        <f t="shared" si="44"/>
        <v>0</v>
      </c>
      <c r="AX20" s="4">
        <f t="shared" si="44"/>
        <v>0</v>
      </c>
      <c r="AY20" s="4">
        <f t="shared" si="44"/>
        <v>0</v>
      </c>
      <c r="AZ20" s="4">
        <f t="shared" si="44"/>
        <v>0</v>
      </c>
      <c r="BA20" s="4">
        <f t="shared" si="44"/>
        <v>0</v>
      </c>
      <c r="BB20" s="4">
        <f t="shared" si="44"/>
        <v>0</v>
      </c>
      <c r="BC20" s="4">
        <f t="shared" si="44"/>
        <v>0</v>
      </c>
      <c r="BD20" s="4">
        <f t="shared" si="44"/>
        <v>0</v>
      </c>
      <c r="BE20" s="4">
        <f t="shared" si="44"/>
        <v>0</v>
      </c>
      <c r="BF20" s="4">
        <f t="shared" si="44"/>
        <v>0</v>
      </c>
      <c r="BG20" s="4">
        <f t="shared" si="44"/>
        <v>0</v>
      </c>
      <c r="BH20" s="4">
        <f t="shared" si="45"/>
        <v>0</v>
      </c>
      <c r="BI20" s="4">
        <f t="shared" si="45"/>
        <v>0</v>
      </c>
      <c r="BJ20" s="4">
        <f t="shared" si="45"/>
        <v>0</v>
      </c>
      <c r="BK20" s="4">
        <f t="shared" si="45"/>
        <v>0</v>
      </c>
      <c r="BL20" s="4">
        <f t="shared" si="45"/>
        <v>0</v>
      </c>
      <c r="BM20" s="4">
        <f t="shared" si="45"/>
        <v>0</v>
      </c>
      <c r="BN20" s="4">
        <f t="shared" si="45"/>
        <v>0</v>
      </c>
    </row>
    <row r="21" spans="1:66" x14ac:dyDescent="0.2">
      <c r="A21" s="1" t="s">
        <v>24</v>
      </c>
      <c r="D21">
        <f>G16/A31</f>
        <v>2</v>
      </c>
      <c r="G21" t="s">
        <v>76</v>
      </c>
      <c r="K21" t="s">
        <v>57</v>
      </c>
      <c r="L21" t="s">
        <v>58</v>
      </c>
      <c r="M21" t="s">
        <v>59</v>
      </c>
      <c r="N21" t="s">
        <v>60</v>
      </c>
      <c r="Z21">
        <f t="shared" si="35"/>
        <v>0</v>
      </c>
      <c r="AA21">
        <f t="shared" si="36"/>
        <v>0</v>
      </c>
      <c r="AE21">
        <f t="shared" si="37"/>
        <v>0</v>
      </c>
      <c r="AF21">
        <f t="shared" si="38"/>
        <v>1</v>
      </c>
      <c r="AG21">
        <f t="shared" si="39"/>
        <v>0</v>
      </c>
      <c r="AK21">
        <f t="shared" si="40"/>
        <v>1</v>
      </c>
      <c r="AL21">
        <f t="shared" si="41"/>
        <v>1</v>
      </c>
      <c r="AM21">
        <f t="shared" si="42"/>
        <v>0</v>
      </c>
      <c r="AN21">
        <f t="shared" si="43"/>
        <v>0</v>
      </c>
      <c r="AP21">
        <f t="shared" si="46"/>
        <v>1</v>
      </c>
      <c r="AQ21" s="4">
        <f t="shared" si="47"/>
        <v>1</v>
      </c>
      <c r="AR21" s="4">
        <f t="shared" si="44"/>
        <v>1</v>
      </c>
      <c r="AS21" s="4">
        <f t="shared" si="44"/>
        <v>0</v>
      </c>
      <c r="AT21" s="4">
        <f t="shared" si="44"/>
        <v>0</v>
      </c>
      <c r="AU21" s="4">
        <f t="shared" si="44"/>
        <v>0</v>
      </c>
      <c r="AV21" s="4">
        <f t="shared" si="44"/>
        <v>0</v>
      </c>
      <c r="AW21" s="4">
        <f t="shared" si="44"/>
        <v>0</v>
      </c>
      <c r="AX21" s="4">
        <f t="shared" si="44"/>
        <v>0</v>
      </c>
      <c r="AY21" s="4">
        <f t="shared" si="44"/>
        <v>0</v>
      </c>
      <c r="AZ21" s="4">
        <f t="shared" si="44"/>
        <v>0</v>
      </c>
      <c r="BA21" s="4">
        <f t="shared" si="44"/>
        <v>0</v>
      </c>
      <c r="BB21" s="4">
        <f t="shared" si="44"/>
        <v>0</v>
      </c>
      <c r="BC21" s="4">
        <f t="shared" si="44"/>
        <v>0</v>
      </c>
      <c r="BD21" s="4">
        <f t="shared" si="44"/>
        <v>0</v>
      </c>
      <c r="BE21" s="4">
        <f t="shared" si="44"/>
        <v>0</v>
      </c>
      <c r="BF21" s="4">
        <f t="shared" si="44"/>
        <v>0</v>
      </c>
      <c r="BG21" s="4">
        <f t="shared" si="44"/>
        <v>0</v>
      </c>
      <c r="BH21" s="4">
        <f t="shared" si="45"/>
        <v>0</v>
      </c>
      <c r="BI21" s="4">
        <f t="shared" si="45"/>
        <v>0</v>
      </c>
      <c r="BJ21" s="4">
        <f t="shared" si="45"/>
        <v>0</v>
      </c>
      <c r="BK21" s="4">
        <f t="shared" si="45"/>
        <v>0</v>
      </c>
      <c r="BL21" s="4">
        <f t="shared" si="45"/>
        <v>0</v>
      </c>
      <c r="BM21" s="4">
        <f t="shared" si="45"/>
        <v>0</v>
      </c>
      <c r="BN21" s="4">
        <f t="shared" si="45"/>
        <v>0</v>
      </c>
    </row>
    <row r="22" spans="1:66" x14ac:dyDescent="0.2">
      <c r="A22" t="s">
        <v>36</v>
      </c>
      <c r="B22" t="s">
        <v>10</v>
      </c>
      <c r="D22" t="s">
        <v>48</v>
      </c>
      <c r="G22">
        <f>AL28/AP28</f>
        <v>0.5714285714285714</v>
      </c>
      <c r="K22">
        <f>AVERAGE(C39:C50)</f>
        <v>3</v>
      </c>
      <c r="L22">
        <f>MEDIAN(C39:C50)</f>
        <v>3</v>
      </c>
      <c r="M22">
        <f>MAX(C39:C50)</f>
        <v>4</v>
      </c>
      <c r="N22">
        <f>_xlfn.STDEV.S(C39:C50)</f>
        <v>0.7385489458759964</v>
      </c>
      <c r="Z22">
        <f t="shared" si="35"/>
        <v>0</v>
      </c>
      <c r="AA22">
        <f t="shared" si="36"/>
        <v>0</v>
      </c>
      <c r="AE22">
        <f t="shared" si="37"/>
        <v>0</v>
      </c>
      <c r="AF22">
        <f t="shared" si="38"/>
        <v>0</v>
      </c>
      <c r="AG22">
        <f t="shared" si="39"/>
        <v>0</v>
      </c>
      <c r="AK22">
        <f t="shared" si="40"/>
        <v>0</v>
      </c>
      <c r="AL22">
        <f t="shared" si="41"/>
        <v>0</v>
      </c>
      <c r="AM22">
        <f t="shared" si="42"/>
        <v>0</v>
      </c>
      <c r="AN22">
        <f t="shared" si="43"/>
        <v>0</v>
      </c>
      <c r="AP22">
        <f t="shared" si="46"/>
        <v>0</v>
      </c>
      <c r="AQ22" s="4">
        <f t="shared" si="47"/>
        <v>0</v>
      </c>
      <c r="AR22" s="4">
        <f t="shared" si="44"/>
        <v>0</v>
      </c>
      <c r="AS22" s="4">
        <f t="shared" si="44"/>
        <v>0</v>
      </c>
      <c r="AT22" s="4">
        <f t="shared" si="44"/>
        <v>0</v>
      </c>
      <c r="AU22" s="4">
        <f t="shared" si="44"/>
        <v>0</v>
      </c>
      <c r="AV22" s="4">
        <f t="shared" si="44"/>
        <v>0</v>
      </c>
      <c r="AW22" s="4">
        <f t="shared" si="44"/>
        <v>0</v>
      </c>
      <c r="AX22" s="4">
        <f t="shared" si="44"/>
        <v>0</v>
      </c>
      <c r="AY22" s="4">
        <f t="shared" si="44"/>
        <v>0</v>
      </c>
      <c r="AZ22" s="4">
        <f t="shared" si="44"/>
        <v>0</v>
      </c>
      <c r="BA22" s="4">
        <f t="shared" si="44"/>
        <v>0</v>
      </c>
      <c r="BB22" s="4">
        <f t="shared" si="44"/>
        <v>0</v>
      </c>
      <c r="BC22" s="4">
        <f t="shared" si="44"/>
        <v>0</v>
      </c>
      <c r="BD22" s="4">
        <f t="shared" si="44"/>
        <v>0</v>
      </c>
      <c r="BE22" s="4">
        <f t="shared" si="44"/>
        <v>0</v>
      </c>
      <c r="BF22" s="4">
        <f t="shared" si="44"/>
        <v>0</v>
      </c>
      <c r="BG22" s="4">
        <f t="shared" si="44"/>
        <v>0</v>
      </c>
      <c r="BH22" s="4">
        <f t="shared" si="45"/>
        <v>0</v>
      </c>
      <c r="BI22" s="4">
        <f t="shared" si="45"/>
        <v>0</v>
      </c>
      <c r="BJ22" s="4">
        <f t="shared" si="45"/>
        <v>0</v>
      </c>
      <c r="BK22" s="4">
        <f t="shared" si="45"/>
        <v>0</v>
      </c>
      <c r="BL22" s="4">
        <f t="shared" si="45"/>
        <v>0</v>
      </c>
      <c r="BM22" s="4">
        <f t="shared" si="45"/>
        <v>0</v>
      </c>
      <c r="BN22" s="4">
        <f t="shared" si="45"/>
        <v>0</v>
      </c>
    </row>
    <row r="23" spans="1:66" x14ac:dyDescent="0.2">
      <c r="A23" t="s">
        <v>37</v>
      </c>
      <c r="B23" t="s">
        <v>25</v>
      </c>
      <c r="D23">
        <f>H16/A31</f>
        <v>0</v>
      </c>
      <c r="G23" t="s">
        <v>77</v>
      </c>
      <c r="K23" t="s">
        <v>8</v>
      </c>
      <c r="Z23">
        <f t="shared" si="35"/>
        <v>0</v>
      </c>
      <c r="AA23">
        <f t="shared" si="36"/>
        <v>0</v>
      </c>
      <c r="AE23">
        <f t="shared" si="37"/>
        <v>0</v>
      </c>
      <c r="AF23">
        <f t="shared" si="38"/>
        <v>0</v>
      </c>
      <c r="AG23">
        <f t="shared" si="39"/>
        <v>0</v>
      </c>
      <c r="AK23">
        <f t="shared" si="40"/>
        <v>1</v>
      </c>
      <c r="AL23">
        <f t="shared" si="41"/>
        <v>0</v>
      </c>
      <c r="AM23">
        <f t="shared" si="42"/>
        <v>0</v>
      </c>
      <c r="AN23">
        <f t="shared" si="43"/>
        <v>0</v>
      </c>
      <c r="AP23">
        <f t="shared" si="46"/>
        <v>1</v>
      </c>
      <c r="AQ23" s="4">
        <f t="shared" si="47"/>
        <v>1</v>
      </c>
      <c r="AR23" s="4">
        <f t="shared" si="44"/>
        <v>0</v>
      </c>
      <c r="AS23" s="4">
        <f t="shared" si="44"/>
        <v>0</v>
      </c>
      <c r="AT23" s="4">
        <f t="shared" si="44"/>
        <v>0</v>
      </c>
      <c r="AU23" s="4">
        <f t="shared" si="44"/>
        <v>0</v>
      </c>
      <c r="AV23" s="4">
        <f t="shared" si="44"/>
        <v>0</v>
      </c>
      <c r="AW23" s="4">
        <f t="shared" si="44"/>
        <v>0</v>
      </c>
      <c r="AX23" s="4">
        <f t="shared" si="44"/>
        <v>0</v>
      </c>
      <c r="AY23" s="4">
        <f t="shared" si="44"/>
        <v>0</v>
      </c>
      <c r="AZ23" s="4">
        <f t="shared" si="44"/>
        <v>0</v>
      </c>
      <c r="BA23" s="4">
        <f t="shared" si="44"/>
        <v>0</v>
      </c>
      <c r="BB23" s="4">
        <f t="shared" si="44"/>
        <v>0</v>
      </c>
      <c r="BC23" s="4">
        <f t="shared" si="44"/>
        <v>0</v>
      </c>
      <c r="BD23" s="4">
        <f t="shared" si="44"/>
        <v>0</v>
      </c>
      <c r="BE23" s="4">
        <f t="shared" si="44"/>
        <v>0</v>
      </c>
      <c r="BF23" s="4">
        <f t="shared" si="44"/>
        <v>0</v>
      </c>
      <c r="BG23" s="4">
        <f t="shared" si="44"/>
        <v>0</v>
      </c>
      <c r="BH23" s="4">
        <f t="shared" si="45"/>
        <v>0</v>
      </c>
      <c r="BI23" s="4">
        <f t="shared" si="45"/>
        <v>0</v>
      </c>
      <c r="BJ23" s="4">
        <f t="shared" si="45"/>
        <v>0</v>
      </c>
      <c r="BK23" s="4">
        <f t="shared" si="45"/>
        <v>0</v>
      </c>
      <c r="BL23" s="4">
        <f t="shared" si="45"/>
        <v>0</v>
      </c>
      <c r="BM23" s="4">
        <f t="shared" si="45"/>
        <v>0</v>
      </c>
      <c r="BN23" s="4">
        <f t="shared" si="45"/>
        <v>0</v>
      </c>
    </row>
    <row r="24" spans="1:66" x14ac:dyDescent="0.2">
      <c r="A24" t="s">
        <v>38</v>
      </c>
      <c r="B24" t="s">
        <v>26</v>
      </c>
      <c r="D24" t="s">
        <v>50</v>
      </c>
      <c r="G24">
        <f>AM28/AP28</f>
        <v>0</v>
      </c>
      <c r="K24" t="s">
        <v>57</v>
      </c>
      <c r="L24" t="s">
        <v>61</v>
      </c>
      <c r="M24" t="s">
        <v>59</v>
      </c>
      <c r="N24" t="s">
        <v>60</v>
      </c>
      <c r="Z24">
        <f t="shared" si="35"/>
        <v>0</v>
      </c>
      <c r="AA24">
        <f t="shared" si="36"/>
        <v>0</v>
      </c>
      <c r="AE24">
        <f t="shared" si="37"/>
        <v>0</v>
      </c>
      <c r="AF24">
        <f t="shared" si="38"/>
        <v>0</v>
      </c>
      <c r="AG24">
        <f t="shared" si="39"/>
        <v>0</v>
      </c>
      <c r="AK24">
        <f t="shared" si="40"/>
        <v>0</v>
      </c>
      <c r="AL24">
        <f t="shared" si="41"/>
        <v>0</v>
      </c>
      <c r="AM24">
        <f t="shared" si="42"/>
        <v>0</v>
      </c>
      <c r="AN24">
        <f t="shared" si="43"/>
        <v>0</v>
      </c>
      <c r="AP24">
        <f t="shared" si="46"/>
        <v>0</v>
      </c>
      <c r="AQ24" s="4">
        <f t="shared" si="47"/>
        <v>0</v>
      </c>
      <c r="AR24" s="4">
        <f t="shared" si="44"/>
        <v>0</v>
      </c>
      <c r="AS24" s="4">
        <f t="shared" si="44"/>
        <v>0</v>
      </c>
      <c r="AT24" s="4">
        <f t="shared" si="44"/>
        <v>0</v>
      </c>
      <c r="AU24" s="4">
        <f t="shared" si="44"/>
        <v>0</v>
      </c>
      <c r="AV24" s="4">
        <f t="shared" si="44"/>
        <v>0</v>
      </c>
      <c r="AW24" s="4">
        <f t="shared" si="44"/>
        <v>0</v>
      </c>
      <c r="AX24" s="4">
        <f t="shared" si="44"/>
        <v>0</v>
      </c>
      <c r="AY24" s="4">
        <f t="shared" si="44"/>
        <v>0</v>
      </c>
      <c r="AZ24" s="4">
        <f t="shared" si="44"/>
        <v>0</v>
      </c>
      <c r="BA24" s="4">
        <f t="shared" si="44"/>
        <v>0</v>
      </c>
      <c r="BB24" s="4">
        <f t="shared" si="44"/>
        <v>0</v>
      </c>
      <c r="BC24" s="4">
        <f t="shared" si="44"/>
        <v>0</v>
      </c>
      <c r="BD24" s="4">
        <f t="shared" si="44"/>
        <v>0</v>
      </c>
      <c r="BE24" s="4">
        <f t="shared" si="44"/>
        <v>0</v>
      </c>
      <c r="BF24" s="4">
        <f t="shared" si="44"/>
        <v>0</v>
      </c>
      <c r="BG24" s="4">
        <f t="shared" si="44"/>
        <v>0</v>
      </c>
      <c r="BH24" s="4">
        <f t="shared" si="45"/>
        <v>0</v>
      </c>
      <c r="BI24" s="4">
        <f t="shared" si="45"/>
        <v>0</v>
      </c>
      <c r="BJ24" s="4">
        <f t="shared" si="45"/>
        <v>0</v>
      </c>
      <c r="BK24" s="4">
        <f t="shared" si="45"/>
        <v>0</v>
      </c>
      <c r="BL24" s="4">
        <f t="shared" si="45"/>
        <v>0</v>
      </c>
      <c r="BM24" s="4">
        <f t="shared" si="45"/>
        <v>0</v>
      </c>
      <c r="BN24" s="4">
        <f t="shared" si="45"/>
        <v>0</v>
      </c>
    </row>
    <row r="25" spans="1:66" x14ac:dyDescent="0.2">
      <c r="A25" t="s">
        <v>39</v>
      </c>
      <c r="B25" t="s">
        <v>27</v>
      </c>
      <c r="D25">
        <f>Z28/A31</f>
        <v>0</v>
      </c>
      <c r="G25" t="s">
        <v>78</v>
      </c>
      <c r="K25">
        <f>AVERAGE(E39:E50)</f>
        <v>0</v>
      </c>
      <c r="L25">
        <f>MEDIAN(E39:E50)</f>
        <v>0</v>
      </c>
      <c r="M25">
        <f>MAX(E39:E50)</f>
        <v>0</v>
      </c>
      <c r="N25">
        <f>_xlfn.STDEV.S(E39:E50)</f>
        <v>0</v>
      </c>
      <c r="Z25">
        <f t="shared" si="35"/>
        <v>0</v>
      </c>
      <c r="AA25">
        <f t="shared" si="36"/>
        <v>0</v>
      </c>
      <c r="AE25">
        <f t="shared" si="37"/>
        <v>0</v>
      </c>
      <c r="AF25">
        <f t="shared" si="38"/>
        <v>0</v>
      </c>
      <c r="AG25">
        <f t="shared" si="39"/>
        <v>0</v>
      </c>
      <c r="AK25">
        <f t="shared" si="40"/>
        <v>0</v>
      </c>
      <c r="AL25">
        <f t="shared" si="41"/>
        <v>0</v>
      </c>
      <c r="AM25">
        <f t="shared" si="42"/>
        <v>0</v>
      </c>
      <c r="AN25">
        <f t="shared" si="43"/>
        <v>0</v>
      </c>
      <c r="AP25">
        <f t="shared" si="46"/>
        <v>0</v>
      </c>
      <c r="AQ25" s="4">
        <f t="shared" si="47"/>
        <v>0</v>
      </c>
      <c r="AR25" s="4">
        <f t="shared" si="44"/>
        <v>0</v>
      </c>
      <c r="AS25" s="4">
        <f t="shared" si="44"/>
        <v>0</v>
      </c>
      <c r="AT25" s="4">
        <f t="shared" si="44"/>
        <v>0</v>
      </c>
      <c r="AU25" s="4">
        <f t="shared" si="44"/>
        <v>0</v>
      </c>
      <c r="AV25" s="4">
        <f t="shared" si="44"/>
        <v>0</v>
      </c>
      <c r="AW25" s="4">
        <f t="shared" si="44"/>
        <v>0</v>
      </c>
      <c r="AX25" s="4">
        <f t="shared" si="44"/>
        <v>0</v>
      </c>
      <c r="AY25" s="4">
        <f t="shared" si="44"/>
        <v>0</v>
      </c>
      <c r="AZ25" s="4">
        <f t="shared" si="44"/>
        <v>0</v>
      </c>
      <c r="BA25" s="4">
        <f t="shared" si="44"/>
        <v>0</v>
      </c>
      <c r="BB25" s="4">
        <f t="shared" si="44"/>
        <v>0</v>
      </c>
      <c r="BC25" s="4">
        <f t="shared" si="44"/>
        <v>0</v>
      </c>
      <c r="BD25" s="4">
        <f t="shared" si="44"/>
        <v>0</v>
      </c>
      <c r="BE25" s="4">
        <f t="shared" si="44"/>
        <v>0</v>
      </c>
      <c r="BF25" s="4">
        <f t="shared" si="44"/>
        <v>0</v>
      </c>
      <c r="BG25" s="4">
        <f t="shared" si="44"/>
        <v>0</v>
      </c>
      <c r="BH25" s="4">
        <f t="shared" si="45"/>
        <v>0</v>
      </c>
      <c r="BI25" s="4">
        <f t="shared" si="45"/>
        <v>0</v>
      </c>
      <c r="BJ25" s="4">
        <f t="shared" si="45"/>
        <v>0</v>
      </c>
      <c r="BK25" s="4">
        <f t="shared" si="45"/>
        <v>0</v>
      </c>
      <c r="BL25" s="4">
        <f t="shared" si="45"/>
        <v>0</v>
      </c>
      <c r="BM25" s="4">
        <f t="shared" si="45"/>
        <v>0</v>
      </c>
      <c r="BN25" s="4">
        <f t="shared" si="45"/>
        <v>0</v>
      </c>
    </row>
    <row r="26" spans="1:66" x14ac:dyDescent="0.2">
      <c r="A26" t="s">
        <v>44</v>
      </c>
      <c r="D26" t="s">
        <v>51</v>
      </c>
      <c r="G26">
        <f>AN28/AP28</f>
        <v>0</v>
      </c>
      <c r="K26" t="s">
        <v>62</v>
      </c>
      <c r="P26" t="s">
        <v>19</v>
      </c>
      <c r="Z26">
        <f t="shared" si="35"/>
        <v>0</v>
      </c>
      <c r="AA26">
        <f t="shared" si="36"/>
        <v>0</v>
      </c>
      <c r="AE26">
        <f t="shared" si="37"/>
        <v>0</v>
      </c>
      <c r="AF26">
        <f t="shared" si="38"/>
        <v>0</v>
      </c>
      <c r="AG26">
        <f t="shared" si="39"/>
        <v>0</v>
      </c>
      <c r="AK26">
        <f t="shared" si="40"/>
        <v>1</v>
      </c>
      <c r="AL26">
        <f t="shared" si="41"/>
        <v>0</v>
      </c>
      <c r="AM26">
        <f t="shared" si="42"/>
        <v>0</v>
      </c>
      <c r="AN26">
        <f t="shared" si="43"/>
        <v>0</v>
      </c>
      <c r="AP26">
        <f t="shared" si="46"/>
        <v>1</v>
      </c>
      <c r="AQ26" s="4">
        <f t="shared" si="47"/>
        <v>1</v>
      </c>
      <c r="AR26" s="4">
        <f t="shared" si="44"/>
        <v>0</v>
      </c>
      <c r="AS26" s="4">
        <f t="shared" si="44"/>
        <v>0</v>
      </c>
      <c r="AT26" s="4">
        <f t="shared" si="44"/>
        <v>0</v>
      </c>
      <c r="AU26" s="4">
        <f t="shared" si="44"/>
        <v>0</v>
      </c>
      <c r="AV26" s="4">
        <f t="shared" si="44"/>
        <v>0</v>
      </c>
      <c r="AW26" s="4">
        <f t="shared" si="44"/>
        <v>0</v>
      </c>
      <c r="AX26" s="4">
        <f t="shared" si="44"/>
        <v>0</v>
      </c>
      <c r="AY26" s="4">
        <f t="shared" si="44"/>
        <v>0</v>
      </c>
      <c r="AZ26" s="4">
        <f t="shared" si="44"/>
        <v>0</v>
      </c>
      <c r="BA26" s="4">
        <f t="shared" si="44"/>
        <v>0</v>
      </c>
      <c r="BB26" s="4">
        <f t="shared" si="44"/>
        <v>0</v>
      </c>
      <c r="BC26" s="4">
        <f t="shared" si="44"/>
        <v>0</v>
      </c>
      <c r="BD26" s="4">
        <f t="shared" si="44"/>
        <v>0</v>
      </c>
      <c r="BE26" s="4">
        <f t="shared" si="44"/>
        <v>0</v>
      </c>
      <c r="BF26" s="4">
        <f t="shared" si="44"/>
        <v>0</v>
      </c>
      <c r="BG26" s="4">
        <f t="shared" si="44"/>
        <v>0</v>
      </c>
      <c r="BH26" s="4">
        <f t="shared" si="45"/>
        <v>0</v>
      </c>
      <c r="BI26" s="4">
        <f t="shared" si="45"/>
        <v>0</v>
      </c>
      <c r="BJ26" s="4">
        <f t="shared" si="45"/>
        <v>0</v>
      </c>
      <c r="BK26" s="4">
        <f t="shared" si="45"/>
        <v>0</v>
      </c>
      <c r="BL26" s="4">
        <f t="shared" si="45"/>
        <v>0</v>
      </c>
      <c r="BM26" s="4">
        <f t="shared" si="45"/>
        <v>0</v>
      </c>
      <c r="BN26" s="4">
        <f t="shared" si="45"/>
        <v>0</v>
      </c>
    </row>
    <row r="27" spans="1:66" x14ac:dyDescent="0.2">
      <c r="A27" t="s">
        <v>45</v>
      </c>
      <c r="D27">
        <f>AA28/A31</f>
        <v>0</v>
      </c>
      <c r="G27" t="s">
        <v>56</v>
      </c>
      <c r="K27" t="s">
        <v>57</v>
      </c>
      <c r="L27" t="s">
        <v>58</v>
      </c>
      <c r="M27" t="s">
        <v>59</v>
      </c>
      <c r="N27" t="s">
        <v>60</v>
      </c>
      <c r="P27" t="s">
        <v>57</v>
      </c>
      <c r="Q27" t="s">
        <v>58</v>
      </c>
      <c r="R27" t="s">
        <v>59</v>
      </c>
      <c r="S27" t="s">
        <v>60</v>
      </c>
      <c r="Z27">
        <f t="shared" si="35"/>
        <v>0</v>
      </c>
      <c r="AA27">
        <f t="shared" si="36"/>
        <v>0</v>
      </c>
      <c r="AE27">
        <f t="shared" si="37"/>
        <v>1</v>
      </c>
      <c r="AF27">
        <f t="shared" si="38"/>
        <v>1</v>
      </c>
      <c r="AG27">
        <f t="shared" si="39"/>
        <v>0</v>
      </c>
      <c r="AK27">
        <f t="shared" si="40"/>
        <v>0</v>
      </c>
      <c r="AL27">
        <f t="shared" si="41"/>
        <v>2</v>
      </c>
      <c r="AM27">
        <f t="shared" si="42"/>
        <v>0</v>
      </c>
      <c r="AN27">
        <f t="shared" si="43"/>
        <v>0</v>
      </c>
      <c r="AP27">
        <f t="shared" si="46"/>
        <v>2</v>
      </c>
      <c r="AQ27" s="4">
        <f t="shared" si="47"/>
        <v>1</v>
      </c>
      <c r="AR27" s="4">
        <f t="shared" si="44"/>
        <v>2</v>
      </c>
      <c r="AS27" s="4">
        <f t="shared" si="44"/>
        <v>0</v>
      </c>
      <c r="AT27" s="4">
        <f t="shared" si="44"/>
        <v>0</v>
      </c>
      <c r="AU27" s="4">
        <f t="shared" si="44"/>
        <v>0</v>
      </c>
      <c r="AV27" s="4">
        <f t="shared" si="44"/>
        <v>0</v>
      </c>
      <c r="AW27" s="4">
        <f t="shared" si="44"/>
        <v>0</v>
      </c>
      <c r="AX27" s="4">
        <f t="shared" si="44"/>
        <v>0</v>
      </c>
      <c r="AY27" s="4">
        <f t="shared" si="44"/>
        <v>0</v>
      </c>
      <c r="AZ27" s="4">
        <f t="shared" si="44"/>
        <v>0</v>
      </c>
      <c r="BA27" s="4">
        <f t="shared" si="44"/>
        <v>0</v>
      </c>
      <c r="BB27" s="4">
        <f t="shared" si="44"/>
        <v>0</v>
      </c>
      <c r="BC27" s="4">
        <f t="shared" si="44"/>
        <v>0</v>
      </c>
      <c r="BD27" s="4">
        <f t="shared" si="44"/>
        <v>0</v>
      </c>
      <c r="BE27" s="4">
        <f t="shared" si="44"/>
        <v>0</v>
      </c>
      <c r="BF27" s="4">
        <f t="shared" si="44"/>
        <v>0</v>
      </c>
      <c r="BG27" s="4">
        <f t="shared" si="44"/>
        <v>0</v>
      </c>
      <c r="BH27" s="4">
        <f t="shared" si="45"/>
        <v>0</v>
      </c>
      <c r="BI27" s="4">
        <f t="shared" si="45"/>
        <v>0</v>
      </c>
      <c r="BJ27" s="4">
        <f t="shared" si="45"/>
        <v>0</v>
      </c>
      <c r="BK27" s="4">
        <f t="shared" si="45"/>
        <v>0</v>
      </c>
      <c r="BL27" s="4">
        <f t="shared" si="45"/>
        <v>0</v>
      </c>
      <c r="BM27" s="4">
        <f t="shared" si="45"/>
        <v>0</v>
      </c>
      <c r="BN27" s="4">
        <f t="shared" si="45"/>
        <v>0</v>
      </c>
    </row>
    <row r="28" spans="1:66" x14ac:dyDescent="0.2">
      <c r="A28" t="s">
        <v>46</v>
      </c>
      <c r="D28" t="s">
        <v>202</v>
      </c>
      <c r="G28" t="s">
        <v>57</v>
      </c>
      <c r="H28" t="s">
        <v>58</v>
      </c>
      <c r="I28" t="s">
        <v>59</v>
      </c>
      <c r="J28" t="s">
        <v>60</v>
      </c>
      <c r="K28">
        <f>AVERAGE(G39:G50)</f>
        <v>0.41666666666666669</v>
      </c>
      <c r="L28">
        <f>MEDIAN(G39:G50)</f>
        <v>0</v>
      </c>
      <c r="M28">
        <f>MAX(G39:G50)</f>
        <v>1</v>
      </c>
      <c r="N28">
        <f>_xlfn.STDEV.S(G39:G50)</f>
        <v>0.51492865054443726</v>
      </c>
      <c r="P28">
        <f>AVERAGE(N39:N50)</f>
        <v>5.583333333333333</v>
      </c>
      <c r="Q28">
        <f>MEDIAN(N39:N50)</f>
        <v>5.5</v>
      </c>
      <c r="R28">
        <f>MAX(N39:N50)</f>
        <v>15</v>
      </c>
      <c r="S28">
        <f>_xlfn.STDEV.S(N39:N50)</f>
        <v>4.4201672805312233</v>
      </c>
      <c r="Y28" t="s">
        <v>33</v>
      </c>
      <c r="Z28">
        <f>SUM(Z16:Z27)</f>
        <v>0</v>
      </c>
      <c r="AA28">
        <f>SUM(AA16:AA27)</f>
        <v>0</v>
      </c>
      <c r="AE28">
        <f>SUM(AE16:AE27)</f>
        <v>4</v>
      </c>
      <c r="AF28">
        <f>SUM(AF16:AF27)</f>
        <v>2</v>
      </c>
      <c r="AG28">
        <f>SUM(AG16:AG27)</f>
        <v>0</v>
      </c>
      <c r="AK28">
        <f>SUM(AK16:AK27)</f>
        <v>5</v>
      </c>
      <c r="AL28">
        <f>SUM(AL16:AL27)</f>
        <v>4</v>
      </c>
      <c r="AM28">
        <f>SUM(AM16:AM27)</f>
        <v>0</v>
      </c>
      <c r="AN28">
        <f>SUM(AN16:AN27)</f>
        <v>0</v>
      </c>
      <c r="AP28">
        <f>SUM(AP16:AP27)</f>
        <v>7</v>
      </c>
    </row>
    <row r="29" spans="1:66" x14ac:dyDescent="0.2">
      <c r="D29">
        <f>SUM(O39:O50)/F16</f>
        <v>1</v>
      </c>
      <c r="G29">
        <f>AVERAGE(A39:A50)</f>
        <v>0.5</v>
      </c>
      <c r="H29">
        <f>MEDIAN(A39:A50)</f>
        <v>0</v>
      </c>
      <c r="I29">
        <f>MAX(A39:A50)</f>
        <v>2</v>
      </c>
      <c r="J29">
        <f>_xlfn.STDEV.S(A39:A50)</f>
        <v>0.67419986246324204</v>
      </c>
      <c r="K29" t="s">
        <v>63</v>
      </c>
      <c r="P29" t="s">
        <v>148</v>
      </c>
    </row>
    <row r="30" spans="1:66" x14ac:dyDescent="0.2">
      <c r="A30" t="s">
        <v>147</v>
      </c>
      <c r="D30" t="s">
        <v>203</v>
      </c>
      <c r="G30" t="s">
        <v>50</v>
      </c>
      <c r="H30" t="s">
        <v>51</v>
      </c>
      <c r="I30" t="s">
        <v>89</v>
      </c>
      <c r="K30" t="s">
        <v>57</v>
      </c>
      <c r="L30" t="s">
        <v>58</v>
      </c>
      <c r="M30" t="s">
        <v>59</v>
      </c>
      <c r="N30" t="s">
        <v>60</v>
      </c>
      <c r="P30" t="s">
        <v>57</v>
      </c>
      <c r="Q30" t="s">
        <v>58</v>
      </c>
      <c r="R30" t="s">
        <v>59</v>
      </c>
      <c r="S30" t="s">
        <v>60</v>
      </c>
      <c r="W30" t="s">
        <v>148</v>
      </c>
      <c r="Y30" t="s">
        <v>149</v>
      </c>
      <c r="AH30" t="s">
        <v>79</v>
      </c>
    </row>
    <row r="31" spans="1:66" x14ac:dyDescent="0.2">
      <c r="A31">
        <f>COUNT(B4:B15)</f>
        <v>12</v>
      </c>
      <c r="D31" s="2">
        <f>SUM(S39:S50)/SUM(Q39:Q50)</f>
        <v>0.7142857142857143</v>
      </c>
      <c r="G31">
        <f>AE28/A31</f>
        <v>0.33333333333333331</v>
      </c>
      <c r="H31">
        <f>AF28/A31</f>
        <v>0.16666666666666666</v>
      </c>
      <c r="I31">
        <f>AG28/A31</f>
        <v>0</v>
      </c>
      <c r="K31" t="e">
        <f>AVERAGE(I39:I50)</f>
        <v>#DIV/0!</v>
      </c>
      <c r="L31" t="e">
        <f>MEDIAN(I39:I50)</f>
        <v>#NUM!</v>
      </c>
      <c r="M31">
        <f>MAX(I39:I50)</f>
        <v>0</v>
      </c>
      <c r="N31" t="e">
        <f>_xlfn.STDEV.S(I39:I50)</f>
        <v>#DIV/0!</v>
      </c>
      <c r="P31">
        <f>AVERAGE(W31:W42)</f>
        <v>6.7</v>
      </c>
      <c r="Q31">
        <f>MEDIAN(W31:W42)</f>
        <v>6.5</v>
      </c>
      <c r="R31">
        <f>MAX(W31:W42)</f>
        <v>15</v>
      </c>
      <c r="S31">
        <f>_xlfn.STDEV.S(W31:W42)</f>
        <v>3.9454615277134146</v>
      </c>
      <c r="W31">
        <f t="shared" ref="W31:W33" si="48">IF(AND(ISBLANK(Q4), ISBLANK(R4), ISBLANK(G4), ISBLANK(H4)), "", U4)</f>
        <v>8</v>
      </c>
      <c r="Y31">
        <f t="shared" ref="Y31:Y42" si="49">IF(ISBLANK(Y4), IF(X4 = 0, "", (G4 + H4/3 + V4/9 + W4/3)), U4)</f>
        <v>8</v>
      </c>
      <c r="AH31" t="s">
        <v>80</v>
      </c>
    </row>
    <row r="32" spans="1:66" x14ac:dyDescent="0.2">
      <c r="D32" s="3"/>
      <c r="K32" t="s">
        <v>64</v>
      </c>
      <c r="P32" t="s">
        <v>149</v>
      </c>
      <c r="W32">
        <f t="shared" si="48"/>
        <v>5</v>
      </c>
      <c r="Y32">
        <f t="shared" si="49"/>
        <v>5</v>
      </c>
      <c r="AH32" t="s">
        <v>81</v>
      </c>
    </row>
    <row r="33" spans="1:34" x14ac:dyDescent="0.2">
      <c r="D33" s="3"/>
      <c r="K33" t="s">
        <v>57</v>
      </c>
      <c r="L33" t="s">
        <v>58</v>
      </c>
      <c r="M33" t="s">
        <v>59</v>
      </c>
      <c r="N33" t="s">
        <v>60</v>
      </c>
      <c r="P33" t="s">
        <v>57</v>
      </c>
      <c r="Q33" t="s">
        <v>58</v>
      </c>
      <c r="R33" t="s">
        <v>59</v>
      </c>
      <c r="S33" t="s">
        <v>60</v>
      </c>
      <c r="W33">
        <f t="shared" si="48"/>
        <v>5</v>
      </c>
      <c r="Y33">
        <f t="shared" si="49"/>
        <v>5</v>
      </c>
      <c r="AH33" t="s">
        <v>82</v>
      </c>
    </row>
    <row r="34" spans="1:34" x14ac:dyDescent="0.2">
      <c r="D34" s="3"/>
      <c r="K34">
        <f>AVERAGE(K39:K50)</f>
        <v>0.41666666666666669</v>
      </c>
      <c r="L34">
        <f>MEDIAN(K39:K50)</f>
        <v>0</v>
      </c>
      <c r="M34">
        <f>MAX(K39:K50)</f>
        <v>1</v>
      </c>
      <c r="N34">
        <f>_xlfn.STDEV.S(K39:K50)</f>
        <v>0.51492865054443726</v>
      </c>
      <c r="P34">
        <f>AVERAGE(Y31:Y42)</f>
        <v>5.0333333333333332</v>
      </c>
      <c r="Q34">
        <f>MEDIAN(Y31:Y42)</f>
        <v>5</v>
      </c>
      <c r="R34">
        <f>MAX(Y31:Y42)</f>
        <v>8</v>
      </c>
      <c r="S34">
        <f>_xlfn.STDEV.S(Y31:Y42)</f>
        <v>2.075429451320232</v>
      </c>
      <c r="W34" t="str">
        <f>IF(AND(ISBLANK(Q7), ISBLANK(R7), ISBLANK(G7), ISBLANK(H7)), "", U7)</f>
        <v/>
      </c>
      <c r="Y34" t="str">
        <f t="shared" si="49"/>
        <v/>
      </c>
      <c r="AH34" t="s">
        <v>83</v>
      </c>
    </row>
    <row r="35" spans="1:34" x14ac:dyDescent="0.2">
      <c r="P35" t="s">
        <v>95</v>
      </c>
      <c r="R35" t="s">
        <v>197</v>
      </c>
      <c r="W35">
        <f t="shared" ref="W35:W42" si="50">IF(AND(ISBLANK(Q8), ISBLANK(R8), ISBLANK(G8), ISBLANK(H8)), "", U8)</f>
        <v>0</v>
      </c>
      <c r="Y35">
        <f t="shared" si="49"/>
        <v>1</v>
      </c>
    </row>
    <row r="36" spans="1:34" x14ac:dyDescent="0.2">
      <c r="P36">
        <f>Q16/(Q16+R16)</f>
        <v>0</v>
      </c>
      <c r="R36">
        <f>R16/(Q16+R16)</f>
        <v>1</v>
      </c>
      <c r="W36">
        <f t="shared" si="50"/>
        <v>7</v>
      </c>
      <c r="Y36">
        <f t="shared" si="49"/>
        <v>7</v>
      </c>
    </row>
    <row r="37" spans="1:34" x14ac:dyDescent="0.2">
      <c r="W37" t="str">
        <f t="shared" si="50"/>
        <v/>
      </c>
      <c r="Y37" t="str">
        <f t="shared" si="49"/>
        <v/>
      </c>
    </row>
    <row r="38" spans="1:34" x14ac:dyDescent="0.2">
      <c r="A38" t="s">
        <v>68</v>
      </c>
      <c r="C38" t="s">
        <v>69</v>
      </c>
      <c r="E38" t="s">
        <v>72</v>
      </c>
      <c r="G38" t="s">
        <v>250</v>
      </c>
      <c r="K38" t="s">
        <v>73</v>
      </c>
      <c r="M38" t="s">
        <v>70</v>
      </c>
      <c r="N38" t="s">
        <v>71</v>
      </c>
      <c r="O38" t="s">
        <v>199</v>
      </c>
      <c r="Q38" t="s">
        <v>200</v>
      </c>
      <c r="S38" t="s">
        <v>201</v>
      </c>
      <c r="W38">
        <f t="shared" si="50"/>
        <v>7</v>
      </c>
      <c r="Y38">
        <f t="shared" si="49"/>
        <v>7</v>
      </c>
    </row>
    <row r="39" spans="1:34" x14ac:dyDescent="0.2">
      <c r="A39">
        <f t="shared" ref="A39:A50" si="51">IF(ISBLANK(B4), "", SUM(AE16+AF16+AG16))</f>
        <v>1</v>
      </c>
      <c r="C39">
        <f t="shared" ref="C39:C50" si="52">IF(ISBLANK(B4), "", O4)</f>
        <v>4</v>
      </c>
      <c r="E39">
        <f t="shared" ref="E39:E50" si="53">IF(ISBLANK(B4), "", Q4)</f>
        <v>0</v>
      </c>
      <c r="G39">
        <f t="shared" ref="G39:G50" si="54">IF(ISBLANK(B4), "", R4)</f>
        <v>0</v>
      </c>
      <c r="K39">
        <f t="shared" ref="K39:K50" si="55">IF(ISBLANK(B4), "", SUM(Q4 + R4))</f>
        <v>0</v>
      </c>
      <c r="M39">
        <f t="shared" ref="M39:M50" si="56">IF(ISBLANK(B4), "", SUM(K4+M4) - O4)</f>
        <v>0</v>
      </c>
      <c r="N39">
        <f t="shared" ref="N39:N50" si="57">IF(ISBLANK(B4), "", U4)</f>
        <v>8</v>
      </c>
      <c r="O39">
        <f t="shared" ref="O39:O50" si="58">COUNTIF(E4, "1")*COUNTIF(F4, "1")</f>
        <v>0</v>
      </c>
      <c r="Q39">
        <f t="shared" ref="Q39:Q50" si="59">COUNTIF(D4, "1")*COUNTIF(F4, "")</f>
        <v>1</v>
      </c>
      <c r="S39">
        <f t="shared" ref="S39:S50" si="60">COUNTIF(E4, "1")*COUNTIF(F4, "")</f>
        <v>1</v>
      </c>
      <c r="W39">
        <f t="shared" si="50"/>
        <v>4</v>
      </c>
      <c r="Y39">
        <f t="shared" si="49"/>
        <v>4</v>
      </c>
    </row>
    <row r="40" spans="1:34" x14ac:dyDescent="0.2">
      <c r="A40">
        <f t="shared" si="51"/>
        <v>0</v>
      </c>
      <c r="C40">
        <f t="shared" si="52"/>
        <v>3</v>
      </c>
      <c r="E40">
        <f t="shared" si="53"/>
        <v>0</v>
      </c>
      <c r="G40">
        <f t="shared" si="54"/>
        <v>1</v>
      </c>
      <c r="K40">
        <f t="shared" si="55"/>
        <v>1</v>
      </c>
      <c r="M40">
        <f t="shared" si="56"/>
        <v>1</v>
      </c>
      <c r="N40">
        <f t="shared" si="57"/>
        <v>5</v>
      </c>
      <c r="O40">
        <f t="shared" si="58"/>
        <v>0</v>
      </c>
      <c r="Q40">
        <f t="shared" si="59"/>
        <v>1</v>
      </c>
      <c r="S40">
        <f t="shared" si="60"/>
        <v>1</v>
      </c>
      <c r="W40">
        <f t="shared" si="50"/>
        <v>6</v>
      </c>
      <c r="Y40">
        <f t="shared" si="49"/>
        <v>6</v>
      </c>
    </row>
    <row r="41" spans="1:34" x14ac:dyDescent="0.2">
      <c r="A41">
        <f t="shared" si="51"/>
        <v>1</v>
      </c>
      <c r="C41">
        <f t="shared" si="52"/>
        <v>3</v>
      </c>
      <c r="E41">
        <f t="shared" si="53"/>
        <v>0</v>
      </c>
      <c r="G41">
        <f t="shared" si="54"/>
        <v>0</v>
      </c>
      <c r="K41">
        <f t="shared" si="55"/>
        <v>0</v>
      </c>
      <c r="M41">
        <f t="shared" si="56"/>
        <v>0</v>
      </c>
      <c r="N41">
        <f t="shared" si="57"/>
        <v>5</v>
      </c>
      <c r="O41">
        <f t="shared" si="58"/>
        <v>0</v>
      </c>
      <c r="Q41">
        <f t="shared" si="59"/>
        <v>1</v>
      </c>
      <c r="S41">
        <f t="shared" si="60"/>
        <v>1</v>
      </c>
      <c r="W41">
        <f t="shared" si="50"/>
        <v>15</v>
      </c>
      <c r="Y41">
        <f t="shared" si="49"/>
        <v>4</v>
      </c>
    </row>
    <row r="42" spans="1:34" x14ac:dyDescent="0.2">
      <c r="A42">
        <f t="shared" si="51"/>
        <v>1</v>
      </c>
      <c r="C42">
        <f t="shared" si="52"/>
        <v>3</v>
      </c>
      <c r="E42">
        <f t="shared" si="53"/>
        <v>0</v>
      </c>
      <c r="G42">
        <f t="shared" si="54"/>
        <v>0</v>
      </c>
      <c r="K42">
        <f t="shared" si="55"/>
        <v>0</v>
      </c>
      <c r="M42">
        <f t="shared" si="56"/>
        <v>1</v>
      </c>
      <c r="N42">
        <f t="shared" si="57"/>
        <v>0</v>
      </c>
      <c r="O42">
        <f t="shared" si="58"/>
        <v>0</v>
      </c>
      <c r="Q42">
        <f t="shared" si="59"/>
        <v>1</v>
      </c>
      <c r="S42">
        <f t="shared" si="60"/>
        <v>1</v>
      </c>
      <c r="W42">
        <f t="shared" si="50"/>
        <v>10</v>
      </c>
      <c r="Y42">
        <f t="shared" si="49"/>
        <v>3.3333333333333335</v>
      </c>
    </row>
    <row r="43" spans="1:34" x14ac:dyDescent="0.2">
      <c r="A43">
        <f t="shared" si="51"/>
        <v>0</v>
      </c>
      <c r="C43">
        <f t="shared" si="52"/>
        <v>3</v>
      </c>
      <c r="E43">
        <f t="shared" si="53"/>
        <v>0</v>
      </c>
      <c r="G43">
        <f t="shared" si="54"/>
        <v>0</v>
      </c>
      <c r="K43">
        <f t="shared" si="55"/>
        <v>0</v>
      </c>
      <c r="M43">
        <f t="shared" si="56"/>
        <v>0</v>
      </c>
      <c r="N43">
        <f t="shared" si="57"/>
        <v>0</v>
      </c>
      <c r="O43">
        <f t="shared" si="58"/>
        <v>0</v>
      </c>
      <c r="Q43">
        <f t="shared" si="59"/>
        <v>1</v>
      </c>
      <c r="S43">
        <f t="shared" si="60"/>
        <v>0</v>
      </c>
    </row>
    <row r="44" spans="1:34" x14ac:dyDescent="0.2">
      <c r="A44">
        <f t="shared" si="51"/>
        <v>1</v>
      </c>
      <c r="C44">
        <f t="shared" si="52"/>
        <v>2</v>
      </c>
      <c r="E44">
        <f t="shared" si="53"/>
        <v>0</v>
      </c>
      <c r="G44">
        <f t="shared" si="54"/>
        <v>0</v>
      </c>
      <c r="K44">
        <f t="shared" si="55"/>
        <v>0</v>
      </c>
      <c r="M44">
        <f t="shared" si="56"/>
        <v>0</v>
      </c>
      <c r="N44">
        <f t="shared" si="57"/>
        <v>7</v>
      </c>
      <c r="O44">
        <f t="shared" si="58"/>
        <v>0</v>
      </c>
      <c r="Q44">
        <f t="shared" si="59"/>
        <v>0</v>
      </c>
      <c r="S44">
        <f t="shared" si="60"/>
        <v>0</v>
      </c>
    </row>
    <row r="45" spans="1:34" x14ac:dyDescent="0.2">
      <c r="A45">
        <f t="shared" si="51"/>
        <v>0</v>
      </c>
      <c r="C45">
        <f t="shared" si="52"/>
        <v>2</v>
      </c>
      <c r="E45">
        <f t="shared" si="53"/>
        <v>0</v>
      </c>
      <c r="G45">
        <f t="shared" si="54"/>
        <v>0</v>
      </c>
      <c r="K45">
        <f t="shared" si="55"/>
        <v>0</v>
      </c>
      <c r="M45">
        <f t="shared" si="56"/>
        <v>1</v>
      </c>
      <c r="N45">
        <f t="shared" si="57"/>
        <v>0</v>
      </c>
      <c r="O45">
        <f t="shared" si="58"/>
        <v>0</v>
      </c>
      <c r="Q45">
        <f t="shared" si="59"/>
        <v>1</v>
      </c>
      <c r="S45">
        <f t="shared" si="60"/>
        <v>1</v>
      </c>
    </row>
    <row r="46" spans="1:34" x14ac:dyDescent="0.2">
      <c r="A46">
        <f t="shared" si="51"/>
        <v>0</v>
      </c>
      <c r="C46">
        <f t="shared" si="52"/>
        <v>3</v>
      </c>
      <c r="E46">
        <f t="shared" si="53"/>
        <v>0</v>
      </c>
      <c r="G46">
        <f t="shared" si="54"/>
        <v>1</v>
      </c>
      <c r="K46">
        <f t="shared" si="55"/>
        <v>1</v>
      </c>
      <c r="M46">
        <f t="shared" si="56"/>
        <v>0</v>
      </c>
      <c r="N46">
        <f t="shared" si="57"/>
        <v>7</v>
      </c>
      <c r="O46">
        <f t="shared" si="58"/>
        <v>1</v>
      </c>
      <c r="Q46">
        <f t="shared" si="59"/>
        <v>0</v>
      </c>
      <c r="S46">
        <f t="shared" si="60"/>
        <v>0</v>
      </c>
    </row>
    <row r="47" spans="1:34" x14ac:dyDescent="0.2">
      <c r="A47">
        <f t="shared" si="51"/>
        <v>0</v>
      </c>
      <c r="C47">
        <f t="shared" si="52"/>
        <v>4</v>
      </c>
      <c r="E47">
        <f t="shared" si="53"/>
        <v>0</v>
      </c>
      <c r="G47">
        <f t="shared" si="54"/>
        <v>1</v>
      </c>
      <c r="K47">
        <f t="shared" si="55"/>
        <v>1</v>
      </c>
      <c r="M47">
        <f t="shared" si="56"/>
        <v>0</v>
      </c>
      <c r="N47">
        <f t="shared" si="57"/>
        <v>4</v>
      </c>
      <c r="O47">
        <f t="shared" si="58"/>
        <v>0</v>
      </c>
      <c r="Q47">
        <f t="shared" si="59"/>
        <v>1</v>
      </c>
      <c r="S47">
        <f t="shared" si="60"/>
        <v>0</v>
      </c>
    </row>
    <row r="48" spans="1:34" x14ac:dyDescent="0.2">
      <c r="A48">
        <f t="shared" si="51"/>
        <v>0</v>
      </c>
      <c r="C48">
        <f t="shared" si="52"/>
        <v>4</v>
      </c>
      <c r="E48">
        <f t="shared" si="53"/>
        <v>0</v>
      </c>
      <c r="G48">
        <f t="shared" si="54"/>
        <v>1</v>
      </c>
      <c r="K48">
        <f t="shared" si="55"/>
        <v>1</v>
      </c>
      <c r="M48">
        <f t="shared" si="56"/>
        <v>0</v>
      </c>
      <c r="N48">
        <f t="shared" si="57"/>
        <v>6</v>
      </c>
      <c r="O48">
        <f t="shared" si="58"/>
        <v>1</v>
      </c>
      <c r="Q48">
        <f t="shared" si="59"/>
        <v>0</v>
      </c>
      <c r="S48">
        <f t="shared" si="60"/>
        <v>0</v>
      </c>
    </row>
    <row r="49" spans="1:19" x14ac:dyDescent="0.2">
      <c r="A49">
        <f t="shared" si="51"/>
        <v>0</v>
      </c>
      <c r="C49">
        <f t="shared" si="52"/>
        <v>3</v>
      </c>
      <c r="E49">
        <f t="shared" si="53"/>
        <v>0</v>
      </c>
      <c r="G49">
        <f t="shared" si="54"/>
        <v>0</v>
      </c>
      <c r="K49">
        <f t="shared" si="55"/>
        <v>0</v>
      </c>
      <c r="M49">
        <f t="shared" si="56"/>
        <v>1</v>
      </c>
      <c r="N49">
        <f t="shared" si="57"/>
        <v>15</v>
      </c>
      <c r="O49">
        <f t="shared" si="58"/>
        <v>1</v>
      </c>
      <c r="Q49">
        <f t="shared" si="59"/>
        <v>0</v>
      </c>
      <c r="S49">
        <f t="shared" si="60"/>
        <v>0</v>
      </c>
    </row>
    <row r="50" spans="1:19" x14ac:dyDescent="0.2">
      <c r="A50">
        <f t="shared" si="51"/>
        <v>2</v>
      </c>
      <c r="C50">
        <f t="shared" si="52"/>
        <v>2</v>
      </c>
      <c r="E50">
        <f t="shared" si="53"/>
        <v>0</v>
      </c>
      <c r="G50">
        <f t="shared" si="54"/>
        <v>1</v>
      </c>
      <c r="K50">
        <f t="shared" si="55"/>
        <v>1</v>
      </c>
      <c r="M50">
        <f t="shared" si="56"/>
        <v>1</v>
      </c>
      <c r="N50">
        <f t="shared" si="57"/>
        <v>10</v>
      </c>
      <c r="O50">
        <f t="shared" si="58"/>
        <v>1</v>
      </c>
      <c r="Q50">
        <f t="shared" si="59"/>
        <v>0</v>
      </c>
      <c r="S50">
        <f t="shared" si="60"/>
        <v>0</v>
      </c>
    </row>
  </sheetData>
  <pageMargins left="0.7" right="0.7" top="0.75" bottom="0.75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 enableFormatConditionsCalculation="0"/>
  <dimension ref="A1:BN50"/>
  <sheetViews>
    <sheetView topLeftCell="C1" workbookViewId="0">
      <selection activeCell="U15" sqref="U15"/>
    </sheetView>
  </sheetViews>
  <sheetFormatPr baseColWidth="10" defaultColWidth="11.5" defaultRowHeight="15" x14ac:dyDescent="0.2"/>
  <sheetData>
    <row r="1" spans="1:66" x14ac:dyDescent="0.2">
      <c r="A1" s="1" t="s">
        <v>0</v>
      </c>
      <c r="D1" t="s">
        <v>3</v>
      </c>
      <c r="K1" t="s">
        <v>11</v>
      </c>
      <c r="N1" t="s">
        <v>12</v>
      </c>
      <c r="P1" t="s">
        <v>14</v>
      </c>
      <c r="Q1" t="s">
        <v>17</v>
      </c>
      <c r="S1" t="s">
        <v>18</v>
      </c>
      <c r="Z1" t="s">
        <v>29</v>
      </c>
      <c r="AE1" t="s">
        <v>30</v>
      </c>
      <c r="AK1" t="s">
        <v>42</v>
      </c>
    </row>
    <row r="2" spans="1:66" x14ac:dyDescent="0.2">
      <c r="A2" t="s">
        <v>1</v>
      </c>
      <c r="B2" t="s">
        <v>1</v>
      </c>
      <c r="C2" t="s">
        <v>87</v>
      </c>
      <c r="D2" t="s">
        <v>54</v>
      </c>
      <c r="E2" t="s">
        <v>13</v>
      </c>
      <c r="F2" t="s">
        <v>198</v>
      </c>
      <c r="G2" t="s">
        <v>7</v>
      </c>
      <c r="H2" t="s">
        <v>8</v>
      </c>
      <c r="I2" t="s">
        <v>179</v>
      </c>
      <c r="J2" t="s">
        <v>178</v>
      </c>
      <c r="K2" t="s">
        <v>9</v>
      </c>
      <c r="L2" t="s">
        <v>196</v>
      </c>
      <c r="M2" t="s">
        <v>10</v>
      </c>
      <c r="N2" t="s">
        <v>54</v>
      </c>
      <c r="O2" t="s">
        <v>13</v>
      </c>
      <c r="P2" t="s">
        <v>15</v>
      </c>
      <c r="Q2" t="s">
        <v>8</v>
      </c>
      <c r="R2" t="s">
        <v>7</v>
      </c>
      <c r="S2" t="s">
        <v>181</v>
      </c>
      <c r="T2" t="s">
        <v>182</v>
      </c>
      <c r="U2" t="s">
        <v>19</v>
      </c>
      <c r="V2" t="s">
        <v>191</v>
      </c>
      <c r="W2" t="s">
        <v>192</v>
      </c>
      <c r="X2" t="s">
        <v>175</v>
      </c>
      <c r="Y2" t="s">
        <v>173</v>
      </c>
      <c r="Z2" t="str">
        <f t="shared" ref="Z2:Z13" si="0">LEFT(I4, 1)</f>
        <v/>
      </c>
      <c r="AA2" t="str">
        <f t="shared" ref="AA2:AA13" si="1">MID(I4, 4, 1)</f>
        <v/>
      </c>
      <c r="AB2" t="str">
        <f t="shared" ref="AB2:AB13" si="2">MID(I4, 7, 1)</f>
        <v/>
      </c>
      <c r="AC2" t="str">
        <f t="shared" ref="AC2:AC13" si="3">MID(I4, 10, 1)</f>
        <v/>
      </c>
      <c r="AE2" t="str">
        <f t="shared" ref="AE2:AE13" si="4">LEFT(J4, 1)</f>
        <v/>
      </c>
      <c r="AF2" t="str">
        <f t="shared" ref="AF2:AF13" si="5">MID(J4, 4, 1)</f>
        <v/>
      </c>
      <c r="AG2" t="str">
        <f t="shared" ref="AG2:AG13" si="6">MID(J4, 7, 1)</f>
        <v/>
      </c>
      <c r="AH2" t="str">
        <f t="shared" ref="AH2:AH13" si="7">MID(J4, 10, 1)</f>
        <v/>
      </c>
      <c r="AI2" t="str">
        <f t="shared" ref="AI2:AI13" si="8">MID(J4, 13, 1)</f>
        <v/>
      </c>
      <c r="AK2" t="str">
        <f t="shared" ref="AK2:AK13" si="9">LEFT(P4, 2)</f>
        <v/>
      </c>
      <c r="AL2" t="str">
        <f>MID($P4, 5, 2)</f>
        <v/>
      </c>
      <c r="AM2" t="str">
        <f t="shared" ref="AM2:AM13" si="10">MID($P4, 9, 2)</f>
        <v/>
      </c>
      <c r="AN2" t="str">
        <f t="shared" ref="AN2:AN13" si="11">MID($P4, 13, 2)</f>
        <v/>
      </c>
      <c r="AO2" t="str">
        <f t="shared" ref="AO2:AO13" si="12">MID($P4, 17, 2)</f>
        <v/>
      </c>
      <c r="AP2" t="str">
        <f t="shared" ref="AP2:AP13" si="13">MID($P4, 21, 2)</f>
        <v/>
      </c>
      <c r="AQ2" t="str">
        <f t="shared" ref="AQ2:AQ13" si="14">MID($P4, 25, 2)</f>
        <v/>
      </c>
      <c r="AR2" t="str">
        <f t="shared" ref="AR2:AR13" si="15">MID($P4, 29, 2)</f>
        <v/>
      </c>
      <c r="AS2" t="str">
        <f t="shared" ref="AS2:AS13" si="16">MID($P4, 33, 2)</f>
        <v/>
      </c>
      <c r="AT2" t="str">
        <f t="shared" ref="AT2:AT13" si="17">MID($P4, 37, 2)</f>
        <v/>
      </c>
      <c r="AU2" t="str">
        <f t="shared" ref="AU2:AU13" si="18">MID($P4, 41, 2)</f>
        <v/>
      </c>
      <c r="AV2" t="str">
        <f t="shared" ref="AV2:AV13" si="19">MID($P4, 45, 2)</f>
        <v/>
      </c>
      <c r="AW2" t="str">
        <f t="shared" ref="AW2:AW13" si="20">MID($P4, 49, 2)</f>
        <v/>
      </c>
      <c r="AX2" t="str">
        <f t="shared" ref="AX2:AX13" si="21">MID($P4, 53, 2)</f>
        <v/>
      </c>
      <c r="AY2" t="str">
        <f t="shared" ref="AY2:AY13" si="22">MID($P4, 57, 2)</f>
        <v/>
      </c>
      <c r="AZ2" t="str">
        <f t="shared" ref="AZ2:AZ13" si="23">MID($P4, 61, 2)</f>
        <v/>
      </c>
      <c r="BA2" t="str">
        <f t="shared" ref="BA2:BA13" si="24">MID($P4, 65, 2)</f>
        <v/>
      </c>
      <c r="BB2" t="str">
        <f t="shared" ref="BB2:BB13" si="25">MID($P4, 69, 2)</f>
        <v/>
      </c>
      <c r="BC2" t="str">
        <f t="shared" ref="BC2:BC13" si="26">MID($P4, 73, 2)</f>
        <v/>
      </c>
      <c r="BD2" t="str">
        <f t="shared" ref="BD2:BD13" si="27">MID($P4, 77, 2)</f>
        <v/>
      </c>
      <c r="BE2" t="str">
        <f t="shared" ref="BE2:BE13" si="28">MID($P4, 81, 2)</f>
        <v/>
      </c>
      <c r="BF2" t="str">
        <f t="shared" ref="BF2:BF13" si="29">MID($P4, 85, 2)</f>
        <v/>
      </c>
      <c r="BG2" t="str">
        <f t="shared" ref="BG2:BG13" si="30">MID($P4, 89, 2)</f>
        <v/>
      </c>
      <c r="BH2" t="str">
        <f t="shared" ref="BH2:BH13" si="31">MID($P4, 93, 2)</f>
        <v/>
      </c>
    </row>
    <row r="3" spans="1:66" x14ac:dyDescent="0.2">
      <c r="A3" t="s">
        <v>2</v>
      </c>
      <c r="B3" t="s">
        <v>6</v>
      </c>
      <c r="C3" t="s">
        <v>88</v>
      </c>
      <c r="D3" t="s">
        <v>6</v>
      </c>
      <c r="E3" t="s">
        <v>6</v>
      </c>
      <c r="F3" t="s">
        <v>4</v>
      </c>
      <c r="G3" t="s">
        <v>6</v>
      </c>
      <c r="H3" t="s">
        <v>6</v>
      </c>
      <c r="I3" t="s">
        <v>86</v>
      </c>
      <c r="J3" t="s">
        <v>86</v>
      </c>
      <c r="K3" t="s">
        <v>6</v>
      </c>
      <c r="L3" t="s">
        <v>6</v>
      </c>
      <c r="M3" t="s">
        <v>6</v>
      </c>
      <c r="N3" t="s">
        <v>6</v>
      </c>
      <c r="O3" t="s">
        <v>6</v>
      </c>
      <c r="P3" t="s">
        <v>16</v>
      </c>
      <c r="Q3" t="s">
        <v>6</v>
      </c>
      <c r="R3" t="s">
        <v>6</v>
      </c>
      <c r="S3" t="s">
        <v>4</v>
      </c>
      <c r="T3" t="s">
        <v>4</v>
      </c>
      <c r="U3" t="s">
        <v>6</v>
      </c>
      <c r="V3" t="s">
        <v>6</v>
      </c>
      <c r="W3" t="s">
        <v>6</v>
      </c>
      <c r="X3" t="s">
        <v>6</v>
      </c>
      <c r="Y3" t="s">
        <v>174</v>
      </c>
      <c r="Z3" t="str">
        <f t="shared" si="0"/>
        <v/>
      </c>
      <c r="AA3" t="str">
        <f t="shared" si="1"/>
        <v/>
      </c>
      <c r="AB3" t="str">
        <f t="shared" si="2"/>
        <v/>
      </c>
      <c r="AC3" t="str">
        <f t="shared" si="3"/>
        <v/>
      </c>
      <c r="AE3" t="str">
        <f t="shared" si="4"/>
        <v/>
      </c>
      <c r="AF3" t="str">
        <f t="shared" si="5"/>
        <v/>
      </c>
      <c r="AG3" t="str">
        <f t="shared" si="6"/>
        <v/>
      </c>
      <c r="AH3" t="str">
        <f t="shared" si="7"/>
        <v/>
      </c>
      <c r="AI3" t="str">
        <f t="shared" si="8"/>
        <v/>
      </c>
      <c r="AK3" t="str">
        <f t="shared" si="9"/>
        <v/>
      </c>
      <c r="AL3" t="str">
        <f t="shared" ref="AL3:AL13" si="32">MID(P5, 5, 2)</f>
        <v/>
      </c>
      <c r="AM3" t="str">
        <f t="shared" si="10"/>
        <v/>
      </c>
      <c r="AN3" t="str">
        <f t="shared" si="11"/>
        <v/>
      </c>
      <c r="AO3" t="str">
        <f t="shared" si="12"/>
        <v/>
      </c>
      <c r="AP3" t="str">
        <f t="shared" si="13"/>
        <v/>
      </c>
      <c r="AQ3" t="str">
        <f t="shared" si="14"/>
        <v/>
      </c>
      <c r="AR3" t="str">
        <f t="shared" si="15"/>
        <v/>
      </c>
      <c r="AS3" t="str">
        <f t="shared" si="16"/>
        <v/>
      </c>
      <c r="AT3" t="str">
        <f t="shared" si="17"/>
        <v/>
      </c>
      <c r="AU3" t="str">
        <f t="shared" si="18"/>
        <v/>
      </c>
      <c r="AV3" t="str">
        <f t="shared" si="19"/>
        <v/>
      </c>
      <c r="AW3" t="str">
        <f t="shared" si="20"/>
        <v/>
      </c>
      <c r="AX3" t="str">
        <f t="shared" si="21"/>
        <v/>
      </c>
      <c r="AY3" t="str">
        <f t="shared" si="22"/>
        <v/>
      </c>
      <c r="AZ3" t="str">
        <f t="shared" si="23"/>
        <v/>
      </c>
      <c r="BA3" t="str">
        <f t="shared" si="24"/>
        <v/>
      </c>
      <c r="BB3" t="str">
        <f t="shared" si="25"/>
        <v/>
      </c>
      <c r="BC3" t="str">
        <f t="shared" si="26"/>
        <v/>
      </c>
      <c r="BD3" t="str">
        <f t="shared" si="27"/>
        <v/>
      </c>
      <c r="BE3" t="str">
        <f t="shared" si="28"/>
        <v/>
      </c>
      <c r="BF3" t="str">
        <f t="shared" si="29"/>
        <v/>
      </c>
      <c r="BG3" t="str">
        <f t="shared" si="30"/>
        <v/>
      </c>
      <c r="BH3" t="str">
        <f t="shared" si="31"/>
        <v/>
      </c>
    </row>
    <row r="4" spans="1:66" x14ac:dyDescent="0.2">
      <c r="A4">
        <v>1</v>
      </c>
      <c r="B4">
        <v>9</v>
      </c>
      <c r="C4" t="s">
        <v>39</v>
      </c>
      <c r="D4">
        <v>1</v>
      </c>
      <c r="K4">
        <v>2</v>
      </c>
      <c r="M4">
        <v>2</v>
      </c>
      <c r="N4">
        <v>4</v>
      </c>
      <c r="O4">
        <v>4</v>
      </c>
      <c r="S4">
        <v>1</v>
      </c>
      <c r="T4">
        <v>1</v>
      </c>
      <c r="X4">
        <f t="shared" ref="X4:X15" si="33">G4+H4+Q4+R4</f>
        <v>0</v>
      </c>
      <c r="Z4" t="str">
        <f t="shared" si="0"/>
        <v/>
      </c>
      <c r="AA4" t="str">
        <f t="shared" si="1"/>
        <v/>
      </c>
      <c r="AB4" t="str">
        <f t="shared" si="2"/>
        <v/>
      </c>
      <c r="AC4" t="str">
        <f t="shared" si="3"/>
        <v/>
      </c>
      <c r="AE4" t="str">
        <f t="shared" si="4"/>
        <v/>
      </c>
      <c r="AF4" t="str">
        <f t="shared" si="5"/>
        <v/>
      </c>
      <c r="AG4" t="str">
        <f t="shared" si="6"/>
        <v/>
      </c>
      <c r="AH4" t="str">
        <f t="shared" si="7"/>
        <v/>
      </c>
      <c r="AI4" t="str">
        <f t="shared" si="8"/>
        <v/>
      </c>
      <c r="AK4" t="str">
        <f t="shared" si="9"/>
        <v/>
      </c>
      <c r="AL4" t="str">
        <f t="shared" si="32"/>
        <v/>
      </c>
      <c r="AM4" t="str">
        <f t="shared" si="10"/>
        <v/>
      </c>
      <c r="AN4" t="str">
        <f t="shared" si="11"/>
        <v/>
      </c>
      <c r="AO4" t="str">
        <f t="shared" si="12"/>
        <v/>
      </c>
      <c r="AP4" t="str">
        <f t="shared" si="13"/>
        <v/>
      </c>
      <c r="AQ4" t="str">
        <f t="shared" si="14"/>
        <v/>
      </c>
      <c r="AR4" t="str">
        <f t="shared" si="15"/>
        <v/>
      </c>
      <c r="AS4" t="str">
        <f t="shared" si="16"/>
        <v/>
      </c>
      <c r="AT4" t="str">
        <f t="shared" si="17"/>
        <v/>
      </c>
      <c r="AU4" t="str">
        <f t="shared" si="18"/>
        <v/>
      </c>
      <c r="AV4" t="str">
        <f t="shared" si="19"/>
        <v/>
      </c>
      <c r="AW4" t="str">
        <f t="shared" si="20"/>
        <v/>
      </c>
      <c r="AX4" t="str">
        <f t="shared" si="21"/>
        <v/>
      </c>
      <c r="AY4" t="str">
        <f t="shared" si="22"/>
        <v/>
      </c>
      <c r="AZ4" t="str">
        <f t="shared" si="23"/>
        <v/>
      </c>
      <c r="BA4" t="str">
        <f t="shared" si="24"/>
        <v/>
      </c>
      <c r="BB4" t="str">
        <f t="shared" si="25"/>
        <v/>
      </c>
      <c r="BC4" t="str">
        <f t="shared" si="26"/>
        <v/>
      </c>
      <c r="BD4" t="str">
        <f t="shared" si="27"/>
        <v/>
      </c>
      <c r="BE4" t="str">
        <f t="shared" si="28"/>
        <v/>
      </c>
      <c r="BF4" t="str">
        <f t="shared" si="29"/>
        <v/>
      </c>
      <c r="BG4" t="str">
        <f t="shared" si="30"/>
        <v/>
      </c>
      <c r="BH4" t="str">
        <f t="shared" si="31"/>
        <v/>
      </c>
    </row>
    <row r="5" spans="1:66" x14ac:dyDescent="0.2">
      <c r="A5">
        <v>2</v>
      </c>
      <c r="B5">
        <v>15</v>
      </c>
      <c r="C5" t="s">
        <v>207</v>
      </c>
      <c r="D5">
        <v>1</v>
      </c>
      <c r="N5">
        <v>3</v>
      </c>
      <c r="S5">
        <v>1</v>
      </c>
      <c r="T5">
        <v>1</v>
      </c>
      <c r="U5">
        <v>1</v>
      </c>
      <c r="X5">
        <f t="shared" si="33"/>
        <v>0</v>
      </c>
      <c r="Z5" t="str">
        <f t="shared" si="0"/>
        <v/>
      </c>
      <c r="AA5" t="str">
        <f t="shared" si="1"/>
        <v/>
      </c>
      <c r="AB5" t="str">
        <f t="shared" si="2"/>
        <v/>
      </c>
      <c r="AC5" t="str">
        <f t="shared" si="3"/>
        <v/>
      </c>
      <c r="AE5" t="str">
        <f t="shared" si="4"/>
        <v/>
      </c>
      <c r="AF5" t="str">
        <f t="shared" si="5"/>
        <v/>
      </c>
      <c r="AG5" t="str">
        <f t="shared" si="6"/>
        <v/>
      </c>
      <c r="AH5" t="str">
        <f t="shared" si="7"/>
        <v/>
      </c>
      <c r="AI5" t="str">
        <f t="shared" si="8"/>
        <v/>
      </c>
      <c r="AK5" t="str">
        <f t="shared" si="9"/>
        <v/>
      </c>
      <c r="AL5" t="str">
        <f t="shared" si="32"/>
        <v/>
      </c>
      <c r="AM5" t="str">
        <f t="shared" si="10"/>
        <v/>
      </c>
      <c r="AN5" t="str">
        <f t="shared" si="11"/>
        <v/>
      </c>
      <c r="AO5" t="str">
        <f t="shared" si="12"/>
        <v/>
      </c>
      <c r="AP5" t="str">
        <f t="shared" si="13"/>
        <v/>
      </c>
      <c r="AQ5" t="str">
        <f t="shared" si="14"/>
        <v/>
      </c>
      <c r="AR5" t="str">
        <f t="shared" si="15"/>
        <v/>
      </c>
      <c r="AS5" t="str">
        <f t="shared" si="16"/>
        <v/>
      </c>
      <c r="AT5" t="str">
        <f t="shared" si="17"/>
        <v/>
      </c>
      <c r="AU5" t="str">
        <f t="shared" si="18"/>
        <v/>
      </c>
      <c r="AV5" t="str">
        <f t="shared" si="19"/>
        <v/>
      </c>
      <c r="AW5" t="str">
        <f t="shared" si="20"/>
        <v/>
      </c>
      <c r="AX5" t="str">
        <f t="shared" si="21"/>
        <v/>
      </c>
      <c r="AY5" t="str">
        <f t="shared" si="22"/>
        <v/>
      </c>
      <c r="AZ5" t="str">
        <f t="shared" si="23"/>
        <v/>
      </c>
      <c r="BA5" t="str">
        <f t="shared" si="24"/>
        <v/>
      </c>
      <c r="BB5" t="str">
        <f t="shared" si="25"/>
        <v/>
      </c>
      <c r="BC5" t="str">
        <f t="shared" si="26"/>
        <v/>
      </c>
      <c r="BD5" t="str">
        <f t="shared" si="27"/>
        <v/>
      </c>
      <c r="BE5" t="str">
        <f t="shared" si="28"/>
        <v/>
      </c>
      <c r="BF5" t="str">
        <f t="shared" si="29"/>
        <v/>
      </c>
      <c r="BG5" t="str">
        <f t="shared" si="30"/>
        <v/>
      </c>
      <c r="BH5" t="str">
        <f t="shared" si="31"/>
        <v/>
      </c>
    </row>
    <row r="6" spans="1:66" x14ac:dyDescent="0.2">
      <c r="A6">
        <v>3</v>
      </c>
      <c r="B6">
        <v>23</v>
      </c>
      <c r="C6" t="s">
        <v>39</v>
      </c>
      <c r="D6">
        <v>1</v>
      </c>
      <c r="M6">
        <v>4</v>
      </c>
      <c r="N6">
        <v>3</v>
      </c>
      <c r="O6">
        <v>3</v>
      </c>
      <c r="S6">
        <v>1</v>
      </c>
      <c r="T6">
        <v>1</v>
      </c>
      <c r="U6">
        <v>8</v>
      </c>
      <c r="X6">
        <f t="shared" si="33"/>
        <v>0</v>
      </c>
      <c r="Z6" t="str">
        <f t="shared" si="0"/>
        <v/>
      </c>
      <c r="AA6" t="str">
        <f t="shared" si="1"/>
        <v/>
      </c>
      <c r="AB6" t="str">
        <f t="shared" si="2"/>
        <v/>
      </c>
      <c r="AC6" t="str">
        <f t="shared" si="3"/>
        <v/>
      </c>
      <c r="AE6" t="str">
        <f t="shared" si="4"/>
        <v/>
      </c>
      <c r="AF6" t="str">
        <f t="shared" si="5"/>
        <v/>
      </c>
      <c r="AG6" t="str">
        <f t="shared" si="6"/>
        <v/>
      </c>
      <c r="AH6" t="str">
        <f t="shared" si="7"/>
        <v/>
      </c>
      <c r="AI6" t="str">
        <f t="shared" si="8"/>
        <v/>
      </c>
      <c r="AK6" t="str">
        <f t="shared" si="9"/>
        <v/>
      </c>
      <c r="AL6" t="str">
        <f t="shared" si="32"/>
        <v/>
      </c>
      <c r="AM6" t="str">
        <f t="shared" si="10"/>
        <v/>
      </c>
      <c r="AN6" t="str">
        <f t="shared" si="11"/>
        <v/>
      </c>
      <c r="AO6" t="str">
        <f t="shared" si="12"/>
        <v/>
      </c>
      <c r="AP6" t="str">
        <f t="shared" si="13"/>
        <v/>
      </c>
      <c r="AQ6" t="str">
        <f t="shared" si="14"/>
        <v/>
      </c>
      <c r="AR6" t="str">
        <f t="shared" si="15"/>
        <v/>
      </c>
      <c r="AS6" t="str">
        <f t="shared" si="16"/>
        <v/>
      </c>
      <c r="AT6" t="str">
        <f t="shared" si="17"/>
        <v/>
      </c>
      <c r="AU6" t="str">
        <f t="shared" si="18"/>
        <v/>
      </c>
      <c r="AV6" t="str">
        <f t="shared" si="19"/>
        <v/>
      </c>
      <c r="AW6" t="str">
        <f t="shared" si="20"/>
        <v/>
      </c>
      <c r="AX6" t="str">
        <f t="shared" si="21"/>
        <v/>
      </c>
      <c r="AY6" t="str">
        <f t="shared" si="22"/>
        <v/>
      </c>
      <c r="AZ6" t="str">
        <f t="shared" si="23"/>
        <v/>
      </c>
      <c r="BA6" t="str">
        <f t="shared" si="24"/>
        <v/>
      </c>
      <c r="BB6" t="str">
        <f t="shared" si="25"/>
        <v/>
      </c>
      <c r="BC6" t="str">
        <f t="shared" si="26"/>
        <v/>
      </c>
      <c r="BD6" t="str">
        <f t="shared" si="27"/>
        <v/>
      </c>
      <c r="BE6" t="str">
        <f t="shared" si="28"/>
        <v/>
      </c>
      <c r="BF6" t="str">
        <f t="shared" si="29"/>
        <v/>
      </c>
      <c r="BG6" t="str">
        <f t="shared" si="30"/>
        <v/>
      </c>
      <c r="BH6" t="str">
        <f t="shared" si="31"/>
        <v/>
      </c>
    </row>
    <row r="7" spans="1:66" x14ac:dyDescent="0.2">
      <c r="A7">
        <v>4</v>
      </c>
      <c r="B7">
        <v>36</v>
      </c>
      <c r="C7" t="s">
        <v>39</v>
      </c>
      <c r="K7">
        <v>3</v>
      </c>
      <c r="N7">
        <v>4</v>
      </c>
      <c r="O7">
        <v>3</v>
      </c>
      <c r="S7">
        <v>1</v>
      </c>
      <c r="T7">
        <v>1</v>
      </c>
      <c r="U7">
        <v>6</v>
      </c>
      <c r="X7">
        <f t="shared" si="33"/>
        <v>0</v>
      </c>
      <c r="Z7" t="str">
        <f t="shared" si="0"/>
        <v/>
      </c>
      <c r="AA7" t="str">
        <f t="shared" si="1"/>
        <v/>
      </c>
      <c r="AB7" t="str">
        <f t="shared" si="2"/>
        <v/>
      </c>
      <c r="AC7" t="str">
        <f t="shared" si="3"/>
        <v/>
      </c>
      <c r="AE7" t="str">
        <f t="shared" si="4"/>
        <v/>
      </c>
      <c r="AF7" t="str">
        <f t="shared" si="5"/>
        <v/>
      </c>
      <c r="AG7" t="str">
        <f t="shared" si="6"/>
        <v/>
      </c>
      <c r="AH7" t="str">
        <f t="shared" si="7"/>
        <v/>
      </c>
      <c r="AI7" t="str">
        <f t="shared" si="8"/>
        <v/>
      </c>
      <c r="AK7" t="str">
        <f t="shared" si="9"/>
        <v/>
      </c>
      <c r="AL7" t="str">
        <f t="shared" si="32"/>
        <v/>
      </c>
      <c r="AM7" t="str">
        <f t="shared" si="10"/>
        <v/>
      </c>
      <c r="AN7" t="str">
        <f t="shared" si="11"/>
        <v/>
      </c>
      <c r="AO7" t="str">
        <f t="shared" si="12"/>
        <v/>
      </c>
      <c r="AP7" t="str">
        <f t="shared" si="13"/>
        <v/>
      </c>
      <c r="AQ7" t="str">
        <f t="shared" si="14"/>
        <v/>
      </c>
      <c r="AR7" t="str">
        <f t="shared" si="15"/>
        <v/>
      </c>
      <c r="AS7" t="str">
        <f t="shared" si="16"/>
        <v/>
      </c>
      <c r="AT7" t="str">
        <f t="shared" si="17"/>
        <v/>
      </c>
      <c r="AU7" t="str">
        <f t="shared" si="18"/>
        <v/>
      </c>
      <c r="AV7" t="str">
        <f t="shared" si="19"/>
        <v/>
      </c>
      <c r="AW7" t="str">
        <f t="shared" si="20"/>
        <v/>
      </c>
      <c r="AX7" t="str">
        <f t="shared" si="21"/>
        <v/>
      </c>
      <c r="AY7" t="str">
        <f t="shared" si="22"/>
        <v/>
      </c>
      <c r="AZ7" t="str">
        <f t="shared" si="23"/>
        <v/>
      </c>
      <c r="BA7" t="str">
        <f t="shared" si="24"/>
        <v/>
      </c>
      <c r="BB7" t="str">
        <f t="shared" si="25"/>
        <v/>
      </c>
      <c r="BC7" t="str">
        <f t="shared" si="26"/>
        <v/>
      </c>
      <c r="BD7" t="str">
        <f t="shared" si="27"/>
        <v/>
      </c>
      <c r="BE7" t="str">
        <f t="shared" si="28"/>
        <v/>
      </c>
      <c r="BF7" t="str">
        <f t="shared" si="29"/>
        <v/>
      </c>
      <c r="BG7" t="str">
        <f t="shared" si="30"/>
        <v/>
      </c>
      <c r="BH7" t="str">
        <f t="shared" si="31"/>
        <v/>
      </c>
    </row>
    <row r="8" spans="1:66" x14ac:dyDescent="0.2">
      <c r="A8">
        <v>5</v>
      </c>
      <c r="B8">
        <v>41</v>
      </c>
      <c r="C8" t="s">
        <v>39</v>
      </c>
      <c r="K8">
        <v>1</v>
      </c>
      <c r="M8">
        <v>1</v>
      </c>
      <c r="N8">
        <v>3</v>
      </c>
      <c r="O8">
        <v>2</v>
      </c>
      <c r="S8">
        <v>1</v>
      </c>
      <c r="T8">
        <v>1</v>
      </c>
      <c r="X8">
        <f t="shared" si="33"/>
        <v>0</v>
      </c>
      <c r="Z8" t="str">
        <f t="shared" si="0"/>
        <v/>
      </c>
      <c r="AA8" t="str">
        <f t="shared" si="1"/>
        <v/>
      </c>
      <c r="AB8" t="str">
        <f t="shared" si="2"/>
        <v/>
      </c>
      <c r="AC8" t="str">
        <f t="shared" si="3"/>
        <v/>
      </c>
      <c r="AE8" t="str">
        <f t="shared" si="4"/>
        <v/>
      </c>
      <c r="AF8" t="str">
        <f t="shared" si="5"/>
        <v/>
      </c>
      <c r="AG8" t="str">
        <f t="shared" si="6"/>
        <v/>
      </c>
      <c r="AH8" t="str">
        <f t="shared" si="7"/>
        <v/>
      </c>
      <c r="AI8" t="str">
        <f t="shared" si="8"/>
        <v/>
      </c>
      <c r="AK8" t="str">
        <f t="shared" si="9"/>
        <v/>
      </c>
      <c r="AL8" t="str">
        <f t="shared" si="32"/>
        <v/>
      </c>
      <c r="AM8" t="str">
        <f t="shared" si="10"/>
        <v/>
      </c>
      <c r="AN8" t="str">
        <f t="shared" si="11"/>
        <v/>
      </c>
      <c r="AO8" t="str">
        <f t="shared" si="12"/>
        <v/>
      </c>
      <c r="AP8" t="str">
        <f t="shared" si="13"/>
        <v/>
      </c>
      <c r="AQ8" t="str">
        <f t="shared" si="14"/>
        <v/>
      </c>
      <c r="AR8" t="str">
        <f t="shared" si="15"/>
        <v/>
      </c>
      <c r="AS8" t="str">
        <f t="shared" si="16"/>
        <v/>
      </c>
      <c r="AT8" t="str">
        <f t="shared" si="17"/>
        <v/>
      </c>
      <c r="AU8" t="str">
        <f t="shared" si="18"/>
        <v/>
      </c>
      <c r="AV8" t="str">
        <f t="shared" si="19"/>
        <v/>
      </c>
      <c r="AW8" t="str">
        <f t="shared" si="20"/>
        <v/>
      </c>
      <c r="AX8" t="str">
        <f t="shared" si="21"/>
        <v/>
      </c>
      <c r="AY8" t="str">
        <f t="shared" si="22"/>
        <v/>
      </c>
      <c r="AZ8" t="str">
        <f t="shared" si="23"/>
        <v/>
      </c>
      <c r="BA8" t="str">
        <f t="shared" si="24"/>
        <v/>
      </c>
      <c r="BB8" t="str">
        <f t="shared" si="25"/>
        <v/>
      </c>
      <c r="BC8" t="str">
        <f t="shared" si="26"/>
        <v/>
      </c>
      <c r="BD8" t="str">
        <f t="shared" si="27"/>
        <v/>
      </c>
      <c r="BE8" t="str">
        <f t="shared" si="28"/>
        <v/>
      </c>
      <c r="BF8" t="str">
        <f t="shared" si="29"/>
        <v/>
      </c>
      <c r="BG8" t="str">
        <f t="shared" si="30"/>
        <v/>
      </c>
      <c r="BH8" t="str">
        <f t="shared" si="31"/>
        <v/>
      </c>
    </row>
    <row r="9" spans="1:66" x14ac:dyDescent="0.2">
      <c r="A9">
        <v>6</v>
      </c>
      <c r="B9">
        <v>53</v>
      </c>
      <c r="C9" t="s">
        <v>207</v>
      </c>
      <c r="K9">
        <v>1</v>
      </c>
      <c r="N9">
        <v>1</v>
      </c>
      <c r="O9">
        <v>1</v>
      </c>
      <c r="S9">
        <v>1</v>
      </c>
      <c r="T9">
        <v>1</v>
      </c>
      <c r="X9">
        <f t="shared" si="33"/>
        <v>0</v>
      </c>
      <c r="Z9" t="str">
        <f t="shared" si="0"/>
        <v/>
      </c>
      <c r="AA9" t="str">
        <f t="shared" si="1"/>
        <v/>
      </c>
      <c r="AB9" t="str">
        <f t="shared" si="2"/>
        <v/>
      </c>
      <c r="AC9" t="str">
        <f t="shared" si="3"/>
        <v/>
      </c>
      <c r="AE9" t="str">
        <f t="shared" si="4"/>
        <v>3</v>
      </c>
      <c r="AF9" t="str">
        <f t="shared" si="5"/>
        <v/>
      </c>
      <c r="AG9" t="str">
        <f t="shared" si="6"/>
        <v/>
      </c>
      <c r="AH9" t="str">
        <f t="shared" si="7"/>
        <v/>
      </c>
      <c r="AI9" t="str">
        <f t="shared" si="8"/>
        <v/>
      </c>
      <c r="AK9" t="str">
        <f t="shared" si="9"/>
        <v/>
      </c>
      <c r="AL9" t="str">
        <f t="shared" si="32"/>
        <v/>
      </c>
      <c r="AM9" t="str">
        <f t="shared" si="10"/>
        <v/>
      </c>
      <c r="AN9" t="str">
        <f t="shared" si="11"/>
        <v/>
      </c>
      <c r="AO9" t="str">
        <f t="shared" si="12"/>
        <v/>
      </c>
      <c r="AP9" t="str">
        <f t="shared" si="13"/>
        <v/>
      </c>
      <c r="AQ9" t="str">
        <f t="shared" si="14"/>
        <v/>
      </c>
      <c r="AR9" t="str">
        <f t="shared" si="15"/>
        <v/>
      </c>
      <c r="AS9" t="str">
        <f t="shared" si="16"/>
        <v/>
      </c>
      <c r="AT9" t="str">
        <f t="shared" si="17"/>
        <v/>
      </c>
      <c r="AU9" t="str">
        <f t="shared" si="18"/>
        <v/>
      </c>
      <c r="AV9" t="str">
        <f t="shared" si="19"/>
        <v/>
      </c>
      <c r="AW9" t="str">
        <f t="shared" si="20"/>
        <v/>
      </c>
      <c r="AX9" t="str">
        <f t="shared" si="21"/>
        <v/>
      </c>
      <c r="AY9" t="str">
        <f t="shared" si="22"/>
        <v/>
      </c>
      <c r="AZ9" t="str">
        <f t="shared" si="23"/>
        <v/>
      </c>
      <c r="BA9" t="str">
        <f t="shared" si="24"/>
        <v/>
      </c>
      <c r="BB9" t="str">
        <f t="shared" si="25"/>
        <v/>
      </c>
      <c r="BC9" t="str">
        <f t="shared" si="26"/>
        <v/>
      </c>
      <c r="BD9" t="str">
        <f t="shared" si="27"/>
        <v/>
      </c>
      <c r="BE9" t="str">
        <f t="shared" si="28"/>
        <v/>
      </c>
      <c r="BF9" t="str">
        <f t="shared" si="29"/>
        <v/>
      </c>
      <c r="BG9" t="str">
        <f t="shared" si="30"/>
        <v/>
      </c>
      <c r="BH9" t="str">
        <f t="shared" si="31"/>
        <v/>
      </c>
    </row>
    <row r="10" spans="1:66" x14ac:dyDescent="0.2">
      <c r="A10">
        <v>7</v>
      </c>
      <c r="B10">
        <v>69</v>
      </c>
      <c r="C10" t="s">
        <v>39</v>
      </c>
      <c r="D10">
        <v>1</v>
      </c>
      <c r="M10">
        <v>3</v>
      </c>
      <c r="N10">
        <v>3</v>
      </c>
      <c r="O10">
        <v>3</v>
      </c>
      <c r="S10">
        <v>1</v>
      </c>
      <c r="T10">
        <v>1</v>
      </c>
      <c r="U10">
        <v>19</v>
      </c>
      <c r="X10">
        <f t="shared" si="33"/>
        <v>0</v>
      </c>
      <c r="Z10" t="str">
        <f t="shared" si="0"/>
        <v/>
      </c>
      <c r="AA10" t="str">
        <f t="shared" si="1"/>
        <v/>
      </c>
      <c r="AB10" t="str">
        <f t="shared" si="2"/>
        <v/>
      </c>
      <c r="AC10" t="str">
        <f t="shared" si="3"/>
        <v/>
      </c>
      <c r="AE10" t="str">
        <f t="shared" si="4"/>
        <v/>
      </c>
      <c r="AF10" t="str">
        <f t="shared" si="5"/>
        <v/>
      </c>
      <c r="AG10" t="str">
        <f t="shared" si="6"/>
        <v/>
      </c>
      <c r="AH10" t="str">
        <f t="shared" si="7"/>
        <v/>
      </c>
      <c r="AI10" t="str">
        <f t="shared" si="8"/>
        <v/>
      </c>
      <c r="AK10" t="str">
        <f t="shared" si="9"/>
        <v/>
      </c>
      <c r="AL10" t="str">
        <f t="shared" si="32"/>
        <v/>
      </c>
      <c r="AM10" t="str">
        <f t="shared" si="10"/>
        <v/>
      </c>
      <c r="AN10" t="str">
        <f t="shared" si="11"/>
        <v/>
      </c>
      <c r="AO10" t="str">
        <f t="shared" si="12"/>
        <v/>
      </c>
      <c r="AP10" t="str">
        <f t="shared" si="13"/>
        <v/>
      </c>
      <c r="AQ10" t="str">
        <f t="shared" si="14"/>
        <v/>
      </c>
      <c r="AR10" t="str">
        <f t="shared" si="15"/>
        <v/>
      </c>
      <c r="AS10" t="str">
        <f t="shared" si="16"/>
        <v/>
      </c>
      <c r="AT10" t="str">
        <f t="shared" si="17"/>
        <v/>
      </c>
      <c r="AU10" t="str">
        <f t="shared" si="18"/>
        <v/>
      </c>
      <c r="AV10" t="str">
        <f t="shared" si="19"/>
        <v/>
      </c>
      <c r="AW10" t="str">
        <f t="shared" si="20"/>
        <v/>
      </c>
      <c r="AX10" t="str">
        <f t="shared" si="21"/>
        <v/>
      </c>
      <c r="AY10" t="str">
        <f t="shared" si="22"/>
        <v/>
      </c>
      <c r="AZ10" t="str">
        <f t="shared" si="23"/>
        <v/>
      </c>
      <c r="BA10" t="str">
        <f t="shared" si="24"/>
        <v/>
      </c>
      <c r="BB10" t="str">
        <f t="shared" si="25"/>
        <v/>
      </c>
      <c r="BC10" t="str">
        <f t="shared" si="26"/>
        <v/>
      </c>
      <c r="BD10" t="str">
        <f t="shared" si="27"/>
        <v/>
      </c>
      <c r="BE10" t="str">
        <f t="shared" si="28"/>
        <v/>
      </c>
      <c r="BF10" t="str">
        <f t="shared" si="29"/>
        <v/>
      </c>
      <c r="BG10" t="str">
        <f t="shared" si="30"/>
        <v/>
      </c>
      <c r="BH10" t="str">
        <f t="shared" si="31"/>
        <v/>
      </c>
    </row>
    <row r="11" spans="1:66" x14ac:dyDescent="0.2">
      <c r="A11">
        <v>8</v>
      </c>
      <c r="B11">
        <v>75</v>
      </c>
      <c r="C11" t="s">
        <v>39</v>
      </c>
      <c r="D11">
        <v>1</v>
      </c>
      <c r="F11">
        <v>1</v>
      </c>
      <c r="J11">
        <v>3</v>
      </c>
      <c r="K11">
        <v>1</v>
      </c>
      <c r="M11">
        <v>2</v>
      </c>
      <c r="N11">
        <v>3</v>
      </c>
      <c r="O11">
        <v>2</v>
      </c>
      <c r="S11">
        <v>1</v>
      </c>
      <c r="T11">
        <v>1</v>
      </c>
      <c r="X11">
        <f t="shared" si="33"/>
        <v>0</v>
      </c>
      <c r="Z11" t="str">
        <f t="shared" si="0"/>
        <v/>
      </c>
      <c r="AA11" t="str">
        <f t="shared" si="1"/>
        <v/>
      </c>
      <c r="AB11" t="str">
        <f t="shared" si="2"/>
        <v/>
      </c>
      <c r="AC11" t="str">
        <f t="shared" si="3"/>
        <v/>
      </c>
      <c r="AE11" t="str">
        <f t="shared" si="4"/>
        <v/>
      </c>
      <c r="AF11" t="str">
        <f t="shared" si="5"/>
        <v/>
      </c>
      <c r="AG11" t="str">
        <f t="shared" si="6"/>
        <v/>
      </c>
      <c r="AH11" t="str">
        <f t="shared" si="7"/>
        <v/>
      </c>
      <c r="AI11" t="str">
        <f t="shared" si="8"/>
        <v/>
      </c>
      <c r="AK11" t="str">
        <f t="shared" si="9"/>
        <v/>
      </c>
      <c r="AL11" t="str">
        <f t="shared" si="32"/>
        <v/>
      </c>
      <c r="AM11" t="str">
        <f t="shared" si="10"/>
        <v/>
      </c>
      <c r="AN11" t="str">
        <f t="shared" si="11"/>
        <v/>
      </c>
      <c r="AO11" t="str">
        <f t="shared" si="12"/>
        <v/>
      </c>
      <c r="AP11" t="str">
        <f t="shared" si="13"/>
        <v/>
      </c>
      <c r="AQ11" t="str">
        <f t="shared" si="14"/>
        <v/>
      </c>
      <c r="AR11" t="str">
        <f t="shared" si="15"/>
        <v/>
      </c>
      <c r="AS11" t="str">
        <f t="shared" si="16"/>
        <v/>
      </c>
      <c r="AT11" t="str">
        <f t="shared" si="17"/>
        <v/>
      </c>
      <c r="AU11" t="str">
        <f t="shared" si="18"/>
        <v/>
      </c>
      <c r="AV11" t="str">
        <f t="shared" si="19"/>
        <v/>
      </c>
      <c r="AW11" t="str">
        <f t="shared" si="20"/>
        <v/>
      </c>
      <c r="AX11" t="str">
        <f t="shared" si="21"/>
        <v/>
      </c>
      <c r="AY11" t="str">
        <f t="shared" si="22"/>
        <v/>
      </c>
      <c r="AZ11" t="str">
        <f t="shared" si="23"/>
        <v/>
      </c>
      <c r="BA11" t="str">
        <f t="shared" si="24"/>
        <v/>
      </c>
      <c r="BB11" t="str">
        <f t="shared" si="25"/>
        <v/>
      </c>
      <c r="BC11" t="str">
        <f t="shared" si="26"/>
        <v/>
      </c>
      <c r="BD11" t="str">
        <f t="shared" si="27"/>
        <v/>
      </c>
      <c r="BE11" t="str">
        <f t="shared" si="28"/>
        <v/>
      </c>
      <c r="BF11" t="str">
        <f t="shared" si="29"/>
        <v/>
      </c>
      <c r="BG11" t="str">
        <f t="shared" si="30"/>
        <v/>
      </c>
      <c r="BH11" t="str">
        <f t="shared" si="31"/>
        <v/>
      </c>
    </row>
    <row r="12" spans="1:66" x14ac:dyDescent="0.2">
      <c r="A12">
        <v>9</v>
      </c>
      <c r="B12">
        <v>87</v>
      </c>
      <c r="C12" t="s">
        <v>207</v>
      </c>
      <c r="D12">
        <v>1</v>
      </c>
      <c r="E12">
        <v>1</v>
      </c>
      <c r="F12">
        <v>1</v>
      </c>
      <c r="K12">
        <v>2</v>
      </c>
      <c r="M12">
        <v>1</v>
      </c>
      <c r="N12">
        <v>3</v>
      </c>
      <c r="O12">
        <v>3</v>
      </c>
      <c r="S12">
        <v>1</v>
      </c>
      <c r="T12">
        <v>1</v>
      </c>
      <c r="X12">
        <f t="shared" si="33"/>
        <v>0</v>
      </c>
      <c r="Z12" t="str">
        <f t="shared" si="0"/>
        <v/>
      </c>
      <c r="AA12" t="str">
        <f t="shared" si="1"/>
        <v/>
      </c>
      <c r="AB12" t="str">
        <f t="shared" si="2"/>
        <v/>
      </c>
      <c r="AC12" t="str">
        <f t="shared" si="3"/>
        <v/>
      </c>
      <c r="AE12" t="str">
        <f t="shared" si="4"/>
        <v/>
      </c>
      <c r="AF12" t="str">
        <f t="shared" si="5"/>
        <v/>
      </c>
      <c r="AG12" t="str">
        <f t="shared" si="6"/>
        <v/>
      </c>
      <c r="AH12" t="str">
        <f t="shared" si="7"/>
        <v/>
      </c>
      <c r="AI12" t="str">
        <f t="shared" si="8"/>
        <v/>
      </c>
      <c r="AK12" t="str">
        <f t="shared" si="9"/>
        <v>g1</v>
      </c>
      <c r="AL12" t="str">
        <f t="shared" si="32"/>
        <v/>
      </c>
      <c r="AM12" t="str">
        <f t="shared" si="10"/>
        <v/>
      </c>
      <c r="AN12" t="str">
        <f t="shared" si="11"/>
        <v/>
      </c>
      <c r="AO12" t="str">
        <f t="shared" si="12"/>
        <v/>
      </c>
      <c r="AP12" t="str">
        <f t="shared" si="13"/>
        <v/>
      </c>
      <c r="AQ12" t="str">
        <f t="shared" si="14"/>
        <v/>
      </c>
      <c r="AR12" t="str">
        <f t="shared" si="15"/>
        <v/>
      </c>
      <c r="AS12" t="str">
        <f t="shared" si="16"/>
        <v/>
      </c>
      <c r="AT12" t="str">
        <f t="shared" si="17"/>
        <v/>
      </c>
      <c r="AU12" t="str">
        <f t="shared" si="18"/>
        <v/>
      </c>
      <c r="AV12" t="str">
        <f t="shared" si="19"/>
        <v/>
      </c>
      <c r="AW12" t="str">
        <f t="shared" si="20"/>
        <v/>
      </c>
      <c r="AX12" t="str">
        <f t="shared" si="21"/>
        <v/>
      </c>
      <c r="AY12" t="str">
        <f t="shared" si="22"/>
        <v/>
      </c>
      <c r="AZ12" t="str">
        <f t="shared" si="23"/>
        <v/>
      </c>
      <c r="BA12" t="str">
        <f t="shared" si="24"/>
        <v/>
      </c>
      <c r="BB12" t="str">
        <f t="shared" si="25"/>
        <v/>
      </c>
      <c r="BC12" t="str">
        <f t="shared" si="26"/>
        <v/>
      </c>
      <c r="BD12" t="str">
        <f t="shared" si="27"/>
        <v/>
      </c>
      <c r="BE12" t="str">
        <f t="shared" si="28"/>
        <v/>
      </c>
      <c r="BF12" t="str">
        <f t="shared" si="29"/>
        <v/>
      </c>
      <c r="BG12" t="str">
        <f t="shared" si="30"/>
        <v/>
      </c>
      <c r="BH12" t="str">
        <f t="shared" si="31"/>
        <v/>
      </c>
    </row>
    <row r="13" spans="1:66" x14ac:dyDescent="0.2">
      <c r="A13">
        <v>10</v>
      </c>
      <c r="B13">
        <v>94</v>
      </c>
      <c r="C13" t="s">
        <v>207</v>
      </c>
      <c r="D13">
        <v>1</v>
      </c>
      <c r="E13">
        <v>1</v>
      </c>
      <c r="F13">
        <v>1</v>
      </c>
      <c r="K13">
        <v>2</v>
      </c>
      <c r="M13">
        <v>2</v>
      </c>
      <c r="N13">
        <v>4</v>
      </c>
      <c r="O13">
        <v>4</v>
      </c>
      <c r="S13">
        <v>1</v>
      </c>
      <c r="T13">
        <v>1</v>
      </c>
      <c r="X13">
        <f t="shared" si="33"/>
        <v>0</v>
      </c>
      <c r="Z13" t="str">
        <f t="shared" si="0"/>
        <v/>
      </c>
      <c r="AA13" t="str">
        <f t="shared" si="1"/>
        <v/>
      </c>
      <c r="AB13" t="str">
        <f t="shared" si="2"/>
        <v/>
      </c>
      <c r="AC13" t="str">
        <f t="shared" si="3"/>
        <v/>
      </c>
      <c r="AE13" t="str">
        <f t="shared" si="4"/>
        <v/>
      </c>
      <c r="AF13" t="str">
        <f t="shared" si="5"/>
        <v/>
      </c>
      <c r="AG13" t="str">
        <f t="shared" si="6"/>
        <v/>
      </c>
      <c r="AH13" t="str">
        <f t="shared" si="7"/>
        <v/>
      </c>
      <c r="AI13" t="str">
        <f t="shared" si="8"/>
        <v/>
      </c>
      <c r="AK13" t="str">
        <f t="shared" si="9"/>
        <v/>
      </c>
      <c r="AL13" t="str">
        <f t="shared" si="32"/>
        <v/>
      </c>
      <c r="AM13" t="str">
        <f t="shared" si="10"/>
        <v/>
      </c>
      <c r="AN13" t="str">
        <f t="shared" si="11"/>
        <v/>
      </c>
      <c r="AO13" t="str">
        <f t="shared" si="12"/>
        <v/>
      </c>
      <c r="AP13" t="str">
        <f t="shared" si="13"/>
        <v/>
      </c>
      <c r="AQ13" t="str">
        <f t="shared" si="14"/>
        <v/>
      </c>
      <c r="AR13" t="str">
        <f t="shared" si="15"/>
        <v/>
      </c>
      <c r="AS13" t="str">
        <f t="shared" si="16"/>
        <v/>
      </c>
      <c r="AT13" t="str">
        <f t="shared" si="17"/>
        <v/>
      </c>
      <c r="AU13" t="str">
        <f t="shared" si="18"/>
        <v/>
      </c>
      <c r="AV13" t="str">
        <f t="shared" si="19"/>
        <v/>
      </c>
      <c r="AW13" t="str">
        <f t="shared" si="20"/>
        <v/>
      </c>
      <c r="AX13" t="str">
        <f t="shared" si="21"/>
        <v/>
      </c>
      <c r="AY13" t="str">
        <f t="shared" si="22"/>
        <v/>
      </c>
      <c r="AZ13" t="str">
        <f t="shared" si="23"/>
        <v/>
      </c>
      <c r="BA13" t="str">
        <f t="shared" si="24"/>
        <v/>
      </c>
      <c r="BB13" t="str">
        <f t="shared" si="25"/>
        <v/>
      </c>
      <c r="BC13" t="str">
        <f t="shared" si="26"/>
        <v/>
      </c>
      <c r="BD13" t="str">
        <f t="shared" si="27"/>
        <v/>
      </c>
      <c r="BE13" t="str">
        <f t="shared" si="28"/>
        <v/>
      </c>
      <c r="BF13" t="str">
        <f t="shared" si="29"/>
        <v/>
      </c>
      <c r="BG13" t="str">
        <f t="shared" si="30"/>
        <v/>
      </c>
      <c r="BH13" t="str">
        <f t="shared" si="31"/>
        <v/>
      </c>
    </row>
    <row r="14" spans="1:66" x14ac:dyDescent="0.2">
      <c r="A14">
        <v>11</v>
      </c>
      <c r="B14">
        <v>106</v>
      </c>
      <c r="C14" t="s">
        <v>207</v>
      </c>
      <c r="M14">
        <v>2</v>
      </c>
      <c r="N14">
        <v>2</v>
      </c>
      <c r="O14">
        <v>2</v>
      </c>
      <c r="P14" t="s">
        <v>218</v>
      </c>
      <c r="S14">
        <v>1</v>
      </c>
      <c r="T14">
        <v>1</v>
      </c>
      <c r="U14">
        <v>3</v>
      </c>
      <c r="X14">
        <f t="shared" si="33"/>
        <v>0</v>
      </c>
      <c r="Z14" t="s">
        <v>31</v>
      </c>
      <c r="AE14" t="s">
        <v>34</v>
      </c>
      <c r="AK14" t="s">
        <v>43</v>
      </c>
      <c r="AP14" t="s">
        <v>84</v>
      </c>
    </row>
    <row r="15" spans="1:66" x14ac:dyDescent="0.2">
      <c r="A15">
        <v>12</v>
      </c>
      <c r="B15">
        <v>111</v>
      </c>
      <c r="C15" t="s">
        <v>207</v>
      </c>
      <c r="D15">
        <v>1</v>
      </c>
      <c r="F15">
        <v>1</v>
      </c>
      <c r="K15">
        <v>2</v>
      </c>
      <c r="L15">
        <v>1</v>
      </c>
      <c r="N15">
        <v>3</v>
      </c>
      <c r="O15">
        <v>3</v>
      </c>
      <c r="S15">
        <v>1</v>
      </c>
      <c r="T15">
        <v>1</v>
      </c>
      <c r="X15">
        <f t="shared" si="33"/>
        <v>0</v>
      </c>
      <c r="Z15" t="s">
        <v>21</v>
      </c>
      <c r="AA15" t="s">
        <v>22</v>
      </c>
      <c r="AE15" t="s">
        <v>21</v>
      </c>
      <c r="AF15" t="s">
        <v>22</v>
      </c>
      <c r="AG15" t="s">
        <v>35</v>
      </c>
      <c r="AK15" t="s">
        <v>10</v>
      </c>
      <c r="AL15" t="s">
        <v>25</v>
      </c>
      <c r="AM15" t="s">
        <v>26</v>
      </c>
      <c r="AN15" t="s">
        <v>27</v>
      </c>
      <c r="AP15" t="s">
        <v>15</v>
      </c>
      <c r="AQ15" t="s">
        <v>85</v>
      </c>
    </row>
    <row r="16" spans="1:66" x14ac:dyDescent="0.2">
      <c r="A16" t="s">
        <v>28</v>
      </c>
      <c r="D16">
        <f>SUM(D4:D15)</f>
        <v>8</v>
      </c>
      <c r="E16">
        <f>SUM(E4:E15)</f>
        <v>2</v>
      </c>
      <c r="F16">
        <f>SUM(F4:F15)</f>
        <v>4</v>
      </c>
      <c r="G16">
        <f>SUM(G4:G15)</f>
        <v>0</v>
      </c>
      <c r="H16">
        <f>SUM(H4:H15)</f>
        <v>0</v>
      </c>
      <c r="K16">
        <f>SUM(K4:K15)</f>
        <v>14</v>
      </c>
      <c r="L16">
        <f>SUM(L4:L15)</f>
        <v>1</v>
      </c>
      <c r="M16">
        <f>SUM(M4:M15)</f>
        <v>17</v>
      </c>
      <c r="N16">
        <f>SUM(N4:N15)</f>
        <v>36</v>
      </c>
      <c r="O16">
        <f>SUM(O4:O15)</f>
        <v>30</v>
      </c>
      <c r="Q16">
        <f t="shared" ref="Q16:R16" si="34">SUM(Q4:Q15)</f>
        <v>0</v>
      </c>
      <c r="R16">
        <f t="shared" si="34"/>
        <v>0</v>
      </c>
      <c r="S16">
        <f>SUM(S4:S15)</f>
        <v>12</v>
      </c>
      <c r="T16">
        <f>SUM(T4:T15)</f>
        <v>12</v>
      </c>
      <c r="U16">
        <f>SUM(U4:U15)</f>
        <v>37</v>
      </c>
      <c r="V16">
        <f>SUM(V4:V15)</f>
        <v>0</v>
      </c>
      <c r="W16">
        <f>SUM(W4:W15)</f>
        <v>0</v>
      </c>
      <c r="Z16">
        <f t="shared" ref="Z16:Z27" si="35">COUNTIF(Z2:AC2, "3")*COUNTIF(C4, "r")+COUNTIF(Z2:AC2, "5")*COUNTIF(C4, "b")</f>
        <v>0</v>
      </c>
      <c r="AA16">
        <f t="shared" ref="AA16:AA27" si="36">COUNTIF(Z2:AC2, "1")+COUNTIF(Z2:AC2, "2")+COUNTIF(Z2:AC2, "4")</f>
        <v>0</v>
      </c>
      <c r="AE16">
        <f t="shared" ref="AE16:AE27" si="37">COUNTIF(AE2:AI2, "3")*COUNTIF(C4, "r") + COUNTIF(AE2:AI2, "5")*COUNTIF(C4, "b")</f>
        <v>0</v>
      </c>
      <c r="AF16">
        <f t="shared" ref="AF16:AF27" si="38">COUNTIF(AE2:AI2, "1")+COUNTIF(AE2:AI2, "2")+COUNTIF(AE2:AI2, "4")</f>
        <v>0</v>
      </c>
      <c r="AG16">
        <f t="shared" ref="AG16:AG27" si="39">COUNTIF(AE2:AI2, "3")*COUNTIF(AE2:AI2, "b")+COUNTIF(AE2:AI2, "5")*COUNTIF(AE2:AI2, "r")</f>
        <v>0</v>
      </c>
      <c r="AK16">
        <f t="shared" ref="AK16:AK27" si="40">SUMPRODUCT(LEN($AK2:$BH2) - LEN(SUBSTITUTE($AK2:$BH2, "g", "")))</f>
        <v>0</v>
      </c>
      <c r="AL16">
        <f t="shared" ref="AL16:AL27" si="41">SUMPRODUCT(LEN($AK2:$BH2) - LEN(SUBSTITUTE($AK2:$BH2, "h", "")))</f>
        <v>0</v>
      </c>
      <c r="AM16">
        <f t="shared" ref="AM16:AM27" si="42">SUMPRODUCT(LEN($AK2:$BH2) - LEN(SUBSTITUTE($AK2:$BH2, "v", "")))</f>
        <v>0</v>
      </c>
      <c r="AN16">
        <f t="shared" ref="AN16:AN27" si="43">SUMPRODUCT(LEN($AK2:$BH2) - LEN(SUBSTITUTE($AK2:$BH2, "r", "")))</f>
        <v>0</v>
      </c>
      <c r="AP16">
        <f>MAX(AQ16:BN16)</f>
        <v>0</v>
      </c>
      <c r="AQ16" s="4">
        <f>_xlfn.NUMBERVALUE(RIGHT(AK2,1))</f>
        <v>0</v>
      </c>
      <c r="AR16" s="4">
        <f t="shared" ref="AR16:BG27" si="44">_xlfn.NUMBERVALUE(RIGHT(AL2,1))</f>
        <v>0</v>
      </c>
      <c r="AS16" s="4">
        <f t="shared" si="44"/>
        <v>0</v>
      </c>
      <c r="AT16" s="4">
        <f t="shared" si="44"/>
        <v>0</v>
      </c>
      <c r="AU16" s="4">
        <f t="shared" si="44"/>
        <v>0</v>
      </c>
      <c r="AV16" s="4">
        <f t="shared" si="44"/>
        <v>0</v>
      </c>
      <c r="AW16" s="4">
        <f t="shared" si="44"/>
        <v>0</v>
      </c>
      <c r="AX16" s="4">
        <f t="shared" si="44"/>
        <v>0</v>
      </c>
      <c r="AY16" s="4">
        <f t="shared" si="44"/>
        <v>0</v>
      </c>
      <c r="AZ16" s="4">
        <f t="shared" si="44"/>
        <v>0</v>
      </c>
      <c r="BA16" s="4">
        <f t="shared" si="44"/>
        <v>0</v>
      </c>
      <c r="BB16" s="4">
        <f t="shared" si="44"/>
        <v>0</v>
      </c>
      <c r="BC16" s="4">
        <f t="shared" si="44"/>
        <v>0</v>
      </c>
      <c r="BD16" s="4">
        <f t="shared" si="44"/>
        <v>0</v>
      </c>
      <c r="BE16" s="4">
        <f t="shared" si="44"/>
        <v>0</v>
      </c>
      <c r="BF16" s="4">
        <f t="shared" si="44"/>
        <v>0</v>
      </c>
      <c r="BG16" s="4">
        <f t="shared" si="44"/>
        <v>0</v>
      </c>
      <c r="BH16" s="4">
        <f t="shared" ref="BH16:BN27" si="45">_xlfn.NUMBERVALUE(RIGHT(BB2,1))</f>
        <v>0</v>
      </c>
      <c r="BI16" s="4">
        <f t="shared" si="45"/>
        <v>0</v>
      </c>
      <c r="BJ16" s="4">
        <f t="shared" si="45"/>
        <v>0</v>
      </c>
      <c r="BK16" s="4">
        <f t="shared" si="45"/>
        <v>0</v>
      </c>
      <c r="BL16" s="4">
        <f t="shared" si="45"/>
        <v>0</v>
      </c>
      <c r="BM16" s="4">
        <f t="shared" si="45"/>
        <v>0</v>
      </c>
      <c r="BN16" s="4">
        <f t="shared" si="45"/>
        <v>0</v>
      </c>
    </row>
    <row r="17" spans="1:66" x14ac:dyDescent="0.2">
      <c r="A17" s="1" t="s">
        <v>20</v>
      </c>
      <c r="D17" s="1" t="s">
        <v>49</v>
      </c>
      <c r="G17" s="1" t="s">
        <v>52</v>
      </c>
      <c r="K17" s="3" t="s">
        <v>74</v>
      </c>
      <c r="P17" s="1" t="s">
        <v>66</v>
      </c>
      <c r="Z17">
        <f t="shared" si="35"/>
        <v>0</v>
      </c>
      <c r="AA17">
        <f t="shared" si="36"/>
        <v>0</v>
      </c>
      <c r="AE17">
        <f t="shared" si="37"/>
        <v>0</v>
      </c>
      <c r="AF17">
        <f t="shared" si="38"/>
        <v>0</v>
      </c>
      <c r="AG17">
        <f t="shared" si="39"/>
        <v>0</v>
      </c>
      <c r="AK17">
        <f t="shared" si="40"/>
        <v>0</v>
      </c>
      <c r="AL17">
        <f t="shared" si="41"/>
        <v>0</v>
      </c>
      <c r="AM17">
        <f t="shared" si="42"/>
        <v>0</v>
      </c>
      <c r="AN17">
        <f t="shared" si="43"/>
        <v>0</v>
      </c>
      <c r="AP17">
        <f t="shared" ref="AP17:AP27" si="46">MAX(AQ17:BN17)</f>
        <v>0</v>
      </c>
      <c r="AQ17" s="4">
        <f t="shared" ref="AQ17:AQ27" si="47">_xlfn.NUMBERVALUE(RIGHT(AK3,1))</f>
        <v>0</v>
      </c>
      <c r="AR17" s="4">
        <f t="shared" si="44"/>
        <v>0</v>
      </c>
      <c r="AS17" s="4">
        <f t="shared" si="44"/>
        <v>0</v>
      </c>
      <c r="AT17" s="4">
        <f t="shared" si="44"/>
        <v>0</v>
      </c>
      <c r="AU17" s="4">
        <f t="shared" si="44"/>
        <v>0</v>
      </c>
      <c r="AV17" s="4">
        <f t="shared" si="44"/>
        <v>0</v>
      </c>
      <c r="AW17" s="4">
        <f t="shared" si="44"/>
        <v>0</v>
      </c>
      <c r="AX17" s="4">
        <f t="shared" si="44"/>
        <v>0</v>
      </c>
      <c r="AY17" s="4">
        <f t="shared" si="44"/>
        <v>0</v>
      </c>
      <c r="AZ17" s="4">
        <f t="shared" si="44"/>
        <v>0</v>
      </c>
      <c r="BA17" s="4">
        <f t="shared" si="44"/>
        <v>0</v>
      </c>
      <c r="BB17" s="4">
        <f t="shared" si="44"/>
        <v>0</v>
      </c>
      <c r="BC17" s="4">
        <f t="shared" si="44"/>
        <v>0</v>
      </c>
      <c r="BD17" s="4">
        <f t="shared" si="44"/>
        <v>0</v>
      </c>
      <c r="BE17" s="4">
        <f t="shared" si="44"/>
        <v>0</v>
      </c>
      <c r="BF17" s="4">
        <f t="shared" si="44"/>
        <v>0</v>
      </c>
      <c r="BG17" s="4">
        <f t="shared" si="44"/>
        <v>0</v>
      </c>
      <c r="BH17" s="4">
        <f t="shared" si="45"/>
        <v>0</v>
      </c>
      <c r="BI17" s="4">
        <f t="shared" si="45"/>
        <v>0</v>
      </c>
      <c r="BJ17" s="4">
        <f t="shared" si="45"/>
        <v>0</v>
      </c>
      <c r="BK17" s="4">
        <f t="shared" si="45"/>
        <v>0</v>
      </c>
      <c r="BL17" s="4">
        <f t="shared" si="45"/>
        <v>0</v>
      </c>
      <c r="BM17" s="4">
        <f t="shared" si="45"/>
        <v>0</v>
      </c>
      <c r="BN17" s="4">
        <f t="shared" si="45"/>
        <v>0</v>
      </c>
    </row>
    <row r="18" spans="1:66" x14ac:dyDescent="0.2">
      <c r="A18" t="s">
        <v>32</v>
      </c>
      <c r="B18" t="s">
        <v>21</v>
      </c>
      <c r="D18" t="s">
        <v>180</v>
      </c>
      <c r="G18" s="3" t="s">
        <v>53</v>
      </c>
      <c r="K18" t="s">
        <v>55</v>
      </c>
      <c r="M18" t="s">
        <v>65</v>
      </c>
      <c r="P18" t="s">
        <v>67</v>
      </c>
      <c r="Z18">
        <f t="shared" si="35"/>
        <v>0</v>
      </c>
      <c r="AA18">
        <f t="shared" si="36"/>
        <v>0</v>
      </c>
      <c r="AE18">
        <f t="shared" si="37"/>
        <v>0</v>
      </c>
      <c r="AF18">
        <f t="shared" si="38"/>
        <v>0</v>
      </c>
      <c r="AG18">
        <f t="shared" si="39"/>
        <v>0</v>
      </c>
      <c r="AK18">
        <f t="shared" si="40"/>
        <v>0</v>
      </c>
      <c r="AL18">
        <f t="shared" si="41"/>
        <v>0</v>
      </c>
      <c r="AM18">
        <f t="shared" si="42"/>
        <v>0</v>
      </c>
      <c r="AN18">
        <f t="shared" si="43"/>
        <v>0</v>
      </c>
      <c r="AP18">
        <f t="shared" si="46"/>
        <v>0</v>
      </c>
      <c r="AQ18" s="4">
        <f t="shared" si="47"/>
        <v>0</v>
      </c>
      <c r="AR18" s="4">
        <f t="shared" si="44"/>
        <v>0</v>
      </c>
      <c r="AS18" s="4">
        <f t="shared" si="44"/>
        <v>0</v>
      </c>
      <c r="AT18" s="4">
        <f t="shared" si="44"/>
        <v>0</v>
      </c>
      <c r="AU18" s="4">
        <f t="shared" si="44"/>
        <v>0</v>
      </c>
      <c r="AV18" s="4">
        <f t="shared" si="44"/>
        <v>0</v>
      </c>
      <c r="AW18" s="4">
        <f t="shared" si="44"/>
        <v>0</v>
      </c>
      <c r="AX18" s="4">
        <f t="shared" si="44"/>
        <v>0</v>
      </c>
      <c r="AY18" s="4">
        <f t="shared" si="44"/>
        <v>0</v>
      </c>
      <c r="AZ18" s="4">
        <f t="shared" si="44"/>
        <v>0</v>
      </c>
      <c r="BA18" s="4">
        <f t="shared" si="44"/>
        <v>0</v>
      </c>
      <c r="BB18" s="4">
        <f t="shared" si="44"/>
        <v>0</v>
      </c>
      <c r="BC18" s="4">
        <f t="shared" si="44"/>
        <v>0</v>
      </c>
      <c r="BD18" s="4">
        <f t="shared" si="44"/>
        <v>0</v>
      </c>
      <c r="BE18" s="4">
        <f t="shared" si="44"/>
        <v>0</v>
      </c>
      <c r="BF18" s="4">
        <f t="shared" si="44"/>
        <v>0</v>
      </c>
      <c r="BG18" s="4">
        <f t="shared" si="44"/>
        <v>0</v>
      </c>
      <c r="BH18" s="4">
        <f t="shared" si="45"/>
        <v>0</v>
      </c>
      <c r="BI18" s="4">
        <f t="shared" si="45"/>
        <v>0</v>
      </c>
      <c r="BJ18" s="4">
        <f t="shared" si="45"/>
        <v>0</v>
      </c>
      <c r="BK18" s="4">
        <f t="shared" si="45"/>
        <v>0</v>
      </c>
      <c r="BL18" s="4">
        <f t="shared" si="45"/>
        <v>0</v>
      </c>
      <c r="BM18" s="4">
        <f t="shared" si="45"/>
        <v>0</v>
      </c>
      <c r="BN18" s="4">
        <f t="shared" si="45"/>
        <v>0</v>
      </c>
    </row>
    <row r="19" spans="1:66" x14ac:dyDescent="0.2">
      <c r="A19" t="s">
        <v>40</v>
      </c>
      <c r="B19" t="s">
        <v>22</v>
      </c>
      <c r="D19">
        <f>E16/D16</f>
        <v>0.25</v>
      </c>
      <c r="G19" t="s">
        <v>75</v>
      </c>
      <c r="K19">
        <f>O16/N16</f>
        <v>0.83333333333333337</v>
      </c>
      <c r="M19">
        <f>SUM(M39:M50)</f>
        <v>1</v>
      </c>
      <c r="P19">
        <f>T16/S16</f>
        <v>1</v>
      </c>
      <c r="Z19">
        <f t="shared" si="35"/>
        <v>0</v>
      </c>
      <c r="AA19">
        <f t="shared" si="36"/>
        <v>0</v>
      </c>
      <c r="AE19">
        <f t="shared" si="37"/>
        <v>0</v>
      </c>
      <c r="AF19">
        <f t="shared" si="38"/>
        <v>0</v>
      </c>
      <c r="AG19">
        <f t="shared" si="39"/>
        <v>0</v>
      </c>
      <c r="AK19">
        <f t="shared" si="40"/>
        <v>0</v>
      </c>
      <c r="AL19">
        <f t="shared" si="41"/>
        <v>0</v>
      </c>
      <c r="AM19">
        <f t="shared" si="42"/>
        <v>0</v>
      </c>
      <c r="AN19">
        <f t="shared" si="43"/>
        <v>0</v>
      </c>
      <c r="AP19">
        <f t="shared" si="46"/>
        <v>0</v>
      </c>
      <c r="AQ19" s="4">
        <f t="shared" si="47"/>
        <v>0</v>
      </c>
      <c r="AR19" s="4">
        <f t="shared" si="44"/>
        <v>0</v>
      </c>
      <c r="AS19" s="4">
        <f t="shared" si="44"/>
        <v>0</v>
      </c>
      <c r="AT19" s="4">
        <f t="shared" si="44"/>
        <v>0</v>
      </c>
      <c r="AU19" s="4">
        <f t="shared" si="44"/>
        <v>0</v>
      </c>
      <c r="AV19" s="4">
        <f t="shared" si="44"/>
        <v>0</v>
      </c>
      <c r="AW19" s="4">
        <f t="shared" si="44"/>
        <v>0</v>
      </c>
      <c r="AX19" s="4">
        <f t="shared" si="44"/>
        <v>0</v>
      </c>
      <c r="AY19" s="4">
        <f t="shared" si="44"/>
        <v>0</v>
      </c>
      <c r="AZ19" s="4">
        <f t="shared" si="44"/>
        <v>0</v>
      </c>
      <c r="BA19" s="4">
        <f t="shared" si="44"/>
        <v>0</v>
      </c>
      <c r="BB19" s="4">
        <f t="shared" si="44"/>
        <v>0</v>
      </c>
      <c r="BC19" s="4">
        <f t="shared" si="44"/>
        <v>0</v>
      </c>
      <c r="BD19" s="4">
        <f t="shared" si="44"/>
        <v>0</v>
      </c>
      <c r="BE19" s="4">
        <f t="shared" si="44"/>
        <v>0</v>
      </c>
      <c r="BF19" s="4">
        <f t="shared" si="44"/>
        <v>0</v>
      </c>
      <c r="BG19" s="4">
        <f t="shared" si="44"/>
        <v>0</v>
      </c>
      <c r="BH19" s="4">
        <f t="shared" si="45"/>
        <v>0</v>
      </c>
      <c r="BI19" s="4">
        <f t="shared" si="45"/>
        <v>0</v>
      </c>
      <c r="BJ19" s="4">
        <f t="shared" si="45"/>
        <v>0</v>
      </c>
      <c r="BK19" s="4">
        <f t="shared" si="45"/>
        <v>0</v>
      </c>
      <c r="BL19" s="4">
        <f t="shared" si="45"/>
        <v>0</v>
      </c>
      <c r="BM19" s="4">
        <f t="shared" si="45"/>
        <v>0</v>
      </c>
      <c r="BN19" s="4">
        <f t="shared" si="45"/>
        <v>0</v>
      </c>
    </row>
    <row r="20" spans="1:66" x14ac:dyDescent="0.2">
      <c r="A20" t="s">
        <v>41</v>
      </c>
      <c r="B20" t="s">
        <v>23</v>
      </c>
      <c r="D20" t="s">
        <v>47</v>
      </c>
      <c r="G20">
        <f>AK28/AP28</f>
        <v>1</v>
      </c>
      <c r="K20" t="s">
        <v>13</v>
      </c>
      <c r="Z20">
        <f t="shared" si="35"/>
        <v>0</v>
      </c>
      <c r="AA20">
        <f t="shared" si="36"/>
        <v>0</v>
      </c>
      <c r="AE20">
        <f t="shared" si="37"/>
        <v>0</v>
      </c>
      <c r="AF20">
        <f t="shared" si="38"/>
        <v>0</v>
      </c>
      <c r="AG20">
        <f t="shared" si="39"/>
        <v>0</v>
      </c>
      <c r="AK20">
        <f t="shared" si="40"/>
        <v>0</v>
      </c>
      <c r="AL20">
        <f t="shared" si="41"/>
        <v>0</v>
      </c>
      <c r="AM20">
        <f t="shared" si="42"/>
        <v>0</v>
      </c>
      <c r="AN20">
        <f t="shared" si="43"/>
        <v>0</v>
      </c>
      <c r="AP20">
        <f t="shared" si="46"/>
        <v>0</v>
      </c>
      <c r="AQ20" s="4">
        <f t="shared" si="47"/>
        <v>0</v>
      </c>
      <c r="AR20" s="4">
        <f t="shared" si="44"/>
        <v>0</v>
      </c>
      <c r="AS20" s="4">
        <f t="shared" si="44"/>
        <v>0</v>
      </c>
      <c r="AT20" s="4">
        <f t="shared" si="44"/>
        <v>0</v>
      </c>
      <c r="AU20" s="4">
        <f t="shared" si="44"/>
        <v>0</v>
      </c>
      <c r="AV20" s="4">
        <f t="shared" si="44"/>
        <v>0</v>
      </c>
      <c r="AW20" s="4">
        <f t="shared" si="44"/>
        <v>0</v>
      </c>
      <c r="AX20" s="4">
        <f t="shared" si="44"/>
        <v>0</v>
      </c>
      <c r="AY20" s="4">
        <f t="shared" si="44"/>
        <v>0</v>
      </c>
      <c r="AZ20" s="4">
        <f t="shared" si="44"/>
        <v>0</v>
      </c>
      <c r="BA20" s="4">
        <f t="shared" si="44"/>
        <v>0</v>
      </c>
      <c r="BB20" s="4">
        <f t="shared" si="44"/>
        <v>0</v>
      </c>
      <c r="BC20" s="4">
        <f t="shared" si="44"/>
        <v>0</v>
      </c>
      <c r="BD20" s="4">
        <f t="shared" si="44"/>
        <v>0</v>
      </c>
      <c r="BE20" s="4">
        <f t="shared" si="44"/>
        <v>0</v>
      </c>
      <c r="BF20" s="4">
        <f t="shared" si="44"/>
        <v>0</v>
      </c>
      <c r="BG20" s="4">
        <f t="shared" si="44"/>
        <v>0</v>
      </c>
      <c r="BH20" s="4">
        <f t="shared" si="45"/>
        <v>0</v>
      </c>
      <c r="BI20" s="4">
        <f t="shared" si="45"/>
        <v>0</v>
      </c>
      <c r="BJ20" s="4">
        <f t="shared" si="45"/>
        <v>0</v>
      </c>
      <c r="BK20" s="4">
        <f t="shared" si="45"/>
        <v>0</v>
      </c>
      <c r="BL20" s="4">
        <f t="shared" si="45"/>
        <v>0</v>
      </c>
      <c r="BM20" s="4">
        <f t="shared" si="45"/>
        <v>0</v>
      </c>
      <c r="BN20" s="4">
        <f t="shared" si="45"/>
        <v>0</v>
      </c>
    </row>
    <row r="21" spans="1:66" x14ac:dyDescent="0.2">
      <c r="A21" s="1" t="s">
        <v>24</v>
      </c>
      <c r="D21">
        <f>G16/A31</f>
        <v>0</v>
      </c>
      <c r="G21" t="s">
        <v>76</v>
      </c>
      <c r="K21" t="s">
        <v>57</v>
      </c>
      <c r="L21" t="s">
        <v>58</v>
      </c>
      <c r="M21" t="s">
        <v>59</v>
      </c>
      <c r="N21" t="s">
        <v>60</v>
      </c>
      <c r="Z21">
        <f t="shared" si="35"/>
        <v>0</v>
      </c>
      <c r="AA21">
        <f t="shared" si="36"/>
        <v>0</v>
      </c>
      <c r="AE21">
        <f t="shared" si="37"/>
        <v>0</v>
      </c>
      <c r="AF21">
        <f t="shared" si="38"/>
        <v>0</v>
      </c>
      <c r="AG21">
        <f t="shared" si="39"/>
        <v>0</v>
      </c>
      <c r="AK21">
        <f t="shared" si="40"/>
        <v>0</v>
      </c>
      <c r="AL21">
        <f t="shared" si="41"/>
        <v>0</v>
      </c>
      <c r="AM21">
        <f t="shared" si="42"/>
        <v>0</v>
      </c>
      <c r="AN21">
        <f t="shared" si="43"/>
        <v>0</v>
      </c>
      <c r="AP21">
        <f t="shared" si="46"/>
        <v>0</v>
      </c>
      <c r="AQ21" s="4">
        <f t="shared" si="47"/>
        <v>0</v>
      </c>
      <c r="AR21" s="4">
        <f t="shared" si="44"/>
        <v>0</v>
      </c>
      <c r="AS21" s="4">
        <f t="shared" si="44"/>
        <v>0</v>
      </c>
      <c r="AT21" s="4">
        <f t="shared" si="44"/>
        <v>0</v>
      </c>
      <c r="AU21" s="4">
        <f t="shared" si="44"/>
        <v>0</v>
      </c>
      <c r="AV21" s="4">
        <f t="shared" si="44"/>
        <v>0</v>
      </c>
      <c r="AW21" s="4">
        <f t="shared" si="44"/>
        <v>0</v>
      </c>
      <c r="AX21" s="4">
        <f t="shared" si="44"/>
        <v>0</v>
      </c>
      <c r="AY21" s="4">
        <f t="shared" si="44"/>
        <v>0</v>
      </c>
      <c r="AZ21" s="4">
        <f t="shared" si="44"/>
        <v>0</v>
      </c>
      <c r="BA21" s="4">
        <f t="shared" si="44"/>
        <v>0</v>
      </c>
      <c r="BB21" s="4">
        <f t="shared" si="44"/>
        <v>0</v>
      </c>
      <c r="BC21" s="4">
        <f t="shared" si="44"/>
        <v>0</v>
      </c>
      <c r="BD21" s="4">
        <f t="shared" si="44"/>
        <v>0</v>
      </c>
      <c r="BE21" s="4">
        <f t="shared" si="44"/>
        <v>0</v>
      </c>
      <c r="BF21" s="4">
        <f t="shared" si="44"/>
        <v>0</v>
      </c>
      <c r="BG21" s="4">
        <f t="shared" si="44"/>
        <v>0</v>
      </c>
      <c r="BH21" s="4">
        <f t="shared" si="45"/>
        <v>0</v>
      </c>
      <c r="BI21" s="4">
        <f t="shared" si="45"/>
        <v>0</v>
      </c>
      <c r="BJ21" s="4">
        <f t="shared" si="45"/>
        <v>0</v>
      </c>
      <c r="BK21" s="4">
        <f t="shared" si="45"/>
        <v>0</v>
      </c>
      <c r="BL21" s="4">
        <f t="shared" si="45"/>
        <v>0</v>
      </c>
      <c r="BM21" s="4">
        <f t="shared" si="45"/>
        <v>0</v>
      </c>
      <c r="BN21" s="4">
        <f t="shared" si="45"/>
        <v>0</v>
      </c>
    </row>
    <row r="22" spans="1:66" x14ac:dyDescent="0.2">
      <c r="A22" t="s">
        <v>36</v>
      </c>
      <c r="B22" t="s">
        <v>10</v>
      </c>
      <c r="D22" t="s">
        <v>48</v>
      </c>
      <c r="G22">
        <f>AL28/AP28</f>
        <v>0</v>
      </c>
      <c r="K22">
        <f>AVERAGE(C39:C50)</f>
        <v>2.5</v>
      </c>
      <c r="L22">
        <f>MEDIAN(C39:C50)</f>
        <v>3</v>
      </c>
      <c r="M22">
        <f>MAX(C39:C50)</f>
        <v>4</v>
      </c>
      <c r="N22">
        <f>_xlfn.STDEV.S(C39:C50)</f>
        <v>1.1677484162422844</v>
      </c>
      <c r="Z22">
        <f t="shared" si="35"/>
        <v>0</v>
      </c>
      <c r="AA22">
        <f t="shared" si="36"/>
        <v>0</v>
      </c>
      <c r="AE22">
        <f t="shared" si="37"/>
        <v>0</v>
      </c>
      <c r="AF22">
        <f t="shared" si="38"/>
        <v>0</v>
      </c>
      <c r="AG22">
        <f t="shared" si="39"/>
        <v>0</v>
      </c>
      <c r="AK22">
        <f t="shared" si="40"/>
        <v>0</v>
      </c>
      <c r="AL22">
        <f t="shared" si="41"/>
        <v>0</v>
      </c>
      <c r="AM22">
        <f t="shared" si="42"/>
        <v>0</v>
      </c>
      <c r="AN22">
        <f t="shared" si="43"/>
        <v>0</v>
      </c>
      <c r="AP22">
        <f t="shared" si="46"/>
        <v>0</v>
      </c>
      <c r="AQ22" s="4">
        <f t="shared" si="47"/>
        <v>0</v>
      </c>
      <c r="AR22" s="4">
        <f t="shared" si="44"/>
        <v>0</v>
      </c>
      <c r="AS22" s="4">
        <f t="shared" si="44"/>
        <v>0</v>
      </c>
      <c r="AT22" s="4">
        <f t="shared" si="44"/>
        <v>0</v>
      </c>
      <c r="AU22" s="4">
        <f t="shared" si="44"/>
        <v>0</v>
      </c>
      <c r="AV22" s="4">
        <f t="shared" si="44"/>
        <v>0</v>
      </c>
      <c r="AW22" s="4">
        <f t="shared" si="44"/>
        <v>0</v>
      </c>
      <c r="AX22" s="4">
        <f t="shared" si="44"/>
        <v>0</v>
      </c>
      <c r="AY22" s="4">
        <f t="shared" si="44"/>
        <v>0</v>
      </c>
      <c r="AZ22" s="4">
        <f t="shared" si="44"/>
        <v>0</v>
      </c>
      <c r="BA22" s="4">
        <f t="shared" si="44"/>
        <v>0</v>
      </c>
      <c r="BB22" s="4">
        <f t="shared" si="44"/>
        <v>0</v>
      </c>
      <c r="BC22" s="4">
        <f t="shared" si="44"/>
        <v>0</v>
      </c>
      <c r="BD22" s="4">
        <f t="shared" si="44"/>
        <v>0</v>
      </c>
      <c r="BE22" s="4">
        <f t="shared" si="44"/>
        <v>0</v>
      </c>
      <c r="BF22" s="4">
        <f t="shared" si="44"/>
        <v>0</v>
      </c>
      <c r="BG22" s="4">
        <f t="shared" si="44"/>
        <v>0</v>
      </c>
      <c r="BH22" s="4">
        <f t="shared" si="45"/>
        <v>0</v>
      </c>
      <c r="BI22" s="4">
        <f t="shared" si="45"/>
        <v>0</v>
      </c>
      <c r="BJ22" s="4">
        <f t="shared" si="45"/>
        <v>0</v>
      </c>
      <c r="BK22" s="4">
        <f t="shared" si="45"/>
        <v>0</v>
      </c>
      <c r="BL22" s="4">
        <f t="shared" si="45"/>
        <v>0</v>
      </c>
      <c r="BM22" s="4">
        <f t="shared" si="45"/>
        <v>0</v>
      </c>
      <c r="BN22" s="4">
        <f t="shared" si="45"/>
        <v>0</v>
      </c>
    </row>
    <row r="23" spans="1:66" x14ac:dyDescent="0.2">
      <c r="A23" t="s">
        <v>37</v>
      </c>
      <c r="B23" t="s">
        <v>25</v>
      </c>
      <c r="D23">
        <f>H16/A31</f>
        <v>0</v>
      </c>
      <c r="G23" t="s">
        <v>77</v>
      </c>
      <c r="K23" t="s">
        <v>8</v>
      </c>
      <c r="Z23">
        <f t="shared" si="35"/>
        <v>0</v>
      </c>
      <c r="AA23">
        <f t="shared" si="36"/>
        <v>0</v>
      </c>
      <c r="AE23">
        <f t="shared" si="37"/>
        <v>1</v>
      </c>
      <c r="AF23">
        <f t="shared" si="38"/>
        <v>0</v>
      </c>
      <c r="AG23">
        <f t="shared" si="39"/>
        <v>0</v>
      </c>
      <c r="AK23">
        <f t="shared" si="40"/>
        <v>0</v>
      </c>
      <c r="AL23">
        <f t="shared" si="41"/>
        <v>0</v>
      </c>
      <c r="AM23">
        <f t="shared" si="42"/>
        <v>0</v>
      </c>
      <c r="AN23">
        <f t="shared" si="43"/>
        <v>0</v>
      </c>
      <c r="AP23">
        <f t="shared" si="46"/>
        <v>0</v>
      </c>
      <c r="AQ23" s="4">
        <f t="shared" si="47"/>
        <v>0</v>
      </c>
      <c r="AR23" s="4">
        <f t="shared" si="44"/>
        <v>0</v>
      </c>
      <c r="AS23" s="4">
        <f t="shared" si="44"/>
        <v>0</v>
      </c>
      <c r="AT23" s="4">
        <f t="shared" si="44"/>
        <v>0</v>
      </c>
      <c r="AU23" s="4">
        <f t="shared" si="44"/>
        <v>0</v>
      </c>
      <c r="AV23" s="4">
        <f t="shared" si="44"/>
        <v>0</v>
      </c>
      <c r="AW23" s="4">
        <f t="shared" si="44"/>
        <v>0</v>
      </c>
      <c r="AX23" s="4">
        <f t="shared" si="44"/>
        <v>0</v>
      </c>
      <c r="AY23" s="4">
        <f t="shared" si="44"/>
        <v>0</v>
      </c>
      <c r="AZ23" s="4">
        <f t="shared" si="44"/>
        <v>0</v>
      </c>
      <c r="BA23" s="4">
        <f t="shared" si="44"/>
        <v>0</v>
      </c>
      <c r="BB23" s="4">
        <f t="shared" si="44"/>
        <v>0</v>
      </c>
      <c r="BC23" s="4">
        <f t="shared" si="44"/>
        <v>0</v>
      </c>
      <c r="BD23" s="4">
        <f t="shared" si="44"/>
        <v>0</v>
      </c>
      <c r="BE23" s="4">
        <f t="shared" si="44"/>
        <v>0</v>
      </c>
      <c r="BF23" s="4">
        <f t="shared" si="44"/>
        <v>0</v>
      </c>
      <c r="BG23" s="4">
        <f t="shared" si="44"/>
        <v>0</v>
      </c>
      <c r="BH23" s="4">
        <f t="shared" si="45"/>
        <v>0</v>
      </c>
      <c r="BI23" s="4">
        <f t="shared" si="45"/>
        <v>0</v>
      </c>
      <c r="BJ23" s="4">
        <f t="shared" si="45"/>
        <v>0</v>
      </c>
      <c r="BK23" s="4">
        <f t="shared" si="45"/>
        <v>0</v>
      </c>
      <c r="BL23" s="4">
        <f t="shared" si="45"/>
        <v>0</v>
      </c>
      <c r="BM23" s="4">
        <f t="shared" si="45"/>
        <v>0</v>
      </c>
      <c r="BN23" s="4">
        <f t="shared" si="45"/>
        <v>0</v>
      </c>
    </row>
    <row r="24" spans="1:66" x14ac:dyDescent="0.2">
      <c r="A24" t="s">
        <v>38</v>
      </c>
      <c r="B24" t="s">
        <v>26</v>
      </c>
      <c r="D24" t="s">
        <v>50</v>
      </c>
      <c r="G24">
        <f>AM28/AP28</f>
        <v>0</v>
      </c>
      <c r="K24" t="s">
        <v>57</v>
      </c>
      <c r="L24" t="s">
        <v>61</v>
      </c>
      <c r="M24" t="s">
        <v>59</v>
      </c>
      <c r="N24" t="s">
        <v>60</v>
      </c>
      <c r="Z24">
        <f t="shared" si="35"/>
        <v>0</v>
      </c>
      <c r="AA24">
        <f t="shared" si="36"/>
        <v>0</v>
      </c>
      <c r="AE24">
        <f t="shared" si="37"/>
        <v>0</v>
      </c>
      <c r="AF24">
        <f t="shared" si="38"/>
        <v>0</v>
      </c>
      <c r="AG24">
        <f t="shared" si="39"/>
        <v>0</v>
      </c>
      <c r="AK24">
        <f t="shared" si="40"/>
        <v>0</v>
      </c>
      <c r="AL24">
        <f t="shared" si="41"/>
        <v>0</v>
      </c>
      <c r="AM24">
        <f t="shared" si="42"/>
        <v>0</v>
      </c>
      <c r="AN24">
        <f t="shared" si="43"/>
        <v>0</v>
      </c>
      <c r="AP24">
        <f t="shared" si="46"/>
        <v>0</v>
      </c>
      <c r="AQ24" s="4">
        <f t="shared" si="47"/>
        <v>0</v>
      </c>
      <c r="AR24" s="4">
        <f t="shared" si="44"/>
        <v>0</v>
      </c>
      <c r="AS24" s="4">
        <f t="shared" si="44"/>
        <v>0</v>
      </c>
      <c r="AT24" s="4">
        <f t="shared" si="44"/>
        <v>0</v>
      </c>
      <c r="AU24" s="4">
        <f t="shared" si="44"/>
        <v>0</v>
      </c>
      <c r="AV24" s="4">
        <f t="shared" si="44"/>
        <v>0</v>
      </c>
      <c r="AW24" s="4">
        <f t="shared" si="44"/>
        <v>0</v>
      </c>
      <c r="AX24" s="4">
        <f t="shared" si="44"/>
        <v>0</v>
      </c>
      <c r="AY24" s="4">
        <f t="shared" si="44"/>
        <v>0</v>
      </c>
      <c r="AZ24" s="4">
        <f t="shared" si="44"/>
        <v>0</v>
      </c>
      <c r="BA24" s="4">
        <f t="shared" si="44"/>
        <v>0</v>
      </c>
      <c r="BB24" s="4">
        <f t="shared" si="44"/>
        <v>0</v>
      </c>
      <c r="BC24" s="4">
        <f t="shared" si="44"/>
        <v>0</v>
      </c>
      <c r="BD24" s="4">
        <f t="shared" si="44"/>
        <v>0</v>
      </c>
      <c r="BE24" s="4">
        <f t="shared" si="44"/>
        <v>0</v>
      </c>
      <c r="BF24" s="4">
        <f t="shared" si="44"/>
        <v>0</v>
      </c>
      <c r="BG24" s="4">
        <f t="shared" si="44"/>
        <v>0</v>
      </c>
      <c r="BH24" s="4">
        <f t="shared" si="45"/>
        <v>0</v>
      </c>
      <c r="BI24" s="4">
        <f t="shared" si="45"/>
        <v>0</v>
      </c>
      <c r="BJ24" s="4">
        <f t="shared" si="45"/>
        <v>0</v>
      </c>
      <c r="BK24" s="4">
        <f t="shared" si="45"/>
        <v>0</v>
      </c>
      <c r="BL24" s="4">
        <f t="shared" si="45"/>
        <v>0</v>
      </c>
      <c r="BM24" s="4">
        <f t="shared" si="45"/>
        <v>0</v>
      </c>
      <c r="BN24" s="4">
        <f t="shared" si="45"/>
        <v>0</v>
      </c>
    </row>
    <row r="25" spans="1:66" x14ac:dyDescent="0.2">
      <c r="A25" t="s">
        <v>39</v>
      </c>
      <c r="B25" t="s">
        <v>27</v>
      </c>
      <c r="D25">
        <f>Z28/A31</f>
        <v>0</v>
      </c>
      <c r="G25" t="s">
        <v>78</v>
      </c>
      <c r="K25">
        <f>AVERAGE(E39:E50)</f>
        <v>0</v>
      </c>
      <c r="L25">
        <f>MEDIAN(E39:E50)</f>
        <v>0</v>
      </c>
      <c r="M25">
        <f>MAX(E39:E50)</f>
        <v>0</v>
      </c>
      <c r="N25">
        <f>_xlfn.STDEV.S(E39:E50)</f>
        <v>0</v>
      </c>
      <c r="Z25">
        <f t="shared" si="35"/>
        <v>0</v>
      </c>
      <c r="AA25">
        <f t="shared" si="36"/>
        <v>0</v>
      </c>
      <c r="AE25">
        <f t="shared" si="37"/>
        <v>0</v>
      </c>
      <c r="AF25">
        <f t="shared" si="38"/>
        <v>0</v>
      </c>
      <c r="AG25">
        <f t="shared" si="39"/>
        <v>0</v>
      </c>
      <c r="AK25">
        <f t="shared" si="40"/>
        <v>0</v>
      </c>
      <c r="AL25">
        <f t="shared" si="41"/>
        <v>0</v>
      </c>
      <c r="AM25">
        <f t="shared" si="42"/>
        <v>0</v>
      </c>
      <c r="AN25">
        <f t="shared" si="43"/>
        <v>0</v>
      </c>
      <c r="AP25">
        <f t="shared" si="46"/>
        <v>0</v>
      </c>
      <c r="AQ25" s="4">
        <f t="shared" si="47"/>
        <v>0</v>
      </c>
      <c r="AR25" s="4">
        <f t="shared" si="44"/>
        <v>0</v>
      </c>
      <c r="AS25" s="4">
        <f t="shared" si="44"/>
        <v>0</v>
      </c>
      <c r="AT25" s="4">
        <f t="shared" si="44"/>
        <v>0</v>
      </c>
      <c r="AU25" s="4">
        <f t="shared" si="44"/>
        <v>0</v>
      </c>
      <c r="AV25" s="4">
        <f t="shared" si="44"/>
        <v>0</v>
      </c>
      <c r="AW25" s="4">
        <f t="shared" si="44"/>
        <v>0</v>
      </c>
      <c r="AX25" s="4">
        <f t="shared" si="44"/>
        <v>0</v>
      </c>
      <c r="AY25" s="4">
        <f t="shared" si="44"/>
        <v>0</v>
      </c>
      <c r="AZ25" s="4">
        <f t="shared" si="44"/>
        <v>0</v>
      </c>
      <c r="BA25" s="4">
        <f t="shared" si="44"/>
        <v>0</v>
      </c>
      <c r="BB25" s="4">
        <f t="shared" si="44"/>
        <v>0</v>
      </c>
      <c r="BC25" s="4">
        <f t="shared" si="44"/>
        <v>0</v>
      </c>
      <c r="BD25" s="4">
        <f t="shared" si="44"/>
        <v>0</v>
      </c>
      <c r="BE25" s="4">
        <f t="shared" si="44"/>
        <v>0</v>
      </c>
      <c r="BF25" s="4">
        <f t="shared" si="44"/>
        <v>0</v>
      </c>
      <c r="BG25" s="4">
        <f t="shared" si="44"/>
        <v>0</v>
      </c>
      <c r="BH25" s="4">
        <f t="shared" si="45"/>
        <v>0</v>
      </c>
      <c r="BI25" s="4">
        <f t="shared" si="45"/>
        <v>0</v>
      </c>
      <c r="BJ25" s="4">
        <f t="shared" si="45"/>
        <v>0</v>
      </c>
      <c r="BK25" s="4">
        <f t="shared" si="45"/>
        <v>0</v>
      </c>
      <c r="BL25" s="4">
        <f t="shared" si="45"/>
        <v>0</v>
      </c>
      <c r="BM25" s="4">
        <f t="shared" si="45"/>
        <v>0</v>
      </c>
      <c r="BN25" s="4">
        <f t="shared" si="45"/>
        <v>0</v>
      </c>
    </row>
    <row r="26" spans="1:66" x14ac:dyDescent="0.2">
      <c r="A26" t="s">
        <v>44</v>
      </c>
      <c r="D26" t="s">
        <v>51</v>
      </c>
      <c r="G26">
        <f>AN28/AP28</f>
        <v>0</v>
      </c>
      <c r="K26" t="s">
        <v>62</v>
      </c>
      <c r="P26" t="s">
        <v>19</v>
      </c>
      <c r="Z26">
        <f t="shared" si="35"/>
        <v>0</v>
      </c>
      <c r="AA26">
        <f t="shared" si="36"/>
        <v>0</v>
      </c>
      <c r="AE26">
        <f t="shared" si="37"/>
        <v>0</v>
      </c>
      <c r="AF26">
        <f t="shared" si="38"/>
        <v>0</v>
      </c>
      <c r="AG26">
        <f t="shared" si="39"/>
        <v>0</v>
      </c>
      <c r="AK26">
        <f t="shared" si="40"/>
        <v>1</v>
      </c>
      <c r="AL26">
        <f t="shared" si="41"/>
        <v>0</v>
      </c>
      <c r="AM26">
        <f t="shared" si="42"/>
        <v>0</v>
      </c>
      <c r="AN26">
        <f t="shared" si="43"/>
        <v>0</v>
      </c>
      <c r="AP26">
        <f t="shared" si="46"/>
        <v>1</v>
      </c>
      <c r="AQ26" s="4">
        <f t="shared" si="47"/>
        <v>1</v>
      </c>
      <c r="AR26" s="4">
        <f t="shared" si="44"/>
        <v>0</v>
      </c>
      <c r="AS26" s="4">
        <f t="shared" si="44"/>
        <v>0</v>
      </c>
      <c r="AT26" s="4">
        <f t="shared" si="44"/>
        <v>0</v>
      </c>
      <c r="AU26" s="4">
        <f t="shared" si="44"/>
        <v>0</v>
      </c>
      <c r="AV26" s="4">
        <f t="shared" si="44"/>
        <v>0</v>
      </c>
      <c r="AW26" s="4">
        <f t="shared" si="44"/>
        <v>0</v>
      </c>
      <c r="AX26" s="4">
        <f t="shared" si="44"/>
        <v>0</v>
      </c>
      <c r="AY26" s="4">
        <f t="shared" si="44"/>
        <v>0</v>
      </c>
      <c r="AZ26" s="4">
        <f t="shared" si="44"/>
        <v>0</v>
      </c>
      <c r="BA26" s="4">
        <f t="shared" si="44"/>
        <v>0</v>
      </c>
      <c r="BB26" s="4">
        <f t="shared" si="44"/>
        <v>0</v>
      </c>
      <c r="BC26" s="4">
        <f t="shared" si="44"/>
        <v>0</v>
      </c>
      <c r="BD26" s="4">
        <f t="shared" si="44"/>
        <v>0</v>
      </c>
      <c r="BE26" s="4">
        <f t="shared" si="44"/>
        <v>0</v>
      </c>
      <c r="BF26" s="4">
        <f t="shared" si="44"/>
        <v>0</v>
      </c>
      <c r="BG26" s="4">
        <f t="shared" si="44"/>
        <v>0</v>
      </c>
      <c r="BH26" s="4">
        <f t="shared" si="45"/>
        <v>0</v>
      </c>
      <c r="BI26" s="4">
        <f t="shared" si="45"/>
        <v>0</v>
      </c>
      <c r="BJ26" s="4">
        <f t="shared" si="45"/>
        <v>0</v>
      </c>
      <c r="BK26" s="4">
        <f t="shared" si="45"/>
        <v>0</v>
      </c>
      <c r="BL26" s="4">
        <f t="shared" si="45"/>
        <v>0</v>
      </c>
      <c r="BM26" s="4">
        <f t="shared" si="45"/>
        <v>0</v>
      </c>
      <c r="BN26" s="4">
        <f t="shared" si="45"/>
        <v>0</v>
      </c>
    </row>
    <row r="27" spans="1:66" x14ac:dyDescent="0.2">
      <c r="A27" t="s">
        <v>45</v>
      </c>
      <c r="D27">
        <f>AA28/A31</f>
        <v>0</v>
      </c>
      <c r="G27" t="s">
        <v>56</v>
      </c>
      <c r="K27" t="s">
        <v>57</v>
      </c>
      <c r="L27" t="s">
        <v>58</v>
      </c>
      <c r="M27" t="s">
        <v>59</v>
      </c>
      <c r="N27" t="s">
        <v>60</v>
      </c>
      <c r="P27" t="s">
        <v>57</v>
      </c>
      <c r="Q27" t="s">
        <v>58</v>
      </c>
      <c r="R27" t="s">
        <v>59</v>
      </c>
      <c r="S27" t="s">
        <v>60</v>
      </c>
      <c r="Z27">
        <f t="shared" si="35"/>
        <v>0</v>
      </c>
      <c r="AA27">
        <f t="shared" si="36"/>
        <v>0</v>
      </c>
      <c r="AE27">
        <f t="shared" si="37"/>
        <v>0</v>
      </c>
      <c r="AF27">
        <f t="shared" si="38"/>
        <v>0</v>
      </c>
      <c r="AG27">
        <f t="shared" si="39"/>
        <v>0</v>
      </c>
      <c r="AK27">
        <f t="shared" si="40"/>
        <v>0</v>
      </c>
      <c r="AL27">
        <f t="shared" si="41"/>
        <v>0</v>
      </c>
      <c r="AM27">
        <f t="shared" si="42"/>
        <v>0</v>
      </c>
      <c r="AN27">
        <f t="shared" si="43"/>
        <v>0</v>
      </c>
      <c r="AP27">
        <f t="shared" si="46"/>
        <v>0</v>
      </c>
      <c r="AQ27" s="4">
        <f t="shared" si="47"/>
        <v>0</v>
      </c>
      <c r="AR27" s="4">
        <f t="shared" si="44"/>
        <v>0</v>
      </c>
      <c r="AS27" s="4">
        <f t="shared" si="44"/>
        <v>0</v>
      </c>
      <c r="AT27" s="4">
        <f t="shared" si="44"/>
        <v>0</v>
      </c>
      <c r="AU27" s="4">
        <f t="shared" si="44"/>
        <v>0</v>
      </c>
      <c r="AV27" s="4">
        <f t="shared" si="44"/>
        <v>0</v>
      </c>
      <c r="AW27" s="4">
        <f t="shared" si="44"/>
        <v>0</v>
      </c>
      <c r="AX27" s="4">
        <f t="shared" si="44"/>
        <v>0</v>
      </c>
      <c r="AY27" s="4">
        <f t="shared" si="44"/>
        <v>0</v>
      </c>
      <c r="AZ27" s="4">
        <f t="shared" si="44"/>
        <v>0</v>
      </c>
      <c r="BA27" s="4">
        <f t="shared" si="44"/>
        <v>0</v>
      </c>
      <c r="BB27" s="4">
        <f t="shared" si="44"/>
        <v>0</v>
      </c>
      <c r="BC27" s="4">
        <f t="shared" si="44"/>
        <v>0</v>
      </c>
      <c r="BD27" s="4">
        <f t="shared" si="44"/>
        <v>0</v>
      </c>
      <c r="BE27" s="4">
        <f t="shared" si="44"/>
        <v>0</v>
      </c>
      <c r="BF27" s="4">
        <f t="shared" si="44"/>
        <v>0</v>
      </c>
      <c r="BG27" s="4">
        <f t="shared" si="44"/>
        <v>0</v>
      </c>
      <c r="BH27" s="4">
        <f t="shared" si="45"/>
        <v>0</v>
      </c>
      <c r="BI27" s="4">
        <f t="shared" si="45"/>
        <v>0</v>
      </c>
      <c r="BJ27" s="4">
        <f t="shared" si="45"/>
        <v>0</v>
      </c>
      <c r="BK27" s="4">
        <f t="shared" si="45"/>
        <v>0</v>
      </c>
      <c r="BL27" s="4">
        <f t="shared" si="45"/>
        <v>0</v>
      </c>
      <c r="BM27" s="4">
        <f t="shared" si="45"/>
        <v>0</v>
      </c>
      <c r="BN27" s="4">
        <f t="shared" si="45"/>
        <v>0</v>
      </c>
    </row>
    <row r="28" spans="1:66" x14ac:dyDescent="0.2">
      <c r="A28" t="s">
        <v>46</v>
      </c>
      <c r="D28" t="s">
        <v>202</v>
      </c>
      <c r="G28" t="s">
        <v>57</v>
      </c>
      <c r="H28" t="s">
        <v>58</v>
      </c>
      <c r="I28" t="s">
        <v>59</v>
      </c>
      <c r="J28" t="s">
        <v>60</v>
      </c>
      <c r="K28">
        <f>AVERAGE(G39:G50)</f>
        <v>0</v>
      </c>
      <c r="L28">
        <f>MEDIAN(G39:G50)</f>
        <v>0</v>
      </c>
      <c r="M28">
        <f>MAX(G39:G50)</f>
        <v>0</v>
      </c>
      <c r="N28">
        <f>_xlfn.STDEV.S(G39:G50)</f>
        <v>0</v>
      </c>
      <c r="P28">
        <f>AVERAGE(N39:N50)</f>
        <v>3.0833333333333335</v>
      </c>
      <c r="Q28">
        <f>MEDIAN(N39:N50)</f>
        <v>0</v>
      </c>
      <c r="R28">
        <f>MAX(N39:N50)</f>
        <v>19</v>
      </c>
      <c r="S28">
        <f>_xlfn.STDEV.S(N39:N50)</f>
        <v>5.6962241614046141</v>
      </c>
      <c r="Y28" t="s">
        <v>33</v>
      </c>
      <c r="Z28">
        <f>SUM(Z16:Z27)</f>
        <v>0</v>
      </c>
      <c r="AA28">
        <f>SUM(AA16:AA27)</f>
        <v>0</v>
      </c>
      <c r="AE28">
        <f>SUM(AE16:AE27)</f>
        <v>1</v>
      </c>
      <c r="AF28">
        <f>SUM(AF16:AF27)</f>
        <v>0</v>
      </c>
      <c r="AG28">
        <f>SUM(AG16:AG27)</f>
        <v>0</v>
      </c>
      <c r="AK28">
        <f>SUM(AK16:AK27)</f>
        <v>1</v>
      </c>
      <c r="AL28">
        <f>SUM(AL16:AL27)</f>
        <v>0</v>
      </c>
      <c r="AM28">
        <f>SUM(AM16:AM27)</f>
        <v>0</v>
      </c>
      <c r="AN28">
        <f>SUM(AN16:AN27)</f>
        <v>0</v>
      </c>
      <c r="AP28">
        <f>SUM(AP16:AP27)</f>
        <v>1</v>
      </c>
    </row>
    <row r="29" spans="1:66" x14ac:dyDescent="0.2">
      <c r="D29">
        <f>SUM(O39:O50)/F16</f>
        <v>0.5</v>
      </c>
      <c r="G29">
        <f>AVERAGE(A39:A50)</f>
        <v>8.3333333333333329E-2</v>
      </c>
      <c r="H29">
        <f>MEDIAN(A39:A50)</f>
        <v>0</v>
      </c>
      <c r="I29">
        <f>MAX(A39:A50)</f>
        <v>1</v>
      </c>
      <c r="J29">
        <f>_xlfn.STDEV.S(A39:A50)</f>
        <v>0.28867513459481287</v>
      </c>
      <c r="K29" t="s">
        <v>63</v>
      </c>
      <c r="P29" t="s">
        <v>148</v>
      </c>
    </row>
    <row r="30" spans="1:66" x14ac:dyDescent="0.2">
      <c r="A30" t="s">
        <v>147</v>
      </c>
      <c r="D30" t="s">
        <v>203</v>
      </c>
      <c r="G30" t="s">
        <v>50</v>
      </c>
      <c r="H30" t="s">
        <v>51</v>
      </c>
      <c r="I30" t="s">
        <v>89</v>
      </c>
      <c r="K30" t="s">
        <v>57</v>
      </c>
      <c r="L30" t="s">
        <v>58</v>
      </c>
      <c r="M30" t="s">
        <v>59</v>
      </c>
      <c r="N30" t="s">
        <v>60</v>
      </c>
      <c r="P30" t="s">
        <v>57</v>
      </c>
      <c r="Q30" t="s">
        <v>58</v>
      </c>
      <c r="R30" t="s">
        <v>59</v>
      </c>
      <c r="S30" t="s">
        <v>60</v>
      </c>
      <c r="W30" t="s">
        <v>148</v>
      </c>
      <c r="Y30" t="s">
        <v>149</v>
      </c>
      <c r="AH30" t="s">
        <v>79</v>
      </c>
    </row>
    <row r="31" spans="1:66" x14ac:dyDescent="0.2">
      <c r="A31">
        <f>COUNT(B4:B15)</f>
        <v>12</v>
      </c>
      <c r="D31" s="2">
        <f>SUM(S39:S50)/SUM(Q39:Q50)</f>
        <v>0</v>
      </c>
      <c r="G31">
        <f>AE28/A31</f>
        <v>8.3333333333333329E-2</v>
      </c>
      <c r="H31">
        <f>AF28/A31</f>
        <v>0</v>
      </c>
      <c r="I31">
        <f>AG28/A31</f>
        <v>0</v>
      </c>
      <c r="K31" t="e">
        <f>AVERAGE(I39:I50)</f>
        <v>#DIV/0!</v>
      </c>
      <c r="L31" t="e">
        <f>MEDIAN(I39:I50)</f>
        <v>#NUM!</v>
      </c>
      <c r="M31">
        <f>MAX(I39:I50)</f>
        <v>0</v>
      </c>
      <c r="N31" t="e">
        <f>_xlfn.STDEV.S(I39:I50)</f>
        <v>#DIV/0!</v>
      </c>
      <c r="P31" t="e">
        <f>AVERAGE(W31:W42)</f>
        <v>#DIV/0!</v>
      </c>
      <c r="Q31" t="e">
        <f>MEDIAN(W31:W42)</f>
        <v>#NUM!</v>
      </c>
      <c r="R31">
        <f>MAX(W31:W42)</f>
        <v>0</v>
      </c>
      <c r="S31" t="e">
        <f>_xlfn.STDEV.S(W31:W42)</f>
        <v>#DIV/0!</v>
      </c>
      <c r="W31" t="str">
        <f t="shared" ref="W31:W33" si="48">IF(AND(ISBLANK(Q4), ISBLANK(R4), ISBLANK(G4), ISBLANK(H4)), "", U4)</f>
        <v/>
      </c>
      <c r="Y31" t="str">
        <f t="shared" ref="Y31:Y42" si="49">IF(ISBLANK(Y4), IF(X4 = 0, "", (G4 + H4/3 + V4/9 + W4/3)), U4)</f>
        <v/>
      </c>
      <c r="AH31" t="s">
        <v>80</v>
      </c>
    </row>
    <row r="32" spans="1:66" x14ac:dyDescent="0.2">
      <c r="A32" t="s">
        <v>272</v>
      </c>
      <c r="D32" s="3"/>
      <c r="K32" t="s">
        <v>64</v>
      </c>
      <c r="P32" t="s">
        <v>149</v>
      </c>
      <c r="W32" t="str">
        <f t="shared" si="48"/>
        <v/>
      </c>
      <c r="Y32" t="str">
        <f t="shared" si="49"/>
        <v/>
      </c>
      <c r="AH32" t="s">
        <v>81</v>
      </c>
    </row>
    <row r="33" spans="1:34" x14ac:dyDescent="0.2">
      <c r="D33" s="3"/>
      <c r="K33" t="s">
        <v>57</v>
      </c>
      <c r="L33" t="s">
        <v>58</v>
      </c>
      <c r="M33" t="s">
        <v>59</v>
      </c>
      <c r="N33" t="s">
        <v>60</v>
      </c>
      <c r="P33" t="s">
        <v>57</v>
      </c>
      <c r="Q33" t="s">
        <v>58</v>
      </c>
      <c r="R33" t="s">
        <v>59</v>
      </c>
      <c r="S33" t="s">
        <v>60</v>
      </c>
      <c r="W33" t="str">
        <f t="shared" si="48"/>
        <v/>
      </c>
      <c r="Y33" t="str">
        <f t="shared" si="49"/>
        <v/>
      </c>
      <c r="AH33" t="s">
        <v>82</v>
      </c>
    </row>
    <row r="34" spans="1:34" x14ac:dyDescent="0.2">
      <c r="D34" s="3"/>
      <c r="K34">
        <f>AVERAGE(K39:K50)</f>
        <v>0</v>
      </c>
      <c r="L34">
        <f>MEDIAN(K39:K50)</f>
        <v>0</v>
      </c>
      <c r="M34">
        <f>MAX(K39:K50)</f>
        <v>0</v>
      </c>
      <c r="N34">
        <f>_xlfn.STDEV.S(K39:K50)</f>
        <v>0</v>
      </c>
      <c r="P34" t="e">
        <f>AVERAGE(Y31:Y42)</f>
        <v>#DIV/0!</v>
      </c>
      <c r="Q34" t="e">
        <f>MEDIAN(Y31:Y42)</f>
        <v>#NUM!</v>
      </c>
      <c r="R34">
        <f>MAX(Y31:Y42)</f>
        <v>0</v>
      </c>
      <c r="S34" t="e">
        <f>_xlfn.STDEV.S(Y31:Y42)</f>
        <v>#DIV/0!</v>
      </c>
      <c r="W34" t="str">
        <f>IF(AND(ISBLANK(Q7), ISBLANK(R7), ISBLANK(G7), ISBLANK(H7)), "", U7)</f>
        <v/>
      </c>
      <c r="Y34" t="str">
        <f t="shared" si="49"/>
        <v/>
      </c>
      <c r="AH34" t="s">
        <v>83</v>
      </c>
    </row>
    <row r="35" spans="1:34" x14ac:dyDescent="0.2">
      <c r="P35" t="s">
        <v>95</v>
      </c>
      <c r="R35" t="s">
        <v>197</v>
      </c>
      <c r="W35" t="str">
        <f t="shared" ref="W35:W42" si="50">IF(AND(ISBLANK(Q8), ISBLANK(R8), ISBLANK(G8), ISBLANK(H8)), "", U8)</f>
        <v/>
      </c>
      <c r="Y35" t="str">
        <f t="shared" si="49"/>
        <v/>
      </c>
    </row>
    <row r="36" spans="1:34" x14ac:dyDescent="0.2">
      <c r="P36" t="e">
        <f>Q16/(Q16+R16)</f>
        <v>#DIV/0!</v>
      </c>
      <c r="R36" t="e">
        <f>R16/(Q16+R16)</f>
        <v>#DIV/0!</v>
      </c>
      <c r="W36" t="str">
        <f t="shared" si="50"/>
        <v/>
      </c>
      <c r="Y36" t="str">
        <f t="shared" si="49"/>
        <v/>
      </c>
    </row>
    <row r="37" spans="1:34" x14ac:dyDescent="0.2">
      <c r="W37" t="str">
        <f t="shared" si="50"/>
        <v/>
      </c>
      <c r="Y37" t="str">
        <f t="shared" si="49"/>
        <v/>
      </c>
    </row>
    <row r="38" spans="1:34" x14ac:dyDescent="0.2">
      <c r="A38" t="s">
        <v>68</v>
      </c>
      <c r="C38" t="s">
        <v>69</v>
      </c>
      <c r="E38" t="s">
        <v>72</v>
      </c>
      <c r="G38" t="s">
        <v>250</v>
      </c>
      <c r="K38" t="s">
        <v>73</v>
      </c>
      <c r="M38" t="s">
        <v>70</v>
      </c>
      <c r="N38" t="s">
        <v>71</v>
      </c>
      <c r="O38" t="s">
        <v>199</v>
      </c>
      <c r="Q38" t="s">
        <v>200</v>
      </c>
      <c r="S38" t="s">
        <v>201</v>
      </c>
      <c r="W38" t="str">
        <f t="shared" si="50"/>
        <v/>
      </c>
      <c r="Y38" t="str">
        <f t="shared" si="49"/>
        <v/>
      </c>
    </row>
    <row r="39" spans="1:34" x14ac:dyDescent="0.2">
      <c r="A39">
        <f t="shared" ref="A39:A50" si="51">IF(ISBLANK(B4), "", SUM(AE16+AF16+AG16))</f>
        <v>0</v>
      </c>
      <c r="C39">
        <f t="shared" ref="C39:C50" si="52">IF(ISBLANK(B4), "", O4)</f>
        <v>4</v>
      </c>
      <c r="E39">
        <f t="shared" ref="E39:E50" si="53">IF(ISBLANK(B4), "", Q4)</f>
        <v>0</v>
      </c>
      <c r="G39">
        <f t="shared" ref="G39:G50" si="54">IF(ISBLANK(B4), "", R4)</f>
        <v>0</v>
      </c>
      <c r="K39">
        <f t="shared" ref="K39:K50" si="55">IF(ISBLANK(B4), "", SUM(Q4 + R4))</f>
        <v>0</v>
      </c>
      <c r="M39">
        <f t="shared" ref="M39:M50" si="56">IF(ISBLANK(B4), "", SUM(K4+M4) - O4)</f>
        <v>0</v>
      </c>
      <c r="N39">
        <f t="shared" ref="N39:N50" si="57">IF(ISBLANK(B4), "", U4)</f>
        <v>0</v>
      </c>
      <c r="O39">
        <f t="shared" ref="O39:O50" si="58">COUNTIF(E4, "1")*COUNTIF(F4, "1")</f>
        <v>0</v>
      </c>
      <c r="Q39">
        <f t="shared" ref="Q39:Q50" si="59">COUNTIF(D4, "1")*COUNTIF(F4, "")</f>
        <v>1</v>
      </c>
      <c r="S39">
        <f t="shared" ref="S39:S50" si="60">COUNTIF(E4, "1")*COUNTIF(F4, "")</f>
        <v>0</v>
      </c>
      <c r="W39" t="str">
        <f t="shared" si="50"/>
        <v/>
      </c>
      <c r="Y39" t="str">
        <f t="shared" si="49"/>
        <v/>
      </c>
    </row>
    <row r="40" spans="1:34" x14ac:dyDescent="0.2">
      <c r="A40">
        <f t="shared" si="51"/>
        <v>0</v>
      </c>
      <c r="C40">
        <f t="shared" si="52"/>
        <v>0</v>
      </c>
      <c r="E40">
        <f t="shared" si="53"/>
        <v>0</v>
      </c>
      <c r="G40">
        <f t="shared" si="54"/>
        <v>0</v>
      </c>
      <c r="K40">
        <f t="shared" si="55"/>
        <v>0</v>
      </c>
      <c r="M40">
        <f t="shared" si="56"/>
        <v>0</v>
      </c>
      <c r="N40">
        <f t="shared" si="57"/>
        <v>1</v>
      </c>
      <c r="O40">
        <f t="shared" si="58"/>
        <v>0</v>
      </c>
      <c r="Q40">
        <f t="shared" si="59"/>
        <v>1</v>
      </c>
      <c r="S40">
        <f t="shared" si="60"/>
        <v>0</v>
      </c>
      <c r="W40" t="str">
        <f t="shared" si="50"/>
        <v/>
      </c>
      <c r="Y40" t="str">
        <f t="shared" si="49"/>
        <v/>
      </c>
    </row>
    <row r="41" spans="1:34" x14ac:dyDescent="0.2">
      <c r="A41">
        <f t="shared" si="51"/>
        <v>0</v>
      </c>
      <c r="C41">
        <f t="shared" si="52"/>
        <v>3</v>
      </c>
      <c r="E41">
        <f t="shared" si="53"/>
        <v>0</v>
      </c>
      <c r="G41">
        <f t="shared" si="54"/>
        <v>0</v>
      </c>
      <c r="K41">
        <f t="shared" si="55"/>
        <v>0</v>
      </c>
      <c r="M41">
        <f t="shared" si="56"/>
        <v>1</v>
      </c>
      <c r="N41">
        <f t="shared" si="57"/>
        <v>8</v>
      </c>
      <c r="O41">
        <f t="shared" si="58"/>
        <v>0</v>
      </c>
      <c r="Q41">
        <f t="shared" si="59"/>
        <v>1</v>
      </c>
      <c r="S41">
        <f t="shared" si="60"/>
        <v>0</v>
      </c>
      <c r="W41" t="str">
        <f t="shared" si="50"/>
        <v/>
      </c>
      <c r="Y41" t="str">
        <f t="shared" si="49"/>
        <v/>
      </c>
    </row>
    <row r="42" spans="1:34" x14ac:dyDescent="0.2">
      <c r="A42">
        <f t="shared" si="51"/>
        <v>0</v>
      </c>
      <c r="C42">
        <f t="shared" si="52"/>
        <v>3</v>
      </c>
      <c r="E42">
        <f t="shared" si="53"/>
        <v>0</v>
      </c>
      <c r="G42">
        <f t="shared" si="54"/>
        <v>0</v>
      </c>
      <c r="K42">
        <f t="shared" si="55"/>
        <v>0</v>
      </c>
      <c r="M42">
        <f t="shared" si="56"/>
        <v>0</v>
      </c>
      <c r="N42">
        <f t="shared" si="57"/>
        <v>6</v>
      </c>
      <c r="O42">
        <f t="shared" si="58"/>
        <v>0</v>
      </c>
      <c r="Q42">
        <f t="shared" si="59"/>
        <v>0</v>
      </c>
      <c r="S42">
        <f t="shared" si="60"/>
        <v>0</v>
      </c>
      <c r="W42" t="str">
        <f t="shared" si="50"/>
        <v/>
      </c>
      <c r="Y42" t="str">
        <f t="shared" si="49"/>
        <v/>
      </c>
    </row>
    <row r="43" spans="1:34" x14ac:dyDescent="0.2">
      <c r="A43">
        <f t="shared" si="51"/>
        <v>0</v>
      </c>
      <c r="C43">
        <f t="shared" si="52"/>
        <v>2</v>
      </c>
      <c r="E43">
        <f t="shared" si="53"/>
        <v>0</v>
      </c>
      <c r="G43">
        <f t="shared" si="54"/>
        <v>0</v>
      </c>
      <c r="K43">
        <f t="shared" si="55"/>
        <v>0</v>
      </c>
      <c r="M43">
        <f t="shared" si="56"/>
        <v>0</v>
      </c>
      <c r="N43">
        <f t="shared" si="57"/>
        <v>0</v>
      </c>
      <c r="O43">
        <f t="shared" si="58"/>
        <v>0</v>
      </c>
      <c r="Q43">
        <f t="shared" si="59"/>
        <v>0</v>
      </c>
      <c r="S43">
        <f t="shared" si="60"/>
        <v>0</v>
      </c>
    </row>
    <row r="44" spans="1:34" x14ac:dyDescent="0.2">
      <c r="A44">
        <f t="shared" si="51"/>
        <v>0</v>
      </c>
      <c r="C44">
        <f t="shared" si="52"/>
        <v>1</v>
      </c>
      <c r="E44">
        <f t="shared" si="53"/>
        <v>0</v>
      </c>
      <c r="G44">
        <f t="shared" si="54"/>
        <v>0</v>
      </c>
      <c r="K44">
        <f t="shared" si="55"/>
        <v>0</v>
      </c>
      <c r="M44">
        <f t="shared" si="56"/>
        <v>0</v>
      </c>
      <c r="N44">
        <f t="shared" si="57"/>
        <v>0</v>
      </c>
      <c r="O44">
        <f t="shared" si="58"/>
        <v>0</v>
      </c>
      <c r="Q44">
        <f t="shared" si="59"/>
        <v>0</v>
      </c>
      <c r="S44">
        <f t="shared" si="60"/>
        <v>0</v>
      </c>
    </row>
    <row r="45" spans="1:34" x14ac:dyDescent="0.2">
      <c r="A45">
        <f t="shared" si="51"/>
        <v>0</v>
      </c>
      <c r="C45">
        <f t="shared" si="52"/>
        <v>3</v>
      </c>
      <c r="E45">
        <f t="shared" si="53"/>
        <v>0</v>
      </c>
      <c r="G45">
        <f t="shared" si="54"/>
        <v>0</v>
      </c>
      <c r="K45">
        <f t="shared" si="55"/>
        <v>0</v>
      </c>
      <c r="M45">
        <f t="shared" si="56"/>
        <v>0</v>
      </c>
      <c r="N45">
        <f t="shared" si="57"/>
        <v>19</v>
      </c>
      <c r="O45">
        <f t="shared" si="58"/>
        <v>0</v>
      </c>
      <c r="Q45">
        <f t="shared" si="59"/>
        <v>1</v>
      </c>
      <c r="S45">
        <f t="shared" si="60"/>
        <v>0</v>
      </c>
    </row>
    <row r="46" spans="1:34" x14ac:dyDescent="0.2">
      <c r="A46">
        <f t="shared" si="51"/>
        <v>1</v>
      </c>
      <c r="C46">
        <f t="shared" si="52"/>
        <v>2</v>
      </c>
      <c r="E46">
        <f t="shared" si="53"/>
        <v>0</v>
      </c>
      <c r="G46">
        <f t="shared" si="54"/>
        <v>0</v>
      </c>
      <c r="K46">
        <f t="shared" si="55"/>
        <v>0</v>
      </c>
      <c r="M46">
        <f t="shared" si="56"/>
        <v>1</v>
      </c>
      <c r="N46">
        <f t="shared" si="57"/>
        <v>0</v>
      </c>
      <c r="O46">
        <f t="shared" si="58"/>
        <v>0</v>
      </c>
      <c r="Q46">
        <f t="shared" si="59"/>
        <v>0</v>
      </c>
      <c r="S46">
        <f t="shared" si="60"/>
        <v>0</v>
      </c>
    </row>
    <row r="47" spans="1:34" x14ac:dyDescent="0.2">
      <c r="A47">
        <f t="shared" si="51"/>
        <v>0</v>
      </c>
      <c r="C47">
        <f t="shared" si="52"/>
        <v>3</v>
      </c>
      <c r="E47">
        <f t="shared" si="53"/>
        <v>0</v>
      </c>
      <c r="G47">
        <f t="shared" si="54"/>
        <v>0</v>
      </c>
      <c r="K47">
        <f t="shared" si="55"/>
        <v>0</v>
      </c>
      <c r="M47">
        <f t="shared" si="56"/>
        <v>0</v>
      </c>
      <c r="N47">
        <f t="shared" si="57"/>
        <v>0</v>
      </c>
      <c r="O47">
        <f t="shared" si="58"/>
        <v>1</v>
      </c>
      <c r="Q47">
        <f t="shared" si="59"/>
        <v>0</v>
      </c>
      <c r="S47">
        <f t="shared" si="60"/>
        <v>0</v>
      </c>
    </row>
    <row r="48" spans="1:34" x14ac:dyDescent="0.2">
      <c r="A48">
        <f t="shared" si="51"/>
        <v>0</v>
      </c>
      <c r="C48">
        <f t="shared" si="52"/>
        <v>4</v>
      </c>
      <c r="E48">
        <f t="shared" si="53"/>
        <v>0</v>
      </c>
      <c r="G48">
        <f t="shared" si="54"/>
        <v>0</v>
      </c>
      <c r="K48">
        <f t="shared" si="55"/>
        <v>0</v>
      </c>
      <c r="M48">
        <f t="shared" si="56"/>
        <v>0</v>
      </c>
      <c r="N48">
        <f t="shared" si="57"/>
        <v>0</v>
      </c>
      <c r="O48">
        <f t="shared" si="58"/>
        <v>1</v>
      </c>
      <c r="Q48">
        <f t="shared" si="59"/>
        <v>0</v>
      </c>
      <c r="S48">
        <f t="shared" si="60"/>
        <v>0</v>
      </c>
    </row>
    <row r="49" spans="1:19" x14ac:dyDescent="0.2">
      <c r="A49">
        <f t="shared" si="51"/>
        <v>0</v>
      </c>
      <c r="C49">
        <f t="shared" si="52"/>
        <v>2</v>
      </c>
      <c r="E49">
        <f t="shared" si="53"/>
        <v>0</v>
      </c>
      <c r="G49">
        <f t="shared" si="54"/>
        <v>0</v>
      </c>
      <c r="K49">
        <f t="shared" si="55"/>
        <v>0</v>
      </c>
      <c r="M49">
        <f t="shared" si="56"/>
        <v>0</v>
      </c>
      <c r="N49">
        <f t="shared" si="57"/>
        <v>3</v>
      </c>
      <c r="O49">
        <f t="shared" si="58"/>
        <v>0</v>
      </c>
      <c r="Q49">
        <f t="shared" si="59"/>
        <v>0</v>
      </c>
      <c r="S49">
        <f t="shared" si="60"/>
        <v>0</v>
      </c>
    </row>
    <row r="50" spans="1:19" x14ac:dyDescent="0.2">
      <c r="A50">
        <f t="shared" si="51"/>
        <v>0</v>
      </c>
      <c r="C50">
        <f t="shared" si="52"/>
        <v>3</v>
      </c>
      <c r="E50">
        <f t="shared" si="53"/>
        <v>0</v>
      </c>
      <c r="G50">
        <f t="shared" si="54"/>
        <v>0</v>
      </c>
      <c r="K50">
        <f t="shared" si="55"/>
        <v>0</v>
      </c>
      <c r="M50">
        <f t="shared" si="56"/>
        <v>-1</v>
      </c>
      <c r="N50">
        <f t="shared" si="57"/>
        <v>0</v>
      </c>
      <c r="O50">
        <f t="shared" si="58"/>
        <v>0</v>
      </c>
      <c r="Q50">
        <f t="shared" si="59"/>
        <v>0</v>
      </c>
      <c r="S50">
        <f t="shared" si="60"/>
        <v>0</v>
      </c>
    </row>
  </sheetData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 enableFormatConditionsCalculation="0"/>
  <dimension ref="A1:BN50"/>
  <sheetViews>
    <sheetView topLeftCell="D1" workbookViewId="0">
      <selection activeCell="H15" sqref="H15"/>
    </sheetView>
  </sheetViews>
  <sheetFormatPr baseColWidth="10" defaultColWidth="11.5" defaultRowHeight="15" x14ac:dyDescent="0.2"/>
  <sheetData>
    <row r="1" spans="1:66" x14ac:dyDescent="0.2">
      <c r="A1" s="1" t="s">
        <v>0</v>
      </c>
      <c r="D1" t="s">
        <v>3</v>
      </c>
      <c r="K1" t="s">
        <v>11</v>
      </c>
      <c r="N1" t="s">
        <v>12</v>
      </c>
      <c r="P1" t="s">
        <v>14</v>
      </c>
      <c r="Q1" t="s">
        <v>17</v>
      </c>
      <c r="S1" t="s">
        <v>18</v>
      </c>
      <c r="Z1" t="s">
        <v>29</v>
      </c>
      <c r="AE1" t="s">
        <v>30</v>
      </c>
      <c r="AK1" t="s">
        <v>42</v>
      </c>
    </row>
    <row r="2" spans="1:66" x14ac:dyDescent="0.2">
      <c r="A2" t="s">
        <v>1</v>
      </c>
      <c r="B2" t="s">
        <v>1</v>
      </c>
      <c r="C2" t="s">
        <v>87</v>
      </c>
      <c r="D2" t="s">
        <v>54</v>
      </c>
      <c r="E2" t="s">
        <v>13</v>
      </c>
      <c r="F2" t="s">
        <v>198</v>
      </c>
      <c r="G2" t="s">
        <v>7</v>
      </c>
      <c r="H2" t="s">
        <v>8</v>
      </c>
      <c r="I2" t="s">
        <v>179</v>
      </c>
      <c r="J2" t="s">
        <v>178</v>
      </c>
      <c r="K2" t="s">
        <v>9</v>
      </c>
      <c r="L2" t="s">
        <v>196</v>
      </c>
      <c r="M2" t="s">
        <v>10</v>
      </c>
      <c r="N2" t="s">
        <v>54</v>
      </c>
      <c r="O2" t="s">
        <v>13</v>
      </c>
      <c r="P2" t="s">
        <v>15</v>
      </c>
      <c r="Q2" t="s">
        <v>8</v>
      </c>
      <c r="R2" t="s">
        <v>7</v>
      </c>
      <c r="S2" t="s">
        <v>181</v>
      </c>
      <c r="T2" t="s">
        <v>182</v>
      </c>
      <c r="U2" t="s">
        <v>19</v>
      </c>
      <c r="V2" t="s">
        <v>191</v>
      </c>
      <c r="W2" t="s">
        <v>192</v>
      </c>
      <c r="X2" t="s">
        <v>175</v>
      </c>
      <c r="Y2" t="s">
        <v>173</v>
      </c>
      <c r="Z2" t="str">
        <f t="shared" ref="Z2:Z13" si="0">LEFT(I4, 1)</f>
        <v/>
      </c>
      <c r="AA2" t="str">
        <f t="shared" ref="AA2:AA13" si="1">MID(I4, 4, 1)</f>
        <v/>
      </c>
      <c r="AB2" t="str">
        <f t="shared" ref="AB2:AB13" si="2">MID(I4, 7, 1)</f>
        <v/>
      </c>
      <c r="AC2" t="str">
        <f t="shared" ref="AC2:AC13" si="3">MID(I4, 10, 1)</f>
        <v/>
      </c>
      <c r="AE2" t="str">
        <f t="shared" ref="AE2:AE13" si="4">LEFT(J4, 1)</f>
        <v/>
      </c>
      <c r="AF2" t="str">
        <f t="shared" ref="AF2:AF13" si="5">MID(J4, 4, 1)</f>
        <v/>
      </c>
      <c r="AG2" t="str">
        <f t="shared" ref="AG2:AG13" si="6">MID(J4, 7, 1)</f>
        <v/>
      </c>
      <c r="AH2" t="str">
        <f t="shared" ref="AH2:AH13" si="7">MID(J4, 10, 1)</f>
        <v/>
      </c>
      <c r="AI2" t="str">
        <f t="shared" ref="AI2:AI13" si="8">MID(J4, 13, 1)</f>
        <v/>
      </c>
      <c r="AK2" t="str">
        <f t="shared" ref="AK2:AK13" si="9">LEFT(P4, 2)</f>
        <v/>
      </c>
      <c r="AL2" t="str">
        <f>MID($P4, 5, 2)</f>
        <v/>
      </c>
      <c r="AM2" t="str">
        <f t="shared" ref="AM2:AM13" si="10">MID($P4, 9, 2)</f>
        <v/>
      </c>
      <c r="AN2" t="str">
        <f t="shared" ref="AN2:AN13" si="11">MID($P4, 13, 2)</f>
        <v/>
      </c>
      <c r="AO2" t="str">
        <f t="shared" ref="AO2:AO13" si="12">MID($P4, 17, 2)</f>
        <v/>
      </c>
      <c r="AP2" t="str">
        <f t="shared" ref="AP2:AP13" si="13">MID($P4, 21, 2)</f>
        <v/>
      </c>
      <c r="AQ2" t="str">
        <f t="shared" ref="AQ2:AQ13" si="14">MID($P4, 25, 2)</f>
        <v/>
      </c>
      <c r="AR2" t="str">
        <f t="shared" ref="AR2:AR13" si="15">MID($P4, 29, 2)</f>
        <v/>
      </c>
      <c r="AS2" t="str">
        <f t="shared" ref="AS2:AS13" si="16">MID($P4, 33, 2)</f>
        <v/>
      </c>
      <c r="AT2" t="str">
        <f t="shared" ref="AT2:AT13" si="17">MID($P4, 37, 2)</f>
        <v/>
      </c>
      <c r="AU2" t="str">
        <f t="shared" ref="AU2:AU13" si="18">MID($P4, 41, 2)</f>
        <v/>
      </c>
      <c r="AV2" t="str">
        <f t="shared" ref="AV2:AV13" si="19">MID($P4, 45, 2)</f>
        <v/>
      </c>
      <c r="AW2" t="str">
        <f t="shared" ref="AW2:AW13" si="20">MID($P4, 49, 2)</f>
        <v/>
      </c>
      <c r="AX2" t="str">
        <f t="shared" ref="AX2:AX13" si="21">MID($P4, 53, 2)</f>
        <v/>
      </c>
      <c r="AY2" t="str">
        <f t="shared" ref="AY2:AY13" si="22">MID($P4, 57, 2)</f>
        <v/>
      </c>
      <c r="AZ2" t="str">
        <f t="shared" ref="AZ2:AZ13" si="23">MID($P4, 61, 2)</f>
        <v/>
      </c>
      <c r="BA2" t="str">
        <f t="shared" ref="BA2:BA13" si="24">MID($P4, 65, 2)</f>
        <v/>
      </c>
      <c r="BB2" t="str">
        <f t="shared" ref="BB2:BB13" si="25">MID($P4, 69, 2)</f>
        <v/>
      </c>
      <c r="BC2" t="str">
        <f t="shared" ref="BC2:BC13" si="26">MID($P4, 73, 2)</f>
        <v/>
      </c>
      <c r="BD2" t="str">
        <f t="shared" ref="BD2:BD13" si="27">MID($P4, 77, 2)</f>
        <v/>
      </c>
      <c r="BE2" t="str">
        <f t="shared" ref="BE2:BE13" si="28">MID($P4, 81, 2)</f>
        <v/>
      </c>
      <c r="BF2" t="str">
        <f t="shared" ref="BF2:BF13" si="29">MID($P4, 85, 2)</f>
        <v/>
      </c>
      <c r="BG2" t="str">
        <f t="shared" ref="BG2:BG13" si="30">MID($P4, 89, 2)</f>
        <v/>
      </c>
      <c r="BH2" t="str">
        <f t="shared" ref="BH2:BH13" si="31">MID($P4, 93, 2)</f>
        <v/>
      </c>
    </row>
    <row r="3" spans="1:66" x14ac:dyDescent="0.2">
      <c r="A3" t="s">
        <v>2</v>
      </c>
      <c r="B3" t="s">
        <v>6</v>
      </c>
      <c r="C3" t="s">
        <v>88</v>
      </c>
      <c r="D3" t="s">
        <v>6</v>
      </c>
      <c r="E3" t="s">
        <v>6</v>
      </c>
      <c r="F3" t="s">
        <v>4</v>
      </c>
      <c r="G3" t="s">
        <v>6</v>
      </c>
      <c r="H3" t="s">
        <v>6</v>
      </c>
      <c r="I3" t="s">
        <v>86</v>
      </c>
      <c r="J3" t="s">
        <v>86</v>
      </c>
      <c r="K3" t="s">
        <v>6</v>
      </c>
      <c r="L3" t="s">
        <v>6</v>
      </c>
      <c r="M3" t="s">
        <v>6</v>
      </c>
      <c r="N3" t="s">
        <v>6</v>
      </c>
      <c r="O3" t="s">
        <v>6</v>
      </c>
      <c r="P3" t="s">
        <v>16</v>
      </c>
      <c r="Q3" t="s">
        <v>6</v>
      </c>
      <c r="R3" t="s">
        <v>6</v>
      </c>
      <c r="S3" t="s">
        <v>4</v>
      </c>
      <c r="T3" t="s">
        <v>4</v>
      </c>
      <c r="U3" t="s">
        <v>6</v>
      </c>
      <c r="V3" t="s">
        <v>6</v>
      </c>
      <c r="W3" t="s">
        <v>6</v>
      </c>
      <c r="X3" t="s">
        <v>6</v>
      </c>
      <c r="Y3" t="s">
        <v>174</v>
      </c>
      <c r="Z3" t="str">
        <f t="shared" si="0"/>
        <v/>
      </c>
      <c r="AA3" t="str">
        <f t="shared" si="1"/>
        <v/>
      </c>
      <c r="AB3" t="str">
        <f t="shared" si="2"/>
        <v/>
      </c>
      <c r="AC3" t="str">
        <f t="shared" si="3"/>
        <v/>
      </c>
      <c r="AE3" t="str">
        <f t="shared" si="4"/>
        <v/>
      </c>
      <c r="AF3" t="str">
        <f t="shared" si="5"/>
        <v/>
      </c>
      <c r="AG3" t="str">
        <f t="shared" si="6"/>
        <v/>
      </c>
      <c r="AH3" t="str">
        <f t="shared" si="7"/>
        <v/>
      </c>
      <c r="AI3" t="str">
        <f t="shared" si="8"/>
        <v/>
      </c>
      <c r="AK3" t="str">
        <f t="shared" si="9"/>
        <v/>
      </c>
      <c r="AL3" t="str">
        <f t="shared" ref="AL3:AL13" si="32">MID(P5, 5, 2)</f>
        <v/>
      </c>
      <c r="AM3" t="str">
        <f t="shared" si="10"/>
        <v/>
      </c>
      <c r="AN3" t="str">
        <f t="shared" si="11"/>
        <v/>
      </c>
      <c r="AO3" t="str">
        <f t="shared" si="12"/>
        <v/>
      </c>
      <c r="AP3" t="str">
        <f t="shared" si="13"/>
        <v/>
      </c>
      <c r="AQ3" t="str">
        <f t="shared" si="14"/>
        <v/>
      </c>
      <c r="AR3" t="str">
        <f t="shared" si="15"/>
        <v/>
      </c>
      <c r="AS3" t="str">
        <f t="shared" si="16"/>
        <v/>
      </c>
      <c r="AT3" t="str">
        <f t="shared" si="17"/>
        <v/>
      </c>
      <c r="AU3" t="str">
        <f t="shared" si="18"/>
        <v/>
      </c>
      <c r="AV3" t="str">
        <f t="shared" si="19"/>
        <v/>
      </c>
      <c r="AW3" t="str">
        <f t="shared" si="20"/>
        <v/>
      </c>
      <c r="AX3" t="str">
        <f t="shared" si="21"/>
        <v/>
      </c>
      <c r="AY3" t="str">
        <f t="shared" si="22"/>
        <v/>
      </c>
      <c r="AZ3" t="str">
        <f t="shared" si="23"/>
        <v/>
      </c>
      <c r="BA3" t="str">
        <f t="shared" si="24"/>
        <v/>
      </c>
      <c r="BB3" t="str">
        <f t="shared" si="25"/>
        <v/>
      </c>
      <c r="BC3" t="str">
        <f t="shared" si="26"/>
        <v/>
      </c>
      <c r="BD3" t="str">
        <f t="shared" si="27"/>
        <v/>
      </c>
      <c r="BE3" t="str">
        <f t="shared" si="28"/>
        <v/>
      </c>
      <c r="BF3" t="str">
        <f t="shared" si="29"/>
        <v/>
      </c>
      <c r="BG3" t="str">
        <f t="shared" si="30"/>
        <v/>
      </c>
      <c r="BH3" t="str">
        <f t="shared" si="31"/>
        <v/>
      </c>
    </row>
    <row r="4" spans="1:66" x14ac:dyDescent="0.2">
      <c r="A4">
        <v>1</v>
      </c>
      <c r="B4">
        <v>6</v>
      </c>
      <c r="C4" t="s">
        <v>39</v>
      </c>
      <c r="K4">
        <v>3</v>
      </c>
      <c r="N4">
        <v>3</v>
      </c>
      <c r="O4">
        <v>3</v>
      </c>
      <c r="U4">
        <v>1</v>
      </c>
      <c r="X4">
        <f t="shared" ref="X4:X15" si="33">G4+H4+Q4+R4</f>
        <v>0</v>
      </c>
      <c r="Z4" t="str">
        <f t="shared" si="0"/>
        <v/>
      </c>
      <c r="AA4" t="str">
        <f t="shared" si="1"/>
        <v/>
      </c>
      <c r="AB4" t="str">
        <f t="shared" si="2"/>
        <v/>
      </c>
      <c r="AC4" t="str">
        <f t="shared" si="3"/>
        <v/>
      </c>
      <c r="AE4" t="str">
        <f t="shared" si="4"/>
        <v>2</v>
      </c>
      <c r="AF4" t="str">
        <f t="shared" si="5"/>
        <v>4</v>
      </c>
      <c r="AG4" t="str">
        <f t="shared" si="6"/>
        <v/>
      </c>
      <c r="AH4" t="str">
        <f t="shared" si="7"/>
        <v/>
      </c>
      <c r="AI4" t="str">
        <f t="shared" si="8"/>
        <v/>
      </c>
      <c r="AK4" t="str">
        <f t="shared" si="9"/>
        <v>h1</v>
      </c>
      <c r="AL4" t="str">
        <f t="shared" si="32"/>
        <v>h2</v>
      </c>
      <c r="AM4" t="str">
        <f t="shared" si="10"/>
        <v>g2</v>
      </c>
      <c r="AN4" t="str">
        <f t="shared" si="11"/>
        <v/>
      </c>
      <c r="AO4" t="str">
        <f t="shared" si="12"/>
        <v/>
      </c>
      <c r="AP4" t="str">
        <f t="shared" si="13"/>
        <v/>
      </c>
      <c r="AQ4" t="str">
        <f t="shared" si="14"/>
        <v/>
      </c>
      <c r="AR4" t="str">
        <f t="shared" si="15"/>
        <v/>
      </c>
      <c r="AS4" t="str">
        <f t="shared" si="16"/>
        <v/>
      </c>
      <c r="AT4" t="str">
        <f t="shared" si="17"/>
        <v/>
      </c>
      <c r="AU4" t="str">
        <f t="shared" si="18"/>
        <v/>
      </c>
      <c r="AV4" t="str">
        <f t="shared" si="19"/>
        <v/>
      </c>
      <c r="AW4" t="str">
        <f t="shared" si="20"/>
        <v/>
      </c>
      <c r="AX4" t="str">
        <f t="shared" si="21"/>
        <v/>
      </c>
      <c r="AY4" t="str">
        <f t="shared" si="22"/>
        <v/>
      </c>
      <c r="AZ4" t="str">
        <f t="shared" si="23"/>
        <v/>
      </c>
      <c r="BA4" t="str">
        <f t="shared" si="24"/>
        <v/>
      </c>
      <c r="BB4" t="str">
        <f t="shared" si="25"/>
        <v/>
      </c>
      <c r="BC4" t="str">
        <f t="shared" si="26"/>
        <v/>
      </c>
      <c r="BD4" t="str">
        <f t="shared" si="27"/>
        <v/>
      </c>
      <c r="BE4" t="str">
        <f t="shared" si="28"/>
        <v/>
      </c>
      <c r="BF4" t="str">
        <f t="shared" si="29"/>
        <v/>
      </c>
      <c r="BG4" t="str">
        <f t="shared" si="30"/>
        <v/>
      </c>
      <c r="BH4" t="str">
        <f t="shared" si="31"/>
        <v/>
      </c>
    </row>
    <row r="5" spans="1:66" x14ac:dyDescent="0.2">
      <c r="A5">
        <v>2</v>
      </c>
      <c r="B5">
        <v>16</v>
      </c>
      <c r="C5" t="s">
        <v>207</v>
      </c>
      <c r="D5">
        <v>1</v>
      </c>
      <c r="G5">
        <v>1</v>
      </c>
      <c r="K5">
        <v>2</v>
      </c>
      <c r="L5">
        <v>1</v>
      </c>
      <c r="N5">
        <v>1</v>
      </c>
      <c r="O5">
        <v>1</v>
      </c>
      <c r="R5">
        <v>1</v>
      </c>
      <c r="S5">
        <v>1</v>
      </c>
      <c r="T5">
        <v>1</v>
      </c>
      <c r="U5">
        <v>47</v>
      </c>
      <c r="W5">
        <v>4</v>
      </c>
      <c r="X5">
        <f t="shared" si="33"/>
        <v>2</v>
      </c>
      <c r="Z5" t="str">
        <f t="shared" si="0"/>
        <v/>
      </c>
      <c r="AA5" t="str">
        <f t="shared" si="1"/>
        <v/>
      </c>
      <c r="AB5" t="str">
        <f t="shared" si="2"/>
        <v/>
      </c>
      <c r="AC5" t="str">
        <f t="shared" si="3"/>
        <v/>
      </c>
      <c r="AE5" t="str">
        <f t="shared" si="4"/>
        <v/>
      </c>
      <c r="AF5" t="str">
        <f t="shared" si="5"/>
        <v/>
      </c>
      <c r="AG5" t="str">
        <f t="shared" si="6"/>
        <v/>
      </c>
      <c r="AH5" t="str">
        <f t="shared" si="7"/>
        <v/>
      </c>
      <c r="AI5" t="str">
        <f t="shared" si="8"/>
        <v/>
      </c>
      <c r="AK5" t="str">
        <f t="shared" si="9"/>
        <v/>
      </c>
      <c r="AL5" t="str">
        <f t="shared" si="32"/>
        <v/>
      </c>
      <c r="AM5" t="str">
        <f t="shared" si="10"/>
        <v/>
      </c>
      <c r="AN5" t="str">
        <f t="shared" si="11"/>
        <v/>
      </c>
      <c r="AO5" t="str">
        <f t="shared" si="12"/>
        <v/>
      </c>
      <c r="AP5" t="str">
        <f t="shared" si="13"/>
        <v/>
      </c>
      <c r="AQ5" t="str">
        <f t="shared" si="14"/>
        <v/>
      </c>
      <c r="AR5" t="str">
        <f t="shared" si="15"/>
        <v/>
      </c>
      <c r="AS5" t="str">
        <f t="shared" si="16"/>
        <v/>
      </c>
      <c r="AT5" t="str">
        <f t="shared" si="17"/>
        <v/>
      </c>
      <c r="AU5" t="str">
        <f t="shared" si="18"/>
        <v/>
      </c>
      <c r="AV5" t="str">
        <f t="shared" si="19"/>
        <v/>
      </c>
      <c r="AW5" t="str">
        <f t="shared" si="20"/>
        <v/>
      </c>
      <c r="AX5" t="str">
        <f t="shared" si="21"/>
        <v/>
      </c>
      <c r="AY5" t="str">
        <f t="shared" si="22"/>
        <v/>
      </c>
      <c r="AZ5" t="str">
        <f t="shared" si="23"/>
        <v/>
      </c>
      <c r="BA5" t="str">
        <f t="shared" si="24"/>
        <v/>
      </c>
      <c r="BB5" t="str">
        <f t="shared" si="25"/>
        <v/>
      </c>
      <c r="BC5" t="str">
        <f t="shared" si="26"/>
        <v/>
      </c>
      <c r="BD5" t="str">
        <f t="shared" si="27"/>
        <v/>
      </c>
      <c r="BE5" t="str">
        <f t="shared" si="28"/>
        <v/>
      </c>
      <c r="BF5" t="str">
        <f t="shared" si="29"/>
        <v/>
      </c>
      <c r="BG5" t="str">
        <f t="shared" si="30"/>
        <v/>
      </c>
      <c r="BH5" t="str">
        <f t="shared" si="31"/>
        <v/>
      </c>
    </row>
    <row r="6" spans="1:66" x14ac:dyDescent="0.2">
      <c r="A6">
        <v>3</v>
      </c>
      <c r="B6">
        <v>29</v>
      </c>
      <c r="C6" t="s">
        <v>207</v>
      </c>
      <c r="G6">
        <v>1</v>
      </c>
      <c r="J6" t="s">
        <v>239</v>
      </c>
      <c r="K6">
        <v>2</v>
      </c>
      <c r="N6">
        <v>3</v>
      </c>
      <c r="O6">
        <v>2</v>
      </c>
      <c r="P6" t="s">
        <v>240</v>
      </c>
      <c r="R6">
        <v>2</v>
      </c>
      <c r="S6">
        <v>1</v>
      </c>
      <c r="T6">
        <v>1</v>
      </c>
      <c r="U6">
        <v>9</v>
      </c>
      <c r="X6">
        <f t="shared" si="33"/>
        <v>3</v>
      </c>
      <c r="Z6" t="str">
        <f t="shared" si="0"/>
        <v>3</v>
      </c>
      <c r="AA6" t="str">
        <f t="shared" si="1"/>
        <v/>
      </c>
      <c r="AB6" t="str">
        <f t="shared" si="2"/>
        <v/>
      </c>
      <c r="AC6" t="str">
        <f t="shared" si="3"/>
        <v/>
      </c>
      <c r="AE6" t="str">
        <f t="shared" si="4"/>
        <v/>
      </c>
      <c r="AF6" t="str">
        <f t="shared" si="5"/>
        <v/>
      </c>
      <c r="AG6" t="str">
        <f t="shared" si="6"/>
        <v/>
      </c>
      <c r="AH6" t="str">
        <f t="shared" si="7"/>
        <v/>
      </c>
      <c r="AI6" t="str">
        <f t="shared" si="8"/>
        <v/>
      </c>
      <c r="AK6" t="str">
        <f t="shared" si="9"/>
        <v>g1</v>
      </c>
      <c r="AL6" t="str">
        <f t="shared" si="32"/>
        <v/>
      </c>
      <c r="AM6" t="str">
        <f t="shared" si="10"/>
        <v/>
      </c>
      <c r="AN6" t="str">
        <f t="shared" si="11"/>
        <v/>
      </c>
      <c r="AO6" t="str">
        <f t="shared" si="12"/>
        <v/>
      </c>
      <c r="AP6" t="str">
        <f t="shared" si="13"/>
        <v/>
      </c>
      <c r="AQ6" t="str">
        <f t="shared" si="14"/>
        <v/>
      </c>
      <c r="AR6" t="str">
        <f t="shared" si="15"/>
        <v/>
      </c>
      <c r="AS6" t="str">
        <f t="shared" si="16"/>
        <v/>
      </c>
      <c r="AT6" t="str">
        <f t="shared" si="17"/>
        <v/>
      </c>
      <c r="AU6" t="str">
        <f t="shared" si="18"/>
        <v/>
      </c>
      <c r="AV6" t="str">
        <f t="shared" si="19"/>
        <v/>
      </c>
      <c r="AW6" t="str">
        <f t="shared" si="20"/>
        <v/>
      </c>
      <c r="AX6" t="str">
        <f t="shared" si="21"/>
        <v/>
      </c>
      <c r="AY6" t="str">
        <f t="shared" si="22"/>
        <v/>
      </c>
      <c r="AZ6" t="str">
        <f t="shared" si="23"/>
        <v/>
      </c>
      <c r="BA6" t="str">
        <f t="shared" si="24"/>
        <v/>
      </c>
      <c r="BB6" t="str">
        <f t="shared" si="25"/>
        <v/>
      </c>
      <c r="BC6" t="str">
        <f t="shared" si="26"/>
        <v/>
      </c>
      <c r="BD6" t="str">
        <f t="shared" si="27"/>
        <v/>
      </c>
      <c r="BE6" t="str">
        <f t="shared" si="28"/>
        <v/>
      </c>
      <c r="BF6" t="str">
        <f t="shared" si="29"/>
        <v/>
      </c>
      <c r="BG6" t="str">
        <f t="shared" si="30"/>
        <v/>
      </c>
      <c r="BH6" t="str">
        <f t="shared" si="31"/>
        <v/>
      </c>
    </row>
    <row r="7" spans="1:66" x14ac:dyDescent="0.2">
      <c r="A7">
        <v>4</v>
      </c>
      <c r="B7">
        <v>34</v>
      </c>
      <c r="C7" t="s">
        <v>207</v>
      </c>
      <c r="G7">
        <v>4</v>
      </c>
      <c r="K7">
        <v>4</v>
      </c>
      <c r="N7">
        <v>5</v>
      </c>
      <c r="O7">
        <v>5</v>
      </c>
      <c r="S7">
        <v>1</v>
      </c>
      <c r="X7">
        <f t="shared" si="33"/>
        <v>4</v>
      </c>
      <c r="Z7" t="str">
        <f t="shared" si="0"/>
        <v/>
      </c>
      <c r="AA7" t="str">
        <f t="shared" si="1"/>
        <v/>
      </c>
      <c r="AB7" t="str">
        <f t="shared" si="2"/>
        <v/>
      </c>
      <c r="AC7" t="str">
        <f t="shared" si="3"/>
        <v/>
      </c>
      <c r="AE7" t="str">
        <f t="shared" si="4"/>
        <v/>
      </c>
      <c r="AF7" t="str">
        <f t="shared" si="5"/>
        <v/>
      </c>
      <c r="AG7" t="str">
        <f t="shared" si="6"/>
        <v/>
      </c>
      <c r="AH7" t="str">
        <f t="shared" si="7"/>
        <v/>
      </c>
      <c r="AI7" t="str">
        <f t="shared" si="8"/>
        <v/>
      </c>
      <c r="AK7" t="str">
        <f t="shared" si="9"/>
        <v/>
      </c>
      <c r="AL7" t="str">
        <f t="shared" si="32"/>
        <v/>
      </c>
      <c r="AM7" t="str">
        <f t="shared" si="10"/>
        <v/>
      </c>
      <c r="AN7" t="str">
        <f t="shared" si="11"/>
        <v/>
      </c>
      <c r="AO7" t="str">
        <f t="shared" si="12"/>
        <v/>
      </c>
      <c r="AP7" t="str">
        <f t="shared" si="13"/>
        <v/>
      </c>
      <c r="AQ7" t="str">
        <f t="shared" si="14"/>
        <v/>
      </c>
      <c r="AR7" t="str">
        <f t="shared" si="15"/>
        <v/>
      </c>
      <c r="AS7" t="str">
        <f t="shared" si="16"/>
        <v/>
      </c>
      <c r="AT7" t="str">
        <f t="shared" si="17"/>
        <v/>
      </c>
      <c r="AU7" t="str">
        <f t="shared" si="18"/>
        <v/>
      </c>
      <c r="AV7" t="str">
        <f t="shared" si="19"/>
        <v/>
      </c>
      <c r="AW7" t="str">
        <f t="shared" si="20"/>
        <v/>
      </c>
      <c r="AX7" t="str">
        <f t="shared" si="21"/>
        <v/>
      </c>
      <c r="AY7" t="str">
        <f t="shared" si="22"/>
        <v/>
      </c>
      <c r="AZ7" t="str">
        <f t="shared" si="23"/>
        <v/>
      </c>
      <c r="BA7" t="str">
        <f t="shared" si="24"/>
        <v/>
      </c>
      <c r="BB7" t="str">
        <f t="shared" si="25"/>
        <v/>
      </c>
      <c r="BC7" t="str">
        <f t="shared" si="26"/>
        <v/>
      </c>
      <c r="BD7" t="str">
        <f t="shared" si="27"/>
        <v/>
      </c>
      <c r="BE7" t="str">
        <f t="shared" si="28"/>
        <v/>
      </c>
      <c r="BF7" t="str">
        <f t="shared" si="29"/>
        <v/>
      </c>
      <c r="BG7" t="str">
        <f t="shared" si="30"/>
        <v/>
      </c>
      <c r="BH7" t="str">
        <f t="shared" si="31"/>
        <v/>
      </c>
    </row>
    <row r="8" spans="1:66" x14ac:dyDescent="0.2">
      <c r="A8">
        <v>5</v>
      </c>
      <c r="B8">
        <v>50</v>
      </c>
      <c r="C8" t="s">
        <v>39</v>
      </c>
      <c r="G8">
        <v>8</v>
      </c>
      <c r="I8">
        <v>3</v>
      </c>
      <c r="N8">
        <v>2</v>
      </c>
      <c r="O8">
        <v>2</v>
      </c>
      <c r="P8" t="s">
        <v>228</v>
      </c>
      <c r="R8">
        <v>1</v>
      </c>
      <c r="S8">
        <v>1</v>
      </c>
      <c r="T8">
        <v>1</v>
      </c>
      <c r="U8">
        <v>14</v>
      </c>
      <c r="X8">
        <f t="shared" si="33"/>
        <v>9</v>
      </c>
      <c r="Y8" t="s">
        <v>174</v>
      </c>
      <c r="Z8" t="str">
        <f t="shared" si="0"/>
        <v/>
      </c>
      <c r="AA8" t="str">
        <f t="shared" si="1"/>
        <v/>
      </c>
      <c r="AB8" t="str">
        <f t="shared" si="2"/>
        <v/>
      </c>
      <c r="AC8" t="str">
        <f t="shared" si="3"/>
        <v/>
      </c>
      <c r="AE8" t="str">
        <f t="shared" si="4"/>
        <v/>
      </c>
      <c r="AF8" t="str">
        <f t="shared" si="5"/>
        <v/>
      </c>
      <c r="AG8" t="str">
        <f t="shared" si="6"/>
        <v/>
      </c>
      <c r="AH8" t="str">
        <f t="shared" si="7"/>
        <v/>
      </c>
      <c r="AI8" t="str">
        <f t="shared" si="8"/>
        <v/>
      </c>
      <c r="AK8" t="str">
        <f t="shared" si="9"/>
        <v>h1</v>
      </c>
      <c r="AL8" t="str">
        <f t="shared" si="32"/>
        <v/>
      </c>
      <c r="AM8" t="str">
        <f t="shared" si="10"/>
        <v/>
      </c>
      <c r="AN8" t="str">
        <f t="shared" si="11"/>
        <v/>
      </c>
      <c r="AO8" t="str">
        <f t="shared" si="12"/>
        <v/>
      </c>
      <c r="AP8" t="str">
        <f t="shared" si="13"/>
        <v/>
      </c>
      <c r="AQ8" t="str">
        <f t="shared" si="14"/>
        <v/>
      </c>
      <c r="AR8" t="str">
        <f t="shared" si="15"/>
        <v/>
      </c>
      <c r="AS8" t="str">
        <f t="shared" si="16"/>
        <v/>
      </c>
      <c r="AT8" t="str">
        <f t="shared" si="17"/>
        <v/>
      </c>
      <c r="AU8" t="str">
        <f t="shared" si="18"/>
        <v/>
      </c>
      <c r="AV8" t="str">
        <f t="shared" si="19"/>
        <v/>
      </c>
      <c r="AW8" t="str">
        <f t="shared" si="20"/>
        <v/>
      </c>
      <c r="AX8" t="str">
        <f t="shared" si="21"/>
        <v/>
      </c>
      <c r="AY8" t="str">
        <f t="shared" si="22"/>
        <v/>
      </c>
      <c r="AZ8" t="str">
        <f t="shared" si="23"/>
        <v/>
      </c>
      <c r="BA8" t="str">
        <f t="shared" si="24"/>
        <v/>
      </c>
      <c r="BB8" t="str">
        <f t="shared" si="25"/>
        <v/>
      </c>
      <c r="BC8" t="str">
        <f t="shared" si="26"/>
        <v/>
      </c>
      <c r="BD8" t="str">
        <f t="shared" si="27"/>
        <v/>
      </c>
      <c r="BE8" t="str">
        <f t="shared" si="28"/>
        <v/>
      </c>
      <c r="BF8" t="str">
        <f t="shared" si="29"/>
        <v/>
      </c>
      <c r="BG8" t="str">
        <f t="shared" si="30"/>
        <v/>
      </c>
      <c r="BH8" t="str">
        <f t="shared" si="31"/>
        <v/>
      </c>
    </row>
    <row r="9" spans="1:66" x14ac:dyDescent="0.2">
      <c r="A9">
        <v>6</v>
      </c>
      <c r="B9">
        <v>56</v>
      </c>
      <c r="C9" t="s">
        <v>207</v>
      </c>
      <c r="G9">
        <v>1</v>
      </c>
      <c r="K9">
        <v>4</v>
      </c>
      <c r="N9">
        <v>5</v>
      </c>
      <c r="O9">
        <v>5</v>
      </c>
      <c r="S9">
        <v>1</v>
      </c>
      <c r="T9">
        <v>1</v>
      </c>
      <c r="U9">
        <v>2</v>
      </c>
      <c r="X9">
        <f t="shared" si="33"/>
        <v>1</v>
      </c>
      <c r="Y9" t="s">
        <v>174</v>
      </c>
      <c r="Z9" t="str">
        <f t="shared" si="0"/>
        <v>5</v>
      </c>
      <c r="AA9" t="str">
        <f t="shared" si="1"/>
        <v/>
      </c>
      <c r="AB9" t="str">
        <f t="shared" si="2"/>
        <v/>
      </c>
      <c r="AC9" t="str">
        <f t="shared" si="3"/>
        <v/>
      </c>
      <c r="AE9" t="str">
        <f t="shared" si="4"/>
        <v/>
      </c>
      <c r="AF9" t="str">
        <f t="shared" si="5"/>
        <v/>
      </c>
      <c r="AG9" t="str">
        <f t="shared" si="6"/>
        <v/>
      </c>
      <c r="AH9" t="str">
        <f t="shared" si="7"/>
        <v/>
      </c>
      <c r="AI9" t="str">
        <f t="shared" si="8"/>
        <v/>
      </c>
      <c r="AK9" t="str">
        <f t="shared" si="9"/>
        <v/>
      </c>
      <c r="AL9" t="str">
        <f t="shared" si="32"/>
        <v/>
      </c>
      <c r="AM9" t="str">
        <f t="shared" si="10"/>
        <v/>
      </c>
      <c r="AN9" t="str">
        <f t="shared" si="11"/>
        <v/>
      </c>
      <c r="AO9" t="str">
        <f t="shared" si="12"/>
        <v/>
      </c>
      <c r="AP9" t="str">
        <f t="shared" si="13"/>
        <v/>
      </c>
      <c r="AQ9" t="str">
        <f t="shared" si="14"/>
        <v/>
      </c>
      <c r="AR9" t="str">
        <f t="shared" si="15"/>
        <v/>
      </c>
      <c r="AS9" t="str">
        <f t="shared" si="16"/>
        <v/>
      </c>
      <c r="AT9" t="str">
        <f t="shared" si="17"/>
        <v/>
      </c>
      <c r="AU9" t="str">
        <f t="shared" si="18"/>
        <v/>
      </c>
      <c r="AV9" t="str">
        <f t="shared" si="19"/>
        <v/>
      </c>
      <c r="AW9" t="str">
        <f t="shared" si="20"/>
        <v/>
      </c>
      <c r="AX9" t="str">
        <f t="shared" si="21"/>
        <v/>
      </c>
      <c r="AY9" t="str">
        <f t="shared" si="22"/>
        <v/>
      </c>
      <c r="AZ9" t="str">
        <f t="shared" si="23"/>
        <v/>
      </c>
      <c r="BA9" t="str">
        <f t="shared" si="24"/>
        <v/>
      </c>
      <c r="BB9" t="str">
        <f t="shared" si="25"/>
        <v/>
      </c>
      <c r="BC9" t="str">
        <f t="shared" si="26"/>
        <v/>
      </c>
      <c r="BD9" t="str">
        <f t="shared" si="27"/>
        <v/>
      </c>
      <c r="BE9" t="str">
        <f t="shared" si="28"/>
        <v/>
      </c>
      <c r="BF9" t="str">
        <f t="shared" si="29"/>
        <v/>
      </c>
      <c r="BG9" t="str">
        <f t="shared" si="30"/>
        <v/>
      </c>
      <c r="BH9" t="str">
        <f t="shared" si="31"/>
        <v/>
      </c>
    </row>
    <row r="10" spans="1:66" x14ac:dyDescent="0.2">
      <c r="A10">
        <v>7</v>
      </c>
      <c r="B10">
        <v>67</v>
      </c>
      <c r="C10" t="s">
        <v>39</v>
      </c>
      <c r="G10">
        <v>5</v>
      </c>
      <c r="K10">
        <v>3</v>
      </c>
      <c r="N10">
        <v>4</v>
      </c>
      <c r="O10">
        <v>4</v>
      </c>
      <c r="P10" t="s">
        <v>209</v>
      </c>
      <c r="R10">
        <v>1</v>
      </c>
      <c r="S10">
        <v>1</v>
      </c>
      <c r="T10">
        <v>1</v>
      </c>
      <c r="U10">
        <v>7</v>
      </c>
      <c r="W10">
        <v>2</v>
      </c>
      <c r="X10">
        <f t="shared" si="33"/>
        <v>6</v>
      </c>
      <c r="Y10" t="s">
        <v>174</v>
      </c>
      <c r="Z10" t="str">
        <f t="shared" si="0"/>
        <v/>
      </c>
      <c r="AA10" t="str">
        <f t="shared" si="1"/>
        <v/>
      </c>
      <c r="AB10" t="str">
        <f t="shared" si="2"/>
        <v/>
      </c>
      <c r="AC10" t="str">
        <f t="shared" si="3"/>
        <v/>
      </c>
      <c r="AE10" t="str">
        <f t="shared" si="4"/>
        <v/>
      </c>
      <c r="AF10" t="str">
        <f t="shared" si="5"/>
        <v/>
      </c>
      <c r="AG10" t="str">
        <f t="shared" si="6"/>
        <v/>
      </c>
      <c r="AH10" t="str">
        <f t="shared" si="7"/>
        <v/>
      </c>
      <c r="AI10" t="str">
        <f t="shared" si="8"/>
        <v/>
      </c>
      <c r="AK10" t="str">
        <f t="shared" si="9"/>
        <v/>
      </c>
      <c r="AL10" t="str">
        <f t="shared" si="32"/>
        <v/>
      </c>
      <c r="AM10" t="str">
        <f t="shared" si="10"/>
        <v/>
      </c>
      <c r="AN10" t="str">
        <f t="shared" si="11"/>
        <v/>
      </c>
      <c r="AO10" t="str">
        <f t="shared" si="12"/>
        <v/>
      </c>
      <c r="AP10" t="str">
        <f t="shared" si="13"/>
        <v/>
      </c>
      <c r="AQ10" t="str">
        <f t="shared" si="14"/>
        <v/>
      </c>
      <c r="AR10" t="str">
        <f t="shared" si="15"/>
        <v/>
      </c>
      <c r="AS10" t="str">
        <f t="shared" si="16"/>
        <v/>
      </c>
      <c r="AT10" t="str">
        <f t="shared" si="17"/>
        <v/>
      </c>
      <c r="AU10" t="str">
        <f t="shared" si="18"/>
        <v/>
      </c>
      <c r="AV10" t="str">
        <f t="shared" si="19"/>
        <v/>
      </c>
      <c r="AW10" t="str">
        <f t="shared" si="20"/>
        <v/>
      </c>
      <c r="AX10" t="str">
        <f t="shared" si="21"/>
        <v/>
      </c>
      <c r="AY10" t="str">
        <f t="shared" si="22"/>
        <v/>
      </c>
      <c r="AZ10" t="str">
        <f t="shared" si="23"/>
        <v/>
      </c>
      <c r="BA10" t="str">
        <f t="shared" si="24"/>
        <v/>
      </c>
      <c r="BB10" t="str">
        <f t="shared" si="25"/>
        <v/>
      </c>
      <c r="BC10" t="str">
        <f t="shared" si="26"/>
        <v/>
      </c>
      <c r="BD10" t="str">
        <f t="shared" si="27"/>
        <v/>
      </c>
      <c r="BE10" t="str">
        <f t="shared" si="28"/>
        <v/>
      </c>
      <c r="BF10" t="str">
        <f t="shared" si="29"/>
        <v/>
      </c>
      <c r="BG10" t="str">
        <f t="shared" si="30"/>
        <v/>
      </c>
      <c r="BH10" t="str">
        <f t="shared" si="31"/>
        <v/>
      </c>
    </row>
    <row r="11" spans="1:66" x14ac:dyDescent="0.2">
      <c r="A11">
        <v>8</v>
      </c>
      <c r="B11">
        <v>77</v>
      </c>
      <c r="C11" t="s">
        <v>207</v>
      </c>
      <c r="I11">
        <v>5</v>
      </c>
      <c r="K11">
        <v>4</v>
      </c>
      <c r="N11">
        <v>4</v>
      </c>
      <c r="O11">
        <v>3</v>
      </c>
      <c r="S11">
        <v>1</v>
      </c>
      <c r="T11">
        <v>1</v>
      </c>
      <c r="X11">
        <f t="shared" si="33"/>
        <v>0</v>
      </c>
      <c r="Z11" t="str">
        <f t="shared" si="0"/>
        <v>1</v>
      </c>
      <c r="AA11" t="str">
        <f t="shared" si="1"/>
        <v/>
      </c>
      <c r="AB11" t="str">
        <f t="shared" si="2"/>
        <v/>
      </c>
      <c r="AC11" t="str">
        <f t="shared" si="3"/>
        <v/>
      </c>
      <c r="AE11" t="str">
        <f t="shared" si="4"/>
        <v/>
      </c>
      <c r="AF11" t="str">
        <f t="shared" si="5"/>
        <v/>
      </c>
      <c r="AG11" t="str">
        <f t="shared" si="6"/>
        <v/>
      </c>
      <c r="AH11" t="str">
        <f t="shared" si="7"/>
        <v/>
      </c>
      <c r="AI11" t="str">
        <f t="shared" si="8"/>
        <v/>
      </c>
      <c r="AK11" t="str">
        <f t="shared" si="9"/>
        <v>g1</v>
      </c>
      <c r="AL11" t="str">
        <f t="shared" si="32"/>
        <v>h1</v>
      </c>
      <c r="AM11" t="str">
        <f t="shared" si="10"/>
        <v/>
      </c>
      <c r="AN11" t="str">
        <f t="shared" si="11"/>
        <v/>
      </c>
      <c r="AO11" t="str">
        <f t="shared" si="12"/>
        <v/>
      </c>
      <c r="AP11" t="str">
        <f t="shared" si="13"/>
        <v/>
      </c>
      <c r="AQ11" t="str">
        <f t="shared" si="14"/>
        <v/>
      </c>
      <c r="AR11" t="str">
        <f t="shared" si="15"/>
        <v/>
      </c>
      <c r="AS11" t="str">
        <f t="shared" si="16"/>
        <v/>
      </c>
      <c r="AT11" t="str">
        <f t="shared" si="17"/>
        <v/>
      </c>
      <c r="AU11" t="str">
        <f t="shared" si="18"/>
        <v/>
      </c>
      <c r="AV11" t="str">
        <f t="shared" si="19"/>
        <v/>
      </c>
      <c r="AW11" t="str">
        <f t="shared" si="20"/>
        <v/>
      </c>
      <c r="AX11" t="str">
        <f t="shared" si="21"/>
        <v/>
      </c>
      <c r="AY11" t="str">
        <f t="shared" si="22"/>
        <v/>
      </c>
      <c r="AZ11" t="str">
        <f t="shared" si="23"/>
        <v/>
      </c>
      <c r="BA11" t="str">
        <f t="shared" si="24"/>
        <v/>
      </c>
      <c r="BB11" t="str">
        <f t="shared" si="25"/>
        <v/>
      </c>
      <c r="BC11" t="str">
        <f t="shared" si="26"/>
        <v/>
      </c>
      <c r="BD11" t="str">
        <f t="shared" si="27"/>
        <v/>
      </c>
      <c r="BE11" t="str">
        <f t="shared" si="28"/>
        <v/>
      </c>
      <c r="BF11" t="str">
        <f t="shared" si="29"/>
        <v/>
      </c>
      <c r="BG11" t="str">
        <f t="shared" si="30"/>
        <v/>
      </c>
      <c r="BH11" t="str">
        <f t="shared" si="31"/>
        <v/>
      </c>
    </row>
    <row r="12" spans="1:66" x14ac:dyDescent="0.2">
      <c r="A12">
        <v>9</v>
      </c>
      <c r="B12">
        <v>89</v>
      </c>
      <c r="C12" t="s">
        <v>39</v>
      </c>
      <c r="G12">
        <v>4</v>
      </c>
      <c r="K12">
        <v>4</v>
      </c>
      <c r="N12">
        <v>3</v>
      </c>
      <c r="O12">
        <v>3</v>
      </c>
      <c r="R12">
        <v>1</v>
      </c>
      <c r="S12">
        <v>1</v>
      </c>
      <c r="T12">
        <v>1</v>
      </c>
      <c r="U12">
        <v>7</v>
      </c>
      <c r="W12">
        <v>9</v>
      </c>
      <c r="X12">
        <f t="shared" si="33"/>
        <v>5</v>
      </c>
      <c r="Y12" t="s">
        <v>174</v>
      </c>
      <c r="Z12" t="str">
        <f t="shared" si="0"/>
        <v>5</v>
      </c>
      <c r="AA12" t="str">
        <f t="shared" si="1"/>
        <v/>
      </c>
      <c r="AB12" t="str">
        <f t="shared" si="2"/>
        <v/>
      </c>
      <c r="AC12" t="str">
        <f t="shared" si="3"/>
        <v/>
      </c>
      <c r="AE12" t="str">
        <f t="shared" si="4"/>
        <v/>
      </c>
      <c r="AF12" t="str">
        <f t="shared" si="5"/>
        <v/>
      </c>
      <c r="AG12" t="str">
        <f t="shared" si="6"/>
        <v/>
      </c>
      <c r="AH12" t="str">
        <f t="shared" si="7"/>
        <v/>
      </c>
      <c r="AI12" t="str">
        <f t="shared" si="8"/>
        <v/>
      </c>
      <c r="AK12" t="str">
        <f t="shared" si="9"/>
        <v>g1</v>
      </c>
      <c r="AL12" t="str">
        <f t="shared" si="32"/>
        <v>g2</v>
      </c>
      <c r="AM12" t="str">
        <f t="shared" si="10"/>
        <v/>
      </c>
      <c r="AN12" t="str">
        <f t="shared" si="11"/>
        <v/>
      </c>
      <c r="AO12" t="str">
        <f t="shared" si="12"/>
        <v/>
      </c>
      <c r="AP12" t="str">
        <f t="shared" si="13"/>
        <v/>
      </c>
      <c r="AQ12" t="str">
        <f t="shared" si="14"/>
        <v/>
      </c>
      <c r="AR12" t="str">
        <f t="shared" si="15"/>
        <v/>
      </c>
      <c r="AS12" t="str">
        <f t="shared" si="16"/>
        <v/>
      </c>
      <c r="AT12" t="str">
        <f t="shared" si="17"/>
        <v/>
      </c>
      <c r="AU12" t="str">
        <f t="shared" si="18"/>
        <v/>
      </c>
      <c r="AV12" t="str">
        <f t="shared" si="19"/>
        <v/>
      </c>
      <c r="AW12" t="str">
        <f t="shared" si="20"/>
        <v/>
      </c>
      <c r="AX12" t="str">
        <f t="shared" si="21"/>
        <v/>
      </c>
      <c r="AY12" t="str">
        <f t="shared" si="22"/>
        <v/>
      </c>
      <c r="AZ12" t="str">
        <f t="shared" si="23"/>
        <v/>
      </c>
      <c r="BA12" t="str">
        <f t="shared" si="24"/>
        <v/>
      </c>
      <c r="BB12" t="str">
        <f t="shared" si="25"/>
        <v/>
      </c>
      <c r="BC12" t="str">
        <f t="shared" si="26"/>
        <v/>
      </c>
      <c r="BD12" t="str">
        <f t="shared" si="27"/>
        <v/>
      </c>
      <c r="BE12" t="str">
        <f t="shared" si="28"/>
        <v/>
      </c>
      <c r="BF12" t="str">
        <f t="shared" si="29"/>
        <v/>
      </c>
      <c r="BG12" t="str">
        <f t="shared" si="30"/>
        <v/>
      </c>
      <c r="BH12" t="str">
        <f t="shared" si="31"/>
        <v/>
      </c>
    </row>
    <row r="13" spans="1:66" x14ac:dyDescent="0.2">
      <c r="A13">
        <v>10</v>
      </c>
      <c r="B13">
        <v>94</v>
      </c>
      <c r="C13" t="s">
        <v>39</v>
      </c>
      <c r="G13">
        <v>2</v>
      </c>
      <c r="I13">
        <v>1</v>
      </c>
      <c r="K13">
        <v>3</v>
      </c>
      <c r="N13">
        <v>4</v>
      </c>
      <c r="O13">
        <v>4</v>
      </c>
      <c r="P13" t="s">
        <v>256</v>
      </c>
      <c r="S13">
        <v>1</v>
      </c>
      <c r="T13">
        <v>1</v>
      </c>
      <c r="U13">
        <v>2</v>
      </c>
      <c r="X13">
        <f t="shared" si="33"/>
        <v>2</v>
      </c>
      <c r="Y13" t="s">
        <v>174</v>
      </c>
      <c r="Z13" t="str">
        <f t="shared" si="0"/>
        <v/>
      </c>
      <c r="AA13" t="str">
        <f t="shared" si="1"/>
        <v/>
      </c>
      <c r="AB13" t="str">
        <f t="shared" si="2"/>
        <v/>
      </c>
      <c r="AC13" t="str">
        <f t="shared" si="3"/>
        <v/>
      </c>
      <c r="AE13" t="str">
        <f t="shared" si="4"/>
        <v/>
      </c>
      <c r="AF13" t="str">
        <f t="shared" si="5"/>
        <v/>
      </c>
      <c r="AG13" t="str">
        <f t="shared" si="6"/>
        <v/>
      </c>
      <c r="AH13" t="str">
        <f t="shared" si="7"/>
        <v/>
      </c>
      <c r="AI13" t="str">
        <f t="shared" si="8"/>
        <v/>
      </c>
      <c r="AK13" t="str">
        <f t="shared" si="9"/>
        <v/>
      </c>
      <c r="AL13" t="str">
        <f t="shared" si="32"/>
        <v/>
      </c>
      <c r="AM13" t="str">
        <f t="shared" si="10"/>
        <v/>
      </c>
      <c r="AN13" t="str">
        <f t="shared" si="11"/>
        <v/>
      </c>
      <c r="AO13" t="str">
        <f t="shared" si="12"/>
        <v/>
      </c>
      <c r="AP13" t="str">
        <f t="shared" si="13"/>
        <v/>
      </c>
      <c r="AQ13" t="str">
        <f t="shared" si="14"/>
        <v/>
      </c>
      <c r="AR13" t="str">
        <f t="shared" si="15"/>
        <v/>
      </c>
      <c r="AS13" t="str">
        <f t="shared" si="16"/>
        <v/>
      </c>
      <c r="AT13" t="str">
        <f t="shared" si="17"/>
        <v/>
      </c>
      <c r="AU13" t="str">
        <f t="shared" si="18"/>
        <v/>
      </c>
      <c r="AV13" t="str">
        <f t="shared" si="19"/>
        <v/>
      </c>
      <c r="AW13" t="str">
        <f t="shared" si="20"/>
        <v/>
      </c>
      <c r="AX13" t="str">
        <f t="shared" si="21"/>
        <v/>
      </c>
      <c r="AY13" t="str">
        <f t="shared" si="22"/>
        <v/>
      </c>
      <c r="AZ13" t="str">
        <f t="shared" si="23"/>
        <v/>
      </c>
      <c r="BA13" t="str">
        <f t="shared" si="24"/>
        <v/>
      </c>
      <c r="BB13" t="str">
        <f t="shared" si="25"/>
        <v/>
      </c>
      <c r="BC13" t="str">
        <f t="shared" si="26"/>
        <v/>
      </c>
      <c r="BD13" t="str">
        <f t="shared" si="27"/>
        <v/>
      </c>
      <c r="BE13" t="str">
        <f t="shared" si="28"/>
        <v/>
      </c>
      <c r="BF13" t="str">
        <f t="shared" si="29"/>
        <v/>
      </c>
      <c r="BG13" t="str">
        <f t="shared" si="30"/>
        <v/>
      </c>
      <c r="BH13" t="str">
        <f t="shared" si="31"/>
        <v/>
      </c>
    </row>
    <row r="14" spans="1:66" x14ac:dyDescent="0.2">
      <c r="A14">
        <v>11</v>
      </c>
      <c r="B14">
        <v>101</v>
      </c>
      <c r="C14" t="s">
        <v>207</v>
      </c>
      <c r="G14">
        <v>7</v>
      </c>
      <c r="I14">
        <v>5</v>
      </c>
      <c r="K14">
        <v>1</v>
      </c>
      <c r="N14">
        <v>1</v>
      </c>
      <c r="O14">
        <v>1</v>
      </c>
      <c r="P14" t="s">
        <v>220</v>
      </c>
      <c r="R14">
        <v>2</v>
      </c>
      <c r="S14">
        <v>1</v>
      </c>
      <c r="T14">
        <v>1</v>
      </c>
      <c r="U14">
        <v>15</v>
      </c>
      <c r="W14">
        <v>5</v>
      </c>
      <c r="X14">
        <f t="shared" si="33"/>
        <v>9</v>
      </c>
      <c r="Z14" t="s">
        <v>31</v>
      </c>
      <c r="AE14" t="s">
        <v>34</v>
      </c>
      <c r="AK14" t="s">
        <v>43</v>
      </c>
      <c r="AP14" t="s">
        <v>84</v>
      </c>
    </row>
    <row r="15" spans="1:66" x14ac:dyDescent="0.2">
      <c r="A15">
        <v>12</v>
      </c>
      <c r="B15">
        <v>117</v>
      </c>
      <c r="C15" t="s">
        <v>207</v>
      </c>
      <c r="D15">
        <v>1</v>
      </c>
      <c r="E15">
        <v>1</v>
      </c>
      <c r="F15">
        <v>1</v>
      </c>
      <c r="G15">
        <v>4</v>
      </c>
      <c r="K15">
        <v>3</v>
      </c>
      <c r="L15">
        <v>1</v>
      </c>
      <c r="N15">
        <v>2</v>
      </c>
      <c r="O15">
        <v>2</v>
      </c>
      <c r="S15">
        <v>1</v>
      </c>
      <c r="T15">
        <v>1</v>
      </c>
      <c r="U15">
        <v>15</v>
      </c>
      <c r="X15">
        <f t="shared" si="33"/>
        <v>4</v>
      </c>
      <c r="Z15" t="s">
        <v>21</v>
      </c>
      <c r="AA15" t="s">
        <v>22</v>
      </c>
      <c r="AE15" t="s">
        <v>21</v>
      </c>
      <c r="AF15" t="s">
        <v>22</v>
      </c>
      <c r="AG15" t="s">
        <v>35</v>
      </c>
      <c r="AK15" t="s">
        <v>10</v>
      </c>
      <c r="AL15" t="s">
        <v>25</v>
      </c>
      <c r="AM15" t="s">
        <v>26</v>
      </c>
      <c r="AN15" t="s">
        <v>27</v>
      </c>
      <c r="AP15" t="s">
        <v>15</v>
      </c>
      <c r="AQ15" t="s">
        <v>85</v>
      </c>
    </row>
    <row r="16" spans="1:66" x14ac:dyDescent="0.2">
      <c r="A16" t="s">
        <v>28</v>
      </c>
      <c r="D16">
        <f>SUM(D4:D15)</f>
        <v>2</v>
      </c>
      <c r="E16">
        <f>SUM(E4:E15)</f>
        <v>1</v>
      </c>
      <c r="F16">
        <f>SUM(F4:F15)</f>
        <v>1</v>
      </c>
      <c r="G16">
        <f>SUM(G4:G15)</f>
        <v>37</v>
      </c>
      <c r="H16">
        <f>SUM(H4:H15)</f>
        <v>0</v>
      </c>
      <c r="K16">
        <f>SUM(K4:K15)</f>
        <v>33</v>
      </c>
      <c r="L16">
        <f>SUM(L4:L15)</f>
        <v>2</v>
      </c>
      <c r="M16">
        <f>SUM(M4:M15)</f>
        <v>0</v>
      </c>
      <c r="N16">
        <f>SUM(N4:N15)</f>
        <v>37</v>
      </c>
      <c r="O16">
        <f>SUM(O4:O15)</f>
        <v>35</v>
      </c>
      <c r="Q16">
        <f t="shared" ref="Q16:R16" si="34">SUM(Q4:Q15)</f>
        <v>0</v>
      </c>
      <c r="R16">
        <f t="shared" si="34"/>
        <v>8</v>
      </c>
      <c r="S16">
        <f>SUM(S4:S15)</f>
        <v>11</v>
      </c>
      <c r="T16">
        <f>SUM(T4:T15)</f>
        <v>10</v>
      </c>
      <c r="U16">
        <f>SUM(U4:U15)</f>
        <v>119</v>
      </c>
      <c r="V16">
        <f>SUM(V4:V15)</f>
        <v>0</v>
      </c>
      <c r="W16">
        <f>SUM(W4:W15)</f>
        <v>20</v>
      </c>
      <c r="Z16">
        <f t="shared" ref="Z16:Z27" si="35">COUNTIF(Z2:AC2, "3")*COUNTIF(C4, "r")+COUNTIF(Z2:AC2, "5")*COUNTIF(C4, "b")</f>
        <v>0</v>
      </c>
      <c r="AA16">
        <f t="shared" ref="AA16:AA27" si="36">COUNTIF(Z2:AC2, "1")+COUNTIF(Z2:AC2, "2")+COUNTIF(Z2:AC2, "4")</f>
        <v>0</v>
      </c>
      <c r="AE16">
        <f t="shared" ref="AE16:AE27" si="37">COUNTIF(AE2:AI2, "3")*COUNTIF(C4, "r") + COUNTIF(AE2:AI2, "5")*COUNTIF(C4, "b")</f>
        <v>0</v>
      </c>
      <c r="AF16">
        <f t="shared" ref="AF16:AF27" si="38">COUNTIF(AE2:AI2, "1")+COUNTIF(AE2:AI2, "2")+COUNTIF(AE2:AI2, "4")</f>
        <v>0</v>
      </c>
      <c r="AG16">
        <f t="shared" ref="AG16:AG27" si="39">COUNTIF(AE2:AI2, "3")*COUNTIF(AE2:AI2, "b")+COUNTIF(AE2:AI2, "5")*COUNTIF(AE2:AI2, "r")</f>
        <v>0</v>
      </c>
      <c r="AK16">
        <f t="shared" ref="AK16:AK27" si="40">SUMPRODUCT(LEN($AK2:$BH2) - LEN(SUBSTITUTE($AK2:$BH2, "g", "")))</f>
        <v>0</v>
      </c>
      <c r="AL16">
        <f t="shared" ref="AL16:AL27" si="41">SUMPRODUCT(LEN($AK2:$BH2) - LEN(SUBSTITUTE($AK2:$BH2, "h", "")))</f>
        <v>0</v>
      </c>
      <c r="AM16">
        <f t="shared" ref="AM16:AM27" si="42">SUMPRODUCT(LEN($AK2:$BH2) - LEN(SUBSTITUTE($AK2:$BH2, "v", "")))</f>
        <v>0</v>
      </c>
      <c r="AN16">
        <f t="shared" ref="AN16:AN27" si="43">SUMPRODUCT(LEN($AK2:$BH2) - LEN(SUBSTITUTE($AK2:$BH2, "r", "")))</f>
        <v>0</v>
      </c>
      <c r="AP16">
        <f>MAX(AQ16:BN16)</f>
        <v>0</v>
      </c>
      <c r="AQ16" s="4">
        <f>_xlfn.NUMBERVALUE(RIGHT(AK2,1))</f>
        <v>0</v>
      </c>
      <c r="AR16" s="4">
        <f t="shared" ref="AR16:BG27" si="44">_xlfn.NUMBERVALUE(RIGHT(AL2,1))</f>
        <v>0</v>
      </c>
      <c r="AS16" s="4">
        <f t="shared" si="44"/>
        <v>0</v>
      </c>
      <c r="AT16" s="4">
        <f t="shared" si="44"/>
        <v>0</v>
      </c>
      <c r="AU16" s="4">
        <f t="shared" si="44"/>
        <v>0</v>
      </c>
      <c r="AV16" s="4">
        <f t="shared" si="44"/>
        <v>0</v>
      </c>
      <c r="AW16" s="4">
        <f t="shared" si="44"/>
        <v>0</v>
      </c>
      <c r="AX16" s="4">
        <f t="shared" si="44"/>
        <v>0</v>
      </c>
      <c r="AY16" s="4">
        <f t="shared" si="44"/>
        <v>0</v>
      </c>
      <c r="AZ16" s="4">
        <f t="shared" si="44"/>
        <v>0</v>
      </c>
      <c r="BA16" s="4">
        <f t="shared" si="44"/>
        <v>0</v>
      </c>
      <c r="BB16" s="4">
        <f t="shared" si="44"/>
        <v>0</v>
      </c>
      <c r="BC16" s="4">
        <f t="shared" si="44"/>
        <v>0</v>
      </c>
      <c r="BD16" s="4">
        <f t="shared" si="44"/>
        <v>0</v>
      </c>
      <c r="BE16" s="4">
        <f t="shared" si="44"/>
        <v>0</v>
      </c>
      <c r="BF16" s="4">
        <f t="shared" si="44"/>
        <v>0</v>
      </c>
      <c r="BG16" s="4">
        <f t="shared" si="44"/>
        <v>0</v>
      </c>
      <c r="BH16" s="4">
        <f t="shared" ref="BH16:BN27" si="45">_xlfn.NUMBERVALUE(RIGHT(BB2,1))</f>
        <v>0</v>
      </c>
      <c r="BI16" s="4">
        <f t="shared" si="45"/>
        <v>0</v>
      </c>
      <c r="BJ16" s="4">
        <f t="shared" si="45"/>
        <v>0</v>
      </c>
      <c r="BK16" s="4">
        <f t="shared" si="45"/>
        <v>0</v>
      </c>
      <c r="BL16" s="4">
        <f t="shared" si="45"/>
        <v>0</v>
      </c>
      <c r="BM16" s="4">
        <f t="shared" si="45"/>
        <v>0</v>
      </c>
      <c r="BN16" s="4">
        <f t="shared" si="45"/>
        <v>0</v>
      </c>
    </row>
    <row r="17" spans="1:66" x14ac:dyDescent="0.2">
      <c r="A17" s="1" t="s">
        <v>20</v>
      </c>
      <c r="D17" s="1" t="s">
        <v>49</v>
      </c>
      <c r="G17" s="1" t="s">
        <v>52</v>
      </c>
      <c r="K17" s="3" t="s">
        <v>74</v>
      </c>
      <c r="P17" s="1" t="s">
        <v>66</v>
      </c>
      <c r="Z17">
        <f t="shared" si="35"/>
        <v>0</v>
      </c>
      <c r="AA17">
        <f t="shared" si="36"/>
        <v>0</v>
      </c>
      <c r="AE17">
        <f t="shared" si="37"/>
        <v>0</v>
      </c>
      <c r="AF17">
        <f t="shared" si="38"/>
        <v>0</v>
      </c>
      <c r="AG17">
        <f t="shared" si="39"/>
        <v>0</v>
      </c>
      <c r="AK17">
        <f t="shared" si="40"/>
        <v>0</v>
      </c>
      <c r="AL17">
        <f t="shared" si="41"/>
        <v>0</v>
      </c>
      <c r="AM17">
        <f t="shared" si="42"/>
        <v>0</v>
      </c>
      <c r="AN17">
        <f t="shared" si="43"/>
        <v>0</v>
      </c>
      <c r="AP17">
        <f t="shared" ref="AP17:AP27" si="46">MAX(AQ17:BN17)</f>
        <v>0</v>
      </c>
      <c r="AQ17" s="4">
        <f t="shared" ref="AQ17:AQ27" si="47">_xlfn.NUMBERVALUE(RIGHT(AK3,1))</f>
        <v>0</v>
      </c>
      <c r="AR17" s="4">
        <f t="shared" si="44"/>
        <v>0</v>
      </c>
      <c r="AS17" s="4">
        <f t="shared" si="44"/>
        <v>0</v>
      </c>
      <c r="AT17" s="4">
        <f t="shared" si="44"/>
        <v>0</v>
      </c>
      <c r="AU17" s="4">
        <f t="shared" si="44"/>
        <v>0</v>
      </c>
      <c r="AV17" s="4">
        <f t="shared" si="44"/>
        <v>0</v>
      </c>
      <c r="AW17" s="4">
        <f t="shared" si="44"/>
        <v>0</v>
      </c>
      <c r="AX17" s="4">
        <f t="shared" si="44"/>
        <v>0</v>
      </c>
      <c r="AY17" s="4">
        <f t="shared" si="44"/>
        <v>0</v>
      </c>
      <c r="AZ17" s="4">
        <f t="shared" si="44"/>
        <v>0</v>
      </c>
      <c r="BA17" s="4">
        <f t="shared" si="44"/>
        <v>0</v>
      </c>
      <c r="BB17" s="4">
        <f t="shared" si="44"/>
        <v>0</v>
      </c>
      <c r="BC17" s="4">
        <f t="shared" si="44"/>
        <v>0</v>
      </c>
      <c r="BD17" s="4">
        <f t="shared" si="44"/>
        <v>0</v>
      </c>
      <c r="BE17" s="4">
        <f t="shared" si="44"/>
        <v>0</v>
      </c>
      <c r="BF17" s="4">
        <f t="shared" si="44"/>
        <v>0</v>
      </c>
      <c r="BG17" s="4">
        <f t="shared" si="44"/>
        <v>0</v>
      </c>
      <c r="BH17" s="4">
        <f t="shared" si="45"/>
        <v>0</v>
      </c>
      <c r="BI17" s="4">
        <f t="shared" si="45"/>
        <v>0</v>
      </c>
      <c r="BJ17" s="4">
        <f t="shared" si="45"/>
        <v>0</v>
      </c>
      <c r="BK17" s="4">
        <f t="shared" si="45"/>
        <v>0</v>
      </c>
      <c r="BL17" s="4">
        <f t="shared" si="45"/>
        <v>0</v>
      </c>
      <c r="BM17" s="4">
        <f t="shared" si="45"/>
        <v>0</v>
      </c>
      <c r="BN17" s="4">
        <f t="shared" si="45"/>
        <v>0</v>
      </c>
    </row>
    <row r="18" spans="1:66" x14ac:dyDescent="0.2">
      <c r="A18" t="s">
        <v>32</v>
      </c>
      <c r="B18" t="s">
        <v>21</v>
      </c>
      <c r="D18" t="s">
        <v>180</v>
      </c>
      <c r="G18" s="3" t="s">
        <v>53</v>
      </c>
      <c r="K18" t="s">
        <v>55</v>
      </c>
      <c r="M18" t="s">
        <v>65</v>
      </c>
      <c r="P18" t="s">
        <v>67</v>
      </c>
      <c r="Z18">
        <f t="shared" si="35"/>
        <v>0</v>
      </c>
      <c r="AA18">
        <f t="shared" si="36"/>
        <v>0</v>
      </c>
      <c r="AE18">
        <f t="shared" si="37"/>
        <v>0</v>
      </c>
      <c r="AF18">
        <f t="shared" si="38"/>
        <v>2</v>
      </c>
      <c r="AG18">
        <f t="shared" si="39"/>
        <v>0</v>
      </c>
      <c r="AK18">
        <f t="shared" si="40"/>
        <v>1</v>
      </c>
      <c r="AL18">
        <f t="shared" si="41"/>
        <v>2</v>
      </c>
      <c r="AM18">
        <f t="shared" si="42"/>
        <v>0</v>
      </c>
      <c r="AN18">
        <f t="shared" si="43"/>
        <v>0</v>
      </c>
      <c r="AP18">
        <f t="shared" si="46"/>
        <v>2</v>
      </c>
      <c r="AQ18" s="4">
        <f t="shared" si="47"/>
        <v>1</v>
      </c>
      <c r="AR18" s="4">
        <f t="shared" si="44"/>
        <v>2</v>
      </c>
      <c r="AS18" s="4">
        <f t="shared" si="44"/>
        <v>2</v>
      </c>
      <c r="AT18" s="4">
        <f t="shared" si="44"/>
        <v>0</v>
      </c>
      <c r="AU18" s="4">
        <f t="shared" si="44"/>
        <v>0</v>
      </c>
      <c r="AV18" s="4">
        <f t="shared" si="44"/>
        <v>0</v>
      </c>
      <c r="AW18" s="4">
        <f t="shared" si="44"/>
        <v>0</v>
      </c>
      <c r="AX18" s="4">
        <f t="shared" si="44"/>
        <v>0</v>
      </c>
      <c r="AY18" s="4">
        <f t="shared" si="44"/>
        <v>0</v>
      </c>
      <c r="AZ18" s="4">
        <f t="shared" si="44"/>
        <v>0</v>
      </c>
      <c r="BA18" s="4">
        <f t="shared" si="44"/>
        <v>0</v>
      </c>
      <c r="BB18" s="4">
        <f t="shared" si="44"/>
        <v>0</v>
      </c>
      <c r="BC18" s="4">
        <f t="shared" si="44"/>
        <v>0</v>
      </c>
      <c r="BD18" s="4">
        <f t="shared" si="44"/>
        <v>0</v>
      </c>
      <c r="BE18" s="4">
        <f t="shared" si="44"/>
        <v>0</v>
      </c>
      <c r="BF18" s="4">
        <f t="shared" si="44"/>
        <v>0</v>
      </c>
      <c r="BG18" s="4">
        <f t="shared" si="44"/>
        <v>0</v>
      </c>
      <c r="BH18" s="4">
        <f t="shared" si="45"/>
        <v>0</v>
      </c>
      <c r="BI18" s="4">
        <f t="shared" si="45"/>
        <v>0</v>
      </c>
      <c r="BJ18" s="4">
        <f t="shared" si="45"/>
        <v>0</v>
      </c>
      <c r="BK18" s="4">
        <f t="shared" si="45"/>
        <v>0</v>
      </c>
      <c r="BL18" s="4">
        <f t="shared" si="45"/>
        <v>0</v>
      </c>
      <c r="BM18" s="4">
        <f t="shared" si="45"/>
        <v>0</v>
      </c>
      <c r="BN18" s="4">
        <f t="shared" si="45"/>
        <v>0</v>
      </c>
    </row>
    <row r="19" spans="1:66" x14ac:dyDescent="0.2">
      <c r="A19" t="s">
        <v>40</v>
      </c>
      <c r="B19" t="s">
        <v>22</v>
      </c>
      <c r="D19">
        <f>E16/D16</f>
        <v>0.5</v>
      </c>
      <c r="G19" t="s">
        <v>75</v>
      </c>
      <c r="K19">
        <f>O16/N16</f>
        <v>0.94594594594594594</v>
      </c>
      <c r="M19">
        <f>SUM(M39:M50)</f>
        <v>-2</v>
      </c>
      <c r="P19">
        <f>T16/S16</f>
        <v>0.90909090909090906</v>
      </c>
      <c r="Z19">
        <f t="shared" si="35"/>
        <v>0</v>
      </c>
      <c r="AA19">
        <f t="shared" si="36"/>
        <v>0</v>
      </c>
      <c r="AE19">
        <f t="shared" si="37"/>
        <v>0</v>
      </c>
      <c r="AF19">
        <f t="shared" si="38"/>
        <v>0</v>
      </c>
      <c r="AG19">
        <f t="shared" si="39"/>
        <v>0</v>
      </c>
      <c r="AK19">
        <f t="shared" si="40"/>
        <v>0</v>
      </c>
      <c r="AL19">
        <f t="shared" si="41"/>
        <v>0</v>
      </c>
      <c r="AM19">
        <f t="shared" si="42"/>
        <v>0</v>
      </c>
      <c r="AN19">
        <f t="shared" si="43"/>
        <v>0</v>
      </c>
      <c r="AP19">
        <f t="shared" si="46"/>
        <v>0</v>
      </c>
      <c r="AQ19" s="4">
        <f t="shared" si="47"/>
        <v>0</v>
      </c>
      <c r="AR19" s="4">
        <f t="shared" si="44"/>
        <v>0</v>
      </c>
      <c r="AS19" s="4">
        <f t="shared" si="44"/>
        <v>0</v>
      </c>
      <c r="AT19" s="4">
        <f t="shared" si="44"/>
        <v>0</v>
      </c>
      <c r="AU19" s="4">
        <f t="shared" si="44"/>
        <v>0</v>
      </c>
      <c r="AV19" s="4">
        <f t="shared" si="44"/>
        <v>0</v>
      </c>
      <c r="AW19" s="4">
        <f t="shared" si="44"/>
        <v>0</v>
      </c>
      <c r="AX19" s="4">
        <f t="shared" si="44"/>
        <v>0</v>
      </c>
      <c r="AY19" s="4">
        <f t="shared" si="44"/>
        <v>0</v>
      </c>
      <c r="AZ19" s="4">
        <f t="shared" si="44"/>
        <v>0</v>
      </c>
      <c r="BA19" s="4">
        <f t="shared" si="44"/>
        <v>0</v>
      </c>
      <c r="BB19" s="4">
        <f t="shared" si="44"/>
        <v>0</v>
      </c>
      <c r="BC19" s="4">
        <f t="shared" si="44"/>
        <v>0</v>
      </c>
      <c r="BD19" s="4">
        <f t="shared" si="44"/>
        <v>0</v>
      </c>
      <c r="BE19" s="4">
        <f t="shared" si="44"/>
        <v>0</v>
      </c>
      <c r="BF19" s="4">
        <f t="shared" si="44"/>
        <v>0</v>
      </c>
      <c r="BG19" s="4">
        <f t="shared" si="44"/>
        <v>0</v>
      </c>
      <c r="BH19" s="4">
        <f t="shared" si="45"/>
        <v>0</v>
      </c>
      <c r="BI19" s="4">
        <f t="shared" si="45"/>
        <v>0</v>
      </c>
      <c r="BJ19" s="4">
        <f t="shared" si="45"/>
        <v>0</v>
      </c>
      <c r="BK19" s="4">
        <f t="shared" si="45"/>
        <v>0</v>
      </c>
      <c r="BL19" s="4">
        <f t="shared" si="45"/>
        <v>0</v>
      </c>
      <c r="BM19" s="4">
        <f t="shared" si="45"/>
        <v>0</v>
      </c>
      <c r="BN19" s="4">
        <f t="shared" si="45"/>
        <v>0</v>
      </c>
    </row>
    <row r="20" spans="1:66" x14ac:dyDescent="0.2">
      <c r="A20" t="s">
        <v>41</v>
      </c>
      <c r="B20" t="s">
        <v>23</v>
      </c>
      <c r="D20" t="s">
        <v>47</v>
      </c>
      <c r="G20">
        <f>AK28/AP28</f>
        <v>0.7142857142857143</v>
      </c>
      <c r="K20" t="s">
        <v>13</v>
      </c>
      <c r="Z20">
        <f t="shared" si="35"/>
        <v>1</v>
      </c>
      <c r="AA20">
        <f t="shared" si="36"/>
        <v>0</v>
      </c>
      <c r="AE20">
        <f t="shared" si="37"/>
        <v>0</v>
      </c>
      <c r="AF20">
        <f t="shared" si="38"/>
        <v>0</v>
      </c>
      <c r="AG20">
        <f t="shared" si="39"/>
        <v>0</v>
      </c>
      <c r="AK20">
        <f t="shared" si="40"/>
        <v>1</v>
      </c>
      <c r="AL20">
        <f t="shared" si="41"/>
        <v>0</v>
      </c>
      <c r="AM20">
        <f t="shared" si="42"/>
        <v>0</v>
      </c>
      <c r="AN20">
        <f t="shared" si="43"/>
        <v>0</v>
      </c>
      <c r="AP20">
        <f t="shared" si="46"/>
        <v>1</v>
      </c>
      <c r="AQ20" s="4">
        <f t="shared" si="47"/>
        <v>1</v>
      </c>
      <c r="AR20" s="4">
        <f t="shared" si="44"/>
        <v>0</v>
      </c>
      <c r="AS20" s="4">
        <f t="shared" si="44"/>
        <v>0</v>
      </c>
      <c r="AT20" s="4">
        <f t="shared" si="44"/>
        <v>0</v>
      </c>
      <c r="AU20" s="4">
        <f t="shared" si="44"/>
        <v>0</v>
      </c>
      <c r="AV20" s="4">
        <f t="shared" si="44"/>
        <v>0</v>
      </c>
      <c r="AW20" s="4">
        <f t="shared" si="44"/>
        <v>0</v>
      </c>
      <c r="AX20" s="4">
        <f t="shared" si="44"/>
        <v>0</v>
      </c>
      <c r="AY20" s="4">
        <f t="shared" si="44"/>
        <v>0</v>
      </c>
      <c r="AZ20" s="4">
        <f t="shared" si="44"/>
        <v>0</v>
      </c>
      <c r="BA20" s="4">
        <f t="shared" si="44"/>
        <v>0</v>
      </c>
      <c r="BB20" s="4">
        <f t="shared" si="44"/>
        <v>0</v>
      </c>
      <c r="BC20" s="4">
        <f t="shared" si="44"/>
        <v>0</v>
      </c>
      <c r="BD20" s="4">
        <f t="shared" si="44"/>
        <v>0</v>
      </c>
      <c r="BE20" s="4">
        <f t="shared" si="44"/>
        <v>0</v>
      </c>
      <c r="BF20" s="4">
        <f t="shared" si="44"/>
        <v>0</v>
      </c>
      <c r="BG20" s="4">
        <f t="shared" si="44"/>
        <v>0</v>
      </c>
      <c r="BH20" s="4">
        <f t="shared" si="45"/>
        <v>0</v>
      </c>
      <c r="BI20" s="4">
        <f t="shared" si="45"/>
        <v>0</v>
      </c>
      <c r="BJ20" s="4">
        <f t="shared" si="45"/>
        <v>0</v>
      </c>
      <c r="BK20" s="4">
        <f t="shared" si="45"/>
        <v>0</v>
      </c>
      <c r="BL20" s="4">
        <f t="shared" si="45"/>
        <v>0</v>
      </c>
      <c r="BM20" s="4">
        <f t="shared" si="45"/>
        <v>0</v>
      </c>
      <c r="BN20" s="4">
        <f t="shared" si="45"/>
        <v>0</v>
      </c>
    </row>
    <row r="21" spans="1:66" x14ac:dyDescent="0.2">
      <c r="A21" s="1" t="s">
        <v>24</v>
      </c>
      <c r="D21">
        <f>G16/A31</f>
        <v>3.0833333333333335</v>
      </c>
      <c r="G21" t="s">
        <v>76</v>
      </c>
      <c r="K21" t="s">
        <v>57</v>
      </c>
      <c r="L21" t="s">
        <v>58</v>
      </c>
      <c r="M21" t="s">
        <v>59</v>
      </c>
      <c r="N21" t="s">
        <v>60</v>
      </c>
      <c r="Z21">
        <f t="shared" si="35"/>
        <v>0</v>
      </c>
      <c r="AA21">
        <f t="shared" si="36"/>
        <v>0</v>
      </c>
      <c r="AE21">
        <f t="shared" si="37"/>
        <v>0</v>
      </c>
      <c r="AF21">
        <f t="shared" si="38"/>
        <v>0</v>
      </c>
      <c r="AG21">
        <f t="shared" si="39"/>
        <v>0</v>
      </c>
      <c r="AK21">
        <f t="shared" si="40"/>
        <v>0</v>
      </c>
      <c r="AL21">
        <f t="shared" si="41"/>
        <v>0</v>
      </c>
      <c r="AM21">
        <f t="shared" si="42"/>
        <v>0</v>
      </c>
      <c r="AN21">
        <f t="shared" si="43"/>
        <v>0</v>
      </c>
      <c r="AP21">
        <f t="shared" si="46"/>
        <v>0</v>
      </c>
      <c r="AQ21" s="4">
        <f t="shared" si="47"/>
        <v>0</v>
      </c>
      <c r="AR21" s="4">
        <f t="shared" si="44"/>
        <v>0</v>
      </c>
      <c r="AS21" s="4">
        <f t="shared" si="44"/>
        <v>0</v>
      </c>
      <c r="AT21" s="4">
        <f t="shared" si="44"/>
        <v>0</v>
      </c>
      <c r="AU21" s="4">
        <f t="shared" si="44"/>
        <v>0</v>
      </c>
      <c r="AV21" s="4">
        <f t="shared" si="44"/>
        <v>0</v>
      </c>
      <c r="AW21" s="4">
        <f t="shared" si="44"/>
        <v>0</v>
      </c>
      <c r="AX21" s="4">
        <f t="shared" si="44"/>
        <v>0</v>
      </c>
      <c r="AY21" s="4">
        <f t="shared" si="44"/>
        <v>0</v>
      </c>
      <c r="AZ21" s="4">
        <f t="shared" si="44"/>
        <v>0</v>
      </c>
      <c r="BA21" s="4">
        <f t="shared" si="44"/>
        <v>0</v>
      </c>
      <c r="BB21" s="4">
        <f t="shared" si="44"/>
        <v>0</v>
      </c>
      <c r="BC21" s="4">
        <f t="shared" si="44"/>
        <v>0</v>
      </c>
      <c r="BD21" s="4">
        <f t="shared" si="44"/>
        <v>0</v>
      </c>
      <c r="BE21" s="4">
        <f t="shared" si="44"/>
        <v>0</v>
      </c>
      <c r="BF21" s="4">
        <f t="shared" si="44"/>
        <v>0</v>
      </c>
      <c r="BG21" s="4">
        <f t="shared" si="44"/>
        <v>0</v>
      </c>
      <c r="BH21" s="4">
        <f t="shared" si="45"/>
        <v>0</v>
      </c>
      <c r="BI21" s="4">
        <f t="shared" si="45"/>
        <v>0</v>
      </c>
      <c r="BJ21" s="4">
        <f t="shared" si="45"/>
        <v>0</v>
      </c>
      <c r="BK21" s="4">
        <f t="shared" si="45"/>
        <v>0</v>
      </c>
      <c r="BL21" s="4">
        <f t="shared" si="45"/>
        <v>0</v>
      </c>
      <c r="BM21" s="4">
        <f t="shared" si="45"/>
        <v>0</v>
      </c>
      <c r="BN21" s="4">
        <f t="shared" si="45"/>
        <v>0</v>
      </c>
    </row>
    <row r="22" spans="1:66" x14ac:dyDescent="0.2">
      <c r="A22" t="s">
        <v>36</v>
      </c>
      <c r="B22" t="s">
        <v>10</v>
      </c>
      <c r="D22" t="s">
        <v>48</v>
      </c>
      <c r="G22">
        <f>AL28/AP28</f>
        <v>0.5714285714285714</v>
      </c>
      <c r="K22">
        <f>AVERAGE(C39:C50)</f>
        <v>2.9166666666666665</v>
      </c>
      <c r="L22">
        <f>MEDIAN(C39:C50)</f>
        <v>3</v>
      </c>
      <c r="M22">
        <f>MAX(C39:C50)</f>
        <v>5</v>
      </c>
      <c r="N22">
        <f>_xlfn.STDEV.S(C39:C50)</f>
        <v>1.3789543689024493</v>
      </c>
      <c r="Z22">
        <f t="shared" si="35"/>
        <v>0</v>
      </c>
      <c r="AA22">
        <f t="shared" si="36"/>
        <v>0</v>
      </c>
      <c r="AE22">
        <f t="shared" si="37"/>
        <v>0</v>
      </c>
      <c r="AF22">
        <f t="shared" si="38"/>
        <v>0</v>
      </c>
      <c r="AG22">
        <f t="shared" si="39"/>
        <v>0</v>
      </c>
      <c r="AK22">
        <f t="shared" si="40"/>
        <v>0</v>
      </c>
      <c r="AL22">
        <f t="shared" si="41"/>
        <v>1</v>
      </c>
      <c r="AM22">
        <f t="shared" si="42"/>
        <v>0</v>
      </c>
      <c r="AN22">
        <f t="shared" si="43"/>
        <v>0</v>
      </c>
      <c r="AP22">
        <f t="shared" si="46"/>
        <v>1</v>
      </c>
      <c r="AQ22" s="4">
        <f t="shared" si="47"/>
        <v>1</v>
      </c>
      <c r="AR22" s="4">
        <f t="shared" si="44"/>
        <v>0</v>
      </c>
      <c r="AS22" s="4">
        <f t="shared" si="44"/>
        <v>0</v>
      </c>
      <c r="AT22" s="4">
        <f t="shared" si="44"/>
        <v>0</v>
      </c>
      <c r="AU22" s="4">
        <f t="shared" si="44"/>
        <v>0</v>
      </c>
      <c r="AV22" s="4">
        <f t="shared" si="44"/>
        <v>0</v>
      </c>
      <c r="AW22" s="4">
        <f t="shared" si="44"/>
        <v>0</v>
      </c>
      <c r="AX22" s="4">
        <f t="shared" si="44"/>
        <v>0</v>
      </c>
      <c r="AY22" s="4">
        <f t="shared" si="44"/>
        <v>0</v>
      </c>
      <c r="AZ22" s="4">
        <f t="shared" si="44"/>
        <v>0</v>
      </c>
      <c r="BA22" s="4">
        <f t="shared" si="44"/>
        <v>0</v>
      </c>
      <c r="BB22" s="4">
        <f t="shared" si="44"/>
        <v>0</v>
      </c>
      <c r="BC22" s="4">
        <f t="shared" si="44"/>
        <v>0</v>
      </c>
      <c r="BD22" s="4">
        <f t="shared" si="44"/>
        <v>0</v>
      </c>
      <c r="BE22" s="4">
        <f t="shared" si="44"/>
        <v>0</v>
      </c>
      <c r="BF22" s="4">
        <f t="shared" si="44"/>
        <v>0</v>
      </c>
      <c r="BG22" s="4">
        <f t="shared" si="44"/>
        <v>0</v>
      </c>
      <c r="BH22" s="4">
        <f t="shared" si="45"/>
        <v>0</v>
      </c>
      <c r="BI22" s="4">
        <f t="shared" si="45"/>
        <v>0</v>
      </c>
      <c r="BJ22" s="4">
        <f t="shared" si="45"/>
        <v>0</v>
      </c>
      <c r="BK22" s="4">
        <f t="shared" si="45"/>
        <v>0</v>
      </c>
      <c r="BL22" s="4">
        <f t="shared" si="45"/>
        <v>0</v>
      </c>
      <c r="BM22" s="4">
        <f t="shared" si="45"/>
        <v>0</v>
      </c>
      <c r="BN22" s="4">
        <f t="shared" si="45"/>
        <v>0</v>
      </c>
    </row>
    <row r="23" spans="1:66" x14ac:dyDescent="0.2">
      <c r="A23" t="s">
        <v>37</v>
      </c>
      <c r="B23" t="s">
        <v>25</v>
      </c>
      <c r="D23">
        <f>H16/A31</f>
        <v>0</v>
      </c>
      <c r="G23" t="s">
        <v>77</v>
      </c>
      <c r="K23" t="s">
        <v>8</v>
      </c>
      <c r="Z23">
        <f t="shared" si="35"/>
        <v>1</v>
      </c>
      <c r="AA23">
        <f t="shared" si="36"/>
        <v>0</v>
      </c>
      <c r="AE23">
        <f t="shared" si="37"/>
        <v>0</v>
      </c>
      <c r="AF23">
        <f t="shared" si="38"/>
        <v>0</v>
      </c>
      <c r="AG23">
        <f t="shared" si="39"/>
        <v>0</v>
      </c>
      <c r="AK23">
        <f t="shared" si="40"/>
        <v>0</v>
      </c>
      <c r="AL23">
        <f t="shared" si="41"/>
        <v>0</v>
      </c>
      <c r="AM23">
        <f t="shared" si="42"/>
        <v>0</v>
      </c>
      <c r="AN23">
        <f t="shared" si="43"/>
        <v>0</v>
      </c>
      <c r="AP23">
        <f t="shared" si="46"/>
        <v>0</v>
      </c>
      <c r="AQ23" s="4">
        <f t="shared" si="47"/>
        <v>0</v>
      </c>
      <c r="AR23" s="4">
        <f t="shared" si="44"/>
        <v>0</v>
      </c>
      <c r="AS23" s="4">
        <f t="shared" si="44"/>
        <v>0</v>
      </c>
      <c r="AT23" s="4">
        <f t="shared" si="44"/>
        <v>0</v>
      </c>
      <c r="AU23" s="4">
        <f t="shared" si="44"/>
        <v>0</v>
      </c>
      <c r="AV23" s="4">
        <f t="shared" si="44"/>
        <v>0</v>
      </c>
      <c r="AW23" s="4">
        <f t="shared" si="44"/>
        <v>0</v>
      </c>
      <c r="AX23" s="4">
        <f t="shared" si="44"/>
        <v>0</v>
      </c>
      <c r="AY23" s="4">
        <f t="shared" si="44"/>
        <v>0</v>
      </c>
      <c r="AZ23" s="4">
        <f t="shared" si="44"/>
        <v>0</v>
      </c>
      <c r="BA23" s="4">
        <f t="shared" si="44"/>
        <v>0</v>
      </c>
      <c r="BB23" s="4">
        <f t="shared" si="44"/>
        <v>0</v>
      </c>
      <c r="BC23" s="4">
        <f t="shared" si="44"/>
        <v>0</v>
      </c>
      <c r="BD23" s="4">
        <f t="shared" si="44"/>
        <v>0</v>
      </c>
      <c r="BE23" s="4">
        <f t="shared" si="44"/>
        <v>0</v>
      </c>
      <c r="BF23" s="4">
        <f t="shared" si="44"/>
        <v>0</v>
      </c>
      <c r="BG23" s="4">
        <f t="shared" si="44"/>
        <v>0</v>
      </c>
      <c r="BH23" s="4">
        <f t="shared" si="45"/>
        <v>0</v>
      </c>
      <c r="BI23" s="4">
        <f t="shared" si="45"/>
        <v>0</v>
      </c>
      <c r="BJ23" s="4">
        <f t="shared" si="45"/>
        <v>0</v>
      </c>
      <c r="BK23" s="4">
        <f t="shared" si="45"/>
        <v>0</v>
      </c>
      <c r="BL23" s="4">
        <f t="shared" si="45"/>
        <v>0</v>
      </c>
      <c r="BM23" s="4">
        <f t="shared" si="45"/>
        <v>0</v>
      </c>
      <c r="BN23" s="4">
        <f t="shared" si="45"/>
        <v>0</v>
      </c>
    </row>
    <row r="24" spans="1:66" x14ac:dyDescent="0.2">
      <c r="A24" t="s">
        <v>38</v>
      </c>
      <c r="B24" t="s">
        <v>26</v>
      </c>
      <c r="D24" t="s">
        <v>50</v>
      </c>
      <c r="G24">
        <f>AM28/AP28</f>
        <v>0</v>
      </c>
      <c r="K24" t="s">
        <v>57</v>
      </c>
      <c r="L24" t="s">
        <v>61</v>
      </c>
      <c r="M24" t="s">
        <v>59</v>
      </c>
      <c r="N24" t="s">
        <v>60</v>
      </c>
      <c r="Z24">
        <f t="shared" si="35"/>
        <v>0</v>
      </c>
      <c r="AA24">
        <f t="shared" si="36"/>
        <v>0</v>
      </c>
      <c r="AE24">
        <f t="shared" si="37"/>
        <v>0</v>
      </c>
      <c r="AF24">
        <f t="shared" si="38"/>
        <v>0</v>
      </c>
      <c r="AG24">
        <f t="shared" si="39"/>
        <v>0</v>
      </c>
      <c r="AK24">
        <f t="shared" si="40"/>
        <v>0</v>
      </c>
      <c r="AL24">
        <f t="shared" si="41"/>
        <v>0</v>
      </c>
      <c r="AM24">
        <f t="shared" si="42"/>
        <v>0</v>
      </c>
      <c r="AN24">
        <f t="shared" si="43"/>
        <v>0</v>
      </c>
      <c r="AP24">
        <f t="shared" si="46"/>
        <v>0</v>
      </c>
      <c r="AQ24" s="4">
        <f t="shared" si="47"/>
        <v>0</v>
      </c>
      <c r="AR24" s="4">
        <f t="shared" si="44"/>
        <v>0</v>
      </c>
      <c r="AS24" s="4">
        <f t="shared" si="44"/>
        <v>0</v>
      </c>
      <c r="AT24" s="4">
        <f t="shared" si="44"/>
        <v>0</v>
      </c>
      <c r="AU24" s="4">
        <f t="shared" si="44"/>
        <v>0</v>
      </c>
      <c r="AV24" s="4">
        <f t="shared" si="44"/>
        <v>0</v>
      </c>
      <c r="AW24" s="4">
        <f t="shared" si="44"/>
        <v>0</v>
      </c>
      <c r="AX24" s="4">
        <f t="shared" si="44"/>
        <v>0</v>
      </c>
      <c r="AY24" s="4">
        <f t="shared" si="44"/>
        <v>0</v>
      </c>
      <c r="AZ24" s="4">
        <f t="shared" si="44"/>
        <v>0</v>
      </c>
      <c r="BA24" s="4">
        <f t="shared" si="44"/>
        <v>0</v>
      </c>
      <c r="BB24" s="4">
        <f t="shared" si="44"/>
        <v>0</v>
      </c>
      <c r="BC24" s="4">
        <f t="shared" si="44"/>
        <v>0</v>
      </c>
      <c r="BD24" s="4">
        <f t="shared" si="44"/>
        <v>0</v>
      </c>
      <c r="BE24" s="4">
        <f t="shared" si="44"/>
        <v>0</v>
      </c>
      <c r="BF24" s="4">
        <f t="shared" si="44"/>
        <v>0</v>
      </c>
      <c r="BG24" s="4">
        <f t="shared" si="44"/>
        <v>0</v>
      </c>
      <c r="BH24" s="4">
        <f t="shared" si="45"/>
        <v>0</v>
      </c>
      <c r="BI24" s="4">
        <f t="shared" si="45"/>
        <v>0</v>
      </c>
      <c r="BJ24" s="4">
        <f t="shared" si="45"/>
        <v>0</v>
      </c>
      <c r="BK24" s="4">
        <f t="shared" si="45"/>
        <v>0</v>
      </c>
      <c r="BL24" s="4">
        <f t="shared" si="45"/>
        <v>0</v>
      </c>
      <c r="BM24" s="4">
        <f t="shared" si="45"/>
        <v>0</v>
      </c>
      <c r="BN24" s="4">
        <f t="shared" si="45"/>
        <v>0</v>
      </c>
    </row>
    <row r="25" spans="1:66" x14ac:dyDescent="0.2">
      <c r="A25" t="s">
        <v>39</v>
      </c>
      <c r="B25" t="s">
        <v>27</v>
      </c>
      <c r="D25">
        <f>Z28/A31</f>
        <v>0.25</v>
      </c>
      <c r="G25" t="s">
        <v>78</v>
      </c>
      <c r="K25">
        <f>AVERAGE(E39:E50)</f>
        <v>0</v>
      </c>
      <c r="L25">
        <f>MEDIAN(E39:E50)</f>
        <v>0</v>
      </c>
      <c r="M25">
        <f>MAX(E39:E50)</f>
        <v>0</v>
      </c>
      <c r="N25">
        <f>_xlfn.STDEV.S(E39:E50)</f>
        <v>0</v>
      </c>
      <c r="Z25">
        <f t="shared" si="35"/>
        <v>0</v>
      </c>
      <c r="AA25">
        <f t="shared" si="36"/>
        <v>1</v>
      </c>
      <c r="AE25">
        <f t="shared" si="37"/>
        <v>0</v>
      </c>
      <c r="AF25">
        <f t="shared" si="38"/>
        <v>0</v>
      </c>
      <c r="AG25">
        <f t="shared" si="39"/>
        <v>0</v>
      </c>
      <c r="AK25">
        <f t="shared" si="40"/>
        <v>1</v>
      </c>
      <c r="AL25">
        <f t="shared" si="41"/>
        <v>1</v>
      </c>
      <c r="AM25">
        <f t="shared" si="42"/>
        <v>0</v>
      </c>
      <c r="AN25">
        <f t="shared" si="43"/>
        <v>0</v>
      </c>
      <c r="AP25">
        <f t="shared" si="46"/>
        <v>1</v>
      </c>
      <c r="AQ25" s="4">
        <f t="shared" si="47"/>
        <v>1</v>
      </c>
      <c r="AR25" s="4">
        <f t="shared" si="44"/>
        <v>1</v>
      </c>
      <c r="AS25" s="4">
        <f t="shared" si="44"/>
        <v>0</v>
      </c>
      <c r="AT25" s="4">
        <f t="shared" si="44"/>
        <v>0</v>
      </c>
      <c r="AU25" s="4">
        <f t="shared" si="44"/>
        <v>0</v>
      </c>
      <c r="AV25" s="4">
        <f t="shared" si="44"/>
        <v>0</v>
      </c>
      <c r="AW25" s="4">
        <f t="shared" si="44"/>
        <v>0</v>
      </c>
      <c r="AX25" s="4">
        <f t="shared" si="44"/>
        <v>0</v>
      </c>
      <c r="AY25" s="4">
        <f t="shared" si="44"/>
        <v>0</v>
      </c>
      <c r="AZ25" s="4">
        <f t="shared" si="44"/>
        <v>0</v>
      </c>
      <c r="BA25" s="4">
        <f t="shared" si="44"/>
        <v>0</v>
      </c>
      <c r="BB25" s="4">
        <f t="shared" si="44"/>
        <v>0</v>
      </c>
      <c r="BC25" s="4">
        <f t="shared" si="44"/>
        <v>0</v>
      </c>
      <c r="BD25" s="4">
        <f t="shared" si="44"/>
        <v>0</v>
      </c>
      <c r="BE25" s="4">
        <f t="shared" si="44"/>
        <v>0</v>
      </c>
      <c r="BF25" s="4">
        <f t="shared" si="44"/>
        <v>0</v>
      </c>
      <c r="BG25" s="4">
        <f t="shared" si="44"/>
        <v>0</v>
      </c>
      <c r="BH25" s="4">
        <f t="shared" si="45"/>
        <v>0</v>
      </c>
      <c r="BI25" s="4">
        <f t="shared" si="45"/>
        <v>0</v>
      </c>
      <c r="BJ25" s="4">
        <f t="shared" si="45"/>
        <v>0</v>
      </c>
      <c r="BK25" s="4">
        <f t="shared" si="45"/>
        <v>0</v>
      </c>
      <c r="BL25" s="4">
        <f t="shared" si="45"/>
        <v>0</v>
      </c>
      <c r="BM25" s="4">
        <f t="shared" si="45"/>
        <v>0</v>
      </c>
      <c r="BN25" s="4">
        <f t="shared" si="45"/>
        <v>0</v>
      </c>
    </row>
    <row r="26" spans="1:66" x14ac:dyDescent="0.2">
      <c r="A26" t="s">
        <v>44</v>
      </c>
      <c r="D26" t="s">
        <v>51</v>
      </c>
      <c r="G26">
        <f>AN28/AP28</f>
        <v>0</v>
      </c>
      <c r="K26" t="s">
        <v>62</v>
      </c>
      <c r="P26" t="s">
        <v>19</v>
      </c>
      <c r="Z26">
        <f t="shared" si="35"/>
        <v>1</v>
      </c>
      <c r="AA26">
        <f t="shared" si="36"/>
        <v>0</v>
      </c>
      <c r="AE26">
        <f t="shared" si="37"/>
        <v>0</v>
      </c>
      <c r="AF26">
        <f t="shared" si="38"/>
        <v>0</v>
      </c>
      <c r="AG26">
        <f t="shared" si="39"/>
        <v>0</v>
      </c>
      <c r="AK26">
        <f t="shared" si="40"/>
        <v>2</v>
      </c>
      <c r="AL26">
        <f t="shared" si="41"/>
        <v>0</v>
      </c>
      <c r="AM26">
        <f t="shared" si="42"/>
        <v>0</v>
      </c>
      <c r="AN26">
        <f t="shared" si="43"/>
        <v>0</v>
      </c>
      <c r="AP26">
        <f t="shared" si="46"/>
        <v>2</v>
      </c>
      <c r="AQ26" s="4">
        <f t="shared" si="47"/>
        <v>1</v>
      </c>
      <c r="AR26" s="4">
        <f t="shared" si="44"/>
        <v>2</v>
      </c>
      <c r="AS26" s="4">
        <f t="shared" si="44"/>
        <v>0</v>
      </c>
      <c r="AT26" s="4">
        <f t="shared" si="44"/>
        <v>0</v>
      </c>
      <c r="AU26" s="4">
        <f t="shared" si="44"/>
        <v>0</v>
      </c>
      <c r="AV26" s="4">
        <f t="shared" si="44"/>
        <v>0</v>
      </c>
      <c r="AW26" s="4">
        <f t="shared" si="44"/>
        <v>0</v>
      </c>
      <c r="AX26" s="4">
        <f t="shared" si="44"/>
        <v>0</v>
      </c>
      <c r="AY26" s="4">
        <f t="shared" si="44"/>
        <v>0</v>
      </c>
      <c r="AZ26" s="4">
        <f t="shared" si="44"/>
        <v>0</v>
      </c>
      <c r="BA26" s="4">
        <f t="shared" si="44"/>
        <v>0</v>
      </c>
      <c r="BB26" s="4">
        <f t="shared" si="44"/>
        <v>0</v>
      </c>
      <c r="BC26" s="4">
        <f t="shared" si="44"/>
        <v>0</v>
      </c>
      <c r="BD26" s="4">
        <f t="shared" si="44"/>
        <v>0</v>
      </c>
      <c r="BE26" s="4">
        <f t="shared" si="44"/>
        <v>0</v>
      </c>
      <c r="BF26" s="4">
        <f t="shared" si="44"/>
        <v>0</v>
      </c>
      <c r="BG26" s="4">
        <f t="shared" si="44"/>
        <v>0</v>
      </c>
      <c r="BH26" s="4">
        <f t="shared" si="45"/>
        <v>0</v>
      </c>
      <c r="BI26" s="4">
        <f t="shared" si="45"/>
        <v>0</v>
      </c>
      <c r="BJ26" s="4">
        <f t="shared" si="45"/>
        <v>0</v>
      </c>
      <c r="BK26" s="4">
        <f t="shared" si="45"/>
        <v>0</v>
      </c>
      <c r="BL26" s="4">
        <f t="shared" si="45"/>
        <v>0</v>
      </c>
      <c r="BM26" s="4">
        <f t="shared" si="45"/>
        <v>0</v>
      </c>
      <c r="BN26" s="4">
        <f t="shared" si="45"/>
        <v>0</v>
      </c>
    </row>
    <row r="27" spans="1:66" x14ac:dyDescent="0.2">
      <c r="A27" t="s">
        <v>45</v>
      </c>
      <c r="D27">
        <f>AA28/A31</f>
        <v>8.3333333333333329E-2</v>
      </c>
      <c r="G27" t="s">
        <v>56</v>
      </c>
      <c r="K27" t="s">
        <v>57</v>
      </c>
      <c r="L27" t="s">
        <v>58</v>
      </c>
      <c r="M27" t="s">
        <v>59</v>
      </c>
      <c r="N27" t="s">
        <v>60</v>
      </c>
      <c r="P27" t="s">
        <v>57</v>
      </c>
      <c r="Q27" t="s">
        <v>58</v>
      </c>
      <c r="R27" t="s">
        <v>59</v>
      </c>
      <c r="S27" t="s">
        <v>60</v>
      </c>
      <c r="Z27">
        <f t="shared" si="35"/>
        <v>0</v>
      </c>
      <c r="AA27">
        <f t="shared" si="36"/>
        <v>0</v>
      </c>
      <c r="AE27">
        <f t="shared" si="37"/>
        <v>0</v>
      </c>
      <c r="AF27">
        <f t="shared" si="38"/>
        <v>0</v>
      </c>
      <c r="AG27">
        <f t="shared" si="39"/>
        <v>0</v>
      </c>
      <c r="AK27">
        <f t="shared" si="40"/>
        <v>0</v>
      </c>
      <c r="AL27">
        <f t="shared" si="41"/>
        <v>0</v>
      </c>
      <c r="AM27">
        <f t="shared" si="42"/>
        <v>0</v>
      </c>
      <c r="AN27">
        <f t="shared" si="43"/>
        <v>0</v>
      </c>
      <c r="AP27">
        <f t="shared" si="46"/>
        <v>0</v>
      </c>
      <c r="AQ27" s="4">
        <f t="shared" si="47"/>
        <v>0</v>
      </c>
      <c r="AR27" s="4">
        <f t="shared" si="44"/>
        <v>0</v>
      </c>
      <c r="AS27" s="4">
        <f t="shared" si="44"/>
        <v>0</v>
      </c>
      <c r="AT27" s="4">
        <f t="shared" si="44"/>
        <v>0</v>
      </c>
      <c r="AU27" s="4">
        <f t="shared" si="44"/>
        <v>0</v>
      </c>
      <c r="AV27" s="4">
        <f t="shared" si="44"/>
        <v>0</v>
      </c>
      <c r="AW27" s="4">
        <f t="shared" si="44"/>
        <v>0</v>
      </c>
      <c r="AX27" s="4">
        <f t="shared" si="44"/>
        <v>0</v>
      </c>
      <c r="AY27" s="4">
        <f t="shared" si="44"/>
        <v>0</v>
      </c>
      <c r="AZ27" s="4">
        <f t="shared" si="44"/>
        <v>0</v>
      </c>
      <c r="BA27" s="4">
        <f t="shared" si="44"/>
        <v>0</v>
      </c>
      <c r="BB27" s="4">
        <f t="shared" si="44"/>
        <v>0</v>
      </c>
      <c r="BC27" s="4">
        <f t="shared" si="44"/>
        <v>0</v>
      </c>
      <c r="BD27" s="4">
        <f t="shared" si="44"/>
        <v>0</v>
      </c>
      <c r="BE27" s="4">
        <f t="shared" si="44"/>
        <v>0</v>
      </c>
      <c r="BF27" s="4">
        <f t="shared" si="44"/>
        <v>0</v>
      </c>
      <c r="BG27" s="4">
        <f t="shared" si="44"/>
        <v>0</v>
      </c>
      <c r="BH27" s="4">
        <f t="shared" si="45"/>
        <v>0</v>
      </c>
      <c r="BI27" s="4">
        <f t="shared" si="45"/>
        <v>0</v>
      </c>
      <c r="BJ27" s="4">
        <f t="shared" si="45"/>
        <v>0</v>
      </c>
      <c r="BK27" s="4">
        <f t="shared" si="45"/>
        <v>0</v>
      </c>
      <c r="BL27" s="4">
        <f t="shared" si="45"/>
        <v>0</v>
      </c>
      <c r="BM27" s="4">
        <f t="shared" si="45"/>
        <v>0</v>
      </c>
      <c r="BN27" s="4">
        <f t="shared" si="45"/>
        <v>0</v>
      </c>
    </row>
    <row r="28" spans="1:66" x14ac:dyDescent="0.2">
      <c r="A28" t="s">
        <v>46</v>
      </c>
      <c r="D28" t="s">
        <v>202</v>
      </c>
      <c r="G28" t="s">
        <v>57</v>
      </c>
      <c r="H28" t="s">
        <v>58</v>
      </c>
      <c r="I28" t="s">
        <v>59</v>
      </c>
      <c r="J28" t="s">
        <v>60</v>
      </c>
      <c r="K28">
        <f>AVERAGE(G39:G50)</f>
        <v>0.66666666666666663</v>
      </c>
      <c r="L28">
        <f>MEDIAN(G39:G50)</f>
        <v>0.5</v>
      </c>
      <c r="M28">
        <f>MAX(G39:G50)</f>
        <v>2</v>
      </c>
      <c r="N28">
        <f>_xlfn.STDEV.S(G39:G50)</f>
        <v>0.77849894416152299</v>
      </c>
      <c r="P28">
        <f>AVERAGE(N39:N50)</f>
        <v>9.9166666666666661</v>
      </c>
      <c r="Q28">
        <f>MEDIAN(N39:N50)</f>
        <v>7</v>
      </c>
      <c r="R28">
        <f>MAX(N39:N50)</f>
        <v>47</v>
      </c>
      <c r="S28">
        <f>_xlfn.STDEV.S(N39:N50)</f>
        <v>13.013687433086005</v>
      </c>
      <c r="Y28" t="s">
        <v>33</v>
      </c>
      <c r="Z28">
        <f>SUM(Z16:Z27)</f>
        <v>3</v>
      </c>
      <c r="AA28">
        <f>SUM(AA16:AA27)</f>
        <v>1</v>
      </c>
      <c r="AE28">
        <f>SUM(AE16:AE27)</f>
        <v>0</v>
      </c>
      <c r="AF28">
        <f>SUM(AF16:AF27)</f>
        <v>2</v>
      </c>
      <c r="AG28">
        <f>SUM(AG16:AG27)</f>
        <v>0</v>
      </c>
      <c r="AK28">
        <f>SUM(AK16:AK27)</f>
        <v>5</v>
      </c>
      <c r="AL28">
        <f>SUM(AL16:AL27)</f>
        <v>4</v>
      </c>
      <c r="AM28">
        <f>SUM(AM16:AM27)</f>
        <v>0</v>
      </c>
      <c r="AN28">
        <f>SUM(AN16:AN27)</f>
        <v>0</v>
      </c>
      <c r="AP28">
        <f>SUM(AP16:AP27)</f>
        <v>7</v>
      </c>
    </row>
    <row r="29" spans="1:66" x14ac:dyDescent="0.2">
      <c r="D29">
        <f>SUM(O39:O50)/F16</f>
        <v>1</v>
      </c>
      <c r="G29">
        <f>AVERAGE(A39:A50)</f>
        <v>0.16666666666666666</v>
      </c>
      <c r="H29">
        <f>MEDIAN(A39:A50)</f>
        <v>0</v>
      </c>
      <c r="I29">
        <f>MAX(A39:A50)</f>
        <v>2</v>
      </c>
      <c r="J29">
        <f>_xlfn.STDEV.S(A39:A50)</f>
        <v>0.57735026918962573</v>
      </c>
      <c r="K29" t="s">
        <v>63</v>
      </c>
      <c r="P29" t="s">
        <v>148</v>
      </c>
    </row>
    <row r="30" spans="1:66" x14ac:dyDescent="0.2">
      <c r="A30" t="s">
        <v>147</v>
      </c>
      <c r="D30" t="s">
        <v>203</v>
      </c>
      <c r="G30" t="s">
        <v>50</v>
      </c>
      <c r="H30" t="s">
        <v>51</v>
      </c>
      <c r="I30" t="s">
        <v>89</v>
      </c>
      <c r="K30" t="s">
        <v>57</v>
      </c>
      <c r="L30" t="s">
        <v>58</v>
      </c>
      <c r="M30" t="s">
        <v>59</v>
      </c>
      <c r="N30" t="s">
        <v>60</v>
      </c>
      <c r="P30" t="s">
        <v>57</v>
      </c>
      <c r="Q30" t="s">
        <v>58</v>
      </c>
      <c r="R30" t="s">
        <v>59</v>
      </c>
      <c r="S30" t="s">
        <v>60</v>
      </c>
      <c r="W30" t="s">
        <v>148</v>
      </c>
      <c r="Y30" t="s">
        <v>149</v>
      </c>
      <c r="AH30" t="s">
        <v>79</v>
      </c>
    </row>
    <row r="31" spans="1:66" x14ac:dyDescent="0.2">
      <c r="A31">
        <f>COUNT(B4:B15)</f>
        <v>12</v>
      </c>
      <c r="D31" s="2">
        <f>SUM(S39:S50)/SUM(Q39:Q50)</f>
        <v>0</v>
      </c>
      <c r="G31">
        <f>AE28/A31</f>
        <v>0</v>
      </c>
      <c r="H31">
        <f>AF28/A31</f>
        <v>0.16666666666666666</v>
      </c>
      <c r="I31">
        <f>AG28/A31</f>
        <v>0</v>
      </c>
      <c r="K31" t="e">
        <f>AVERAGE(I39:I50)</f>
        <v>#DIV/0!</v>
      </c>
      <c r="L31" t="e">
        <f>MEDIAN(I39:I50)</f>
        <v>#NUM!</v>
      </c>
      <c r="M31">
        <f>MAX(I39:I50)</f>
        <v>0</v>
      </c>
      <c r="N31" t="e">
        <f>_xlfn.STDEV.S(I39:I50)</f>
        <v>#DIV/0!</v>
      </c>
      <c r="P31">
        <f>AVERAGE(W31:W42)</f>
        <v>11.8</v>
      </c>
      <c r="Q31">
        <f>MEDIAN(W31:W42)</f>
        <v>8</v>
      </c>
      <c r="R31">
        <f>MAX(W31:W42)</f>
        <v>47</v>
      </c>
      <c r="S31">
        <f>_xlfn.STDEV.S(W31:W42)</f>
        <v>13.538422688366946</v>
      </c>
      <c r="W31" t="str">
        <f t="shared" ref="W31:W33" si="48">IF(AND(ISBLANK(Q4), ISBLANK(R4), ISBLANK(G4), ISBLANK(H4)), "", U4)</f>
        <v/>
      </c>
      <c r="Y31" t="str">
        <f t="shared" ref="Y31:Y42" si="49">IF(ISBLANK(Y4), IF(X4 = 0, "", (G4 + H4/3 + V4/9 + W4/3)), U4)</f>
        <v/>
      </c>
      <c r="AH31" t="s">
        <v>80</v>
      </c>
    </row>
    <row r="32" spans="1:66" x14ac:dyDescent="0.2">
      <c r="D32" s="3"/>
      <c r="K32" t="s">
        <v>64</v>
      </c>
      <c r="P32" t="s">
        <v>149</v>
      </c>
      <c r="W32">
        <f t="shared" si="48"/>
        <v>47</v>
      </c>
      <c r="Y32">
        <f>IF(ISBLANK(Y5), IF(X5 = 0, "", (G5 + H5/3 + V5/9 + W5/3)), U5)</f>
        <v>2.333333333333333</v>
      </c>
      <c r="AH32" t="s">
        <v>81</v>
      </c>
    </row>
    <row r="33" spans="1:34" x14ac:dyDescent="0.2">
      <c r="A33" t="s">
        <v>213</v>
      </c>
      <c r="D33" s="3"/>
      <c r="K33" t="s">
        <v>57</v>
      </c>
      <c r="L33" t="s">
        <v>58</v>
      </c>
      <c r="M33" t="s">
        <v>59</v>
      </c>
      <c r="N33" t="s">
        <v>60</v>
      </c>
      <c r="P33" t="s">
        <v>57</v>
      </c>
      <c r="Q33" t="s">
        <v>58</v>
      </c>
      <c r="R33" t="s">
        <v>59</v>
      </c>
      <c r="S33" t="s">
        <v>60</v>
      </c>
      <c r="W33">
        <f t="shared" si="48"/>
        <v>9</v>
      </c>
      <c r="Y33">
        <f t="shared" si="49"/>
        <v>1</v>
      </c>
      <c r="AH33" t="s">
        <v>82</v>
      </c>
    </row>
    <row r="34" spans="1:34" x14ac:dyDescent="0.2">
      <c r="D34" s="3"/>
      <c r="K34">
        <f>AVERAGE(K39:K50)</f>
        <v>0.66666666666666663</v>
      </c>
      <c r="L34">
        <f>MEDIAN(K39:K50)</f>
        <v>0.5</v>
      </c>
      <c r="M34">
        <f>MAX(K39:K50)</f>
        <v>2</v>
      </c>
      <c r="N34">
        <f>_xlfn.STDEV.S(K39:K50)</f>
        <v>0.77849894416152299</v>
      </c>
      <c r="P34">
        <f>AVERAGE(Y31:Y42)</f>
        <v>5.1999999999999993</v>
      </c>
      <c r="Q34">
        <f>MEDIAN(Y31:Y42)</f>
        <v>4</v>
      </c>
      <c r="R34">
        <f>MAX(Y31:Y42)</f>
        <v>14</v>
      </c>
      <c r="S34">
        <f>_xlfn.STDEV.S(Y31:Y42)</f>
        <v>4.0160173134248813</v>
      </c>
      <c r="W34">
        <f>IF(AND(ISBLANK(Q7), ISBLANK(R7), ISBLANK(G7), ISBLANK(H7)), "", U7)</f>
        <v>0</v>
      </c>
      <c r="Y34">
        <f t="shared" si="49"/>
        <v>4</v>
      </c>
      <c r="AH34" t="s">
        <v>83</v>
      </c>
    </row>
    <row r="35" spans="1:34" x14ac:dyDescent="0.2">
      <c r="P35" t="s">
        <v>95</v>
      </c>
      <c r="R35" t="s">
        <v>197</v>
      </c>
      <c r="W35">
        <f t="shared" ref="W35:W42" si="50">IF(AND(ISBLANK(Q8), ISBLANK(R8), ISBLANK(G8), ISBLANK(H8)), "", U8)</f>
        <v>14</v>
      </c>
      <c r="Y35">
        <f t="shared" si="49"/>
        <v>14</v>
      </c>
    </row>
    <row r="36" spans="1:34" x14ac:dyDescent="0.2">
      <c r="P36">
        <f>Q16/(Q16+R16)</f>
        <v>0</v>
      </c>
      <c r="R36">
        <f>R16/(Q16+R16)</f>
        <v>1</v>
      </c>
      <c r="W36">
        <f t="shared" si="50"/>
        <v>2</v>
      </c>
      <c r="Y36">
        <f t="shared" si="49"/>
        <v>2</v>
      </c>
    </row>
    <row r="37" spans="1:34" x14ac:dyDescent="0.2">
      <c r="W37">
        <f t="shared" si="50"/>
        <v>7</v>
      </c>
      <c r="Y37">
        <f t="shared" si="49"/>
        <v>7</v>
      </c>
    </row>
    <row r="38" spans="1:34" x14ac:dyDescent="0.2">
      <c r="A38" t="s">
        <v>68</v>
      </c>
      <c r="C38" t="s">
        <v>69</v>
      </c>
      <c r="E38" t="s">
        <v>72</v>
      </c>
      <c r="G38" t="s">
        <v>250</v>
      </c>
      <c r="K38" t="s">
        <v>73</v>
      </c>
      <c r="M38" t="s">
        <v>70</v>
      </c>
      <c r="N38" t="s">
        <v>71</v>
      </c>
      <c r="O38" t="s">
        <v>199</v>
      </c>
      <c r="Q38" t="s">
        <v>200</v>
      </c>
      <c r="S38" t="s">
        <v>201</v>
      </c>
      <c r="W38" t="str">
        <f t="shared" si="50"/>
        <v/>
      </c>
      <c r="Y38" t="str">
        <f t="shared" si="49"/>
        <v/>
      </c>
    </row>
    <row r="39" spans="1:34" x14ac:dyDescent="0.2">
      <c r="A39">
        <f t="shared" ref="A39:A50" si="51">IF(ISBLANK(B4), "", SUM(AE16+AF16+AG16))</f>
        <v>0</v>
      </c>
      <c r="C39">
        <f t="shared" ref="C39:C50" si="52">IF(ISBLANK(B4), "", O4)</f>
        <v>3</v>
      </c>
      <c r="E39">
        <f t="shared" ref="E39:E50" si="53">IF(ISBLANK(B4), "", Q4)</f>
        <v>0</v>
      </c>
      <c r="G39">
        <f t="shared" ref="G39:G50" si="54">IF(ISBLANK(B4), "", R4)</f>
        <v>0</v>
      </c>
      <c r="K39">
        <f t="shared" ref="K39:K50" si="55">IF(ISBLANK(B4), "", SUM(Q4 + R4))</f>
        <v>0</v>
      </c>
      <c r="M39">
        <f t="shared" ref="M39:M50" si="56">IF(ISBLANK(B4), "", SUM(K4+M4) - O4)</f>
        <v>0</v>
      </c>
      <c r="N39">
        <f t="shared" ref="N39:N50" si="57">IF(ISBLANK(B4), "", U4)</f>
        <v>1</v>
      </c>
      <c r="O39">
        <f t="shared" ref="O39:O50" si="58">COUNTIF(E4, "1")*COUNTIF(F4, "1")</f>
        <v>0</v>
      </c>
      <c r="Q39">
        <f t="shared" ref="Q39:Q50" si="59">COUNTIF(D4, "1")*COUNTIF(F4, "")</f>
        <v>0</v>
      </c>
      <c r="S39">
        <f t="shared" ref="S39:S50" si="60">COUNTIF(E4, "1")*COUNTIF(F4, "")</f>
        <v>0</v>
      </c>
      <c r="W39">
        <f t="shared" si="50"/>
        <v>7</v>
      </c>
      <c r="Y39">
        <f t="shared" si="49"/>
        <v>7</v>
      </c>
    </row>
    <row r="40" spans="1:34" x14ac:dyDescent="0.2">
      <c r="A40">
        <f t="shared" si="51"/>
        <v>0</v>
      </c>
      <c r="C40">
        <f t="shared" si="52"/>
        <v>1</v>
      </c>
      <c r="E40">
        <f t="shared" si="53"/>
        <v>0</v>
      </c>
      <c r="G40">
        <f t="shared" si="54"/>
        <v>1</v>
      </c>
      <c r="K40">
        <f t="shared" si="55"/>
        <v>1</v>
      </c>
      <c r="M40">
        <f t="shared" si="56"/>
        <v>1</v>
      </c>
      <c r="N40">
        <f t="shared" si="57"/>
        <v>47</v>
      </c>
      <c r="O40">
        <f t="shared" si="58"/>
        <v>0</v>
      </c>
      <c r="Q40">
        <f t="shared" si="59"/>
        <v>1</v>
      </c>
      <c r="S40">
        <f t="shared" si="60"/>
        <v>0</v>
      </c>
      <c r="W40">
        <f t="shared" si="50"/>
        <v>2</v>
      </c>
      <c r="Y40">
        <f t="shared" si="49"/>
        <v>2</v>
      </c>
    </row>
    <row r="41" spans="1:34" x14ac:dyDescent="0.2">
      <c r="A41">
        <f t="shared" si="51"/>
        <v>2</v>
      </c>
      <c r="C41">
        <f t="shared" si="52"/>
        <v>2</v>
      </c>
      <c r="E41">
        <f t="shared" si="53"/>
        <v>0</v>
      </c>
      <c r="G41">
        <f t="shared" si="54"/>
        <v>2</v>
      </c>
      <c r="K41">
        <f t="shared" si="55"/>
        <v>2</v>
      </c>
      <c r="M41">
        <f t="shared" si="56"/>
        <v>0</v>
      </c>
      <c r="N41">
        <f t="shared" si="57"/>
        <v>9</v>
      </c>
      <c r="O41">
        <f t="shared" si="58"/>
        <v>0</v>
      </c>
      <c r="Q41">
        <f t="shared" si="59"/>
        <v>0</v>
      </c>
      <c r="S41">
        <f t="shared" si="60"/>
        <v>0</v>
      </c>
      <c r="W41">
        <f t="shared" si="50"/>
        <v>15</v>
      </c>
      <c r="Y41">
        <f t="shared" si="49"/>
        <v>8.6666666666666661</v>
      </c>
    </row>
    <row r="42" spans="1:34" x14ac:dyDescent="0.2">
      <c r="A42">
        <f t="shared" si="51"/>
        <v>0</v>
      </c>
      <c r="C42">
        <f t="shared" si="52"/>
        <v>5</v>
      </c>
      <c r="E42">
        <f t="shared" si="53"/>
        <v>0</v>
      </c>
      <c r="G42">
        <f t="shared" si="54"/>
        <v>0</v>
      </c>
      <c r="K42">
        <f t="shared" si="55"/>
        <v>0</v>
      </c>
      <c r="M42">
        <f t="shared" si="56"/>
        <v>-1</v>
      </c>
      <c r="N42">
        <f t="shared" si="57"/>
        <v>0</v>
      </c>
      <c r="O42">
        <f t="shared" si="58"/>
        <v>0</v>
      </c>
      <c r="Q42">
        <f t="shared" si="59"/>
        <v>0</v>
      </c>
      <c r="S42">
        <f t="shared" si="60"/>
        <v>0</v>
      </c>
      <c r="W42">
        <f t="shared" si="50"/>
        <v>15</v>
      </c>
      <c r="Y42">
        <f t="shared" si="49"/>
        <v>4</v>
      </c>
    </row>
    <row r="43" spans="1:34" x14ac:dyDescent="0.2">
      <c r="A43">
        <f t="shared" si="51"/>
        <v>0</v>
      </c>
      <c r="C43">
        <f t="shared" si="52"/>
        <v>2</v>
      </c>
      <c r="E43">
        <f t="shared" si="53"/>
        <v>0</v>
      </c>
      <c r="G43">
        <f t="shared" si="54"/>
        <v>1</v>
      </c>
      <c r="K43">
        <f t="shared" si="55"/>
        <v>1</v>
      </c>
      <c r="M43">
        <f t="shared" si="56"/>
        <v>-2</v>
      </c>
      <c r="N43">
        <f t="shared" si="57"/>
        <v>14</v>
      </c>
      <c r="O43">
        <f t="shared" si="58"/>
        <v>0</v>
      </c>
      <c r="Q43">
        <f t="shared" si="59"/>
        <v>0</v>
      </c>
      <c r="S43">
        <f t="shared" si="60"/>
        <v>0</v>
      </c>
    </row>
    <row r="44" spans="1:34" x14ac:dyDescent="0.2">
      <c r="A44">
        <f t="shared" si="51"/>
        <v>0</v>
      </c>
      <c r="C44">
        <f t="shared" si="52"/>
        <v>5</v>
      </c>
      <c r="E44">
        <f t="shared" si="53"/>
        <v>0</v>
      </c>
      <c r="G44">
        <f t="shared" si="54"/>
        <v>0</v>
      </c>
      <c r="K44">
        <f t="shared" si="55"/>
        <v>0</v>
      </c>
      <c r="M44">
        <f t="shared" si="56"/>
        <v>-1</v>
      </c>
      <c r="N44">
        <f t="shared" si="57"/>
        <v>2</v>
      </c>
      <c r="O44">
        <f t="shared" si="58"/>
        <v>0</v>
      </c>
      <c r="Q44">
        <f t="shared" si="59"/>
        <v>0</v>
      </c>
      <c r="S44">
        <f t="shared" si="60"/>
        <v>0</v>
      </c>
    </row>
    <row r="45" spans="1:34" x14ac:dyDescent="0.2">
      <c r="A45">
        <f t="shared" si="51"/>
        <v>0</v>
      </c>
      <c r="C45">
        <f t="shared" si="52"/>
        <v>4</v>
      </c>
      <c r="E45">
        <f t="shared" si="53"/>
        <v>0</v>
      </c>
      <c r="G45">
        <f t="shared" si="54"/>
        <v>1</v>
      </c>
      <c r="K45">
        <f t="shared" si="55"/>
        <v>1</v>
      </c>
      <c r="M45">
        <f t="shared" si="56"/>
        <v>-1</v>
      </c>
      <c r="N45">
        <f t="shared" si="57"/>
        <v>7</v>
      </c>
      <c r="O45">
        <f t="shared" si="58"/>
        <v>0</v>
      </c>
      <c r="Q45">
        <f t="shared" si="59"/>
        <v>0</v>
      </c>
      <c r="S45">
        <f t="shared" si="60"/>
        <v>0</v>
      </c>
    </row>
    <row r="46" spans="1:34" x14ac:dyDescent="0.2">
      <c r="A46">
        <f t="shared" si="51"/>
        <v>0</v>
      </c>
      <c r="C46">
        <f t="shared" si="52"/>
        <v>3</v>
      </c>
      <c r="E46">
        <f t="shared" si="53"/>
        <v>0</v>
      </c>
      <c r="G46">
        <f t="shared" si="54"/>
        <v>0</v>
      </c>
      <c r="K46">
        <f t="shared" si="55"/>
        <v>0</v>
      </c>
      <c r="M46">
        <f t="shared" si="56"/>
        <v>1</v>
      </c>
      <c r="N46">
        <f t="shared" si="57"/>
        <v>0</v>
      </c>
      <c r="O46">
        <f t="shared" si="58"/>
        <v>0</v>
      </c>
      <c r="Q46">
        <f t="shared" si="59"/>
        <v>0</v>
      </c>
      <c r="S46">
        <f t="shared" si="60"/>
        <v>0</v>
      </c>
    </row>
    <row r="47" spans="1:34" x14ac:dyDescent="0.2">
      <c r="A47">
        <f t="shared" si="51"/>
        <v>0</v>
      </c>
      <c r="C47">
        <f t="shared" si="52"/>
        <v>3</v>
      </c>
      <c r="E47">
        <f t="shared" si="53"/>
        <v>0</v>
      </c>
      <c r="G47">
        <f t="shared" si="54"/>
        <v>1</v>
      </c>
      <c r="K47">
        <f t="shared" si="55"/>
        <v>1</v>
      </c>
      <c r="M47">
        <f t="shared" si="56"/>
        <v>1</v>
      </c>
      <c r="N47">
        <f t="shared" si="57"/>
        <v>7</v>
      </c>
      <c r="O47">
        <f t="shared" si="58"/>
        <v>0</v>
      </c>
      <c r="Q47">
        <f t="shared" si="59"/>
        <v>0</v>
      </c>
      <c r="S47">
        <f t="shared" si="60"/>
        <v>0</v>
      </c>
    </row>
    <row r="48" spans="1:34" x14ac:dyDescent="0.2">
      <c r="A48">
        <f t="shared" si="51"/>
        <v>0</v>
      </c>
      <c r="C48">
        <f t="shared" si="52"/>
        <v>4</v>
      </c>
      <c r="E48">
        <f t="shared" si="53"/>
        <v>0</v>
      </c>
      <c r="G48">
        <f t="shared" si="54"/>
        <v>0</v>
      </c>
      <c r="K48">
        <f t="shared" si="55"/>
        <v>0</v>
      </c>
      <c r="M48">
        <f t="shared" si="56"/>
        <v>-1</v>
      </c>
      <c r="N48">
        <f t="shared" si="57"/>
        <v>2</v>
      </c>
      <c r="O48">
        <f t="shared" si="58"/>
        <v>0</v>
      </c>
      <c r="Q48">
        <f t="shared" si="59"/>
        <v>0</v>
      </c>
      <c r="S48">
        <f t="shared" si="60"/>
        <v>0</v>
      </c>
    </row>
    <row r="49" spans="1:19" x14ac:dyDescent="0.2">
      <c r="A49">
        <f t="shared" si="51"/>
        <v>0</v>
      </c>
      <c r="C49">
        <f t="shared" si="52"/>
        <v>1</v>
      </c>
      <c r="E49">
        <f t="shared" si="53"/>
        <v>0</v>
      </c>
      <c r="G49">
        <f t="shared" si="54"/>
        <v>2</v>
      </c>
      <c r="K49">
        <f t="shared" si="55"/>
        <v>2</v>
      </c>
      <c r="M49">
        <f t="shared" si="56"/>
        <v>0</v>
      </c>
      <c r="N49">
        <f t="shared" si="57"/>
        <v>15</v>
      </c>
      <c r="O49">
        <f t="shared" si="58"/>
        <v>0</v>
      </c>
      <c r="Q49">
        <f t="shared" si="59"/>
        <v>0</v>
      </c>
      <c r="S49">
        <f t="shared" si="60"/>
        <v>0</v>
      </c>
    </row>
    <row r="50" spans="1:19" x14ac:dyDescent="0.2">
      <c r="A50">
        <f t="shared" si="51"/>
        <v>0</v>
      </c>
      <c r="C50">
        <f t="shared" si="52"/>
        <v>2</v>
      </c>
      <c r="E50">
        <f t="shared" si="53"/>
        <v>0</v>
      </c>
      <c r="G50">
        <f t="shared" si="54"/>
        <v>0</v>
      </c>
      <c r="K50">
        <f t="shared" si="55"/>
        <v>0</v>
      </c>
      <c r="M50">
        <f t="shared" si="56"/>
        <v>1</v>
      </c>
      <c r="N50">
        <f t="shared" si="57"/>
        <v>15</v>
      </c>
      <c r="O50">
        <f t="shared" si="58"/>
        <v>1</v>
      </c>
      <c r="Q50">
        <f t="shared" si="59"/>
        <v>0</v>
      </c>
      <c r="S50">
        <f t="shared" si="60"/>
        <v>0</v>
      </c>
    </row>
  </sheetData>
  <pageMargins left="0.7" right="0.7" top="0.75" bottom="0.75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 enableFormatConditionsCalculation="0"/>
  <dimension ref="A1:BN50"/>
  <sheetViews>
    <sheetView topLeftCell="D1" workbookViewId="0">
      <selection activeCell="V15" sqref="V15"/>
    </sheetView>
  </sheetViews>
  <sheetFormatPr baseColWidth="10" defaultColWidth="11.5" defaultRowHeight="15" x14ac:dyDescent="0.2"/>
  <sheetData>
    <row r="1" spans="1:66" x14ac:dyDescent="0.2">
      <c r="A1" s="1" t="s">
        <v>0</v>
      </c>
      <c r="D1" t="s">
        <v>3</v>
      </c>
      <c r="K1" t="s">
        <v>11</v>
      </c>
      <c r="N1" t="s">
        <v>12</v>
      </c>
      <c r="P1" t="s">
        <v>14</v>
      </c>
      <c r="Q1" t="s">
        <v>17</v>
      </c>
      <c r="S1" t="s">
        <v>18</v>
      </c>
      <c r="Z1" t="s">
        <v>29</v>
      </c>
      <c r="AE1" t="s">
        <v>30</v>
      </c>
      <c r="AK1" t="s">
        <v>42</v>
      </c>
    </row>
    <row r="2" spans="1:66" x14ac:dyDescent="0.2">
      <c r="A2" t="s">
        <v>1</v>
      </c>
      <c r="B2" t="s">
        <v>1</v>
      </c>
      <c r="C2" t="s">
        <v>87</v>
      </c>
      <c r="D2" t="s">
        <v>54</v>
      </c>
      <c r="E2" t="s">
        <v>13</v>
      </c>
      <c r="F2" t="s">
        <v>198</v>
      </c>
      <c r="G2" t="s">
        <v>7</v>
      </c>
      <c r="H2" t="s">
        <v>8</v>
      </c>
      <c r="I2" t="s">
        <v>179</v>
      </c>
      <c r="J2" t="s">
        <v>178</v>
      </c>
      <c r="K2" t="s">
        <v>9</v>
      </c>
      <c r="L2" t="s">
        <v>196</v>
      </c>
      <c r="M2" t="s">
        <v>10</v>
      </c>
      <c r="N2" t="s">
        <v>54</v>
      </c>
      <c r="O2" t="s">
        <v>13</v>
      </c>
      <c r="P2" t="s">
        <v>15</v>
      </c>
      <c r="Q2" t="s">
        <v>8</v>
      </c>
      <c r="R2" t="s">
        <v>7</v>
      </c>
      <c r="S2" t="s">
        <v>181</v>
      </c>
      <c r="T2" t="s">
        <v>182</v>
      </c>
      <c r="U2" t="s">
        <v>19</v>
      </c>
      <c r="V2" t="s">
        <v>191</v>
      </c>
      <c r="W2" t="s">
        <v>192</v>
      </c>
      <c r="X2" t="s">
        <v>175</v>
      </c>
      <c r="Y2" t="s">
        <v>173</v>
      </c>
      <c r="Z2" t="str">
        <f t="shared" ref="Z2:Z13" si="0">LEFT(I4, 1)</f>
        <v/>
      </c>
      <c r="AA2" t="str">
        <f t="shared" ref="AA2:AA13" si="1">MID(I4, 4, 1)</f>
        <v/>
      </c>
      <c r="AB2" t="str">
        <f t="shared" ref="AB2:AB13" si="2">MID(I4, 7, 1)</f>
        <v/>
      </c>
      <c r="AC2" t="str">
        <f t="shared" ref="AC2:AC13" si="3">MID(I4, 10, 1)</f>
        <v/>
      </c>
      <c r="AE2" t="str">
        <f t="shared" ref="AE2:AE13" si="4">LEFT(J4, 1)</f>
        <v/>
      </c>
      <c r="AF2" t="str">
        <f t="shared" ref="AF2:AF13" si="5">MID(J4, 4, 1)</f>
        <v/>
      </c>
      <c r="AG2" t="str">
        <f t="shared" ref="AG2:AG13" si="6">MID(J4, 7, 1)</f>
        <v/>
      </c>
      <c r="AH2" t="str">
        <f t="shared" ref="AH2:AH13" si="7">MID(J4, 10, 1)</f>
        <v/>
      </c>
      <c r="AI2" t="str">
        <f t="shared" ref="AI2:AI13" si="8">MID(J4, 13, 1)</f>
        <v/>
      </c>
      <c r="AK2" t="str">
        <f t="shared" ref="AK2:AK13" si="9">LEFT(P4, 2)</f>
        <v/>
      </c>
      <c r="AL2" t="str">
        <f>MID($P4, 5, 2)</f>
        <v/>
      </c>
      <c r="AM2" t="str">
        <f t="shared" ref="AM2:AM13" si="10">MID($P4, 9, 2)</f>
        <v/>
      </c>
      <c r="AN2" t="str">
        <f t="shared" ref="AN2:AN13" si="11">MID($P4, 13, 2)</f>
        <v/>
      </c>
      <c r="AO2" t="str">
        <f t="shared" ref="AO2:AO13" si="12">MID($P4, 17, 2)</f>
        <v/>
      </c>
      <c r="AP2" t="str">
        <f t="shared" ref="AP2:AP13" si="13">MID($P4, 21, 2)</f>
        <v/>
      </c>
      <c r="AQ2" t="str">
        <f t="shared" ref="AQ2:AQ13" si="14">MID($P4, 25, 2)</f>
        <v/>
      </c>
      <c r="AR2" t="str">
        <f t="shared" ref="AR2:AR13" si="15">MID($P4, 29, 2)</f>
        <v/>
      </c>
      <c r="AS2" t="str">
        <f t="shared" ref="AS2:AS13" si="16">MID($P4, 33, 2)</f>
        <v/>
      </c>
      <c r="AT2" t="str">
        <f t="shared" ref="AT2:AT13" si="17">MID($P4, 37, 2)</f>
        <v/>
      </c>
      <c r="AU2" t="str">
        <f t="shared" ref="AU2:AU13" si="18">MID($P4, 41, 2)</f>
        <v/>
      </c>
      <c r="AV2" t="str">
        <f t="shared" ref="AV2:AV13" si="19">MID($P4, 45, 2)</f>
        <v/>
      </c>
      <c r="AW2" t="str">
        <f t="shared" ref="AW2:AW13" si="20">MID($P4, 49, 2)</f>
        <v/>
      </c>
      <c r="AX2" t="str">
        <f t="shared" ref="AX2:AX13" si="21">MID($P4, 53, 2)</f>
        <v/>
      </c>
      <c r="AY2" t="str">
        <f t="shared" ref="AY2:AY13" si="22">MID($P4, 57, 2)</f>
        <v/>
      </c>
      <c r="AZ2" t="str">
        <f t="shared" ref="AZ2:AZ13" si="23">MID($P4, 61, 2)</f>
        <v/>
      </c>
      <c r="BA2" t="str">
        <f t="shared" ref="BA2:BA13" si="24">MID($P4, 65, 2)</f>
        <v/>
      </c>
      <c r="BB2" t="str">
        <f t="shared" ref="BB2:BB13" si="25">MID($P4, 69, 2)</f>
        <v/>
      </c>
      <c r="BC2" t="str">
        <f t="shared" ref="BC2:BC13" si="26">MID($P4, 73, 2)</f>
        <v/>
      </c>
      <c r="BD2" t="str">
        <f t="shared" ref="BD2:BD13" si="27">MID($P4, 77, 2)</f>
        <v/>
      </c>
      <c r="BE2" t="str">
        <f t="shared" ref="BE2:BE13" si="28">MID($P4, 81, 2)</f>
        <v/>
      </c>
      <c r="BF2" t="str">
        <f t="shared" ref="BF2:BF13" si="29">MID($P4, 85, 2)</f>
        <v/>
      </c>
      <c r="BG2" t="str">
        <f t="shared" ref="BG2:BG13" si="30">MID($P4, 89, 2)</f>
        <v/>
      </c>
      <c r="BH2" t="str">
        <f t="shared" ref="BH2:BH13" si="31">MID($P4, 93, 2)</f>
        <v/>
      </c>
    </row>
    <row r="3" spans="1:66" x14ac:dyDescent="0.2">
      <c r="A3" t="s">
        <v>2</v>
      </c>
      <c r="B3" t="s">
        <v>6</v>
      </c>
      <c r="C3" t="s">
        <v>88</v>
      </c>
      <c r="D3" t="s">
        <v>6</v>
      </c>
      <c r="E3" t="s">
        <v>6</v>
      </c>
      <c r="F3" t="s">
        <v>4</v>
      </c>
      <c r="G3" t="s">
        <v>6</v>
      </c>
      <c r="H3" t="s">
        <v>6</v>
      </c>
      <c r="I3" t="s">
        <v>86</v>
      </c>
      <c r="J3" t="s">
        <v>86</v>
      </c>
      <c r="K3" t="s">
        <v>6</v>
      </c>
      <c r="L3" t="s">
        <v>6</v>
      </c>
      <c r="M3" t="s">
        <v>6</v>
      </c>
      <c r="N3" t="s">
        <v>6</v>
      </c>
      <c r="O3" t="s">
        <v>6</v>
      </c>
      <c r="P3" t="s">
        <v>16</v>
      </c>
      <c r="Q3" t="s">
        <v>6</v>
      </c>
      <c r="R3" t="s">
        <v>6</v>
      </c>
      <c r="S3" t="s">
        <v>4</v>
      </c>
      <c r="T3" t="s">
        <v>4</v>
      </c>
      <c r="U3" t="s">
        <v>6</v>
      </c>
      <c r="V3" t="s">
        <v>6</v>
      </c>
      <c r="W3" t="s">
        <v>6</v>
      </c>
      <c r="X3" t="s">
        <v>6</v>
      </c>
      <c r="Y3" t="s">
        <v>174</v>
      </c>
      <c r="Z3" t="str">
        <f t="shared" si="0"/>
        <v/>
      </c>
      <c r="AA3" t="str">
        <f t="shared" si="1"/>
        <v/>
      </c>
      <c r="AB3" t="str">
        <f t="shared" si="2"/>
        <v/>
      </c>
      <c r="AC3" t="str">
        <f t="shared" si="3"/>
        <v/>
      </c>
      <c r="AE3" t="str">
        <f t="shared" si="4"/>
        <v/>
      </c>
      <c r="AF3" t="str">
        <f t="shared" si="5"/>
        <v/>
      </c>
      <c r="AG3" t="str">
        <f t="shared" si="6"/>
        <v/>
      </c>
      <c r="AH3" t="str">
        <f t="shared" si="7"/>
        <v/>
      </c>
      <c r="AI3" t="str">
        <f t="shared" si="8"/>
        <v/>
      </c>
      <c r="AK3" t="str">
        <f t="shared" si="9"/>
        <v>g1</v>
      </c>
      <c r="AL3" t="str">
        <f t="shared" ref="AL3:AL13" si="32">MID(P5, 5, 2)</f>
        <v/>
      </c>
      <c r="AM3" t="str">
        <f t="shared" si="10"/>
        <v/>
      </c>
      <c r="AN3" t="str">
        <f t="shared" si="11"/>
        <v/>
      </c>
      <c r="AO3" t="str">
        <f t="shared" si="12"/>
        <v/>
      </c>
      <c r="AP3" t="str">
        <f t="shared" si="13"/>
        <v/>
      </c>
      <c r="AQ3" t="str">
        <f t="shared" si="14"/>
        <v/>
      </c>
      <c r="AR3" t="str">
        <f t="shared" si="15"/>
        <v/>
      </c>
      <c r="AS3" t="str">
        <f t="shared" si="16"/>
        <v/>
      </c>
      <c r="AT3" t="str">
        <f t="shared" si="17"/>
        <v/>
      </c>
      <c r="AU3" t="str">
        <f t="shared" si="18"/>
        <v/>
      </c>
      <c r="AV3" t="str">
        <f t="shared" si="19"/>
        <v/>
      </c>
      <c r="AW3" t="str">
        <f t="shared" si="20"/>
        <v/>
      </c>
      <c r="AX3" t="str">
        <f t="shared" si="21"/>
        <v/>
      </c>
      <c r="AY3" t="str">
        <f t="shared" si="22"/>
        <v/>
      </c>
      <c r="AZ3" t="str">
        <f t="shared" si="23"/>
        <v/>
      </c>
      <c r="BA3" t="str">
        <f t="shared" si="24"/>
        <v/>
      </c>
      <c r="BB3" t="str">
        <f t="shared" si="25"/>
        <v/>
      </c>
      <c r="BC3" t="str">
        <f t="shared" si="26"/>
        <v/>
      </c>
      <c r="BD3" t="str">
        <f t="shared" si="27"/>
        <v/>
      </c>
      <c r="BE3" t="str">
        <f t="shared" si="28"/>
        <v/>
      </c>
      <c r="BF3" t="str">
        <f t="shared" si="29"/>
        <v/>
      </c>
      <c r="BG3" t="str">
        <f t="shared" si="30"/>
        <v/>
      </c>
      <c r="BH3" t="str">
        <f t="shared" si="31"/>
        <v/>
      </c>
    </row>
    <row r="4" spans="1:66" x14ac:dyDescent="0.2">
      <c r="A4">
        <v>1</v>
      </c>
      <c r="B4">
        <v>6</v>
      </c>
      <c r="C4" t="s">
        <v>207</v>
      </c>
      <c r="D4">
        <v>1</v>
      </c>
      <c r="E4">
        <v>1</v>
      </c>
      <c r="G4">
        <v>3</v>
      </c>
      <c r="K4">
        <v>2</v>
      </c>
      <c r="N4">
        <v>1</v>
      </c>
      <c r="O4">
        <v>1</v>
      </c>
      <c r="R4">
        <v>1</v>
      </c>
      <c r="S4">
        <v>1</v>
      </c>
      <c r="T4">
        <v>1</v>
      </c>
      <c r="U4">
        <v>6</v>
      </c>
      <c r="V4">
        <v>2</v>
      </c>
      <c r="X4">
        <f t="shared" ref="X4:X15" si="33">G4+H4+Q4+R4</f>
        <v>4</v>
      </c>
      <c r="Y4" t="s">
        <v>174</v>
      </c>
      <c r="Z4" t="str">
        <f t="shared" si="0"/>
        <v/>
      </c>
      <c r="AA4" t="str">
        <f t="shared" si="1"/>
        <v/>
      </c>
      <c r="AB4" t="str">
        <f t="shared" si="2"/>
        <v/>
      </c>
      <c r="AC4" t="str">
        <f t="shared" si="3"/>
        <v/>
      </c>
      <c r="AE4" t="str">
        <f t="shared" si="4"/>
        <v/>
      </c>
      <c r="AF4" t="str">
        <f t="shared" si="5"/>
        <v/>
      </c>
      <c r="AG4" t="str">
        <f t="shared" si="6"/>
        <v/>
      </c>
      <c r="AH4" t="str">
        <f t="shared" si="7"/>
        <v/>
      </c>
      <c r="AI4" t="str">
        <f t="shared" si="8"/>
        <v/>
      </c>
      <c r="AK4" t="str">
        <f t="shared" si="9"/>
        <v/>
      </c>
      <c r="AL4" t="str">
        <f t="shared" si="32"/>
        <v/>
      </c>
      <c r="AM4" t="str">
        <f t="shared" si="10"/>
        <v/>
      </c>
      <c r="AN4" t="str">
        <f t="shared" si="11"/>
        <v/>
      </c>
      <c r="AO4" t="str">
        <f t="shared" si="12"/>
        <v/>
      </c>
      <c r="AP4" t="str">
        <f t="shared" si="13"/>
        <v/>
      </c>
      <c r="AQ4" t="str">
        <f t="shared" si="14"/>
        <v/>
      </c>
      <c r="AR4" t="str">
        <f t="shared" si="15"/>
        <v/>
      </c>
      <c r="AS4" t="str">
        <f t="shared" si="16"/>
        <v/>
      </c>
      <c r="AT4" t="str">
        <f t="shared" si="17"/>
        <v/>
      </c>
      <c r="AU4" t="str">
        <f t="shared" si="18"/>
        <v/>
      </c>
      <c r="AV4" t="str">
        <f t="shared" si="19"/>
        <v/>
      </c>
      <c r="AW4" t="str">
        <f t="shared" si="20"/>
        <v/>
      </c>
      <c r="AX4" t="str">
        <f t="shared" si="21"/>
        <v/>
      </c>
      <c r="AY4" t="str">
        <f t="shared" si="22"/>
        <v/>
      </c>
      <c r="AZ4" t="str">
        <f t="shared" si="23"/>
        <v/>
      </c>
      <c r="BA4" t="str">
        <f t="shared" si="24"/>
        <v/>
      </c>
      <c r="BB4" t="str">
        <f t="shared" si="25"/>
        <v/>
      </c>
      <c r="BC4" t="str">
        <f t="shared" si="26"/>
        <v/>
      </c>
      <c r="BD4" t="str">
        <f t="shared" si="27"/>
        <v/>
      </c>
      <c r="BE4" t="str">
        <f t="shared" si="28"/>
        <v/>
      </c>
      <c r="BF4" t="str">
        <f t="shared" si="29"/>
        <v/>
      </c>
      <c r="BG4" t="str">
        <f t="shared" si="30"/>
        <v/>
      </c>
      <c r="BH4" t="str">
        <f t="shared" si="31"/>
        <v/>
      </c>
    </row>
    <row r="5" spans="1:66" x14ac:dyDescent="0.2">
      <c r="A5">
        <v>2</v>
      </c>
      <c r="B5">
        <v>11</v>
      </c>
      <c r="C5" t="s">
        <v>207</v>
      </c>
      <c r="D5">
        <v>1</v>
      </c>
      <c r="E5">
        <v>1</v>
      </c>
      <c r="G5">
        <v>2</v>
      </c>
      <c r="K5">
        <v>4</v>
      </c>
      <c r="N5">
        <v>4</v>
      </c>
      <c r="O5">
        <v>4</v>
      </c>
      <c r="P5" t="s">
        <v>218</v>
      </c>
      <c r="S5">
        <v>1</v>
      </c>
      <c r="T5">
        <v>1</v>
      </c>
      <c r="U5">
        <v>3</v>
      </c>
      <c r="W5">
        <v>5</v>
      </c>
      <c r="X5">
        <f t="shared" si="33"/>
        <v>2</v>
      </c>
      <c r="Y5" t="s">
        <v>174</v>
      </c>
      <c r="Z5" t="str">
        <f t="shared" si="0"/>
        <v/>
      </c>
      <c r="AA5" t="str">
        <f t="shared" si="1"/>
        <v/>
      </c>
      <c r="AB5" t="str">
        <f t="shared" si="2"/>
        <v/>
      </c>
      <c r="AC5" t="str">
        <f t="shared" si="3"/>
        <v/>
      </c>
      <c r="AE5" t="str">
        <f t="shared" si="4"/>
        <v/>
      </c>
      <c r="AF5" t="str">
        <f t="shared" si="5"/>
        <v/>
      </c>
      <c r="AG5" t="str">
        <f t="shared" si="6"/>
        <v/>
      </c>
      <c r="AH5" t="str">
        <f t="shared" si="7"/>
        <v/>
      </c>
      <c r="AI5" t="str">
        <f t="shared" si="8"/>
        <v/>
      </c>
      <c r="AK5" t="str">
        <f t="shared" si="9"/>
        <v/>
      </c>
      <c r="AL5" t="str">
        <f t="shared" si="32"/>
        <v/>
      </c>
      <c r="AM5" t="str">
        <f t="shared" si="10"/>
        <v/>
      </c>
      <c r="AN5" t="str">
        <f t="shared" si="11"/>
        <v/>
      </c>
      <c r="AO5" t="str">
        <f t="shared" si="12"/>
        <v/>
      </c>
      <c r="AP5" t="str">
        <f t="shared" si="13"/>
        <v/>
      </c>
      <c r="AQ5" t="str">
        <f t="shared" si="14"/>
        <v/>
      </c>
      <c r="AR5" t="str">
        <f t="shared" si="15"/>
        <v/>
      </c>
      <c r="AS5" t="str">
        <f t="shared" si="16"/>
        <v/>
      </c>
      <c r="AT5" t="str">
        <f t="shared" si="17"/>
        <v/>
      </c>
      <c r="AU5" t="str">
        <f t="shared" si="18"/>
        <v/>
      </c>
      <c r="AV5" t="str">
        <f t="shared" si="19"/>
        <v/>
      </c>
      <c r="AW5" t="str">
        <f t="shared" si="20"/>
        <v/>
      </c>
      <c r="AX5" t="str">
        <f t="shared" si="21"/>
        <v/>
      </c>
      <c r="AY5" t="str">
        <f t="shared" si="22"/>
        <v/>
      </c>
      <c r="AZ5" t="str">
        <f t="shared" si="23"/>
        <v/>
      </c>
      <c r="BA5" t="str">
        <f t="shared" si="24"/>
        <v/>
      </c>
      <c r="BB5" t="str">
        <f t="shared" si="25"/>
        <v/>
      </c>
      <c r="BC5" t="str">
        <f t="shared" si="26"/>
        <v/>
      </c>
      <c r="BD5" t="str">
        <f t="shared" si="27"/>
        <v/>
      </c>
      <c r="BE5" t="str">
        <f t="shared" si="28"/>
        <v/>
      </c>
      <c r="BF5" t="str">
        <f t="shared" si="29"/>
        <v/>
      </c>
      <c r="BG5" t="str">
        <f t="shared" si="30"/>
        <v/>
      </c>
      <c r="BH5" t="str">
        <f t="shared" si="31"/>
        <v/>
      </c>
    </row>
    <row r="6" spans="1:66" x14ac:dyDescent="0.2">
      <c r="A6">
        <v>3</v>
      </c>
      <c r="B6">
        <v>23</v>
      </c>
      <c r="C6" t="s">
        <v>39</v>
      </c>
      <c r="D6">
        <v>1</v>
      </c>
      <c r="E6">
        <v>1</v>
      </c>
      <c r="G6">
        <v>6</v>
      </c>
      <c r="K6">
        <v>3</v>
      </c>
      <c r="N6">
        <v>4</v>
      </c>
      <c r="O6">
        <v>3</v>
      </c>
      <c r="S6">
        <v>1</v>
      </c>
      <c r="T6">
        <v>1</v>
      </c>
      <c r="U6">
        <v>8</v>
      </c>
      <c r="X6">
        <f t="shared" si="33"/>
        <v>6</v>
      </c>
      <c r="Y6" t="s">
        <v>174</v>
      </c>
      <c r="Z6" t="str">
        <f t="shared" si="0"/>
        <v/>
      </c>
      <c r="AA6" t="str">
        <f t="shared" si="1"/>
        <v/>
      </c>
      <c r="AB6" t="str">
        <f t="shared" si="2"/>
        <v/>
      </c>
      <c r="AC6" t="str">
        <f t="shared" si="3"/>
        <v/>
      </c>
      <c r="AE6" t="str">
        <f t="shared" si="4"/>
        <v/>
      </c>
      <c r="AF6" t="str">
        <f t="shared" si="5"/>
        <v/>
      </c>
      <c r="AG6" t="str">
        <f t="shared" si="6"/>
        <v/>
      </c>
      <c r="AH6" t="str">
        <f t="shared" si="7"/>
        <v/>
      </c>
      <c r="AI6" t="str">
        <f t="shared" si="8"/>
        <v/>
      </c>
      <c r="AK6" t="str">
        <f t="shared" si="9"/>
        <v/>
      </c>
      <c r="AL6" t="str">
        <f t="shared" si="32"/>
        <v/>
      </c>
      <c r="AM6" t="str">
        <f t="shared" si="10"/>
        <v/>
      </c>
      <c r="AN6" t="str">
        <f t="shared" si="11"/>
        <v/>
      </c>
      <c r="AO6" t="str">
        <f t="shared" si="12"/>
        <v/>
      </c>
      <c r="AP6" t="str">
        <f t="shared" si="13"/>
        <v/>
      </c>
      <c r="AQ6" t="str">
        <f t="shared" si="14"/>
        <v/>
      </c>
      <c r="AR6" t="str">
        <f t="shared" si="15"/>
        <v/>
      </c>
      <c r="AS6" t="str">
        <f t="shared" si="16"/>
        <v/>
      </c>
      <c r="AT6" t="str">
        <f t="shared" si="17"/>
        <v/>
      </c>
      <c r="AU6" t="str">
        <f t="shared" si="18"/>
        <v/>
      </c>
      <c r="AV6" t="str">
        <f t="shared" si="19"/>
        <v/>
      </c>
      <c r="AW6" t="str">
        <f t="shared" si="20"/>
        <v/>
      </c>
      <c r="AX6" t="str">
        <f t="shared" si="21"/>
        <v/>
      </c>
      <c r="AY6" t="str">
        <f t="shared" si="22"/>
        <v/>
      </c>
      <c r="AZ6" t="str">
        <f t="shared" si="23"/>
        <v/>
      </c>
      <c r="BA6" t="str">
        <f t="shared" si="24"/>
        <v/>
      </c>
      <c r="BB6" t="str">
        <f t="shared" si="25"/>
        <v/>
      </c>
      <c r="BC6" t="str">
        <f t="shared" si="26"/>
        <v/>
      </c>
      <c r="BD6" t="str">
        <f t="shared" si="27"/>
        <v/>
      </c>
      <c r="BE6" t="str">
        <f t="shared" si="28"/>
        <v/>
      </c>
      <c r="BF6" t="str">
        <f t="shared" si="29"/>
        <v/>
      </c>
      <c r="BG6" t="str">
        <f t="shared" si="30"/>
        <v/>
      </c>
      <c r="BH6" t="str">
        <f t="shared" si="31"/>
        <v/>
      </c>
    </row>
    <row r="7" spans="1:66" x14ac:dyDescent="0.2">
      <c r="A7">
        <v>4</v>
      </c>
      <c r="B7">
        <v>33</v>
      </c>
      <c r="C7" t="s">
        <v>39</v>
      </c>
      <c r="X7">
        <f t="shared" si="33"/>
        <v>0</v>
      </c>
      <c r="Z7" t="str">
        <f t="shared" si="0"/>
        <v/>
      </c>
      <c r="AA7" t="str">
        <f t="shared" si="1"/>
        <v/>
      </c>
      <c r="AB7" t="str">
        <f t="shared" si="2"/>
        <v/>
      </c>
      <c r="AC7" t="str">
        <f t="shared" si="3"/>
        <v/>
      </c>
      <c r="AE7" t="str">
        <f t="shared" si="4"/>
        <v/>
      </c>
      <c r="AF7" t="str">
        <f t="shared" si="5"/>
        <v/>
      </c>
      <c r="AG7" t="str">
        <f t="shared" si="6"/>
        <v/>
      </c>
      <c r="AH7" t="str">
        <f t="shared" si="7"/>
        <v/>
      </c>
      <c r="AI7" t="str">
        <f t="shared" si="8"/>
        <v/>
      </c>
      <c r="AK7" t="str">
        <f t="shared" si="9"/>
        <v/>
      </c>
      <c r="AL7" t="str">
        <f t="shared" si="32"/>
        <v/>
      </c>
      <c r="AM7" t="str">
        <f t="shared" si="10"/>
        <v/>
      </c>
      <c r="AN7" t="str">
        <f t="shared" si="11"/>
        <v/>
      </c>
      <c r="AO7" t="str">
        <f t="shared" si="12"/>
        <v/>
      </c>
      <c r="AP7" t="str">
        <f t="shared" si="13"/>
        <v/>
      </c>
      <c r="AQ7" t="str">
        <f t="shared" si="14"/>
        <v/>
      </c>
      <c r="AR7" t="str">
        <f t="shared" si="15"/>
        <v/>
      </c>
      <c r="AS7" t="str">
        <f t="shared" si="16"/>
        <v/>
      </c>
      <c r="AT7" t="str">
        <f t="shared" si="17"/>
        <v/>
      </c>
      <c r="AU7" t="str">
        <f t="shared" si="18"/>
        <v/>
      </c>
      <c r="AV7" t="str">
        <f t="shared" si="19"/>
        <v/>
      </c>
      <c r="AW7" t="str">
        <f t="shared" si="20"/>
        <v/>
      </c>
      <c r="AX7" t="str">
        <f t="shared" si="21"/>
        <v/>
      </c>
      <c r="AY7" t="str">
        <f t="shared" si="22"/>
        <v/>
      </c>
      <c r="AZ7" t="str">
        <f t="shared" si="23"/>
        <v/>
      </c>
      <c r="BA7" t="str">
        <f t="shared" si="24"/>
        <v/>
      </c>
      <c r="BB7" t="str">
        <f t="shared" si="25"/>
        <v/>
      </c>
      <c r="BC7" t="str">
        <f t="shared" si="26"/>
        <v/>
      </c>
      <c r="BD7" t="str">
        <f t="shared" si="27"/>
        <v/>
      </c>
      <c r="BE7" t="str">
        <f t="shared" si="28"/>
        <v/>
      </c>
      <c r="BF7" t="str">
        <f t="shared" si="29"/>
        <v/>
      </c>
      <c r="BG7" t="str">
        <f t="shared" si="30"/>
        <v/>
      </c>
      <c r="BH7" t="str">
        <f t="shared" si="31"/>
        <v/>
      </c>
    </row>
    <row r="8" spans="1:66" x14ac:dyDescent="0.2">
      <c r="A8">
        <v>5</v>
      </c>
      <c r="B8">
        <v>44</v>
      </c>
      <c r="C8" t="s">
        <v>207</v>
      </c>
      <c r="D8">
        <v>1</v>
      </c>
      <c r="E8">
        <v>1</v>
      </c>
      <c r="K8">
        <v>3</v>
      </c>
      <c r="L8">
        <v>1</v>
      </c>
      <c r="N8">
        <v>3</v>
      </c>
      <c r="O8">
        <v>2</v>
      </c>
      <c r="R8">
        <v>1</v>
      </c>
      <c r="S8">
        <v>1</v>
      </c>
      <c r="T8">
        <v>1</v>
      </c>
      <c r="U8">
        <v>8</v>
      </c>
      <c r="W8">
        <v>10</v>
      </c>
      <c r="X8">
        <f t="shared" si="33"/>
        <v>1</v>
      </c>
      <c r="Y8" t="s">
        <v>174</v>
      </c>
      <c r="Z8" t="str">
        <f t="shared" si="0"/>
        <v/>
      </c>
      <c r="AA8" t="str">
        <f t="shared" si="1"/>
        <v/>
      </c>
      <c r="AB8" t="str">
        <f t="shared" si="2"/>
        <v/>
      </c>
      <c r="AC8" t="str">
        <f t="shared" si="3"/>
        <v/>
      </c>
      <c r="AE8" t="str">
        <f t="shared" si="4"/>
        <v>1</v>
      </c>
      <c r="AF8" t="str">
        <f t="shared" si="5"/>
        <v/>
      </c>
      <c r="AG8" t="str">
        <f t="shared" si="6"/>
        <v/>
      </c>
      <c r="AH8" t="str">
        <f t="shared" si="7"/>
        <v/>
      </c>
      <c r="AI8" t="str">
        <f t="shared" si="8"/>
        <v/>
      </c>
      <c r="AK8" t="str">
        <f t="shared" si="9"/>
        <v>h1</v>
      </c>
      <c r="AL8" t="str">
        <f t="shared" si="32"/>
        <v/>
      </c>
      <c r="AM8" t="str">
        <f t="shared" si="10"/>
        <v/>
      </c>
      <c r="AN8" t="str">
        <f t="shared" si="11"/>
        <v/>
      </c>
      <c r="AO8" t="str">
        <f t="shared" si="12"/>
        <v/>
      </c>
      <c r="AP8" t="str">
        <f t="shared" si="13"/>
        <v/>
      </c>
      <c r="AQ8" t="str">
        <f t="shared" si="14"/>
        <v/>
      </c>
      <c r="AR8" t="str">
        <f t="shared" si="15"/>
        <v/>
      </c>
      <c r="AS8" t="str">
        <f t="shared" si="16"/>
        <v/>
      </c>
      <c r="AT8" t="str">
        <f t="shared" si="17"/>
        <v/>
      </c>
      <c r="AU8" t="str">
        <f t="shared" si="18"/>
        <v/>
      </c>
      <c r="AV8" t="str">
        <f t="shared" si="19"/>
        <v/>
      </c>
      <c r="AW8" t="str">
        <f t="shared" si="20"/>
        <v/>
      </c>
      <c r="AX8" t="str">
        <f t="shared" si="21"/>
        <v/>
      </c>
      <c r="AY8" t="str">
        <f t="shared" si="22"/>
        <v/>
      </c>
      <c r="AZ8" t="str">
        <f t="shared" si="23"/>
        <v/>
      </c>
      <c r="BA8" t="str">
        <f t="shared" si="24"/>
        <v/>
      </c>
      <c r="BB8" t="str">
        <f t="shared" si="25"/>
        <v/>
      </c>
      <c r="BC8" t="str">
        <f t="shared" si="26"/>
        <v/>
      </c>
      <c r="BD8" t="str">
        <f t="shared" si="27"/>
        <v/>
      </c>
      <c r="BE8" t="str">
        <f t="shared" si="28"/>
        <v/>
      </c>
      <c r="BF8" t="str">
        <f t="shared" si="29"/>
        <v/>
      </c>
      <c r="BG8" t="str">
        <f t="shared" si="30"/>
        <v/>
      </c>
      <c r="BH8" t="str">
        <f t="shared" si="31"/>
        <v/>
      </c>
    </row>
    <row r="9" spans="1:66" x14ac:dyDescent="0.2">
      <c r="A9">
        <v>6</v>
      </c>
      <c r="B9">
        <v>60</v>
      </c>
      <c r="C9" t="s">
        <v>207</v>
      </c>
      <c r="D9">
        <v>1</v>
      </c>
      <c r="E9">
        <v>1</v>
      </c>
      <c r="G9">
        <v>8</v>
      </c>
      <c r="K9">
        <v>5</v>
      </c>
      <c r="N9">
        <v>5</v>
      </c>
      <c r="O9">
        <v>5</v>
      </c>
      <c r="S9">
        <v>1</v>
      </c>
      <c r="T9">
        <v>1</v>
      </c>
      <c r="U9">
        <v>8</v>
      </c>
      <c r="X9">
        <f t="shared" si="33"/>
        <v>8</v>
      </c>
      <c r="Y9" t="s">
        <v>174</v>
      </c>
      <c r="Z9" t="str">
        <f t="shared" si="0"/>
        <v/>
      </c>
      <c r="AA9" t="str">
        <f t="shared" si="1"/>
        <v/>
      </c>
      <c r="AB9" t="str">
        <f t="shared" si="2"/>
        <v/>
      </c>
      <c r="AC9" t="str">
        <f t="shared" si="3"/>
        <v/>
      </c>
      <c r="AE9" t="str">
        <f t="shared" si="4"/>
        <v/>
      </c>
      <c r="AF9" t="str">
        <f t="shared" si="5"/>
        <v/>
      </c>
      <c r="AG9" t="str">
        <f t="shared" si="6"/>
        <v/>
      </c>
      <c r="AH9" t="str">
        <f t="shared" si="7"/>
        <v/>
      </c>
      <c r="AI9" t="str">
        <f t="shared" si="8"/>
        <v/>
      </c>
      <c r="AK9" t="str">
        <f t="shared" si="9"/>
        <v/>
      </c>
      <c r="AL9" t="str">
        <f t="shared" si="32"/>
        <v/>
      </c>
      <c r="AM9" t="str">
        <f t="shared" si="10"/>
        <v/>
      </c>
      <c r="AN9" t="str">
        <f t="shared" si="11"/>
        <v/>
      </c>
      <c r="AO9" t="str">
        <f t="shared" si="12"/>
        <v/>
      </c>
      <c r="AP9" t="str">
        <f t="shared" si="13"/>
        <v/>
      </c>
      <c r="AQ9" t="str">
        <f t="shared" si="14"/>
        <v/>
      </c>
      <c r="AR9" t="str">
        <f t="shared" si="15"/>
        <v/>
      </c>
      <c r="AS9" t="str">
        <f t="shared" si="16"/>
        <v/>
      </c>
      <c r="AT9" t="str">
        <f t="shared" si="17"/>
        <v/>
      </c>
      <c r="AU9" t="str">
        <f t="shared" si="18"/>
        <v/>
      </c>
      <c r="AV9" t="str">
        <f t="shared" si="19"/>
        <v/>
      </c>
      <c r="AW9" t="str">
        <f t="shared" si="20"/>
        <v/>
      </c>
      <c r="AX9" t="str">
        <f t="shared" si="21"/>
        <v/>
      </c>
      <c r="AY9" t="str">
        <f t="shared" si="22"/>
        <v/>
      </c>
      <c r="AZ9" t="str">
        <f t="shared" si="23"/>
        <v/>
      </c>
      <c r="BA9" t="str">
        <f t="shared" si="24"/>
        <v/>
      </c>
      <c r="BB9" t="str">
        <f t="shared" si="25"/>
        <v/>
      </c>
      <c r="BC9" t="str">
        <f t="shared" si="26"/>
        <v/>
      </c>
      <c r="BD9" t="str">
        <f t="shared" si="27"/>
        <v/>
      </c>
      <c r="BE9" t="str">
        <f t="shared" si="28"/>
        <v/>
      </c>
      <c r="BF9" t="str">
        <f t="shared" si="29"/>
        <v/>
      </c>
      <c r="BG9" t="str">
        <f t="shared" si="30"/>
        <v/>
      </c>
      <c r="BH9" t="str">
        <f t="shared" si="31"/>
        <v/>
      </c>
    </row>
    <row r="10" spans="1:66" x14ac:dyDescent="0.2">
      <c r="A10">
        <v>7</v>
      </c>
      <c r="B10">
        <v>66</v>
      </c>
      <c r="C10" t="s">
        <v>207</v>
      </c>
      <c r="D10">
        <v>1</v>
      </c>
      <c r="E10">
        <v>1</v>
      </c>
      <c r="G10">
        <v>3</v>
      </c>
      <c r="J10">
        <v>1</v>
      </c>
      <c r="K10">
        <v>3</v>
      </c>
      <c r="N10">
        <v>3</v>
      </c>
      <c r="O10">
        <v>3</v>
      </c>
      <c r="P10" t="s">
        <v>209</v>
      </c>
      <c r="R10">
        <v>1</v>
      </c>
      <c r="S10">
        <v>1</v>
      </c>
      <c r="W10">
        <v>14</v>
      </c>
      <c r="X10">
        <f t="shared" si="33"/>
        <v>4</v>
      </c>
      <c r="Y10" t="s">
        <v>174</v>
      </c>
      <c r="Z10" t="str">
        <f t="shared" si="0"/>
        <v/>
      </c>
      <c r="AA10" t="str">
        <f t="shared" si="1"/>
        <v/>
      </c>
      <c r="AB10" t="str">
        <f t="shared" si="2"/>
        <v/>
      </c>
      <c r="AC10" t="str">
        <f t="shared" si="3"/>
        <v/>
      </c>
      <c r="AE10" t="str">
        <f t="shared" si="4"/>
        <v/>
      </c>
      <c r="AF10" t="str">
        <f t="shared" si="5"/>
        <v/>
      </c>
      <c r="AG10" t="str">
        <f t="shared" si="6"/>
        <v/>
      </c>
      <c r="AH10" t="str">
        <f t="shared" si="7"/>
        <v/>
      </c>
      <c r="AI10" t="str">
        <f t="shared" si="8"/>
        <v/>
      </c>
      <c r="AK10" t="str">
        <f t="shared" si="9"/>
        <v/>
      </c>
      <c r="AL10" t="str">
        <f t="shared" si="32"/>
        <v/>
      </c>
      <c r="AM10" t="str">
        <f t="shared" si="10"/>
        <v/>
      </c>
      <c r="AN10" t="str">
        <f t="shared" si="11"/>
        <v/>
      </c>
      <c r="AO10" t="str">
        <f t="shared" si="12"/>
        <v/>
      </c>
      <c r="AP10" t="str">
        <f t="shared" si="13"/>
        <v/>
      </c>
      <c r="AQ10" t="str">
        <f t="shared" si="14"/>
        <v/>
      </c>
      <c r="AR10" t="str">
        <f t="shared" si="15"/>
        <v/>
      </c>
      <c r="AS10" t="str">
        <f t="shared" si="16"/>
        <v/>
      </c>
      <c r="AT10" t="str">
        <f t="shared" si="17"/>
        <v/>
      </c>
      <c r="AU10" t="str">
        <f t="shared" si="18"/>
        <v/>
      </c>
      <c r="AV10" t="str">
        <f t="shared" si="19"/>
        <v/>
      </c>
      <c r="AW10" t="str">
        <f t="shared" si="20"/>
        <v/>
      </c>
      <c r="AX10" t="str">
        <f t="shared" si="21"/>
        <v/>
      </c>
      <c r="AY10" t="str">
        <f t="shared" si="22"/>
        <v/>
      </c>
      <c r="AZ10" t="str">
        <f t="shared" si="23"/>
        <v/>
      </c>
      <c r="BA10" t="str">
        <f t="shared" si="24"/>
        <v/>
      </c>
      <c r="BB10" t="str">
        <f t="shared" si="25"/>
        <v/>
      </c>
      <c r="BC10" t="str">
        <f t="shared" si="26"/>
        <v/>
      </c>
      <c r="BD10" t="str">
        <f t="shared" si="27"/>
        <v/>
      </c>
      <c r="BE10" t="str">
        <f t="shared" si="28"/>
        <v/>
      </c>
      <c r="BF10" t="str">
        <f t="shared" si="29"/>
        <v/>
      </c>
      <c r="BG10" t="str">
        <f t="shared" si="30"/>
        <v/>
      </c>
      <c r="BH10" t="str">
        <f t="shared" si="31"/>
        <v/>
      </c>
    </row>
    <row r="11" spans="1:66" x14ac:dyDescent="0.2">
      <c r="A11">
        <v>8</v>
      </c>
      <c r="B11">
        <v>80</v>
      </c>
      <c r="C11" t="s">
        <v>207</v>
      </c>
      <c r="D11">
        <v>1</v>
      </c>
      <c r="E11">
        <v>1</v>
      </c>
      <c r="G11">
        <v>1</v>
      </c>
      <c r="K11">
        <v>5</v>
      </c>
      <c r="N11">
        <v>5</v>
      </c>
      <c r="O11">
        <v>3</v>
      </c>
      <c r="S11">
        <v>1</v>
      </c>
      <c r="T11">
        <v>1</v>
      </c>
      <c r="U11">
        <v>7</v>
      </c>
      <c r="X11">
        <f t="shared" si="33"/>
        <v>1</v>
      </c>
      <c r="Y11" t="s">
        <v>174</v>
      </c>
      <c r="Z11" t="str">
        <f t="shared" si="0"/>
        <v/>
      </c>
      <c r="AA11" t="str">
        <f t="shared" si="1"/>
        <v/>
      </c>
      <c r="AB11" t="str">
        <f t="shared" si="2"/>
        <v/>
      </c>
      <c r="AC11" t="str">
        <f t="shared" si="3"/>
        <v/>
      </c>
      <c r="AE11" t="str">
        <f t="shared" si="4"/>
        <v/>
      </c>
      <c r="AF11" t="str">
        <f t="shared" si="5"/>
        <v/>
      </c>
      <c r="AG11" t="str">
        <f t="shared" si="6"/>
        <v/>
      </c>
      <c r="AH11" t="str">
        <f t="shared" si="7"/>
        <v/>
      </c>
      <c r="AI11" t="str">
        <f t="shared" si="8"/>
        <v/>
      </c>
      <c r="AK11" t="str">
        <f t="shared" si="9"/>
        <v/>
      </c>
      <c r="AL11" t="str">
        <f t="shared" si="32"/>
        <v/>
      </c>
      <c r="AM11" t="str">
        <f t="shared" si="10"/>
        <v/>
      </c>
      <c r="AN11" t="str">
        <f t="shared" si="11"/>
        <v/>
      </c>
      <c r="AO11" t="str">
        <f t="shared" si="12"/>
        <v/>
      </c>
      <c r="AP11" t="str">
        <f t="shared" si="13"/>
        <v/>
      </c>
      <c r="AQ11" t="str">
        <f t="shared" si="14"/>
        <v/>
      </c>
      <c r="AR11" t="str">
        <f t="shared" si="15"/>
        <v/>
      </c>
      <c r="AS11" t="str">
        <f t="shared" si="16"/>
        <v/>
      </c>
      <c r="AT11" t="str">
        <f t="shared" si="17"/>
        <v/>
      </c>
      <c r="AU11" t="str">
        <f t="shared" si="18"/>
        <v/>
      </c>
      <c r="AV11" t="str">
        <f t="shared" si="19"/>
        <v/>
      </c>
      <c r="AW11" t="str">
        <f t="shared" si="20"/>
        <v/>
      </c>
      <c r="AX11" t="str">
        <f t="shared" si="21"/>
        <v/>
      </c>
      <c r="AY11" t="str">
        <f t="shared" si="22"/>
        <v/>
      </c>
      <c r="AZ11" t="str">
        <f t="shared" si="23"/>
        <v/>
      </c>
      <c r="BA11" t="str">
        <f t="shared" si="24"/>
        <v/>
      </c>
      <c r="BB11" t="str">
        <f t="shared" si="25"/>
        <v/>
      </c>
      <c r="BC11" t="str">
        <f t="shared" si="26"/>
        <v/>
      </c>
      <c r="BD11" t="str">
        <f t="shared" si="27"/>
        <v/>
      </c>
      <c r="BE11" t="str">
        <f t="shared" si="28"/>
        <v/>
      </c>
      <c r="BF11" t="str">
        <f t="shared" si="29"/>
        <v/>
      </c>
      <c r="BG11" t="str">
        <f t="shared" si="30"/>
        <v/>
      </c>
      <c r="BH11" t="str">
        <f t="shared" si="31"/>
        <v/>
      </c>
    </row>
    <row r="12" spans="1:66" x14ac:dyDescent="0.2">
      <c r="A12">
        <v>9</v>
      </c>
      <c r="B12">
        <v>88</v>
      </c>
      <c r="C12" t="s">
        <v>207</v>
      </c>
      <c r="D12">
        <v>1</v>
      </c>
      <c r="E12">
        <v>1</v>
      </c>
      <c r="F12">
        <v>1</v>
      </c>
      <c r="K12">
        <v>5</v>
      </c>
      <c r="L12">
        <v>1</v>
      </c>
      <c r="N12">
        <v>5</v>
      </c>
      <c r="O12">
        <v>5</v>
      </c>
      <c r="S12">
        <v>1</v>
      </c>
      <c r="T12">
        <v>1</v>
      </c>
      <c r="U12">
        <v>8</v>
      </c>
      <c r="X12">
        <f t="shared" si="33"/>
        <v>0</v>
      </c>
      <c r="Z12" t="str">
        <f t="shared" si="0"/>
        <v/>
      </c>
      <c r="AA12" t="str">
        <f t="shared" si="1"/>
        <v/>
      </c>
      <c r="AB12" t="str">
        <f t="shared" si="2"/>
        <v/>
      </c>
      <c r="AC12" t="str">
        <f t="shared" si="3"/>
        <v/>
      </c>
      <c r="AE12" t="str">
        <f t="shared" si="4"/>
        <v/>
      </c>
      <c r="AF12" t="str">
        <f t="shared" si="5"/>
        <v/>
      </c>
      <c r="AG12" t="str">
        <f t="shared" si="6"/>
        <v/>
      </c>
      <c r="AH12" t="str">
        <f t="shared" si="7"/>
        <v/>
      </c>
      <c r="AI12" t="str">
        <f t="shared" si="8"/>
        <v/>
      </c>
      <c r="AK12" t="str">
        <f t="shared" si="9"/>
        <v>g1</v>
      </c>
      <c r="AL12" t="str">
        <f t="shared" si="32"/>
        <v/>
      </c>
      <c r="AM12" t="str">
        <f t="shared" si="10"/>
        <v/>
      </c>
      <c r="AN12" t="str">
        <f t="shared" si="11"/>
        <v/>
      </c>
      <c r="AO12" t="str">
        <f t="shared" si="12"/>
        <v/>
      </c>
      <c r="AP12" t="str">
        <f t="shared" si="13"/>
        <v/>
      </c>
      <c r="AQ12" t="str">
        <f t="shared" si="14"/>
        <v/>
      </c>
      <c r="AR12" t="str">
        <f t="shared" si="15"/>
        <v/>
      </c>
      <c r="AS12" t="str">
        <f t="shared" si="16"/>
        <v/>
      </c>
      <c r="AT12" t="str">
        <f t="shared" si="17"/>
        <v/>
      </c>
      <c r="AU12" t="str">
        <f t="shared" si="18"/>
        <v/>
      </c>
      <c r="AV12" t="str">
        <f t="shared" si="19"/>
        <v/>
      </c>
      <c r="AW12" t="str">
        <f t="shared" si="20"/>
        <v/>
      </c>
      <c r="AX12" t="str">
        <f t="shared" si="21"/>
        <v/>
      </c>
      <c r="AY12" t="str">
        <f t="shared" si="22"/>
        <v/>
      </c>
      <c r="AZ12" t="str">
        <f t="shared" si="23"/>
        <v/>
      </c>
      <c r="BA12" t="str">
        <f t="shared" si="24"/>
        <v/>
      </c>
      <c r="BB12" t="str">
        <f t="shared" si="25"/>
        <v/>
      </c>
      <c r="BC12" t="str">
        <f t="shared" si="26"/>
        <v/>
      </c>
      <c r="BD12" t="str">
        <f t="shared" si="27"/>
        <v/>
      </c>
      <c r="BE12" t="str">
        <f t="shared" si="28"/>
        <v/>
      </c>
      <c r="BF12" t="str">
        <f t="shared" si="29"/>
        <v/>
      </c>
      <c r="BG12" t="str">
        <f t="shared" si="30"/>
        <v/>
      </c>
      <c r="BH12" t="str">
        <f t="shared" si="31"/>
        <v/>
      </c>
    </row>
    <row r="13" spans="1:66" x14ac:dyDescent="0.2">
      <c r="A13">
        <v>10</v>
      </c>
      <c r="B13">
        <v>100</v>
      </c>
      <c r="C13" t="s">
        <v>39</v>
      </c>
      <c r="D13">
        <v>1</v>
      </c>
      <c r="E13">
        <v>1</v>
      </c>
      <c r="F13">
        <v>1</v>
      </c>
      <c r="K13">
        <v>4</v>
      </c>
      <c r="N13">
        <v>5</v>
      </c>
      <c r="O13">
        <v>4</v>
      </c>
      <c r="S13">
        <v>1</v>
      </c>
      <c r="T13">
        <v>1</v>
      </c>
      <c r="X13">
        <f t="shared" si="33"/>
        <v>0</v>
      </c>
      <c r="Z13" t="str">
        <f t="shared" si="0"/>
        <v/>
      </c>
      <c r="AA13" t="str">
        <f t="shared" si="1"/>
        <v/>
      </c>
      <c r="AB13" t="str">
        <f t="shared" si="2"/>
        <v/>
      </c>
      <c r="AC13" t="str">
        <f t="shared" si="3"/>
        <v/>
      </c>
      <c r="AE13" t="str">
        <f t="shared" si="4"/>
        <v>3</v>
      </c>
      <c r="AF13" t="str">
        <f t="shared" si="5"/>
        <v/>
      </c>
      <c r="AG13" t="str">
        <f t="shared" si="6"/>
        <v/>
      </c>
      <c r="AH13" t="str">
        <f t="shared" si="7"/>
        <v/>
      </c>
      <c r="AI13" t="str">
        <f t="shared" si="8"/>
        <v/>
      </c>
      <c r="AK13" t="str">
        <f t="shared" si="9"/>
        <v>h1</v>
      </c>
      <c r="AL13" t="str">
        <f t="shared" si="32"/>
        <v/>
      </c>
      <c r="AM13" t="str">
        <f t="shared" si="10"/>
        <v/>
      </c>
      <c r="AN13" t="str">
        <f t="shared" si="11"/>
        <v/>
      </c>
      <c r="AO13" t="str">
        <f t="shared" si="12"/>
        <v/>
      </c>
      <c r="AP13" t="str">
        <f t="shared" si="13"/>
        <v/>
      </c>
      <c r="AQ13" t="str">
        <f t="shared" si="14"/>
        <v/>
      </c>
      <c r="AR13" t="str">
        <f t="shared" si="15"/>
        <v/>
      </c>
      <c r="AS13" t="str">
        <f t="shared" si="16"/>
        <v/>
      </c>
      <c r="AT13" t="str">
        <f t="shared" si="17"/>
        <v/>
      </c>
      <c r="AU13" t="str">
        <f t="shared" si="18"/>
        <v/>
      </c>
      <c r="AV13" t="str">
        <f t="shared" si="19"/>
        <v/>
      </c>
      <c r="AW13" t="str">
        <f t="shared" si="20"/>
        <v/>
      </c>
      <c r="AX13" t="str">
        <f t="shared" si="21"/>
        <v/>
      </c>
      <c r="AY13" t="str">
        <f t="shared" si="22"/>
        <v/>
      </c>
      <c r="AZ13" t="str">
        <f t="shared" si="23"/>
        <v/>
      </c>
      <c r="BA13" t="str">
        <f t="shared" si="24"/>
        <v/>
      </c>
      <c r="BB13" t="str">
        <f t="shared" si="25"/>
        <v/>
      </c>
      <c r="BC13" t="str">
        <f t="shared" si="26"/>
        <v/>
      </c>
      <c r="BD13" t="str">
        <f t="shared" si="27"/>
        <v/>
      </c>
      <c r="BE13" t="str">
        <f t="shared" si="28"/>
        <v/>
      </c>
      <c r="BF13" t="str">
        <f t="shared" si="29"/>
        <v/>
      </c>
      <c r="BG13" t="str">
        <f t="shared" si="30"/>
        <v/>
      </c>
      <c r="BH13" t="str">
        <f t="shared" si="31"/>
        <v/>
      </c>
    </row>
    <row r="14" spans="1:66" x14ac:dyDescent="0.2">
      <c r="A14">
        <v>11</v>
      </c>
      <c r="B14">
        <v>110</v>
      </c>
      <c r="C14" t="s">
        <v>39</v>
      </c>
      <c r="D14">
        <v>1</v>
      </c>
      <c r="E14">
        <v>1</v>
      </c>
      <c r="G14">
        <v>4</v>
      </c>
      <c r="K14">
        <v>3</v>
      </c>
      <c r="N14">
        <v>3</v>
      </c>
      <c r="O14">
        <v>2</v>
      </c>
      <c r="P14" t="s">
        <v>218</v>
      </c>
      <c r="R14">
        <v>1</v>
      </c>
      <c r="S14">
        <v>1</v>
      </c>
      <c r="T14">
        <v>1</v>
      </c>
      <c r="U14">
        <v>9</v>
      </c>
      <c r="W14">
        <v>15</v>
      </c>
      <c r="X14">
        <f t="shared" si="33"/>
        <v>5</v>
      </c>
      <c r="Z14" t="s">
        <v>31</v>
      </c>
      <c r="AE14" t="s">
        <v>34</v>
      </c>
      <c r="AK14" t="s">
        <v>43</v>
      </c>
      <c r="AP14" t="s">
        <v>84</v>
      </c>
    </row>
    <row r="15" spans="1:66" x14ac:dyDescent="0.2">
      <c r="A15">
        <v>12</v>
      </c>
      <c r="B15">
        <v>115</v>
      </c>
      <c r="C15" t="s">
        <v>39</v>
      </c>
      <c r="D15">
        <v>1</v>
      </c>
      <c r="E15">
        <v>1</v>
      </c>
      <c r="G15">
        <v>5</v>
      </c>
      <c r="J15">
        <v>3</v>
      </c>
      <c r="K15">
        <v>4</v>
      </c>
      <c r="N15">
        <v>4</v>
      </c>
      <c r="O15">
        <v>3</v>
      </c>
      <c r="P15" t="s">
        <v>209</v>
      </c>
      <c r="S15">
        <v>1</v>
      </c>
      <c r="T15">
        <v>1</v>
      </c>
      <c r="U15">
        <v>5</v>
      </c>
      <c r="X15">
        <f t="shared" si="33"/>
        <v>5</v>
      </c>
      <c r="Z15" t="s">
        <v>21</v>
      </c>
      <c r="AA15" t="s">
        <v>22</v>
      </c>
      <c r="AE15" t="s">
        <v>21</v>
      </c>
      <c r="AF15" t="s">
        <v>22</v>
      </c>
      <c r="AG15" t="s">
        <v>35</v>
      </c>
      <c r="AK15" t="s">
        <v>10</v>
      </c>
      <c r="AL15" t="s">
        <v>25</v>
      </c>
      <c r="AM15" t="s">
        <v>26</v>
      </c>
      <c r="AN15" t="s">
        <v>27</v>
      </c>
      <c r="AP15" t="s">
        <v>15</v>
      </c>
      <c r="AQ15" t="s">
        <v>85</v>
      </c>
    </row>
    <row r="16" spans="1:66" x14ac:dyDescent="0.2">
      <c r="A16" t="s">
        <v>28</v>
      </c>
      <c r="D16">
        <f>SUM(D4:D15)</f>
        <v>11</v>
      </c>
      <c r="E16">
        <f>SUM(E4:E15)</f>
        <v>11</v>
      </c>
      <c r="F16">
        <f>SUM(F4:F15)</f>
        <v>2</v>
      </c>
      <c r="G16">
        <f>SUM(G4:G15)</f>
        <v>32</v>
      </c>
      <c r="H16">
        <f>SUM(H4:H15)</f>
        <v>0</v>
      </c>
      <c r="K16">
        <f>SUM(K4:K15)</f>
        <v>41</v>
      </c>
      <c r="L16">
        <f>SUM(L4:L15)</f>
        <v>2</v>
      </c>
      <c r="M16">
        <f>SUM(M4:M15)</f>
        <v>0</v>
      </c>
      <c r="N16">
        <f>SUM(N4:N15)</f>
        <v>42</v>
      </c>
      <c r="O16">
        <f>SUM(O4:O15)</f>
        <v>35</v>
      </c>
      <c r="Q16">
        <f t="shared" ref="Q16:R16" si="34">SUM(Q4:Q15)</f>
        <v>0</v>
      </c>
      <c r="R16">
        <f t="shared" si="34"/>
        <v>4</v>
      </c>
      <c r="S16">
        <f>SUM(S4:S15)</f>
        <v>11</v>
      </c>
      <c r="T16">
        <f>SUM(T4:T15)</f>
        <v>10</v>
      </c>
      <c r="U16">
        <f>SUM(U4:U15)</f>
        <v>62</v>
      </c>
      <c r="V16">
        <f>SUM(V4:V15)</f>
        <v>2</v>
      </c>
      <c r="W16">
        <f>SUM(W4:W15)</f>
        <v>44</v>
      </c>
      <c r="Z16">
        <f t="shared" ref="Z16:Z27" si="35">COUNTIF(Z2:AC2, "3")*COUNTIF(C4, "r")+COUNTIF(Z2:AC2, "5")*COUNTIF(C4, "b")</f>
        <v>0</v>
      </c>
      <c r="AA16">
        <f t="shared" ref="AA16:AA27" si="36">COUNTIF(Z2:AC2, "1")+COUNTIF(Z2:AC2, "2")+COUNTIF(Z2:AC2, "4")</f>
        <v>0</v>
      </c>
      <c r="AE16">
        <f t="shared" ref="AE16:AE27" si="37">COUNTIF(AE2:AI2, "3")*COUNTIF(C4, "r") + COUNTIF(AE2:AI2, "5")*COUNTIF(C4, "b")</f>
        <v>0</v>
      </c>
      <c r="AF16">
        <f t="shared" ref="AF16:AF27" si="38">COUNTIF(AE2:AI2, "1")+COUNTIF(AE2:AI2, "2")+COUNTIF(AE2:AI2, "4")</f>
        <v>0</v>
      </c>
      <c r="AG16">
        <f t="shared" ref="AG16:AG27" si="39">COUNTIF(AE2:AI2, "3")*COUNTIF(AE2:AI2, "b")+COUNTIF(AE2:AI2, "5")*COUNTIF(AE2:AI2, "r")</f>
        <v>0</v>
      </c>
      <c r="AK16">
        <f t="shared" ref="AK16:AK27" si="40">SUMPRODUCT(LEN($AK2:$BH2) - LEN(SUBSTITUTE($AK2:$BH2, "g", "")))</f>
        <v>0</v>
      </c>
      <c r="AL16">
        <f t="shared" ref="AL16:AL27" si="41">SUMPRODUCT(LEN($AK2:$BH2) - LEN(SUBSTITUTE($AK2:$BH2, "h", "")))</f>
        <v>0</v>
      </c>
      <c r="AM16">
        <f t="shared" ref="AM16:AM27" si="42">SUMPRODUCT(LEN($AK2:$BH2) - LEN(SUBSTITUTE($AK2:$BH2, "v", "")))</f>
        <v>0</v>
      </c>
      <c r="AN16">
        <f t="shared" ref="AN16:AN27" si="43">SUMPRODUCT(LEN($AK2:$BH2) - LEN(SUBSTITUTE($AK2:$BH2, "r", "")))</f>
        <v>0</v>
      </c>
      <c r="AP16">
        <f>MAX(AQ16:BN16)</f>
        <v>0</v>
      </c>
      <c r="AQ16" s="4">
        <f>_xlfn.NUMBERVALUE(RIGHT(AK2,1))</f>
        <v>0</v>
      </c>
      <c r="AR16" s="4">
        <f t="shared" ref="AR16:BG27" si="44">_xlfn.NUMBERVALUE(RIGHT(AL2,1))</f>
        <v>0</v>
      </c>
      <c r="AS16" s="4">
        <f t="shared" si="44"/>
        <v>0</v>
      </c>
      <c r="AT16" s="4">
        <f t="shared" si="44"/>
        <v>0</v>
      </c>
      <c r="AU16" s="4">
        <f t="shared" si="44"/>
        <v>0</v>
      </c>
      <c r="AV16" s="4">
        <f t="shared" si="44"/>
        <v>0</v>
      </c>
      <c r="AW16" s="4">
        <f t="shared" si="44"/>
        <v>0</v>
      </c>
      <c r="AX16" s="4">
        <f t="shared" si="44"/>
        <v>0</v>
      </c>
      <c r="AY16" s="4">
        <f t="shared" si="44"/>
        <v>0</v>
      </c>
      <c r="AZ16" s="4">
        <f t="shared" si="44"/>
        <v>0</v>
      </c>
      <c r="BA16" s="4">
        <f t="shared" si="44"/>
        <v>0</v>
      </c>
      <c r="BB16" s="4">
        <f t="shared" si="44"/>
        <v>0</v>
      </c>
      <c r="BC16" s="4">
        <f t="shared" si="44"/>
        <v>0</v>
      </c>
      <c r="BD16" s="4">
        <f t="shared" si="44"/>
        <v>0</v>
      </c>
      <c r="BE16" s="4">
        <f t="shared" si="44"/>
        <v>0</v>
      </c>
      <c r="BF16" s="4">
        <f t="shared" si="44"/>
        <v>0</v>
      </c>
      <c r="BG16" s="4">
        <f t="shared" si="44"/>
        <v>0</v>
      </c>
      <c r="BH16" s="4">
        <f t="shared" ref="BH16:BN27" si="45">_xlfn.NUMBERVALUE(RIGHT(BB2,1))</f>
        <v>0</v>
      </c>
      <c r="BI16" s="4">
        <f t="shared" si="45"/>
        <v>0</v>
      </c>
      <c r="BJ16" s="4">
        <f t="shared" si="45"/>
        <v>0</v>
      </c>
      <c r="BK16" s="4">
        <f t="shared" si="45"/>
        <v>0</v>
      </c>
      <c r="BL16" s="4">
        <f t="shared" si="45"/>
        <v>0</v>
      </c>
      <c r="BM16" s="4">
        <f t="shared" si="45"/>
        <v>0</v>
      </c>
      <c r="BN16" s="4">
        <f t="shared" si="45"/>
        <v>0</v>
      </c>
    </row>
    <row r="17" spans="1:66" x14ac:dyDescent="0.2">
      <c r="A17" s="1" t="s">
        <v>20</v>
      </c>
      <c r="D17" s="1" t="s">
        <v>49</v>
      </c>
      <c r="G17" s="1" t="s">
        <v>52</v>
      </c>
      <c r="K17" s="3" t="s">
        <v>74</v>
      </c>
      <c r="P17" s="1" t="s">
        <v>66</v>
      </c>
      <c r="Z17">
        <f t="shared" si="35"/>
        <v>0</v>
      </c>
      <c r="AA17">
        <f t="shared" si="36"/>
        <v>0</v>
      </c>
      <c r="AE17">
        <f t="shared" si="37"/>
        <v>0</v>
      </c>
      <c r="AF17">
        <f t="shared" si="38"/>
        <v>0</v>
      </c>
      <c r="AG17">
        <f t="shared" si="39"/>
        <v>0</v>
      </c>
      <c r="AK17">
        <f t="shared" si="40"/>
        <v>1</v>
      </c>
      <c r="AL17">
        <f t="shared" si="41"/>
        <v>0</v>
      </c>
      <c r="AM17">
        <f t="shared" si="42"/>
        <v>0</v>
      </c>
      <c r="AN17">
        <f t="shared" si="43"/>
        <v>0</v>
      </c>
      <c r="AP17">
        <f t="shared" ref="AP17:AP27" si="46">MAX(AQ17:BN17)</f>
        <v>1</v>
      </c>
      <c r="AQ17" s="4">
        <f t="shared" ref="AQ17:AQ27" si="47">_xlfn.NUMBERVALUE(RIGHT(AK3,1))</f>
        <v>1</v>
      </c>
      <c r="AR17" s="4">
        <f t="shared" si="44"/>
        <v>0</v>
      </c>
      <c r="AS17" s="4">
        <f t="shared" si="44"/>
        <v>0</v>
      </c>
      <c r="AT17" s="4">
        <f t="shared" si="44"/>
        <v>0</v>
      </c>
      <c r="AU17" s="4">
        <f t="shared" si="44"/>
        <v>0</v>
      </c>
      <c r="AV17" s="4">
        <f t="shared" si="44"/>
        <v>0</v>
      </c>
      <c r="AW17" s="4">
        <f t="shared" si="44"/>
        <v>0</v>
      </c>
      <c r="AX17" s="4">
        <f t="shared" si="44"/>
        <v>0</v>
      </c>
      <c r="AY17" s="4">
        <f t="shared" si="44"/>
        <v>0</v>
      </c>
      <c r="AZ17" s="4">
        <f t="shared" si="44"/>
        <v>0</v>
      </c>
      <c r="BA17" s="4">
        <f t="shared" si="44"/>
        <v>0</v>
      </c>
      <c r="BB17" s="4">
        <f t="shared" si="44"/>
        <v>0</v>
      </c>
      <c r="BC17" s="4">
        <f t="shared" si="44"/>
        <v>0</v>
      </c>
      <c r="BD17" s="4">
        <f t="shared" si="44"/>
        <v>0</v>
      </c>
      <c r="BE17" s="4">
        <f t="shared" si="44"/>
        <v>0</v>
      </c>
      <c r="BF17" s="4">
        <f t="shared" si="44"/>
        <v>0</v>
      </c>
      <c r="BG17" s="4">
        <f t="shared" si="44"/>
        <v>0</v>
      </c>
      <c r="BH17" s="4">
        <f t="shared" si="45"/>
        <v>0</v>
      </c>
      <c r="BI17" s="4">
        <f t="shared" si="45"/>
        <v>0</v>
      </c>
      <c r="BJ17" s="4">
        <f t="shared" si="45"/>
        <v>0</v>
      </c>
      <c r="BK17" s="4">
        <f t="shared" si="45"/>
        <v>0</v>
      </c>
      <c r="BL17" s="4">
        <f t="shared" si="45"/>
        <v>0</v>
      </c>
      <c r="BM17" s="4">
        <f t="shared" si="45"/>
        <v>0</v>
      </c>
      <c r="BN17" s="4">
        <f t="shared" si="45"/>
        <v>0</v>
      </c>
    </row>
    <row r="18" spans="1:66" x14ac:dyDescent="0.2">
      <c r="A18" t="s">
        <v>32</v>
      </c>
      <c r="B18" t="s">
        <v>21</v>
      </c>
      <c r="D18" t="s">
        <v>180</v>
      </c>
      <c r="G18" s="3" t="s">
        <v>53</v>
      </c>
      <c r="K18" t="s">
        <v>55</v>
      </c>
      <c r="M18" t="s">
        <v>65</v>
      </c>
      <c r="P18" t="s">
        <v>67</v>
      </c>
      <c r="Z18">
        <f t="shared" si="35"/>
        <v>0</v>
      </c>
      <c r="AA18">
        <f t="shared" si="36"/>
        <v>0</v>
      </c>
      <c r="AE18">
        <f t="shared" si="37"/>
        <v>0</v>
      </c>
      <c r="AF18">
        <f t="shared" si="38"/>
        <v>0</v>
      </c>
      <c r="AG18">
        <f t="shared" si="39"/>
        <v>0</v>
      </c>
      <c r="AK18">
        <f t="shared" si="40"/>
        <v>0</v>
      </c>
      <c r="AL18">
        <f t="shared" si="41"/>
        <v>0</v>
      </c>
      <c r="AM18">
        <f t="shared" si="42"/>
        <v>0</v>
      </c>
      <c r="AN18">
        <f t="shared" si="43"/>
        <v>0</v>
      </c>
      <c r="AP18">
        <f t="shared" si="46"/>
        <v>0</v>
      </c>
      <c r="AQ18" s="4">
        <f t="shared" si="47"/>
        <v>0</v>
      </c>
      <c r="AR18" s="4">
        <f t="shared" si="44"/>
        <v>0</v>
      </c>
      <c r="AS18" s="4">
        <f t="shared" si="44"/>
        <v>0</v>
      </c>
      <c r="AT18" s="4">
        <f t="shared" si="44"/>
        <v>0</v>
      </c>
      <c r="AU18" s="4">
        <f t="shared" si="44"/>
        <v>0</v>
      </c>
      <c r="AV18" s="4">
        <f t="shared" si="44"/>
        <v>0</v>
      </c>
      <c r="AW18" s="4">
        <f t="shared" si="44"/>
        <v>0</v>
      </c>
      <c r="AX18" s="4">
        <f t="shared" si="44"/>
        <v>0</v>
      </c>
      <c r="AY18" s="4">
        <f t="shared" si="44"/>
        <v>0</v>
      </c>
      <c r="AZ18" s="4">
        <f t="shared" si="44"/>
        <v>0</v>
      </c>
      <c r="BA18" s="4">
        <f t="shared" si="44"/>
        <v>0</v>
      </c>
      <c r="BB18" s="4">
        <f t="shared" si="44"/>
        <v>0</v>
      </c>
      <c r="BC18" s="4">
        <f t="shared" si="44"/>
        <v>0</v>
      </c>
      <c r="BD18" s="4">
        <f t="shared" si="44"/>
        <v>0</v>
      </c>
      <c r="BE18" s="4">
        <f t="shared" si="44"/>
        <v>0</v>
      </c>
      <c r="BF18" s="4">
        <f t="shared" si="44"/>
        <v>0</v>
      </c>
      <c r="BG18" s="4">
        <f t="shared" si="44"/>
        <v>0</v>
      </c>
      <c r="BH18" s="4">
        <f t="shared" si="45"/>
        <v>0</v>
      </c>
      <c r="BI18" s="4">
        <f t="shared" si="45"/>
        <v>0</v>
      </c>
      <c r="BJ18" s="4">
        <f t="shared" si="45"/>
        <v>0</v>
      </c>
      <c r="BK18" s="4">
        <f t="shared" si="45"/>
        <v>0</v>
      </c>
      <c r="BL18" s="4">
        <f t="shared" si="45"/>
        <v>0</v>
      </c>
      <c r="BM18" s="4">
        <f t="shared" si="45"/>
        <v>0</v>
      </c>
      <c r="BN18" s="4">
        <f t="shared" si="45"/>
        <v>0</v>
      </c>
    </row>
    <row r="19" spans="1:66" x14ac:dyDescent="0.2">
      <c r="A19" t="s">
        <v>40</v>
      </c>
      <c r="B19" t="s">
        <v>22</v>
      </c>
      <c r="D19">
        <f>E16/D16</f>
        <v>1</v>
      </c>
      <c r="G19" t="s">
        <v>75</v>
      </c>
      <c r="K19">
        <f>O16/N16</f>
        <v>0.83333333333333337</v>
      </c>
      <c r="M19">
        <f>SUM(M39:M50)</f>
        <v>6</v>
      </c>
      <c r="P19">
        <f>T16/S16</f>
        <v>0.90909090909090906</v>
      </c>
      <c r="Z19">
        <f t="shared" si="35"/>
        <v>0</v>
      </c>
      <c r="AA19">
        <f t="shared" si="36"/>
        <v>0</v>
      </c>
      <c r="AE19">
        <f t="shared" si="37"/>
        <v>0</v>
      </c>
      <c r="AF19">
        <f t="shared" si="38"/>
        <v>0</v>
      </c>
      <c r="AG19">
        <f t="shared" si="39"/>
        <v>0</v>
      </c>
      <c r="AK19">
        <f t="shared" si="40"/>
        <v>0</v>
      </c>
      <c r="AL19">
        <f t="shared" si="41"/>
        <v>0</v>
      </c>
      <c r="AM19">
        <f t="shared" si="42"/>
        <v>0</v>
      </c>
      <c r="AN19">
        <f t="shared" si="43"/>
        <v>0</v>
      </c>
      <c r="AP19">
        <f t="shared" si="46"/>
        <v>0</v>
      </c>
      <c r="AQ19" s="4">
        <f t="shared" si="47"/>
        <v>0</v>
      </c>
      <c r="AR19" s="4">
        <f t="shared" si="44"/>
        <v>0</v>
      </c>
      <c r="AS19" s="4">
        <f t="shared" si="44"/>
        <v>0</v>
      </c>
      <c r="AT19" s="4">
        <f t="shared" si="44"/>
        <v>0</v>
      </c>
      <c r="AU19" s="4">
        <f t="shared" si="44"/>
        <v>0</v>
      </c>
      <c r="AV19" s="4">
        <f t="shared" si="44"/>
        <v>0</v>
      </c>
      <c r="AW19" s="4">
        <f t="shared" si="44"/>
        <v>0</v>
      </c>
      <c r="AX19" s="4">
        <f t="shared" si="44"/>
        <v>0</v>
      </c>
      <c r="AY19" s="4">
        <f t="shared" si="44"/>
        <v>0</v>
      </c>
      <c r="AZ19" s="4">
        <f t="shared" si="44"/>
        <v>0</v>
      </c>
      <c r="BA19" s="4">
        <f t="shared" si="44"/>
        <v>0</v>
      </c>
      <c r="BB19" s="4">
        <f t="shared" si="44"/>
        <v>0</v>
      </c>
      <c r="BC19" s="4">
        <f t="shared" si="44"/>
        <v>0</v>
      </c>
      <c r="BD19" s="4">
        <f t="shared" si="44"/>
        <v>0</v>
      </c>
      <c r="BE19" s="4">
        <f t="shared" si="44"/>
        <v>0</v>
      </c>
      <c r="BF19" s="4">
        <f t="shared" si="44"/>
        <v>0</v>
      </c>
      <c r="BG19" s="4">
        <f t="shared" si="44"/>
        <v>0</v>
      </c>
      <c r="BH19" s="4">
        <f t="shared" si="45"/>
        <v>0</v>
      </c>
      <c r="BI19" s="4">
        <f t="shared" si="45"/>
        <v>0</v>
      </c>
      <c r="BJ19" s="4">
        <f t="shared" si="45"/>
        <v>0</v>
      </c>
      <c r="BK19" s="4">
        <f t="shared" si="45"/>
        <v>0</v>
      </c>
      <c r="BL19" s="4">
        <f t="shared" si="45"/>
        <v>0</v>
      </c>
      <c r="BM19" s="4">
        <f t="shared" si="45"/>
        <v>0</v>
      </c>
      <c r="BN19" s="4">
        <f t="shared" si="45"/>
        <v>0</v>
      </c>
    </row>
    <row r="20" spans="1:66" x14ac:dyDescent="0.2">
      <c r="A20" t="s">
        <v>41</v>
      </c>
      <c r="B20" t="s">
        <v>23</v>
      </c>
      <c r="D20" t="s">
        <v>47</v>
      </c>
      <c r="G20">
        <f>AK28/AP28</f>
        <v>0.5</v>
      </c>
      <c r="K20" t="s">
        <v>13</v>
      </c>
      <c r="Z20">
        <f t="shared" si="35"/>
        <v>0</v>
      </c>
      <c r="AA20">
        <f t="shared" si="36"/>
        <v>0</v>
      </c>
      <c r="AE20">
        <f t="shared" si="37"/>
        <v>0</v>
      </c>
      <c r="AF20">
        <f t="shared" si="38"/>
        <v>0</v>
      </c>
      <c r="AG20">
        <f t="shared" si="39"/>
        <v>0</v>
      </c>
      <c r="AK20">
        <f t="shared" si="40"/>
        <v>0</v>
      </c>
      <c r="AL20">
        <f t="shared" si="41"/>
        <v>0</v>
      </c>
      <c r="AM20">
        <f t="shared" si="42"/>
        <v>0</v>
      </c>
      <c r="AN20">
        <f t="shared" si="43"/>
        <v>0</v>
      </c>
      <c r="AP20">
        <f t="shared" si="46"/>
        <v>0</v>
      </c>
      <c r="AQ20" s="4">
        <f t="shared" si="47"/>
        <v>0</v>
      </c>
      <c r="AR20" s="4">
        <f t="shared" si="44"/>
        <v>0</v>
      </c>
      <c r="AS20" s="4">
        <f t="shared" si="44"/>
        <v>0</v>
      </c>
      <c r="AT20" s="4">
        <f t="shared" si="44"/>
        <v>0</v>
      </c>
      <c r="AU20" s="4">
        <f t="shared" si="44"/>
        <v>0</v>
      </c>
      <c r="AV20" s="4">
        <f t="shared" si="44"/>
        <v>0</v>
      </c>
      <c r="AW20" s="4">
        <f t="shared" si="44"/>
        <v>0</v>
      </c>
      <c r="AX20" s="4">
        <f t="shared" si="44"/>
        <v>0</v>
      </c>
      <c r="AY20" s="4">
        <f t="shared" si="44"/>
        <v>0</v>
      </c>
      <c r="AZ20" s="4">
        <f t="shared" si="44"/>
        <v>0</v>
      </c>
      <c r="BA20" s="4">
        <f t="shared" si="44"/>
        <v>0</v>
      </c>
      <c r="BB20" s="4">
        <f t="shared" si="44"/>
        <v>0</v>
      </c>
      <c r="BC20" s="4">
        <f t="shared" si="44"/>
        <v>0</v>
      </c>
      <c r="BD20" s="4">
        <f t="shared" si="44"/>
        <v>0</v>
      </c>
      <c r="BE20" s="4">
        <f t="shared" si="44"/>
        <v>0</v>
      </c>
      <c r="BF20" s="4">
        <f t="shared" si="44"/>
        <v>0</v>
      </c>
      <c r="BG20" s="4">
        <f t="shared" si="44"/>
        <v>0</v>
      </c>
      <c r="BH20" s="4">
        <f t="shared" si="45"/>
        <v>0</v>
      </c>
      <c r="BI20" s="4">
        <f t="shared" si="45"/>
        <v>0</v>
      </c>
      <c r="BJ20" s="4">
        <f t="shared" si="45"/>
        <v>0</v>
      </c>
      <c r="BK20" s="4">
        <f t="shared" si="45"/>
        <v>0</v>
      </c>
      <c r="BL20" s="4">
        <f t="shared" si="45"/>
        <v>0</v>
      </c>
      <c r="BM20" s="4">
        <f t="shared" si="45"/>
        <v>0</v>
      </c>
      <c r="BN20" s="4">
        <f t="shared" si="45"/>
        <v>0</v>
      </c>
    </row>
    <row r="21" spans="1:66" x14ac:dyDescent="0.2">
      <c r="A21" s="1" t="s">
        <v>24</v>
      </c>
      <c r="D21">
        <f>G16/A31</f>
        <v>2.6666666666666665</v>
      </c>
      <c r="G21" t="s">
        <v>76</v>
      </c>
      <c r="K21" t="s">
        <v>57</v>
      </c>
      <c r="L21" t="s">
        <v>58</v>
      </c>
      <c r="M21" t="s">
        <v>59</v>
      </c>
      <c r="N21" t="s">
        <v>60</v>
      </c>
      <c r="Z21">
        <f t="shared" si="35"/>
        <v>0</v>
      </c>
      <c r="AA21">
        <f t="shared" si="36"/>
        <v>0</v>
      </c>
      <c r="AE21">
        <f t="shared" si="37"/>
        <v>0</v>
      </c>
      <c r="AF21">
        <f t="shared" si="38"/>
        <v>0</v>
      </c>
      <c r="AG21">
        <f t="shared" si="39"/>
        <v>0</v>
      </c>
      <c r="AK21">
        <f t="shared" si="40"/>
        <v>0</v>
      </c>
      <c r="AL21">
        <f t="shared" si="41"/>
        <v>0</v>
      </c>
      <c r="AM21">
        <f t="shared" si="42"/>
        <v>0</v>
      </c>
      <c r="AN21">
        <f t="shared" si="43"/>
        <v>0</v>
      </c>
      <c r="AP21">
        <f t="shared" si="46"/>
        <v>0</v>
      </c>
      <c r="AQ21" s="4">
        <f t="shared" si="47"/>
        <v>0</v>
      </c>
      <c r="AR21" s="4">
        <f t="shared" si="44"/>
        <v>0</v>
      </c>
      <c r="AS21" s="4">
        <f t="shared" si="44"/>
        <v>0</v>
      </c>
      <c r="AT21" s="4">
        <f t="shared" si="44"/>
        <v>0</v>
      </c>
      <c r="AU21" s="4">
        <f t="shared" si="44"/>
        <v>0</v>
      </c>
      <c r="AV21" s="4">
        <f t="shared" si="44"/>
        <v>0</v>
      </c>
      <c r="AW21" s="4">
        <f t="shared" si="44"/>
        <v>0</v>
      </c>
      <c r="AX21" s="4">
        <f t="shared" si="44"/>
        <v>0</v>
      </c>
      <c r="AY21" s="4">
        <f t="shared" si="44"/>
        <v>0</v>
      </c>
      <c r="AZ21" s="4">
        <f t="shared" si="44"/>
        <v>0</v>
      </c>
      <c r="BA21" s="4">
        <f t="shared" si="44"/>
        <v>0</v>
      </c>
      <c r="BB21" s="4">
        <f t="shared" si="44"/>
        <v>0</v>
      </c>
      <c r="BC21" s="4">
        <f t="shared" si="44"/>
        <v>0</v>
      </c>
      <c r="BD21" s="4">
        <f t="shared" si="44"/>
        <v>0</v>
      </c>
      <c r="BE21" s="4">
        <f t="shared" si="44"/>
        <v>0</v>
      </c>
      <c r="BF21" s="4">
        <f t="shared" si="44"/>
        <v>0</v>
      </c>
      <c r="BG21" s="4">
        <f t="shared" si="44"/>
        <v>0</v>
      </c>
      <c r="BH21" s="4">
        <f t="shared" si="45"/>
        <v>0</v>
      </c>
      <c r="BI21" s="4">
        <f t="shared" si="45"/>
        <v>0</v>
      </c>
      <c r="BJ21" s="4">
        <f t="shared" si="45"/>
        <v>0</v>
      </c>
      <c r="BK21" s="4">
        <f t="shared" si="45"/>
        <v>0</v>
      </c>
      <c r="BL21" s="4">
        <f t="shared" si="45"/>
        <v>0</v>
      </c>
      <c r="BM21" s="4">
        <f t="shared" si="45"/>
        <v>0</v>
      </c>
      <c r="BN21" s="4">
        <f t="shared" si="45"/>
        <v>0</v>
      </c>
    </row>
    <row r="22" spans="1:66" x14ac:dyDescent="0.2">
      <c r="A22" t="s">
        <v>36</v>
      </c>
      <c r="B22" t="s">
        <v>10</v>
      </c>
      <c r="D22" t="s">
        <v>48</v>
      </c>
      <c r="G22">
        <f>AL28/AP28</f>
        <v>0.5</v>
      </c>
      <c r="K22">
        <f>AVERAGE(C39:C50)</f>
        <v>2.9166666666666665</v>
      </c>
      <c r="L22">
        <f>MEDIAN(C39:C50)</f>
        <v>3</v>
      </c>
      <c r="M22">
        <f>MAX(C39:C50)</f>
        <v>5</v>
      </c>
      <c r="N22">
        <f>_xlfn.STDEV.S(C39:C50)</f>
        <v>1.5050420310248867</v>
      </c>
      <c r="Z22">
        <f t="shared" si="35"/>
        <v>0</v>
      </c>
      <c r="AA22">
        <f t="shared" si="36"/>
        <v>0</v>
      </c>
      <c r="AE22">
        <f t="shared" si="37"/>
        <v>0</v>
      </c>
      <c r="AF22">
        <f t="shared" si="38"/>
        <v>1</v>
      </c>
      <c r="AG22">
        <f t="shared" si="39"/>
        <v>0</v>
      </c>
      <c r="AK22">
        <f t="shared" si="40"/>
        <v>0</v>
      </c>
      <c r="AL22">
        <f t="shared" si="41"/>
        <v>1</v>
      </c>
      <c r="AM22">
        <f t="shared" si="42"/>
        <v>0</v>
      </c>
      <c r="AN22">
        <f t="shared" si="43"/>
        <v>0</v>
      </c>
      <c r="AP22">
        <f t="shared" si="46"/>
        <v>1</v>
      </c>
      <c r="AQ22" s="4">
        <f t="shared" si="47"/>
        <v>1</v>
      </c>
      <c r="AR22" s="4">
        <f t="shared" si="44"/>
        <v>0</v>
      </c>
      <c r="AS22" s="4">
        <f t="shared" si="44"/>
        <v>0</v>
      </c>
      <c r="AT22" s="4">
        <f t="shared" si="44"/>
        <v>0</v>
      </c>
      <c r="AU22" s="4">
        <f t="shared" si="44"/>
        <v>0</v>
      </c>
      <c r="AV22" s="4">
        <f t="shared" si="44"/>
        <v>0</v>
      </c>
      <c r="AW22" s="4">
        <f t="shared" si="44"/>
        <v>0</v>
      </c>
      <c r="AX22" s="4">
        <f t="shared" si="44"/>
        <v>0</v>
      </c>
      <c r="AY22" s="4">
        <f t="shared" si="44"/>
        <v>0</v>
      </c>
      <c r="AZ22" s="4">
        <f t="shared" si="44"/>
        <v>0</v>
      </c>
      <c r="BA22" s="4">
        <f t="shared" si="44"/>
        <v>0</v>
      </c>
      <c r="BB22" s="4">
        <f t="shared" si="44"/>
        <v>0</v>
      </c>
      <c r="BC22" s="4">
        <f t="shared" si="44"/>
        <v>0</v>
      </c>
      <c r="BD22" s="4">
        <f t="shared" si="44"/>
        <v>0</v>
      </c>
      <c r="BE22" s="4">
        <f t="shared" si="44"/>
        <v>0</v>
      </c>
      <c r="BF22" s="4">
        <f t="shared" si="44"/>
        <v>0</v>
      </c>
      <c r="BG22" s="4">
        <f t="shared" si="44"/>
        <v>0</v>
      </c>
      <c r="BH22" s="4">
        <f t="shared" si="45"/>
        <v>0</v>
      </c>
      <c r="BI22" s="4">
        <f t="shared" si="45"/>
        <v>0</v>
      </c>
      <c r="BJ22" s="4">
        <f t="shared" si="45"/>
        <v>0</v>
      </c>
      <c r="BK22" s="4">
        <f t="shared" si="45"/>
        <v>0</v>
      </c>
      <c r="BL22" s="4">
        <f t="shared" si="45"/>
        <v>0</v>
      </c>
      <c r="BM22" s="4">
        <f t="shared" si="45"/>
        <v>0</v>
      </c>
      <c r="BN22" s="4">
        <f t="shared" si="45"/>
        <v>0</v>
      </c>
    </row>
    <row r="23" spans="1:66" x14ac:dyDescent="0.2">
      <c r="A23" t="s">
        <v>37</v>
      </c>
      <c r="B23" t="s">
        <v>25</v>
      </c>
      <c r="D23">
        <f>H16/A31</f>
        <v>0</v>
      </c>
      <c r="G23" t="s">
        <v>77</v>
      </c>
      <c r="K23" t="s">
        <v>8</v>
      </c>
      <c r="Z23">
        <f t="shared" si="35"/>
        <v>0</v>
      </c>
      <c r="AA23">
        <f t="shared" si="36"/>
        <v>0</v>
      </c>
      <c r="AE23">
        <f t="shared" si="37"/>
        <v>0</v>
      </c>
      <c r="AF23">
        <f t="shared" si="38"/>
        <v>0</v>
      </c>
      <c r="AG23">
        <f t="shared" si="39"/>
        <v>0</v>
      </c>
      <c r="AK23">
        <f t="shared" si="40"/>
        <v>0</v>
      </c>
      <c r="AL23">
        <f t="shared" si="41"/>
        <v>0</v>
      </c>
      <c r="AM23">
        <f t="shared" si="42"/>
        <v>0</v>
      </c>
      <c r="AN23">
        <f t="shared" si="43"/>
        <v>0</v>
      </c>
      <c r="AP23">
        <f t="shared" si="46"/>
        <v>0</v>
      </c>
      <c r="AQ23" s="4">
        <f t="shared" si="47"/>
        <v>0</v>
      </c>
      <c r="AR23" s="4">
        <f t="shared" si="44"/>
        <v>0</v>
      </c>
      <c r="AS23" s="4">
        <f t="shared" si="44"/>
        <v>0</v>
      </c>
      <c r="AT23" s="4">
        <f t="shared" si="44"/>
        <v>0</v>
      </c>
      <c r="AU23" s="4">
        <f t="shared" si="44"/>
        <v>0</v>
      </c>
      <c r="AV23" s="4">
        <f t="shared" si="44"/>
        <v>0</v>
      </c>
      <c r="AW23" s="4">
        <f t="shared" si="44"/>
        <v>0</v>
      </c>
      <c r="AX23" s="4">
        <f t="shared" si="44"/>
        <v>0</v>
      </c>
      <c r="AY23" s="4">
        <f t="shared" si="44"/>
        <v>0</v>
      </c>
      <c r="AZ23" s="4">
        <f t="shared" si="44"/>
        <v>0</v>
      </c>
      <c r="BA23" s="4">
        <f t="shared" si="44"/>
        <v>0</v>
      </c>
      <c r="BB23" s="4">
        <f t="shared" si="44"/>
        <v>0</v>
      </c>
      <c r="BC23" s="4">
        <f t="shared" si="44"/>
        <v>0</v>
      </c>
      <c r="BD23" s="4">
        <f t="shared" si="44"/>
        <v>0</v>
      </c>
      <c r="BE23" s="4">
        <f t="shared" si="44"/>
        <v>0</v>
      </c>
      <c r="BF23" s="4">
        <f t="shared" si="44"/>
        <v>0</v>
      </c>
      <c r="BG23" s="4">
        <f t="shared" si="44"/>
        <v>0</v>
      </c>
      <c r="BH23" s="4">
        <f t="shared" si="45"/>
        <v>0</v>
      </c>
      <c r="BI23" s="4">
        <f t="shared" si="45"/>
        <v>0</v>
      </c>
      <c r="BJ23" s="4">
        <f t="shared" si="45"/>
        <v>0</v>
      </c>
      <c r="BK23" s="4">
        <f t="shared" si="45"/>
        <v>0</v>
      </c>
      <c r="BL23" s="4">
        <f t="shared" si="45"/>
        <v>0</v>
      </c>
      <c r="BM23" s="4">
        <f t="shared" si="45"/>
        <v>0</v>
      </c>
      <c r="BN23" s="4">
        <f t="shared" si="45"/>
        <v>0</v>
      </c>
    </row>
    <row r="24" spans="1:66" x14ac:dyDescent="0.2">
      <c r="A24" t="s">
        <v>38</v>
      </c>
      <c r="B24" t="s">
        <v>26</v>
      </c>
      <c r="D24" t="s">
        <v>50</v>
      </c>
      <c r="G24">
        <f>AM28/AP28</f>
        <v>0</v>
      </c>
      <c r="K24" t="s">
        <v>57</v>
      </c>
      <c r="L24" t="s">
        <v>61</v>
      </c>
      <c r="M24" t="s">
        <v>59</v>
      </c>
      <c r="N24" t="s">
        <v>60</v>
      </c>
      <c r="Z24">
        <f t="shared" si="35"/>
        <v>0</v>
      </c>
      <c r="AA24">
        <f t="shared" si="36"/>
        <v>0</v>
      </c>
      <c r="AE24">
        <f t="shared" si="37"/>
        <v>0</v>
      </c>
      <c r="AF24">
        <f t="shared" si="38"/>
        <v>0</v>
      </c>
      <c r="AG24">
        <f t="shared" si="39"/>
        <v>0</v>
      </c>
      <c r="AK24">
        <f t="shared" si="40"/>
        <v>0</v>
      </c>
      <c r="AL24">
        <f t="shared" si="41"/>
        <v>0</v>
      </c>
      <c r="AM24">
        <f t="shared" si="42"/>
        <v>0</v>
      </c>
      <c r="AN24">
        <f t="shared" si="43"/>
        <v>0</v>
      </c>
      <c r="AP24">
        <f t="shared" si="46"/>
        <v>0</v>
      </c>
      <c r="AQ24" s="4">
        <f t="shared" si="47"/>
        <v>0</v>
      </c>
      <c r="AR24" s="4">
        <f t="shared" si="44"/>
        <v>0</v>
      </c>
      <c r="AS24" s="4">
        <f t="shared" si="44"/>
        <v>0</v>
      </c>
      <c r="AT24" s="4">
        <f t="shared" si="44"/>
        <v>0</v>
      </c>
      <c r="AU24" s="4">
        <f t="shared" si="44"/>
        <v>0</v>
      </c>
      <c r="AV24" s="4">
        <f t="shared" si="44"/>
        <v>0</v>
      </c>
      <c r="AW24" s="4">
        <f t="shared" si="44"/>
        <v>0</v>
      </c>
      <c r="AX24" s="4">
        <f t="shared" si="44"/>
        <v>0</v>
      </c>
      <c r="AY24" s="4">
        <f t="shared" si="44"/>
        <v>0</v>
      </c>
      <c r="AZ24" s="4">
        <f t="shared" si="44"/>
        <v>0</v>
      </c>
      <c r="BA24" s="4">
        <f t="shared" si="44"/>
        <v>0</v>
      </c>
      <c r="BB24" s="4">
        <f t="shared" si="44"/>
        <v>0</v>
      </c>
      <c r="BC24" s="4">
        <f t="shared" si="44"/>
        <v>0</v>
      </c>
      <c r="BD24" s="4">
        <f t="shared" si="44"/>
        <v>0</v>
      </c>
      <c r="BE24" s="4">
        <f t="shared" si="44"/>
        <v>0</v>
      </c>
      <c r="BF24" s="4">
        <f t="shared" si="44"/>
        <v>0</v>
      </c>
      <c r="BG24" s="4">
        <f t="shared" si="44"/>
        <v>0</v>
      </c>
      <c r="BH24" s="4">
        <f t="shared" si="45"/>
        <v>0</v>
      </c>
      <c r="BI24" s="4">
        <f t="shared" si="45"/>
        <v>0</v>
      </c>
      <c r="BJ24" s="4">
        <f t="shared" si="45"/>
        <v>0</v>
      </c>
      <c r="BK24" s="4">
        <f t="shared" si="45"/>
        <v>0</v>
      </c>
      <c r="BL24" s="4">
        <f t="shared" si="45"/>
        <v>0</v>
      </c>
      <c r="BM24" s="4">
        <f t="shared" si="45"/>
        <v>0</v>
      </c>
      <c r="BN24" s="4">
        <f t="shared" si="45"/>
        <v>0</v>
      </c>
    </row>
    <row r="25" spans="1:66" x14ac:dyDescent="0.2">
      <c r="A25" t="s">
        <v>39</v>
      </c>
      <c r="B25" t="s">
        <v>27</v>
      </c>
      <c r="D25">
        <f>Z28/A31</f>
        <v>0</v>
      </c>
      <c r="G25" t="s">
        <v>78</v>
      </c>
      <c r="K25">
        <f>AVERAGE(E39:E50)</f>
        <v>0</v>
      </c>
      <c r="L25">
        <f>MEDIAN(E39:E50)</f>
        <v>0</v>
      </c>
      <c r="M25">
        <f>MAX(E39:E50)</f>
        <v>0</v>
      </c>
      <c r="N25">
        <f>_xlfn.STDEV.S(E39:E50)</f>
        <v>0</v>
      </c>
      <c r="Z25">
        <f t="shared" si="35"/>
        <v>0</v>
      </c>
      <c r="AA25">
        <f t="shared" si="36"/>
        <v>0</v>
      </c>
      <c r="AE25">
        <f t="shared" si="37"/>
        <v>0</v>
      </c>
      <c r="AF25">
        <f t="shared" si="38"/>
        <v>0</v>
      </c>
      <c r="AG25">
        <f t="shared" si="39"/>
        <v>0</v>
      </c>
      <c r="AK25">
        <f t="shared" si="40"/>
        <v>0</v>
      </c>
      <c r="AL25">
        <f t="shared" si="41"/>
        <v>0</v>
      </c>
      <c r="AM25">
        <f t="shared" si="42"/>
        <v>0</v>
      </c>
      <c r="AN25">
        <f t="shared" si="43"/>
        <v>0</v>
      </c>
      <c r="AP25">
        <f t="shared" si="46"/>
        <v>0</v>
      </c>
      <c r="AQ25" s="4">
        <f t="shared" si="47"/>
        <v>0</v>
      </c>
      <c r="AR25" s="4">
        <f t="shared" si="44"/>
        <v>0</v>
      </c>
      <c r="AS25" s="4">
        <f t="shared" si="44"/>
        <v>0</v>
      </c>
      <c r="AT25" s="4">
        <f t="shared" si="44"/>
        <v>0</v>
      </c>
      <c r="AU25" s="4">
        <f t="shared" si="44"/>
        <v>0</v>
      </c>
      <c r="AV25" s="4">
        <f t="shared" si="44"/>
        <v>0</v>
      </c>
      <c r="AW25" s="4">
        <f t="shared" si="44"/>
        <v>0</v>
      </c>
      <c r="AX25" s="4">
        <f t="shared" si="44"/>
        <v>0</v>
      </c>
      <c r="AY25" s="4">
        <f t="shared" si="44"/>
        <v>0</v>
      </c>
      <c r="AZ25" s="4">
        <f t="shared" si="44"/>
        <v>0</v>
      </c>
      <c r="BA25" s="4">
        <f t="shared" si="44"/>
        <v>0</v>
      </c>
      <c r="BB25" s="4">
        <f t="shared" si="44"/>
        <v>0</v>
      </c>
      <c r="BC25" s="4">
        <f t="shared" si="44"/>
        <v>0</v>
      </c>
      <c r="BD25" s="4">
        <f t="shared" si="44"/>
        <v>0</v>
      </c>
      <c r="BE25" s="4">
        <f t="shared" si="44"/>
        <v>0</v>
      </c>
      <c r="BF25" s="4">
        <f t="shared" si="44"/>
        <v>0</v>
      </c>
      <c r="BG25" s="4">
        <f t="shared" si="44"/>
        <v>0</v>
      </c>
      <c r="BH25" s="4">
        <f t="shared" si="45"/>
        <v>0</v>
      </c>
      <c r="BI25" s="4">
        <f t="shared" si="45"/>
        <v>0</v>
      </c>
      <c r="BJ25" s="4">
        <f t="shared" si="45"/>
        <v>0</v>
      </c>
      <c r="BK25" s="4">
        <f t="shared" si="45"/>
        <v>0</v>
      </c>
      <c r="BL25" s="4">
        <f t="shared" si="45"/>
        <v>0</v>
      </c>
      <c r="BM25" s="4">
        <f t="shared" si="45"/>
        <v>0</v>
      </c>
      <c r="BN25" s="4">
        <f t="shared" si="45"/>
        <v>0</v>
      </c>
    </row>
    <row r="26" spans="1:66" x14ac:dyDescent="0.2">
      <c r="A26" t="s">
        <v>44</v>
      </c>
      <c r="D26" t="s">
        <v>51</v>
      </c>
      <c r="G26">
        <f>AN28/AP28</f>
        <v>0</v>
      </c>
      <c r="K26" t="s">
        <v>62</v>
      </c>
      <c r="P26" t="s">
        <v>19</v>
      </c>
      <c r="Z26">
        <f t="shared" si="35"/>
        <v>0</v>
      </c>
      <c r="AA26">
        <f t="shared" si="36"/>
        <v>0</v>
      </c>
      <c r="AE26">
        <f t="shared" si="37"/>
        <v>0</v>
      </c>
      <c r="AF26">
        <f t="shared" si="38"/>
        <v>0</v>
      </c>
      <c r="AG26">
        <f t="shared" si="39"/>
        <v>0</v>
      </c>
      <c r="AK26">
        <f t="shared" si="40"/>
        <v>1</v>
      </c>
      <c r="AL26">
        <f t="shared" si="41"/>
        <v>0</v>
      </c>
      <c r="AM26">
        <f t="shared" si="42"/>
        <v>0</v>
      </c>
      <c r="AN26">
        <f t="shared" si="43"/>
        <v>0</v>
      </c>
      <c r="AP26">
        <f t="shared" si="46"/>
        <v>1</v>
      </c>
      <c r="AQ26" s="4">
        <f t="shared" si="47"/>
        <v>1</v>
      </c>
      <c r="AR26" s="4">
        <f t="shared" si="44"/>
        <v>0</v>
      </c>
      <c r="AS26" s="4">
        <f t="shared" si="44"/>
        <v>0</v>
      </c>
      <c r="AT26" s="4">
        <f t="shared" si="44"/>
        <v>0</v>
      </c>
      <c r="AU26" s="4">
        <f t="shared" si="44"/>
        <v>0</v>
      </c>
      <c r="AV26" s="4">
        <f t="shared" si="44"/>
        <v>0</v>
      </c>
      <c r="AW26" s="4">
        <f t="shared" si="44"/>
        <v>0</v>
      </c>
      <c r="AX26" s="4">
        <f t="shared" si="44"/>
        <v>0</v>
      </c>
      <c r="AY26" s="4">
        <f t="shared" si="44"/>
        <v>0</v>
      </c>
      <c r="AZ26" s="4">
        <f t="shared" si="44"/>
        <v>0</v>
      </c>
      <c r="BA26" s="4">
        <f t="shared" si="44"/>
        <v>0</v>
      </c>
      <c r="BB26" s="4">
        <f t="shared" si="44"/>
        <v>0</v>
      </c>
      <c r="BC26" s="4">
        <f t="shared" si="44"/>
        <v>0</v>
      </c>
      <c r="BD26" s="4">
        <f t="shared" si="44"/>
        <v>0</v>
      </c>
      <c r="BE26" s="4">
        <f t="shared" si="44"/>
        <v>0</v>
      </c>
      <c r="BF26" s="4">
        <f t="shared" si="44"/>
        <v>0</v>
      </c>
      <c r="BG26" s="4">
        <f t="shared" si="44"/>
        <v>0</v>
      </c>
      <c r="BH26" s="4">
        <f t="shared" si="45"/>
        <v>0</v>
      </c>
      <c r="BI26" s="4">
        <f t="shared" si="45"/>
        <v>0</v>
      </c>
      <c r="BJ26" s="4">
        <f t="shared" si="45"/>
        <v>0</v>
      </c>
      <c r="BK26" s="4">
        <f t="shared" si="45"/>
        <v>0</v>
      </c>
      <c r="BL26" s="4">
        <f t="shared" si="45"/>
        <v>0</v>
      </c>
      <c r="BM26" s="4">
        <f t="shared" si="45"/>
        <v>0</v>
      </c>
      <c r="BN26" s="4">
        <f t="shared" si="45"/>
        <v>0</v>
      </c>
    </row>
    <row r="27" spans="1:66" x14ac:dyDescent="0.2">
      <c r="A27" t="s">
        <v>45</v>
      </c>
      <c r="D27">
        <f>AA28/A31</f>
        <v>0</v>
      </c>
      <c r="G27" t="s">
        <v>56</v>
      </c>
      <c r="K27" t="s">
        <v>57</v>
      </c>
      <c r="L27" t="s">
        <v>58</v>
      </c>
      <c r="M27" t="s">
        <v>59</v>
      </c>
      <c r="N27" t="s">
        <v>60</v>
      </c>
      <c r="P27" t="s">
        <v>57</v>
      </c>
      <c r="Q27" t="s">
        <v>58</v>
      </c>
      <c r="R27" t="s">
        <v>59</v>
      </c>
      <c r="S27" t="s">
        <v>60</v>
      </c>
      <c r="Z27">
        <f t="shared" si="35"/>
        <v>0</v>
      </c>
      <c r="AA27">
        <f t="shared" si="36"/>
        <v>0</v>
      </c>
      <c r="AE27">
        <f t="shared" si="37"/>
        <v>1</v>
      </c>
      <c r="AF27">
        <f t="shared" si="38"/>
        <v>0</v>
      </c>
      <c r="AG27">
        <f t="shared" si="39"/>
        <v>0</v>
      </c>
      <c r="AK27">
        <f t="shared" si="40"/>
        <v>0</v>
      </c>
      <c r="AL27">
        <f t="shared" si="41"/>
        <v>1</v>
      </c>
      <c r="AM27">
        <f t="shared" si="42"/>
        <v>0</v>
      </c>
      <c r="AN27">
        <f t="shared" si="43"/>
        <v>0</v>
      </c>
      <c r="AP27">
        <f t="shared" si="46"/>
        <v>1</v>
      </c>
      <c r="AQ27" s="4">
        <f t="shared" si="47"/>
        <v>1</v>
      </c>
      <c r="AR27" s="4">
        <f t="shared" si="44"/>
        <v>0</v>
      </c>
      <c r="AS27" s="4">
        <f t="shared" si="44"/>
        <v>0</v>
      </c>
      <c r="AT27" s="4">
        <f t="shared" si="44"/>
        <v>0</v>
      </c>
      <c r="AU27" s="4">
        <f t="shared" si="44"/>
        <v>0</v>
      </c>
      <c r="AV27" s="4">
        <f t="shared" si="44"/>
        <v>0</v>
      </c>
      <c r="AW27" s="4">
        <f t="shared" si="44"/>
        <v>0</v>
      </c>
      <c r="AX27" s="4">
        <f t="shared" si="44"/>
        <v>0</v>
      </c>
      <c r="AY27" s="4">
        <f t="shared" si="44"/>
        <v>0</v>
      </c>
      <c r="AZ27" s="4">
        <f t="shared" si="44"/>
        <v>0</v>
      </c>
      <c r="BA27" s="4">
        <f t="shared" si="44"/>
        <v>0</v>
      </c>
      <c r="BB27" s="4">
        <f t="shared" si="44"/>
        <v>0</v>
      </c>
      <c r="BC27" s="4">
        <f t="shared" si="44"/>
        <v>0</v>
      </c>
      <c r="BD27" s="4">
        <f t="shared" si="44"/>
        <v>0</v>
      </c>
      <c r="BE27" s="4">
        <f t="shared" si="44"/>
        <v>0</v>
      </c>
      <c r="BF27" s="4">
        <f t="shared" si="44"/>
        <v>0</v>
      </c>
      <c r="BG27" s="4">
        <f t="shared" si="44"/>
        <v>0</v>
      </c>
      <c r="BH27" s="4">
        <f t="shared" si="45"/>
        <v>0</v>
      </c>
      <c r="BI27" s="4">
        <f t="shared" si="45"/>
        <v>0</v>
      </c>
      <c r="BJ27" s="4">
        <f t="shared" si="45"/>
        <v>0</v>
      </c>
      <c r="BK27" s="4">
        <f t="shared" si="45"/>
        <v>0</v>
      </c>
      <c r="BL27" s="4">
        <f t="shared" si="45"/>
        <v>0</v>
      </c>
      <c r="BM27" s="4">
        <f t="shared" si="45"/>
        <v>0</v>
      </c>
      <c r="BN27" s="4">
        <f t="shared" si="45"/>
        <v>0</v>
      </c>
    </row>
    <row r="28" spans="1:66" x14ac:dyDescent="0.2">
      <c r="A28" t="s">
        <v>46</v>
      </c>
      <c r="D28" t="s">
        <v>202</v>
      </c>
      <c r="G28" t="s">
        <v>57</v>
      </c>
      <c r="H28" t="s">
        <v>58</v>
      </c>
      <c r="I28" t="s">
        <v>59</v>
      </c>
      <c r="J28" t="s">
        <v>60</v>
      </c>
      <c r="K28">
        <f>AVERAGE(G39:G50)</f>
        <v>0.33333333333333331</v>
      </c>
      <c r="L28">
        <f>MEDIAN(G39:G50)</f>
        <v>0</v>
      </c>
      <c r="M28">
        <f>MAX(G39:G50)</f>
        <v>1</v>
      </c>
      <c r="N28">
        <f>_xlfn.STDEV.S(G39:G50)</f>
        <v>0.49236596391733095</v>
      </c>
      <c r="P28">
        <f>AVERAGE(N39:N50)</f>
        <v>5.166666666666667</v>
      </c>
      <c r="Q28">
        <f>MEDIAN(N39:N50)</f>
        <v>6.5</v>
      </c>
      <c r="R28">
        <f>MAX(N39:N50)</f>
        <v>9</v>
      </c>
      <c r="S28">
        <f>_xlfn.STDEV.S(N39:N50)</f>
        <v>3.5118845842842465</v>
      </c>
      <c r="Y28" t="s">
        <v>33</v>
      </c>
      <c r="Z28">
        <f>SUM(Z16:Z27)</f>
        <v>0</v>
      </c>
      <c r="AA28">
        <f>SUM(AA16:AA27)</f>
        <v>0</v>
      </c>
      <c r="AE28">
        <f>SUM(AE16:AE27)</f>
        <v>1</v>
      </c>
      <c r="AF28">
        <f>SUM(AF16:AF27)</f>
        <v>1</v>
      </c>
      <c r="AG28">
        <f>SUM(AG16:AG27)</f>
        <v>0</v>
      </c>
      <c r="AK28">
        <f>SUM(AK16:AK27)</f>
        <v>2</v>
      </c>
      <c r="AL28">
        <f>SUM(AL16:AL27)</f>
        <v>2</v>
      </c>
      <c r="AM28">
        <f>SUM(AM16:AM27)</f>
        <v>0</v>
      </c>
      <c r="AN28">
        <f>SUM(AN16:AN27)</f>
        <v>0</v>
      </c>
      <c r="AP28">
        <f>SUM(AP16:AP27)</f>
        <v>4</v>
      </c>
    </row>
    <row r="29" spans="1:66" x14ac:dyDescent="0.2">
      <c r="D29">
        <f>SUM(O39:O50)/F16</f>
        <v>1</v>
      </c>
      <c r="G29">
        <f>AVERAGE(A39:A50)</f>
        <v>0.16666666666666666</v>
      </c>
      <c r="H29">
        <f>MEDIAN(A39:A50)</f>
        <v>0</v>
      </c>
      <c r="I29">
        <f>MAX(A39:A50)</f>
        <v>1</v>
      </c>
      <c r="J29">
        <f>_xlfn.STDEV.S(A39:A50)</f>
        <v>0.38924947208076149</v>
      </c>
      <c r="K29" t="s">
        <v>63</v>
      </c>
      <c r="P29" t="s">
        <v>148</v>
      </c>
    </row>
    <row r="30" spans="1:66" x14ac:dyDescent="0.2">
      <c r="A30" t="s">
        <v>147</v>
      </c>
      <c r="D30" t="s">
        <v>203</v>
      </c>
      <c r="G30" t="s">
        <v>50</v>
      </c>
      <c r="H30" t="s">
        <v>51</v>
      </c>
      <c r="I30" t="s">
        <v>89</v>
      </c>
      <c r="K30" t="s">
        <v>57</v>
      </c>
      <c r="L30" t="s">
        <v>58</v>
      </c>
      <c r="M30" t="s">
        <v>59</v>
      </c>
      <c r="N30" t="s">
        <v>60</v>
      </c>
      <c r="P30" t="s">
        <v>57</v>
      </c>
      <c r="Q30" t="s">
        <v>58</v>
      </c>
      <c r="R30" t="s">
        <v>59</v>
      </c>
      <c r="S30" t="s">
        <v>60</v>
      </c>
      <c r="W30" t="s">
        <v>148</v>
      </c>
      <c r="Y30" t="s">
        <v>149</v>
      </c>
      <c r="AH30" t="s">
        <v>79</v>
      </c>
    </row>
    <row r="31" spans="1:66" x14ac:dyDescent="0.2">
      <c r="A31">
        <f>COUNT(B4:B15)</f>
        <v>12</v>
      </c>
      <c r="D31" s="2">
        <f>SUM(S39:S50)/SUM(Q39:Q50)</f>
        <v>1</v>
      </c>
      <c r="G31">
        <f>AE28/A31</f>
        <v>8.3333333333333329E-2</v>
      </c>
      <c r="H31">
        <f>AF28/A31</f>
        <v>8.3333333333333329E-2</v>
      </c>
      <c r="I31">
        <f>AG28/A31</f>
        <v>0</v>
      </c>
      <c r="K31" t="e">
        <f>AVERAGE(I39:I50)</f>
        <v>#DIV/0!</v>
      </c>
      <c r="L31" t="e">
        <f>MEDIAN(I39:I50)</f>
        <v>#NUM!</v>
      </c>
      <c r="M31">
        <f>MAX(I39:I50)</f>
        <v>0</v>
      </c>
      <c r="N31" t="e">
        <f>_xlfn.STDEV.S(I39:I50)</f>
        <v>#DIV/0!</v>
      </c>
      <c r="P31">
        <f>AVERAGE(W31:W42)</f>
        <v>6</v>
      </c>
      <c r="Q31">
        <f>MEDIAN(W31:W42)</f>
        <v>7</v>
      </c>
      <c r="R31">
        <f>MAX(W31:W42)</f>
        <v>9</v>
      </c>
      <c r="S31">
        <f>_xlfn.STDEV.S(W31:W42)</f>
        <v>2.9154759474226504</v>
      </c>
      <c r="W31">
        <f t="shared" ref="W31:W33" si="48">IF(AND(ISBLANK(Q4), ISBLANK(R4), ISBLANK(G4), ISBLANK(H4)), "", U4)</f>
        <v>6</v>
      </c>
      <c r="Y31">
        <f t="shared" ref="Y31:Y42" si="49">IF(ISBLANK(Y4), IF(X4 = 0, "", (G4 + H4/3 + V4/9 + W4/3)), U4)</f>
        <v>6</v>
      </c>
      <c r="AH31" t="s">
        <v>80</v>
      </c>
    </row>
    <row r="32" spans="1:66" x14ac:dyDescent="0.2">
      <c r="A32" t="s">
        <v>246</v>
      </c>
      <c r="D32" s="3"/>
      <c r="K32" t="s">
        <v>64</v>
      </c>
      <c r="P32" t="s">
        <v>149</v>
      </c>
      <c r="W32">
        <f t="shared" si="48"/>
        <v>3</v>
      </c>
      <c r="Y32">
        <f t="shared" si="49"/>
        <v>3</v>
      </c>
      <c r="AH32" t="s">
        <v>81</v>
      </c>
    </row>
    <row r="33" spans="1:34" x14ac:dyDescent="0.2">
      <c r="A33" t="s">
        <v>317</v>
      </c>
      <c r="D33" s="3"/>
      <c r="K33" t="s">
        <v>57</v>
      </c>
      <c r="L33" t="s">
        <v>58</v>
      </c>
      <c r="M33" t="s">
        <v>59</v>
      </c>
      <c r="N33" t="s">
        <v>60</v>
      </c>
      <c r="P33" t="s">
        <v>57</v>
      </c>
      <c r="Q33" t="s">
        <v>58</v>
      </c>
      <c r="R33" t="s">
        <v>59</v>
      </c>
      <c r="S33" t="s">
        <v>60</v>
      </c>
      <c r="W33">
        <f t="shared" si="48"/>
        <v>8</v>
      </c>
      <c r="Y33">
        <f t="shared" si="49"/>
        <v>8</v>
      </c>
      <c r="AH33" t="s">
        <v>82</v>
      </c>
    </row>
    <row r="34" spans="1:34" x14ac:dyDescent="0.2">
      <c r="D34" s="3"/>
      <c r="K34">
        <f>AVERAGE(K39:K50)</f>
        <v>0.33333333333333331</v>
      </c>
      <c r="L34">
        <f>MEDIAN(K39:K50)</f>
        <v>0</v>
      </c>
      <c r="M34">
        <f>MAX(K39:K50)</f>
        <v>1</v>
      </c>
      <c r="N34">
        <f>_xlfn.STDEV.S(K39:K50)</f>
        <v>0.49236596391733095</v>
      </c>
      <c r="P34">
        <f>AVERAGE(Y31:Y42)</f>
        <v>6</v>
      </c>
      <c r="Q34">
        <f>MEDIAN(Y31:Y42)</f>
        <v>7</v>
      </c>
      <c r="R34">
        <f>MAX(Y31:Y42)</f>
        <v>9</v>
      </c>
      <c r="S34">
        <f>_xlfn.STDEV.S(Y31:Y42)</f>
        <v>2.9154759474226504</v>
      </c>
      <c r="W34" t="str">
        <f>IF(AND(ISBLANK(Q7), ISBLANK(R7), ISBLANK(G7), ISBLANK(H7)), "", U7)</f>
        <v/>
      </c>
      <c r="Y34" t="str">
        <f t="shared" si="49"/>
        <v/>
      </c>
      <c r="AH34" t="s">
        <v>83</v>
      </c>
    </row>
    <row r="35" spans="1:34" x14ac:dyDescent="0.2">
      <c r="P35" t="s">
        <v>95</v>
      </c>
      <c r="R35" t="s">
        <v>197</v>
      </c>
      <c r="W35">
        <f t="shared" ref="W35:W42" si="50">IF(AND(ISBLANK(Q8), ISBLANK(R8), ISBLANK(G8), ISBLANK(H8)), "", U8)</f>
        <v>8</v>
      </c>
      <c r="Y35">
        <f t="shared" si="49"/>
        <v>8</v>
      </c>
    </row>
    <row r="36" spans="1:34" x14ac:dyDescent="0.2">
      <c r="P36">
        <f>Q16/(Q16+R16)</f>
        <v>0</v>
      </c>
      <c r="R36">
        <f>R16/(Q16+R16)</f>
        <v>1</v>
      </c>
      <c r="W36">
        <f t="shared" si="50"/>
        <v>8</v>
      </c>
      <c r="Y36">
        <f t="shared" si="49"/>
        <v>8</v>
      </c>
    </row>
    <row r="37" spans="1:34" x14ac:dyDescent="0.2">
      <c r="W37">
        <f t="shared" si="50"/>
        <v>0</v>
      </c>
      <c r="Y37">
        <f t="shared" si="49"/>
        <v>0</v>
      </c>
    </row>
    <row r="38" spans="1:34" x14ac:dyDescent="0.2">
      <c r="A38" t="s">
        <v>68</v>
      </c>
      <c r="C38" t="s">
        <v>69</v>
      </c>
      <c r="E38" t="s">
        <v>72</v>
      </c>
      <c r="G38" t="s">
        <v>250</v>
      </c>
      <c r="K38" t="s">
        <v>73</v>
      </c>
      <c r="M38" t="s">
        <v>70</v>
      </c>
      <c r="N38" t="s">
        <v>71</v>
      </c>
      <c r="O38" t="s">
        <v>199</v>
      </c>
      <c r="Q38" t="s">
        <v>200</v>
      </c>
      <c r="S38" t="s">
        <v>201</v>
      </c>
      <c r="W38">
        <f t="shared" si="50"/>
        <v>7</v>
      </c>
      <c r="Y38">
        <f t="shared" si="49"/>
        <v>7</v>
      </c>
    </row>
    <row r="39" spans="1:34" x14ac:dyDescent="0.2">
      <c r="A39">
        <f t="shared" ref="A39:A50" si="51">IF(ISBLANK(B4), "", SUM(AE16+AF16+AG16))</f>
        <v>0</v>
      </c>
      <c r="C39">
        <f t="shared" ref="C39:C50" si="52">IF(ISBLANK(B4), "", O4)</f>
        <v>1</v>
      </c>
      <c r="E39">
        <f t="shared" ref="E39:E50" si="53">IF(ISBLANK(B4), "", Q4)</f>
        <v>0</v>
      </c>
      <c r="G39">
        <f t="shared" ref="G39:G50" si="54">IF(ISBLANK(B4), "", R4)</f>
        <v>1</v>
      </c>
      <c r="K39">
        <f t="shared" ref="K39:K50" si="55">IF(ISBLANK(B4), "", SUM(Q4 + R4))</f>
        <v>1</v>
      </c>
      <c r="M39">
        <f t="shared" ref="M39:M50" si="56">IF(ISBLANK(B4), "", SUM(K4+M4) - O4)</f>
        <v>1</v>
      </c>
      <c r="N39">
        <f t="shared" ref="N39:N50" si="57">IF(ISBLANK(B4), "", U4)</f>
        <v>6</v>
      </c>
      <c r="O39">
        <f t="shared" ref="O39:O50" si="58">COUNTIF(E4, "1")*COUNTIF(F4, "1")</f>
        <v>0</v>
      </c>
      <c r="Q39">
        <f t="shared" ref="Q39:Q50" si="59">COUNTIF(D4, "1")*COUNTIF(F4, "")</f>
        <v>1</v>
      </c>
      <c r="S39">
        <f t="shared" ref="S39:S50" si="60">COUNTIF(E4, "1")*COUNTIF(F4, "")</f>
        <v>1</v>
      </c>
      <c r="W39" t="str">
        <f t="shared" si="50"/>
        <v/>
      </c>
      <c r="Y39" t="str">
        <f t="shared" si="49"/>
        <v/>
      </c>
    </row>
    <row r="40" spans="1:34" x14ac:dyDescent="0.2">
      <c r="A40">
        <f t="shared" si="51"/>
        <v>0</v>
      </c>
      <c r="C40">
        <f t="shared" si="52"/>
        <v>4</v>
      </c>
      <c r="E40">
        <f t="shared" si="53"/>
        <v>0</v>
      </c>
      <c r="G40">
        <f t="shared" si="54"/>
        <v>0</v>
      </c>
      <c r="K40">
        <f t="shared" si="55"/>
        <v>0</v>
      </c>
      <c r="M40">
        <f t="shared" si="56"/>
        <v>0</v>
      </c>
      <c r="N40">
        <f t="shared" si="57"/>
        <v>3</v>
      </c>
      <c r="O40">
        <f t="shared" si="58"/>
        <v>0</v>
      </c>
      <c r="Q40">
        <f t="shared" si="59"/>
        <v>1</v>
      </c>
      <c r="S40">
        <f t="shared" si="60"/>
        <v>1</v>
      </c>
      <c r="W40" t="str">
        <f t="shared" si="50"/>
        <v/>
      </c>
      <c r="Y40" t="str">
        <f t="shared" si="49"/>
        <v/>
      </c>
    </row>
    <row r="41" spans="1:34" x14ac:dyDescent="0.2">
      <c r="A41">
        <f t="shared" si="51"/>
        <v>0</v>
      </c>
      <c r="C41">
        <f t="shared" si="52"/>
        <v>3</v>
      </c>
      <c r="E41">
        <f t="shared" si="53"/>
        <v>0</v>
      </c>
      <c r="G41">
        <f t="shared" si="54"/>
        <v>0</v>
      </c>
      <c r="K41">
        <f t="shared" si="55"/>
        <v>0</v>
      </c>
      <c r="M41">
        <f t="shared" si="56"/>
        <v>0</v>
      </c>
      <c r="N41">
        <f t="shared" si="57"/>
        <v>8</v>
      </c>
      <c r="O41">
        <f t="shared" si="58"/>
        <v>0</v>
      </c>
      <c r="Q41">
        <f t="shared" si="59"/>
        <v>1</v>
      </c>
      <c r="S41">
        <f t="shared" si="60"/>
        <v>1</v>
      </c>
      <c r="W41">
        <f t="shared" si="50"/>
        <v>9</v>
      </c>
      <c r="Y41">
        <f t="shared" si="49"/>
        <v>9</v>
      </c>
    </row>
    <row r="42" spans="1:34" x14ac:dyDescent="0.2">
      <c r="A42">
        <f t="shared" si="51"/>
        <v>0</v>
      </c>
      <c r="C42">
        <f t="shared" si="52"/>
        <v>0</v>
      </c>
      <c r="E42">
        <f t="shared" si="53"/>
        <v>0</v>
      </c>
      <c r="G42">
        <f t="shared" si="54"/>
        <v>0</v>
      </c>
      <c r="K42">
        <f t="shared" si="55"/>
        <v>0</v>
      </c>
      <c r="M42">
        <f t="shared" si="56"/>
        <v>0</v>
      </c>
      <c r="N42">
        <f t="shared" si="57"/>
        <v>0</v>
      </c>
      <c r="O42">
        <f t="shared" si="58"/>
        <v>0</v>
      </c>
      <c r="Q42">
        <f t="shared" si="59"/>
        <v>0</v>
      </c>
      <c r="S42">
        <f t="shared" si="60"/>
        <v>0</v>
      </c>
      <c r="W42">
        <f t="shared" si="50"/>
        <v>5</v>
      </c>
      <c r="Y42">
        <f t="shared" si="49"/>
        <v>5</v>
      </c>
    </row>
    <row r="43" spans="1:34" x14ac:dyDescent="0.2">
      <c r="A43">
        <f t="shared" si="51"/>
        <v>0</v>
      </c>
      <c r="C43">
        <f t="shared" si="52"/>
        <v>2</v>
      </c>
      <c r="E43">
        <f t="shared" si="53"/>
        <v>0</v>
      </c>
      <c r="G43">
        <f t="shared" si="54"/>
        <v>1</v>
      </c>
      <c r="K43">
        <f t="shared" si="55"/>
        <v>1</v>
      </c>
      <c r="M43">
        <f t="shared" si="56"/>
        <v>1</v>
      </c>
      <c r="N43">
        <f t="shared" si="57"/>
        <v>8</v>
      </c>
      <c r="O43">
        <f t="shared" si="58"/>
        <v>0</v>
      </c>
      <c r="Q43">
        <f t="shared" si="59"/>
        <v>1</v>
      </c>
      <c r="S43">
        <f t="shared" si="60"/>
        <v>1</v>
      </c>
    </row>
    <row r="44" spans="1:34" x14ac:dyDescent="0.2">
      <c r="A44">
        <f t="shared" si="51"/>
        <v>0</v>
      </c>
      <c r="C44">
        <f t="shared" si="52"/>
        <v>5</v>
      </c>
      <c r="E44">
        <f t="shared" si="53"/>
        <v>0</v>
      </c>
      <c r="G44">
        <f t="shared" si="54"/>
        <v>0</v>
      </c>
      <c r="K44">
        <f t="shared" si="55"/>
        <v>0</v>
      </c>
      <c r="M44">
        <f t="shared" si="56"/>
        <v>0</v>
      </c>
      <c r="N44">
        <f t="shared" si="57"/>
        <v>8</v>
      </c>
      <c r="O44">
        <f t="shared" si="58"/>
        <v>0</v>
      </c>
      <c r="Q44">
        <f t="shared" si="59"/>
        <v>1</v>
      </c>
      <c r="S44">
        <f t="shared" si="60"/>
        <v>1</v>
      </c>
    </row>
    <row r="45" spans="1:34" x14ac:dyDescent="0.2">
      <c r="A45">
        <f t="shared" si="51"/>
        <v>1</v>
      </c>
      <c r="C45">
        <f t="shared" si="52"/>
        <v>3</v>
      </c>
      <c r="E45">
        <f t="shared" si="53"/>
        <v>0</v>
      </c>
      <c r="G45">
        <f t="shared" si="54"/>
        <v>1</v>
      </c>
      <c r="K45">
        <f t="shared" si="55"/>
        <v>1</v>
      </c>
      <c r="M45">
        <f t="shared" si="56"/>
        <v>0</v>
      </c>
      <c r="N45">
        <f t="shared" si="57"/>
        <v>0</v>
      </c>
      <c r="O45">
        <f t="shared" si="58"/>
        <v>0</v>
      </c>
      <c r="Q45">
        <f t="shared" si="59"/>
        <v>1</v>
      </c>
      <c r="S45">
        <f t="shared" si="60"/>
        <v>1</v>
      </c>
    </row>
    <row r="46" spans="1:34" x14ac:dyDescent="0.2">
      <c r="A46">
        <f t="shared" si="51"/>
        <v>0</v>
      </c>
      <c r="C46">
        <f t="shared" si="52"/>
        <v>3</v>
      </c>
      <c r="E46">
        <f t="shared" si="53"/>
        <v>0</v>
      </c>
      <c r="G46">
        <f t="shared" si="54"/>
        <v>0</v>
      </c>
      <c r="K46">
        <f t="shared" si="55"/>
        <v>0</v>
      </c>
      <c r="M46">
        <f t="shared" si="56"/>
        <v>2</v>
      </c>
      <c r="N46">
        <f t="shared" si="57"/>
        <v>7</v>
      </c>
      <c r="O46">
        <f t="shared" si="58"/>
        <v>0</v>
      </c>
      <c r="Q46">
        <f t="shared" si="59"/>
        <v>1</v>
      </c>
      <c r="S46">
        <f t="shared" si="60"/>
        <v>1</v>
      </c>
    </row>
    <row r="47" spans="1:34" x14ac:dyDescent="0.2">
      <c r="A47">
        <f t="shared" si="51"/>
        <v>0</v>
      </c>
      <c r="C47">
        <f t="shared" si="52"/>
        <v>5</v>
      </c>
      <c r="E47">
        <f t="shared" si="53"/>
        <v>0</v>
      </c>
      <c r="G47">
        <f t="shared" si="54"/>
        <v>0</v>
      </c>
      <c r="K47">
        <f t="shared" si="55"/>
        <v>0</v>
      </c>
      <c r="M47">
        <f t="shared" si="56"/>
        <v>0</v>
      </c>
      <c r="N47">
        <f t="shared" si="57"/>
        <v>8</v>
      </c>
      <c r="O47">
        <f t="shared" si="58"/>
        <v>1</v>
      </c>
      <c r="Q47">
        <f t="shared" si="59"/>
        <v>0</v>
      </c>
      <c r="S47">
        <f t="shared" si="60"/>
        <v>0</v>
      </c>
    </row>
    <row r="48" spans="1:34" x14ac:dyDescent="0.2">
      <c r="A48">
        <f t="shared" si="51"/>
        <v>0</v>
      </c>
      <c r="C48">
        <f t="shared" si="52"/>
        <v>4</v>
      </c>
      <c r="E48">
        <f t="shared" si="53"/>
        <v>0</v>
      </c>
      <c r="G48">
        <f t="shared" si="54"/>
        <v>0</v>
      </c>
      <c r="K48">
        <f t="shared" si="55"/>
        <v>0</v>
      </c>
      <c r="M48">
        <f t="shared" si="56"/>
        <v>0</v>
      </c>
      <c r="N48">
        <f t="shared" si="57"/>
        <v>0</v>
      </c>
      <c r="O48">
        <f t="shared" si="58"/>
        <v>1</v>
      </c>
      <c r="Q48">
        <f t="shared" si="59"/>
        <v>0</v>
      </c>
      <c r="S48">
        <f t="shared" si="60"/>
        <v>0</v>
      </c>
    </row>
    <row r="49" spans="1:19" x14ac:dyDescent="0.2">
      <c r="A49">
        <f t="shared" si="51"/>
        <v>0</v>
      </c>
      <c r="C49">
        <f t="shared" si="52"/>
        <v>2</v>
      </c>
      <c r="E49">
        <f t="shared" si="53"/>
        <v>0</v>
      </c>
      <c r="G49">
        <f t="shared" si="54"/>
        <v>1</v>
      </c>
      <c r="K49">
        <f t="shared" si="55"/>
        <v>1</v>
      </c>
      <c r="M49">
        <f t="shared" si="56"/>
        <v>1</v>
      </c>
      <c r="N49">
        <f t="shared" si="57"/>
        <v>9</v>
      </c>
      <c r="O49">
        <f t="shared" si="58"/>
        <v>0</v>
      </c>
      <c r="Q49">
        <f t="shared" si="59"/>
        <v>1</v>
      </c>
      <c r="S49">
        <f t="shared" si="60"/>
        <v>1</v>
      </c>
    </row>
    <row r="50" spans="1:19" x14ac:dyDescent="0.2">
      <c r="A50">
        <f t="shared" si="51"/>
        <v>1</v>
      </c>
      <c r="C50">
        <f t="shared" si="52"/>
        <v>3</v>
      </c>
      <c r="E50">
        <f t="shared" si="53"/>
        <v>0</v>
      </c>
      <c r="G50">
        <f t="shared" si="54"/>
        <v>0</v>
      </c>
      <c r="K50">
        <f t="shared" si="55"/>
        <v>0</v>
      </c>
      <c r="M50">
        <f t="shared" si="56"/>
        <v>1</v>
      </c>
      <c r="N50">
        <f t="shared" si="57"/>
        <v>5</v>
      </c>
      <c r="O50">
        <f t="shared" si="58"/>
        <v>0</v>
      </c>
      <c r="Q50">
        <f t="shared" si="59"/>
        <v>1</v>
      </c>
      <c r="S50">
        <f t="shared" si="60"/>
        <v>1</v>
      </c>
    </row>
  </sheetData>
  <pageMargins left="0.7" right="0.7" top="0.75" bottom="0.75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 enableFormatConditionsCalculation="0"/>
  <dimension ref="A1:BN50"/>
  <sheetViews>
    <sheetView topLeftCell="C1" workbookViewId="0">
      <selection activeCell="T15" sqref="T15"/>
    </sheetView>
  </sheetViews>
  <sheetFormatPr baseColWidth="10" defaultColWidth="11.5" defaultRowHeight="15" x14ac:dyDescent="0.2"/>
  <sheetData>
    <row r="1" spans="1:66" x14ac:dyDescent="0.2">
      <c r="A1" s="1" t="s">
        <v>0</v>
      </c>
      <c r="D1" t="s">
        <v>3</v>
      </c>
      <c r="K1" t="s">
        <v>11</v>
      </c>
      <c r="N1" t="s">
        <v>12</v>
      </c>
      <c r="P1" t="s">
        <v>14</v>
      </c>
      <c r="Q1" t="s">
        <v>17</v>
      </c>
      <c r="S1" t="s">
        <v>18</v>
      </c>
      <c r="Z1" t="s">
        <v>29</v>
      </c>
      <c r="AE1" t="s">
        <v>30</v>
      </c>
      <c r="AK1" t="s">
        <v>42</v>
      </c>
    </row>
    <row r="2" spans="1:66" x14ac:dyDescent="0.2">
      <c r="A2" t="s">
        <v>1</v>
      </c>
      <c r="B2" t="s">
        <v>1</v>
      </c>
      <c r="C2" t="s">
        <v>87</v>
      </c>
      <c r="D2" t="s">
        <v>54</v>
      </c>
      <c r="E2" t="s">
        <v>13</v>
      </c>
      <c r="F2" t="s">
        <v>198</v>
      </c>
      <c r="G2" t="s">
        <v>7</v>
      </c>
      <c r="H2" t="s">
        <v>8</v>
      </c>
      <c r="I2" t="s">
        <v>179</v>
      </c>
      <c r="J2" t="s">
        <v>178</v>
      </c>
      <c r="K2" t="s">
        <v>9</v>
      </c>
      <c r="L2" t="s">
        <v>196</v>
      </c>
      <c r="M2" t="s">
        <v>10</v>
      </c>
      <c r="N2" t="s">
        <v>54</v>
      </c>
      <c r="O2" t="s">
        <v>13</v>
      </c>
      <c r="P2" t="s">
        <v>15</v>
      </c>
      <c r="Q2" t="s">
        <v>8</v>
      </c>
      <c r="R2" t="s">
        <v>7</v>
      </c>
      <c r="S2" t="s">
        <v>181</v>
      </c>
      <c r="T2" t="s">
        <v>182</v>
      </c>
      <c r="U2" t="s">
        <v>19</v>
      </c>
      <c r="V2" t="s">
        <v>191</v>
      </c>
      <c r="W2" t="s">
        <v>192</v>
      </c>
      <c r="X2" t="s">
        <v>175</v>
      </c>
      <c r="Y2" t="s">
        <v>173</v>
      </c>
      <c r="Z2" t="str">
        <f t="shared" ref="Z2:Z13" si="0">LEFT(I4, 1)</f>
        <v/>
      </c>
      <c r="AA2" t="str">
        <f t="shared" ref="AA2:AA13" si="1">MID(I4, 4, 1)</f>
        <v/>
      </c>
      <c r="AB2" t="str">
        <f t="shared" ref="AB2:AB13" si="2">MID(I4, 7, 1)</f>
        <v/>
      </c>
      <c r="AC2" t="str">
        <f t="shared" ref="AC2:AC13" si="3">MID(I4, 10, 1)</f>
        <v/>
      </c>
      <c r="AE2" t="str">
        <f t="shared" ref="AE2:AE13" si="4">LEFT(J4, 1)</f>
        <v>1</v>
      </c>
      <c r="AF2" t="str">
        <f t="shared" ref="AF2:AF13" si="5">MID(J4, 4, 1)</f>
        <v/>
      </c>
      <c r="AG2" t="str">
        <f t="shared" ref="AG2:AG13" si="6">MID(J4, 7, 1)</f>
        <v/>
      </c>
      <c r="AH2" t="str">
        <f t="shared" ref="AH2:AH13" si="7">MID(J4, 10, 1)</f>
        <v/>
      </c>
      <c r="AI2" t="str">
        <f t="shared" ref="AI2:AI13" si="8">MID(J4, 13, 1)</f>
        <v/>
      </c>
      <c r="AK2" t="str">
        <f t="shared" ref="AK2:AK13" si="9">LEFT(P4, 2)</f>
        <v/>
      </c>
      <c r="AL2" t="str">
        <f>MID($P4, 5, 2)</f>
        <v/>
      </c>
      <c r="AM2" t="str">
        <f t="shared" ref="AM2:AM13" si="10">MID($P4, 9, 2)</f>
        <v/>
      </c>
      <c r="AN2" t="str">
        <f t="shared" ref="AN2:AN13" si="11">MID($P4, 13, 2)</f>
        <v/>
      </c>
      <c r="AO2" t="str">
        <f t="shared" ref="AO2:AO13" si="12">MID($P4, 17, 2)</f>
        <v/>
      </c>
      <c r="AP2" t="str">
        <f t="shared" ref="AP2:AP13" si="13">MID($P4, 21, 2)</f>
        <v/>
      </c>
      <c r="AQ2" t="str">
        <f t="shared" ref="AQ2:AQ13" si="14">MID($P4, 25, 2)</f>
        <v/>
      </c>
      <c r="AR2" t="str">
        <f t="shared" ref="AR2:AR13" si="15">MID($P4, 29, 2)</f>
        <v/>
      </c>
      <c r="AS2" t="str">
        <f t="shared" ref="AS2:AS13" si="16">MID($P4, 33, 2)</f>
        <v/>
      </c>
      <c r="AT2" t="str">
        <f t="shared" ref="AT2:AT13" si="17">MID($P4, 37, 2)</f>
        <v/>
      </c>
      <c r="AU2" t="str">
        <f t="shared" ref="AU2:AU13" si="18">MID($P4, 41, 2)</f>
        <v/>
      </c>
      <c r="AV2" t="str">
        <f t="shared" ref="AV2:AV13" si="19">MID($P4, 45, 2)</f>
        <v/>
      </c>
      <c r="AW2" t="str">
        <f t="shared" ref="AW2:AW13" si="20">MID($P4, 49, 2)</f>
        <v/>
      </c>
      <c r="AX2" t="str">
        <f t="shared" ref="AX2:AX13" si="21">MID($P4, 53, 2)</f>
        <v/>
      </c>
      <c r="AY2" t="str">
        <f t="shared" ref="AY2:AY13" si="22">MID($P4, 57, 2)</f>
        <v/>
      </c>
      <c r="AZ2" t="str">
        <f t="shared" ref="AZ2:AZ13" si="23">MID($P4, 61, 2)</f>
        <v/>
      </c>
      <c r="BA2" t="str">
        <f t="shared" ref="BA2:BA13" si="24">MID($P4, 65, 2)</f>
        <v/>
      </c>
      <c r="BB2" t="str">
        <f t="shared" ref="BB2:BB13" si="25">MID($P4, 69, 2)</f>
        <v/>
      </c>
      <c r="BC2" t="str">
        <f t="shared" ref="BC2:BC13" si="26">MID($P4, 73, 2)</f>
        <v/>
      </c>
      <c r="BD2" t="str">
        <f t="shared" ref="BD2:BD13" si="27">MID($P4, 77, 2)</f>
        <v/>
      </c>
      <c r="BE2" t="str">
        <f t="shared" ref="BE2:BE13" si="28">MID($P4, 81, 2)</f>
        <v/>
      </c>
      <c r="BF2" t="str">
        <f t="shared" ref="BF2:BF13" si="29">MID($P4, 85, 2)</f>
        <v/>
      </c>
      <c r="BG2" t="str">
        <f t="shared" ref="BG2:BG13" si="30">MID($P4, 89, 2)</f>
        <v/>
      </c>
      <c r="BH2" t="str">
        <f t="shared" ref="BH2:BH13" si="31">MID($P4, 93, 2)</f>
        <v/>
      </c>
    </row>
    <row r="3" spans="1:66" x14ac:dyDescent="0.2">
      <c r="A3" t="s">
        <v>2</v>
      </c>
      <c r="B3" t="s">
        <v>6</v>
      </c>
      <c r="C3" t="s">
        <v>88</v>
      </c>
      <c r="D3" t="s">
        <v>6</v>
      </c>
      <c r="E3" t="s">
        <v>6</v>
      </c>
      <c r="F3" t="s">
        <v>4</v>
      </c>
      <c r="G3" t="s">
        <v>6</v>
      </c>
      <c r="H3" t="s">
        <v>6</v>
      </c>
      <c r="I3" t="s">
        <v>86</v>
      </c>
      <c r="J3" t="s">
        <v>86</v>
      </c>
      <c r="K3" t="s">
        <v>6</v>
      </c>
      <c r="L3" t="s">
        <v>6</v>
      </c>
      <c r="M3" t="s">
        <v>6</v>
      </c>
      <c r="N3" t="s">
        <v>6</v>
      </c>
      <c r="O3" t="s">
        <v>6</v>
      </c>
      <c r="P3" t="s">
        <v>16</v>
      </c>
      <c r="Q3" t="s">
        <v>6</v>
      </c>
      <c r="R3" t="s">
        <v>6</v>
      </c>
      <c r="S3" t="s">
        <v>4</v>
      </c>
      <c r="T3" t="s">
        <v>4</v>
      </c>
      <c r="U3" t="s">
        <v>6</v>
      </c>
      <c r="V3" t="s">
        <v>6</v>
      </c>
      <c r="W3" t="s">
        <v>6</v>
      </c>
      <c r="X3" t="s">
        <v>6</v>
      </c>
      <c r="Y3" t="s">
        <v>174</v>
      </c>
      <c r="Z3" t="str">
        <f t="shared" si="0"/>
        <v/>
      </c>
      <c r="AA3" t="str">
        <f t="shared" si="1"/>
        <v/>
      </c>
      <c r="AB3" t="str">
        <f t="shared" si="2"/>
        <v/>
      </c>
      <c r="AC3" t="str">
        <f t="shared" si="3"/>
        <v/>
      </c>
      <c r="AE3" t="str">
        <f t="shared" si="4"/>
        <v/>
      </c>
      <c r="AF3" t="str">
        <f t="shared" si="5"/>
        <v/>
      </c>
      <c r="AG3" t="str">
        <f t="shared" si="6"/>
        <v/>
      </c>
      <c r="AH3" t="str">
        <f t="shared" si="7"/>
        <v/>
      </c>
      <c r="AI3" t="str">
        <f t="shared" si="8"/>
        <v/>
      </c>
      <c r="AK3" t="str">
        <f t="shared" si="9"/>
        <v/>
      </c>
      <c r="AL3" t="str">
        <f t="shared" ref="AL3:AL13" si="32">MID(P5, 5, 2)</f>
        <v/>
      </c>
      <c r="AM3" t="str">
        <f t="shared" si="10"/>
        <v/>
      </c>
      <c r="AN3" t="str">
        <f t="shared" si="11"/>
        <v/>
      </c>
      <c r="AO3" t="str">
        <f t="shared" si="12"/>
        <v/>
      </c>
      <c r="AP3" t="str">
        <f t="shared" si="13"/>
        <v/>
      </c>
      <c r="AQ3" t="str">
        <f t="shared" si="14"/>
        <v/>
      </c>
      <c r="AR3" t="str">
        <f t="shared" si="15"/>
        <v/>
      </c>
      <c r="AS3" t="str">
        <f t="shared" si="16"/>
        <v/>
      </c>
      <c r="AT3" t="str">
        <f t="shared" si="17"/>
        <v/>
      </c>
      <c r="AU3" t="str">
        <f t="shared" si="18"/>
        <v/>
      </c>
      <c r="AV3" t="str">
        <f t="shared" si="19"/>
        <v/>
      </c>
      <c r="AW3" t="str">
        <f t="shared" si="20"/>
        <v/>
      </c>
      <c r="AX3" t="str">
        <f t="shared" si="21"/>
        <v/>
      </c>
      <c r="AY3" t="str">
        <f t="shared" si="22"/>
        <v/>
      </c>
      <c r="AZ3" t="str">
        <f t="shared" si="23"/>
        <v/>
      </c>
      <c r="BA3" t="str">
        <f t="shared" si="24"/>
        <v/>
      </c>
      <c r="BB3" t="str">
        <f t="shared" si="25"/>
        <v/>
      </c>
      <c r="BC3" t="str">
        <f t="shared" si="26"/>
        <v/>
      </c>
      <c r="BD3" t="str">
        <f t="shared" si="27"/>
        <v/>
      </c>
      <c r="BE3" t="str">
        <f t="shared" si="28"/>
        <v/>
      </c>
      <c r="BF3" t="str">
        <f t="shared" si="29"/>
        <v/>
      </c>
      <c r="BG3" t="str">
        <f t="shared" si="30"/>
        <v/>
      </c>
      <c r="BH3" t="str">
        <f t="shared" si="31"/>
        <v/>
      </c>
    </row>
    <row r="4" spans="1:66" x14ac:dyDescent="0.2">
      <c r="A4">
        <v>1</v>
      </c>
      <c r="B4">
        <v>5</v>
      </c>
      <c r="C4" t="s">
        <v>207</v>
      </c>
      <c r="D4">
        <v>1</v>
      </c>
      <c r="F4">
        <v>1</v>
      </c>
      <c r="J4">
        <v>1</v>
      </c>
      <c r="K4">
        <v>3</v>
      </c>
      <c r="N4">
        <v>2</v>
      </c>
      <c r="O4">
        <v>2</v>
      </c>
      <c r="S4">
        <v>1</v>
      </c>
      <c r="T4">
        <v>1</v>
      </c>
      <c r="X4">
        <f t="shared" ref="X4:X15" si="33">G4+H4+Q4+R4</f>
        <v>0</v>
      </c>
      <c r="Z4" t="str">
        <f t="shared" si="0"/>
        <v/>
      </c>
      <c r="AA4" t="str">
        <f t="shared" si="1"/>
        <v/>
      </c>
      <c r="AB4" t="str">
        <f t="shared" si="2"/>
        <v/>
      </c>
      <c r="AC4" t="str">
        <f t="shared" si="3"/>
        <v/>
      </c>
      <c r="AE4" t="str">
        <f t="shared" si="4"/>
        <v/>
      </c>
      <c r="AF4" t="str">
        <f t="shared" si="5"/>
        <v/>
      </c>
      <c r="AG4" t="str">
        <f t="shared" si="6"/>
        <v/>
      </c>
      <c r="AH4" t="str">
        <f t="shared" si="7"/>
        <v/>
      </c>
      <c r="AI4" t="str">
        <f t="shared" si="8"/>
        <v/>
      </c>
      <c r="AK4" t="str">
        <f t="shared" si="9"/>
        <v/>
      </c>
      <c r="AL4" t="str">
        <f t="shared" si="32"/>
        <v/>
      </c>
      <c r="AM4" t="str">
        <f t="shared" si="10"/>
        <v/>
      </c>
      <c r="AN4" t="str">
        <f t="shared" si="11"/>
        <v/>
      </c>
      <c r="AO4" t="str">
        <f t="shared" si="12"/>
        <v/>
      </c>
      <c r="AP4" t="str">
        <f t="shared" si="13"/>
        <v/>
      </c>
      <c r="AQ4" t="str">
        <f t="shared" si="14"/>
        <v/>
      </c>
      <c r="AR4" t="str">
        <f t="shared" si="15"/>
        <v/>
      </c>
      <c r="AS4" t="str">
        <f t="shared" si="16"/>
        <v/>
      </c>
      <c r="AT4" t="str">
        <f t="shared" si="17"/>
        <v/>
      </c>
      <c r="AU4" t="str">
        <f t="shared" si="18"/>
        <v/>
      </c>
      <c r="AV4" t="str">
        <f t="shared" si="19"/>
        <v/>
      </c>
      <c r="AW4" t="str">
        <f t="shared" si="20"/>
        <v/>
      </c>
      <c r="AX4" t="str">
        <f t="shared" si="21"/>
        <v/>
      </c>
      <c r="AY4" t="str">
        <f t="shared" si="22"/>
        <v/>
      </c>
      <c r="AZ4" t="str">
        <f t="shared" si="23"/>
        <v/>
      </c>
      <c r="BA4" t="str">
        <f t="shared" si="24"/>
        <v/>
      </c>
      <c r="BB4" t="str">
        <f t="shared" si="25"/>
        <v/>
      </c>
      <c r="BC4" t="str">
        <f t="shared" si="26"/>
        <v/>
      </c>
      <c r="BD4" t="str">
        <f t="shared" si="27"/>
        <v/>
      </c>
      <c r="BE4" t="str">
        <f t="shared" si="28"/>
        <v/>
      </c>
      <c r="BF4" t="str">
        <f t="shared" si="29"/>
        <v/>
      </c>
      <c r="BG4" t="str">
        <f t="shared" si="30"/>
        <v/>
      </c>
      <c r="BH4" t="str">
        <f t="shared" si="31"/>
        <v/>
      </c>
    </row>
    <row r="5" spans="1:66" s="31" customFormat="1" x14ac:dyDescent="0.2">
      <c r="A5" s="32">
        <v>2</v>
      </c>
      <c r="B5" s="32">
        <v>19</v>
      </c>
      <c r="C5" s="32" t="s">
        <v>207</v>
      </c>
      <c r="D5" s="32">
        <v>1</v>
      </c>
      <c r="E5" s="32">
        <v>1</v>
      </c>
      <c r="F5" s="32"/>
      <c r="G5" s="32"/>
      <c r="H5" s="32"/>
      <c r="I5" s="32"/>
      <c r="J5" s="32"/>
      <c r="K5" s="32">
        <v>2</v>
      </c>
      <c r="L5" s="32">
        <v>2</v>
      </c>
      <c r="M5" s="32"/>
      <c r="N5" s="32">
        <v>1</v>
      </c>
      <c r="O5" s="32">
        <v>1</v>
      </c>
      <c r="P5" s="32"/>
      <c r="Q5" s="32"/>
      <c r="R5" s="32"/>
      <c r="S5" s="32">
        <v>1</v>
      </c>
      <c r="T5" s="32">
        <v>1</v>
      </c>
      <c r="U5" s="32"/>
      <c r="V5" s="32"/>
      <c r="W5" s="32"/>
      <c r="X5" s="32">
        <f t="shared" si="33"/>
        <v>0</v>
      </c>
      <c r="Y5" s="32"/>
      <c r="Z5" s="32" t="str">
        <f t="shared" si="0"/>
        <v/>
      </c>
      <c r="AA5" s="32" t="str">
        <f t="shared" si="1"/>
        <v/>
      </c>
      <c r="AB5" s="32" t="str">
        <f t="shared" si="2"/>
        <v/>
      </c>
      <c r="AC5" s="32" t="str">
        <f t="shared" si="3"/>
        <v/>
      </c>
      <c r="AD5" s="32"/>
      <c r="AE5" s="32" t="str">
        <f t="shared" si="4"/>
        <v/>
      </c>
      <c r="AF5" s="32" t="str">
        <f t="shared" si="5"/>
        <v/>
      </c>
      <c r="AG5" s="32" t="str">
        <f t="shared" si="6"/>
        <v/>
      </c>
      <c r="AH5" s="32" t="str">
        <f t="shared" si="7"/>
        <v/>
      </c>
      <c r="AI5" s="32" t="str">
        <f t="shared" si="8"/>
        <v/>
      </c>
      <c r="AJ5" s="32"/>
      <c r="AK5" s="32" t="str">
        <f t="shared" si="9"/>
        <v/>
      </c>
      <c r="AL5" s="32" t="str">
        <f t="shared" si="32"/>
        <v/>
      </c>
      <c r="AM5" s="32" t="str">
        <f t="shared" si="10"/>
        <v/>
      </c>
      <c r="AN5" s="32" t="str">
        <f t="shared" si="11"/>
        <v/>
      </c>
      <c r="AO5" s="32" t="str">
        <f t="shared" si="12"/>
        <v/>
      </c>
      <c r="AP5" s="32" t="str">
        <f t="shared" si="13"/>
        <v/>
      </c>
      <c r="AQ5" s="32" t="str">
        <f t="shared" si="14"/>
        <v/>
      </c>
      <c r="AR5" s="32" t="str">
        <f t="shared" si="15"/>
        <v/>
      </c>
      <c r="AS5" s="32" t="str">
        <f t="shared" si="16"/>
        <v/>
      </c>
      <c r="AT5" s="32" t="str">
        <f t="shared" si="17"/>
        <v/>
      </c>
      <c r="AU5" s="32" t="str">
        <f t="shared" si="18"/>
        <v/>
      </c>
      <c r="AV5" s="32" t="str">
        <f t="shared" si="19"/>
        <v/>
      </c>
      <c r="AW5" s="32" t="str">
        <f t="shared" si="20"/>
        <v/>
      </c>
      <c r="AX5" s="32" t="str">
        <f t="shared" si="21"/>
        <v/>
      </c>
      <c r="AY5" s="32" t="str">
        <f t="shared" si="22"/>
        <v/>
      </c>
      <c r="AZ5" s="31" t="str">
        <f t="shared" si="23"/>
        <v/>
      </c>
      <c r="BA5" s="31" t="str">
        <f t="shared" si="24"/>
        <v/>
      </c>
      <c r="BB5" s="31" t="str">
        <f t="shared" si="25"/>
        <v/>
      </c>
      <c r="BC5" s="31" t="str">
        <f t="shared" si="26"/>
        <v/>
      </c>
      <c r="BD5" s="31" t="str">
        <f t="shared" si="27"/>
        <v/>
      </c>
      <c r="BE5" s="31" t="str">
        <f t="shared" si="28"/>
        <v/>
      </c>
      <c r="BF5" s="31" t="str">
        <f t="shared" si="29"/>
        <v/>
      </c>
      <c r="BG5" s="31" t="str">
        <f t="shared" si="30"/>
        <v/>
      </c>
      <c r="BH5" s="31" t="str">
        <f t="shared" si="31"/>
        <v/>
      </c>
    </row>
    <row r="6" spans="1:66" x14ac:dyDescent="0.2">
      <c r="A6">
        <v>3</v>
      </c>
      <c r="B6">
        <v>24</v>
      </c>
      <c r="C6" t="s">
        <v>207</v>
      </c>
      <c r="S6">
        <v>1</v>
      </c>
      <c r="X6">
        <f t="shared" si="33"/>
        <v>0</v>
      </c>
      <c r="Z6" t="str">
        <f t="shared" si="0"/>
        <v/>
      </c>
      <c r="AA6" t="str">
        <f t="shared" si="1"/>
        <v/>
      </c>
      <c r="AB6" t="str">
        <f t="shared" si="2"/>
        <v/>
      </c>
      <c r="AC6" t="str">
        <f t="shared" si="3"/>
        <v/>
      </c>
      <c r="AE6" t="str">
        <f t="shared" si="4"/>
        <v/>
      </c>
      <c r="AF6" t="str">
        <f t="shared" si="5"/>
        <v/>
      </c>
      <c r="AG6" t="str">
        <f t="shared" si="6"/>
        <v/>
      </c>
      <c r="AH6" t="str">
        <f t="shared" si="7"/>
        <v/>
      </c>
      <c r="AI6" t="str">
        <f t="shared" si="8"/>
        <v/>
      </c>
      <c r="AK6" t="str">
        <f t="shared" si="9"/>
        <v/>
      </c>
      <c r="AL6" t="str">
        <f t="shared" si="32"/>
        <v/>
      </c>
      <c r="AM6" t="str">
        <f t="shared" si="10"/>
        <v/>
      </c>
      <c r="AN6" t="str">
        <f t="shared" si="11"/>
        <v/>
      </c>
      <c r="AO6" t="str">
        <f t="shared" si="12"/>
        <v/>
      </c>
      <c r="AP6" t="str">
        <f t="shared" si="13"/>
        <v/>
      </c>
      <c r="AQ6" t="str">
        <f t="shared" si="14"/>
        <v/>
      </c>
      <c r="AR6" t="str">
        <f t="shared" si="15"/>
        <v/>
      </c>
      <c r="AS6" t="str">
        <f t="shared" si="16"/>
        <v/>
      </c>
      <c r="AT6" t="str">
        <f t="shared" si="17"/>
        <v/>
      </c>
      <c r="AU6" t="str">
        <f t="shared" si="18"/>
        <v/>
      </c>
      <c r="AV6" t="str">
        <f t="shared" si="19"/>
        <v/>
      </c>
      <c r="AW6" t="str">
        <f t="shared" si="20"/>
        <v/>
      </c>
      <c r="AX6" t="str">
        <f t="shared" si="21"/>
        <v/>
      </c>
      <c r="AY6" t="str">
        <f t="shared" si="22"/>
        <v/>
      </c>
      <c r="AZ6" t="str">
        <f t="shared" si="23"/>
        <v/>
      </c>
      <c r="BA6" t="str">
        <f t="shared" si="24"/>
        <v/>
      </c>
      <c r="BB6" t="str">
        <f t="shared" si="25"/>
        <v/>
      </c>
      <c r="BC6" t="str">
        <f t="shared" si="26"/>
        <v/>
      </c>
      <c r="BD6" t="str">
        <f t="shared" si="27"/>
        <v/>
      </c>
      <c r="BE6" t="str">
        <f t="shared" si="28"/>
        <v/>
      </c>
      <c r="BF6" t="str">
        <f t="shared" si="29"/>
        <v/>
      </c>
      <c r="BG6" t="str">
        <f t="shared" si="30"/>
        <v/>
      </c>
      <c r="BH6" t="str">
        <f t="shared" si="31"/>
        <v/>
      </c>
    </row>
    <row r="7" spans="1:66" x14ac:dyDescent="0.2">
      <c r="A7">
        <v>4</v>
      </c>
      <c r="B7">
        <v>33</v>
      </c>
      <c r="C7" t="s">
        <v>39</v>
      </c>
      <c r="D7">
        <v>1</v>
      </c>
      <c r="K7">
        <v>4</v>
      </c>
      <c r="N7">
        <v>5</v>
      </c>
      <c r="O7">
        <v>5</v>
      </c>
      <c r="S7">
        <v>1</v>
      </c>
      <c r="T7">
        <v>1</v>
      </c>
      <c r="X7">
        <f t="shared" si="33"/>
        <v>0</v>
      </c>
      <c r="Z7" t="str">
        <f t="shared" si="0"/>
        <v/>
      </c>
      <c r="AA7" t="str">
        <f t="shared" si="1"/>
        <v/>
      </c>
      <c r="AB7" t="str">
        <f t="shared" si="2"/>
        <v/>
      </c>
      <c r="AC7" t="str">
        <f t="shared" si="3"/>
        <v/>
      </c>
      <c r="AE7" t="str">
        <f t="shared" si="4"/>
        <v/>
      </c>
      <c r="AF7" t="str">
        <f t="shared" si="5"/>
        <v/>
      </c>
      <c r="AG7" t="str">
        <f t="shared" si="6"/>
        <v/>
      </c>
      <c r="AH7" t="str">
        <f t="shared" si="7"/>
        <v/>
      </c>
      <c r="AI7" t="str">
        <f t="shared" si="8"/>
        <v/>
      </c>
      <c r="AK7" t="str">
        <f t="shared" si="9"/>
        <v/>
      </c>
      <c r="AL7" t="str">
        <f t="shared" si="32"/>
        <v/>
      </c>
      <c r="AM7" t="str">
        <f t="shared" si="10"/>
        <v/>
      </c>
      <c r="AN7" t="str">
        <f t="shared" si="11"/>
        <v/>
      </c>
      <c r="AO7" t="str">
        <f t="shared" si="12"/>
        <v/>
      </c>
      <c r="AP7" t="str">
        <f t="shared" si="13"/>
        <v/>
      </c>
      <c r="AQ7" t="str">
        <f t="shared" si="14"/>
        <v/>
      </c>
      <c r="AR7" t="str">
        <f t="shared" si="15"/>
        <v/>
      </c>
      <c r="AS7" t="str">
        <f t="shared" si="16"/>
        <v/>
      </c>
      <c r="AT7" t="str">
        <f t="shared" si="17"/>
        <v/>
      </c>
      <c r="AU7" t="str">
        <f t="shared" si="18"/>
        <v/>
      </c>
      <c r="AV7" t="str">
        <f t="shared" si="19"/>
        <v/>
      </c>
      <c r="AW7" t="str">
        <f t="shared" si="20"/>
        <v/>
      </c>
      <c r="AX7" t="str">
        <f t="shared" si="21"/>
        <v/>
      </c>
      <c r="AY7" t="str">
        <f t="shared" si="22"/>
        <v/>
      </c>
      <c r="AZ7" t="str">
        <f t="shared" si="23"/>
        <v/>
      </c>
      <c r="BA7" t="str">
        <f t="shared" si="24"/>
        <v/>
      </c>
      <c r="BB7" t="str">
        <f t="shared" si="25"/>
        <v/>
      </c>
      <c r="BC7" t="str">
        <f t="shared" si="26"/>
        <v/>
      </c>
      <c r="BD7" t="str">
        <f t="shared" si="27"/>
        <v/>
      </c>
      <c r="BE7" t="str">
        <f t="shared" si="28"/>
        <v/>
      </c>
      <c r="BF7" t="str">
        <f t="shared" si="29"/>
        <v/>
      </c>
      <c r="BG7" t="str">
        <f t="shared" si="30"/>
        <v/>
      </c>
      <c r="BH7" t="str">
        <f t="shared" si="31"/>
        <v/>
      </c>
    </row>
    <row r="8" spans="1:66" x14ac:dyDescent="0.2">
      <c r="A8">
        <v>5</v>
      </c>
      <c r="B8">
        <v>43</v>
      </c>
      <c r="C8" t="s">
        <v>39</v>
      </c>
      <c r="D8">
        <v>1</v>
      </c>
      <c r="K8">
        <v>3</v>
      </c>
      <c r="N8">
        <v>3</v>
      </c>
      <c r="O8">
        <v>4</v>
      </c>
      <c r="S8">
        <v>1</v>
      </c>
      <c r="T8">
        <v>1</v>
      </c>
      <c r="U8">
        <v>42</v>
      </c>
      <c r="X8">
        <f t="shared" si="33"/>
        <v>0</v>
      </c>
      <c r="Z8" t="str">
        <f t="shared" si="0"/>
        <v/>
      </c>
      <c r="AA8" t="str">
        <f t="shared" si="1"/>
        <v/>
      </c>
      <c r="AB8" t="str">
        <f t="shared" si="2"/>
        <v/>
      </c>
      <c r="AC8" t="str">
        <f t="shared" si="3"/>
        <v/>
      </c>
      <c r="AE8" t="str">
        <f t="shared" si="4"/>
        <v/>
      </c>
      <c r="AF8" t="str">
        <f t="shared" si="5"/>
        <v/>
      </c>
      <c r="AG8" t="str">
        <f t="shared" si="6"/>
        <v/>
      </c>
      <c r="AH8" t="str">
        <f t="shared" si="7"/>
        <v/>
      </c>
      <c r="AI8" t="str">
        <f t="shared" si="8"/>
        <v/>
      </c>
      <c r="AK8" t="str">
        <f t="shared" si="9"/>
        <v/>
      </c>
      <c r="AL8" t="str">
        <f t="shared" si="32"/>
        <v/>
      </c>
      <c r="AM8" t="str">
        <f t="shared" si="10"/>
        <v/>
      </c>
      <c r="AN8" t="str">
        <f t="shared" si="11"/>
        <v/>
      </c>
      <c r="AO8" t="str">
        <f t="shared" si="12"/>
        <v/>
      </c>
      <c r="AP8" t="str">
        <f t="shared" si="13"/>
        <v/>
      </c>
      <c r="AQ8" t="str">
        <f t="shared" si="14"/>
        <v/>
      </c>
      <c r="AR8" t="str">
        <f t="shared" si="15"/>
        <v/>
      </c>
      <c r="AS8" t="str">
        <f t="shared" si="16"/>
        <v/>
      </c>
      <c r="AT8" t="str">
        <f t="shared" si="17"/>
        <v/>
      </c>
      <c r="AU8" t="str">
        <f t="shared" si="18"/>
        <v/>
      </c>
      <c r="AV8" t="str">
        <f t="shared" si="19"/>
        <v/>
      </c>
      <c r="AW8" t="str">
        <f t="shared" si="20"/>
        <v/>
      </c>
      <c r="AX8" t="str">
        <f t="shared" si="21"/>
        <v/>
      </c>
      <c r="AY8" t="str">
        <f t="shared" si="22"/>
        <v/>
      </c>
      <c r="AZ8" t="str">
        <f t="shared" si="23"/>
        <v/>
      </c>
      <c r="BA8" t="str">
        <f t="shared" si="24"/>
        <v/>
      </c>
      <c r="BB8" t="str">
        <f t="shared" si="25"/>
        <v/>
      </c>
      <c r="BC8" t="str">
        <f t="shared" si="26"/>
        <v/>
      </c>
      <c r="BD8" t="str">
        <f t="shared" si="27"/>
        <v/>
      </c>
      <c r="BE8" t="str">
        <f t="shared" si="28"/>
        <v/>
      </c>
      <c r="BF8" t="str">
        <f t="shared" si="29"/>
        <v/>
      </c>
      <c r="BG8" t="str">
        <f t="shared" si="30"/>
        <v/>
      </c>
      <c r="BH8" t="str">
        <f t="shared" si="31"/>
        <v/>
      </c>
    </row>
    <row r="9" spans="1:66" x14ac:dyDescent="0.2">
      <c r="A9">
        <v>6</v>
      </c>
      <c r="B9">
        <v>56</v>
      </c>
      <c r="C9" t="s">
        <v>39</v>
      </c>
      <c r="D9">
        <v>1</v>
      </c>
      <c r="K9">
        <v>4</v>
      </c>
      <c r="N9">
        <v>4</v>
      </c>
      <c r="O9">
        <v>4</v>
      </c>
      <c r="S9">
        <v>1</v>
      </c>
      <c r="T9">
        <v>1</v>
      </c>
      <c r="X9">
        <f t="shared" si="33"/>
        <v>0</v>
      </c>
      <c r="Z9" t="str">
        <f t="shared" si="0"/>
        <v/>
      </c>
      <c r="AA9" t="str">
        <f t="shared" si="1"/>
        <v/>
      </c>
      <c r="AB9" t="str">
        <f t="shared" si="2"/>
        <v/>
      </c>
      <c r="AC9" t="str">
        <f t="shared" si="3"/>
        <v/>
      </c>
      <c r="AE9" t="str">
        <f t="shared" si="4"/>
        <v>2</v>
      </c>
      <c r="AF9" t="str">
        <f t="shared" si="5"/>
        <v/>
      </c>
      <c r="AG9" t="str">
        <f t="shared" si="6"/>
        <v/>
      </c>
      <c r="AH9" t="str">
        <f t="shared" si="7"/>
        <v/>
      </c>
      <c r="AI9" t="str">
        <f t="shared" si="8"/>
        <v/>
      </c>
      <c r="AK9" t="str">
        <f t="shared" si="9"/>
        <v/>
      </c>
      <c r="AL9" t="str">
        <f t="shared" si="32"/>
        <v/>
      </c>
      <c r="AM9" t="str">
        <f t="shared" si="10"/>
        <v/>
      </c>
      <c r="AN9" t="str">
        <f t="shared" si="11"/>
        <v/>
      </c>
      <c r="AO9" t="str">
        <f t="shared" si="12"/>
        <v/>
      </c>
      <c r="AP9" t="str">
        <f t="shared" si="13"/>
        <v/>
      </c>
      <c r="AQ9" t="str">
        <f t="shared" si="14"/>
        <v/>
      </c>
      <c r="AR9" t="str">
        <f t="shared" si="15"/>
        <v/>
      </c>
      <c r="AS9" t="str">
        <f t="shared" si="16"/>
        <v/>
      </c>
      <c r="AT9" t="str">
        <f t="shared" si="17"/>
        <v/>
      </c>
      <c r="AU9" t="str">
        <f t="shared" si="18"/>
        <v/>
      </c>
      <c r="AV9" t="str">
        <f t="shared" si="19"/>
        <v/>
      </c>
      <c r="AW9" t="str">
        <f t="shared" si="20"/>
        <v/>
      </c>
      <c r="AX9" t="str">
        <f t="shared" si="21"/>
        <v/>
      </c>
      <c r="AY9" t="str">
        <f t="shared" si="22"/>
        <v/>
      </c>
      <c r="AZ9" t="str">
        <f t="shared" si="23"/>
        <v/>
      </c>
      <c r="BA9" t="str">
        <f t="shared" si="24"/>
        <v/>
      </c>
      <c r="BB9" t="str">
        <f t="shared" si="25"/>
        <v/>
      </c>
      <c r="BC9" t="str">
        <f t="shared" si="26"/>
        <v/>
      </c>
      <c r="BD9" t="str">
        <f t="shared" si="27"/>
        <v/>
      </c>
      <c r="BE9" t="str">
        <f t="shared" si="28"/>
        <v/>
      </c>
      <c r="BF9" t="str">
        <f t="shared" si="29"/>
        <v/>
      </c>
      <c r="BG9" t="str">
        <f t="shared" si="30"/>
        <v/>
      </c>
      <c r="BH9" t="str">
        <f t="shared" si="31"/>
        <v/>
      </c>
    </row>
    <row r="10" spans="1:66" x14ac:dyDescent="0.2">
      <c r="A10">
        <v>7</v>
      </c>
      <c r="B10">
        <v>63</v>
      </c>
      <c r="C10" t="s">
        <v>207</v>
      </c>
      <c r="D10">
        <v>1</v>
      </c>
      <c r="K10">
        <v>2</v>
      </c>
      <c r="L10">
        <v>1</v>
      </c>
      <c r="N10">
        <v>3</v>
      </c>
      <c r="O10">
        <v>2</v>
      </c>
      <c r="S10">
        <v>1</v>
      </c>
      <c r="T10">
        <v>1</v>
      </c>
      <c r="U10">
        <v>0</v>
      </c>
      <c r="X10">
        <f t="shared" si="33"/>
        <v>0</v>
      </c>
      <c r="Z10" t="str">
        <f t="shared" si="0"/>
        <v/>
      </c>
      <c r="AA10" t="str">
        <f t="shared" si="1"/>
        <v/>
      </c>
      <c r="AB10" t="str">
        <f t="shared" si="2"/>
        <v/>
      </c>
      <c r="AC10" t="str">
        <f t="shared" si="3"/>
        <v/>
      </c>
      <c r="AE10" t="str">
        <f t="shared" si="4"/>
        <v/>
      </c>
      <c r="AF10" t="str">
        <f t="shared" si="5"/>
        <v/>
      </c>
      <c r="AG10" t="str">
        <f t="shared" si="6"/>
        <v/>
      </c>
      <c r="AH10" t="str">
        <f t="shared" si="7"/>
        <v/>
      </c>
      <c r="AI10" t="str">
        <f t="shared" si="8"/>
        <v/>
      </c>
      <c r="AK10" t="str">
        <f t="shared" si="9"/>
        <v/>
      </c>
      <c r="AL10" t="str">
        <f t="shared" si="32"/>
        <v/>
      </c>
      <c r="AM10" t="str">
        <f t="shared" si="10"/>
        <v/>
      </c>
      <c r="AN10" t="str">
        <f t="shared" si="11"/>
        <v/>
      </c>
      <c r="AO10" t="str">
        <f t="shared" si="12"/>
        <v/>
      </c>
      <c r="AP10" t="str">
        <f t="shared" si="13"/>
        <v/>
      </c>
      <c r="AQ10" t="str">
        <f t="shared" si="14"/>
        <v/>
      </c>
      <c r="AR10" t="str">
        <f t="shared" si="15"/>
        <v/>
      </c>
      <c r="AS10" t="str">
        <f t="shared" si="16"/>
        <v/>
      </c>
      <c r="AT10" t="str">
        <f t="shared" si="17"/>
        <v/>
      </c>
      <c r="AU10" t="str">
        <f t="shared" si="18"/>
        <v/>
      </c>
      <c r="AV10" t="str">
        <f t="shared" si="19"/>
        <v/>
      </c>
      <c r="AW10" t="str">
        <f t="shared" si="20"/>
        <v/>
      </c>
      <c r="AX10" t="str">
        <f t="shared" si="21"/>
        <v/>
      </c>
      <c r="AY10" t="str">
        <f t="shared" si="22"/>
        <v/>
      </c>
      <c r="AZ10" t="str">
        <f t="shared" si="23"/>
        <v/>
      </c>
      <c r="BA10" t="str">
        <f t="shared" si="24"/>
        <v/>
      </c>
      <c r="BB10" t="str">
        <f t="shared" si="25"/>
        <v/>
      </c>
      <c r="BC10" t="str">
        <f t="shared" si="26"/>
        <v/>
      </c>
      <c r="BD10" t="str">
        <f t="shared" si="27"/>
        <v/>
      </c>
      <c r="BE10" t="str">
        <f t="shared" si="28"/>
        <v/>
      </c>
      <c r="BF10" t="str">
        <f t="shared" si="29"/>
        <v/>
      </c>
      <c r="BG10" t="str">
        <f t="shared" si="30"/>
        <v/>
      </c>
      <c r="BH10" t="str">
        <f t="shared" si="31"/>
        <v/>
      </c>
    </row>
    <row r="11" spans="1:66" x14ac:dyDescent="0.2">
      <c r="A11">
        <v>8</v>
      </c>
      <c r="B11">
        <v>80</v>
      </c>
      <c r="C11" t="s">
        <v>39</v>
      </c>
      <c r="D11">
        <v>1</v>
      </c>
      <c r="J11">
        <v>2</v>
      </c>
      <c r="K11">
        <v>2</v>
      </c>
      <c r="N11">
        <v>3</v>
      </c>
      <c r="O11">
        <v>2</v>
      </c>
      <c r="S11">
        <v>1</v>
      </c>
      <c r="T11">
        <v>1</v>
      </c>
      <c r="X11">
        <f t="shared" si="33"/>
        <v>0</v>
      </c>
      <c r="Z11" t="str">
        <f t="shared" si="0"/>
        <v/>
      </c>
      <c r="AA11" t="str">
        <f t="shared" si="1"/>
        <v/>
      </c>
      <c r="AB11" t="str">
        <f t="shared" si="2"/>
        <v/>
      </c>
      <c r="AC11" t="str">
        <f t="shared" si="3"/>
        <v/>
      </c>
      <c r="AE11" t="str">
        <f t="shared" si="4"/>
        <v/>
      </c>
      <c r="AF11" t="str">
        <f t="shared" si="5"/>
        <v/>
      </c>
      <c r="AG11" t="str">
        <f t="shared" si="6"/>
        <v/>
      </c>
      <c r="AH11" t="str">
        <f t="shared" si="7"/>
        <v/>
      </c>
      <c r="AI11" t="str">
        <f t="shared" si="8"/>
        <v/>
      </c>
      <c r="AK11" t="str">
        <f t="shared" si="9"/>
        <v/>
      </c>
      <c r="AL11" t="str">
        <f t="shared" si="32"/>
        <v/>
      </c>
      <c r="AM11" t="str">
        <f t="shared" si="10"/>
        <v/>
      </c>
      <c r="AN11" t="str">
        <f t="shared" si="11"/>
        <v/>
      </c>
      <c r="AO11" t="str">
        <f t="shared" si="12"/>
        <v/>
      </c>
      <c r="AP11" t="str">
        <f t="shared" si="13"/>
        <v/>
      </c>
      <c r="AQ11" t="str">
        <f t="shared" si="14"/>
        <v/>
      </c>
      <c r="AR11" t="str">
        <f t="shared" si="15"/>
        <v/>
      </c>
      <c r="AS11" t="str">
        <f t="shared" si="16"/>
        <v/>
      </c>
      <c r="AT11" t="str">
        <f t="shared" si="17"/>
        <v/>
      </c>
      <c r="AU11" t="str">
        <f t="shared" si="18"/>
        <v/>
      </c>
      <c r="AV11" t="str">
        <f t="shared" si="19"/>
        <v/>
      </c>
      <c r="AW11" t="str">
        <f t="shared" si="20"/>
        <v/>
      </c>
      <c r="AX11" t="str">
        <f t="shared" si="21"/>
        <v/>
      </c>
      <c r="AY11" t="str">
        <f t="shared" si="22"/>
        <v/>
      </c>
      <c r="AZ11" t="str">
        <f t="shared" si="23"/>
        <v/>
      </c>
      <c r="BA11" t="str">
        <f t="shared" si="24"/>
        <v/>
      </c>
      <c r="BB11" t="str">
        <f t="shared" si="25"/>
        <v/>
      </c>
      <c r="BC11" t="str">
        <f t="shared" si="26"/>
        <v/>
      </c>
      <c r="BD11" t="str">
        <f t="shared" si="27"/>
        <v/>
      </c>
      <c r="BE11" t="str">
        <f t="shared" si="28"/>
        <v/>
      </c>
      <c r="BF11" t="str">
        <f t="shared" si="29"/>
        <v/>
      </c>
      <c r="BG11" t="str">
        <f t="shared" si="30"/>
        <v/>
      </c>
      <c r="BH11" t="str">
        <f t="shared" si="31"/>
        <v/>
      </c>
    </row>
    <row r="12" spans="1:66" x14ac:dyDescent="0.2">
      <c r="A12">
        <v>9</v>
      </c>
      <c r="B12">
        <v>86</v>
      </c>
      <c r="C12" t="s">
        <v>207</v>
      </c>
      <c r="D12">
        <v>1</v>
      </c>
      <c r="E12">
        <v>1</v>
      </c>
      <c r="K12">
        <v>3</v>
      </c>
      <c r="N12">
        <v>3</v>
      </c>
      <c r="O12">
        <v>3</v>
      </c>
      <c r="S12">
        <v>1</v>
      </c>
      <c r="U12">
        <v>10</v>
      </c>
      <c r="X12">
        <f t="shared" si="33"/>
        <v>0</v>
      </c>
      <c r="Z12" t="str">
        <f t="shared" si="0"/>
        <v/>
      </c>
      <c r="AA12" t="str">
        <f t="shared" si="1"/>
        <v/>
      </c>
      <c r="AB12" t="str">
        <f t="shared" si="2"/>
        <v/>
      </c>
      <c r="AC12" t="str">
        <f t="shared" si="3"/>
        <v/>
      </c>
      <c r="AE12" t="str">
        <f t="shared" si="4"/>
        <v/>
      </c>
      <c r="AF12" t="str">
        <f t="shared" si="5"/>
        <v/>
      </c>
      <c r="AG12" t="str">
        <f t="shared" si="6"/>
        <v/>
      </c>
      <c r="AH12" t="str">
        <f t="shared" si="7"/>
        <v/>
      </c>
      <c r="AI12" t="str">
        <f t="shared" si="8"/>
        <v/>
      </c>
      <c r="AK12" t="str">
        <f t="shared" si="9"/>
        <v/>
      </c>
      <c r="AL12" t="str">
        <f t="shared" si="32"/>
        <v/>
      </c>
      <c r="AM12" t="str">
        <f t="shared" si="10"/>
        <v/>
      </c>
      <c r="AN12" t="str">
        <f t="shared" si="11"/>
        <v/>
      </c>
      <c r="AO12" t="str">
        <f t="shared" si="12"/>
        <v/>
      </c>
      <c r="AP12" t="str">
        <f t="shared" si="13"/>
        <v/>
      </c>
      <c r="AQ12" t="str">
        <f t="shared" si="14"/>
        <v/>
      </c>
      <c r="AR12" t="str">
        <f t="shared" si="15"/>
        <v/>
      </c>
      <c r="AS12" t="str">
        <f t="shared" si="16"/>
        <v/>
      </c>
      <c r="AT12" t="str">
        <f t="shared" si="17"/>
        <v/>
      </c>
      <c r="AU12" t="str">
        <f t="shared" si="18"/>
        <v/>
      </c>
      <c r="AV12" t="str">
        <f t="shared" si="19"/>
        <v/>
      </c>
      <c r="AW12" t="str">
        <f t="shared" si="20"/>
        <v/>
      </c>
      <c r="AX12" t="str">
        <f t="shared" si="21"/>
        <v/>
      </c>
      <c r="AY12" t="str">
        <f t="shared" si="22"/>
        <v/>
      </c>
      <c r="AZ12" t="str">
        <f t="shared" si="23"/>
        <v/>
      </c>
      <c r="BA12" t="str">
        <f t="shared" si="24"/>
        <v/>
      </c>
      <c r="BB12" t="str">
        <f t="shared" si="25"/>
        <v/>
      </c>
      <c r="BC12" t="str">
        <f t="shared" si="26"/>
        <v/>
      </c>
      <c r="BD12" t="str">
        <f t="shared" si="27"/>
        <v/>
      </c>
      <c r="BE12" t="str">
        <f t="shared" si="28"/>
        <v/>
      </c>
      <c r="BF12" t="str">
        <f t="shared" si="29"/>
        <v/>
      </c>
      <c r="BG12" t="str">
        <f t="shared" si="30"/>
        <v/>
      </c>
      <c r="BH12" t="str">
        <f t="shared" si="31"/>
        <v/>
      </c>
    </row>
    <row r="13" spans="1:66" x14ac:dyDescent="0.2">
      <c r="A13">
        <v>10</v>
      </c>
      <c r="B13">
        <v>94</v>
      </c>
      <c r="C13" t="s">
        <v>39</v>
      </c>
      <c r="D13">
        <v>1</v>
      </c>
      <c r="K13">
        <v>3</v>
      </c>
      <c r="N13">
        <v>3</v>
      </c>
      <c r="O13">
        <v>3</v>
      </c>
      <c r="S13">
        <v>1</v>
      </c>
      <c r="U13">
        <v>2</v>
      </c>
      <c r="X13">
        <f t="shared" si="33"/>
        <v>0</v>
      </c>
      <c r="Z13" t="str">
        <f t="shared" si="0"/>
        <v/>
      </c>
      <c r="AA13" t="str">
        <f t="shared" si="1"/>
        <v/>
      </c>
      <c r="AB13" t="str">
        <f t="shared" si="2"/>
        <v/>
      </c>
      <c r="AC13" t="str">
        <f t="shared" si="3"/>
        <v/>
      </c>
      <c r="AE13" t="str">
        <f t="shared" si="4"/>
        <v/>
      </c>
      <c r="AF13" t="str">
        <f t="shared" si="5"/>
        <v/>
      </c>
      <c r="AG13" t="str">
        <f t="shared" si="6"/>
        <v/>
      </c>
      <c r="AH13" t="str">
        <f t="shared" si="7"/>
        <v/>
      </c>
      <c r="AI13" t="str">
        <f t="shared" si="8"/>
        <v/>
      </c>
      <c r="AK13" t="str">
        <f t="shared" si="9"/>
        <v/>
      </c>
      <c r="AL13" t="str">
        <f t="shared" si="32"/>
        <v/>
      </c>
      <c r="AM13" t="str">
        <f t="shared" si="10"/>
        <v/>
      </c>
      <c r="AN13" t="str">
        <f t="shared" si="11"/>
        <v/>
      </c>
      <c r="AO13" t="str">
        <f t="shared" si="12"/>
        <v/>
      </c>
      <c r="AP13" t="str">
        <f t="shared" si="13"/>
        <v/>
      </c>
      <c r="AQ13" t="str">
        <f t="shared" si="14"/>
        <v/>
      </c>
      <c r="AR13" t="str">
        <f t="shared" si="15"/>
        <v/>
      </c>
      <c r="AS13" t="str">
        <f t="shared" si="16"/>
        <v/>
      </c>
      <c r="AT13" t="str">
        <f t="shared" si="17"/>
        <v/>
      </c>
      <c r="AU13" t="str">
        <f t="shared" si="18"/>
        <v/>
      </c>
      <c r="AV13" t="str">
        <f t="shared" si="19"/>
        <v/>
      </c>
      <c r="AW13" t="str">
        <f t="shared" si="20"/>
        <v/>
      </c>
      <c r="AX13" t="str">
        <f t="shared" si="21"/>
        <v/>
      </c>
      <c r="AY13" t="str">
        <f t="shared" si="22"/>
        <v/>
      </c>
      <c r="AZ13" t="str">
        <f t="shared" si="23"/>
        <v/>
      </c>
      <c r="BA13" t="str">
        <f t="shared" si="24"/>
        <v/>
      </c>
      <c r="BB13" t="str">
        <f t="shared" si="25"/>
        <v/>
      </c>
      <c r="BC13" t="str">
        <f t="shared" si="26"/>
        <v/>
      </c>
      <c r="BD13" t="str">
        <f t="shared" si="27"/>
        <v/>
      </c>
      <c r="BE13" t="str">
        <f t="shared" si="28"/>
        <v/>
      </c>
      <c r="BF13" t="str">
        <f t="shared" si="29"/>
        <v/>
      </c>
      <c r="BG13" t="str">
        <f t="shared" si="30"/>
        <v/>
      </c>
      <c r="BH13" t="str">
        <f t="shared" si="31"/>
        <v/>
      </c>
    </row>
    <row r="14" spans="1:66" x14ac:dyDescent="0.2">
      <c r="A14">
        <v>11</v>
      </c>
      <c r="B14">
        <v>109</v>
      </c>
      <c r="C14" t="s">
        <v>207</v>
      </c>
      <c r="D14">
        <v>1</v>
      </c>
      <c r="K14">
        <v>1</v>
      </c>
      <c r="N14">
        <v>2</v>
      </c>
      <c r="O14">
        <v>2</v>
      </c>
      <c r="U14">
        <v>3</v>
      </c>
      <c r="X14">
        <f t="shared" si="33"/>
        <v>0</v>
      </c>
      <c r="Z14" t="s">
        <v>31</v>
      </c>
      <c r="AE14" t="s">
        <v>34</v>
      </c>
      <c r="AK14" t="s">
        <v>43</v>
      </c>
      <c r="AP14" t="s">
        <v>84</v>
      </c>
    </row>
    <row r="15" spans="1:66" x14ac:dyDescent="0.2">
      <c r="A15">
        <v>12</v>
      </c>
      <c r="B15">
        <v>118</v>
      </c>
      <c r="C15" t="s">
        <v>39</v>
      </c>
      <c r="D15">
        <v>1</v>
      </c>
      <c r="K15">
        <v>3</v>
      </c>
      <c r="N15">
        <v>3</v>
      </c>
      <c r="O15">
        <v>3</v>
      </c>
      <c r="S15">
        <v>1</v>
      </c>
      <c r="T15">
        <v>1</v>
      </c>
      <c r="X15">
        <f t="shared" si="33"/>
        <v>0</v>
      </c>
      <c r="Z15" t="s">
        <v>21</v>
      </c>
      <c r="AA15" t="s">
        <v>22</v>
      </c>
      <c r="AE15" t="s">
        <v>21</v>
      </c>
      <c r="AF15" t="s">
        <v>22</v>
      </c>
      <c r="AG15" t="s">
        <v>35</v>
      </c>
      <c r="AK15" t="s">
        <v>10</v>
      </c>
      <c r="AL15" t="s">
        <v>25</v>
      </c>
      <c r="AM15" t="s">
        <v>26</v>
      </c>
      <c r="AN15" t="s">
        <v>27</v>
      </c>
      <c r="AP15" t="s">
        <v>15</v>
      </c>
      <c r="AQ15" t="s">
        <v>85</v>
      </c>
    </row>
    <row r="16" spans="1:66" x14ac:dyDescent="0.2">
      <c r="A16" t="s">
        <v>28</v>
      </c>
      <c r="D16">
        <f>SUM(D4:D15)</f>
        <v>11</v>
      </c>
      <c r="E16">
        <f>SUM(E4:E15)</f>
        <v>2</v>
      </c>
      <c r="F16">
        <f>SUM(F4:F15)</f>
        <v>1</v>
      </c>
      <c r="G16">
        <f>SUM(G4:G15)</f>
        <v>0</v>
      </c>
      <c r="H16">
        <f>SUM(H4:H15)</f>
        <v>0</v>
      </c>
      <c r="K16">
        <f>SUM(K4:K15)</f>
        <v>30</v>
      </c>
      <c r="L16">
        <f>SUM(L4:L15)</f>
        <v>3</v>
      </c>
      <c r="M16">
        <f>SUM(M4:M15)</f>
        <v>0</v>
      </c>
      <c r="N16">
        <f>SUM(N4:N15)</f>
        <v>32</v>
      </c>
      <c r="O16">
        <f>SUM(O4:O15)</f>
        <v>31</v>
      </c>
      <c r="Q16">
        <f t="shared" ref="Q16:R16" si="34">SUM(Q4:Q15)</f>
        <v>0</v>
      </c>
      <c r="R16">
        <f t="shared" si="34"/>
        <v>0</v>
      </c>
      <c r="S16">
        <f>SUM(S4:S15)</f>
        <v>11</v>
      </c>
      <c r="T16">
        <f>SUM(T4:T15)</f>
        <v>8</v>
      </c>
      <c r="U16">
        <f>SUM(U4:U15)</f>
        <v>57</v>
      </c>
      <c r="V16">
        <f>SUM(V4:V15)</f>
        <v>0</v>
      </c>
      <c r="W16">
        <f>SUM(W4:W15)</f>
        <v>0</v>
      </c>
      <c r="Z16">
        <f t="shared" ref="Z16:Z27" si="35">COUNTIF(Z2:AC2, "3")*COUNTIF(C4, "r")+COUNTIF(Z2:AC2, "5")*COUNTIF(C4, "b")</f>
        <v>0</v>
      </c>
      <c r="AA16">
        <f t="shared" ref="AA16:AA27" si="36">COUNTIF(Z2:AC2, "1")+COUNTIF(Z2:AC2, "2")+COUNTIF(Z2:AC2, "4")</f>
        <v>0</v>
      </c>
      <c r="AE16">
        <f t="shared" ref="AE16:AE27" si="37">COUNTIF(AE2:AI2, "3")*COUNTIF(C4, "r") + COUNTIF(AE2:AI2, "5")*COUNTIF(C4, "b")</f>
        <v>0</v>
      </c>
      <c r="AF16">
        <f t="shared" ref="AF16:AF27" si="38">COUNTIF(AE2:AI2, "1")+COUNTIF(AE2:AI2, "2")+COUNTIF(AE2:AI2, "4")</f>
        <v>1</v>
      </c>
      <c r="AG16">
        <f t="shared" ref="AG16:AG27" si="39">COUNTIF(AE2:AI2, "3")*COUNTIF(AE2:AI2, "b")+COUNTIF(AE2:AI2, "5")*COUNTIF(AE2:AI2, "r")</f>
        <v>0</v>
      </c>
      <c r="AK16">
        <f t="shared" ref="AK16:AK27" si="40">SUMPRODUCT(LEN($AK2:$BH2) - LEN(SUBSTITUTE($AK2:$BH2, "g", "")))</f>
        <v>0</v>
      </c>
      <c r="AL16">
        <f t="shared" ref="AL16:AL27" si="41">SUMPRODUCT(LEN($AK2:$BH2) - LEN(SUBSTITUTE($AK2:$BH2, "h", "")))</f>
        <v>0</v>
      </c>
      <c r="AM16">
        <f t="shared" ref="AM16:AM27" si="42">SUMPRODUCT(LEN($AK2:$BH2) - LEN(SUBSTITUTE($AK2:$BH2, "v", "")))</f>
        <v>0</v>
      </c>
      <c r="AN16">
        <f t="shared" ref="AN16:AN27" si="43">SUMPRODUCT(LEN($AK2:$BH2) - LEN(SUBSTITUTE($AK2:$BH2, "r", "")))</f>
        <v>0</v>
      </c>
      <c r="AP16">
        <f>MAX(AQ16:BN16)</f>
        <v>0</v>
      </c>
      <c r="AQ16" s="4">
        <f>_xlfn.NUMBERVALUE(RIGHT(AK2,1))</f>
        <v>0</v>
      </c>
      <c r="AR16" s="4">
        <f t="shared" ref="AR16:BG27" si="44">_xlfn.NUMBERVALUE(RIGHT(AL2,1))</f>
        <v>0</v>
      </c>
      <c r="AS16" s="4">
        <f t="shared" si="44"/>
        <v>0</v>
      </c>
      <c r="AT16" s="4">
        <f t="shared" si="44"/>
        <v>0</v>
      </c>
      <c r="AU16" s="4">
        <f t="shared" si="44"/>
        <v>0</v>
      </c>
      <c r="AV16" s="4">
        <f t="shared" si="44"/>
        <v>0</v>
      </c>
      <c r="AW16" s="4">
        <f t="shared" si="44"/>
        <v>0</v>
      </c>
      <c r="AX16" s="4">
        <f t="shared" si="44"/>
        <v>0</v>
      </c>
      <c r="AY16" s="4">
        <f t="shared" si="44"/>
        <v>0</v>
      </c>
      <c r="AZ16" s="4">
        <f t="shared" si="44"/>
        <v>0</v>
      </c>
      <c r="BA16" s="4">
        <f t="shared" si="44"/>
        <v>0</v>
      </c>
      <c r="BB16" s="4">
        <f t="shared" si="44"/>
        <v>0</v>
      </c>
      <c r="BC16" s="4">
        <f t="shared" si="44"/>
        <v>0</v>
      </c>
      <c r="BD16" s="4">
        <f t="shared" si="44"/>
        <v>0</v>
      </c>
      <c r="BE16" s="4">
        <f t="shared" si="44"/>
        <v>0</v>
      </c>
      <c r="BF16" s="4">
        <f t="shared" si="44"/>
        <v>0</v>
      </c>
      <c r="BG16" s="4">
        <f t="shared" si="44"/>
        <v>0</v>
      </c>
      <c r="BH16" s="4">
        <f t="shared" ref="BH16:BN27" si="45">_xlfn.NUMBERVALUE(RIGHT(BB2,1))</f>
        <v>0</v>
      </c>
      <c r="BI16" s="4">
        <f t="shared" si="45"/>
        <v>0</v>
      </c>
      <c r="BJ16" s="4">
        <f t="shared" si="45"/>
        <v>0</v>
      </c>
      <c r="BK16" s="4">
        <f t="shared" si="45"/>
        <v>0</v>
      </c>
      <c r="BL16" s="4">
        <f t="shared" si="45"/>
        <v>0</v>
      </c>
      <c r="BM16" s="4">
        <f t="shared" si="45"/>
        <v>0</v>
      </c>
      <c r="BN16" s="4">
        <f t="shared" si="45"/>
        <v>0</v>
      </c>
    </row>
    <row r="17" spans="1:66" x14ac:dyDescent="0.2">
      <c r="A17" s="1" t="s">
        <v>20</v>
      </c>
      <c r="D17" s="1" t="s">
        <v>49</v>
      </c>
      <c r="G17" s="1" t="s">
        <v>52</v>
      </c>
      <c r="K17" s="3" t="s">
        <v>74</v>
      </c>
      <c r="P17" s="1" t="s">
        <v>66</v>
      </c>
      <c r="Z17">
        <f t="shared" si="35"/>
        <v>0</v>
      </c>
      <c r="AA17">
        <f t="shared" si="36"/>
        <v>0</v>
      </c>
      <c r="AE17">
        <f t="shared" si="37"/>
        <v>0</v>
      </c>
      <c r="AF17">
        <f t="shared" si="38"/>
        <v>0</v>
      </c>
      <c r="AG17">
        <f t="shared" si="39"/>
        <v>0</v>
      </c>
      <c r="AK17">
        <f t="shared" si="40"/>
        <v>0</v>
      </c>
      <c r="AL17">
        <f t="shared" si="41"/>
        <v>0</v>
      </c>
      <c r="AM17">
        <f t="shared" si="42"/>
        <v>0</v>
      </c>
      <c r="AN17">
        <f t="shared" si="43"/>
        <v>0</v>
      </c>
      <c r="AP17">
        <f t="shared" ref="AP17:AP27" si="46">MAX(AQ17:BN17)</f>
        <v>0</v>
      </c>
      <c r="AQ17" s="4">
        <f t="shared" ref="AQ17:AQ27" si="47">_xlfn.NUMBERVALUE(RIGHT(AK3,1))</f>
        <v>0</v>
      </c>
      <c r="AR17" s="4">
        <f t="shared" si="44"/>
        <v>0</v>
      </c>
      <c r="AS17" s="4">
        <f t="shared" si="44"/>
        <v>0</v>
      </c>
      <c r="AT17" s="4">
        <f t="shared" si="44"/>
        <v>0</v>
      </c>
      <c r="AU17" s="4">
        <f t="shared" si="44"/>
        <v>0</v>
      </c>
      <c r="AV17" s="4">
        <f t="shared" si="44"/>
        <v>0</v>
      </c>
      <c r="AW17" s="4">
        <f t="shared" si="44"/>
        <v>0</v>
      </c>
      <c r="AX17" s="4">
        <f t="shared" si="44"/>
        <v>0</v>
      </c>
      <c r="AY17" s="4">
        <f t="shared" si="44"/>
        <v>0</v>
      </c>
      <c r="AZ17" s="4">
        <f t="shared" si="44"/>
        <v>0</v>
      </c>
      <c r="BA17" s="4">
        <f t="shared" si="44"/>
        <v>0</v>
      </c>
      <c r="BB17" s="4">
        <f t="shared" si="44"/>
        <v>0</v>
      </c>
      <c r="BC17" s="4">
        <f t="shared" si="44"/>
        <v>0</v>
      </c>
      <c r="BD17" s="4">
        <f t="shared" si="44"/>
        <v>0</v>
      </c>
      <c r="BE17" s="4">
        <f t="shared" si="44"/>
        <v>0</v>
      </c>
      <c r="BF17" s="4">
        <f t="shared" si="44"/>
        <v>0</v>
      </c>
      <c r="BG17" s="4">
        <f t="shared" si="44"/>
        <v>0</v>
      </c>
      <c r="BH17" s="4">
        <f t="shared" si="45"/>
        <v>0</v>
      </c>
      <c r="BI17" s="4">
        <f t="shared" si="45"/>
        <v>0</v>
      </c>
      <c r="BJ17" s="4">
        <f t="shared" si="45"/>
        <v>0</v>
      </c>
      <c r="BK17" s="4">
        <f t="shared" si="45"/>
        <v>0</v>
      </c>
      <c r="BL17" s="4">
        <f t="shared" si="45"/>
        <v>0</v>
      </c>
      <c r="BM17" s="4">
        <f t="shared" si="45"/>
        <v>0</v>
      </c>
      <c r="BN17" s="4">
        <f t="shared" si="45"/>
        <v>0</v>
      </c>
    </row>
    <row r="18" spans="1:66" x14ac:dyDescent="0.2">
      <c r="A18" t="s">
        <v>32</v>
      </c>
      <c r="B18" t="s">
        <v>21</v>
      </c>
      <c r="D18" t="s">
        <v>180</v>
      </c>
      <c r="G18" s="3" t="s">
        <v>53</v>
      </c>
      <c r="K18" t="s">
        <v>55</v>
      </c>
      <c r="M18" t="s">
        <v>65</v>
      </c>
      <c r="P18" t="s">
        <v>67</v>
      </c>
      <c r="Z18">
        <f t="shared" si="35"/>
        <v>0</v>
      </c>
      <c r="AA18">
        <f t="shared" si="36"/>
        <v>0</v>
      </c>
      <c r="AE18">
        <f t="shared" si="37"/>
        <v>0</v>
      </c>
      <c r="AF18">
        <f t="shared" si="38"/>
        <v>0</v>
      </c>
      <c r="AG18">
        <f t="shared" si="39"/>
        <v>0</v>
      </c>
      <c r="AK18">
        <f t="shared" si="40"/>
        <v>0</v>
      </c>
      <c r="AL18">
        <f t="shared" si="41"/>
        <v>0</v>
      </c>
      <c r="AM18">
        <f t="shared" si="42"/>
        <v>0</v>
      </c>
      <c r="AN18">
        <f t="shared" si="43"/>
        <v>0</v>
      </c>
      <c r="AP18">
        <f t="shared" si="46"/>
        <v>0</v>
      </c>
      <c r="AQ18" s="4">
        <f t="shared" si="47"/>
        <v>0</v>
      </c>
      <c r="AR18" s="4">
        <f t="shared" si="44"/>
        <v>0</v>
      </c>
      <c r="AS18" s="4">
        <f t="shared" si="44"/>
        <v>0</v>
      </c>
      <c r="AT18" s="4">
        <f t="shared" si="44"/>
        <v>0</v>
      </c>
      <c r="AU18" s="4">
        <f t="shared" si="44"/>
        <v>0</v>
      </c>
      <c r="AV18" s="4">
        <f t="shared" si="44"/>
        <v>0</v>
      </c>
      <c r="AW18" s="4">
        <f t="shared" si="44"/>
        <v>0</v>
      </c>
      <c r="AX18" s="4">
        <f t="shared" si="44"/>
        <v>0</v>
      </c>
      <c r="AY18" s="4">
        <f t="shared" si="44"/>
        <v>0</v>
      </c>
      <c r="AZ18" s="4">
        <f t="shared" si="44"/>
        <v>0</v>
      </c>
      <c r="BA18" s="4">
        <f t="shared" si="44"/>
        <v>0</v>
      </c>
      <c r="BB18" s="4">
        <f t="shared" si="44"/>
        <v>0</v>
      </c>
      <c r="BC18" s="4">
        <f t="shared" si="44"/>
        <v>0</v>
      </c>
      <c r="BD18" s="4">
        <f t="shared" si="44"/>
        <v>0</v>
      </c>
      <c r="BE18" s="4">
        <f t="shared" si="44"/>
        <v>0</v>
      </c>
      <c r="BF18" s="4">
        <f t="shared" si="44"/>
        <v>0</v>
      </c>
      <c r="BG18" s="4">
        <f t="shared" si="44"/>
        <v>0</v>
      </c>
      <c r="BH18" s="4">
        <f t="shared" si="45"/>
        <v>0</v>
      </c>
      <c r="BI18" s="4">
        <f t="shared" si="45"/>
        <v>0</v>
      </c>
      <c r="BJ18" s="4">
        <f t="shared" si="45"/>
        <v>0</v>
      </c>
      <c r="BK18" s="4">
        <f t="shared" si="45"/>
        <v>0</v>
      </c>
      <c r="BL18" s="4">
        <f t="shared" si="45"/>
        <v>0</v>
      </c>
      <c r="BM18" s="4">
        <f t="shared" si="45"/>
        <v>0</v>
      </c>
      <c r="BN18" s="4">
        <f t="shared" si="45"/>
        <v>0</v>
      </c>
    </row>
    <row r="19" spans="1:66" x14ac:dyDescent="0.2">
      <c r="A19" t="s">
        <v>40</v>
      </c>
      <c r="B19" t="s">
        <v>22</v>
      </c>
      <c r="D19">
        <f>E16/D16</f>
        <v>0.18181818181818182</v>
      </c>
      <c r="G19" t="s">
        <v>75</v>
      </c>
      <c r="K19">
        <f>O16/N16</f>
        <v>0.96875</v>
      </c>
      <c r="M19">
        <f>SUM(M39:M50)</f>
        <v>-1</v>
      </c>
      <c r="P19">
        <f>T16/S16</f>
        <v>0.72727272727272729</v>
      </c>
      <c r="Z19">
        <f t="shared" si="35"/>
        <v>0</v>
      </c>
      <c r="AA19">
        <f t="shared" si="36"/>
        <v>0</v>
      </c>
      <c r="AE19">
        <f t="shared" si="37"/>
        <v>0</v>
      </c>
      <c r="AF19">
        <f t="shared" si="38"/>
        <v>0</v>
      </c>
      <c r="AG19">
        <f t="shared" si="39"/>
        <v>0</v>
      </c>
      <c r="AK19">
        <f t="shared" si="40"/>
        <v>0</v>
      </c>
      <c r="AL19">
        <f t="shared" si="41"/>
        <v>0</v>
      </c>
      <c r="AM19">
        <f t="shared" si="42"/>
        <v>0</v>
      </c>
      <c r="AN19">
        <f t="shared" si="43"/>
        <v>0</v>
      </c>
      <c r="AP19">
        <f t="shared" si="46"/>
        <v>0</v>
      </c>
      <c r="AQ19" s="4">
        <f t="shared" si="47"/>
        <v>0</v>
      </c>
      <c r="AR19" s="4">
        <f t="shared" si="44"/>
        <v>0</v>
      </c>
      <c r="AS19" s="4">
        <f t="shared" si="44"/>
        <v>0</v>
      </c>
      <c r="AT19" s="4">
        <f t="shared" si="44"/>
        <v>0</v>
      </c>
      <c r="AU19" s="4">
        <f t="shared" si="44"/>
        <v>0</v>
      </c>
      <c r="AV19" s="4">
        <f t="shared" si="44"/>
        <v>0</v>
      </c>
      <c r="AW19" s="4">
        <f t="shared" si="44"/>
        <v>0</v>
      </c>
      <c r="AX19" s="4">
        <f t="shared" si="44"/>
        <v>0</v>
      </c>
      <c r="AY19" s="4">
        <f t="shared" si="44"/>
        <v>0</v>
      </c>
      <c r="AZ19" s="4">
        <f t="shared" si="44"/>
        <v>0</v>
      </c>
      <c r="BA19" s="4">
        <f t="shared" si="44"/>
        <v>0</v>
      </c>
      <c r="BB19" s="4">
        <f t="shared" si="44"/>
        <v>0</v>
      </c>
      <c r="BC19" s="4">
        <f t="shared" si="44"/>
        <v>0</v>
      </c>
      <c r="BD19" s="4">
        <f t="shared" si="44"/>
        <v>0</v>
      </c>
      <c r="BE19" s="4">
        <f t="shared" si="44"/>
        <v>0</v>
      </c>
      <c r="BF19" s="4">
        <f t="shared" si="44"/>
        <v>0</v>
      </c>
      <c r="BG19" s="4">
        <f t="shared" si="44"/>
        <v>0</v>
      </c>
      <c r="BH19" s="4">
        <f t="shared" si="45"/>
        <v>0</v>
      </c>
      <c r="BI19" s="4">
        <f t="shared" si="45"/>
        <v>0</v>
      </c>
      <c r="BJ19" s="4">
        <f t="shared" si="45"/>
        <v>0</v>
      </c>
      <c r="BK19" s="4">
        <f t="shared" si="45"/>
        <v>0</v>
      </c>
      <c r="BL19" s="4">
        <f t="shared" si="45"/>
        <v>0</v>
      </c>
      <c r="BM19" s="4">
        <f t="shared" si="45"/>
        <v>0</v>
      </c>
      <c r="BN19" s="4">
        <f t="shared" si="45"/>
        <v>0</v>
      </c>
    </row>
    <row r="20" spans="1:66" x14ac:dyDescent="0.2">
      <c r="A20" t="s">
        <v>41</v>
      </c>
      <c r="B20" t="s">
        <v>23</v>
      </c>
      <c r="D20" t="s">
        <v>47</v>
      </c>
      <c r="G20" t="e">
        <f>AK28/AP28</f>
        <v>#DIV/0!</v>
      </c>
      <c r="K20" t="s">
        <v>13</v>
      </c>
      <c r="Z20">
        <f t="shared" si="35"/>
        <v>0</v>
      </c>
      <c r="AA20">
        <f t="shared" si="36"/>
        <v>0</v>
      </c>
      <c r="AE20">
        <f t="shared" si="37"/>
        <v>0</v>
      </c>
      <c r="AF20">
        <f t="shared" si="38"/>
        <v>0</v>
      </c>
      <c r="AG20">
        <f t="shared" si="39"/>
        <v>0</v>
      </c>
      <c r="AK20">
        <f t="shared" si="40"/>
        <v>0</v>
      </c>
      <c r="AL20">
        <f t="shared" si="41"/>
        <v>0</v>
      </c>
      <c r="AM20">
        <f t="shared" si="42"/>
        <v>0</v>
      </c>
      <c r="AN20">
        <f t="shared" si="43"/>
        <v>0</v>
      </c>
      <c r="AP20">
        <f t="shared" si="46"/>
        <v>0</v>
      </c>
      <c r="AQ20" s="4">
        <f t="shared" si="47"/>
        <v>0</v>
      </c>
      <c r="AR20" s="4">
        <f t="shared" si="44"/>
        <v>0</v>
      </c>
      <c r="AS20" s="4">
        <f t="shared" si="44"/>
        <v>0</v>
      </c>
      <c r="AT20" s="4">
        <f t="shared" si="44"/>
        <v>0</v>
      </c>
      <c r="AU20" s="4">
        <f t="shared" si="44"/>
        <v>0</v>
      </c>
      <c r="AV20" s="4">
        <f t="shared" si="44"/>
        <v>0</v>
      </c>
      <c r="AW20" s="4">
        <f t="shared" si="44"/>
        <v>0</v>
      </c>
      <c r="AX20" s="4">
        <f t="shared" si="44"/>
        <v>0</v>
      </c>
      <c r="AY20" s="4">
        <f t="shared" si="44"/>
        <v>0</v>
      </c>
      <c r="AZ20" s="4">
        <f t="shared" si="44"/>
        <v>0</v>
      </c>
      <c r="BA20" s="4">
        <f t="shared" si="44"/>
        <v>0</v>
      </c>
      <c r="BB20" s="4">
        <f t="shared" si="44"/>
        <v>0</v>
      </c>
      <c r="BC20" s="4">
        <f t="shared" si="44"/>
        <v>0</v>
      </c>
      <c r="BD20" s="4">
        <f t="shared" si="44"/>
        <v>0</v>
      </c>
      <c r="BE20" s="4">
        <f t="shared" si="44"/>
        <v>0</v>
      </c>
      <c r="BF20" s="4">
        <f t="shared" si="44"/>
        <v>0</v>
      </c>
      <c r="BG20" s="4">
        <f t="shared" si="44"/>
        <v>0</v>
      </c>
      <c r="BH20" s="4">
        <f t="shared" si="45"/>
        <v>0</v>
      </c>
      <c r="BI20" s="4">
        <f t="shared" si="45"/>
        <v>0</v>
      </c>
      <c r="BJ20" s="4">
        <f t="shared" si="45"/>
        <v>0</v>
      </c>
      <c r="BK20" s="4">
        <f t="shared" si="45"/>
        <v>0</v>
      </c>
      <c r="BL20" s="4">
        <f t="shared" si="45"/>
        <v>0</v>
      </c>
      <c r="BM20" s="4">
        <f t="shared" si="45"/>
        <v>0</v>
      </c>
      <c r="BN20" s="4">
        <f t="shared" si="45"/>
        <v>0</v>
      </c>
    </row>
    <row r="21" spans="1:66" x14ac:dyDescent="0.2">
      <c r="A21" s="1" t="s">
        <v>24</v>
      </c>
      <c r="D21">
        <f>G16/A31</f>
        <v>0</v>
      </c>
      <c r="G21" t="s">
        <v>76</v>
      </c>
      <c r="K21" t="s">
        <v>57</v>
      </c>
      <c r="L21" t="s">
        <v>58</v>
      </c>
      <c r="M21" t="s">
        <v>59</v>
      </c>
      <c r="N21" t="s">
        <v>60</v>
      </c>
      <c r="Z21">
        <f t="shared" si="35"/>
        <v>0</v>
      </c>
      <c r="AA21">
        <f t="shared" si="36"/>
        <v>0</v>
      </c>
      <c r="AE21">
        <f t="shared" si="37"/>
        <v>0</v>
      </c>
      <c r="AF21">
        <f t="shared" si="38"/>
        <v>0</v>
      </c>
      <c r="AG21">
        <f t="shared" si="39"/>
        <v>0</v>
      </c>
      <c r="AK21">
        <f t="shared" si="40"/>
        <v>0</v>
      </c>
      <c r="AL21">
        <f t="shared" si="41"/>
        <v>0</v>
      </c>
      <c r="AM21">
        <f t="shared" si="42"/>
        <v>0</v>
      </c>
      <c r="AN21">
        <f t="shared" si="43"/>
        <v>0</v>
      </c>
      <c r="AP21">
        <f t="shared" si="46"/>
        <v>0</v>
      </c>
      <c r="AQ21" s="4">
        <f t="shared" si="47"/>
        <v>0</v>
      </c>
      <c r="AR21" s="4">
        <f t="shared" si="44"/>
        <v>0</v>
      </c>
      <c r="AS21" s="4">
        <f t="shared" si="44"/>
        <v>0</v>
      </c>
      <c r="AT21" s="4">
        <f t="shared" si="44"/>
        <v>0</v>
      </c>
      <c r="AU21" s="4">
        <f t="shared" si="44"/>
        <v>0</v>
      </c>
      <c r="AV21" s="4">
        <f t="shared" si="44"/>
        <v>0</v>
      </c>
      <c r="AW21" s="4">
        <f t="shared" si="44"/>
        <v>0</v>
      </c>
      <c r="AX21" s="4">
        <f t="shared" si="44"/>
        <v>0</v>
      </c>
      <c r="AY21" s="4">
        <f t="shared" si="44"/>
        <v>0</v>
      </c>
      <c r="AZ21" s="4">
        <f t="shared" si="44"/>
        <v>0</v>
      </c>
      <c r="BA21" s="4">
        <f t="shared" si="44"/>
        <v>0</v>
      </c>
      <c r="BB21" s="4">
        <f t="shared" si="44"/>
        <v>0</v>
      </c>
      <c r="BC21" s="4">
        <f t="shared" si="44"/>
        <v>0</v>
      </c>
      <c r="BD21" s="4">
        <f t="shared" si="44"/>
        <v>0</v>
      </c>
      <c r="BE21" s="4">
        <f t="shared" si="44"/>
        <v>0</v>
      </c>
      <c r="BF21" s="4">
        <f t="shared" si="44"/>
        <v>0</v>
      </c>
      <c r="BG21" s="4">
        <f t="shared" si="44"/>
        <v>0</v>
      </c>
      <c r="BH21" s="4">
        <f t="shared" si="45"/>
        <v>0</v>
      </c>
      <c r="BI21" s="4">
        <f t="shared" si="45"/>
        <v>0</v>
      </c>
      <c r="BJ21" s="4">
        <f t="shared" si="45"/>
        <v>0</v>
      </c>
      <c r="BK21" s="4">
        <f t="shared" si="45"/>
        <v>0</v>
      </c>
      <c r="BL21" s="4">
        <f t="shared" si="45"/>
        <v>0</v>
      </c>
      <c r="BM21" s="4">
        <f t="shared" si="45"/>
        <v>0</v>
      </c>
      <c r="BN21" s="4">
        <f t="shared" si="45"/>
        <v>0</v>
      </c>
    </row>
    <row r="22" spans="1:66" x14ac:dyDescent="0.2">
      <c r="A22" t="s">
        <v>36</v>
      </c>
      <c r="B22" t="s">
        <v>10</v>
      </c>
      <c r="D22" t="s">
        <v>48</v>
      </c>
      <c r="G22" t="e">
        <f>AL28/AP28</f>
        <v>#DIV/0!</v>
      </c>
      <c r="K22">
        <f>AVERAGE(C39:C50)</f>
        <v>2.5833333333333335</v>
      </c>
      <c r="L22">
        <f>MEDIAN(C39:C50)</f>
        <v>2.5</v>
      </c>
      <c r="M22">
        <f>MAX(C39:C50)</f>
        <v>5</v>
      </c>
      <c r="N22">
        <f>_xlfn.STDEV.S(C39:C50)</f>
        <v>1.3789543689024493</v>
      </c>
      <c r="Z22">
        <f t="shared" si="35"/>
        <v>0</v>
      </c>
      <c r="AA22">
        <f t="shared" si="36"/>
        <v>0</v>
      </c>
      <c r="AE22">
        <f t="shared" si="37"/>
        <v>0</v>
      </c>
      <c r="AF22">
        <f t="shared" si="38"/>
        <v>0</v>
      </c>
      <c r="AG22">
        <f t="shared" si="39"/>
        <v>0</v>
      </c>
      <c r="AK22">
        <f t="shared" si="40"/>
        <v>0</v>
      </c>
      <c r="AL22">
        <f t="shared" si="41"/>
        <v>0</v>
      </c>
      <c r="AM22">
        <f t="shared" si="42"/>
        <v>0</v>
      </c>
      <c r="AN22">
        <f t="shared" si="43"/>
        <v>0</v>
      </c>
      <c r="AP22">
        <f t="shared" si="46"/>
        <v>0</v>
      </c>
      <c r="AQ22" s="4">
        <f t="shared" si="47"/>
        <v>0</v>
      </c>
      <c r="AR22" s="4">
        <f t="shared" si="44"/>
        <v>0</v>
      </c>
      <c r="AS22" s="4">
        <f t="shared" si="44"/>
        <v>0</v>
      </c>
      <c r="AT22" s="4">
        <f t="shared" si="44"/>
        <v>0</v>
      </c>
      <c r="AU22" s="4">
        <f t="shared" si="44"/>
        <v>0</v>
      </c>
      <c r="AV22" s="4">
        <f t="shared" si="44"/>
        <v>0</v>
      </c>
      <c r="AW22" s="4">
        <f t="shared" si="44"/>
        <v>0</v>
      </c>
      <c r="AX22" s="4">
        <f t="shared" si="44"/>
        <v>0</v>
      </c>
      <c r="AY22" s="4">
        <f t="shared" si="44"/>
        <v>0</v>
      </c>
      <c r="AZ22" s="4">
        <f t="shared" si="44"/>
        <v>0</v>
      </c>
      <c r="BA22" s="4">
        <f t="shared" si="44"/>
        <v>0</v>
      </c>
      <c r="BB22" s="4">
        <f t="shared" si="44"/>
        <v>0</v>
      </c>
      <c r="BC22" s="4">
        <f t="shared" si="44"/>
        <v>0</v>
      </c>
      <c r="BD22" s="4">
        <f t="shared" si="44"/>
        <v>0</v>
      </c>
      <c r="BE22" s="4">
        <f t="shared" si="44"/>
        <v>0</v>
      </c>
      <c r="BF22" s="4">
        <f t="shared" si="44"/>
        <v>0</v>
      </c>
      <c r="BG22" s="4">
        <f t="shared" si="44"/>
        <v>0</v>
      </c>
      <c r="BH22" s="4">
        <f t="shared" si="45"/>
        <v>0</v>
      </c>
      <c r="BI22" s="4">
        <f t="shared" si="45"/>
        <v>0</v>
      </c>
      <c r="BJ22" s="4">
        <f t="shared" si="45"/>
        <v>0</v>
      </c>
      <c r="BK22" s="4">
        <f t="shared" si="45"/>
        <v>0</v>
      </c>
      <c r="BL22" s="4">
        <f t="shared" si="45"/>
        <v>0</v>
      </c>
      <c r="BM22" s="4">
        <f t="shared" si="45"/>
        <v>0</v>
      </c>
      <c r="BN22" s="4">
        <f t="shared" si="45"/>
        <v>0</v>
      </c>
    </row>
    <row r="23" spans="1:66" x14ac:dyDescent="0.2">
      <c r="A23" t="s">
        <v>37</v>
      </c>
      <c r="B23" t="s">
        <v>25</v>
      </c>
      <c r="D23">
        <f>H16/A31</f>
        <v>0</v>
      </c>
      <c r="G23" t="s">
        <v>77</v>
      </c>
      <c r="K23" t="s">
        <v>8</v>
      </c>
      <c r="Z23">
        <f t="shared" si="35"/>
        <v>0</v>
      </c>
      <c r="AA23">
        <f t="shared" si="36"/>
        <v>0</v>
      </c>
      <c r="AE23">
        <f t="shared" si="37"/>
        <v>0</v>
      </c>
      <c r="AF23">
        <f t="shared" si="38"/>
        <v>1</v>
      </c>
      <c r="AG23">
        <f t="shared" si="39"/>
        <v>0</v>
      </c>
      <c r="AK23">
        <f t="shared" si="40"/>
        <v>0</v>
      </c>
      <c r="AL23">
        <f t="shared" si="41"/>
        <v>0</v>
      </c>
      <c r="AM23">
        <f t="shared" si="42"/>
        <v>0</v>
      </c>
      <c r="AN23">
        <f t="shared" si="43"/>
        <v>0</v>
      </c>
      <c r="AP23">
        <f t="shared" si="46"/>
        <v>0</v>
      </c>
      <c r="AQ23" s="4">
        <f t="shared" si="47"/>
        <v>0</v>
      </c>
      <c r="AR23" s="4">
        <f t="shared" si="44"/>
        <v>0</v>
      </c>
      <c r="AS23" s="4">
        <f t="shared" si="44"/>
        <v>0</v>
      </c>
      <c r="AT23" s="4">
        <f t="shared" si="44"/>
        <v>0</v>
      </c>
      <c r="AU23" s="4">
        <f t="shared" si="44"/>
        <v>0</v>
      </c>
      <c r="AV23" s="4">
        <f t="shared" si="44"/>
        <v>0</v>
      </c>
      <c r="AW23" s="4">
        <f t="shared" si="44"/>
        <v>0</v>
      </c>
      <c r="AX23" s="4">
        <f t="shared" si="44"/>
        <v>0</v>
      </c>
      <c r="AY23" s="4">
        <f t="shared" si="44"/>
        <v>0</v>
      </c>
      <c r="AZ23" s="4">
        <f t="shared" si="44"/>
        <v>0</v>
      </c>
      <c r="BA23" s="4">
        <f t="shared" si="44"/>
        <v>0</v>
      </c>
      <c r="BB23" s="4">
        <f t="shared" si="44"/>
        <v>0</v>
      </c>
      <c r="BC23" s="4">
        <f t="shared" si="44"/>
        <v>0</v>
      </c>
      <c r="BD23" s="4">
        <f t="shared" si="44"/>
        <v>0</v>
      </c>
      <c r="BE23" s="4">
        <f t="shared" si="44"/>
        <v>0</v>
      </c>
      <c r="BF23" s="4">
        <f t="shared" si="44"/>
        <v>0</v>
      </c>
      <c r="BG23" s="4">
        <f t="shared" si="44"/>
        <v>0</v>
      </c>
      <c r="BH23" s="4">
        <f t="shared" si="45"/>
        <v>0</v>
      </c>
      <c r="BI23" s="4">
        <f t="shared" si="45"/>
        <v>0</v>
      </c>
      <c r="BJ23" s="4">
        <f t="shared" si="45"/>
        <v>0</v>
      </c>
      <c r="BK23" s="4">
        <f t="shared" si="45"/>
        <v>0</v>
      </c>
      <c r="BL23" s="4">
        <f t="shared" si="45"/>
        <v>0</v>
      </c>
      <c r="BM23" s="4">
        <f t="shared" si="45"/>
        <v>0</v>
      </c>
      <c r="BN23" s="4">
        <f t="shared" si="45"/>
        <v>0</v>
      </c>
    </row>
    <row r="24" spans="1:66" x14ac:dyDescent="0.2">
      <c r="A24" t="s">
        <v>38</v>
      </c>
      <c r="B24" t="s">
        <v>26</v>
      </c>
      <c r="D24" t="s">
        <v>50</v>
      </c>
      <c r="G24" t="e">
        <f>AM28/AP28</f>
        <v>#DIV/0!</v>
      </c>
      <c r="K24" t="s">
        <v>57</v>
      </c>
      <c r="L24" t="s">
        <v>61</v>
      </c>
      <c r="M24" t="s">
        <v>59</v>
      </c>
      <c r="N24" t="s">
        <v>60</v>
      </c>
      <c r="Z24">
        <f t="shared" si="35"/>
        <v>0</v>
      </c>
      <c r="AA24">
        <f t="shared" si="36"/>
        <v>0</v>
      </c>
      <c r="AE24">
        <f t="shared" si="37"/>
        <v>0</v>
      </c>
      <c r="AF24">
        <f t="shared" si="38"/>
        <v>0</v>
      </c>
      <c r="AG24">
        <f t="shared" si="39"/>
        <v>0</v>
      </c>
      <c r="AK24">
        <f t="shared" si="40"/>
        <v>0</v>
      </c>
      <c r="AL24">
        <f t="shared" si="41"/>
        <v>0</v>
      </c>
      <c r="AM24">
        <f t="shared" si="42"/>
        <v>0</v>
      </c>
      <c r="AN24">
        <f t="shared" si="43"/>
        <v>0</v>
      </c>
      <c r="AP24">
        <f t="shared" si="46"/>
        <v>0</v>
      </c>
      <c r="AQ24" s="4">
        <f t="shared" si="47"/>
        <v>0</v>
      </c>
      <c r="AR24" s="4">
        <f t="shared" si="44"/>
        <v>0</v>
      </c>
      <c r="AS24" s="4">
        <f t="shared" si="44"/>
        <v>0</v>
      </c>
      <c r="AT24" s="4">
        <f t="shared" si="44"/>
        <v>0</v>
      </c>
      <c r="AU24" s="4">
        <f t="shared" si="44"/>
        <v>0</v>
      </c>
      <c r="AV24" s="4">
        <f t="shared" si="44"/>
        <v>0</v>
      </c>
      <c r="AW24" s="4">
        <f t="shared" si="44"/>
        <v>0</v>
      </c>
      <c r="AX24" s="4">
        <f t="shared" si="44"/>
        <v>0</v>
      </c>
      <c r="AY24" s="4">
        <f t="shared" si="44"/>
        <v>0</v>
      </c>
      <c r="AZ24" s="4">
        <f t="shared" si="44"/>
        <v>0</v>
      </c>
      <c r="BA24" s="4">
        <f t="shared" si="44"/>
        <v>0</v>
      </c>
      <c r="BB24" s="4">
        <f t="shared" si="44"/>
        <v>0</v>
      </c>
      <c r="BC24" s="4">
        <f t="shared" si="44"/>
        <v>0</v>
      </c>
      <c r="BD24" s="4">
        <f t="shared" si="44"/>
        <v>0</v>
      </c>
      <c r="BE24" s="4">
        <f t="shared" si="44"/>
        <v>0</v>
      </c>
      <c r="BF24" s="4">
        <f t="shared" si="44"/>
        <v>0</v>
      </c>
      <c r="BG24" s="4">
        <f t="shared" si="44"/>
        <v>0</v>
      </c>
      <c r="BH24" s="4">
        <f t="shared" si="45"/>
        <v>0</v>
      </c>
      <c r="BI24" s="4">
        <f t="shared" si="45"/>
        <v>0</v>
      </c>
      <c r="BJ24" s="4">
        <f t="shared" si="45"/>
        <v>0</v>
      </c>
      <c r="BK24" s="4">
        <f t="shared" si="45"/>
        <v>0</v>
      </c>
      <c r="BL24" s="4">
        <f t="shared" si="45"/>
        <v>0</v>
      </c>
      <c r="BM24" s="4">
        <f t="shared" si="45"/>
        <v>0</v>
      </c>
      <c r="BN24" s="4">
        <f t="shared" si="45"/>
        <v>0</v>
      </c>
    </row>
    <row r="25" spans="1:66" x14ac:dyDescent="0.2">
      <c r="A25" t="s">
        <v>39</v>
      </c>
      <c r="B25" t="s">
        <v>27</v>
      </c>
      <c r="D25">
        <f>Z28/A31</f>
        <v>0</v>
      </c>
      <c r="G25" t="s">
        <v>78</v>
      </c>
      <c r="K25">
        <f>AVERAGE(E39:E50)</f>
        <v>0</v>
      </c>
      <c r="L25">
        <f>MEDIAN(E39:E50)</f>
        <v>0</v>
      </c>
      <c r="M25">
        <f>MAX(E39:E50)</f>
        <v>0</v>
      </c>
      <c r="N25">
        <f>_xlfn.STDEV.S(E39:E50)</f>
        <v>0</v>
      </c>
      <c r="Z25">
        <f t="shared" si="35"/>
        <v>0</v>
      </c>
      <c r="AA25">
        <f t="shared" si="36"/>
        <v>0</v>
      </c>
      <c r="AE25">
        <f t="shared" si="37"/>
        <v>0</v>
      </c>
      <c r="AF25">
        <f t="shared" si="38"/>
        <v>0</v>
      </c>
      <c r="AG25">
        <f t="shared" si="39"/>
        <v>0</v>
      </c>
      <c r="AK25">
        <f t="shared" si="40"/>
        <v>0</v>
      </c>
      <c r="AL25">
        <f t="shared" si="41"/>
        <v>0</v>
      </c>
      <c r="AM25">
        <f t="shared" si="42"/>
        <v>0</v>
      </c>
      <c r="AN25">
        <f t="shared" si="43"/>
        <v>0</v>
      </c>
      <c r="AP25">
        <f t="shared" si="46"/>
        <v>0</v>
      </c>
      <c r="AQ25" s="4">
        <f t="shared" si="47"/>
        <v>0</v>
      </c>
      <c r="AR25" s="4">
        <f t="shared" si="44"/>
        <v>0</v>
      </c>
      <c r="AS25" s="4">
        <f t="shared" si="44"/>
        <v>0</v>
      </c>
      <c r="AT25" s="4">
        <f t="shared" si="44"/>
        <v>0</v>
      </c>
      <c r="AU25" s="4">
        <f t="shared" si="44"/>
        <v>0</v>
      </c>
      <c r="AV25" s="4">
        <f t="shared" si="44"/>
        <v>0</v>
      </c>
      <c r="AW25" s="4">
        <f t="shared" si="44"/>
        <v>0</v>
      </c>
      <c r="AX25" s="4">
        <f t="shared" si="44"/>
        <v>0</v>
      </c>
      <c r="AY25" s="4">
        <f t="shared" si="44"/>
        <v>0</v>
      </c>
      <c r="AZ25" s="4">
        <f t="shared" si="44"/>
        <v>0</v>
      </c>
      <c r="BA25" s="4">
        <f t="shared" si="44"/>
        <v>0</v>
      </c>
      <c r="BB25" s="4">
        <f t="shared" si="44"/>
        <v>0</v>
      </c>
      <c r="BC25" s="4">
        <f t="shared" si="44"/>
        <v>0</v>
      </c>
      <c r="BD25" s="4">
        <f t="shared" si="44"/>
        <v>0</v>
      </c>
      <c r="BE25" s="4">
        <f t="shared" si="44"/>
        <v>0</v>
      </c>
      <c r="BF25" s="4">
        <f t="shared" si="44"/>
        <v>0</v>
      </c>
      <c r="BG25" s="4">
        <f t="shared" si="44"/>
        <v>0</v>
      </c>
      <c r="BH25" s="4">
        <f t="shared" si="45"/>
        <v>0</v>
      </c>
      <c r="BI25" s="4">
        <f t="shared" si="45"/>
        <v>0</v>
      </c>
      <c r="BJ25" s="4">
        <f t="shared" si="45"/>
        <v>0</v>
      </c>
      <c r="BK25" s="4">
        <f t="shared" si="45"/>
        <v>0</v>
      </c>
      <c r="BL25" s="4">
        <f t="shared" si="45"/>
        <v>0</v>
      </c>
      <c r="BM25" s="4">
        <f t="shared" si="45"/>
        <v>0</v>
      </c>
      <c r="BN25" s="4">
        <f t="shared" si="45"/>
        <v>0</v>
      </c>
    </row>
    <row r="26" spans="1:66" x14ac:dyDescent="0.2">
      <c r="A26" t="s">
        <v>44</v>
      </c>
      <c r="D26" t="s">
        <v>51</v>
      </c>
      <c r="G26" t="e">
        <f>AN28/AP28</f>
        <v>#DIV/0!</v>
      </c>
      <c r="K26" t="s">
        <v>62</v>
      </c>
      <c r="P26" t="s">
        <v>19</v>
      </c>
      <c r="Z26">
        <f t="shared" si="35"/>
        <v>0</v>
      </c>
      <c r="AA26">
        <f t="shared" si="36"/>
        <v>0</v>
      </c>
      <c r="AE26">
        <f t="shared" si="37"/>
        <v>0</v>
      </c>
      <c r="AF26">
        <f t="shared" si="38"/>
        <v>0</v>
      </c>
      <c r="AG26">
        <f t="shared" si="39"/>
        <v>0</v>
      </c>
      <c r="AK26">
        <f t="shared" si="40"/>
        <v>0</v>
      </c>
      <c r="AL26">
        <f t="shared" si="41"/>
        <v>0</v>
      </c>
      <c r="AM26">
        <f t="shared" si="42"/>
        <v>0</v>
      </c>
      <c r="AN26">
        <f t="shared" si="43"/>
        <v>0</v>
      </c>
      <c r="AP26">
        <f t="shared" si="46"/>
        <v>0</v>
      </c>
      <c r="AQ26" s="4">
        <f t="shared" si="47"/>
        <v>0</v>
      </c>
      <c r="AR26" s="4">
        <f t="shared" si="44"/>
        <v>0</v>
      </c>
      <c r="AS26" s="4">
        <f t="shared" si="44"/>
        <v>0</v>
      </c>
      <c r="AT26" s="4">
        <f t="shared" si="44"/>
        <v>0</v>
      </c>
      <c r="AU26" s="4">
        <f t="shared" si="44"/>
        <v>0</v>
      </c>
      <c r="AV26" s="4">
        <f t="shared" si="44"/>
        <v>0</v>
      </c>
      <c r="AW26" s="4">
        <f t="shared" si="44"/>
        <v>0</v>
      </c>
      <c r="AX26" s="4">
        <f t="shared" si="44"/>
        <v>0</v>
      </c>
      <c r="AY26" s="4">
        <f t="shared" si="44"/>
        <v>0</v>
      </c>
      <c r="AZ26" s="4">
        <f t="shared" si="44"/>
        <v>0</v>
      </c>
      <c r="BA26" s="4">
        <f t="shared" si="44"/>
        <v>0</v>
      </c>
      <c r="BB26" s="4">
        <f t="shared" si="44"/>
        <v>0</v>
      </c>
      <c r="BC26" s="4">
        <f t="shared" si="44"/>
        <v>0</v>
      </c>
      <c r="BD26" s="4">
        <f t="shared" si="44"/>
        <v>0</v>
      </c>
      <c r="BE26" s="4">
        <f t="shared" si="44"/>
        <v>0</v>
      </c>
      <c r="BF26" s="4">
        <f t="shared" si="44"/>
        <v>0</v>
      </c>
      <c r="BG26" s="4">
        <f t="shared" si="44"/>
        <v>0</v>
      </c>
      <c r="BH26" s="4">
        <f t="shared" si="45"/>
        <v>0</v>
      </c>
      <c r="BI26" s="4">
        <f t="shared" si="45"/>
        <v>0</v>
      </c>
      <c r="BJ26" s="4">
        <f t="shared" si="45"/>
        <v>0</v>
      </c>
      <c r="BK26" s="4">
        <f t="shared" si="45"/>
        <v>0</v>
      </c>
      <c r="BL26" s="4">
        <f t="shared" si="45"/>
        <v>0</v>
      </c>
      <c r="BM26" s="4">
        <f t="shared" si="45"/>
        <v>0</v>
      </c>
      <c r="BN26" s="4">
        <f t="shared" si="45"/>
        <v>0</v>
      </c>
    </row>
    <row r="27" spans="1:66" x14ac:dyDescent="0.2">
      <c r="A27" t="s">
        <v>45</v>
      </c>
      <c r="D27">
        <f>AA28/A31</f>
        <v>0</v>
      </c>
      <c r="G27" t="s">
        <v>56</v>
      </c>
      <c r="K27" t="s">
        <v>57</v>
      </c>
      <c r="L27" t="s">
        <v>58</v>
      </c>
      <c r="M27" t="s">
        <v>59</v>
      </c>
      <c r="N27" t="s">
        <v>60</v>
      </c>
      <c r="P27" t="s">
        <v>57</v>
      </c>
      <c r="Q27" t="s">
        <v>58</v>
      </c>
      <c r="R27" t="s">
        <v>59</v>
      </c>
      <c r="S27" t="s">
        <v>60</v>
      </c>
      <c r="Z27">
        <f t="shared" si="35"/>
        <v>0</v>
      </c>
      <c r="AA27">
        <f t="shared" si="36"/>
        <v>0</v>
      </c>
      <c r="AE27">
        <f t="shared" si="37"/>
        <v>0</v>
      </c>
      <c r="AF27">
        <f t="shared" si="38"/>
        <v>0</v>
      </c>
      <c r="AG27">
        <f t="shared" si="39"/>
        <v>0</v>
      </c>
      <c r="AK27">
        <f t="shared" si="40"/>
        <v>0</v>
      </c>
      <c r="AL27">
        <f t="shared" si="41"/>
        <v>0</v>
      </c>
      <c r="AM27">
        <f t="shared" si="42"/>
        <v>0</v>
      </c>
      <c r="AN27">
        <f t="shared" si="43"/>
        <v>0</v>
      </c>
      <c r="AP27">
        <f t="shared" si="46"/>
        <v>0</v>
      </c>
      <c r="AQ27" s="4">
        <f t="shared" si="47"/>
        <v>0</v>
      </c>
      <c r="AR27" s="4">
        <f t="shared" si="44"/>
        <v>0</v>
      </c>
      <c r="AS27" s="4">
        <f t="shared" si="44"/>
        <v>0</v>
      </c>
      <c r="AT27" s="4">
        <f t="shared" si="44"/>
        <v>0</v>
      </c>
      <c r="AU27" s="4">
        <f t="shared" si="44"/>
        <v>0</v>
      </c>
      <c r="AV27" s="4">
        <f t="shared" si="44"/>
        <v>0</v>
      </c>
      <c r="AW27" s="4">
        <f t="shared" si="44"/>
        <v>0</v>
      </c>
      <c r="AX27" s="4">
        <f t="shared" si="44"/>
        <v>0</v>
      </c>
      <c r="AY27" s="4">
        <f t="shared" si="44"/>
        <v>0</v>
      </c>
      <c r="AZ27" s="4">
        <f t="shared" si="44"/>
        <v>0</v>
      </c>
      <c r="BA27" s="4">
        <f t="shared" si="44"/>
        <v>0</v>
      </c>
      <c r="BB27" s="4">
        <f t="shared" si="44"/>
        <v>0</v>
      </c>
      <c r="BC27" s="4">
        <f t="shared" si="44"/>
        <v>0</v>
      </c>
      <c r="BD27" s="4">
        <f t="shared" si="44"/>
        <v>0</v>
      </c>
      <c r="BE27" s="4">
        <f t="shared" si="44"/>
        <v>0</v>
      </c>
      <c r="BF27" s="4">
        <f t="shared" si="44"/>
        <v>0</v>
      </c>
      <c r="BG27" s="4">
        <f t="shared" si="44"/>
        <v>0</v>
      </c>
      <c r="BH27" s="4">
        <f t="shared" si="45"/>
        <v>0</v>
      </c>
      <c r="BI27" s="4">
        <f t="shared" si="45"/>
        <v>0</v>
      </c>
      <c r="BJ27" s="4">
        <f t="shared" si="45"/>
        <v>0</v>
      </c>
      <c r="BK27" s="4">
        <f t="shared" si="45"/>
        <v>0</v>
      </c>
      <c r="BL27" s="4">
        <f t="shared" si="45"/>
        <v>0</v>
      </c>
      <c r="BM27" s="4">
        <f t="shared" si="45"/>
        <v>0</v>
      </c>
      <c r="BN27" s="4">
        <f t="shared" si="45"/>
        <v>0</v>
      </c>
    </row>
    <row r="28" spans="1:66" x14ac:dyDescent="0.2">
      <c r="A28" t="s">
        <v>46</v>
      </c>
      <c r="D28" t="s">
        <v>202</v>
      </c>
      <c r="G28" t="s">
        <v>57</v>
      </c>
      <c r="H28" t="s">
        <v>58</v>
      </c>
      <c r="I28" t="s">
        <v>59</v>
      </c>
      <c r="J28" t="s">
        <v>60</v>
      </c>
      <c r="K28">
        <f>AVERAGE(G39:G50)</f>
        <v>0</v>
      </c>
      <c r="L28">
        <f>MEDIAN(G39:G50)</f>
        <v>0</v>
      </c>
      <c r="M28">
        <f>MAX(G39:G50)</f>
        <v>0</v>
      </c>
      <c r="N28">
        <f>_xlfn.STDEV.S(G39:G50)</f>
        <v>0</v>
      </c>
      <c r="P28">
        <f>AVERAGE(N39:N50)</f>
        <v>4.75</v>
      </c>
      <c r="Q28">
        <f>MEDIAN(N39:N50)</f>
        <v>0</v>
      </c>
      <c r="R28">
        <f>MAX(N39:N50)</f>
        <v>42</v>
      </c>
      <c r="S28">
        <f>_xlfn.STDEV.S(N39:N50)</f>
        <v>12.08398639823495</v>
      </c>
      <c r="Y28" t="s">
        <v>33</v>
      </c>
      <c r="Z28">
        <f>SUM(Z16:Z27)</f>
        <v>0</v>
      </c>
      <c r="AA28">
        <f>SUM(AA16:AA27)</f>
        <v>0</v>
      </c>
      <c r="AE28">
        <f>SUM(AE16:AE27)</f>
        <v>0</v>
      </c>
      <c r="AF28">
        <f>SUM(AF16:AF27)</f>
        <v>2</v>
      </c>
      <c r="AG28">
        <f>SUM(AG16:AG27)</f>
        <v>0</v>
      </c>
      <c r="AK28">
        <f>SUM(AK16:AK27)</f>
        <v>0</v>
      </c>
      <c r="AL28">
        <f>SUM(AL16:AL27)</f>
        <v>0</v>
      </c>
      <c r="AM28">
        <f>SUM(AM16:AM27)</f>
        <v>0</v>
      </c>
      <c r="AN28">
        <f>SUM(AN16:AN27)</f>
        <v>0</v>
      </c>
      <c r="AP28">
        <f>SUM(AP16:AP27)</f>
        <v>0</v>
      </c>
    </row>
    <row r="29" spans="1:66" x14ac:dyDescent="0.2">
      <c r="D29">
        <f>SUM(O39:O50)/F16</f>
        <v>0</v>
      </c>
      <c r="G29">
        <f>AVERAGE(A39:A50)</f>
        <v>0.16666666666666666</v>
      </c>
      <c r="H29">
        <f>MEDIAN(A39:A50)</f>
        <v>0</v>
      </c>
      <c r="I29">
        <f>MAX(A39:A50)</f>
        <v>1</v>
      </c>
      <c r="J29">
        <f>_xlfn.STDEV.S(A39:A50)</f>
        <v>0.38924947208076149</v>
      </c>
      <c r="K29" t="s">
        <v>63</v>
      </c>
      <c r="P29" t="s">
        <v>148</v>
      </c>
    </row>
    <row r="30" spans="1:66" x14ac:dyDescent="0.2">
      <c r="A30" t="s">
        <v>147</v>
      </c>
      <c r="D30" t="s">
        <v>203</v>
      </c>
      <c r="G30" t="s">
        <v>50</v>
      </c>
      <c r="H30" t="s">
        <v>51</v>
      </c>
      <c r="I30" t="s">
        <v>89</v>
      </c>
      <c r="K30" t="s">
        <v>57</v>
      </c>
      <c r="L30" t="s">
        <v>58</v>
      </c>
      <c r="M30" t="s">
        <v>59</v>
      </c>
      <c r="N30" t="s">
        <v>60</v>
      </c>
      <c r="P30" t="s">
        <v>57</v>
      </c>
      <c r="Q30" t="s">
        <v>58</v>
      </c>
      <c r="R30" t="s">
        <v>59</v>
      </c>
      <c r="S30" t="s">
        <v>60</v>
      </c>
      <c r="W30" t="s">
        <v>148</v>
      </c>
      <c r="Y30" t="s">
        <v>149</v>
      </c>
      <c r="AH30" t="s">
        <v>79</v>
      </c>
    </row>
    <row r="31" spans="1:66" x14ac:dyDescent="0.2">
      <c r="A31">
        <f>COUNT(B4:B15)</f>
        <v>12</v>
      </c>
      <c r="D31" s="2">
        <f>SUM(S39:S50)/SUM(Q39:Q50)</f>
        <v>0.2</v>
      </c>
      <c r="G31">
        <f>AE28/A31</f>
        <v>0</v>
      </c>
      <c r="H31">
        <f>AF28/A31</f>
        <v>0.16666666666666666</v>
      </c>
      <c r="I31">
        <f>AG28/A31</f>
        <v>0</v>
      </c>
      <c r="K31" t="e">
        <f>AVERAGE(I39:I50)</f>
        <v>#DIV/0!</v>
      </c>
      <c r="L31" t="e">
        <f>MEDIAN(I39:I50)</f>
        <v>#NUM!</v>
      </c>
      <c r="M31">
        <f>MAX(I39:I50)</f>
        <v>0</v>
      </c>
      <c r="N31" t="e">
        <f>_xlfn.STDEV.S(I39:I50)</f>
        <v>#DIV/0!</v>
      </c>
      <c r="P31" t="e">
        <f>AVERAGE(W31:W42)</f>
        <v>#DIV/0!</v>
      </c>
      <c r="Q31" t="e">
        <f>MEDIAN(W31:W42)</f>
        <v>#NUM!</v>
      </c>
      <c r="R31">
        <f>MAX(W31:W42)</f>
        <v>0</v>
      </c>
      <c r="S31" t="e">
        <f>_xlfn.STDEV.S(W31:W42)</f>
        <v>#DIV/0!</v>
      </c>
      <c r="W31" t="str">
        <f t="shared" ref="W31:W33" si="48">IF(AND(ISBLANK(Q4), ISBLANK(R4), ISBLANK(G4), ISBLANK(H4)), "", U4)</f>
        <v/>
      </c>
      <c r="Y31" t="str">
        <f t="shared" ref="Y31:Y42" si="49">IF(ISBLANK(Y4), IF(X4 = 0, "", (G4 + H4/3 + V4/9 + W4/3)), U4)</f>
        <v/>
      </c>
      <c r="AH31" t="s">
        <v>80</v>
      </c>
    </row>
    <row r="32" spans="1:66" x14ac:dyDescent="0.2">
      <c r="A32" t="s">
        <v>235</v>
      </c>
      <c r="D32" s="3"/>
      <c r="K32" t="s">
        <v>64</v>
      </c>
      <c r="P32" t="s">
        <v>149</v>
      </c>
      <c r="W32" t="str">
        <f t="shared" si="48"/>
        <v/>
      </c>
      <c r="Y32" t="str">
        <f t="shared" si="49"/>
        <v/>
      </c>
      <c r="AH32" t="s">
        <v>81</v>
      </c>
    </row>
    <row r="33" spans="1:34" x14ac:dyDescent="0.2">
      <c r="A33" t="s">
        <v>305</v>
      </c>
      <c r="D33" s="3"/>
      <c r="K33" t="s">
        <v>57</v>
      </c>
      <c r="L33" t="s">
        <v>58</v>
      </c>
      <c r="M33" t="s">
        <v>59</v>
      </c>
      <c r="N33" t="s">
        <v>60</v>
      </c>
      <c r="P33" t="s">
        <v>57</v>
      </c>
      <c r="Q33" t="s">
        <v>58</v>
      </c>
      <c r="R33" t="s">
        <v>59</v>
      </c>
      <c r="S33" t="s">
        <v>60</v>
      </c>
      <c r="W33" t="str">
        <f t="shared" si="48"/>
        <v/>
      </c>
      <c r="Y33" t="str">
        <f t="shared" si="49"/>
        <v/>
      </c>
      <c r="AH33" t="s">
        <v>82</v>
      </c>
    </row>
    <row r="34" spans="1:34" x14ac:dyDescent="0.2">
      <c r="A34" t="s">
        <v>315</v>
      </c>
      <c r="D34" s="3"/>
      <c r="K34">
        <f>AVERAGE(K39:K50)</f>
        <v>0</v>
      </c>
      <c r="L34">
        <f>MEDIAN(K39:K50)</f>
        <v>0</v>
      </c>
      <c r="M34">
        <f>MAX(K39:K50)</f>
        <v>0</v>
      </c>
      <c r="N34">
        <f>_xlfn.STDEV.S(K39:K50)</f>
        <v>0</v>
      </c>
      <c r="P34" t="e">
        <f>AVERAGE(Y31:Y42)</f>
        <v>#DIV/0!</v>
      </c>
      <c r="Q34" t="e">
        <f>MEDIAN(Y31:Y42)</f>
        <v>#NUM!</v>
      </c>
      <c r="R34">
        <f>MAX(Y31:Y42)</f>
        <v>0</v>
      </c>
      <c r="S34" t="e">
        <f>_xlfn.STDEV.S(Y31:Y42)</f>
        <v>#DIV/0!</v>
      </c>
      <c r="W34" t="str">
        <f>IF(AND(ISBLANK(Q7), ISBLANK(R7), ISBLANK(G7), ISBLANK(H7)), "", U7)</f>
        <v/>
      </c>
      <c r="Y34" t="str">
        <f t="shared" si="49"/>
        <v/>
      </c>
      <c r="AH34" t="s">
        <v>83</v>
      </c>
    </row>
    <row r="35" spans="1:34" x14ac:dyDescent="0.2">
      <c r="A35" t="s">
        <v>342</v>
      </c>
      <c r="P35" t="s">
        <v>95</v>
      </c>
      <c r="R35" t="s">
        <v>197</v>
      </c>
      <c r="W35" t="str">
        <f t="shared" ref="W35:W42" si="50">IF(AND(ISBLANK(Q8), ISBLANK(R8), ISBLANK(G8), ISBLANK(H8)), "", U8)</f>
        <v/>
      </c>
      <c r="Y35" t="str">
        <f t="shared" si="49"/>
        <v/>
      </c>
    </row>
    <row r="36" spans="1:34" x14ac:dyDescent="0.2">
      <c r="P36" t="e">
        <f>Q16/(Q16+R16)</f>
        <v>#DIV/0!</v>
      </c>
      <c r="R36" t="e">
        <f>R16/(Q16+R16)</f>
        <v>#DIV/0!</v>
      </c>
      <c r="W36" t="str">
        <f t="shared" si="50"/>
        <v/>
      </c>
      <c r="Y36" t="str">
        <f t="shared" si="49"/>
        <v/>
      </c>
    </row>
    <row r="37" spans="1:34" x14ac:dyDescent="0.2">
      <c r="W37" t="str">
        <f t="shared" si="50"/>
        <v/>
      </c>
      <c r="Y37" t="str">
        <f t="shared" si="49"/>
        <v/>
      </c>
    </row>
    <row r="38" spans="1:34" x14ac:dyDescent="0.2">
      <c r="A38" t="s">
        <v>68</v>
      </c>
      <c r="C38" t="s">
        <v>69</v>
      </c>
      <c r="E38" t="s">
        <v>72</v>
      </c>
      <c r="G38" t="s">
        <v>250</v>
      </c>
      <c r="K38" t="s">
        <v>73</v>
      </c>
      <c r="M38" t="s">
        <v>70</v>
      </c>
      <c r="N38" t="s">
        <v>71</v>
      </c>
      <c r="O38" t="s">
        <v>199</v>
      </c>
      <c r="Q38" t="s">
        <v>200</v>
      </c>
      <c r="S38" t="s">
        <v>201</v>
      </c>
      <c r="W38" t="str">
        <f t="shared" si="50"/>
        <v/>
      </c>
      <c r="Y38" t="str">
        <f t="shared" si="49"/>
        <v/>
      </c>
    </row>
    <row r="39" spans="1:34" x14ac:dyDescent="0.2">
      <c r="A39">
        <f t="shared" ref="A39:A50" si="51">IF(ISBLANK(B4), "", SUM(AE16+AF16+AG16))</f>
        <v>1</v>
      </c>
      <c r="C39">
        <f t="shared" ref="C39:C50" si="52">IF(ISBLANK(B4), "", O4)</f>
        <v>2</v>
      </c>
      <c r="E39">
        <f t="shared" ref="E39:E50" si="53">IF(ISBLANK(B4), "", Q4)</f>
        <v>0</v>
      </c>
      <c r="G39">
        <f t="shared" ref="G39:G50" si="54">IF(ISBLANK(B4), "", R4)</f>
        <v>0</v>
      </c>
      <c r="K39">
        <f t="shared" ref="K39:K50" si="55">IF(ISBLANK(B4), "", SUM(Q4 + R4))</f>
        <v>0</v>
      </c>
      <c r="M39">
        <f t="shared" ref="M39:M50" si="56">IF(ISBLANK(B4), "", SUM(K4+M4) - O4)</f>
        <v>1</v>
      </c>
      <c r="N39">
        <f t="shared" ref="N39:N50" si="57">IF(ISBLANK(B4), "", U4)</f>
        <v>0</v>
      </c>
      <c r="O39">
        <f t="shared" ref="O39:O50" si="58">COUNTIF(E4, "1")*COUNTIF(F4, "1")</f>
        <v>0</v>
      </c>
      <c r="Q39">
        <f t="shared" ref="Q39:Q50" si="59">COUNTIF(D4, "1")*COUNTIF(F4, "")</f>
        <v>0</v>
      </c>
      <c r="S39">
        <f t="shared" ref="S39:S50" si="60">COUNTIF(E4, "1")*COUNTIF(F4, "")</f>
        <v>0</v>
      </c>
      <c r="W39" t="str">
        <f t="shared" si="50"/>
        <v/>
      </c>
      <c r="Y39" t="str">
        <f t="shared" si="49"/>
        <v/>
      </c>
    </row>
    <row r="40" spans="1:34" x14ac:dyDescent="0.2">
      <c r="A40">
        <f t="shared" si="51"/>
        <v>0</v>
      </c>
      <c r="C40">
        <f t="shared" si="52"/>
        <v>1</v>
      </c>
      <c r="E40">
        <f t="shared" si="53"/>
        <v>0</v>
      </c>
      <c r="G40">
        <f t="shared" si="54"/>
        <v>0</v>
      </c>
      <c r="K40">
        <f t="shared" si="55"/>
        <v>0</v>
      </c>
      <c r="M40">
        <f t="shared" si="56"/>
        <v>1</v>
      </c>
      <c r="N40">
        <f t="shared" si="57"/>
        <v>0</v>
      </c>
      <c r="O40">
        <f t="shared" si="58"/>
        <v>0</v>
      </c>
      <c r="Q40">
        <f t="shared" si="59"/>
        <v>1</v>
      </c>
      <c r="S40">
        <f t="shared" si="60"/>
        <v>1</v>
      </c>
      <c r="W40" t="str">
        <f t="shared" si="50"/>
        <v/>
      </c>
      <c r="Y40" t="str">
        <f t="shared" si="49"/>
        <v/>
      </c>
    </row>
    <row r="41" spans="1:34" x14ac:dyDescent="0.2">
      <c r="A41">
        <f t="shared" si="51"/>
        <v>0</v>
      </c>
      <c r="C41">
        <f t="shared" si="52"/>
        <v>0</v>
      </c>
      <c r="E41">
        <f t="shared" si="53"/>
        <v>0</v>
      </c>
      <c r="G41">
        <f t="shared" si="54"/>
        <v>0</v>
      </c>
      <c r="K41">
        <f t="shared" si="55"/>
        <v>0</v>
      </c>
      <c r="M41">
        <f t="shared" si="56"/>
        <v>0</v>
      </c>
      <c r="N41">
        <f t="shared" si="57"/>
        <v>0</v>
      </c>
      <c r="O41">
        <f t="shared" si="58"/>
        <v>0</v>
      </c>
      <c r="Q41">
        <f t="shared" si="59"/>
        <v>0</v>
      </c>
      <c r="S41">
        <f t="shared" si="60"/>
        <v>0</v>
      </c>
      <c r="W41" t="str">
        <f t="shared" si="50"/>
        <v/>
      </c>
      <c r="Y41" t="str">
        <f t="shared" si="49"/>
        <v/>
      </c>
    </row>
    <row r="42" spans="1:34" x14ac:dyDescent="0.2">
      <c r="A42">
        <f t="shared" si="51"/>
        <v>0</v>
      </c>
      <c r="C42">
        <f t="shared" si="52"/>
        <v>5</v>
      </c>
      <c r="E42">
        <f t="shared" si="53"/>
        <v>0</v>
      </c>
      <c r="G42">
        <f t="shared" si="54"/>
        <v>0</v>
      </c>
      <c r="K42">
        <f t="shared" si="55"/>
        <v>0</v>
      </c>
      <c r="M42">
        <f t="shared" si="56"/>
        <v>-1</v>
      </c>
      <c r="N42">
        <f t="shared" si="57"/>
        <v>0</v>
      </c>
      <c r="O42">
        <f t="shared" si="58"/>
        <v>0</v>
      </c>
      <c r="Q42">
        <f t="shared" si="59"/>
        <v>1</v>
      </c>
      <c r="S42">
        <f t="shared" si="60"/>
        <v>0</v>
      </c>
      <c r="W42" t="str">
        <f t="shared" si="50"/>
        <v/>
      </c>
      <c r="Y42" t="str">
        <f t="shared" si="49"/>
        <v/>
      </c>
    </row>
    <row r="43" spans="1:34" x14ac:dyDescent="0.2">
      <c r="A43">
        <f t="shared" si="51"/>
        <v>0</v>
      </c>
      <c r="C43">
        <f t="shared" si="52"/>
        <v>4</v>
      </c>
      <c r="E43">
        <f t="shared" si="53"/>
        <v>0</v>
      </c>
      <c r="G43">
        <f t="shared" si="54"/>
        <v>0</v>
      </c>
      <c r="K43">
        <f t="shared" si="55"/>
        <v>0</v>
      </c>
      <c r="M43">
        <f t="shared" si="56"/>
        <v>-1</v>
      </c>
      <c r="N43">
        <f t="shared" si="57"/>
        <v>42</v>
      </c>
      <c r="O43">
        <f t="shared" si="58"/>
        <v>0</v>
      </c>
      <c r="Q43">
        <f t="shared" si="59"/>
        <v>1</v>
      </c>
      <c r="S43">
        <f t="shared" si="60"/>
        <v>0</v>
      </c>
    </row>
    <row r="44" spans="1:34" x14ac:dyDescent="0.2">
      <c r="A44">
        <f t="shared" si="51"/>
        <v>0</v>
      </c>
      <c r="C44">
        <f t="shared" si="52"/>
        <v>4</v>
      </c>
      <c r="E44">
        <f t="shared" si="53"/>
        <v>0</v>
      </c>
      <c r="G44">
        <f t="shared" si="54"/>
        <v>0</v>
      </c>
      <c r="K44">
        <f t="shared" si="55"/>
        <v>0</v>
      </c>
      <c r="M44">
        <f t="shared" si="56"/>
        <v>0</v>
      </c>
      <c r="N44">
        <f t="shared" si="57"/>
        <v>0</v>
      </c>
      <c r="O44">
        <f t="shared" si="58"/>
        <v>0</v>
      </c>
      <c r="Q44">
        <f t="shared" si="59"/>
        <v>1</v>
      </c>
      <c r="S44">
        <f t="shared" si="60"/>
        <v>0</v>
      </c>
    </row>
    <row r="45" spans="1:34" x14ac:dyDescent="0.2">
      <c r="A45">
        <f t="shared" si="51"/>
        <v>0</v>
      </c>
      <c r="C45">
        <f t="shared" si="52"/>
        <v>2</v>
      </c>
      <c r="E45">
        <f t="shared" si="53"/>
        <v>0</v>
      </c>
      <c r="G45">
        <f t="shared" si="54"/>
        <v>0</v>
      </c>
      <c r="K45">
        <f t="shared" si="55"/>
        <v>0</v>
      </c>
      <c r="M45">
        <f t="shared" si="56"/>
        <v>0</v>
      </c>
      <c r="N45">
        <f t="shared" si="57"/>
        <v>0</v>
      </c>
      <c r="O45">
        <f t="shared" si="58"/>
        <v>0</v>
      </c>
      <c r="Q45">
        <f t="shared" si="59"/>
        <v>1</v>
      </c>
      <c r="S45">
        <f t="shared" si="60"/>
        <v>0</v>
      </c>
    </row>
    <row r="46" spans="1:34" x14ac:dyDescent="0.2">
      <c r="A46">
        <f t="shared" si="51"/>
        <v>1</v>
      </c>
      <c r="C46">
        <f t="shared" si="52"/>
        <v>2</v>
      </c>
      <c r="E46">
        <f t="shared" si="53"/>
        <v>0</v>
      </c>
      <c r="G46">
        <f t="shared" si="54"/>
        <v>0</v>
      </c>
      <c r="K46">
        <f t="shared" si="55"/>
        <v>0</v>
      </c>
      <c r="M46">
        <f t="shared" si="56"/>
        <v>0</v>
      </c>
      <c r="N46">
        <f t="shared" si="57"/>
        <v>0</v>
      </c>
      <c r="O46">
        <f t="shared" si="58"/>
        <v>0</v>
      </c>
      <c r="Q46">
        <f t="shared" si="59"/>
        <v>1</v>
      </c>
      <c r="S46">
        <f t="shared" si="60"/>
        <v>0</v>
      </c>
    </row>
    <row r="47" spans="1:34" x14ac:dyDescent="0.2">
      <c r="A47">
        <f t="shared" si="51"/>
        <v>0</v>
      </c>
      <c r="C47">
        <f t="shared" si="52"/>
        <v>3</v>
      </c>
      <c r="E47">
        <f t="shared" si="53"/>
        <v>0</v>
      </c>
      <c r="G47">
        <f t="shared" si="54"/>
        <v>0</v>
      </c>
      <c r="K47">
        <f t="shared" si="55"/>
        <v>0</v>
      </c>
      <c r="M47">
        <f t="shared" si="56"/>
        <v>0</v>
      </c>
      <c r="N47">
        <f t="shared" si="57"/>
        <v>10</v>
      </c>
      <c r="O47">
        <f t="shared" si="58"/>
        <v>0</v>
      </c>
      <c r="Q47">
        <f t="shared" si="59"/>
        <v>1</v>
      </c>
      <c r="S47">
        <f t="shared" si="60"/>
        <v>1</v>
      </c>
    </row>
    <row r="48" spans="1:34" x14ac:dyDescent="0.2">
      <c r="A48">
        <f t="shared" si="51"/>
        <v>0</v>
      </c>
      <c r="C48">
        <f t="shared" si="52"/>
        <v>3</v>
      </c>
      <c r="E48">
        <f t="shared" si="53"/>
        <v>0</v>
      </c>
      <c r="G48">
        <f t="shared" si="54"/>
        <v>0</v>
      </c>
      <c r="K48">
        <f t="shared" si="55"/>
        <v>0</v>
      </c>
      <c r="M48">
        <f t="shared" si="56"/>
        <v>0</v>
      </c>
      <c r="N48">
        <f t="shared" si="57"/>
        <v>2</v>
      </c>
      <c r="O48">
        <f t="shared" si="58"/>
        <v>0</v>
      </c>
      <c r="Q48">
        <f t="shared" si="59"/>
        <v>1</v>
      </c>
      <c r="S48">
        <f t="shared" si="60"/>
        <v>0</v>
      </c>
    </row>
    <row r="49" spans="1:19" x14ac:dyDescent="0.2">
      <c r="A49">
        <f t="shared" si="51"/>
        <v>0</v>
      </c>
      <c r="C49">
        <f t="shared" si="52"/>
        <v>2</v>
      </c>
      <c r="E49">
        <f t="shared" si="53"/>
        <v>0</v>
      </c>
      <c r="G49">
        <f t="shared" si="54"/>
        <v>0</v>
      </c>
      <c r="K49">
        <f t="shared" si="55"/>
        <v>0</v>
      </c>
      <c r="M49">
        <f t="shared" si="56"/>
        <v>-1</v>
      </c>
      <c r="N49">
        <f t="shared" si="57"/>
        <v>3</v>
      </c>
      <c r="O49">
        <f t="shared" si="58"/>
        <v>0</v>
      </c>
      <c r="Q49">
        <f t="shared" si="59"/>
        <v>1</v>
      </c>
      <c r="S49">
        <f t="shared" si="60"/>
        <v>0</v>
      </c>
    </row>
    <row r="50" spans="1:19" x14ac:dyDescent="0.2">
      <c r="A50">
        <f t="shared" si="51"/>
        <v>0</v>
      </c>
      <c r="C50">
        <f t="shared" si="52"/>
        <v>3</v>
      </c>
      <c r="E50">
        <f t="shared" si="53"/>
        <v>0</v>
      </c>
      <c r="G50">
        <f t="shared" si="54"/>
        <v>0</v>
      </c>
      <c r="K50">
        <f t="shared" si="55"/>
        <v>0</v>
      </c>
      <c r="M50">
        <f t="shared" si="56"/>
        <v>0</v>
      </c>
      <c r="N50">
        <f t="shared" si="57"/>
        <v>0</v>
      </c>
      <c r="O50">
        <f t="shared" si="58"/>
        <v>0</v>
      </c>
      <c r="Q50">
        <f t="shared" si="59"/>
        <v>1</v>
      </c>
      <c r="S50">
        <f t="shared" si="60"/>
        <v>0</v>
      </c>
    </row>
  </sheetData>
  <pageMargins left="0.7" right="0.7" top="0.75" bottom="0.75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 enableFormatConditionsCalculation="0"/>
  <dimension ref="A1:BN50"/>
  <sheetViews>
    <sheetView topLeftCell="D1" workbookViewId="0">
      <selection activeCell="V15" sqref="V15"/>
    </sheetView>
  </sheetViews>
  <sheetFormatPr baseColWidth="10" defaultColWidth="11.5" defaultRowHeight="15" x14ac:dyDescent="0.2"/>
  <sheetData>
    <row r="1" spans="1:66" x14ac:dyDescent="0.2">
      <c r="A1" s="1" t="s">
        <v>0</v>
      </c>
      <c r="D1" t="s">
        <v>3</v>
      </c>
      <c r="K1" t="s">
        <v>11</v>
      </c>
      <c r="N1" t="s">
        <v>12</v>
      </c>
      <c r="P1" t="s">
        <v>14</v>
      </c>
      <c r="Q1" t="s">
        <v>17</v>
      </c>
      <c r="S1" t="s">
        <v>18</v>
      </c>
      <c r="Z1" t="s">
        <v>29</v>
      </c>
      <c r="AE1" t="s">
        <v>30</v>
      </c>
      <c r="AK1" t="s">
        <v>42</v>
      </c>
    </row>
    <row r="2" spans="1:66" x14ac:dyDescent="0.2">
      <c r="A2" t="s">
        <v>1</v>
      </c>
      <c r="B2" t="s">
        <v>1</v>
      </c>
      <c r="C2" t="s">
        <v>87</v>
      </c>
      <c r="D2" t="s">
        <v>54</v>
      </c>
      <c r="E2" t="s">
        <v>13</v>
      </c>
      <c r="F2" t="s">
        <v>198</v>
      </c>
      <c r="G2" t="s">
        <v>7</v>
      </c>
      <c r="H2" t="s">
        <v>8</v>
      </c>
      <c r="I2" t="s">
        <v>179</v>
      </c>
      <c r="J2" t="s">
        <v>178</v>
      </c>
      <c r="K2" t="s">
        <v>9</v>
      </c>
      <c r="L2" t="s">
        <v>196</v>
      </c>
      <c r="M2" t="s">
        <v>10</v>
      </c>
      <c r="N2" t="s">
        <v>54</v>
      </c>
      <c r="O2" t="s">
        <v>13</v>
      </c>
      <c r="P2" t="s">
        <v>15</v>
      </c>
      <c r="Q2" t="s">
        <v>8</v>
      </c>
      <c r="R2" t="s">
        <v>7</v>
      </c>
      <c r="S2" t="s">
        <v>181</v>
      </c>
      <c r="T2" t="s">
        <v>182</v>
      </c>
      <c r="U2" t="s">
        <v>19</v>
      </c>
      <c r="V2" t="s">
        <v>191</v>
      </c>
      <c r="W2" t="s">
        <v>192</v>
      </c>
      <c r="X2" t="s">
        <v>175</v>
      </c>
      <c r="Y2" t="s">
        <v>173</v>
      </c>
      <c r="Z2" t="str">
        <f t="shared" ref="Z2:Z13" si="0">LEFT(I4, 1)</f>
        <v/>
      </c>
      <c r="AA2" t="str">
        <f t="shared" ref="AA2:AA13" si="1">MID(I4, 4, 1)</f>
        <v/>
      </c>
      <c r="AB2" t="str">
        <f t="shared" ref="AB2:AB13" si="2">MID(I4, 7, 1)</f>
        <v/>
      </c>
      <c r="AC2" t="str">
        <f t="shared" ref="AC2:AC13" si="3">MID(I4, 10, 1)</f>
        <v/>
      </c>
      <c r="AE2" t="str">
        <f t="shared" ref="AE2:AE13" si="4">LEFT(J4, 1)</f>
        <v/>
      </c>
      <c r="AF2" t="str">
        <f t="shared" ref="AF2:AF13" si="5">MID(J4, 4, 1)</f>
        <v/>
      </c>
      <c r="AG2" t="str">
        <f t="shared" ref="AG2:AG13" si="6">MID(J4, 7, 1)</f>
        <v/>
      </c>
      <c r="AH2" t="str">
        <f t="shared" ref="AH2:AH13" si="7">MID(J4, 10, 1)</f>
        <v/>
      </c>
      <c r="AI2" t="str">
        <f t="shared" ref="AI2:AI13" si="8">MID(J4, 13, 1)</f>
        <v/>
      </c>
      <c r="AK2" t="str">
        <f t="shared" ref="AK2:AK13" si="9">LEFT(P4, 2)</f>
        <v/>
      </c>
      <c r="AL2" t="str">
        <f>MID($P4, 5, 2)</f>
        <v/>
      </c>
      <c r="AM2" t="str">
        <f t="shared" ref="AM2:AM13" si="10">MID($P4, 9, 2)</f>
        <v/>
      </c>
      <c r="AN2" t="str">
        <f t="shared" ref="AN2:AN13" si="11">MID($P4, 13, 2)</f>
        <v/>
      </c>
      <c r="AO2" t="str">
        <f t="shared" ref="AO2:AO13" si="12">MID($P4, 17, 2)</f>
        <v/>
      </c>
      <c r="AP2" t="str">
        <f t="shared" ref="AP2:AP13" si="13">MID($P4, 21, 2)</f>
        <v/>
      </c>
      <c r="AQ2" t="str">
        <f t="shared" ref="AQ2:AQ13" si="14">MID($P4, 25, 2)</f>
        <v/>
      </c>
      <c r="AR2" t="str">
        <f t="shared" ref="AR2:AR13" si="15">MID($P4, 29, 2)</f>
        <v/>
      </c>
      <c r="AS2" t="str">
        <f t="shared" ref="AS2:AS13" si="16">MID($P4, 33, 2)</f>
        <v/>
      </c>
      <c r="AT2" t="str">
        <f t="shared" ref="AT2:AT13" si="17">MID($P4, 37, 2)</f>
        <v/>
      </c>
      <c r="AU2" t="str">
        <f t="shared" ref="AU2:AU13" si="18">MID($P4, 41, 2)</f>
        <v/>
      </c>
      <c r="AV2" t="str">
        <f t="shared" ref="AV2:AV13" si="19">MID($P4, 45, 2)</f>
        <v/>
      </c>
      <c r="AW2" t="str">
        <f t="shared" ref="AW2:AW13" si="20">MID($P4, 49, 2)</f>
        <v/>
      </c>
      <c r="AX2" t="str">
        <f t="shared" ref="AX2:AX13" si="21">MID($P4, 53, 2)</f>
        <v/>
      </c>
      <c r="AY2" t="str">
        <f t="shared" ref="AY2:AY13" si="22">MID($P4, 57, 2)</f>
        <v/>
      </c>
      <c r="AZ2" t="str">
        <f t="shared" ref="AZ2:AZ13" si="23">MID($P4, 61, 2)</f>
        <v/>
      </c>
      <c r="BA2" t="str">
        <f t="shared" ref="BA2:BA13" si="24">MID($P4, 65, 2)</f>
        <v/>
      </c>
      <c r="BB2" t="str">
        <f t="shared" ref="BB2:BB13" si="25">MID($P4, 69, 2)</f>
        <v/>
      </c>
      <c r="BC2" t="str">
        <f t="shared" ref="BC2:BC13" si="26">MID($P4, 73, 2)</f>
        <v/>
      </c>
      <c r="BD2" t="str">
        <f t="shared" ref="BD2:BD13" si="27">MID($P4, 77, 2)</f>
        <v/>
      </c>
      <c r="BE2" t="str">
        <f t="shared" ref="BE2:BE13" si="28">MID($P4, 81, 2)</f>
        <v/>
      </c>
      <c r="BF2" t="str">
        <f t="shared" ref="BF2:BF13" si="29">MID($P4, 85, 2)</f>
        <v/>
      </c>
      <c r="BG2" t="str">
        <f t="shared" ref="BG2:BG13" si="30">MID($P4, 89, 2)</f>
        <v/>
      </c>
      <c r="BH2" t="str">
        <f t="shared" ref="BH2:BH13" si="31">MID($P4, 93, 2)</f>
        <v/>
      </c>
    </row>
    <row r="3" spans="1:66" x14ac:dyDescent="0.2">
      <c r="A3" t="s">
        <v>2</v>
      </c>
      <c r="B3" t="s">
        <v>6</v>
      </c>
      <c r="C3" t="s">
        <v>88</v>
      </c>
      <c r="D3" t="s">
        <v>6</v>
      </c>
      <c r="E3" t="s">
        <v>6</v>
      </c>
      <c r="F3" t="s">
        <v>4</v>
      </c>
      <c r="G3" t="s">
        <v>6</v>
      </c>
      <c r="H3" t="s">
        <v>6</v>
      </c>
      <c r="I3" t="s">
        <v>86</v>
      </c>
      <c r="J3" t="s">
        <v>86</v>
      </c>
      <c r="K3" t="s">
        <v>6</v>
      </c>
      <c r="L3" t="s">
        <v>6</v>
      </c>
      <c r="M3" t="s">
        <v>6</v>
      </c>
      <c r="N3" t="s">
        <v>6</v>
      </c>
      <c r="O3" t="s">
        <v>6</v>
      </c>
      <c r="P3" t="s">
        <v>16</v>
      </c>
      <c r="Q3" t="s">
        <v>6</v>
      </c>
      <c r="R3" t="s">
        <v>6</v>
      </c>
      <c r="S3" t="s">
        <v>4</v>
      </c>
      <c r="T3" t="s">
        <v>4</v>
      </c>
      <c r="U3" t="s">
        <v>6</v>
      </c>
      <c r="V3" t="s">
        <v>6</v>
      </c>
      <c r="W3" t="s">
        <v>6</v>
      </c>
      <c r="X3" t="s">
        <v>6</v>
      </c>
      <c r="Y3" t="s">
        <v>174</v>
      </c>
      <c r="Z3" t="str">
        <f t="shared" si="0"/>
        <v/>
      </c>
      <c r="AA3" t="str">
        <f t="shared" si="1"/>
        <v/>
      </c>
      <c r="AB3" t="str">
        <f t="shared" si="2"/>
        <v/>
      </c>
      <c r="AC3" t="str">
        <f t="shared" si="3"/>
        <v/>
      </c>
      <c r="AE3" t="str">
        <f t="shared" si="4"/>
        <v>2</v>
      </c>
      <c r="AF3" t="str">
        <f t="shared" si="5"/>
        <v/>
      </c>
      <c r="AG3" t="str">
        <f t="shared" si="6"/>
        <v/>
      </c>
      <c r="AH3" t="str">
        <f t="shared" si="7"/>
        <v/>
      </c>
      <c r="AI3" t="str">
        <f t="shared" si="8"/>
        <v/>
      </c>
      <c r="AK3" t="str">
        <f t="shared" si="9"/>
        <v/>
      </c>
      <c r="AL3" t="str">
        <f t="shared" ref="AL3:AL13" si="32">MID(P5, 5, 2)</f>
        <v/>
      </c>
      <c r="AM3" t="str">
        <f t="shared" si="10"/>
        <v/>
      </c>
      <c r="AN3" t="str">
        <f t="shared" si="11"/>
        <v/>
      </c>
      <c r="AO3" t="str">
        <f t="shared" si="12"/>
        <v/>
      </c>
      <c r="AP3" t="str">
        <f t="shared" si="13"/>
        <v/>
      </c>
      <c r="AQ3" t="str">
        <f t="shared" si="14"/>
        <v/>
      </c>
      <c r="AR3" t="str">
        <f t="shared" si="15"/>
        <v/>
      </c>
      <c r="AS3" t="str">
        <f t="shared" si="16"/>
        <v/>
      </c>
      <c r="AT3" t="str">
        <f t="shared" si="17"/>
        <v/>
      </c>
      <c r="AU3" t="str">
        <f t="shared" si="18"/>
        <v/>
      </c>
      <c r="AV3" t="str">
        <f t="shared" si="19"/>
        <v/>
      </c>
      <c r="AW3" t="str">
        <f t="shared" si="20"/>
        <v/>
      </c>
      <c r="AX3" t="str">
        <f t="shared" si="21"/>
        <v/>
      </c>
      <c r="AY3" t="str">
        <f t="shared" si="22"/>
        <v/>
      </c>
      <c r="AZ3" t="str">
        <f t="shared" si="23"/>
        <v/>
      </c>
      <c r="BA3" t="str">
        <f t="shared" si="24"/>
        <v/>
      </c>
      <c r="BB3" t="str">
        <f t="shared" si="25"/>
        <v/>
      </c>
      <c r="BC3" t="str">
        <f t="shared" si="26"/>
        <v/>
      </c>
      <c r="BD3" t="str">
        <f t="shared" si="27"/>
        <v/>
      </c>
      <c r="BE3" t="str">
        <f t="shared" si="28"/>
        <v/>
      </c>
      <c r="BF3" t="str">
        <f t="shared" si="29"/>
        <v/>
      </c>
      <c r="BG3" t="str">
        <f t="shared" si="30"/>
        <v/>
      </c>
      <c r="BH3" t="str">
        <f t="shared" si="31"/>
        <v/>
      </c>
    </row>
    <row r="4" spans="1:66" x14ac:dyDescent="0.2">
      <c r="A4">
        <v>1</v>
      </c>
      <c r="B4">
        <v>3</v>
      </c>
      <c r="C4" t="s">
        <v>207</v>
      </c>
      <c r="D4">
        <v>1</v>
      </c>
      <c r="K4">
        <v>2</v>
      </c>
      <c r="M4">
        <v>1</v>
      </c>
      <c r="N4">
        <v>3</v>
      </c>
      <c r="O4">
        <v>3</v>
      </c>
      <c r="S4">
        <v>1</v>
      </c>
      <c r="T4">
        <v>1</v>
      </c>
      <c r="X4">
        <f t="shared" ref="X4:X15" si="33">G4+H4+Q4+R4</f>
        <v>0</v>
      </c>
      <c r="Z4" t="str">
        <f t="shared" si="0"/>
        <v/>
      </c>
      <c r="AA4" t="str">
        <f t="shared" si="1"/>
        <v/>
      </c>
      <c r="AB4" t="str">
        <f t="shared" si="2"/>
        <v/>
      </c>
      <c r="AC4" t="str">
        <f t="shared" si="3"/>
        <v/>
      </c>
      <c r="AE4" t="str">
        <f t="shared" si="4"/>
        <v/>
      </c>
      <c r="AF4" t="str">
        <f t="shared" si="5"/>
        <v/>
      </c>
      <c r="AG4" t="str">
        <f t="shared" si="6"/>
        <v/>
      </c>
      <c r="AH4" t="str">
        <f t="shared" si="7"/>
        <v/>
      </c>
      <c r="AI4" t="str">
        <f t="shared" si="8"/>
        <v/>
      </c>
      <c r="AK4" t="str">
        <f t="shared" si="9"/>
        <v>g1</v>
      </c>
      <c r="AL4" t="str">
        <f t="shared" si="32"/>
        <v/>
      </c>
      <c r="AM4" t="str">
        <f t="shared" si="10"/>
        <v/>
      </c>
      <c r="AN4" t="str">
        <f t="shared" si="11"/>
        <v/>
      </c>
      <c r="AO4" t="str">
        <f t="shared" si="12"/>
        <v/>
      </c>
      <c r="AP4" t="str">
        <f t="shared" si="13"/>
        <v/>
      </c>
      <c r="AQ4" t="str">
        <f t="shared" si="14"/>
        <v/>
      </c>
      <c r="AR4" t="str">
        <f t="shared" si="15"/>
        <v/>
      </c>
      <c r="AS4" t="str">
        <f t="shared" si="16"/>
        <v/>
      </c>
      <c r="AT4" t="str">
        <f t="shared" si="17"/>
        <v/>
      </c>
      <c r="AU4" t="str">
        <f t="shared" si="18"/>
        <v/>
      </c>
      <c r="AV4" t="str">
        <f t="shared" si="19"/>
        <v/>
      </c>
      <c r="AW4" t="str">
        <f t="shared" si="20"/>
        <v/>
      </c>
      <c r="AX4" t="str">
        <f t="shared" si="21"/>
        <v/>
      </c>
      <c r="AY4" t="str">
        <f t="shared" si="22"/>
        <v/>
      </c>
      <c r="AZ4" t="str">
        <f t="shared" si="23"/>
        <v/>
      </c>
      <c r="BA4" t="str">
        <f t="shared" si="24"/>
        <v/>
      </c>
      <c r="BB4" t="str">
        <f t="shared" si="25"/>
        <v/>
      </c>
      <c r="BC4" t="str">
        <f t="shared" si="26"/>
        <v/>
      </c>
      <c r="BD4" t="str">
        <f t="shared" si="27"/>
        <v/>
      </c>
      <c r="BE4" t="str">
        <f t="shared" si="28"/>
        <v/>
      </c>
      <c r="BF4" t="str">
        <f t="shared" si="29"/>
        <v/>
      </c>
      <c r="BG4" t="str">
        <f t="shared" si="30"/>
        <v/>
      </c>
      <c r="BH4" t="str">
        <f t="shared" si="31"/>
        <v/>
      </c>
    </row>
    <row r="5" spans="1:66" x14ac:dyDescent="0.2">
      <c r="A5">
        <v>2</v>
      </c>
      <c r="B5">
        <v>17</v>
      </c>
      <c r="C5" t="s">
        <v>39</v>
      </c>
      <c r="D5">
        <v>1</v>
      </c>
      <c r="J5">
        <v>2</v>
      </c>
      <c r="K5">
        <v>1</v>
      </c>
      <c r="M5">
        <v>2</v>
      </c>
      <c r="N5">
        <v>4</v>
      </c>
      <c r="O5">
        <v>4</v>
      </c>
      <c r="S5">
        <v>1</v>
      </c>
      <c r="T5">
        <v>1</v>
      </c>
      <c r="X5">
        <f t="shared" si="33"/>
        <v>0</v>
      </c>
      <c r="Z5" t="str">
        <f t="shared" si="0"/>
        <v/>
      </c>
      <c r="AA5" t="str">
        <f t="shared" si="1"/>
        <v/>
      </c>
      <c r="AB5" t="str">
        <f t="shared" si="2"/>
        <v/>
      </c>
      <c r="AC5" t="str">
        <f t="shared" si="3"/>
        <v/>
      </c>
      <c r="AE5" t="str">
        <f t="shared" si="4"/>
        <v>1</v>
      </c>
      <c r="AF5" t="str">
        <f t="shared" si="5"/>
        <v>2</v>
      </c>
      <c r="AG5" t="str">
        <f t="shared" si="6"/>
        <v>4</v>
      </c>
      <c r="AH5" t="str">
        <f t="shared" si="7"/>
        <v>5</v>
      </c>
      <c r="AI5" t="str">
        <f t="shared" si="8"/>
        <v/>
      </c>
      <c r="AK5" t="str">
        <f t="shared" si="9"/>
        <v/>
      </c>
      <c r="AL5" t="str">
        <f t="shared" si="32"/>
        <v/>
      </c>
      <c r="AM5" t="str">
        <f t="shared" si="10"/>
        <v/>
      </c>
      <c r="AN5" t="str">
        <f t="shared" si="11"/>
        <v/>
      </c>
      <c r="AO5" t="str">
        <f t="shared" si="12"/>
        <v/>
      </c>
      <c r="AP5" t="str">
        <f t="shared" si="13"/>
        <v/>
      </c>
      <c r="AQ5" t="str">
        <f t="shared" si="14"/>
        <v/>
      </c>
      <c r="AR5" t="str">
        <f t="shared" si="15"/>
        <v/>
      </c>
      <c r="AS5" t="str">
        <f t="shared" si="16"/>
        <v/>
      </c>
      <c r="AT5" t="str">
        <f t="shared" si="17"/>
        <v/>
      </c>
      <c r="AU5" t="str">
        <f t="shared" si="18"/>
        <v/>
      </c>
      <c r="AV5" t="str">
        <f t="shared" si="19"/>
        <v/>
      </c>
      <c r="AW5" t="str">
        <f t="shared" si="20"/>
        <v/>
      </c>
      <c r="AX5" t="str">
        <f t="shared" si="21"/>
        <v/>
      </c>
      <c r="AY5" t="str">
        <f t="shared" si="22"/>
        <v/>
      </c>
      <c r="AZ5" t="str">
        <f t="shared" si="23"/>
        <v/>
      </c>
      <c r="BA5" t="str">
        <f t="shared" si="24"/>
        <v/>
      </c>
      <c r="BB5" t="str">
        <f t="shared" si="25"/>
        <v/>
      </c>
      <c r="BC5" t="str">
        <f t="shared" si="26"/>
        <v/>
      </c>
      <c r="BD5" t="str">
        <f t="shared" si="27"/>
        <v/>
      </c>
      <c r="BE5" t="str">
        <f t="shared" si="28"/>
        <v/>
      </c>
      <c r="BF5" t="str">
        <f t="shared" si="29"/>
        <v/>
      </c>
      <c r="BG5" t="str">
        <f t="shared" si="30"/>
        <v/>
      </c>
      <c r="BH5" t="str">
        <f t="shared" si="31"/>
        <v/>
      </c>
    </row>
    <row r="6" spans="1:66" x14ac:dyDescent="0.2">
      <c r="A6">
        <v>3</v>
      </c>
      <c r="B6">
        <v>30</v>
      </c>
      <c r="C6" t="s">
        <v>207</v>
      </c>
      <c r="D6">
        <v>1</v>
      </c>
      <c r="E6">
        <v>1</v>
      </c>
      <c r="K6">
        <v>2</v>
      </c>
      <c r="M6">
        <v>1</v>
      </c>
      <c r="N6">
        <v>3</v>
      </c>
      <c r="O6">
        <v>2</v>
      </c>
      <c r="P6" t="s">
        <v>228</v>
      </c>
      <c r="S6">
        <v>1</v>
      </c>
      <c r="T6">
        <v>1</v>
      </c>
      <c r="U6">
        <v>22</v>
      </c>
      <c r="X6">
        <f t="shared" si="33"/>
        <v>0</v>
      </c>
      <c r="Z6" t="str">
        <f t="shared" si="0"/>
        <v/>
      </c>
      <c r="AA6" t="str">
        <f t="shared" si="1"/>
        <v/>
      </c>
      <c r="AB6" t="str">
        <f t="shared" si="2"/>
        <v/>
      </c>
      <c r="AC6" t="str">
        <f t="shared" si="3"/>
        <v/>
      </c>
      <c r="AE6" t="str">
        <f t="shared" si="4"/>
        <v/>
      </c>
      <c r="AF6" t="str">
        <f t="shared" si="5"/>
        <v/>
      </c>
      <c r="AG6" t="str">
        <f t="shared" si="6"/>
        <v/>
      </c>
      <c r="AH6" t="str">
        <f t="shared" si="7"/>
        <v/>
      </c>
      <c r="AI6" t="str">
        <f t="shared" si="8"/>
        <v/>
      </c>
      <c r="AK6" t="str">
        <f t="shared" si="9"/>
        <v/>
      </c>
      <c r="AL6" t="str">
        <f t="shared" si="32"/>
        <v/>
      </c>
      <c r="AM6" t="str">
        <f t="shared" si="10"/>
        <v/>
      </c>
      <c r="AN6" t="str">
        <f t="shared" si="11"/>
        <v/>
      </c>
      <c r="AO6" t="str">
        <f t="shared" si="12"/>
        <v/>
      </c>
      <c r="AP6" t="str">
        <f t="shared" si="13"/>
        <v/>
      </c>
      <c r="AQ6" t="str">
        <f t="shared" si="14"/>
        <v/>
      </c>
      <c r="AR6" t="str">
        <f t="shared" si="15"/>
        <v/>
      </c>
      <c r="AS6" t="str">
        <f t="shared" si="16"/>
        <v/>
      </c>
      <c r="AT6" t="str">
        <f t="shared" si="17"/>
        <v/>
      </c>
      <c r="AU6" t="str">
        <f t="shared" si="18"/>
        <v/>
      </c>
      <c r="AV6" t="str">
        <f t="shared" si="19"/>
        <v/>
      </c>
      <c r="AW6" t="str">
        <f t="shared" si="20"/>
        <v/>
      </c>
      <c r="AX6" t="str">
        <f t="shared" si="21"/>
        <v/>
      </c>
      <c r="AY6" t="str">
        <f t="shared" si="22"/>
        <v/>
      </c>
      <c r="AZ6" t="str">
        <f t="shared" si="23"/>
        <v/>
      </c>
      <c r="BA6" t="str">
        <f t="shared" si="24"/>
        <v/>
      </c>
      <c r="BB6" t="str">
        <f t="shared" si="25"/>
        <v/>
      </c>
      <c r="BC6" t="str">
        <f t="shared" si="26"/>
        <v/>
      </c>
      <c r="BD6" t="str">
        <f t="shared" si="27"/>
        <v/>
      </c>
      <c r="BE6" t="str">
        <f t="shared" si="28"/>
        <v/>
      </c>
      <c r="BF6" t="str">
        <f t="shared" si="29"/>
        <v/>
      </c>
      <c r="BG6" t="str">
        <f t="shared" si="30"/>
        <v/>
      </c>
      <c r="BH6" t="str">
        <f t="shared" si="31"/>
        <v/>
      </c>
    </row>
    <row r="7" spans="1:66" x14ac:dyDescent="0.2">
      <c r="A7">
        <v>4</v>
      </c>
      <c r="B7">
        <v>38</v>
      </c>
      <c r="C7" t="s">
        <v>207</v>
      </c>
      <c r="D7">
        <v>1</v>
      </c>
      <c r="E7">
        <v>1</v>
      </c>
      <c r="J7" t="s">
        <v>259</v>
      </c>
      <c r="K7">
        <v>1</v>
      </c>
      <c r="M7">
        <v>1</v>
      </c>
      <c r="N7">
        <v>1</v>
      </c>
      <c r="S7">
        <v>1</v>
      </c>
      <c r="X7">
        <f t="shared" si="33"/>
        <v>0</v>
      </c>
      <c r="Z7" t="str">
        <f t="shared" si="0"/>
        <v/>
      </c>
      <c r="AA7" t="str">
        <f t="shared" si="1"/>
        <v/>
      </c>
      <c r="AB7" t="str">
        <f t="shared" si="2"/>
        <v/>
      </c>
      <c r="AC7" t="str">
        <f t="shared" si="3"/>
        <v/>
      </c>
      <c r="AE7" t="str">
        <f t="shared" si="4"/>
        <v/>
      </c>
      <c r="AF7" t="str">
        <f t="shared" si="5"/>
        <v/>
      </c>
      <c r="AG7" t="str">
        <f t="shared" si="6"/>
        <v/>
      </c>
      <c r="AH7" t="str">
        <f t="shared" si="7"/>
        <v/>
      </c>
      <c r="AI7" t="str">
        <f t="shared" si="8"/>
        <v/>
      </c>
      <c r="AK7" t="str">
        <f t="shared" si="9"/>
        <v/>
      </c>
      <c r="AL7" t="str">
        <f t="shared" si="32"/>
        <v/>
      </c>
      <c r="AM7" t="str">
        <f t="shared" si="10"/>
        <v/>
      </c>
      <c r="AN7" t="str">
        <f t="shared" si="11"/>
        <v/>
      </c>
      <c r="AO7" t="str">
        <f t="shared" si="12"/>
        <v/>
      </c>
      <c r="AP7" t="str">
        <f t="shared" si="13"/>
        <v/>
      </c>
      <c r="AQ7" t="str">
        <f t="shared" si="14"/>
        <v/>
      </c>
      <c r="AR7" t="str">
        <f t="shared" si="15"/>
        <v/>
      </c>
      <c r="AS7" t="str">
        <f t="shared" si="16"/>
        <v/>
      </c>
      <c r="AT7" t="str">
        <f t="shared" si="17"/>
        <v/>
      </c>
      <c r="AU7" t="str">
        <f t="shared" si="18"/>
        <v/>
      </c>
      <c r="AV7" t="str">
        <f t="shared" si="19"/>
        <v/>
      </c>
      <c r="AW7" t="str">
        <f t="shared" si="20"/>
        <v/>
      </c>
      <c r="AX7" t="str">
        <f t="shared" si="21"/>
        <v/>
      </c>
      <c r="AY7" t="str">
        <f t="shared" si="22"/>
        <v/>
      </c>
      <c r="AZ7" t="str">
        <f t="shared" si="23"/>
        <v/>
      </c>
      <c r="BA7" t="str">
        <f t="shared" si="24"/>
        <v/>
      </c>
      <c r="BB7" t="str">
        <f t="shared" si="25"/>
        <v/>
      </c>
      <c r="BC7" t="str">
        <f t="shared" si="26"/>
        <v/>
      </c>
      <c r="BD7" t="str">
        <f t="shared" si="27"/>
        <v/>
      </c>
      <c r="BE7" t="str">
        <f t="shared" si="28"/>
        <v/>
      </c>
      <c r="BF7" t="str">
        <f t="shared" si="29"/>
        <v/>
      </c>
      <c r="BG7" t="str">
        <f t="shared" si="30"/>
        <v/>
      </c>
      <c r="BH7" t="str">
        <f t="shared" si="31"/>
        <v/>
      </c>
    </row>
    <row r="8" spans="1:66" x14ac:dyDescent="0.2">
      <c r="A8">
        <v>5</v>
      </c>
      <c r="B8">
        <v>44</v>
      </c>
      <c r="C8" t="s">
        <v>207</v>
      </c>
      <c r="D8">
        <v>1</v>
      </c>
      <c r="K8">
        <v>1</v>
      </c>
      <c r="M8">
        <v>1</v>
      </c>
      <c r="N8">
        <v>2</v>
      </c>
      <c r="O8">
        <v>2</v>
      </c>
      <c r="S8">
        <v>1</v>
      </c>
      <c r="T8">
        <v>1</v>
      </c>
      <c r="U8">
        <v>8</v>
      </c>
      <c r="X8">
        <f t="shared" si="33"/>
        <v>0</v>
      </c>
      <c r="Z8" t="str">
        <f t="shared" si="0"/>
        <v/>
      </c>
      <c r="AA8" t="str">
        <f t="shared" si="1"/>
        <v/>
      </c>
      <c r="AB8" t="str">
        <f t="shared" si="2"/>
        <v/>
      </c>
      <c r="AC8" t="str">
        <f t="shared" si="3"/>
        <v/>
      </c>
      <c r="AE8" t="str">
        <f t="shared" si="4"/>
        <v/>
      </c>
      <c r="AF8" t="str">
        <f t="shared" si="5"/>
        <v/>
      </c>
      <c r="AG8" t="str">
        <f t="shared" si="6"/>
        <v/>
      </c>
      <c r="AH8" t="str">
        <f t="shared" si="7"/>
        <v/>
      </c>
      <c r="AI8" t="str">
        <f t="shared" si="8"/>
        <v/>
      </c>
      <c r="AK8" t="str">
        <f t="shared" si="9"/>
        <v/>
      </c>
      <c r="AL8" t="str">
        <f t="shared" si="32"/>
        <v/>
      </c>
      <c r="AM8" t="str">
        <f t="shared" si="10"/>
        <v/>
      </c>
      <c r="AN8" t="str">
        <f t="shared" si="11"/>
        <v/>
      </c>
      <c r="AO8" t="str">
        <f t="shared" si="12"/>
        <v/>
      </c>
      <c r="AP8" t="str">
        <f t="shared" si="13"/>
        <v/>
      </c>
      <c r="AQ8" t="str">
        <f t="shared" si="14"/>
        <v/>
      </c>
      <c r="AR8" t="str">
        <f t="shared" si="15"/>
        <v/>
      </c>
      <c r="AS8" t="str">
        <f t="shared" si="16"/>
        <v/>
      </c>
      <c r="AT8" t="str">
        <f t="shared" si="17"/>
        <v/>
      </c>
      <c r="AU8" t="str">
        <f t="shared" si="18"/>
        <v/>
      </c>
      <c r="AV8" t="str">
        <f t="shared" si="19"/>
        <v/>
      </c>
      <c r="AW8" t="str">
        <f t="shared" si="20"/>
        <v/>
      </c>
      <c r="AX8" t="str">
        <f t="shared" si="21"/>
        <v/>
      </c>
      <c r="AY8" t="str">
        <f t="shared" si="22"/>
        <v/>
      </c>
      <c r="AZ8" t="str">
        <f t="shared" si="23"/>
        <v/>
      </c>
      <c r="BA8" t="str">
        <f t="shared" si="24"/>
        <v/>
      </c>
      <c r="BB8" t="str">
        <f t="shared" si="25"/>
        <v/>
      </c>
      <c r="BC8" t="str">
        <f t="shared" si="26"/>
        <v/>
      </c>
      <c r="BD8" t="str">
        <f t="shared" si="27"/>
        <v/>
      </c>
      <c r="BE8" t="str">
        <f t="shared" si="28"/>
        <v/>
      </c>
      <c r="BF8" t="str">
        <f t="shared" si="29"/>
        <v/>
      </c>
      <c r="BG8" t="str">
        <f t="shared" si="30"/>
        <v/>
      </c>
      <c r="BH8" t="str">
        <f t="shared" si="31"/>
        <v/>
      </c>
    </row>
    <row r="9" spans="1:66" x14ac:dyDescent="0.2">
      <c r="A9">
        <v>6</v>
      </c>
      <c r="B9">
        <v>51</v>
      </c>
      <c r="C9" t="s">
        <v>39</v>
      </c>
      <c r="D9">
        <v>1</v>
      </c>
      <c r="E9">
        <v>1</v>
      </c>
      <c r="K9">
        <v>3</v>
      </c>
      <c r="N9">
        <v>3</v>
      </c>
      <c r="O9">
        <v>3</v>
      </c>
      <c r="R9">
        <v>1</v>
      </c>
      <c r="S9">
        <v>1</v>
      </c>
      <c r="T9">
        <v>1</v>
      </c>
      <c r="U9">
        <v>2</v>
      </c>
      <c r="W9">
        <v>2</v>
      </c>
      <c r="X9">
        <f t="shared" si="33"/>
        <v>1</v>
      </c>
      <c r="Z9" t="str">
        <f t="shared" si="0"/>
        <v/>
      </c>
      <c r="AA9" t="str">
        <f t="shared" si="1"/>
        <v/>
      </c>
      <c r="AB9" t="str">
        <f t="shared" si="2"/>
        <v/>
      </c>
      <c r="AC9" t="str">
        <f t="shared" si="3"/>
        <v/>
      </c>
      <c r="AE9" t="str">
        <f t="shared" si="4"/>
        <v/>
      </c>
      <c r="AF9" t="str">
        <f t="shared" si="5"/>
        <v/>
      </c>
      <c r="AG9" t="str">
        <f t="shared" si="6"/>
        <v/>
      </c>
      <c r="AH9" t="str">
        <f t="shared" si="7"/>
        <v/>
      </c>
      <c r="AI9" t="str">
        <f t="shared" si="8"/>
        <v/>
      </c>
      <c r="AK9" t="str">
        <f t="shared" si="9"/>
        <v/>
      </c>
      <c r="AL9" t="str">
        <f t="shared" si="32"/>
        <v/>
      </c>
      <c r="AM9" t="str">
        <f t="shared" si="10"/>
        <v/>
      </c>
      <c r="AN9" t="str">
        <f t="shared" si="11"/>
        <v/>
      </c>
      <c r="AO9" t="str">
        <f t="shared" si="12"/>
        <v/>
      </c>
      <c r="AP9" t="str">
        <f t="shared" si="13"/>
        <v/>
      </c>
      <c r="AQ9" t="str">
        <f t="shared" si="14"/>
        <v/>
      </c>
      <c r="AR9" t="str">
        <f t="shared" si="15"/>
        <v/>
      </c>
      <c r="AS9" t="str">
        <f t="shared" si="16"/>
        <v/>
      </c>
      <c r="AT9" t="str">
        <f t="shared" si="17"/>
        <v/>
      </c>
      <c r="AU9" t="str">
        <f t="shared" si="18"/>
        <v/>
      </c>
      <c r="AV9" t="str">
        <f t="shared" si="19"/>
        <v/>
      </c>
      <c r="AW9" t="str">
        <f t="shared" si="20"/>
        <v/>
      </c>
      <c r="AX9" t="str">
        <f t="shared" si="21"/>
        <v/>
      </c>
      <c r="AY9" t="str">
        <f t="shared" si="22"/>
        <v/>
      </c>
      <c r="AZ9" t="str">
        <f t="shared" si="23"/>
        <v/>
      </c>
      <c r="BA9" t="str">
        <f t="shared" si="24"/>
        <v/>
      </c>
      <c r="BB9" t="str">
        <f t="shared" si="25"/>
        <v/>
      </c>
      <c r="BC9" t="str">
        <f t="shared" si="26"/>
        <v/>
      </c>
      <c r="BD9" t="str">
        <f t="shared" si="27"/>
        <v/>
      </c>
      <c r="BE9" t="str">
        <f t="shared" si="28"/>
        <v/>
      </c>
      <c r="BF9" t="str">
        <f t="shared" si="29"/>
        <v/>
      </c>
      <c r="BG9" t="str">
        <f t="shared" si="30"/>
        <v/>
      </c>
      <c r="BH9" t="str">
        <f t="shared" si="31"/>
        <v/>
      </c>
    </row>
    <row r="10" spans="1:66" x14ac:dyDescent="0.2">
      <c r="A10">
        <v>7</v>
      </c>
      <c r="B10">
        <v>65</v>
      </c>
      <c r="C10">
        <v>1</v>
      </c>
      <c r="D10">
        <v>1</v>
      </c>
      <c r="K10">
        <v>3</v>
      </c>
      <c r="M10">
        <v>1</v>
      </c>
      <c r="N10">
        <v>3</v>
      </c>
      <c r="O10">
        <v>3</v>
      </c>
      <c r="S10">
        <v>1</v>
      </c>
      <c r="X10">
        <f t="shared" si="33"/>
        <v>0</v>
      </c>
      <c r="Z10" t="str">
        <f t="shared" si="0"/>
        <v/>
      </c>
      <c r="AA10" t="str">
        <f t="shared" si="1"/>
        <v/>
      </c>
      <c r="AB10" t="str">
        <f t="shared" si="2"/>
        <v/>
      </c>
      <c r="AC10" t="str">
        <f t="shared" si="3"/>
        <v/>
      </c>
      <c r="AE10" t="str">
        <f t="shared" si="4"/>
        <v/>
      </c>
      <c r="AF10" t="str">
        <f t="shared" si="5"/>
        <v/>
      </c>
      <c r="AG10" t="str">
        <f t="shared" si="6"/>
        <v/>
      </c>
      <c r="AH10" t="str">
        <f t="shared" si="7"/>
        <v/>
      </c>
      <c r="AI10" t="str">
        <f t="shared" si="8"/>
        <v/>
      </c>
      <c r="AK10" t="str">
        <f t="shared" si="9"/>
        <v/>
      </c>
      <c r="AL10" t="str">
        <f t="shared" si="32"/>
        <v/>
      </c>
      <c r="AM10" t="str">
        <f t="shared" si="10"/>
        <v/>
      </c>
      <c r="AN10" t="str">
        <f t="shared" si="11"/>
        <v/>
      </c>
      <c r="AO10" t="str">
        <f t="shared" si="12"/>
        <v/>
      </c>
      <c r="AP10" t="str">
        <f t="shared" si="13"/>
        <v/>
      </c>
      <c r="AQ10" t="str">
        <f t="shared" si="14"/>
        <v/>
      </c>
      <c r="AR10" t="str">
        <f t="shared" si="15"/>
        <v/>
      </c>
      <c r="AS10" t="str">
        <f t="shared" si="16"/>
        <v/>
      </c>
      <c r="AT10" t="str">
        <f t="shared" si="17"/>
        <v/>
      </c>
      <c r="AU10" t="str">
        <f t="shared" si="18"/>
        <v/>
      </c>
      <c r="AV10" t="str">
        <f t="shared" si="19"/>
        <v/>
      </c>
      <c r="AW10" t="str">
        <f t="shared" si="20"/>
        <v/>
      </c>
      <c r="AX10" t="str">
        <f t="shared" si="21"/>
        <v/>
      </c>
      <c r="AY10" t="str">
        <f t="shared" si="22"/>
        <v/>
      </c>
      <c r="AZ10" t="str">
        <f t="shared" si="23"/>
        <v/>
      </c>
      <c r="BA10" t="str">
        <f t="shared" si="24"/>
        <v/>
      </c>
      <c r="BB10" t="str">
        <f t="shared" si="25"/>
        <v/>
      </c>
      <c r="BC10" t="str">
        <f t="shared" si="26"/>
        <v/>
      </c>
      <c r="BD10" t="str">
        <f t="shared" si="27"/>
        <v/>
      </c>
      <c r="BE10" t="str">
        <f t="shared" si="28"/>
        <v/>
      </c>
      <c r="BF10" t="str">
        <f t="shared" si="29"/>
        <v/>
      </c>
      <c r="BG10" t="str">
        <f t="shared" si="30"/>
        <v/>
      </c>
      <c r="BH10" t="str">
        <f t="shared" si="31"/>
        <v/>
      </c>
    </row>
    <row r="11" spans="1:66" x14ac:dyDescent="0.2">
      <c r="A11">
        <v>8</v>
      </c>
      <c r="B11">
        <v>71</v>
      </c>
      <c r="C11" t="s">
        <v>39</v>
      </c>
      <c r="D11">
        <v>1</v>
      </c>
      <c r="M11">
        <v>2</v>
      </c>
      <c r="N11">
        <v>3</v>
      </c>
      <c r="O11">
        <v>3</v>
      </c>
      <c r="S11">
        <v>1</v>
      </c>
      <c r="X11">
        <f t="shared" si="33"/>
        <v>0</v>
      </c>
      <c r="Z11" t="str">
        <f t="shared" si="0"/>
        <v/>
      </c>
      <c r="AA11" t="str">
        <f t="shared" si="1"/>
        <v/>
      </c>
      <c r="AB11" t="str">
        <f t="shared" si="2"/>
        <v/>
      </c>
      <c r="AC11" t="str">
        <f t="shared" si="3"/>
        <v/>
      </c>
      <c r="AE11" t="str">
        <f t="shared" si="4"/>
        <v/>
      </c>
      <c r="AF11" t="str">
        <f t="shared" si="5"/>
        <v/>
      </c>
      <c r="AG11" t="str">
        <f t="shared" si="6"/>
        <v/>
      </c>
      <c r="AH11" t="str">
        <f t="shared" si="7"/>
        <v/>
      </c>
      <c r="AI11" t="str">
        <f t="shared" si="8"/>
        <v/>
      </c>
      <c r="AK11" t="str">
        <f t="shared" si="9"/>
        <v/>
      </c>
      <c r="AL11" t="str">
        <f t="shared" si="32"/>
        <v/>
      </c>
      <c r="AM11" t="str">
        <f t="shared" si="10"/>
        <v/>
      </c>
      <c r="AN11" t="str">
        <f t="shared" si="11"/>
        <v/>
      </c>
      <c r="AO11" t="str">
        <f t="shared" si="12"/>
        <v/>
      </c>
      <c r="AP11" t="str">
        <f t="shared" si="13"/>
        <v/>
      </c>
      <c r="AQ11" t="str">
        <f t="shared" si="14"/>
        <v/>
      </c>
      <c r="AR11" t="str">
        <f t="shared" si="15"/>
        <v/>
      </c>
      <c r="AS11" t="str">
        <f t="shared" si="16"/>
        <v/>
      </c>
      <c r="AT11" t="str">
        <f t="shared" si="17"/>
        <v/>
      </c>
      <c r="AU11" t="str">
        <f t="shared" si="18"/>
        <v/>
      </c>
      <c r="AV11" t="str">
        <f t="shared" si="19"/>
        <v/>
      </c>
      <c r="AW11" t="str">
        <f t="shared" si="20"/>
        <v/>
      </c>
      <c r="AX11" t="str">
        <f t="shared" si="21"/>
        <v/>
      </c>
      <c r="AY11" t="str">
        <f t="shared" si="22"/>
        <v/>
      </c>
      <c r="AZ11" t="str">
        <f t="shared" si="23"/>
        <v/>
      </c>
      <c r="BA11" t="str">
        <f t="shared" si="24"/>
        <v/>
      </c>
      <c r="BB11" t="str">
        <f t="shared" si="25"/>
        <v/>
      </c>
      <c r="BC11" t="str">
        <f t="shared" si="26"/>
        <v/>
      </c>
      <c r="BD11" t="str">
        <f t="shared" si="27"/>
        <v/>
      </c>
      <c r="BE11" t="str">
        <f t="shared" si="28"/>
        <v/>
      </c>
      <c r="BF11" t="str">
        <f t="shared" si="29"/>
        <v/>
      </c>
      <c r="BG11" t="str">
        <f t="shared" si="30"/>
        <v/>
      </c>
      <c r="BH11" t="str">
        <f t="shared" si="31"/>
        <v/>
      </c>
    </row>
    <row r="12" spans="1:66" x14ac:dyDescent="0.2">
      <c r="A12">
        <v>9</v>
      </c>
      <c r="B12">
        <v>87</v>
      </c>
      <c r="C12" t="s">
        <v>207</v>
      </c>
      <c r="D12">
        <v>1</v>
      </c>
      <c r="K12">
        <v>2</v>
      </c>
      <c r="M12">
        <v>2</v>
      </c>
      <c r="N12">
        <v>5</v>
      </c>
      <c r="O12">
        <v>5</v>
      </c>
      <c r="S12">
        <v>1</v>
      </c>
      <c r="T12">
        <v>1</v>
      </c>
      <c r="X12">
        <f t="shared" si="33"/>
        <v>0</v>
      </c>
      <c r="Z12" t="str">
        <f t="shared" si="0"/>
        <v/>
      </c>
      <c r="AA12" t="str">
        <f t="shared" si="1"/>
        <v/>
      </c>
      <c r="AB12" t="str">
        <f t="shared" si="2"/>
        <v/>
      </c>
      <c r="AC12" t="str">
        <f t="shared" si="3"/>
        <v/>
      </c>
      <c r="AE12" t="str">
        <f t="shared" si="4"/>
        <v/>
      </c>
      <c r="AF12" t="str">
        <f t="shared" si="5"/>
        <v/>
      </c>
      <c r="AG12" t="str">
        <f t="shared" si="6"/>
        <v/>
      </c>
      <c r="AH12" t="str">
        <f t="shared" si="7"/>
        <v/>
      </c>
      <c r="AI12" t="str">
        <f t="shared" si="8"/>
        <v/>
      </c>
      <c r="AK12" t="str">
        <f t="shared" si="9"/>
        <v/>
      </c>
      <c r="AL12" t="str">
        <f t="shared" si="32"/>
        <v/>
      </c>
      <c r="AM12" t="str">
        <f t="shared" si="10"/>
        <v/>
      </c>
      <c r="AN12" t="str">
        <f t="shared" si="11"/>
        <v/>
      </c>
      <c r="AO12" t="str">
        <f t="shared" si="12"/>
        <v/>
      </c>
      <c r="AP12" t="str">
        <f t="shared" si="13"/>
        <v/>
      </c>
      <c r="AQ12" t="str">
        <f t="shared" si="14"/>
        <v/>
      </c>
      <c r="AR12" t="str">
        <f t="shared" si="15"/>
        <v/>
      </c>
      <c r="AS12" t="str">
        <f t="shared" si="16"/>
        <v/>
      </c>
      <c r="AT12" t="str">
        <f t="shared" si="17"/>
        <v/>
      </c>
      <c r="AU12" t="str">
        <f t="shared" si="18"/>
        <v/>
      </c>
      <c r="AV12" t="str">
        <f t="shared" si="19"/>
        <v/>
      </c>
      <c r="AW12" t="str">
        <f t="shared" si="20"/>
        <v/>
      </c>
      <c r="AX12" t="str">
        <f t="shared" si="21"/>
        <v/>
      </c>
      <c r="AY12" t="str">
        <f t="shared" si="22"/>
        <v/>
      </c>
      <c r="AZ12" t="str">
        <f t="shared" si="23"/>
        <v/>
      </c>
      <c r="BA12" t="str">
        <f t="shared" si="24"/>
        <v/>
      </c>
      <c r="BB12" t="str">
        <f t="shared" si="25"/>
        <v/>
      </c>
      <c r="BC12" t="str">
        <f t="shared" si="26"/>
        <v/>
      </c>
      <c r="BD12" t="str">
        <f t="shared" si="27"/>
        <v/>
      </c>
      <c r="BE12" t="str">
        <f t="shared" si="28"/>
        <v/>
      </c>
      <c r="BF12" t="str">
        <f t="shared" si="29"/>
        <v/>
      </c>
      <c r="BG12" t="str">
        <f t="shared" si="30"/>
        <v/>
      </c>
      <c r="BH12" t="str">
        <f t="shared" si="31"/>
        <v/>
      </c>
    </row>
    <row r="13" spans="1:66" x14ac:dyDescent="0.2">
      <c r="A13">
        <v>10</v>
      </c>
      <c r="B13">
        <v>95</v>
      </c>
      <c r="C13" t="s">
        <v>39</v>
      </c>
      <c r="D13">
        <v>1</v>
      </c>
      <c r="E13">
        <v>1</v>
      </c>
      <c r="F13">
        <v>1</v>
      </c>
      <c r="K13">
        <v>2</v>
      </c>
      <c r="M13">
        <v>2</v>
      </c>
      <c r="N13">
        <v>4</v>
      </c>
      <c r="O13">
        <v>4</v>
      </c>
      <c r="S13">
        <v>1</v>
      </c>
      <c r="U13">
        <v>36</v>
      </c>
      <c r="X13">
        <f t="shared" si="33"/>
        <v>0</v>
      </c>
      <c r="Z13" t="str">
        <f t="shared" si="0"/>
        <v/>
      </c>
      <c r="AA13" t="str">
        <f t="shared" si="1"/>
        <v/>
      </c>
      <c r="AB13" t="str">
        <f t="shared" si="2"/>
        <v/>
      </c>
      <c r="AC13" t="str">
        <f t="shared" si="3"/>
        <v/>
      </c>
      <c r="AE13" t="str">
        <f t="shared" si="4"/>
        <v/>
      </c>
      <c r="AF13" t="str">
        <f t="shared" si="5"/>
        <v/>
      </c>
      <c r="AG13" t="str">
        <f t="shared" si="6"/>
        <v/>
      </c>
      <c r="AH13" t="str">
        <f t="shared" si="7"/>
        <v/>
      </c>
      <c r="AI13" t="str">
        <f t="shared" si="8"/>
        <v/>
      </c>
      <c r="AK13" t="str">
        <f t="shared" si="9"/>
        <v/>
      </c>
      <c r="AL13" t="str">
        <f t="shared" si="32"/>
        <v/>
      </c>
      <c r="AM13" t="str">
        <f t="shared" si="10"/>
        <v/>
      </c>
      <c r="AN13" t="str">
        <f t="shared" si="11"/>
        <v/>
      </c>
      <c r="AO13" t="str">
        <f t="shared" si="12"/>
        <v/>
      </c>
      <c r="AP13" t="str">
        <f t="shared" si="13"/>
        <v/>
      </c>
      <c r="AQ13" t="str">
        <f t="shared" si="14"/>
        <v/>
      </c>
      <c r="AR13" t="str">
        <f t="shared" si="15"/>
        <v/>
      </c>
      <c r="AS13" t="str">
        <f t="shared" si="16"/>
        <v/>
      </c>
      <c r="AT13" t="str">
        <f t="shared" si="17"/>
        <v/>
      </c>
      <c r="AU13" t="str">
        <f t="shared" si="18"/>
        <v/>
      </c>
      <c r="AV13" t="str">
        <f t="shared" si="19"/>
        <v/>
      </c>
      <c r="AW13" t="str">
        <f t="shared" si="20"/>
        <v/>
      </c>
      <c r="AX13" t="str">
        <f t="shared" si="21"/>
        <v/>
      </c>
      <c r="AY13" t="str">
        <f t="shared" si="22"/>
        <v/>
      </c>
      <c r="AZ13" t="str">
        <f t="shared" si="23"/>
        <v/>
      </c>
      <c r="BA13" t="str">
        <f t="shared" si="24"/>
        <v/>
      </c>
      <c r="BB13" t="str">
        <f t="shared" si="25"/>
        <v/>
      </c>
      <c r="BC13" t="str">
        <f t="shared" si="26"/>
        <v/>
      </c>
      <c r="BD13" t="str">
        <f t="shared" si="27"/>
        <v/>
      </c>
      <c r="BE13" t="str">
        <f t="shared" si="28"/>
        <v/>
      </c>
      <c r="BF13" t="str">
        <f t="shared" si="29"/>
        <v/>
      </c>
      <c r="BG13" t="str">
        <f t="shared" si="30"/>
        <v/>
      </c>
      <c r="BH13" t="str">
        <f t="shared" si="31"/>
        <v/>
      </c>
    </row>
    <row r="14" spans="1:66" x14ac:dyDescent="0.2">
      <c r="A14">
        <v>11</v>
      </c>
      <c r="B14">
        <v>101</v>
      </c>
      <c r="C14" t="s">
        <v>39</v>
      </c>
      <c r="D14">
        <v>1</v>
      </c>
      <c r="K14">
        <v>2</v>
      </c>
      <c r="M14">
        <v>3</v>
      </c>
      <c r="N14">
        <v>5</v>
      </c>
      <c r="O14">
        <v>5</v>
      </c>
      <c r="S14">
        <v>1</v>
      </c>
      <c r="U14">
        <v>5</v>
      </c>
      <c r="X14">
        <f t="shared" si="33"/>
        <v>0</v>
      </c>
      <c r="Z14" t="s">
        <v>31</v>
      </c>
      <c r="AE14" t="s">
        <v>34</v>
      </c>
      <c r="AK14" t="s">
        <v>43</v>
      </c>
      <c r="AP14" t="s">
        <v>84</v>
      </c>
    </row>
    <row r="15" spans="1:66" x14ac:dyDescent="0.2">
      <c r="A15">
        <v>12</v>
      </c>
      <c r="B15">
        <v>114</v>
      </c>
      <c r="C15" t="s">
        <v>39</v>
      </c>
      <c r="D15">
        <v>1</v>
      </c>
      <c r="F15">
        <v>1</v>
      </c>
      <c r="K15">
        <v>1</v>
      </c>
      <c r="M15">
        <v>2</v>
      </c>
      <c r="N15">
        <v>2</v>
      </c>
      <c r="O15">
        <v>2</v>
      </c>
      <c r="U15">
        <v>6</v>
      </c>
      <c r="X15">
        <f t="shared" si="33"/>
        <v>0</v>
      </c>
      <c r="Z15" t="s">
        <v>21</v>
      </c>
      <c r="AA15" t="s">
        <v>22</v>
      </c>
      <c r="AE15" t="s">
        <v>21</v>
      </c>
      <c r="AF15" t="s">
        <v>22</v>
      </c>
      <c r="AG15" t="s">
        <v>35</v>
      </c>
      <c r="AK15" t="s">
        <v>10</v>
      </c>
      <c r="AL15" t="s">
        <v>25</v>
      </c>
      <c r="AM15" t="s">
        <v>26</v>
      </c>
      <c r="AN15" t="s">
        <v>27</v>
      </c>
      <c r="AP15" t="s">
        <v>15</v>
      </c>
      <c r="AQ15" t="s">
        <v>85</v>
      </c>
    </row>
    <row r="16" spans="1:66" x14ac:dyDescent="0.2">
      <c r="A16" t="s">
        <v>28</v>
      </c>
      <c r="D16">
        <f>SUM(D4:D15)</f>
        <v>12</v>
      </c>
      <c r="E16">
        <f>SUM(E4:E15)</f>
        <v>4</v>
      </c>
      <c r="F16">
        <f>SUM(F4:F15)</f>
        <v>2</v>
      </c>
      <c r="G16">
        <f>SUM(G4:G15)</f>
        <v>0</v>
      </c>
      <c r="H16">
        <f>SUM(H4:H15)</f>
        <v>0</v>
      </c>
      <c r="K16">
        <f>SUM(K4:K15)</f>
        <v>20</v>
      </c>
      <c r="L16">
        <f>SUM(L4:L15)</f>
        <v>0</v>
      </c>
      <c r="M16">
        <f>SUM(M4:M15)</f>
        <v>18</v>
      </c>
      <c r="N16">
        <f>SUM(N4:N15)</f>
        <v>38</v>
      </c>
      <c r="O16">
        <f>SUM(O4:O15)</f>
        <v>36</v>
      </c>
      <c r="Q16">
        <f t="shared" ref="Q16:R16" si="34">SUM(Q4:Q15)</f>
        <v>0</v>
      </c>
      <c r="R16">
        <f t="shared" si="34"/>
        <v>1</v>
      </c>
      <c r="S16">
        <f>SUM(S4:S15)</f>
        <v>11</v>
      </c>
      <c r="T16">
        <f>SUM(T4:T15)</f>
        <v>6</v>
      </c>
      <c r="U16">
        <f>SUM(U4:U15)</f>
        <v>79</v>
      </c>
      <c r="V16">
        <f>SUM(V4:V15)</f>
        <v>0</v>
      </c>
      <c r="W16">
        <f>SUM(W4:W15)</f>
        <v>2</v>
      </c>
      <c r="Z16">
        <f t="shared" ref="Z16:Z27" si="35">COUNTIF(Z2:AC2, "3")*COUNTIF(C4, "r")+COUNTIF(Z2:AC2, "5")*COUNTIF(C4, "b")</f>
        <v>0</v>
      </c>
      <c r="AA16">
        <f t="shared" ref="AA16:AA27" si="36">COUNTIF(Z2:AC2, "1")+COUNTIF(Z2:AC2, "2")+COUNTIF(Z2:AC2, "4")</f>
        <v>0</v>
      </c>
      <c r="AE16">
        <f t="shared" ref="AE16:AE27" si="37">COUNTIF(AE2:AI2, "3")*COUNTIF(C4, "r") + COUNTIF(AE2:AI2, "5")*COUNTIF(C4, "b")</f>
        <v>0</v>
      </c>
      <c r="AF16">
        <f t="shared" ref="AF16:AF27" si="38">COUNTIF(AE2:AI2, "1")+COUNTIF(AE2:AI2, "2")+COUNTIF(AE2:AI2, "4")</f>
        <v>0</v>
      </c>
      <c r="AG16">
        <f t="shared" ref="AG16:AG27" si="39">COUNTIF(AE2:AI2, "3")*COUNTIF(AE2:AI2, "b")+COUNTIF(AE2:AI2, "5")*COUNTIF(AE2:AI2, "r")</f>
        <v>0</v>
      </c>
      <c r="AK16">
        <f t="shared" ref="AK16:AK27" si="40">SUMPRODUCT(LEN($AK2:$BH2) - LEN(SUBSTITUTE($AK2:$BH2, "g", "")))</f>
        <v>0</v>
      </c>
      <c r="AL16">
        <f t="shared" ref="AL16:AL27" si="41">SUMPRODUCT(LEN($AK2:$BH2) - LEN(SUBSTITUTE($AK2:$BH2, "h", "")))</f>
        <v>0</v>
      </c>
      <c r="AM16">
        <f t="shared" ref="AM16:AM27" si="42">SUMPRODUCT(LEN($AK2:$BH2) - LEN(SUBSTITUTE($AK2:$BH2, "v", "")))</f>
        <v>0</v>
      </c>
      <c r="AN16">
        <f t="shared" ref="AN16:AN27" si="43">SUMPRODUCT(LEN($AK2:$BH2) - LEN(SUBSTITUTE($AK2:$BH2, "r", "")))</f>
        <v>0</v>
      </c>
      <c r="AP16">
        <f>MAX(AQ16:BN16)</f>
        <v>0</v>
      </c>
      <c r="AQ16" s="4">
        <f>_xlfn.NUMBERVALUE(RIGHT(AK2,1))</f>
        <v>0</v>
      </c>
      <c r="AR16" s="4">
        <f t="shared" ref="AR16:BG27" si="44">_xlfn.NUMBERVALUE(RIGHT(AL2,1))</f>
        <v>0</v>
      </c>
      <c r="AS16" s="4">
        <f t="shared" si="44"/>
        <v>0</v>
      </c>
      <c r="AT16" s="4">
        <f t="shared" si="44"/>
        <v>0</v>
      </c>
      <c r="AU16" s="4">
        <f t="shared" si="44"/>
        <v>0</v>
      </c>
      <c r="AV16" s="4">
        <f t="shared" si="44"/>
        <v>0</v>
      </c>
      <c r="AW16" s="4">
        <f t="shared" si="44"/>
        <v>0</v>
      </c>
      <c r="AX16" s="4">
        <f t="shared" si="44"/>
        <v>0</v>
      </c>
      <c r="AY16" s="4">
        <f t="shared" si="44"/>
        <v>0</v>
      </c>
      <c r="AZ16" s="4">
        <f t="shared" si="44"/>
        <v>0</v>
      </c>
      <c r="BA16" s="4">
        <f t="shared" si="44"/>
        <v>0</v>
      </c>
      <c r="BB16" s="4">
        <f t="shared" si="44"/>
        <v>0</v>
      </c>
      <c r="BC16" s="4">
        <f t="shared" si="44"/>
        <v>0</v>
      </c>
      <c r="BD16" s="4">
        <f t="shared" si="44"/>
        <v>0</v>
      </c>
      <c r="BE16" s="4">
        <f t="shared" si="44"/>
        <v>0</v>
      </c>
      <c r="BF16" s="4">
        <f t="shared" si="44"/>
        <v>0</v>
      </c>
      <c r="BG16" s="4">
        <f t="shared" si="44"/>
        <v>0</v>
      </c>
      <c r="BH16" s="4">
        <f t="shared" ref="BH16:BN27" si="45">_xlfn.NUMBERVALUE(RIGHT(BB2,1))</f>
        <v>0</v>
      </c>
      <c r="BI16" s="4">
        <f t="shared" si="45"/>
        <v>0</v>
      </c>
      <c r="BJ16" s="4">
        <f t="shared" si="45"/>
        <v>0</v>
      </c>
      <c r="BK16" s="4">
        <f t="shared" si="45"/>
        <v>0</v>
      </c>
      <c r="BL16" s="4">
        <f t="shared" si="45"/>
        <v>0</v>
      </c>
      <c r="BM16" s="4">
        <f t="shared" si="45"/>
        <v>0</v>
      </c>
      <c r="BN16" s="4">
        <f t="shared" si="45"/>
        <v>0</v>
      </c>
    </row>
    <row r="17" spans="1:66" x14ac:dyDescent="0.2">
      <c r="A17" s="1" t="s">
        <v>20</v>
      </c>
      <c r="D17" s="1" t="s">
        <v>49</v>
      </c>
      <c r="G17" s="1" t="s">
        <v>52</v>
      </c>
      <c r="K17" s="3" t="s">
        <v>74</v>
      </c>
      <c r="P17" s="1" t="s">
        <v>66</v>
      </c>
      <c r="Z17">
        <f t="shared" si="35"/>
        <v>0</v>
      </c>
      <c r="AA17">
        <f t="shared" si="36"/>
        <v>0</v>
      </c>
      <c r="AE17">
        <f t="shared" si="37"/>
        <v>0</v>
      </c>
      <c r="AF17">
        <f t="shared" si="38"/>
        <v>1</v>
      </c>
      <c r="AG17">
        <f t="shared" si="39"/>
        <v>0</v>
      </c>
      <c r="AK17">
        <f t="shared" si="40"/>
        <v>0</v>
      </c>
      <c r="AL17">
        <f t="shared" si="41"/>
        <v>0</v>
      </c>
      <c r="AM17">
        <f t="shared" si="42"/>
        <v>0</v>
      </c>
      <c r="AN17">
        <f t="shared" si="43"/>
        <v>0</v>
      </c>
      <c r="AP17">
        <f t="shared" ref="AP17:AP27" si="46">MAX(AQ17:BN17)</f>
        <v>0</v>
      </c>
      <c r="AQ17" s="4">
        <f t="shared" ref="AQ17:AQ27" si="47">_xlfn.NUMBERVALUE(RIGHT(AK3,1))</f>
        <v>0</v>
      </c>
      <c r="AR17" s="4">
        <f t="shared" si="44"/>
        <v>0</v>
      </c>
      <c r="AS17" s="4">
        <f t="shared" si="44"/>
        <v>0</v>
      </c>
      <c r="AT17" s="4">
        <f t="shared" si="44"/>
        <v>0</v>
      </c>
      <c r="AU17" s="4">
        <f t="shared" si="44"/>
        <v>0</v>
      </c>
      <c r="AV17" s="4">
        <f t="shared" si="44"/>
        <v>0</v>
      </c>
      <c r="AW17" s="4">
        <f t="shared" si="44"/>
        <v>0</v>
      </c>
      <c r="AX17" s="4">
        <f t="shared" si="44"/>
        <v>0</v>
      </c>
      <c r="AY17" s="4">
        <f t="shared" si="44"/>
        <v>0</v>
      </c>
      <c r="AZ17" s="4">
        <f t="shared" si="44"/>
        <v>0</v>
      </c>
      <c r="BA17" s="4">
        <f t="shared" si="44"/>
        <v>0</v>
      </c>
      <c r="BB17" s="4">
        <f t="shared" si="44"/>
        <v>0</v>
      </c>
      <c r="BC17" s="4">
        <f t="shared" si="44"/>
        <v>0</v>
      </c>
      <c r="BD17" s="4">
        <f t="shared" si="44"/>
        <v>0</v>
      </c>
      <c r="BE17" s="4">
        <f t="shared" si="44"/>
        <v>0</v>
      </c>
      <c r="BF17" s="4">
        <f t="shared" si="44"/>
        <v>0</v>
      </c>
      <c r="BG17" s="4">
        <f t="shared" si="44"/>
        <v>0</v>
      </c>
      <c r="BH17" s="4">
        <f t="shared" si="45"/>
        <v>0</v>
      </c>
      <c r="BI17" s="4">
        <f t="shared" si="45"/>
        <v>0</v>
      </c>
      <c r="BJ17" s="4">
        <f t="shared" si="45"/>
        <v>0</v>
      </c>
      <c r="BK17" s="4">
        <f t="shared" si="45"/>
        <v>0</v>
      </c>
      <c r="BL17" s="4">
        <f t="shared" si="45"/>
        <v>0</v>
      </c>
      <c r="BM17" s="4">
        <f t="shared" si="45"/>
        <v>0</v>
      </c>
      <c r="BN17" s="4">
        <f t="shared" si="45"/>
        <v>0</v>
      </c>
    </row>
    <row r="18" spans="1:66" x14ac:dyDescent="0.2">
      <c r="A18" t="s">
        <v>32</v>
      </c>
      <c r="B18" t="s">
        <v>21</v>
      </c>
      <c r="D18" t="s">
        <v>180</v>
      </c>
      <c r="G18" s="3" t="s">
        <v>53</v>
      </c>
      <c r="K18" t="s">
        <v>55</v>
      </c>
      <c r="M18" t="s">
        <v>65</v>
      </c>
      <c r="P18" t="s">
        <v>67</v>
      </c>
      <c r="Z18">
        <f t="shared" si="35"/>
        <v>0</v>
      </c>
      <c r="AA18">
        <f t="shared" si="36"/>
        <v>0</v>
      </c>
      <c r="AE18">
        <f t="shared" si="37"/>
        <v>0</v>
      </c>
      <c r="AF18">
        <f t="shared" si="38"/>
        <v>0</v>
      </c>
      <c r="AG18">
        <f t="shared" si="39"/>
        <v>0</v>
      </c>
      <c r="AK18">
        <f t="shared" si="40"/>
        <v>1</v>
      </c>
      <c r="AL18">
        <f t="shared" si="41"/>
        <v>0</v>
      </c>
      <c r="AM18">
        <f t="shared" si="42"/>
        <v>0</v>
      </c>
      <c r="AN18">
        <f t="shared" si="43"/>
        <v>0</v>
      </c>
      <c r="AP18">
        <f t="shared" si="46"/>
        <v>1</v>
      </c>
      <c r="AQ18" s="4">
        <f t="shared" si="47"/>
        <v>1</v>
      </c>
      <c r="AR18" s="4">
        <f t="shared" si="44"/>
        <v>0</v>
      </c>
      <c r="AS18" s="4">
        <f t="shared" si="44"/>
        <v>0</v>
      </c>
      <c r="AT18" s="4">
        <f t="shared" si="44"/>
        <v>0</v>
      </c>
      <c r="AU18" s="4">
        <f t="shared" si="44"/>
        <v>0</v>
      </c>
      <c r="AV18" s="4">
        <f t="shared" si="44"/>
        <v>0</v>
      </c>
      <c r="AW18" s="4">
        <f t="shared" si="44"/>
        <v>0</v>
      </c>
      <c r="AX18" s="4">
        <f t="shared" si="44"/>
        <v>0</v>
      </c>
      <c r="AY18" s="4">
        <f t="shared" si="44"/>
        <v>0</v>
      </c>
      <c r="AZ18" s="4">
        <f t="shared" si="44"/>
        <v>0</v>
      </c>
      <c r="BA18" s="4">
        <f t="shared" si="44"/>
        <v>0</v>
      </c>
      <c r="BB18" s="4">
        <f t="shared" si="44"/>
        <v>0</v>
      </c>
      <c r="BC18" s="4">
        <f t="shared" si="44"/>
        <v>0</v>
      </c>
      <c r="BD18" s="4">
        <f t="shared" si="44"/>
        <v>0</v>
      </c>
      <c r="BE18" s="4">
        <f t="shared" si="44"/>
        <v>0</v>
      </c>
      <c r="BF18" s="4">
        <f t="shared" si="44"/>
        <v>0</v>
      </c>
      <c r="BG18" s="4">
        <f t="shared" si="44"/>
        <v>0</v>
      </c>
      <c r="BH18" s="4">
        <f t="shared" si="45"/>
        <v>0</v>
      </c>
      <c r="BI18" s="4">
        <f t="shared" si="45"/>
        <v>0</v>
      </c>
      <c r="BJ18" s="4">
        <f t="shared" si="45"/>
        <v>0</v>
      </c>
      <c r="BK18" s="4">
        <f t="shared" si="45"/>
        <v>0</v>
      </c>
      <c r="BL18" s="4">
        <f t="shared" si="45"/>
        <v>0</v>
      </c>
      <c r="BM18" s="4">
        <f t="shared" si="45"/>
        <v>0</v>
      </c>
      <c r="BN18" s="4">
        <f t="shared" si="45"/>
        <v>0</v>
      </c>
    </row>
    <row r="19" spans="1:66" x14ac:dyDescent="0.2">
      <c r="A19" t="s">
        <v>40</v>
      </c>
      <c r="B19" t="s">
        <v>22</v>
      </c>
      <c r="D19">
        <f>E16/D16</f>
        <v>0.33333333333333331</v>
      </c>
      <c r="G19" t="s">
        <v>75</v>
      </c>
      <c r="K19">
        <f>O16/N16</f>
        <v>0.94736842105263153</v>
      </c>
      <c r="M19">
        <f>SUM(M39:M50)</f>
        <v>2</v>
      </c>
      <c r="P19">
        <f>T16/S16</f>
        <v>0.54545454545454541</v>
      </c>
      <c r="Z19">
        <f t="shared" si="35"/>
        <v>0</v>
      </c>
      <c r="AA19">
        <f t="shared" si="36"/>
        <v>0</v>
      </c>
      <c r="AE19">
        <f t="shared" si="37"/>
        <v>1</v>
      </c>
      <c r="AF19">
        <f t="shared" si="38"/>
        <v>3</v>
      </c>
      <c r="AG19">
        <f t="shared" si="39"/>
        <v>0</v>
      </c>
      <c r="AK19">
        <f t="shared" si="40"/>
        <v>0</v>
      </c>
      <c r="AL19">
        <f t="shared" si="41"/>
        <v>0</v>
      </c>
      <c r="AM19">
        <f t="shared" si="42"/>
        <v>0</v>
      </c>
      <c r="AN19">
        <f t="shared" si="43"/>
        <v>0</v>
      </c>
      <c r="AP19">
        <f t="shared" si="46"/>
        <v>0</v>
      </c>
      <c r="AQ19" s="4">
        <f t="shared" si="47"/>
        <v>0</v>
      </c>
      <c r="AR19" s="4">
        <f t="shared" si="44"/>
        <v>0</v>
      </c>
      <c r="AS19" s="4">
        <f t="shared" si="44"/>
        <v>0</v>
      </c>
      <c r="AT19" s="4">
        <f t="shared" si="44"/>
        <v>0</v>
      </c>
      <c r="AU19" s="4">
        <f t="shared" si="44"/>
        <v>0</v>
      </c>
      <c r="AV19" s="4">
        <f t="shared" si="44"/>
        <v>0</v>
      </c>
      <c r="AW19" s="4">
        <f t="shared" si="44"/>
        <v>0</v>
      </c>
      <c r="AX19" s="4">
        <f t="shared" si="44"/>
        <v>0</v>
      </c>
      <c r="AY19" s="4">
        <f t="shared" si="44"/>
        <v>0</v>
      </c>
      <c r="AZ19" s="4">
        <f t="shared" si="44"/>
        <v>0</v>
      </c>
      <c r="BA19" s="4">
        <f t="shared" si="44"/>
        <v>0</v>
      </c>
      <c r="BB19" s="4">
        <f t="shared" si="44"/>
        <v>0</v>
      </c>
      <c r="BC19" s="4">
        <f t="shared" si="44"/>
        <v>0</v>
      </c>
      <c r="BD19" s="4">
        <f t="shared" si="44"/>
        <v>0</v>
      </c>
      <c r="BE19" s="4">
        <f t="shared" si="44"/>
        <v>0</v>
      </c>
      <c r="BF19" s="4">
        <f t="shared" si="44"/>
        <v>0</v>
      </c>
      <c r="BG19" s="4">
        <f t="shared" si="44"/>
        <v>0</v>
      </c>
      <c r="BH19" s="4">
        <f t="shared" si="45"/>
        <v>0</v>
      </c>
      <c r="BI19" s="4">
        <f t="shared" si="45"/>
        <v>0</v>
      </c>
      <c r="BJ19" s="4">
        <f t="shared" si="45"/>
        <v>0</v>
      </c>
      <c r="BK19" s="4">
        <f t="shared" si="45"/>
        <v>0</v>
      </c>
      <c r="BL19" s="4">
        <f t="shared" si="45"/>
        <v>0</v>
      </c>
      <c r="BM19" s="4">
        <f t="shared" si="45"/>
        <v>0</v>
      </c>
      <c r="BN19" s="4">
        <f t="shared" si="45"/>
        <v>0</v>
      </c>
    </row>
    <row r="20" spans="1:66" x14ac:dyDescent="0.2">
      <c r="A20" t="s">
        <v>41</v>
      </c>
      <c r="B20" t="s">
        <v>23</v>
      </c>
      <c r="D20" t="s">
        <v>47</v>
      </c>
      <c r="G20">
        <f>AK28/AP28</f>
        <v>1</v>
      </c>
      <c r="K20" t="s">
        <v>13</v>
      </c>
      <c r="Z20">
        <f t="shared" si="35"/>
        <v>0</v>
      </c>
      <c r="AA20">
        <f t="shared" si="36"/>
        <v>0</v>
      </c>
      <c r="AE20">
        <f t="shared" si="37"/>
        <v>0</v>
      </c>
      <c r="AF20">
        <f t="shared" si="38"/>
        <v>0</v>
      </c>
      <c r="AG20">
        <f t="shared" si="39"/>
        <v>0</v>
      </c>
      <c r="AK20">
        <f t="shared" si="40"/>
        <v>0</v>
      </c>
      <c r="AL20">
        <f t="shared" si="41"/>
        <v>0</v>
      </c>
      <c r="AM20">
        <f t="shared" si="42"/>
        <v>0</v>
      </c>
      <c r="AN20">
        <f t="shared" si="43"/>
        <v>0</v>
      </c>
      <c r="AP20">
        <f t="shared" si="46"/>
        <v>0</v>
      </c>
      <c r="AQ20" s="4">
        <f t="shared" si="47"/>
        <v>0</v>
      </c>
      <c r="AR20" s="4">
        <f t="shared" si="44"/>
        <v>0</v>
      </c>
      <c r="AS20" s="4">
        <f t="shared" si="44"/>
        <v>0</v>
      </c>
      <c r="AT20" s="4">
        <f t="shared" si="44"/>
        <v>0</v>
      </c>
      <c r="AU20" s="4">
        <f t="shared" si="44"/>
        <v>0</v>
      </c>
      <c r="AV20" s="4">
        <f t="shared" si="44"/>
        <v>0</v>
      </c>
      <c r="AW20" s="4">
        <f t="shared" si="44"/>
        <v>0</v>
      </c>
      <c r="AX20" s="4">
        <f t="shared" si="44"/>
        <v>0</v>
      </c>
      <c r="AY20" s="4">
        <f t="shared" si="44"/>
        <v>0</v>
      </c>
      <c r="AZ20" s="4">
        <f t="shared" si="44"/>
        <v>0</v>
      </c>
      <c r="BA20" s="4">
        <f t="shared" si="44"/>
        <v>0</v>
      </c>
      <c r="BB20" s="4">
        <f t="shared" si="44"/>
        <v>0</v>
      </c>
      <c r="BC20" s="4">
        <f t="shared" si="44"/>
        <v>0</v>
      </c>
      <c r="BD20" s="4">
        <f t="shared" si="44"/>
        <v>0</v>
      </c>
      <c r="BE20" s="4">
        <f t="shared" si="44"/>
        <v>0</v>
      </c>
      <c r="BF20" s="4">
        <f t="shared" si="44"/>
        <v>0</v>
      </c>
      <c r="BG20" s="4">
        <f t="shared" si="44"/>
        <v>0</v>
      </c>
      <c r="BH20" s="4">
        <f t="shared" si="45"/>
        <v>0</v>
      </c>
      <c r="BI20" s="4">
        <f t="shared" si="45"/>
        <v>0</v>
      </c>
      <c r="BJ20" s="4">
        <f t="shared" si="45"/>
        <v>0</v>
      </c>
      <c r="BK20" s="4">
        <f t="shared" si="45"/>
        <v>0</v>
      </c>
      <c r="BL20" s="4">
        <f t="shared" si="45"/>
        <v>0</v>
      </c>
      <c r="BM20" s="4">
        <f t="shared" si="45"/>
        <v>0</v>
      </c>
      <c r="BN20" s="4">
        <f t="shared" si="45"/>
        <v>0</v>
      </c>
    </row>
    <row r="21" spans="1:66" x14ac:dyDescent="0.2">
      <c r="A21" s="1" t="s">
        <v>24</v>
      </c>
      <c r="D21">
        <f>G16/A31</f>
        <v>0</v>
      </c>
      <c r="G21" t="s">
        <v>76</v>
      </c>
      <c r="K21" t="s">
        <v>57</v>
      </c>
      <c r="L21" t="s">
        <v>58</v>
      </c>
      <c r="M21" t="s">
        <v>59</v>
      </c>
      <c r="N21" t="s">
        <v>60</v>
      </c>
      <c r="Z21">
        <f t="shared" si="35"/>
        <v>0</v>
      </c>
      <c r="AA21">
        <f t="shared" si="36"/>
        <v>0</v>
      </c>
      <c r="AE21">
        <f t="shared" si="37"/>
        <v>0</v>
      </c>
      <c r="AF21">
        <f t="shared" si="38"/>
        <v>0</v>
      </c>
      <c r="AG21">
        <f t="shared" si="39"/>
        <v>0</v>
      </c>
      <c r="AK21">
        <f t="shared" si="40"/>
        <v>0</v>
      </c>
      <c r="AL21">
        <f t="shared" si="41"/>
        <v>0</v>
      </c>
      <c r="AM21">
        <f t="shared" si="42"/>
        <v>0</v>
      </c>
      <c r="AN21">
        <f t="shared" si="43"/>
        <v>0</v>
      </c>
      <c r="AP21">
        <f t="shared" si="46"/>
        <v>0</v>
      </c>
      <c r="AQ21" s="4">
        <f t="shared" si="47"/>
        <v>0</v>
      </c>
      <c r="AR21" s="4">
        <f t="shared" si="44"/>
        <v>0</v>
      </c>
      <c r="AS21" s="4">
        <f t="shared" si="44"/>
        <v>0</v>
      </c>
      <c r="AT21" s="4">
        <f t="shared" si="44"/>
        <v>0</v>
      </c>
      <c r="AU21" s="4">
        <f t="shared" si="44"/>
        <v>0</v>
      </c>
      <c r="AV21" s="4">
        <f t="shared" si="44"/>
        <v>0</v>
      </c>
      <c r="AW21" s="4">
        <f t="shared" si="44"/>
        <v>0</v>
      </c>
      <c r="AX21" s="4">
        <f t="shared" si="44"/>
        <v>0</v>
      </c>
      <c r="AY21" s="4">
        <f t="shared" si="44"/>
        <v>0</v>
      </c>
      <c r="AZ21" s="4">
        <f t="shared" si="44"/>
        <v>0</v>
      </c>
      <c r="BA21" s="4">
        <f t="shared" si="44"/>
        <v>0</v>
      </c>
      <c r="BB21" s="4">
        <f t="shared" si="44"/>
        <v>0</v>
      </c>
      <c r="BC21" s="4">
        <f t="shared" si="44"/>
        <v>0</v>
      </c>
      <c r="BD21" s="4">
        <f t="shared" si="44"/>
        <v>0</v>
      </c>
      <c r="BE21" s="4">
        <f t="shared" si="44"/>
        <v>0</v>
      </c>
      <c r="BF21" s="4">
        <f t="shared" si="44"/>
        <v>0</v>
      </c>
      <c r="BG21" s="4">
        <f t="shared" si="44"/>
        <v>0</v>
      </c>
      <c r="BH21" s="4">
        <f t="shared" si="45"/>
        <v>0</v>
      </c>
      <c r="BI21" s="4">
        <f t="shared" si="45"/>
        <v>0</v>
      </c>
      <c r="BJ21" s="4">
        <f t="shared" si="45"/>
        <v>0</v>
      </c>
      <c r="BK21" s="4">
        <f t="shared" si="45"/>
        <v>0</v>
      </c>
      <c r="BL21" s="4">
        <f t="shared" si="45"/>
        <v>0</v>
      </c>
      <c r="BM21" s="4">
        <f t="shared" si="45"/>
        <v>0</v>
      </c>
      <c r="BN21" s="4">
        <f t="shared" si="45"/>
        <v>0</v>
      </c>
    </row>
    <row r="22" spans="1:66" x14ac:dyDescent="0.2">
      <c r="A22" t="s">
        <v>36</v>
      </c>
      <c r="B22" t="s">
        <v>10</v>
      </c>
      <c r="D22" t="s">
        <v>48</v>
      </c>
      <c r="G22">
        <f>AL28/AP28</f>
        <v>0</v>
      </c>
      <c r="K22">
        <f>AVERAGE(C39:C50)</f>
        <v>3</v>
      </c>
      <c r="L22">
        <f>MEDIAN(C39:C50)</f>
        <v>3</v>
      </c>
      <c r="M22">
        <f>MAX(C39:C50)</f>
        <v>5</v>
      </c>
      <c r="N22">
        <f>_xlfn.STDEV.S(C39:C50)</f>
        <v>1.4142135623730951</v>
      </c>
      <c r="Z22">
        <f t="shared" si="35"/>
        <v>0</v>
      </c>
      <c r="AA22">
        <f t="shared" si="36"/>
        <v>0</v>
      </c>
      <c r="AE22">
        <f t="shared" si="37"/>
        <v>0</v>
      </c>
      <c r="AF22">
        <f t="shared" si="38"/>
        <v>0</v>
      </c>
      <c r="AG22">
        <f t="shared" si="39"/>
        <v>0</v>
      </c>
      <c r="AK22">
        <f t="shared" si="40"/>
        <v>0</v>
      </c>
      <c r="AL22">
        <f t="shared" si="41"/>
        <v>0</v>
      </c>
      <c r="AM22">
        <f t="shared" si="42"/>
        <v>0</v>
      </c>
      <c r="AN22">
        <f t="shared" si="43"/>
        <v>0</v>
      </c>
      <c r="AP22">
        <f t="shared" si="46"/>
        <v>0</v>
      </c>
      <c r="AQ22" s="4">
        <f t="shared" si="47"/>
        <v>0</v>
      </c>
      <c r="AR22" s="4">
        <f t="shared" si="44"/>
        <v>0</v>
      </c>
      <c r="AS22" s="4">
        <f t="shared" si="44"/>
        <v>0</v>
      </c>
      <c r="AT22" s="4">
        <f t="shared" si="44"/>
        <v>0</v>
      </c>
      <c r="AU22" s="4">
        <f t="shared" si="44"/>
        <v>0</v>
      </c>
      <c r="AV22" s="4">
        <f t="shared" si="44"/>
        <v>0</v>
      </c>
      <c r="AW22" s="4">
        <f t="shared" si="44"/>
        <v>0</v>
      </c>
      <c r="AX22" s="4">
        <f t="shared" si="44"/>
        <v>0</v>
      </c>
      <c r="AY22" s="4">
        <f t="shared" si="44"/>
        <v>0</v>
      </c>
      <c r="AZ22" s="4">
        <f t="shared" si="44"/>
        <v>0</v>
      </c>
      <c r="BA22" s="4">
        <f t="shared" si="44"/>
        <v>0</v>
      </c>
      <c r="BB22" s="4">
        <f t="shared" si="44"/>
        <v>0</v>
      </c>
      <c r="BC22" s="4">
        <f t="shared" si="44"/>
        <v>0</v>
      </c>
      <c r="BD22" s="4">
        <f t="shared" si="44"/>
        <v>0</v>
      </c>
      <c r="BE22" s="4">
        <f t="shared" si="44"/>
        <v>0</v>
      </c>
      <c r="BF22" s="4">
        <f t="shared" si="44"/>
        <v>0</v>
      </c>
      <c r="BG22" s="4">
        <f t="shared" si="44"/>
        <v>0</v>
      </c>
      <c r="BH22" s="4">
        <f t="shared" si="45"/>
        <v>0</v>
      </c>
      <c r="BI22" s="4">
        <f t="shared" si="45"/>
        <v>0</v>
      </c>
      <c r="BJ22" s="4">
        <f t="shared" si="45"/>
        <v>0</v>
      </c>
      <c r="BK22" s="4">
        <f t="shared" si="45"/>
        <v>0</v>
      </c>
      <c r="BL22" s="4">
        <f t="shared" si="45"/>
        <v>0</v>
      </c>
      <c r="BM22" s="4">
        <f t="shared" si="45"/>
        <v>0</v>
      </c>
      <c r="BN22" s="4">
        <f t="shared" si="45"/>
        <v>0</v>
      </c>
    </row>
    <row r="23" spans="1:66" x14ac:dyDescent="0.2">
      <c r="A23" t="s">
        <v>37</v>
      </c>
      <c r="B23" t="s">
        <v>25</v>
      </c>
      <c r="D23">
        <f>H16/A31</f>
        <v>0</v>
      </c>
      <c r="G23" t="s">
        <v>77</v>
      </c>
      <c r="K23" t="s">
        <v>8</v>
      </c>
      <c r="Z23">
        <f t="shared" si="35"/>
        <v>0</v>
      </c>
      <c r="AA23">
        <f t="shared" si="36"/>
        <v>0</v>
      </c>
      <c r="AE23">
        <f t="shared" si="37"/>
        <v>0</v>
      </c>
      <c r="AF23">
        <f t="shared" si="38"/>
        <v>0</v>
      </c>
      <c r="AG23">
        <f t="shared" si="39"/>
        <v>0</v>
      </c>
      <c r="AK23">
        <f t="shared" si="40"/>
        <v>0</v>
      </c>
      <c r="AL23">
        <f t="shared" si="41"/>
        <v>0</v>
      </c>
      <c r="AM23">
        <f t="shared" si="42"/>
        <v>0</v>
      </c>
      <c r="AN23">
        <f t="shared" si="43"/>
        <v>0</v>
      </c>
      <c r="AP23">
        <f t="shared" si="46"/>
        <v>0</v>
      </c>
      <c r="AQ23" s="4">
        <f t="shared" si="47"/>
        <v>0</v>
      </c>
      <c r="AR23" s="4">
        <f t="shared" si="44"/>
        <v>0</v>
      </c>
      <c r="AS23" s="4">
        <f t="shared" si="44"/>
        <v>0</v>
      </c>
      <c r="AT23" s="4">
        <f t="shared" si="44"/>
        <v>0</v>
      </c>
      <c r="AU23" s="4">
        <f t="shared" si="44"/>
        <v>0</v>
      </c>
      <c r="AV23" s="4">
        <f t="shared" si="44"/>
        <v>0</v>
      </c>
      <c r="AW23" s="4">
        <f t="shared" si="44"/>
        <v>0</v>
      </c>
      <c r="AX23" s="4">
        <f t="shared" si="44"/>
        <v>0</v>
      </c>
      <c r="AY23" s="4">
        <f t="shared" si="44"/>
        <v>0</v>
      </c>
      <c r="AZ23" s="4">
        <f t="shared" si="44"/>
        <v>0</v>
      </c>
      <c r="BA23" s="4">
        <f t="shared" si="44"/>
        <v>0</v>
      </c>
      <c r="BB23" s="4">
        <f t="shared" si="44"/>
        <v>0</v>
      </c>
      <c r="BC23" s="4">
        <f t="shared" si="44"/>
        <v>0</v>
      </c>
      <c r="BD23" s="4">
        <f t="shared" si="44"/>
        <v>0</v>
      </c>
      <c r="BE23" s="4">
        <f t="shared" si="44"/>
        <v>0</v>
      </c>
      <c r="BF23" s="4">
        <f t="shared" si="44"/>
        <v>0</v>
      </c>
      <c r="BG23" s="4">
        <f t="shared" si="44"/>
        <v>0</v>
      </c>
      <c r="BH23" s="4">
        <f t="shared" si="45"/>
        <v>0</v>
      </c>
      <c r="BI23" s="4">
        <f t="shared" si="45"/>
        <v>0</v>
      </c>
      <c r="BJ23" s="4">
        <f t="shared" si="45"/>
        <v>0</v>
      </c>
      <c r="BK23" s="4">
        <f t="shared" si="45"/>
        <v>0</v>
      </c>
      <c r="BL23" s="4">
        <f t="shared" si="45"/>
        <v>0</v>
      </c>
      <c r="BM23" s="4">
        <f t="shared" si="45"/>
        <v>0</v>
      </c>
      <c r="BN23" s="4">
        <f t="shared" si="45"/>
        <v>0</v>
      </c>
    </row>
    <row r="24" spans="1:66" x14ac:dyDescent="0.2">
      <c r="A24" t="s">
        <v>38</v>
      </c>
      <c r="B24" t="s">
        <v>26</v>
      </c>
      <c r="D24" t="s">
        <v>50</v>
      </c>
      <c r="G24">
        <f>AM28/AP28</f>
        <v>0</v>
      </c>
      <c r="K24" t="s">
        <v>57</v>
      </c>
      <c r="L24" t="s">
        <v>61</v>
      </c>
      <c r="M24" t="s">
        <v>59</v>
      </c>
      <c r="N24" t="s">
        <v>60</v>
      </c>
      <c r="Z24">
        <f t="shared" si="35"/>
        <v>0</v>
      </c>
      <c r="AA24">
        <f t="shared" si="36"/>
        <v>0</v>
      </c>
      <c r="AE24">
        <f t="shared" si="37"/>
        <v>0</v>
      </c>
      <c r="AF24">
        <f t="shared" si="38"/>
        <v>0</v>
      </c>
      <c r="AG24">
        <f t="shared" si="39"/>
        <v>0</v>
      </c>
      <c r="AK24">
        <f t="shared" si="40"/>
        <v>0</v>
      </c>
      <c r="AL24">
        <f t="shared" si="41"/>
        <v>0</v>
      </c>
      <c r="AM24">
        <f t="shared" si="42"/>
        <v>0</v>
      </c>
      <c r="AN24">
        <f t="shared" si="43"/>
        <v>0</v>
      </c>
      <c r="AP24">
        <f t="shared" si="46"/>
        <v>0</v>
      </c>
      <c r="AQ24" s="4">
        <f t="shared" si="47"/>
        <v>0</v>
      </c>
      <c r="AR24" s="4">
        <f t="shared" si="44"/>
        <v>0</v>
      </c>
      <c r="AS24" s="4">
        <f t="shared" si="44"/>
        <v>0</v>
      </c>
      <c r="AT24" s="4">
        <f t="shared" si="44"/>
        <v>0</v>
      </c>
      <c r="AU24" s="4">
        <f t="shared" si="44"/>
        <v>0</v>
      </c>
      <c r="AV24" s="4">
        <f t="shared" si="44"/>
        <v>0</v>
      </c>
      <c r="AW24" s="4">
        <f t="shared" si="44"/>
        <v>0</v>
      </c>
      <c r="AX24" s="4">
        <f t="shared" si="44"/>
        <v>0</v>
      </c>
      <c r="AY24" s="4">
        <f t="shared" si="44"/>
        <v>0</v>
      </c>
      <c r="AZ24" s="4">
        <f t="shared" si="44"/>
        <v>0</v>
      </c>
      <c r="BA24" s="4">
        <f t="shared" si="44"/>
        <v>0</v>
      </c>
      <c r="BB24" s="4">
        <f t="shared" si="44"/>
        <v>0</v>
      </c>
      <c r="BC24" s="4">
        <f t="shared" si="44"/>
        <v>0</v>
      </c>
      <c r="BD24" s="4">
        <f t="shared" si="44"/>
        <v>0</v>
      </c>
      <c r="BE24" s="4">
        <f t="shared" si="44"/>
        <v>0</v>
      </c>
      <c r="BF24" s="4">
        <f t="shared" si="44"/>
        <v>0</v>
      </c>
      <c r="BG24" s="4">
        <f t="shared" si="44"/>
        <v>0</v>
      </c>
      <c r="BH24" s="4">
        <f t="shared" si="45"/>
        <v>0</v>
      </c>
      <c r="BI24" s="4">
        <f t="shared" si="45"/>
        <v>0</v>
      </c>
      <c r="BJ24" s="4">
        <f t="shared" si="45"/>
        <v>0</v>
      </c>
      <c r="BK24" s="4">
        <f t="shared" si="45"/>
        <v>0</v>
      </c>
      <c r="BL24" s="4">
        <f t="shared" si="45"/>
        <v>0</v>
      </c>
      <c r="BM24" s="4">
        <f t="shared" si="45"/>
        <v>0</v>
      </c>
      <c r="BN24" s="4">
        <f t="shared" si="45"/>
        <v>0</v>
      </c>
    </row>
    <row r="25" spans="1:66" x14ac:dyDescent="0.2">
      <c r="A25" t="s">
        <v>39</v>
      </c>
      <c r="B25" t="s">
        <v>27</v>
      </c>
      <c r="D25">
        <f>Z28/A31</f>
        <v>0</v>
      </c>
      <c r="G25" t="s">
        <v>78</v>
      </c>
      <c r="K25">
        <f>AVERAGE(E39:E50)</f>
        <v>0</v>
      </c>
      <c r="L25">
        <f>MEDIAN(E39:E50)</f>
        <v>0</v>
      </c>
      <c r="M25">
        <f>MAX(E39:E50)</f>
        <v>0</v>
      </c>
      <c r="N25">
        <f>_xlfn.STDEV.S(E39:E50)</f>
        <v>0</v>
      </c>
      <c r="Z25">
        <f t="shared" si="35"/>
        <v>0</v>
      </c>
      <c r="AA25">
        <f t="shared" si="36"/>
        <v>0</v>
      </c>
      <c r="AE25">
        <f t="shared" si="37"/>
        <v>0</v>
      </c>
      <c r="AF25">
        <f t="shared" si="38"/>
        <v>0</v>
      </c>
      <c r="AG25">
        <f t="shared" si="39"/>
        <v>0</v>
      </c>
      <c r="AK25">
        <f t="shared" si="40"/>
        <v>0</v>
      </c>
      <c r="AL25">
        <f t="shared" si="41"/>
        <v>0</v>
      </c>
      <c r="AM25">
        <f t="shared" si="42"/>
        <v>0</v>
      </c>
      <c r="AN25">
        <f t="shared" si="43"/>
        <v>0</v>
      </c>
      <c r="AP25">
        <f t="shared" si="46"/>
        <v>0</v>
      </c>
      <c r="AQ25" s="4">
        <f t="shared" si="47"/>
        <v>0</v>
      </c>
      <c r="AR25" s="4">
        <f t="shared" si="44"/>
        <v>0</v>
      </c>
      <c r="AS25" s="4">
        <f t="shared" si="44"/>
        <v>0</v>
      </c>
      <c r="AT25" s="4">
        <f t="shared" si="44"/>
        <v>0</v>
      </c>
      <c r="AU25" s="4">
        <f t="shared" si="44"/>
        <v>0</v>
      </c>
      <c r="AV25" s="4">
        <f t="shared" si="44"/>
        <v>0</v>
      </c>
      <c r="AW25" s="4">
        <f t="shared" si="44"/>
        <v>0</v>
      </c>
      <c r="AX25" s="4">
        <f t="shared" si="44"/>
        <v>0</v>
      </c>
      <c r="AY25" s="4">
        <f t="shared" si="44"/>
        <v>0</v>
      </c>
      <c r="AZ25" s="4">
        <f t="shared" si="44"/>
        <v>0</v>
      </c>
      <c r="BA25" s="4">
        <f t="shared" si="44"/>
        <v>0</v>
      </c>
      <c r="BB25" s="4">
        <f t="shared" si="44"/>
        <v>0</v>
      </c>
      <c r="BC25" s="4">
        <f t="shared" si="44"/>
        <v>0</v>
      </c>
      <c r="BD25" s="4">
        <f t="shared" si="44"/>
        <v>0</v>
      </c>
      <c r="BE25" s="4">
        <f t="shared" si="44"/>
        <v>0</v>
      </c>
      <c r="BF25" s="4">
        <f t="shared" si="44"/>
        <v>0</v>
      </c>
      <c r="BG25" s="4">
        <f t="shared" si="44"/>
        <v>0</v>
      </c>
      <c r="BH25" s="4">
        <f t="shared" si="45"/>
        <v>0</v>
      </c>
      <c r="BI25" s="4">
        <f t="shared" si="45"/>
        <v>0</v>
      </c>
      <c r="BJ25" s="4">
        <f t="shared" si="45"/>
        <v>0</v>
      </c>
      <c r="BK25" s="4">
        <f t="shared" si="45"/>
        <v>0</v>
      </c>
      <c r="BL25" s="4">
        <f t="shared" si="45"/>
        <v>0</v>
      </c>
      <c r="BM25" s="4">
        <f t="shared" si="45"/>
        <v>0</v>
      </c>
      <c r="BN25" s="4">
        <f t="shared" si="45"/>
        <v>0</v>
      </c>
    </row>
    <row r="26" spans="1:66" x14ac:dyDescent="0.2">
      <c r="A26" t="s">
        <v>44</v>
      </c>
      <c r="D26" t="s">
        <v>51</v>
      </c>
      <c r="G26">
        <f>AN28/AP28</f>
        <v>0</v>
      </c>
      <c r="K26" t="s">
        <v>62</v>
      </c>
      <c r="P26" t="s">
        <v>19</v>
      </c>
      <c r="Z26">
        <f t="shared" si="35"/>
        <v>0</v>
      </c>
      <c r="AA26">
        <f t="shared" si="36"/>
        <v>0</v>
      </c>
      <c r="AE26">
        <f t="shared" si="37"/>
        <v>0</v>
      </c>
      <c r="AF26">
        <f t="shared" si="38"/>
        <v>0</v>
      </c>
      <c r="AG26">
        <f t="shared" si="39"/>
        <v>0</v>
      </c>
      <c r="AK26">
        <f t="shared" si="40"/>
        <v>0</v>
      </c>
      <c r="AL26">
        <f t="shared" si="41"/>
        <v>0</v>
      </c>
      <c r="AM26">
        <f t="shared" si="42"/>
        <v>0</v>
      </c>
      <c r="AN26">
        <f t="shared" si="43"/>
        <v>0</v>
      </c>
      <c r="AP26">
        <f t="shared" si="46"/>
        <v>0</v>
      </c>
      <c r="AQ26" s="4">
        <f t="shared" si="47"/>
        <v>0</v>
      </c>
      <c r="AR26" s="4">
        <f t="shared" si="44"/>
        <v>0</v>
      </c>
      <c r="AS26" s="4">
        <f t="shared" si="44"/>
        <v>0</v>
      </c>
      <c r="AT26" s="4">
        <f t="shared" si="44"/>
        <v>0</v>
      </c>
      <c r="AU26" s="4">
        <f t="shared" si="44"/>
        <v>0</v>
      </c>
      <c r="AV26" s="4">
        <f t="shared" si="44"/>
        <v>0</v>
      </c>
      <c r="AW26" s="4">
        <f t="shared" si="44"/>
        <v>0</v>
      </c>
      <c r="AX26" s="4">
        <f t="shared" si="44"/>
        <v>0</v>
      </c>
      <c r="AY26" s="4">
        <f t="shared" si="44"/>
        <v>0</v>
      </c>
      <c r="AZ26" s="4">
        <f t="shared" si="44"/>
        <v>0</v>
      </c>
      <c r="BA26" s="4">
        <f t="shared" si="44"/>
        <v>0</v>
      </c>
      <c r="BB26" s="4">
        <f t="shared" si="44"/>
        <v>0</v>
      </c>
      <c r="BC26" s="4">
        <f t="shared" si="44"/>
        <v>0</v>
      </c>
      <c r="BD26" s="4">
        <f t="shared" si="44"/>
        <v>0</v>
      </c>
      <c r="BE26" s="4">
        <f t="shared" si="44"/>
        <v>0</v>
      </c>
      <c r="BF26" s="4">
        <f t="shared" si="44"/>
        <v>0</v>
      </c>
      <c r="BG26" s="4">
        <f t="shared" si="44"/>
        <v>0</v>
      </c>
      <c r="BH26" s="4">
        <f t="shared" si="45"/>
        <v>0</v>
      </c>
      <c r="BI26" s="4">
        <f t="shared" si="45"/>
        <v>0</v>
      </c>
      <c r="BJ26" s="4">
        <f t="shared" si="45"/>
        <v>0</v>
      </c>
      <c r="BK26" s="4">
        <f t="shared" si="45"/>
        <v>0</v>
      </c>
      <c r="BL26" s="4">
        <f t="shared" si="45"/>
        <v>0</v>
      </c>
      <c r="BM26" s="4">
        <f t="shared" si="45"/>
        <v>0</v>
      </c>
      <c r="BN26" s="4">
        <f t="shared" si="45"/>
        <v>0</v>
      </c>
    </row>
    <row r="27" spans="1:66" x14ac:dyDescent="0.2">
      <c r="A27" t="s">
        <v>45</v>
      </c>
      <c r="D27">
        <f>AA28/A31</f>
        <v>0</v>
      </c>
      <c r="G27" t="s">
        <v>56</v>
      </c>
      <c r="K27" t="s">
        <v>57</v>
      </c>
      <c r="L27" t="s">
        <v>58</v>
      </c>
      <c r="M27" t="s">
        <v>59</v>
      </c>
      <c r="N27" t="s">
        <v>60</v>
      </c>
      <c r="P27" t="s">
        <v>57</v>
      </c>
      <c r="Q27" t="s">
        <v>58</v>
      </c>
      <c r="R27" t="s">
        <v>59</v>
      </c>
      <c r="S27" t="s">
        <v>60</v>
      </c>
      <c r="Z27">
        <f t="shared" si="35"/>
        <v>0</v>
      </c>
      <c r="AA27">
        <f t="shared" si="36"/>
        <v>0</v>
      </c>
      <c r="AE27">
        <f t="shared" si="37"/>
        <v>0</v>
      </c>
      <c r="AF27">
        <f t="shared" si="38"/>
        <v>0</v>
      </c>
      <c r="AG27">
        <f t="shared" si="39"/>
        <v>0</v>
      </c>
      <c r="AK27">
        <f t="shared" si="40"/>
        <v>0</v>
      </c>
      <c r="AL27">
        <f t="shared" si="41"/>
        <v>0</v>
      </c>
      <c r="AM27">
        <f t="shared" si="42"/>
        <v>0</v>
      </c>
      <c r="AN27">
        <f t="shared" si="43"/>
        <v>0</v>
      </c>
      <c r="AP27">
        <f t="shared" si="46"/>
        <v>0</v>
      </c>
      <c r="AQ27" s="4">
        <f t="shared" si="47"/>
        <v>0</v>
      </c>
      <c r="AR27" s="4">
        <f t="shared" si="44"/>
        <v>0</v>
      </c>
      <c r="AS27" s="4">
        <f t="shared" si="44"/>
        <v>0</v>
      </c>
      <c r="AT27" s="4">
        <f t="shared" si="44"/>
        <v>0</v>
      </c>
      <c r="AU27" s="4">
        <f t="shared" si="44"/>
        <v>0</v>
      </c>
      <c r="AV27" s="4">
        <f t="shared" si="44"/>
        <v>0</v>
      </c>
      <c r="AW27" s="4">
        <f t="shared" si="44"/>
        <v>0</v>
      </c>
      <c r="AX27" s="4">
        <f t="shared" si="44"/>
        <v>0</v>
      </c>
      <c r="AY27" s="4">
        <f t="shared" si="44"/>
        <v>0</v>
      </c>
      <c r="AZ27" s="4">
        <f t="shared" si="44"/>
        <v>0</v>
      </c>
      <c r="BA27" s="4">
        <f t="shared" si="44"/>
        <v>0</v>
      </c>
      <c r="BB27" s="4">
        <f t="shared" si="44"/>
        <v>0</v>
      </c>
      <c r="BC27" s="4">
        <f t="shared" si="44"/>
        <v>0</v>
      </c>
      <c r="BD27" s="4">
        <f t="shared" si="44"/>
        <v>0</v>
      </c>
      <c r="BE27" s="4">
        <f t="shared" si="44"/>
        <v>0</v>
      </c>
      <c r="BF27" s="4">
        <f t="shared" si="44"/>
        <v>0</v>
      </c>
      <c r="BG27" s="4">
        <f t="shared" si="44"/>
        <v>0</v>
      </c>
      <c r="BH27" s="4">
        <f t="shared" si="45"/>
        <v>0</v>
      </c>
      <c r="BI27" s="4">
        <f t="shared" si="45"/>
        <v>0</v>
      </c>
      <c r="BJ27" s="4">
        <f t="shared" si="45"/>
        <v>0</v>
      </c>
      <c r="BK27" s="4">
        <f t="shared" si="45"/>
        <v>0</v>
      </c>
      <c r="BL27" s="4">
        <f t="shared" si="45"/>
        <v>0</v>
      </c>
      <c r="BM27" s="4">
        <f t="shared" si="45"/>
        <v>0</v>
      </c>
      <c r="BN27" s="4">
        <f t="shared" si="45"/>
        <v>0</v>
      </c>
    </row>
    <row r="28" spans="1:66" x14ac:dyDescent="0.2">
      <c r="A28" t="s">
        <v>46</v>
      </c>
      <c r="D28" t="s">
        <v>202</v>
      </c>
      <c r="G28" t="s">
        <v>57</v>
      </c>
      <c r="H28" t="s">
        <v>58</v>
      </c>
      <c r="I28" t="s">
        <v>59</v>
      </c>
      <c r="J28" t="s">
        <v>60</v>
      </c>
      <c r="K28">
        <f>AVERAGE(G39:G50)</f>
        <v>8.3333333333333329E-2</v>
      </c>
      <c r="L28">
        <f>MEDIAN(G39:G50)</f>
        <v>0</v>
      </c>
      <c r="M28">
        <f>MAX(G39:G50)</f>
        <v>1</v>
      </c>
      <c r="N28">
        <f>_xlfn.STDEV.S(G39:G50)</f>
        <v>0.28867513459481287</v>
      </c>
      <c r="P28">
        <f>AVERAGE(N39:N50)</f>
        <v>6.583333333333333</v>
      </c>
      <c r="Q28">
        <f>MEDIAN(N39:N50)</f>
        <v>1</v>
      </c>
      <c r="R28">
        <f>MAX(N39:N50)</f>
        <v>36</v>
      </c>
      <c r="S28">
        <f>_xlfn.STDEV.S(N39:N50)</f>
        <v>11.236776740469283</v>
      </c>
      <c r="Y28" t="s">
        <v>33</v>
      </c>
      <c r="Z28">
        <f>SUM(Z16:Z27)</f>
        <v>0</v>
      </c>
      <c r="AA28">
        <f>SUM(AA16:AA27)</f>
        <v>0</v>
      </c>
      <c r="AE28">
        <f>SUM(AE16:AE27)</f>
        <v>1</v>
      </c>
      <c r="AF28">
        <f>SUM(AF16:AF27)</f>
        <v>4</v>
      </c>
      <c r="AG28">
        <f>SUM(AG16:AG27)</f>
        <v>0</v>
      </c>
      <c r="AK28">
        <f>SUM(AK16:AK27)</f>
        <v>1</v>
      </c>
      <c r="AL28">
        <f>SUM(AL16:AL27)</f>
        <v>0</v>
      </c>
      <c r="AM28">
        <f>SUM(AM16:AM27)</f>
        <v>0</v>
      </c>
      <c r="AN28">
        <f>SUM(AN16:AN27)</f>
        <v>0</v>
      </c>
      <c r="AP28">
        <f>SUM(AP16:AP27)</f>
        <v>1</v>
      </c>
    </row>
    <row r="29" spans="1:66" x14ac:dyDescent="0.2">
      <c r="D29">
        <f>SUM(O39:O50)/F16</f>
        <v>0.5</v>
      </c>
      <c r="G29">
        <f>AVERAGE(A39:A50)</f>
        <v>0.41666666666666669</v>
      </c>
      <c r="H29">
        <f>MEDIAN(A39:A50)</f>
        <v>0</v>
      </c>
      <c r="I29">
        <f>MAX(A39:A50)</f>
        <v>4</v>
      </c>
      <c r="J29">
        <f>_xlfn.STDEV.S(A39:A50)</f>
        <v>1.164500152881315</v>
      </c>
      <c r="K29" t="s">
        <v>63</v>
      </c>
      <c r="P29" t="s">
        <v>148</v>
      </c>
    </row>
    <row r="30" spans="1:66" x14ac:dyDescent="0.2">
      <c r="A30" t="s">
        <v>147</v>
      </c>
      <c r="D30" t="s">
        <v>203</v>
      </c>
      <c r="G30" t="s">
        <v>50</v>
      </c>
      <c r="H30" t="s">
        <v>51</v>
      </c>
      <c r="I30" t="s">
        <v>89</v>
      </c>
      <c r="K30" t="s">
        <v>57</v>
      </c>
      <c r="L30" t="s">
        <v>58</v>
      </c>
      <c r="M30" t="s">
        <v>59</v>
      </c>
      <c r="N30" t="s">
        <v>60</v>
      </c>
      <c r="P30" t="s">
        <v>57</v>
      </c>
      <c r="Q30" t="s">
        <v>58</v>
      </c>
      <c r="R30" t="s">
        <v>59</v>
      </c>
      <c r="S30" t="s">
        <v>60</v>
      </c>
      <c r="W30" t="s">
        <v>148</v>
      </c>
      <c r="Y30" t="s">
        <v>149</v>
      </c>
      <c r="AH30" t="s">
        <v>79</v>
      </c>
    </row>
    <row r="31" spans="1:66" x14ac:dyDescent="0.2">
      <c r="A31">
        <f>COUNT(B4:B15)</f>
        <v>12</v>
      </c>
      <c r="D31" s="2">
        <f>SUM(S39:S50)/SUM(Q39:Q50)</f>
        <v>0.3</v>
      </c>
      <c r="G31">
        <f>AE28/A31</f>
        <v>8.3333333333333329E-2</v>
      </c>
      <c r="H31">
        <f>AF28/A31</f>
        <v>0.33333333333333331</v>
      </c>
      <c r="I31">
        <f>AG28/A31</f>
        <v>0</v>
      </c>
      <c r="K31" t="e">
        <f>AVERAGE(I39:I50)</f>
        <v>#DIV/0!</v>
      </c>
      <c r="L31" t="e">
        <f>MEDIAN(I39:I50)</f>
        <v>#NUM!</v>
      </c>
      <c r="M31">
        <f>MAX(I39:I50)</f>
        <v>0</v>
      </c>
      <c r="N31" t="e">
        <f>_xlfn.STDEV.S(I39:I50)</f>
        <v>#DIV/0!</v>
      </c>
      <c r="P31">
        <f>AVERAGE(W31:W42)</f>
        <v>2</v>
      </c>
      <c r="Q31">
        <f>MEDIAN(W31:W42)</f>
        <v>2</v>
      </c>
      <c r="R31">
        <f>MAX(W31:W42)</f>
        <v>2</v>
      </c>
      <c r="S31" t="e">
        <f>_xlfn.STDEV.S(W31:W42)</f>
        <v>#DIV/0!</v>
      </c>
      <c r="W31" t="str">
        <f t="shared" ref="W31:W33" si="48">IF(AND(ISBLANK(Q4), ISBLANK(R4), ISBLANK(G4), ISBLANK(H4)), "", U4)</f>
        <v/>
      </c>
      <c r="Y31" t="str">
        <f t="shared" ref="Y31:Y42" si="49">IF(ISBLANK(Y4), IF(X4 = 0, "", (G4 + H4/3 + V4/9 + W4/3)), U4)</f>
        <v/>
      </c>
      <c r="AH31" t="s">
        <v>80</v>
      </c>
    </row>
    <row r="32" spans="1:66" x14ac:dyDescent="0.2">
      <c r="A32" t="s">
        <v>267</v>
      </c>
      <c r="D32" s="3"/>
      <c r="K32" t="s">
        <v>64</v>
      </c>
      <c r="P32" t="s">
        <v>149</v>
      </c>
      <c r="W32" t="str">
        <f t="shared" si="48"/>
        <v/>
      </c>
      <c r="Y32" t="str">
        <f t="shared" si="49"/>
        <v/>
      </c>
      <c r="AH32" t="s">
        <v>81</v>
      </c>
    </row>
    <row r="33" spans="1:34" x14ac:dyDescent="0.2">
      <c r="A33" t="s">
        <v>319</v>
      </c>
      <c r="D33" s="3"/>
      <c r="K33" t="s">
        <v>57</v>
      </c>
      <c r="L33" t="s">
        <v>58</v>
      </c>
      <c r="M33" t="s">
        <v>59</v>
      </c>
      <c r="N33" t="s">
        <v>60</v>
      </c>
      <c r="P33" t="s">
        <v>57</v>
      </c>
      <c r="Q33" t="s">
        <v>58</v>
      </c>
      <c r="R33" t="s">
        <v>59</v>
      </c>
      <c r="S33" t="s">
        <v>60</v>
      </c>
      <c r="W33" t="str">
        <f t="shared" si="48"/>
        <v/>
      </c>
      <c r="Y33" t="str">
        <f t="shared" si="49"/>
        <v/>
      </c>
      <c r="AH33" t="s">
        <v>82</v>
      </c>
    </row>
    <row r="34" spans="1:34" x14ac:dyDescent="0.2">
      <c r="D34" s="3"/>
      <c r="K34">
        <f>AVERAGE(K39:K50)</f>
        <v>8.3333333333333329E-2</v>
      </c>
      <c r="L34">
        <f>MEDIAN(K39:K50)</f>
        <v>0</v>
      </c>
      <c r="M34">
        <f>MAX(K39:K50)</f>
        <v>1</v>
      </c>
      <c r="N34">
        <f>_xlfn.STDEV.S(K39:K50)</f>
        <v>0.28867513459481287</v>
      </c>
      <c r="P34">
        <f>AVERAGE(Y31:Y42)</f>
        <v>0.66666666666666663</v>
      </c>
      <c r="Q34">
        <f>MEDIAN(Y31:Y42)</f>
        <v>0.66666666666666663</v>
      </c>
      <c r="R34">
        <f>MAX(Y31:Y42)</f>
        <v>0.66666666666666663</v>
      </c>
      <c r="S34" t="e">
        <f>_xlfn.STDEV.S(Y31:Y42)</f>
        <v>#DIV/0!</v>
      </c>
      <c r="W34" t="str">
        <f>IF(AND(ISBLANK(Q7), ISBLANK(R7), ISBLANK(G7), ISBLANK(H7)), "", U7)</f>
        <v/>
      </c>
      <c r="Y34" t="str">
        <f t="shared" si="49"/>
        <v/>
      </c>
      <c r="AH34" t="s">
        <v>83</v>
      </c>
    </row>
    <row r="35" spans="1:34" x14ac:dyDescent="0.2">
      <c r="P35" t="s">
        <v>95</v>
      </c>
      <c r="R35" t="s">
        <v>197</v>
      </c>
      <c r="W35" t="str">
        <f t="shared" ref="W35:W42" si="50">IF(AND(ISBLANK(Q8), ISBLANK(R8), ISBLANK(G8), ISBLANK(H8)), "", U8)</f>
        <v/>
      </c>
      <c r="Y35" t="str">
        <f t="shared" si="49"/>
        <v/>
      </c>
    </row>
    <row r="36" spans="1:34" x14ac:dyDescent="0.2">
      <c r="P36">
        <f>Q16/(Q16+R16)</f>
        <v>0</v>
      </c>
      <c r="R36">
        <f>R16/(Q16+R16)</f>
        <v>1</v>
      </c>
      <c r="W36">
        <f t="shared" si="50"/>
        <v>2</v>
      </c>
      <c r="Y36">
        <f t="shared" si="49"/>
        <v>0.66666666666666663</v>
      </c>
    </row>
    <row r="37" spans="1:34" x14ac:dyDescent="0.2">
      <c r="W37" t="str">
        <f t="shared" si="50"/>
        <v/>
      </c>
      <c r="Y37" t="str">
        <f t="shared" si="49"/>
        <v/>
      </c>
    </row>
    <row r="38" spans="1:34" x14ac:dyDescent="0.2">
      <c r="A38" t="s">
        <v>68</v>
      </c>
      <c r="C38" t="s">
        <v>69</v>
      </c>
      <c r="E38" t="s">
        <v>72</v>
      </c>
      <c r="G38" t="s">
        <v>250</v>
      </c>
      <c r="K38" t="s">
        <v>73</v>
      </c>
      <c r="M38" t="s">
        <v>70</v>
      </c>
      <c r="N38" t="s">
        <v>71</v>
      </c>
      <c r="O38" t="s">
        <v>199</v>
      </c>
      <c r="Q38" t="s">
        <v>200</v>
      </c>
      <c r="S38" t="s">
        <v>201</v>
      </c>
      <c r="W38" t="str">
        <f t="shared" si="50"/>
        <v/>
      </c>
      <c r="Y38" t="str">
        <f t="shared" si="49"/>
        <v/>
      </c>
    </row>
    <row r="39" spans="1:34" x14ac:dyDescent="0.2">
      <c r="A39">
        <f t="shared" ref="A39:A50" si="51">IF(ISBLANK(B4), "", SUM(AE16+AF16+AG16))</f>
        <v>0</v>
      </c>
      <c r="C39">
        <f t="shared" ref="C39:C50" si="52">IF(ISBLANK(B4), "", O4)</f>
        <v>3</v>
      </c>
      <c r="E39">
        <f t="shared" ref="E39:E50" si="53">IF(ISBLANK(B4), "", Q4)</f>
        <v>0</v>
      </c>
      <c r="G39">
        <f t="shared" ref="G39:G50" si="54">IF(ISBLANK(B4), "", R4)</f>
        <v>0</v>
      </c>
      <c r="K39">
        <f t="shared" ref="K39:K50" si="55">IF(ISBLANK(B4), "", SUM(Q4 + R4))</f>
        <v>0</v>
      </c>
      <c r="M39">
        <f t="shared" ref="M39:M50" si="56">IF(ISBLANK(B4), "", SUM(K4+M4) - O4)</f>
        <v>0</v>
      </c>
      <c r="N39">
        <f t="shared" ref="N39:N50" si="57">IF(ISBLANK(B4), "", U4)</f>
        <v>0</v>
      </c>
      <c r="O39">
        <f t="shared" ref="O39:O50" si="58">COUNTIF(E4, "1")*COUNTIF(F4, "1")</f>
        <v>0</v>
      </c>
      <c r="Q39">
        <f t="shared" ref="Q39:Q50" si="59">COUNTIF(D4, "1")*COUNTIF(F4, "")</f>
        <v>1</v>
      </c>
      <c r="S39">
        <f t="shared" ref="S39:S50" si="60">COUNTIF(E4, "1")*COUNTIF(F4, "")</f>
        <v>0</v>
      </c>
      <c r="W39" t="str">
        <f t="shared" si="50"/>
        <v/>
      </c>
      <c r="Y39" t="str">
        <f t="shared" si="49"/>
        <v/>
      </c>
    </row>
    <row r="40" spans="1:34" x14ac:dyDescent="0.2">
      <c r="A40">
        <f t="shared" si="51"/>
        <v>1</v>
      </c>
      <c r="C40">
        <f t="shared" si="52"/>
        <v>4</v>
      </c>
      <c r="E40">
        <f t="shared" si="53"/>
        <v>0</v>
      </c>
      <c r="G40">
        <f t="shared" si="54"/>
        <v>0</v>
      </c>
      <c r="K40">
        <f t="shared" si="55"/>
        <v>0</v>
      </c>
      <c r="M40">
        <f t="shared" si="56"/>
        <v>-1</v>
      </c>
      <c r="N40">
        <f t="shared" si="57"/>
        <v>0</v>
      </c>
      <c r="O40">
        <f t="shared" si="58"/>
        <v>0</v>
      </c>
      <c r="Q40">
        <f t="shared" si="59"/>
        <v>1</v>
      </c>
      <c r="S40">
        <f t="shared" si="60"/>
        <v>0</v>
      </c>
      <c r="W40" t="str">
        <f t="shared" si="50"/>
        <v/>
      </c>
      <c r="Y40" t="str">
        <f t="shared" si="49"/>
        <v/>
      </c>
    </row>
    <row r="41" spans="1:34" x14ac:dyDescent="0.2">
      <c r="A41">
        <f t="shared" si="51"/>
        <v>0</v>
      </c>
      <c r="C41">
        <f t="shared" si="52"/>
        <v>2</v>
      </c>
      <c r="E41">
        <f t="shared" si="53"/>
        <v>0</v>
      </c>
      <c r="G41">
        <f t="shared" si="54"/>
        <v>0</v>
      </c>
      <c r="K41">
        <f t="shared" si="55"/>
        <v>0</v>
      </c>
      <c r="M41">
        <f t="shared" si="56"/>
        <v>1</v>
      </c>
      <c r="N41">
        <f t="shared" si="57"/>
        <v>22</v>
      </c>
      <c r="O41">
        <f t="shared" si="58"/>
        <v>0</v>
      </c>
      <c r="Q41">
        <f t="shared" si="59"/>
        <v>1</v>
      </c>
      <c r="S41">
        <f t="shared" si="60"/>
        <v>1</v>
      </c>
      <c r="W41" t="str">
        <f t="shared" si="50"/>
        <v/>
      </c>
      <c r="Y41" t="str">
        <f t="shared" si="49"/>
        <v/>
      </c>
    </row>
    <row r="42" spans="1:34" x14ac:dyDescent="0.2">
      <c r="A42">
        <f t="shared" si="51"/>
        <v>4</v>
      </c>
      <c r="C42">
        <f t="shared" si="52"/>
        <v>0</v>
      </c>
      <c r="E42">
        <f t="shared" si="53"/>
        <v>0</v>
      </c>
      <c r="G42">
        <f t="shared" si="54"/>
        <v>0</v>
      </c>
      <c r="K42">
        <f t="shared" si="55"/>
        <v>0</v>
      </c>
      <c r="M42">
        <f t="shared" si="56"/>
        <v>2</v>
      </c>
      <c r="N42">
        <f t="shared" si="57"/>
        <v>0</v>
      </c>
      <c r="O42">
        <f t="shared" si="58"/>
        <v>0</v>
      </c>
      <c r="Q42">
        <f t="shared" si="59"/>
        <v>1</v>
      </c>
      <c r="S42">
        <f t="shared" si="60"/>
        <v>1</v>
      </c>
      <c r="W42" t="str">
        <f t="shared" si="50"/>
        <v/>
      </c>
      <c r="Y42" t="str">
        <f t="shared" si="49"/>
        <v/>
      </c>
    </row>
    <row r="43" spans="1:34" x14ac:dyDescent="0.2">
      <c r="A43">
        <f t="shared" si="51"/>
        <v>0</v>
      </c>
      <c r="C43">
        <f t="shared" si="52"/>
        <v>2</v>
      </c>
      <c r="E43">
        <f t="shared" si="53"/>
        <v>0</v>
      </c>
      <c r="G43">
        <f t="shared" si="54"/>
        <v>0</v>
      </c>
      <c r="K43">
        <f t="shared" si="55"/>
        <v>0</v>
      </c>
      <c r="M43">
        <f t="shared" si="56"/>
        <v>0</v>
      </c>
      <c r="N43">
        <f t="shared" si="57"/>
        <v>8</v>
      </c>
      <c r="O43">
        <f t="shared" si="58"/>
        <v>0</v>
      </c>
      <c r="Q43">
        <f t="shared" si="59"/>
        <v>1</v>
      </c>
      <c r="S43">
        <f t="shared" si="60"/>
        <v>0</v>
      </c>
    </row>
    <row r="44" spans="1:34" x14ac:dyDescent="0.2">
      <c r="A44">
        <f t="shared" si="51"/>
        <v>0</v>
      </c>
      <c r="C44">
        <f t="shared" si="52"/>
        <v>3</v>
      </c>
      <c r="E44">
        <f t="shared" si="53"/>
        <v>0</v>
      </c>
      <c r="G44">
        <f t="shared" si="54"/>
        <v>1</v>
      </c>
      <c r="K44">
        <f t="shared" si="55"/>
        <v>1</v>
      </c>
      <c r="M44">
        <f t="shared" si="56"/>
        <v>0</v>
      </c>
      <c r="N44">
        <f t="shared" si="57"/>
        <v>2</v>
      </c>
      <c r="O44">
        <f t="shared" si="58"/>
        <v>0</v>
      </c>
      <c r="Q44">
        <f t="shared" si="59"/>
        <v>1</v>
      </c>
      <c r="S44">
        <f t="shared" si="60"/>
        <v>1</v>
      </c>
    </row>
    <row r="45" spans="1:34" x14ac:dyDescent="0.2">
      <c r="A45">
        <f t="shared" si="51"/>
        <v>0</v>
      </c>
      <c r="C45">
        <f t="shared" si="52"/>
        <v>3</v>
      </c>
      <c r="E45">
        <f t="shared" si="53"/>
        <v>0</v>
      </c>
      <c r="G45">
        <f t="shared" si="54"/>
        <v>0</v>
      </c>
      <c r="K45">
        <f t="shared" si="55"/>
        <v>0</v>
      </c>
      <c r="M45">
        <f t="shared" si="56"/>
        <v>1</v>
      </c>
      <c r="N45">
        <f t="shared" si="57"/>
        <v>0</v>
      </c>
      <c r="O45">
        <f t="shared" si="58"/>
        <v>0</v>
      </c>
      <c r="Q45">
        <f t="shared" si="59"/>
        <v>1</v>
      </c>
      <c r="S45">
        <f t="shared" si="60"/>
        <v>0</v>
      </c>
    </row>
    <row r="46" spans="1:34" x14ac:dyDescent="0.2">
      <c r="A46">
        <f t="shared" si="51"/>
        <v>0</v>
      </c>
      <c r="C46">
        <f t="shared" si="52"/>
        <v>3</v>
      </c>
      <c r="E46">
        <f t="shared" si="53"/>
        <v>0</v>
      </c>
      <c r="G46">
        <f t="shared" si="54"/>
        <v>0</v>
      </c>
      <c r="K46">
        <f t="shared" si="55"/>
        <v>0</v>
      </c>
      <c r="M46">
        <f t="shared" si="56"/>
        <v>-1</v>
      </c>
      <c r="N46">
        <f t="shared" si="57"/>
        <v>0</v>
      </c>
      <c r="O46">
        <f t="shared" si="58"/>
        <v>0</v>
      </c>
      <c r="Q46">
        <f t="shared" si="59"/>
        <v>1</v>
      </c>
      <c r="S46">
        <f t="shared" si="60"/>
        <v>0</v>
      </c>
    </row>
    <row r="47" spans="1:34" x14ac:dyDescent="0.2">
      <c r="A47">
        <f t="shared" si="51"/>
        <v>0</v>
      </c>
      <c r="C47">
        <f t="shared" si="52"/>
        <v>5</v>
      </c>
      <c r="E47">
        <f t="shared" si="53"/>
        <v>0</v>
      </c>
      <c r="G47">
        <f t="shared" si="54"/>
        <v>0</v>
      </c>
      <c r="K47">
        <f t="shared" si="55"/>
        <v>0</v>
      </c>
      <c r="M47">
        <f t="shared" si="56"/>
        <v>-1</v>
      </c>
      <c r="N47">
        <f t="shared" si="57"/>
        <v>0</v>
      </c>
      <c r="O47">
        <f t="shared" si="58"/>
        <v>0</v>
      </c>
      <c r="Q47">
        <f t="shared" si="59"/>
        <v>1</v>
      </c>
      <c r="S47">
        <f t="shared" si="60"/>
        <v>0</v>
      </c>
    </row>
    <row r="48" spans="1:34" x14ac:dyDescent="0.2">
      <c r="A48">
        <f t="shared" si="51"/>
        <v>0</v>
      </c>
      <c r="C48">
        <f t="shared" si="52"/>
        <v>4</v>
      </c>
      <c r="E48">
        <f t="shared" si="53"/>
        <v>0</v>
      </c>
      <c r="G48">
        <f t="shared" si="54"/>
        <v>0</v>
      </c>
      <c r="K48">
        <f t="shared" si="55"/>
        <v>0</v>
      </c>
      <c r="M48">
        <f t="shared" si="56"/>
        <v>0</v>
      </c>
      <c r="N48">
        <f t="shared" si="57"/>
        <v>36</v>
      </c>
      <c r="O48">
        <f t="shared" si="58"/>
        <v>1</v>
      </c>
      <c r="Q48">
        <f t="shared" si="59"/>
        <v>0</v>
      </c>
      <c r="S48">
        <f t="shared" si="60"/>
        <v>0</v>
      </c>
    </row>
    <row r="49" spans="1:19" x14ac:dyDescent="0.2">
      <c r="A49">
        <f t="shared" si="51"/>
        <v>0</v>
      </c>
      <c r="C49">
        <f t="shared" si="52"/>
        <v>5</v>
      </c>
      <c r="E49">
        <f t="shared" si="53"/>
        <v>0</v>
      </c>
      <c r="G49">
        <f t="shared" si="54"/>
        <v>0</v>
      </c>
      <c r="K49">
        <f t="shared" si="55"/>
        <v>0</v>
      </c>
      <c r="M49">
        <f t="shared" si="56"/>
        <v>0</v>
      </c>
      <c r="N49">
        <f t="shared" si="57"/>
        <v>5</v>
      </c>
      <c r="O49">
        <f t="shared" si="58"/>
        <v>0</v>
      </c>
      <c r="Q49">
        <f t="shared" si="59"/>
        <v>1</v>
      </c>
      <c r="S49">
        <f t="shared" si="60"/>
        <v>0</v>
      </c>
    </row>
    <row r="50" spans="1:19" x14ac:dyDescent="0.2">
      <c r="A50">
        <f t="shared" si="51"/>
        <v>0</v>
      </c>
      <c r="C50">
        <f t="shared" si="52"/>
        <v>2</v>
      </c>
      <c r="E50">
        <f t="shared" si="53"/>
        <v>0</v>
      </c>
      <c r="G50">
        <f t="shared" si="54"/>
        <v>0</v>
      </c>
      <c r="K50">
        <f t="shared" si="55"/>
        <v>0</v>
      </c>
      <c r="M50">
        <f t="shared" si="56"/>
        <v>1</v>
      </c>
      <c r="N50">
        <f t="shared" si="57"/>
        <v>6</v>
      </c>
      <c r="O50">
        <f t="shared" si="58"/>
        <v>0</v>
      </c>
      <c r="Q50">
        <f t="shared" si="59"/>
        <v>0</v>
      </c>
      <c r="S50">
        <f t="shared" si="60"/>
        <v>0</v>
      </c>
    </row>
  </sheetData>
  <pageMargins left="0.7" right="0.7" top="0.75" bottom="0.75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 enableFormatConditionsCalculation="0"/>
  <dimension ref="A1:BN50"/>
  <sheetViews>
    <sheetView topLeftCell="C1" workbookViewId="0">
      <selection activeCell="U15" sqref="U15"/>
    </sheetView>
  </sheetViews>
  <sheetFormatPr baseColWidth="10" defaultColWidth="11.5" defaultRowHeight="15" x14ac:dyDescent="0.2"/>
  <sheetData>
    <row r="1" spans="1:66" x14ac:dyDescent="0.2">
      <c r="A1" s="1" t="s">
        <v>0</v>
      </c>
      <c r="D1" t="s">
        <v>3</v>
      </c>
      <c r="K1" t="s">
        <v>11</v>
      </c>
      <c r="N1" t="s">
        <v>12</v>
      </c>
      <c r="P1" t="s">
        <v>14</v>
      </c>
      <c r="Q1" t="s">
        <v>17</v>
      </c>
      <c r="S1" t="s">
        <v>18</v>
      </c>
      <c r="Z1" t="s">
        <v>29</v>
      </c>
      <c r="AE1" t="s">
        <v>30</v>
      </c>
      <c r="AK1" t="s">
        <v>42</v>
      </c>
    </row>
    <row r="2" spans="1:66" x14ac:dyDescent="0.2">
      <c r="A2" t="s">
        <v>1</v>
      </c>
      <c r="B2" t="s">
        <v>1</v>
      </c>
      <c r="C2" t="s">
        <v>87</v>
      </c>
      <c r="D2" t="s">
        <v>54</v>
      </c>
      <c r="E2" t="s">
        <v>13</v>
      </c>
      <c r="F2" t="s">
        <v>198</v>
      </c>
      <c r="G2" t="s">
        <v>7</v>
      </c>
      <c r="H2" t="s">
        <v>8</v>
      </c>
      <c r="I2" t="s">
        <v>179</v>
      </c>
      <c r="J2" t="s">
        <v>178</v>
      </c>
      <c r="K2" t="s">
        <v>9</v>
      </c>
      <c r="L2" t="s">
        <v>196</v>
      </c>
      <c r="M2" t="s">
        <v>10</v>
      </c>
      <c r="N2" t="s">
        <v>54</v>
      </c>
      <c r="O2" t="s">
        <v>13</v>
      </c>
      <c r="P2" t="s">
        <v>15</v>
      </c>
      <c r="Q2" t="s">
        <v>8</v>
      </c>
      <c r="R2" t="s">
        <v>7</v>
      </c>
      <c r="S2" t="s">
        <v>181</v>
      </c>
      <c r="T2" t="s">
        <v>182</v>
      </c>
      <c r="U2" t="s">
        <v>19</v>
      </c>
      <c r="V2" t="s">
        <v>191</v>
      </c>
      <c r="W2" t="s">
        <v>192</v>
      </c>
      <c r="X2" t="s">
        <v>175</v>
      </c>
      <c r="Y2" t="s">
        <v>173</v>
      </c>
      <c r="Z2" t="str">
        <f t="shared" ref="Z2:Z13" si="0">LEFT(I4, 1)</f>
        <v/>
      </c>
      <c r="AA2" t="str">
        <f t="shared" ref="AA2:AA13" si="1">MID(I4, 4, 1)</f>
        <v/>
      </c>
      <c r="AB2" t="str">
        <f t="shared" ref="AB2:AB13" si="2">MID(I4, 7, 1)</f>
        <v/>
      </c>
      <c r="AC2" t="str">
        <f t="shared" ref="AC2:AC13" si="3">MID(I4, 10, 1)</f>
        <v/>
      </c>
      <c r="AE2" t="str">
        <f t="shared" ref="AE2:AE13" si="4">LEFT(J4, 1)</f>
        <v>2</v>
      </c>
      <c r="AF2" t="str">
        <f t="shared" ref="AF2:AF13" si="5">MID(J4, 4, 1)</f>
        <v/>
      </c>
      <c r="AG2" t="str">
        <f t="shared" ref="AG2:AG13" si="6">MID(J4, 7, 1)</f>
        <v/>
      </c>
      <c r="AH2" t="str">
        <f t="shared" ref="AH2:AH13" si="7">MID(J4, 10, 1)</f>
        <v/>
      </c>
      <c r="AI2" t="str">
        <f t="shared" ref="AI2:AI13" si="8">MID(J4, 13, 1)</f>
        <v/>
      </c>
      <c r="AK2" t="str">
        <f t="shared" ref="AK2:AK13" si="9">LEFT(P4, 2)</f>
        <v/>
      </c>
      <c r="AL2" t="str">
        <f>MID($P4, 5, 2)</f>
        <v/>
      </c>
      <c r="AM2" t="str">
        <f t="shared" ref="AM2:AM13" si="10">MID($P4, 9, 2)</f>
        <v/>
      </c>
      <c r="AN2" t="str">
        <f t="shared" ref="AN2:AN13" si="11">MID($P4, 13, 2)</f>
        <v/>
      </c>
      <c r="AO2" t="str">
        <f t="shared" ref="AO2:AO13" si="12">MID($P4, 17, 2)</f>
        <v/>
      </c>
      <c r="AP2" t="str">
        <f t="shared" ref="AP2:AP13" si="13">MID($P4, 21, 2)</f>
        <v/>
      </c>
      <c r="AQ2" t="str">
        <f t="shared" ref="AQ2:AQ13" si="14">MID($P4, 25, 2)</f>
        <v/>
      </c>
      <c r="AR2" t="str">
        <f t="shared" ref="AR2:AR13" si="15">MID($P4, 29, 2)</f>
        <v/>
      </c>
      <c r="AS2" t="str">
        <f t="shared" ref="AS2:AS13" si="16">MID($P4, 33, 2)</f>
        <v/>
      </c>
      <c r="AT2" t="str">
        <f t="shared" ref="AT2:AT13" si="17">MID($P4, 37, 2)</f>
        <v/>
      </c>
      <c r="AU2" t="str">
        <f t="shared" ref="AU2:AU13" si="18">MID($P4, 41, 2)</f>
        <v/>
      </c>
      <c r="AV2" t="str">
        <f t="shared" ref="AV2:AV13" si="19">MID($P4, 45, 2)</f>
        <v/>
      </c>
      <c r="AW2" t="str">
        <f t="shared" ref="AW2:AW13" si="20">MID($P4, 49, 2)</f>
        <v/>
      </c>
      <c r="AX2" t="str">
        <f t="shared" ref="AX2:AX13" si="21">MID($P4, 53, 2)</f>
        <v/>
      </c>
      <c r="AY2" t="str">
        <f t="shared" ref="AY2:AY13" si="22">MID($P4, 57, 2)</f>
        <v/>
      </c>
      <c r="AZ2" t="str">
        <f t="shared" ref="AZ2:AZ13" si="23">MID($P4, 61, 2)</f>
        <v/>
      </c>
      <c r="BA2" t="str">
        <f t="shared" ref="BA2:BA13" si="24">MID($P4, 65, 2)</f>
        <v/>
      </c>
      <c r="BB2" t="str">
        <f t="shared" ref="BB2:BB13" si="25">MID($P4, 69, 2)</f>
        <v/>
      </c>
      <c r="BC2" t="str">
        <f t="shared" ref="BC2:BC13" si="26">MID($P4, 73, 2)</f>
        <v/>
      </c>
      <c r="BD2" t="str">
        <f t="shared" ref="BD2:BD13" si="27">MID($P4, 77, 2)</f>
        <v/>
      </c>
      <c r="BE2" t="str">
        <f t="shared" ref="BE2:BE13" si="28">MID($P4, 81, 2)</f>
        <v/>
      </c>
      <c r="BF2" t="str">
        <f t="shared" ref="BF2:BF13" si="29">MID($P4, 85, 2)</f>
        <v/>
      </c>
      <c r="BG2" t="str">
        <f t="shared" ref="BG2:BG13" si="30">MID($P4, 89, 2)</f>
        <v/>
      </c>
      <c r="BH2" t="str">
        <f t="shared" ref="BH2:BH13" si="31">MID($P4, 93, 2)</f>
        <v/>
      </c>
    </row>
    <row r="3" spans="1:66" x14ac:dyDescent="0.2">
      <c r="A3" t="s">
        <v>2</v>
      </c>
      <c r="B3" t="s">
        <v>6</v>
      </c>
      <c r="C3" t="s">
        <v>88</v>
      </c>
      <c r="D3" t="s">
        <v>6</v>
      </c>
      <c r="E3" t="s">
        <v>6</v>
      </c>
      <c r="F3" t="s">
        <v>4</v>
      </c>
      <c r="G3" t="s">
        <v>6</v>
      </c>
      <c r="H3" t="s">
        <v>6</v>
      </c>
      <c r="I3" t="s">
        <v>86</v>
      </c>
      <c r="J3" t="s">
        <v>86</v>
      </c>
      <c r="K3" t="s">
        <v>6</v>
      </c>
      <c r="L3" t="s">
        <v>6</v>
      </c>
      <c r="M3" t="s">
        <v>6</v>
      </c>
      <c r="N3" t="s">
        <v>6</v>
      </c>
      <c r="O3" t="s">
        <v>6</v>
      </c>
      <c r="P3" t="s">
        <v>16</v>
      </c>
      <c r="Q3" t="s">
        <v>6</v>
      </c>
      <c r="R3" t="s">
        <v>6</v>
      </c>
      <c r="S3" t="s">
        <v>4</v>
      </c>
      <c r="T3" t="s">
        <v>4</v>
      </c>
      <c r="U3" t="s">
        <v>6</v>
      </c>
      <c r="V3" t="s">
        <v>6</v>
      </c>
      <c r="W3" t="s">
        <v>6</v>
      </c>
      <c r="X3" t="s">
        <v>6</v>
      </c>
      <c r="Y3" t="s">
        <v>174</v>
      </c>
      <c r="Z3" t="str">
        <f t="shared" si="0"/>
        <v/>
      </c>
      <c r="AA3" t="str">
        <f t="shared" si="1"/>
        <v/>
      </c>
      <c r="AB3" t="str">
        <f t="shared" si="2"/>
        <v/>
      </c>
      <c r="AC3" t="str">
        <f t="shared" si="3"/>
        <v/>
      </c>
      <c r="AE3" t="str">
        <f t="shared" si="4"/>
        <v/>
      </c>
      <c r="AF3" t="str">
        <f t="shared" si="5"/>
        <v/>
      </c>
      <c r="AG3" t="str">
        <f t="shared" si="6"/>
        <v/>
      </c>
      <c r="AH3" t="str">
        <f t="shared" si="7"/>
        <v/>
      </c>
      <c r="AI3" t="str">
        <f t="shared" si="8"/>
        <v/>
      </c>
      <c r="AK3" t="str">
        <f t="shared" si="9"/>
        <v/>
      </c>
      <c r="AL3" t="str">
        <f t="shared" ref="AL3:AL13" si="32">MID(P5, 5, 2)</f>
        <v/>
      </c>
      <c r="AM3" t="str">
        <f t="shared" si="10"/>
        <v/>
      </c>
      <c r="AN3" t="str">
        <f t="shared" si="11"/>
        <v/>
      </c>
      <c r="AO3" t="str">
        <f t="shared" si="12"/>
        <v/>
      </c>
      <c r="AP3" t="str">
        <f t="shared" si="13"/>
        <v/>
      </c>
      <c r="AQ3" t="str">
        <f t="shared" si="14"/>
        <v/>
      </c>
      <c r="AR3" t="str">
        <f t="shared" si="15"/>
        <v/>
      </c>
      <c r="AS3" t="str">
        <f t="shared" si="16"/>
        <v/>
      </c>
      <c r="AT3" t="str">
        <f t="shared" si="17"/>
        <v/>
      </c>
      <c r="AU3" t="str">
        <f t="shared" si="18"/>
        <v/>
      </c>
      <c r="AV3" t="str">
        <f t="shared" si="19"/>
        <v/>
      </c>
      <c r="AW3" t="str">
        <f t="shared" si="20"/>
        <v/>
      </c>
      <c r="AX3" t="str">
        <f t="shared" si="21"/>
        <v/>
      </c>
      <c r="AY3" t="str">
        <f t="shared" si="22"/>
        <v/>
      </c>
      <c r="AZ3" t="str">
        <f t="shared" si="23"/>
        <v/>
      </c>
      <c r="BA3" t="str">
        <f t="shared" si="24"/>
        <v/>
      </c>
      <c r="BB3" t="str">
        <f t="shared" si="25"/>
        <v/>
      </c>
      <c r="BC3" t="str">
        <f t="shared" si="26"/>
        <v/>
      </c>
      <c r="BD3" t="str">
        <f t="shared" si="27"/>
        <v/>
      </c>
      <c r="BE3" t="str">
        <f t="shared" si="28"/>
        <v/>
      </c>
      <c r="BF3" t="str">
        <f t="shared" si="29"/>
        <v/>
      </c>
      <c r="BG3" t="str">
        <f t="shared" si="30"/>
        <v/>
      </c>
      <c r="BH3" t="str">
        <f t="shared" si="31"/>
        <v/>
      </c>
    </row>
    <row r="4" spans="1:66" x14ac:dyDescent="0.2">
      <c r="A4">
        <v>1</v>
      </c>
      <c r="B4">
        <v>7</v>
      </c>
      <c r="C4" t="s">
        <v>39</v>
      </c>
      <c r="D4">
        <v>1</v>
      </c>
      <c r="J4">
        <v>2</v>
      </c>
      <c r="K4">
        <v>3</v>
      </c>
      <c r="L4">
        <v>1</v>
      </c>
      <c r="N4">
        <v>2</v>
      </c>
      <c r="O4">
        <v>2</v>
      </c>
      <c r="S4">
        <v>1</v>
      </c>
      <c r="T4">
        <v>1</v>
      </c>
      <c r="X4">
        <f t="shared" ref="X4:X15" si="33">G4+H4+Q4+R4</f>
        <v>0</v>
      </c>
      <c r="Z4" t="str">
        <f t="shared" si="0"/>
        <v/>
      </c>
      <c r="AA4" t="str">
        <f t="shared" si="1"/>
        <v/>
      </c>
      <c r="AB4" t="str">
        <f t="shared" si="2"/>
        <v/>
      </c>
      <c r="AC4" t="str">
        <f t="shared" si="3"/>
        <v/>
      </c>
      <c r="AE4" t="str">
        <f t="shared" si="4"/>
        <v/>
      </c>
      <c r="AF4" t="str">
        <f t="shared" si="5"/>
        <v/>
      </c>
      <c r="AG4" t="str">
        <f t="shared" si="6"/>
        <v/>
      </c>
      <c r="AH4" t="str">
        <f t="shared" si="7"/>
        <v/>
      </c>
      <c r="AI4" t="str">
        <f t="shared" si="8"/>
        <v/>
      </c>
      <c r="AK4" t="str">
        <f t="shared" si="9"/>
        <v/>
      </c>
      <c r="AL4" t="str">
        <f t="shared" si="32"/>
        <v/>
      </c>
      <c r="AM4" t="str">
        <f t="shared" si="10"/>
        <v/>
      </c>
      <c r="AN4" t="str">
        <f t="shared" si="11"/>
        <v/>
      </c>
      <c r="AO4" t="str">
        <f t="shared" si="12"/>
        <v/>
      </c>
      <c r="AP4" t="str">
        <f t="shared" si="13"/>
        <v/>
      </c>
      <c r="AQ4" t="str">
        <f t="shared" si="14"/>
        <v/>
      </c>
      <c r="AR4" t="str">
        <f t="shared" si="15"/>
        <v/>
      </c>
      <c r="AS4" t="str">
        <f t="shared" si="16"/>
        <v/>
      </c>
      <c r="AT4" t="str">
        <f t="shared" si="17"/>
        <v/>
      </c>
      <c r="AU4" t="str">
        <f t="shared" si="18"/>
        <v/>
      </c>
      <c r="AV4" t="str">
        <f t="shared" si="19"/>
        <v/>
      </c>
      <c r="AW4" t="str">
        <f t="shared" si="20"/>
        <v/>
      </c>
      <c r="AX4" t="str">
        <f t="shared" si="21"/>
        <v/>
      </c>
      <c r="AY4" t="str">
        <f t="shared" si="22"/>
        <v/>
      </c>
      <c r="AZ4" t="str">
        <f t="shared" si="23"/>
        <v/>
      </c>
      <c r="BA4" t="str">
        <f t="shared" si="24"/>
        <v/>
      </c>
      <c r="BB4" t="str">
        <f t="shared" si="25"/>
        <v/>
      </c>
      <c r="BC4" t="str">
        <f t="shared" si="26"/>
        <v/>
      </c>
      <c r="BD4" t="str">
        <f t="shared" si="27"/>
        <v/>
      </c>
      <c r="BE4" t="str">
        <f t="shared" si="28"/>
        <v/>
      </c>
      <c r="BF4" t="str">
        <f t="shared" si="29"/>
        <v/>
      </c>
      <c r="BG4" t="str">
        <f t="shared" si="30"/>
        <v/>
      </c>
      <c r="BH4" t="str">
        <f t="shared" si="31"/>
        <v/>
      </c>
    </row>
    <row r="5" spans="1:66" x14ac:dyDescent="0.2">
      <c r="A5">
        <v>2</v>
      </c>
      <c r="B5">
        <v>12</v>
      </c>
      <c r="C5" t="s">
        <v>207</v>
      </c>
      <c r="D5">
        <v>1</v>
      </c>
      <c r="E5">
        <v>1</v>
      </c>
      <c r="K5">
        <v>2</v>
      </c>
      <c r="L5">
        <v>3</v>
      </c>
      <c r="N5">
        <v>2</v>
      </c>
      <c r="O5">
        <v>1</v>
      </c>
      <c r="S5">
        <v>1</v>
      </c>
      <c r="T5">
        <v>1</v>
      </c>
      <c r="X5">
        <f t="shared" si="33"/>
        <v>0</v>
      </c>
      <c r="Z5" t="str">
        <f t="shared" si="0"/>
        <v/>
      </c>
      <c r="AA5" t="str">
        <f t="shared" si="1"/>
        <v/>
      </c>
      <c r="AB5" t="str">
        <f t="shared" si="2"/>
        <v/>
      </c>
      <c r="AC5" t="str">
        <f t="shared" si="3"/>
        <v/>
      </c>
      <c r="AE5" t="str">
        <f t="shared" si="4"/>
        <v/>
      </c>
      <c r="AF5" t="str">
        <f t="shared" si="5"/>
        <v/>
      </c>
      <c r="AG5" t="str">
        <f t="shared" si="6"/>
        <v/>
      </c>
      <c r="AH5" t="str">
        <f t="shared" si="7"/>
        <v/>
      </c>
      <c r="AI5" t="str">
        <f t="shared" si="8"/>
        <v/>
      </c>
      <c r="AK5" t="str">
        <f t="shared" si="9"/>
        <v/>
      </c>
      <c r="AL5" t="str">
        <f t="shared" si="32"/>
        <v/>
      </c>
      <c r="AM5" t="str">
        <f t="shared" si="10"/>
        <v/>
      </c>
      <c r="AN5" t="str">
        <f t="shared" si="11"/>
        <v/>
      </c>
      <c r="AO5" t="str">
        <f t="shared" si="12"/>
        <v/>
      </c>
      <c r="AP5" t="str">
        <f t="shared" si="13"/>
        <v/>
      </c>
      <c r="AQ5" t="str">
        <f t="shared" si="14"/>
        <v/>
      </c>
      <c r="AR5" t="str">
        <f t="shared" si="15"/>
        <v/>
      </c>
      <c r="AS5" t="str">
        <f t="shared" si="16"/>
        <v/>
      </c>
      <c r="AT5" t="str">
        <f t="shared" si="17"/>
        <v/>
      </c>
      <c r="AU5" t="str">
        <f t="shared" si="18"/>
        <v/>
      </c>
      <c r="AV5" t="str">
        <f t="shared" si="19"/>
        <v/>
      </c>
      <c r="AW5" t="str">
        <f t="shared" si="20"/>
        <v/>
      </c>
      <c r="AX5" t="str">
        <f t="shared" si="21"/>
        <v/>
      </c>
      <c r="AY5" t="str">
        <f t="shared" si="22"/>
        <v/>
      </c>
      <c r="AZ5" t="str">
        <f t="shared" si="23"/>
        <v/>
      </c>
      <c r="BA5" t="str">
        <f t="shared" si="24"/>
        <v/>
      </c>
      <c r="BB5" t="str">
        <f t="shared" si="25"/>
        <v/>
      </c>
      <c r="BC5" t="str">
        <f t="shared" si="26"/>
        <v/>
      </c>
      <c r="BD5" t="str">
        <f t="shared" si="27"/>
        <v/>
      </c>
      <c r="BE5" t="str">
        <f t="shared" si="28"/>
        <v/>
      </c>
      <c r="BF5" t="str">
        <f t="shared" si="29"/>
        <v/>
      </c>
      <c r="BG5" t="str">
        <f t="shared" si="30"/>
        <v/>
      </c>
      <c r="BH5" t="str">
        <f t="shared" si="31"/>
        <v/>
      </c>
    </row>
    <row r="6" spans="1:66" x14ac:dyDescent="0.2">
      <c r="A6">
        <v>3</v>
      </c>
      <c r="B6">
        <v>29</v>
      </c>
      <c r="C6" t="s">
        <v>39</v>
      </c>
      <c r="D6">
        <v>1</v>
      </c>
      <c r="E6">
        <v>1</v>
      </c>
      <c r="K6">
        <v>3</v>
      </c>
      <c r="N6">
        <v>3</v>
      </c>
      <c r="O6">
        <v>3</v>
      </c>
      <c r="S6">
        <v>1</v>
      </c>
      <c r="T6">
        <v>1</v>
      </c>
      <c r="U6">
        <v>23</v>
      </c>
      <c r="X6">
        <f t="shared" si="33"/>
        <v>0</v>
      </c>
      <c r="Z6" t="str">
        <f t="shared" si="0"/>
        <v/>
      </c>
      <c r="AA6" t="str">
        <f t="shared" si="1"/>
        <v/>
      </c>
      <c r="AB6" t="str">
        <f t="shared" si="2"/>
        <v/>
      </c>
      <c r="AC6" t="str">
        <f t="shared" si="3"/>
        <v/>
      </c>
      <c r="AE6" t="str">
        <f t="shared" si="4"/>
        <v/>
      </c>
      <c r="AF6" t="str">
        <f t="shared" si="5"/>
        <v/>
      </c>
      <c r="AG6" t="str">
        <f t="shared" si="6"/>
        <v/>
      </c>
      <c r="AH6" t="str">
        <f t="shared" si="7"/>
        <v/>
      </c>
      <c r="AI6" t="str">
        <f t="shared" si="8"/>
        <v/>
      </c>
      <c r="AK6" t="str">
        <f t="shared" si="9"/>
        <v/>
      </c>
      <c r="AL6" t="str">
        <f t="shared" si="32"/>
        <v/>
      </c>
      <c r="AM6" t="str">
        <f t="shared" si="10"/>
        <v/>
      </c>
      <c r="AN6" t="str">
        <f t="shared" si="11"/>
        <v/>
      </c>
      <c r="AO6" t="str">
        <f t="shared" si="12"/>
        <v/>
      </c>
      <c r="AP6" t="str">
        <f t="shared" si="13"/>
        <v/>
      </c>
      <c r="AQ6" t="str">
        <f t="shared" si="14"/>
        <v/>
      </c>
      <c r="AR6" t="str">
        <f t="shared" si="15"/>
        <v/>
      </c>
      <c r="AS6" t="str">
        <f t="shared" si="16"/>
        <v/>
      </c>
      <c r="AT6" t="str">
        <f t="shared" si="17"/>
        <v/>
      </c>
      <c r="AU6" t="str">
        <f t="shared" si="18"/>
        <v/>
      </c>
      <c r="AV6" t="str">
        <f t="shared" si="19"/>
        <v/>
      </c>
      <c r="AW6" t="str">
        <f t="shared" si="20"/>
        <v/>
      </c>
      <c r="AX6" t="str">
        <f t="shared" si="21"/>
        <v/>
      </c>
      <c r="AY6" t="str">
        <f t="shared" si="22"/>
        <v/>
      </c>
      <c r="AZ6" t="str">
        <f t="shared" si="23"/>
        <v/>
      </c>
      <c r="BA6" t="str">
        <f t="shared" si="24"/>
        <v/>
      </c>
      <c r="BB6" t="str">
        <f t="shared" si="25"/>
        <v/>
      </c>
      <c r="BC6" t="str">
        <f t="shared" si="26"/>
        <v/>
      </c>
      <c r="BD6" t="str">
        <f t="shared" si="27"/>
        <v/>
      </c>
      <c r="BE6" t="str">
        <f t="shared" si="28"/>
        <v/>
      </c>
      <c r="BF6" t="str">
        <f t="shared" si="29"/>
        <v/>
      </c>
      <c r="BG6" t="str">
        <f t="shared" si="30"/>
        <v/>
      </c>
      <c r="BH6" t="str">
        <f t="shared" si="31"/>
        <v/>
      </c>
    </row>
    <row r="7" spans="1:66" x14ac:dyDescent="0.2">
      <c r="A7">
        <v>4</v>
      </c>
      <c r="B7">
        <v>35</v>
      </c>
      <c r="C7" t="s">
        <v>39</v>
      </c>
      <c r="D7">
        <v>1</v>
      </c>
      <c r="F7">
        <v>1</v>
      </c>
      <c r="K7">
        <v>1</v>
      </c>
      <c r="L7">
        <v>1</v>
      </c>
      <c r="N7">
        <v>1</v>
      </c>
      <c r="O7">
        <v>1</v>
      </c>
      <c r="S7">
        <v>1</v>
      </c>
      <c r="T7">
        <v>1</v>
      </c>
      <c r="U7">
        <v>4</v>
      </c>
      <c r="X7">
        <f t="shared" si="33"/>
        <v>0</v>
      </c>
      <c r="Z7" t="str">
        <f t="shared" si="0"/>
        <v/>
      </c>
      <c r="AA7" t="str">
        <f t="shared" si="1"/>
        <v/>
      </c>
      <c r="AB7" t="str">
        <f t="shared" si="2"/>
        <v/>
      </c>
      <c r="AC7" t="str">
        <f t="shared" si="3"/>
        <v/>
      </c>
      <c r="AE7" t="str">
        <f t="shared" si="4"/>
        <v/>
      </c>
      <c r="AF7" t="str">
        <f t="shared" si="5"/>
        <v/>
      </c>
      <c r="AG7" t="str">
        <f t="shared" si="6"/>
        <v/>
      </c>
      <c r="AH7" t="str">
        <f t="shared" si="7"/>
        <v/>
      </c>
      <c r="AI7" t="str">
        <f t="shared" si="8"/>
        <v/>
      </c>
      <c r="AK7" t="str">
        <f t="shared" si="9"/>
        <v/>
      </c>
      <c r="AL7" t="str">
        <f t="shared" si="32"/>
        <v/>
      </c>
      <c r="AM7" t="str">
        <f t="shared" si="10"/>
        <v/>
      </c>
      <c r="AN7" t="str">
        <f t="shared" si="11"/>
        <v/>
      </c>
      <c r="AO7" t="str">
        <f t="shared" si="12"/>
        <v/>
      </c>
      <c r="AP7" t="str">
        <f t="shared" si="13"/>
        <v/>
      </c>
      <c r="AQ7" t="str">
        <f t="shared" si="14"/>
        <v/>
      </c>
      <c r="AR7" t="str">
        <f t="shared" si="15"/>
        <v/>
      </c>
      <c r="AS7" t="str">
        <f t="shared" si="16"/>
        <v/>
      </c>
      <c r="AT7" t="str">
        <f t="shared" si="17"/>
        <v/>
      </c>
      <c r="AU7" t="str">
        <f t="shared" si="18"/>
        <v/>
      </c>
      <c r="AV7" t="str">
        <f t="shared" si="19"/>
        <v/>
      </c>
      <c r="AW7" t="str">
        <f t="shared" si="20"/>
        <v/>
      </c>
      <c r="AX7" t="str">
        <f t="shared" si="21"/>
        <v/>
      </c>
      <c r="AY7" t="str">
        <f t="shared" si="22"/>
        <v/>
      </c>
      <c r="AZ7" t="str">
        <f t="shared" si="23"/>
        <v/>
      </c>
      <c r="BA7" t="str">
        <f t="shared" si="24"/>
        <v/>
      </c>
      <c r="BB7" t="str">
        <f t="shared" si="25"/>
        <v/>
      </c>
      <c r="BC7" t="str">
        <f t="shared" si="26"/>
        <v/>
      </c>
      <c r="BD7" t="str">
        <f t="shared" si="27"/>
        <v/>
      </c>
      <c r="BE7" t="str">
        <f t="shared" si="28"/>
        <v/>
      </c>
      <c r="BF7" t="str">
        <f t="shared" si="29"/>
        <v/>
      </c>
      <c r="BG7" t="str">
        <f t="shared" si="30"/>
        <v/>
      </c>
      <c r="BH7" t="str">
        <f t="shared" si="31"/>
        <v/>
      </c>
    </row>
    <row r="8" spans="1:66" x14ac:dyDescent="0.2">
      <c r="A8">
        <v>5</v>
      </c>
      <c r="B8">
        <v>41</v>
      </c>
      <c r="C8" t="s">
        <v>207</v>
      </c>
      <c r="D8">
        <v>1</v>
      </c>
      <c r="K8">
        <v>4</v>
      </c>
      <c r="N8">
        <v>3</v>
      </c>
      <c r="O8">
        <v>3</v>
      </c>
      <c r="S8">
        <v>1</v>
      </c>
      <c r="T8">
        <v>1</v>
      </c>
      <c r="X8">
        <f t="shared" si="33"/>
        <v>0</v>
      </c>
      <c r="Z8" t="str">
        <f t="shared" si="0"/>
        <v/>
      </c>
      <c r="AA8" t="str">
        <f t="shared" si="1"/>
        <v/>
      </c>
      <c r="AB8" t="str">
        <f t="shared" si="2"/>
        <v/>
      </c>
      <c r="AC8" t="str">
        <f t="shared" si="3"/>
        <v/>
      </c>
      <c r="AE8" t="str">
        <f t="shared" si="4"/>
        <v/>
      </c>
      <c r="AF8" t="str">
        <f t="shared" si="5"/>
        <v/>
      </c>
      <c r="AG8" t="str">
        <f t="shared" si="6"/>
        <v/>
      </c>
      <c r="AH8" t="str">
        <f t="shared" si="7"/>
        <v/>
      </c>
      <c r="AI8" t="str">
        <f t="shared" si="8"/>
        <v/>
      </c>
      <c r="AK8" t="str">
        <f t="shared" si="9"/>
        <v/>
      </c>
      <c r="AL8" t="str">
        <f t="shared" si="32"/>
        <v/>
      </c>
      <c r="AM8" t="str">
        <f t="shared" si="10"/>
        <v/>
      </c>
      <c r="AN8" t="str">
        <f t="shared" si="11"/>
        <v/>
      </c>
      <c r="AO8" t="str">
        <f t="shared" si="12"/>
        <v/>
      </c>
      <c r="AP8" t="str">
        <f t="shared" si="13"/>
        <v/>
      </c>
      <c r="AQ8" t="str">
        <f t="shared" si="14"/>
        <v/>
      </c>
      <c r="AR8" t="str">
        <f t="shared" si="15"/>
        <v/>
      </c>
      <c r="AS8" t="str">
        <f t="shared" si="16"/>
        <v/>
      </c>
      <c r="AT8" t="str">
        <f t="shared" si="17"/>
        <v/>
      </c>
      <c r="AU8" t="str">
        <f t="shared" si="18"/>
        <v/>
      </c>
      <c r="AV8" t="str">
        <f t="shared" si="19"/>
        <v/>
      </c>
      <c r="AW8" t="str">
        <f t="shared" si="20"/>
        <v/>
      </c>
      <c r="AX8" t="str">
        <f t="shared" si="21"/>
        <v/>
      </c>
      <c r="AY8" t="str">
        <f t="shared" si="22"/>
        <v/>
      </c>
      <c r="AZ8" t="str">
        <f t="shared" si="23"/>
        <v/>
      </c>
      <c r="BA8" t="str">
        <f t="shared" si="24"/>
        <v/>
      </c>
      <c r="BB8" t="str">
        <f t="shared" si="25"/>
        <v/>
      </c>
      <c r="BC8" t="str">
        <f t="shared" si="26"/>
        <v/>
      </c>
      <c r="BD8" t="str">
        <f t="shared" si="27"/>
        <v/>
      </c>
      <c r="BE8" t="str">
        <f t="shared" si="28"/>
        <v/>
      </c>
      <c r="BF8" t="str">
        <f t="shared" si="29"/>
        <v/>
      </c>
      <c r="BG8" t="str">
        <f t="shared" si="30"/>
        <v/>
      </c>
      <c r="BH8" t="str">
        <f t="shared" si="31"/>
        <v/>
      </c>
    </row>
    <row r="9" spans="1:66" x14ac:dyDescent="0.2">
      <c r="A9">
        <v>6</v>
      </c>
      <c r="B9">
        <v>52</v>
      </c>
      <c r="C9" t="s">
        <v>39</v>
      </c>
      <c r="D9">
        <v>1</v>
      </c>
      <c r="E9">
        <v>1</v>
      </c>
      <c r="K9">
        <v>5</v>
      </c>
      <c r="N9">
        <v>3</v>
      </c>
      <c r="O9">
        <v>3</v>
      </c>
      <c r="S9">
        <v>1</v>
      </c>
      <c r="T9">
        <v>1</v>
      </c>
      <c r="X9">
        <f t="shared" si="33"/>
        <v>0</v>
      </c>
      <c r="Z9" t="str">
        <f t="shared" si="0"/>
        <v/>
      </c>
      <c r="AA9" t="str">
        <f t="shared" si="1"/>
        <v/>
      </c>
      <c r="AB9" t="str">
        <f t="shared" si="2"/>
        <v/>
      </c>
      <c r="AC9" t="str">
        <f t="shared" si="3"/>
        <v/>
      </c>
      <c r="AE9" t="str">
        <f t="shared" si="4"/>
        <v/>
      </c>
      <c r="AF9" t="str">
        <f t="shared" si="5"/>
        <v/>
      </c>
      <c r="AG9" t="str">
        <f t="shared" si="6"/>
        <v/>
      </c>
      <c r="AH9" t="str">
        <f t="shared" si="7"/>
        <v/>
      </c>
      <c r="AI9" t="str">
        <f t="shared" si="8"/>
        <v/>
      </c>
      <c r="AK9" t="str">
        <f t="shared" si="9"/>
        <v/>
      </c>
      <c r="AL9" t="str">
        <f t="shared" si="32"/>
        <v/>
      </c>
      <c r="AM9" t="str">
        <f t="shared" si="10"/>
        <v/>
      </c>
      <c r="AN9" t="str">
        <f t="shared" si="11"/>
        <v/>
      </c>
      <c r="AO9" t="str">
        <f t="shared" si="12"/>
        <v/>
      </c>
      <c r="AP9" t="str">
        <f t="shared" si="13"/>
        <v/>
      </c>
      <c r="AQ9" t="str">
        <f t="shared" si="14"/>
        <v/>
      </c>
      <c r="AR9" t="str">
        <f t="shared" si="15"/>
        <v/>
      </c>
      <c r="AS9" t="str">
        <f t="shared" si="16"/>
        <v/>
      </c>
      <c r="AT9" t="str">
        <f t="shared" si="17"/>
        <v/>
      </c>
      <c r="AU9" t="str">
        <f t="shared" si="18"/>
        <v/>
      </c>
      <c r="AV9" t="str">
        <f t="shared" si="19"/>
        <v/>
      </c>
      <c r="AW9" t="str">
        <f t="shared" si="20"/>
        <v/>
      </c>
      <c r="AX9" t="str">
        <f t="shared" si="21"/>
        <v/>
      </c>
      <c r="AY9" t="str">
        <f t="shared" si="22"/>
        <v/>
      </c>
      <c r="AZ9" t="str">
        <f t="shared" si="23"/>
        <v/>
      </c>
      <c r="BA9" t="str">
        <f t="shared" si="24"/>
        <v/>
      </c>
      <c r="BB9" t="str">
        <f t="shared" si="25"/>
        <v/>
      </c>
      <c r="BC9" t="str">
        <f t="shared" si="26"/>
        <v/>
      </c>
      <c r="BD9" t="str">
        <f t="shared" si="27"/>
        <v/>
      </c>
      <c r="BE9" t="str">
        <f t="shared" si="28"/>
        <v/>
      </c>
      <c r="BF9" t="str">
        <f t="shared" si="29"/>
        <v/>
      </c>
      <c r="BG9" t="str">
        <f t="shared" si="30"/>
        <v/>
      </c>
      <c r="BH9" t="str">
        <f t="shared" si="31"/>
        <v/>
      </c>
    </row>
    <row r="10" spans="1:66" x14ac:dyDescent="0.2">
      <c r="A10">
        <v>7</v>
      </c>
      <c r="B10">
        <v>69</v>
      </c>
      <c r="C10" t="s">
        <v>39</v>
      </c>
      <c r="D10">
        <v>1</v>
      </c>
      <c r="K10">
        <v>4</v>
      </c>
      <c r="N10">
        <v>4</v>
      </c>
      <c r="O10">
        <v>4</v>
      </c>
      <c r="S10">
        <v>1</v>
      </c>
      <c r="T10">
        <v>1</v>
      </c>
      <c r="U10">
        <v>19</v>
      </c>
      <c r="X10">
        <f t="shared" si="33"/>
        <v>0</v>
      </c>
      <c r="Z10" t="str">
        <f t="shared" si="0"/>
        <v/>
      </c>
      <c r="AA10" t="str">
        <f t="shared" si="1"/>
        <v/>
      </c>
      <c r="AB10" t="str">
        <f t="shared" si="2"/>
        <v/>
      </c>
      <c r="AC10" t="str">
        <f t="shared" si="3"/>
        <v/>
      </c>
      <c r="AE10" t="str">
        <f t="shared" si="4"/>
        <v/>
      </c>
      <c r="AF10" t="str">
        <f t="shared" si="5"/>
        <v/>
      </c>
      <c r="AG10" t="str">
        <f t="shared" si="6"/>
        <v/>
      </c>
      <c r="AH10" t="str">
        <f t="shared" si="7"/>
        <v/>
      </c>
      <c r="AI10" t="str">
        <f t="shared" si="8"/>
        <v/>
      </c>
      <c r="AK10" t="str">
        <f t="shared" si="9"/>
        <v/>
      </c>
      <c r="AL10" t="str">
        <f t="shared" si="32"/>
        <v/>
      </c>
      <c r="AM10" t="str">
        <f t="shared" si="10"/>
        <v/>
      </c>
      <c r="AN10" t="str">
        <f t="shared" si="11"/>
        <v/>
      </c>
      <c r="AO10" t="str">
        <f t="shared" si="12"/>
        <v/>
      </c>
      <c r="AP10" t="str">
        <f t="shared" si="13"/>
        <v/>
      </c>
      <c r="AQ10" t="str">
        <f t="shared" si="14"/>
        <v/>
      </c>
      <c r="AR10" t="str">
        <f t="shared" si="15"/>
        <v/>
      </c>
      <c r="AS10" t="str">
        <f t="shared" si="16"/>
        <v/>
      </c>
      <c r="AT10" t="str">
        <f t="shared" si="17"/>
        <v/>
      </c>
      <c r="AU10" t="str">
        <f t="shared" si="18"/>
        <v/>
      </c>
      <c r="AV10" t="str">
        <f t="shared" si="19"/>
        <v/>
      </c>
      <c r="AW10" t="str">
        <f t="shared" si="20"/>
        <v/>
      </c>
      <c r="AX10" t="str">
        <f t="shared" si="21"/>
        <v/>
      </c>
      <c r="AY10" t="str">
        <f t="shared" si="22"/>
        <v/>
      </c>
      <c r="AZ10" t="str">
        <f t="shared" si="23"/>
        <v/>
      </c>
      <c r="BA10" t="str">
        <f t="shared" si="24"/>
        <v/>
      </c>
      <c r="BB10" t="str">
        <f t="shared" si="25"/>
        <v/>
      </c>
      <c r="BC10" t="str">
        <f t="shared" si="26"/>
        <v/>
      </c>
      <c r="BD10" t="str">
        <f t="shared" si="27"/>
        <v/>
      </c>
      <c r="BE10" t="str">
        <f t="shared" si="28"/>
        <v/>
      </c>
      <c r="BF10" t="str">
        <f t="shared" si="29"/>
        <v/>
      </c>
      <c r="BG10" t="str">
        <f t="shared" si="30"/>
        <v/>
      </c>
      <c r="BH10" t="str">
        <f t="shared" si="31"/>
        <v/>
      </c>
    </row>
    <row r="11" spans="1:66" x14ac:dyDescent="0.2">
      <c r="A11">
        <v>8</v>
      </c>
      <c r="B11">
        <v>77</v>
      </c>
      <c r="C11" t="s">
        <v>207</v>
      </c>
      <c r="D11">
        <v>1</v>
      </c>
      <c r="K11">
        <v>4</v>
      </c>
      <c r="N11">
        <v>4</v>
      </c>
      <c r="O11">
        <v>4</v>
      </c>
      <c r="S11">
        <v>1</v>
      </c>
      <c r="T11">
        <v>1</v>
      </c>
      <c r="X11">
        <f t="shared" si="33"/>
        <v>0</v>
      </c>
      <c r="Z11" t="str">
        <f t="shared" si="0"/>
        <v/>
      </c>
      <c r="AA11" t="str">
        <f t="shared" si="1"/>
        <v/>
      </c>
      <c r="AB11" t="str">
        <f t="shared" si="2"/>
        <v/>
      </c>
      <c r="AC11" t="str">
        <f t="shared" si="3"/>
        <v/>
      </c>
      <c r="AE11" t="str">
        <f t="shared" si="4"/>
        <v/>
      </c>
      <c r="AF11" t="str">
        <f t="shared" si="5"/>
        <v/>
      </c>
      <c r="AG11" t="str">
        <f t="shared" si="6"/>
        <v/>
      </c>
      <c r="AH11" t="str">
        <f t="shared" si="7"/>
        <v/>
      </c>
      <c r="AI11" t="str">
        <f t="shared" si="8"/>
        <v/>
      </c>
      <c r="AK11" t="str">
        <f t="shared" si="9"/>
        <v/>
      </c>
      <c r="AL11" t="str">
        <f t="shared" si="32"/>
        <v/>
      </c>
      <c r="AM11" t="str">
        <f t="shared" si="10"/>
        <v/>
      </c>
      <c r="AN11" t="str">
        <f t="shared" si="11"/>
        <v/>
      </c>
      <c r="AO11" t="str">
        <f t="shared" si="12"/>
        <v/>
      </c>
      <c r="AP11" t="str">
        <f t="shared" si="13"/>
        <v/>
      </c>
      <c r="AQ11" t="str">
        <f t="shared" si="14"/>
        <v/>
      </c>
      <c r="AR11" t="str">
        <f t="shared" si="15"/>
        <v/>
      </c>
      <c r="AS11" t="str">
        <f t="shared" si="16"/>
        <v/>
      </c>
      <c r="AT11" t="str">
        <f t="shared" si="17"/>
        <v/>
      </c>
      <c r="AU11" t="str">
        <f t="shared" si="18"/>
        <v/>
      </c>
      <c r="AV11" t="str">
        <f t="shared" si="19"/>
        <v/>
      </c>
      <c r="AW11" t="str">
        <f t="shared" si="20"/>
        <v/>
      </c>
      <c r="AX11" t="str">
        <f t="shared" si="21"/>
        <v/>
      </c>
      <c r="AY11" t="str">
        <f t="shared" si="22"/>
        <v/>
      </c>
      <c r="AZ11" t="str">
        <f t="shared" si="23"/>
        <v/>
      </c>
      <c r="BA11" t="str">
        <f t="shared" si="24"/>
        <v/>
      </c>
      <c r="BB11" t="str">
        <f t="shared" si="25"/>
        <v/>
      </c>
      <c r="BC11" t="str">
        <f t="shared" si="26"/>
        <v/>
      </c>
      <c r="BD11" t="str">
        <f t="shared" si="27"/>
        <v/>
      </c>
      <c r="BE11" t="str">
        <f t="shared" si="28"/>
        <v/>
      </c>
      <c r="BF11" t="str">
        <f t="shared" si="29"/>
        <v/>
      </c>
      <c r="BG11" t="str">
        <f t="shared" si="30"/>
        <v/>
      </c>
      <c r="BH11" t="str">
        <f t="shared" si="31"/>
        <v/>
      </c>
    </row>
    <row r="12" spans="1:66" x14ac:dyDescent="0.2">
      <c r="A12">
        <v>9</v>
      </c>
      <c r="B12">
        <v>86</v>
      </c>
      <c r="C12" t="s">
        <v>39</v>
      </c>
      <c r="K12">
        <v>2</v>
      </c>
      <c r="N12">
        <v>4</v>
      </c>
      <c r="O12">
        <v>3</v>
      </c>
      <c r="S12">
        <v>1</v>
      </c>
      <c r="T12">
        <v>1</v>
      </c>
      <c r="U12">
        <v>8</v>
      </c>
      <c r="X12">
        <f t="shared" si="33"/>
        <v>0</v>
      </c>
      <c r="Z12" t="str">
        <f t="shared" si="0"/>
        <v/>
      </c>
      <c r="AA12" t="str">
        <f t="shared" si="1"/>
        <v/>
      </c>
      <c r="AB12" t="str">
        <f t="shared" si="2"/>
        <v/>
      </c>
      <c r="AC12" t="str">
        <f t="shared" si="3"/>
        <v/>
      </c>
      <c r="AE12" t="str">
        <f t="shared" si="4"/>
        <v/>
      </c>
      <c r="AF12" t="str">
        <f t="shared" si="5"/>
        <v/>
      </c>
      <c r="AG12" t="str">
        <f t="shared" si="6"/>
        <v/>
      </c>
      <c r="AH12" t="str">
        <f t="shared" si="7"/>
        <v/>
      </c>
      <c r="AI12" t="str">
        <f t="shared" si="8"/>
        <v/>
      </c>
      <c r="AK12" t="str">
        <f t="shared" si="9"/>
        <v/>
      </c>
      <c r="AL12" t="str">
        <f t="shared" si="32"/>
        <v/>
      </c>
      <c r="AM12" t="str">
        <f t="shared" si="10"/>
        <v/>
      </c>
      <c r="AN12" t="str">
        <f t="shared" si="11"/>
        <v/>
      </c>
      <c r="AO12" t="str">
        <f t="shared" si="12"/>
        <v/>
      </c>
      <c r="AP12" t="str">
        <f t="shared" si="13"/>
        <v/>
      </c>
      <c r="AQ12" t="str">
        <f t="shared" si="14"/>
        <v/>
      </c>
      <c r="AR12" t="str">
        <f t="shared" si="15"/>
        <v/>
      </c>
      <c r="AS12" t="str">
        <f t="shared" si="16"/>
        <v/>
      </c>
      <c r="AT12" t="str">
        <f t="shared" si="17"/>
        <v/>
      </c>
      <c r="AU12" t="str">
        <f t="shared" si="18"/>
        <v/>
      </c>
      <c r="AV12" t="str">
        <f t="shared" si="19"/>
        <v/>
      </c>
      <c r="AW12" t="str">
        <f t="shared" si="20"/>
        <v/>
      </c>
      <c r="AX12" t="str">
        <f t="shared" si="21"/>
        <v/>
      </c>
      <c r="AY12" t="str">
        <f t="shared" si="22"/>
        <v/>
      </c>
      <c r="AZ12" t="str">
        <f t="shared" si="23"/>
        <v/>
      </c>
      <c r="BA12" t="str">
        <f t="shared" si="24"/>
        <v/>
      </c>
      <c r="BB12" t="str">
        <f t="shared" si="25"/>
        <v/>
      </c>
      <c r="BC12" t="str">
        <f t="shared" si="26"/>
        <v/>
      </c>
      <c r="BD12" t="str">
        <f t="shared" si="27"/>
        <v/>
      </c>
      <c r="BE12" t="str">
        <f t="shared" si="28"/>
        <v/>
      </c>
      <c r="BF12" t="str">
        <f t="shared" si="29"/>
        <v/>
      </c>
      <c r="BG12" t="str">
        <f t="shared" si="30"/>
        <v/>
      </c>
      <c r="BH12" t="str">
        <f t="shared" si="31"/>
        <v/>
      </c>
    </row>
    <row r="13" spans="1:66" x14ac:dyDescent="0.2">
      <c r="A13">
        <v>10</v>
      </c>
      <c r="B13">
        <v>92</v>
      </c>
      <c r="C13" t="s">
        <v>39</v>
      </c>
      <c r="D13">
        <v>1</v>
      </c>
      <c r="K13">
        <v>3</v>
      </c>
      <c r="L13">
        <v>2</v>
      </c>
      <c r="N13">
        <v>3</v>
      </c>
      <c r="O13">
        <v>3</v>
      </c>
      <c r="S13">
        <v>1</v>
      </c>
      <c r="T13">
        <v>1</v>
      </c>
      <c r="U13">
        <v>3</v>
      </c>
      <c r="X13">
        <f t="shared" si="33"/>
        <v>0</v>
      </c>
      <c r="Z13" t="str">
        <f t="shared" si="0"/>
        <v/>
      </c>
      <c r="AA13" t="str">
        <f t="shared" si="1"/>
        <v/>
      </c>
      <c r="AB13" t="str">
        <f t="shared" si="2"/>
        <v/>
      </c>
      <c r="AC13" t="str">
        <f t="shared" si="3"/>
        <v/>
      </c>
      <c r="AE13" t="str">
        <f t="shared" si="4"/>
        <v/>
      </c>
      <c r="AF13" t="str">
        <f t="shared" si="5"/>
        <v/>
      </c>
      <c r="AG13" t="str">
        <f t="shared" si="6"/>
        <v/>
      </c>
      <c r="AH13" t="str">
        <f t="shared" si="7"/>
        <v/>
      </c>
      <c r="AI13" t="str">
        <f t="shared" si="8"/>
        <v/>
      </c>
      <c r="AK13" t="str">
        <f t="shared" si="9"/>
        <v/>
      </c>
      <c r="AL13" t="str">
        <f t="shared" si="32"/>
        <v/>
      </c>
      <c r="AM13" t="str">
        <f t="shared" si="10"/>
        <v/>
      </c>
      <c r="AN13" t="str">
        <f t="shared" si="11"/>
        <v/>
      </c>
      <c r="AO13" t="str">
        <f t="shared" si="12"/>
        <v/>
      </c>
      <c r="AP13" t="str">
        <f t="shared" si="13"/>
        <v/>
      </c>
      <c r="AQ13" t="str">
        <f t="shared" si="14"/>
        <v/>
      </c>
      <c r="AR13" t="str">
        <f t="shared" si="15"/>
        <v/>
      </c>
      <c r="AS13" t="str">
        <f t="shared" si="16"/>
        <v/>
      </c>
      <c r="AT13" t="str">
        <f t="shared" si="17"/>
        <v/>
      </c>
      <c r="AU13" t="str">
        <f t="shared" si="18"/>
        <v/>
      </c>
      <c r="AV13" t="str">
        <f t="shared" si="19"/>
        <v/>
      </c>
      <c r="AW13" t="str">
        <f t="shared" si="20"/>
        <v/>
      </c>
      <c r="AX13" t="str">
        <f t="shared" si="21"/>
        <v/>
      </c>
      <c r="AY13" t="str">
        <f t="shared" si="22"/>
        <v/>
      </c>
      <c r="AZ13" t="str">
        <f t="shared" si="23"/>
        <v/>
      </c>
      <c r="BA13" t="str">
        <f t="shared" si="24"/>
        <v/>
      </c>
      <c r="BB13" t="str">
        <f t="shared" si="25"/>
        <v/>
      </c>
      <c r="BC13" t="str">
        <f t="shared" si="26"/>
        <v/>
      </c>
      <c r="BD13" t="str">
        <f t="shared" si="27"/>
        <v/>
      </c>
      <c r="BE13" t="str">
        <f t="shared" si="28"/>
        <v/>
      </c>
      <c r="BF13" t="str">
        <f t="shared" si="29"/>
        <v/>
      </c>
      <c r="BG13" t="str">
        <f t="shared" si="30"/>
        <v/>
      </c>
      <c r="BH13" t="str">
        <f t="shared" si="31"/>
        <v/>
      </c>
    </row>
    <row r="14" spans="1:66" x14ac:dyDescent="0.2">
      <c r="A14">
        <v>11</v>
      </c>
      <c r="B14">
        <v>108</v>
      </c>
      <c r="C14" t="s">
        <v>207</v>
      </c>
      <c r="K14">
        <v>3</v>
      </c>
      <c r="L14">
        <v>2</v>
      </c>
      <c r="N14">
        <v>4</v>
      </c>
      <c r="O14">
        <v>3</v>
      </c>
      <c r="S14">
        <v>1</v>
      </c>
      <c r="T14">
        <v>1</v>
      </c>
      <c r="U14">
        <v>3</v>
      </c>
      <c r="X14">
        <f t="shared" si="33"/>
        <v>0</v>
      </c>
      <c r="Z14" t="s">
        <v>31</v>
      </c>
      <c r="AE14" t="s">
        <v>34</v>
      </c>
      <c r="AK14" t="s">
        <v>43</v>
      </c>
      <c r="AP14" t="s">
        <v>84</v>
      </c>
    </row>
    <row r="15" spans="1:66" x14ac:dyDescent="0.2">
      <c r="A15">
        <v>12</v>
      </c>
      <c r="B15">
        <v>115</v>
      </c>
      <c r="C15" t="s">
        <v>207</v>
      </c>
      <c r="K15">
        <v>4</v>
      </c>
      <c r="N15">
        <v>5</v>
      </c>
      <c r="O15">
        <v>5</v>
      </c>
      <c r="S15">
        <v>1</v>
      </c>
      <c r="T15">
        <v>1</v>
      </c>
      <c r="X15">
        <f t="shared" si="33"/>
        <v>0</v>
      </c>
      <c r="Z15" t="s">
        <v>21</v>
      </c>
      <c r="AA15" t="s">
        <v>22</v>
      </c>
      <c r="AE15" t="s">
        <v>21</v>
      </c>
      <c r="AF15" t="s">
        <v>22</v>
      </c>
      <c r="AG15" t="s">
        <v>35</v>
      </c>
      <c r="AK15" t="s">
        <v>10</v>
      </c>
      <c r="AL15" t="s">
        <v>25</v>
      </c>
      <c r="AM15" t="s">
        <v>26</v>
      </c>
      <c r="AN15" t="s">
        <v>27</v>
      </c>
      <c r="AP15" t="s">
        <v>15</v>
      </c>
      <c r="AQ15" t="s">
        <v>85</v>
      </c>
    </row>
    <row r="16" spans="1:66" x14ac:dyDescent="0.2">
      <c r="A16" t="s">
        <v>28</v>
      </c>
      <c r="D16">
        <f>SUM(D4:D15)</f>
        <v>9</v>
      </c>
      <c r="E16">
        <f>SUM(E4:E15)</f>
        <v>3</v>
      </c>
      <c r="F16">
        <f>SUM(F4:F15)</f>
        <v>1</v>
      </c>
      <c r="G16">
        <f>SUM(G4:G15)</f>
        <v>0</v>
      </c>
      <c r="H16">
        <f>SUM(H4:H15)</f>
        <v>0</v>
      </c>
      <c r="K16">
        <f>SUM(K4:K15)</f>
        <v>38</v>
      </c>
      <c r="L16">
        <f>SUM(L4:L15)</f>
        <v>9</v>
      </c>
      <c r="M16">
        <f>SUM(M4:M15)</f>
        <v>0</v>
      </c>
      <c r="N16">
        <f>SUM(N4:N15)</f>
        <v>38</v>
      </c>
      <c r="O16">
        <f>SUM(O4:O15)</f>
        <v>35</v>
      </c>
      <c r="Q16">
        <f t="shared" ref="Q16:R16" si="34">SUM(Q4:Q15)</f>
        <v>0</v>
      </c>
      <c r="R16">
        <f t="shared" si="34"/>
        <v>0</v>
      </c>
      <c r="S16">
        <f>SUM(S4:S15)</f>
        <v>12</v>
      </c>
      <c r="T16">
        <f>SUM(T4:T15)</f>
        <v>12</v>
      </c>
      <c r="U16">
        <f>SUM(U4:U15)</f>
        <v>60</v>
      </c>
      <c r="V16">
        <f>SUM(V4:V15)</f>
        <v>0</v>
      </c>
      <c r="W16">
        <f>SUM(W4:W15)</f>
        <v>0</v>
      </c>
      <c r="Z16">
        <f t="shared" ref="Z16:Z27" si="35">COUNTIF(Z2:AC2, "3")*COUNTIF(C4, "r")+COUNTIF(Z2:AC2, "5")*COUNTIF(C4, "b")</f>
        <v>0</v>
      </c>
      <c r="AA16">
        <f t="shared" ref="AA16:AA27" si="36">COUNTIF(Z2:AC2, "1")+COUNTIF(Z2:AC2, "2")+COUNTIF(Z2:AC2, "4")</f>
        <v>0</v>
      </c>
      <c r="AE16">
        <f t="shared" ref="AE16:AE27" si="37">COUNTIF(AE2:AI2, "3")*COUNTIF(C4, "r") + COUNTIF(AE2:AI2, "5")*COUNTIF(C4, "b")</f>
        <v>0</v>
      </c>
      <c r="AF16">
        <f t="shared" ref="AF16:AF27" si="38">COUNTIF(AE2:AI2, "1")+COUNTIF(AE2:AI2, "2")+COUNTIF(AE2:AI2, "4")</f>
        <v>1</v>
      </c>
      <c r="AG16">
        <f t="shared" ref="AG16:AG27" si="39">COUNTIF(AE2:AI2, "3")*COUNTIF(AE2:AI2, "b")+COUNTIF(AE2:AI2, "5")*COUNTIF(AE2:AI2, "r")</f>
        <v>0</v>
      </c>
      <c r="AK16">
        <f t="shared" ref="AK16:AK27" si="40">SUMPRODUCT(LEN($AK2:$BH2) - LEN(SUBSTITUTE($AK2:$BH2, "g", "")))</f>
        <v>0</v>
      </c>
      <c r="AL16">
        <f t="shared" ref="AL16:AL27" si="41">SUMPRODUCT(LEN($AK2:$BH2) - LEN(SUBSTITUTE($AK2:$BH2, "h", "")))</f>
        <v>0</v>
      </c>
      <c r="AM16">
        <f t="shared" ref="AM16:AM27" si="42">SUMPRODUCT(LEN($AK2:$BH2) - LEN(SUBSTITUTE($AK2:$BH2, "v", "")))</f>
        <v>0</v>
      </c>
      <c r="AN16">
        <f t="shared" ref="AN16:AN27" si="43">SUMPRODUCT(LEN($AK2:$BH2) - LEN(SUBSTITUTE($AK2:$BH2, "r", "")))</f>
        <v>0</v>
      </c>
      <c r="AP16">
        <f>MAX(AQ16:BN16)</f>
        <v>0</v>
      </c>
      <c r="AQ16" s="4">
        <f>_xlfn.NUMBERVALUE(RIGHT(AK2,1))</f>
        <v>0</v>
      </c>
      <c r="AR16" s="4">
        <f t="shared" ref="AR16:BG27" si="44">_xlfn.NUMBERVALUE(RIGHT(AL2,1))</f>
        <v>0</v>
      </c>
      <c r="AS16" s="4">
        <f t="shared" si="44"/>
        <v>0</v>
      </c>
      <c r="AT16" s="4">
        <f t="shared" si="44"/>
        <v>0</v>
      </c>
      <c r="AU16" s="4">
        <f t="shared" si="44"/>
        <v>0</v>
      </c>
      <c r="AV16" s="4">
        <f t="shared" si="44"/>
        <v>0</v>
      </c>
      <c r="AW16" s="4">
        <f t="shared" si="44"/>
        <v>0</v>
      </c>
      <c r="AX16" s="4">
        <f t="shared" si="44"/>
        <v>0</v>
      </c>
      <c r="AY16" s="4">
        <f t="shared" si="44"/>
        <v>0</v>
      </c>
      <c r="AZ16" s="4">
        <f t="shared" si="44"/>
        <v>0</v>
      </c>
      <c r="BA16" s="4">
        <f t="shared" si="44"/>
        <v>0</v>
      </c>
      <c r="BB16" s="4">
        <f t="shared" si="44"/>
        <v>0</v>
      </c>
      <c r="BC16" s="4">
        <f t="shared" si="44"/>
        <v>0</v>
      </c>
      <c r="BD16" s="4">
        <f t="shared" si="44"/>
        <v>0</v>
      </c>
      <c r="BE16" s="4">
        <f t="shared" si="44"/>
        <v>0</v>
      </c>
      <c r="BF16" s="4">
        <f t="shared" si="44"/>
        <v>0</v>
      </c>
      <c r="BG16" s="4">
        <f t="shared" si="44"/>
        <v>0</v>
      </c>
      <c r="BH16" s="4">
        <f t="shared" ref="BH16:BN27" si="45">_xlfn.NUMBERVALUE(RIGHT(BB2,1))</f>
        <v>0</v>
      </c>
      <c r="BI16" s="4">
        <f t="shared" si="45"/>
        <v>0</v>
      </c>
      <c r="BJ16" s="4">
        <f t="shared" si="45"/>
        <v>0</v>
      </c>
      <c r="BK16" s="4">
        <f t="shared" si="45"/>
        <v>0</v>
      </c>
      <c r="BL16" s="4">
        <f t="shared" si="45"/>
        <v>0</v>
      </c>
      <c r="BM16" s="4">
        <f t="shared" si="45"/>
        <v>0</v>
      </c>
      <c r="BN16" s="4">
        <f t="shared" si="45"/>
        <v>0</v>
      </c>
    </row>
    <row r="17" spans="1:66" x14ac:dyDescent="0.2">
      <c r="A17" s="1" t="s">
        <v>20</v>
      </c>
      <c r="D17" s="1" t="s">
        <v>49</v>
      </c>
      <c r="G17" s="1" t="s">
        <v>52</v>
      </c>
      <c r="K17" s="3" t="s">
        <v>74</v>
      </c>
      <c r="P17" s="1" t="s">
        <v>66</v>
      </c>
      <c r="Z17">
        <f t="shared" si="35"/>
        <v>0</v>
      </c>
      <c r="AA17">
        <f t="shared" si="36"/>
        <v>0</v>
      </c>
      <c r="AE17">
        <f t="shared" si="37"/>
        <v>0</v>
      </c>
      <c r="AF17">
        <f t="shared" si="38"/>
        <v>0</v>
      </c>
      <c r="AG17">
        <f t="shared" si="39"/>
        <v>0</v>
      </c>
      <c r="AK17">
        <f t="shared" si="40"/>
        <v>0</v>
      </c>
      <c r="AL17">
        <f t="shared" si="41"/>
        <v>0</v>
      </c>
      <c r="AM17">
        <f t="shared" si="42"/>
        <v>0</v>
      </c>
      <c r="AN17">
        <f t="shared" si="43"/>
        <v>0</v>
      </c>
      <c r="AP17">
        <f t="shared" ref="AP17:AP27" si="46">MAX(AQ17:BN17)</f>
        <v>0</v>
      </c>
      <c r="AQ17" s="4">
        <f t="shared" ref="AQ17:AQ27" si="47">_xlfn.NUMBERVALUE(RIGHT(AK3,1))</f>
        <v>0</v>
      </c>
      <c r="AR17" s="4">
        <f t="shared" si="44"/>
        <v>0</v>
      </c>
      <c r="AS17" s="4">
        <f t="shared" si="44"/>
        <v>0</v>
      </c>
      <c r="AT17" s="4">
        <f t="shared" si="44"/>
        <v>0</v>
      </c>
      <c r="AU17" s="4">
        <f t="shared" si="44"/>
        <v>0</v>
      </c>
      <c r="AV17" s="4">
        <f t="shared" si="44"/>
        <v>0</v>
      </c>
      <c r="AW17" s="4">
        <f t="shared" si="44"/>
        <v>0</v>
      </c>
      <c r="AX17" s="4">
        <f t="shared" si="44"/>
        <v>0</v>
      </c>
      <c r="AY17" s="4">
        <f t="shared" si="44"/>
        <v>0</v>
      </c>
      <c r="AZ17" s="4">
        <f t="shared" si="44"/>
        <v>0</v>
      </c>
      <c r="BA17" s="4">
        <f t="shared" si="44"/>
        <v>0</v>
      </c>
      <c r="BB17" s="4">
        <f t="shared" si="44"/>
        <v>0</v>
      </c>
      <c r="BC17" s="4">
        <f t="shared" si="44"/>
        <v>0</v>
      </c>
      <c r="BD17" s="4">
        <f t="shared" si="44"/>
        <v>0</v>
      </c>
      <c r="BE17" s="4">
        <f t="shared" si="44"/>
        <v>0</v>
      </c>
      <c r="BF17" s="4">
        <f t="shared" si="44"/>
        <v>0</v>
      </c>
      <c r="BG17" s="4">
        <f t="shared" si="44"/>
        <v>0</v>
      </c>
      <c r="BH17" s="4">
        <f t="shared" si="45"/>
        <v>0</v>
      </c>
      <c r="BI17" s="4">
        <f t="shared" si="45"/>
        <v>0</v>
      </c>
      <c r="BJ17" s="4">
        <f t="shared" si="45"/>
        <v>0</v>
      </c>
      <c r="BK17" s="4">
        <f t="shared" si="45"/>
        <v>0</v>
      </c>
      <c r="BL17" s="4">
        <f t="shared" si="45"/>
        <v>0</v>
      </c>
      <c r="BM17" s="4">
        <f t="shared" si="45"/>
        <v>0</v>
      </c>
      <c r="BN17" s="4">
        <f t="shared" si="45"/>
        <v>0</v>
      </c>
    </row>
    <row r="18" spans="1:66" x14ac:dyDescent="0.2">
      <c r="A18" t="s">
        <v>32</v>
      </c>
      <c r="B18" t="s">
        <v>21</v>
      </c>
      <c r="D18" t="s">
        <v>180</v>
      </c>
      <c r="G18" s="3" t="s">
        <v>53</v>
      </c>
      <c r="K18" t="s">
        <v>55</v>
      </c>
      <c r="M18" t="s">
        <v>65</v>
      </c>
      <c r="P18" t="s">
        <v>67</v>
      </c>
      <c r="Z18">
        <f t="shared" si="35"/>
        <v>0</v>
      </c>
      <c r="AA18">
        <f t="shared" si="36"/>
        <v>0</v>
      </c>
      <c r="AE18">
        <f t="shared" si="37"/>
        <v>0</v>
      </c>
      <c r="AF18">
        <f t="shared" si="38"/>
        <v>0</v>
      </c>
      <c r="AG18">
        <f t="shared" si="39"/>
        <v>0</v>
      </c>
      <c r="AK18">
        <f t="shared" si="40"/>
        <v>0</v>
      </c>
      <c r="AL18">
        <f t="shared" si="41"/>
        <v>0</v>
      </c>
      <c r="AM18">
        <f t="shared" si="42"/>
        <v>0</v>
      </c>
      <c r="AN18">
        <f t="shared" si="43"/>
        <v>0</v>
      </c>
      <c r="AP18">
        <f t="shared" si="46"/>
        <v>0</v>
      </c>
      <c r="AQ18" s="4">
        <f t="shared" si="47"/>
        <v>0</v>
      </c>
      <c r="AR18" s="4">
        <f t="shared" si="44"/>
        <v>0</v>
      </c>
      <c r="AS18" s="4">
        <f t="shared" si="44"/>
        <v>0</v>
      </c>
      <c r="AT18" s="4">
        <f t="shared" si="44"/>
        <v>0</v>
      </c>
      <c r="AU18" s="4">
        <f t="shared" si="44"/>
        <v>0</v>
      </c>
      <c r="AV18" s="4">
        <f t="shared" si="44"/>
        <v>0</v>
      </c>
      <c r="AW18" s="4">
        <f t="shared" si="44"/>
        <v>0</v>
      </c>
      <c r="AX18" s="4">
        <f t="shared" si="44"/>
        <v>0</v>
      </c>
      <c r="AY18" s="4">
        <f t="shared" si="44"/>
        <v>0</v>
      </c>
      <c r="AZ18" s="4">
        <f t="shared" si="44"/>
        <v>0</v>
      </c>
      <c r="BA18" s="4">
        <f t="shared" si="44"/>
        <v>0</v>
      </c>
      <c r="BB18" s="4">
        <f t="shared" si="44"/>
        <v>0</v>
      </c>
      <c r="BC18" s="4">
        <f t="shared" si="44"/>
        <v>0</v>
      </c>
      <c r="BD18" s="4">
        <f t="shared" si="44"/>
        <v>0</v>
      </c>
      <c r="BE18" s="4">
        <f t="shared" si="44"/>
        <v>0</v>
      </c>
      <c r="BF18" s="4">
        <f t="shared" si="44"/>
        <v>0</v>
      </c>
      <c r="BG18" s="4">
        <f t="shared" si="44"/>
        <v>0</v>
      </c>
      <c r="BH18" s="4">
        <f t="shared" si="45"/>
        <v>0</v>
      </c>
      <c r="BI18" s="4">
        <f t="shared" si="45"/>
        <v>0</v>
      </c>
      <c r="BJ18" s="4">
        <f t="shared" si="45"/>
        <v>0</v>
      </c>
      <c r="BK18" s="4">
        <f t="shared" si="45"/>
        <v>0</v>
      </c>
      <c r="BL18" s="4">
        <f t="shared" si="45"/>
        <v>0</v>
      </c>
      <c r="BM18" s="4">
        <f t="shared" si="45"/>
        <v>0</v>
      </c>
      <c r="BN18" s="4">
        <f t="shared" si="45"/>
        <v>0</v>
      </c>
    </row>
    <row r="19" spans="1:66" x14ac:dyDescent="0.2">
      <c r="A19" t="s">
        <v>40</v>
      </c>
      <c r="B19" t="s">
        <v>22</v>
      </c>
      <c r="D19">
        <f>E16/D16</f>
        <v>0.33333333333333331</v>
      </c>
      <c r="G19" t="s">
        <v>75</v>
      </c>
      <c r="K19">
        <f>O16/N16</f>
        <v>0.92105263157894735</v>
      </c>
      <c r="M19">
        <f>SUM(M39:M50)</f>
        <v>3</v>
      </c>
      <c r="P19">
        <f>T16/S16</f>
        <v>1</v>
      </c>
      <c r="Z19">
        <f t="shared" si="35"/>
        <v>0</v>
      </c>
      <c r="AA19">
        <f t="shared" si="36"/>
        <v>0</v>
      </c>
      <c r="AE19">
        <f t="shared" si="37"/>
        <v>0</v>
      </c>
      <c r="AF19">
        <f t="shared" si="38"/>
        <v>0</v>
      </c>
      <c r="AG19">
        <f t="shared" si="39"/>
        <v>0</v>
      </c>
      <c r="AK19">
        <f t="shared" si="40"/>
        <v>0</v>
      </c>
      <c r="AL19">
        <f t="shared" si="41"/>
        <v>0</v>
      </c>
      <c r="AM19">
        <f t="shared" si="42"/>
        <v>0</v>
      </c>
      <c r="AN19">
        <f t="shared" si="43"/>
        <v>0</v>
      </c>
      <c r="AP19">
        <f t="shared" si="46"/>
        <v>0</v>
      </c>
      <c r="AQ19" s="4">
        <f t="shared" si="47"/>
        <v>0</v>
      </c>
      <c r="AR19" s="4">
        <f t="shared" si="44"/>
        <v>0</v>
      </c>
      <c r="AS19" s="4">
        <f t="shared" si="44"/>
        <v>0</v>
      </c>
      <c r="AT19" s="4">
        <f t="shared" si="44"/>
        <v>0</v>
      </c>
      <c r="AU19" s="4">
        <f t="shared" si="44"/>
        <v>0</v>
      </c>
      <c r="AV19" s="4">
        <f t="shared" si="44"/>
        <v>0</v>
      </c>
      <c r="AW19" s="4">
        <f t="shared" si="44"/>
        <v>0</v>
      </c>
      <c r="AX19" s="4">
        <f t="shared" si="44"/>
        <v>0</v>
      </c>
      <c r="AY19" s="4">
        <f t="shared" si="44"/>
        <v>0</v>
      </c>
      <c r="AZ19" s="4">
        <f t="shared" si="44"/>
        <v>0</v>
      </c>
      <c r="BA19" s="4">
        <f t="shared" si="44"/>
        <v>0</v>
      </c>
      <c r="BB19" s="4">
        <f t="shared" si="44"/>
        <v>0</v>
      </c>
      <c r="BC19" s="4">
        <f t="shared" si="44"/>
        <v>0</v>
      </c>
      <c r="BD19" s="4">
        <f t="shared" si="44"/>
        <v>0</v>
      </c>
      <c r="BE19" s="4">
        <f t="shared" si="44"/>
        <v>0</v>
      </c>
      <c r="BF19" s="4">
        <f t="shared" si="44"/>
        <v>0</v>
      </c>
      <c r="BG19" s="4">
        <f t="shared" si="44"/>
        <v>0</v>
      </c>
      <c r="BH19" s="4">
        <f t="shared" si="45"/>
        <v>0</v>
      </c>
      <c r="BI19" s="4">
        <f t="shared" si="45"/>
        <v>0</v>
      </c>
      <c r="BJ19" s="4">
        <f t="shared" si="45"/>
        <v>0</v>
      </c>
      <c r="BK19" s="4">
        <f t="shared" si="45"/>
        <v>0</v>
      </c>
      <c r="BL19" s="4">
        <f t="shared" si="45"/>
        <v>0</v>
      </c>
      <c r="BM19" s="4">
        <f t="shared" si="45"/>
        <v>0</v>
      </c>
      <c r="BN19" s="4">
        <f t="shared" si="45"/>
        <v>0</v>
      </c>
    </row>
    <row r="20" spans="1:66" x14ac:dyDescent="0.2">
      <c r="A20" t="s">
        <v>41</v>
      </c>
      <c r="B20" t="s">
        <v>23</v>
      </c>
      <c r="D20" t="s">
        <v>47</v>
      </c>
      <c r="G20" t="e">
        <f>AK28/AP28</f>
        <v>#DIV/0!</v>
      </c>
      <c r="K20" t="s">
        <v>13</v>
      </c>
      <c r="Z20">
        <f t="shared" si="35"/>
        <v>0</v>
      </c>
      <c r="AA20">
        <f t="shared" si="36"/>
        <v>0</v>
      </c>
      <c r="AE20">
        <f t="shared" si="37"/>
        <v>0</v>
      </c>
      <c r="AF20">
        <f t="shared" si="38"/>
        <v>0</v>
      </c>
      <c r="AG20">
        <f t="shared" si="39"/>
        <v>0</v>
      </c>
      <c r="AK20">
        <f t="shared" si="40"/>
        <v>0</v>
      </c>
      <c r="AL20">
        <f t="shared" si="41"/>
        <v>0</v>
      </c>
      <c r="AM20">
        <f t="shared" si="42"/>
        <v>0</v>
      </c>
      <c r="AN20">
        <f t="shared" si="43"/>
        <v>0</v>
      </c>
      <c r="AP20">
        <f t="shared" si="46"/>
        <v>0</v>
      </c>
      <c r="AQ20" s="4">
        <f t="shared" si="47"/>
        <v>0</v>
      </c>
      <c r="AR20" s="4">
        <f t="shared" si="44"/>
        <v>0</v>
      </c>
      <c r="AS20" s="4">
        <f t="shared" si="44"/>
        <v>0</v>
      </c>
      <c r="AT20" s="4">
        <f t="shared" si="44"/>
        <v>0</v>
      </c>
      <c r="AU20" s="4">
        <f t="shared" si="44"/>
        <v>0</v>
      </c>
      <c r="AV20" s="4">
        <f t="shared" si="44"/>
        <v>0</v>
      </c>
      <c r="AW20" s="4">
        <f t="shared" si="44"/>
        <v>0</v>
      </c>
      <c r="AX20" s="4">
        <f t="shared" si="44"/>
        <v>0</v>
      </c>
      <c r="AY20" s="4">
        <f t="shared" si="44"/>
        <v>0</v>
      </c>
      <c r="AZ20" s="4">
        <f t="shared" si="44"/>
        <v>0</v>
      </c>
      <c r="BA20" s="4">
        <f t="shared" si="44"/>
        <v>0</v>
      </c>
      <c r="BB20" s="4">
        <f t="shared" si="44"/>
        <v>0</v>
      </c>
      <c r="BC20" s="4">
        <f t="shared" si="44"/>
        <v>0</v>
      </c>
      <c r="BD20" s="4">
        <f t="shared" si="44"/>
        <v>0</v>
      </c>
      <c r="BE20" s="4">
        <f t="shared" si="44"/>
        <v>0</v>
      </c>
      <c r="BF20" s="4">
        <f t="shared" si="44"/>
        <v>0</v>
      </c>
      <c r="BG20" s="4">
        <f t="shared" si="44"/>
        <v>0</v>
      </c>
      <c r="BH20" s="4">
        <f t="shared" si="45"/>
        <v>0</v>
      </c>
      <c r="BI20" s="4">
        <f t="shared" si="45"/>
        <v>0</v>
      </c>
      <c r="BJ20" s="4">
        <f t="shared" si="45"/>
        <v>0</v>
      </c>
      <c r="BK20" s="4">
        <f t="shared" si="45"/>
        <v>0</v>
      </c>
      <c r="BL20" s="4">
        <f t="shared" si="45"/>
        <v>0</v>
      </c>
      <c r="BM20" s="4">
        <f t="shared" si="45"/>
        <v>0</v>
      </c>
      <c r="BN20" s="4">
        <f t="shared" si="45"/>
        <v>0</v>
      </c>
    </row>
    <row r="21" spans="1:66" x14ac:dyDescent="0.2">
      <c r="A21" s="1" t="s">
        <v>24</v>
      </c>
      <c r="D21">
        <f>G16/A31</f>
        <v>0</v>
      </c>
      <c r="G21" t="s">
        <v>76</v>
      </c>
      <c r="K21" t="s">
        <v>57</v>
      </c>
      <c r="L21" t="s">
        <v>58</v>
      </c>
      <c r="M21" t="s">
        <v>59</v>
      </c>
      <c r="N21" t="s">
        <v>60</v>
      </c>
      <c r="Z21">
        <f t="shared" si="35"/>
        <v>0</v>
      </c>
      <c r="AA21">
        <f t="shared" si="36"/>
        <v>0</v>
      </c>
      <c r="AE21">
        <f t="shared" si="37"/>
        <v>0</v>
      </c>
      <c r="AF21">
        <f t="shared" si="38"/>
        <v>0</v>
      </c>
      <c r="AG21">
        <f t="shared" si="39"/>
        <v>0</v>
      </c>
      <c r="AK21">
        <f t="shared" si="40"/>
        <v>0</v>
      </c>
      <c r="AL21">
        <f t="shared" si="41"/>
        <v>0</v>
      </c>
      <c r="AM21">
        <f t="shared" si="42"/>
        <v>0</v>
      </c>
      <c r="AN21">
        <f t="shared" si="43"/>
        <v>0</v>
      </c>
      <c r="AP21">
        <f t="shared" si="46"/>
        <v>0</v>
      </c>
      <c r="AQ21" s="4">
        <f t="shared" si="47"/>
        <v>0</v>
      </c>
      <c r="AR21" s="4">
        <f t="shared" si="44"/>
        <v>0</v>
      </c>
      <c r="AS21" s="4">
        <f t="shared" si="44"/>
        <v>0</v>
      </c>
      <c r="AT21" s="4">
        <f t="shared" si="44"/>
        <v>0</v>
      </c>
      <c r="AU21" s="4">
        <f t="shared" si="44"/>
        <v>0</v>
      </c>
      <c r="AV21" s="4">
        <f t="shared" si="44"/>
        <v>0</v>
      </c>
      <c r="AW21" s="4">
        <f t="shared" si="44"/>
        <v>0</v>
      </c>
      <c r="AX21" s="4">
        <f t="shared" si="44"/>
        <v>0</v>
      </c>
      <c r="AY21" s="4">
        <f t="shared" si="44"/>
        <v>0</v>
      </c>
      <c r="AZ21" s="4">
        <f t="shared" si="44"/>
        <v>0</v>
      </c>
      <c r="BA21" s="4">
        <f t="shared" si="44"/>
        <v>0</v>
      </c>
      <c r="BB21" s="4">
        <f t="shared" si="44"/>
        <v>0</v>
      </c>
      <c r="BC21" s="4">
        <f t="shared" si="44"/>
        <v>0</v>
      </c>
      <c r="BD21" s="4">
        <f t="shared" si="44"/>
        <v>0</v>
      </c>
      <c r="BE21" s="4">
        <f t="shared" si="44"/>
        <v>0</v>
      </c>
      <c r="BF21" s="4">
        <f t="shared" si="44"/>
        <v>0</v>
      </c>
      <c r="BG21" s="4">
        <f t="shared" si="44"/>
        <v>0</v>
      </c>
      <c r="BH21" s="4">
        <f t="shared" si="45"/>
        <v>0</v>
      </c>
      <c r="BI21" s="4">
        <f t="shared" si="45"/>
        <v>0</v>
      </c>
      <c r="BJ21" s="4">
        <f t="shared" si="45"/>
        <v>0</v>
      </c>
      <c r="BK21" s="4">
        <f t="shared" si="45"/>
        <v>0</v>
      </c>
      <c r="BL21" s="4">
        <f t="shared" si="45"/>
        <v>0</v>
      </c>
      <c r="BM21" s="4">
        <f t="shared" si="45"/>
        <v>0</v>
      </c>
      <c r="BN21" s="4">
        <f t="shared" si="45"/>
        <v>0</v>
      </c>
    </row>
    <row r="22" spans="1:66" x14ac:dyDescent="0.2">
      <c r="A22" t="s">
        <v>36</v>
      </c>
      <c r="B22" t="s">
        <v>10</v>
      </c>
      <c r="D22" t="s">
        <v>48</v>
      </c>
      <c r="G22" t="e">
        <f>AL28/AP28</f>
        <v>#DIV/0!</v>
      </c>
      <c r="K22">
        <f>AVERAGE(C39:C50)</f>
        <v>2.9166666666666665</v>
      </c>
      <c r="L22">
        <f>MEDIAN(C39:C50)</f>
        <v>3</v>
      </c>
      <c r="M22">
        <f>MAX(C39:C50)</f>
        <v>5</v>
      </c>
      <c r="N22">
        <f>_xlfn.STDEV.S(C39:C50)</f>
        <v>1.1645001528813153</v>
      </c>
      <c r="Z22">
        <f t="shared" si="35"/>
        <v>0</v>
      </c>
      <c r="AA22">
        <f t="shared" si="36"/>
        <v>0</v>
      </c>
      <c r="AE22">
        <f t="shared" si="37"/>
        <v>0</v>
      </c>
      <c r="AF22">
        <f t="shared" si="38"/>
        <v>0</v>
      </c>
      <c r="AG22">
        <f t="shared" si="39"/>
        <v>0</v>
      </c>
      <c r="AK22">
        <f t="shared" si="40"/>
        <v>0</v>
      </c>
      <c r="AL22">
        <f t="shared" si="41"/>
        <v>0</v>
      </c>
      <c r="AM22">
        <f t="shared" si="42"/>
        <v>0</v>
      </c>
      <c r="AN22">
        <f t="shared" si="43"/>
        <v>0</v>
      </c>
      <c r="AP22">
        <f t="shared" si="46"/>
        <v>0</v>
      </c>
      <c r="AQ22" s="4">
        <f t="shared" si="47"/>
        <v>0</v>
      </c>
      <c r="AR22" s="4">
        <f t="shared" si="44"/>
        <v>0</v>
      </c>
      <c r="AS22" s="4">
        <f t="shared" si="44"/>
        <v>0</v>
      </c>
      <c r="AT22" s="4">
        <f t="shared" si="44"/>
        <v>0</v>
      </c>
      <c r="AU22" s="4">
        <f t="shared" si="44"/>
        <v>0</v>
      </c>
      <c r="AV22" s="4">
        <f t="shared" si="44"/>
        <v>0</v>
      </c>
      <c r="AW22" s="4">
        <f t="shared" si="44"/>
        <v>0</v>
      </c>
      <c r="AX22" s="4">
        <f t="shared" si="44"/>
        <v>0</v>
      </c>
      <c r="AY22" s="4">
        <f t="shared" si="44"/>
        <v>0</v>
      </c>
      <c r="AZ22" s="4">
        <f t="shared" si="44"/>
        <v>0</v>
      </c>
      <c r="BA22" s="4">
        <f t="shared" si="44"/>
        <v>0</v>
      </c>
      <c r="BB22" s="4">
        <f t="shared" si="44"/>
        <v>0</v>
      </c>
      <c r="BC22" s="4">
        <f t="shared" si="44"/>
        <v>0</v>
      </c>
      <c r="BD22" s="4">
        <f t="shared" si="44"/>
        <v>0</v>
      </c>
      <c r="BE22" s="4">
        <f t="shared" si="44"/>
        <v>0</v>
      </c>
      <c r="BF22" s="4">
        <f t="shared" si="44"/>
        <v>0</v>
      </c>
      <c r="BG22" s="4">
        <f t="shared" si="44"/>
        <v>0</v>
      </c>
      <c r="BH22" s="4">
        <f t="shared" si="45"/>
        <v>0</v>
      </c>
      <c r="BI22" s="4">
        <f t="shared" si="45"/>
        <v>0</v>
      </c>
      <c r="BJ22" s="4">
        <f t="shared" si="45"/>
        <v>0</v>
      </c>
      <c r="BK22" s="4">
        <f t="shared" si="45"/>
        <v>0</v>
      </c>
      <c r="BL22" s="4">
        <f t="shared" si="45"/>
        <v>0</v>
      </c>
      <c r="BM22" s="4">
        <f t="shared" si="45"/>
        <v>0</v>
      </c>
      <c r="BN22" s="4">
        <f t="shared" si="45"/>
        <v>0</v>
      </c>
    </row>
    <row r="23" spans="1:66" x14ac:dyDescent="0.2">
      <c r="A23" t="s">
        <v>37</v>
      </c>
      <c r="B23" t="s">
        <v>25</v>
      </c>
      <c r="D23">
        <f>H16/A31</f>
        <v>0</v>
      </c>
      <c r="G23" t="s">
        <v>77</v>
      </c>
      <c r="K23" t="s">
        <v>8</v>
      </c>
      <c r="Z23">
        <f t="shared" si="35"/>
        <v>0</v>
      </c>
      <c r="AA23">
        <f t="shared" si="36"/>
        <v>0</v>
      </c>
      <c r="AE23">
        <f t="shared" si="37"/>
        <v>0</v>
      </c>
      <c r="AF23">
        <f t="shared" si="38"/>
        <v>0</v>
      </c>
      <c r="AG23">
        <f t="shared" si="39"/>
        <v>0</v>
      </c>
      <c r="AK23">
        <f t="shared" si="40"/>
        <v>0</v>
      </c>
      <c r="AL23">
        <f t="shared" si="41"/>
        <v>0</v>
      </c>
      <c r="AM23">
        <f t="shared" si="42"/>
        <v>0</v>
      </c>
      <c r="AN23">
        <f t="shared" si="43"/>
        <v>0</v>
      </c>
      <c r="AP23">
        <f t="shared" si="46"/>
        <v>0</v>
      </c>
      <c r="AQ23" s="4">
        <f t="shared" si="47"/>
        <v>0</v>
      </c>
      <c r="AR23" s="4">
        <f t="shared" si="44"/>
        <v>0</v>
      </c>
      <c r="AS23" s="4">
        <f t="shared" si="44"/>
        <v>0</v>
      </c>
      <c r="AT23" s="4">
        <f t="shared" si="44"/>
        <v>0</v>
      </c>
      <c r="AU23" s="4">
        <f t="shared" si="44"/>
        <v>0</v>
      </c>
      <c r="AV23" s="4">
        <f t="shared" si="44"/>
        <v>0</v>
      </c>
      <c r="AW23" s="4">
        <f t="shared" si="44"/>
        <v>0</v>
      </c>
      <c r="AX23" s="4">
        <f t="shared" si="44"/>
        <v>0</v>
      </c>
      <c r="AY23" s="4">
        <f t="shared" si="44"/>
        <v>0</v>
      </c>
      <c r="AZ23" s="4">
        <f t="shared" si="44"/>
        <v>0</v>
      </c>
      <c r="BA23" s="4">
        <f t="shared" si="44"/>
        <v>0</v>
      </c>
      <c r="BB23" s="4">
        <f t="shared" si="44"/>
        <v>0</v>
      </c>
      <c r="BC23" s="4">
        <f t="shared" si="44"/>
        <v>0</v>
      </c>
      <c r="BD23" s="4">
        <f t="shared" si="44"/>
        <v>0</v>
      </c>
      <c r="BE23" s="4">
        <f t="shared" si="44"/>
        <v>0</v>
      </c>
      <c r="BF23" s="4">
        <f t="shared" si="44"/>
        <v>0</v>
      </c>
      <c r="BG23" s="4">
        <f t="shared" si="44"/>
        <v>0</v>
      </c>
      <c r="BH23" s="4">
        <f t="shared" si="45"/>
        <v>0</v>
      </c>
      <c r="BI23" s="4">
        <f t="shared" si="45"/>
        <v>0</v>
      </c>
      <c r="BJ23" s="4">
        <f t="shared" si="45"/>
        <v>0</v>
      </c>
      <c r="BK23" s="4">
        <f t="shared" si="45"/>
        <v>0</v>
      </c>
      <c r="BL23" s="4">
        <f t="shared" si="45"/>
        <v>0</v>
      </c>
      <c r="BM23" s="4">
        <f t="shared" si="45"/>
        <v>0</v>
      </c>
      <c r="BN23" s="4">
        <f t="shared" si="45"/>
        <v>0</v>
      </c>
    </row>
    <row r="24" spans="1:66" x14ac:dyDescent="0.2">
      <c r="A24" t="s">
        <v>38</v>
      </c>
      <c r="B24" t="s">
        <v>26</v>
      </c>
      <c r="D24" t="s">
        <v>50</v>
      </c>
      <c r="G24" t="e">
        <f>AM28/AP28</f>
        <v>#DIV/0!</v>
      </c>
      <c r="K24" t="s">
        <v>57</v>
      </c>
      <c r="L24" t="s">
        <v>61</v>
      </c>
      <c r="M24" t="s">
        <v>59</v>
      </c>
      <c r="N24" t="s">
        <v>60</v>
      </c>
      <c r="Z24">
        <f t="shared" si="35"/>
        <v>0</v>
      </c>
      <c r="AA24">
        <f t="shared" si="36"/>
        <v>0</v>
      </c>
      <c r="AE24">
        <f t="shared" si="37"/>
        <v>0</v>
      </c>
      <c r="AF24">
        <f t="shared" si="38"/>
        <v>0</v>
      </c>
      <c r="AG24">
        <f t="shared" si="39"/>
        <v>0</v>
      </c>
      <c r="AK24">
        <f t="shared" si="40"/>
        <v>0</v>
      </c>
      <c r="AL24">
        <f t="shared" si="41"/>
        <v>0</v>
      </c>
      <c r="AM24">
        <f t="shared" si="42"/>
        <v>0</v>
      </c>
      <c r="AN24">
        <f t="shared" si="43"/>
        <v>0</v>
      </c>
      <c r="AP24">
        <f t="shared" si="46"/>
        <v>0</v>
      </c>
      <c r="AQ24" s="4">
        <f t="shared" si="47"/>
        <v>0</v>
      </c>
      <c r="AR24" s="4">
        <f t="shared" si="44"/>
        <v>0</v>
      </c>
      <c r="AS24" s="4">
        <f t="shared" si="44"/>
        <v>0</v>
      </c>
      <c r="AT24" s="4">
        <f t="shared" si="44"/>
        <v>0</v>
      </c>
      <c r="AU24" s="4">
        <f t="shared" si="44"/>
        <v>0</v>
      </c>
      <c r="AV24" s="4">
        <f t="shared" si="44"/>
        <v>0</v>
      </c>
      <c r="AW24" s="4">
        <f t="shared" si="44"/>
        <v>0</v>
      </c>
      <c r="AX24" s="4">
        <f t="shared" si="44"/>
        <v>0</v>
      </c>
      <c r="AY24" s="4">
        <f t="shared" si="44"/>
        <v>0</v>
      </c>
      <c r="AZ24" s="4">
        <f t="shared" si="44"/>
        <v>0</v>
      </c>
      <c r="BA24" s="4">
        <f t="shared" si="44"/>
        <v>0</v>
      </c>
      <c r="BB24" s="4">
        <f t="shared" si="44"/>
        <v>0</v>
      </c>
      <c r="BC24" s="4">
        <f t="shared" si="44"/>
        <v>0</v>
      </c>
      <c r="BD24" s="4">
        <f t="shared" si="44"/>
        <v>0</v>
      </c>
      <c r="BE24" s="4">
        <f t="shared" si="44"/>
        <v>0</v>
      </c>
      <c r="BF24" s="4">
        <f t="shared" si="44"/>
        <v>0</v>
      </c>
      <c r="BG24" s="4">
        <f t="shared" si="44"/>
        <v>0</v>
      </c>
      <c r="BH24" s="4">
        <f t="shared" si="45"/>
        <v>0</v>
      </c>
      <c r="BI24" s="4">
        <f t="shared" si="45"/>
        <v>0</v>
      </c>
      <c r="BJ24" s="4">
        <f t="shared" si="45"/>
        <v>0</v>
      </c>
      <c r="BK24" s="4">
        <f t="shared" si="45"/>
        <v>0</v>
      </c>
      <c r="BL24" s="4">
        <f t="shared" si="45"/>
        <v>0</v>
      </c>
      <c r="BM24" s="4">
        <f t="shared" si="45"/>
        <v>0</v>
      </c>
      <c r="BN24" s="4">
        <f t="shared" si="45"/>
        <v>0</v>
      </c>
    </row>
    <row r="25" spans="1:66" x14ac:dyDescent="0.2">
      <c r="A25" t="s">
        <v>39</v>
      </c>
      <c r="B25" t="s">
        <v>27</v>
      </c>
      <c r="D25">
        <f>Z28/A31</f>
        <v>0</v>
      </c>
      <c r="G25" t="s">
        <v>78</v>
      </c>
      <c r="K25">
        <f>AVERAGE(E39:E50)</f>
        <v>0</v>
      </c>
      <c r="L25">
        <f>MEDIAN(E39:E50)</f>
        <v>0</v>
      </c>
      <c r="M25">
        <f>MAX(E39:E50)</f>
        <v>0</v>
      </c>
      <c r="N25">
        <f>_xlfn.STDEV.S(E39:E50)</f>
        <v>0</v>
      </c>
      <c r="Z25">
        <f t="shared" si="35"/>
        <v>0</v>
      </c>
      <c r="AA25">
        <f t="shared" si="36"/>
        <v>0</v>
      </c>
      <c r="AE25">
        <f t="shared" si="37"/>
        <v>0</v>
      </c>
      <c r="AF25">
        <f t="shared" si="38"/>
        <v>0</v>
      </c>
      <c r="AG25">
        <f t="shared" si="39"/>
        <v>0</v>
      </c>
      <c r="AK25">
        <f t="shared" si="40"/>
        <v>0</v>
      </c>
      <c r="AL25">
        <f t="shared" si="41"/>
        <v>0</v>
      </c>
      <c r="AM25">
        <f t="shared" si="42"/>
        <v>0</v>
      </c>
      <c r="AN25">
        <f t="shared" si="43"/>
        <v>0</v>
      </c>
      <c r="AP25">
        <f t="shared" si="46"/>
        <v>0</v>
      </c>
      <c r="AQ25" s="4">
        <f t="shared" si="47"/>
        <v>0</v>
      </c>
      <c r="AR25" s="4">
        <f t="shared" si="44"/>
        <v>0</v>
      </c>
      <c r="AS25" s="4">
        <f t="shared" si="44"/>
        <v>0</v>
      </c>
      <c r="AT25" s="4">
        <f t="shared" si="44"/>
        <v>0</v>
      </c>
      <c r="AU25" s="4">
        <f t="shared" si="44"/>
        <v>0</v>
      </c>
      <c r="AV25" s="4">
        <f t="shared" si="44"/>
        <v>0</v>
      </c>
      <c r="AW25" s="4">
        <f t="shared" si="44"/>
        <v>0</v>
      </c>
      <c r="AX25" s="4">
        <f t="shared" si="44"/>
        <v>0</v>
      </c>
      <c r="AY25" s="4">
        <f t="shared" si="44"/>
        <v>0</v>
      </c>
      <c r="AZ25" s="4">
        <f t="shared" si="44"/>
        <v>0</v>
      </c>
      <c r="BA25" s="4">
        <f t="shared" si="44"/>
        <v>0</v>
      </c>
      <c r="BB25" s="4">
        <f t="shared" si="44"/>
        <v>0</v>
      </c>
      <c r="BC25" s="4">
        <f t="shared" si="44"/>
        <v>0</v>
      </c>
      <c r="BD25" s="4">
        <f t="shared" si="44"/>
        <v>0</v>
      </c>
      <c r="BE25" s="4">
        <f t="shared" si="44"/>
        <v>0</v>
      </c>
      <c r="BF25" s="4">
        <f t="shared" si="44"/>
        <v>0</v>
      </c>
      <c r="BG25" s="4">
        <f t="shared" si="44"/>
        <v>0</v>
      </c>
      <c r="BH25" s="4">
        <f t="shared" si="45"/>
        <v>0</v>
      </c>
      <c r="BI25" s="4">
        <f t="shared" si="45"/>
        <v>0</v>
      </c>
      <c r="BJ25" s="4">
        <f t="shared" si="45"/>
        <v>0</v>
      </c>
      <c r="BK25" s="4">
        <f t="shared" si="45"/>
        <v>0</v>
      </c>
      <c r="BL25" s="4">
        <f t="shared" si="45"/>
        <v>0</v>
      </c>
      <c r="BM25" s="4">
        <f t="shared" si="45"/>
        <v>0</v>
      </c>
      <c r="BN25" s="4">
        <f t="shared" si="45"/>
        <v>0</v>
      </c>
    </row>
    <row r="26" spans="1:66" x14ac:dyDescent="0.2">
      <c r="A26" t="s">
        <v>44</v>
      </c>
      <c r="D26" t="s">
        <v>51</v>
      </c>
      <c r="G26" t="e">
        <f>AN28/AP28</f>
        <v>#DIV/0!</v>
      </c>
      <c r="K26" t="s">
        <v>62</v>
      </c>
      <c r="P26" t="s">
        <v>19</v>
      </c>
      <c r="Z26">
        <f t="shared" si="35"/>
        <v>0</v>
      </c>
      <c r="AA26">
        <f t="shared" si="36"/>
        <v>0</v>
      </c>
      <c r="AE26">
        <f t="shared" si="37"/>
        <v>0</v>
      </c>
      <c r="AF26">
        <f t="shared" si="38"/>
        <v>0</v>
      </c>
      <c r="AG26">
        <f t="shared" si="39"/>
        <v>0</v>
      </c>
      <c r="AK26">
        <f t="shared" si="40"/>
        <v>0</v>
      </c>
      <c r="AL26">
        <f t="shared" si="41"/>
        <v>0</v>
      </c>
      <c r="AM26">
        <f t="shared" si="42"/>
        <v>0</v>
      </c>
      <c r="AN26">
        <f t="shared" si="43"/>
        <v>0</v>
      </c>
      <c r="AP26">
        <f t="shared" si="46"/>
        <v>0</v>
      </c>
      <c r="AQ26" s="4">
        <f t="shared" si="47"/>
        <v>0</v>
      </c>
      <c r="AR26" s="4">
        <f t="shared" si="44"/>
        <v>0</v>
      </c>
      <c r="AS26" s="4">
        <f t="shared" si="44"/>
        <v>0</v>
      </c>
      <c r="AT26" s="4">
        <f t="shared" si="44"/>
        <v>0</v>
      </c>
      <c r="AU26" s="4">
        <f t="shared" si="44"/>
        <v>0</v>
      </c>
      <c r="AV26" s="4">
        <f t="shared" si="44"/>
        <v>0</v>
      </c>
      <c r="AW26" s="4">
        <f t="shared" si="44"/>
        <v>0</v>
      </c>
      <c r="AX26" s="4">
        <f t="shared" si="44"/>
        <v>0</v>
      </c>
      <c r="AY26" s="4">
        <f t="shared" si="44"/>
        <v>0</v>
      </c>
      <c r="AZ26" s="4">
        <f t="shared" si="44"/>
        <v>0</v>
      </c>
      <c r="BA26" s="4">
        <f t="shared" si="44"/>
        <v>0</v>
      </c>
      <c r="BB26" s="4">
        <f t="shared" si="44"/>
        <v>0</v>
      </c>
      <c r="BC26" s="4">
        <f t="shared" si="44"/>
        <v>0</v>
      </c>
      <c r="BD26" s="4">
        <f t="shared" si="44"/>
        <v>0</v>
      </c>
      <c r="BE26" s="4">
        <f t="shared" si="44"/>
        <v>0</v>
      </c>
      <c r="BF26" s="4">
        <f t="shared" si="44"/>
        <v>0</v>
      </c>
      <c r="BG26" s="4">
        <f t="shared" si="44"/>
        <v>0</v>
      </c>
      <c r="BH26" s="4">
        <f t="shared" si="45"/>
        <v>0</v>
      </c>
      <c r="BI26" s="4">
        <f t="shared" si="45"/>
        <v>0</v>
      </c>
      <c r="BJ26" s="4">
        <f t="shared" si="45"/>
        <v>0</v>
      </c>
      <c r="BK26" s="4">
        <f t="shared" si="45"/>
        <v>0</v>
      </c>
      <c r="BL26" s="4">
        <f t="shared" si="45"/>
        <v>0</v>
      </c>
      <c r="BM26" s="4">
        <f t="shared" si="45"/>
        <v>0</v>
      </c>
      <c r="BN26" s="4">
        <f t="shared" si="45"/>
        <v>0</v>
      </c>
    </row>
    <row r="27" spans="1:66" x14ac:dyDescent="0.2">
      <c r="A27" t="s">
        <v>45</v>
      </c>
      <c r="D27">
        <f>AA28/A31</f>
        <v>0</v>
      </c>
      <c r="G27" t="s">
        <v>56</v>
      </c>
      <c r="K27" t="s">
        <v>57</v>
      </c>
      <c r="L27" t="s">
        <v>58</v>
      </c>
      <c r="M27" t="s">
        <v>59</v>
      </c>
      <c r="N27" t="s">
        <v>60</v>
      </c>
      <c r="P27" t="s">
        <v>57</v>
      </c>
      <c r="Q27" t="s">
        <v>58</v>
      </c>
      <c r="R27" t="s">
        <v>59</v>
      </c>
      <c r="S27" t="s">
        <v>60</v>
      </c>
      <c r="Z27">
        <f t="shared" si="35"/>
        <v>0</v>
      </c>
      <c r="AA27">
        <f t="shared" si="36"/>
        <v>0</v>
      </c>
      <c r="AE27">
        <f t="shared" si="37"/>
        <v>0</v>
      </c>
      <c r="AF27">
        <f t="shared" si="38"/>
        <v>0</v>
      </c>
      <c r="AG27">
        <f t="shared" si="39"/>
        <v>0</v>
      </c>
      <c r="AK27">
        <f t="shared" si="40"/>
        <v>0</v>
      </c>
      <c r="AL27">
        <f t="shared" si="41"/>
        <v>0</v>
      </c>
      <c r="AM27">
        <f t="shared" si="42"/>
        <v>0</v>
      </c>
      <c r="AN27">
        <f t="shared" si="43"/>
        <v>0</v>
      </c>
      <c r="AP27">
        <f t="shared" si="46"/>
        <v>0</v>
      </c>
      <c r="AQ27" s="4">
        <f t="shared" si="47"/>
        <v>0</v>
      </c>
      <c r="AR27" s="4">
        <f t="shared" si="44"/>
        <v>0</v>
      </c>
      <c r="AS27" s="4">
        <f t="shared" si="44"/>
        <v>0</v>
      </c>
      <c r="AT27" s="4">
        <f t="shared" si="44"/>
        <v>0</v>
      </c>
      <c r="AU27" s="4">
        <f t="shared" si="44"/>
        <v>0</v>
      </c>
      <c r="AV27" s="4">
        <f t="shared" si="44"/>
        <v>0</v>
      </c>
      <c r="AW27" s="4">
        <f t="shared" si="44"/>
        <v>0</v>
      </c>
      <c r="AX27" s="4">
        <f t="shared" si="44"/>
        <v>0</v>
      </c>
      <c r="AY27" s="4">
        <f t="shared" si="44"/>
        <v>0</v>
      </c>
      <c r="AZ27" s="4">
        <f t="shared" si="44"/>
        <v>0</v>
      </c>
      <c r="BA27" s="4">
        <f t="shared" si="44"/>
        <v>0</v>
      </c>
      <c r="BB27" s="4">
        <f t="shared" si="44"/>
        <v>0</v>
      </c>
      <c r="BC27" s="4">
        <f t="shared" si="44"/>
        <v>0</v>
      </c>
      <c r="BD27" s="4">
        <f t="shared" si="44"/>
        <v>0</v>
      </c>
      <c r="BE27" s="4">
        <f t="shared" si="44"/>
        <v>0</v>
      </c>
      <c r="BF27" s="4">
        <f t="shared" si="44"/>
        <v>0</v>
      </c>
      <c r="BG27" s="4">
        <f t="shared" si="44"/>
        <v>0</v>
      </c>
      <c r="BH27" s="4">
        <f t="shared" si="45"/>
        <v>0</v>
      </c>
      <c r="BI27" s="4">
        <f t="shared" si="45"/>
        <v>0</v>
      </c>
      <c r="BJ27" s="4">
        <f t="shared" si="45"/>
        <v>0</v>
      </c>
      <c r="BK27" s="4">
        <f t="shared" si="45"/>
        <v>0</v>
      </c>
      <c r="BL27" s="4">
        <f t="shared" si="45"/>
        <v>0</v>
      </c>
      <c r="BM27" s="4">
        <f t="shared" si="45"/>
        <v>0</v>
      </c>
      <c r="BN27" s="4">
        <f t="shared" si="45"/>
        <v>0</v>
      </c>
    </row>
    <row r="28" spans="1:66" x14ac:dyDescent="0.2">
      <c r="A28" t="s">
        <v>46</v>
      </c>
      <c r="D28" t="s">
        <v>202</v>
      </c>
      <c r="G28" t="s">
        <v>57</v>
      </c>
      <c r="H28" t="s">
        <v>58</v>
      </c>
      <c r="I28" t="s">
        <v>59</v>
      </c>
      <c r="J28" t="s">
        <v>60</v>
      </c>
      <c r="K28">
        <f>AVERAGE(G39:G50)</f>
        <v>0</v>
      </c>
      <c r="L28">
        <f>MEDIAN(G39:G50)</f>
        <v>0</v>
      </c>
      <c r="M28">
        <f>MAX(G39:G50)</f>
        <v>0</v>
      </c>
      <c r="N28">
        <f>_xlfn.STDEV.S(G39:G50)</f>
        <v>0</v>
      </c>
      <c r="P28">
        <f>AVERAGE(N39:N50)</f>
        <v>5</v>
      </c>
      <c r="Q28">
        <f>MEDIAN(N39:N50)</f>
        <v>1.5</v>
      </c>
      <c r="R28">
        <f>MAX(N39:N50)</f>
        <v>23</v>
      </c>
      <c r="S28">
        <f>_xlfn.STDEV.S(N39:N50)</f>
        <v>7.9085684257932893</v>
      </c>
      <c r="Y28" t="s">
        <v>33</v>
      </c>
      <c r="Z28">
        <f>SUM(Z16:Z27)</f>
        <v>0</v>
      </c>
      <c r="AA28">
        <f>SUM(AA16:AA27)</f>
        <v>0</v>
      </c>
      <c r="AE28">
        <f>SUM(AE16:AE27)</f>
        <v>0</v>
      </c>
      <c r="AF28">
        <f>SUM(AF16:AF27)</f>
        <v>1</v>
      </c>
      <c r="AG28">
        <f>SUM(AG16:AG27)</f>
        <v>0</v>
      </c>
      <c r="AK28">
        <f>SUM(AK16:AK27)</f>
        <v>0</v>
      </c>
      <c r="AL28">
        <f>SUM(AL16:AL27)</f>
        <v>0</v>
      </c>
      <c r="AM28">
        <f>SUM(AM16:AM27)</f>
        <v>0</v>
      </c>
      <c r="AN28">
        <f>SUM(AN16:AN27)</f>
        <v>0</v>
      </c>
      <c r="AP28">
        <f>SUM(AP16:AP27)</f>
        <v>0</v>
      </c>
    </row>
    <row r="29" spans="1:66" x14ac:dyDescent="0.2">
      <c r="D29">
        <f>SUM(O39:O50)/F16</f>
        <v>0</v>
      </c>
      <c r="G29">
        <f>AVERAGE(A39:A50)</f>
        <v>8.3333333333333329E-2</v>
      </c>
      <c r="H29">
        <f>MEDIAN(A39:A50)</f>
        <v>0</v>
      </c>
      <c r="I29">
        <f>MAX(A39:A50)</f>
        <v>1</v>
      </c>
      <c r="J29">
        <f>_xlfn.STDEV.S(A39:A50)</f>
        <v>0.28867513459481287</v>
      </c>
      <c r="K29" t="s">
        <v>63</v>
      </c>
      <c r="P29" t="s">
        <v>148</v>
      </c>
    </row>
    <row r="30" spans="1:66" x14ac:dyDescent="0.2">
      <c r="A30" t="s">
        <v>147</v>
      </c>
      <c r="D30" t="s">
        <v>203</v>
      </c>
      <c r="G30" t="s">
        <v>50</v>
      </c>
      <c r="H30" t="s">
        <v>51</v>
      </c>
      <c r="I30" t="s">
        <v>89</v>
      </c>
      <c r="K30" t="s">
        <v>57</v>
      </c>
      <c r="L30" t="s">
        <v>58</v>
      </c>
      <c r="M30" t="s">
        <v>59</v>
      </c>
      <c r="N30" t="s">
        <v>60</v>
      </c>
      <c r="P30" t="s">
        <v>57</v>
      </c>
      <c r="Q30" t="s">
        <v>58</v>
      </c>
      <c r="R30" t="s">
        <v>59</v>
      </c>
      <c r="S30" t="s">
        <v>60</v>
      </c>
      <c r="W30" t="s">
        <v>148</v>
      </c>
      <c r="Y30" t="s">
        <v>149</v>
      </c>
      <c r="AH30" t="s">
        <v>79</v>
      </c>
    </row>
    <row r="31" spans="1:66" x14ac:dyDescent="0.2">
      <c r="A31">
        <f>COUNT(B4:B15)</f>
        <v>12</v>
      </c>
      <c r="D31" s="2">
        <f>SUM(S39:S50)/SUM(Q39:Q50)</f>
        <v>0.375</v>
      </c>
      <c r="G31">
        <f>AE28/A31</f>
        <v>0</v>
      </c>
      <c r="H31">
        <f>AF28/A31</f>
        <v>8.3333333333333329E-2</v>
      </c>
      <c r="I31">
        <f>AG28/A31</f>
        <v>0</v>
      </c>
      <c r="K31" t="e">
        <f>AVERAGE(I39:I50)</f>
        <v>#DIV/0!</v>
      </c>
      <c r="L31" t="e">
        <f>MEDIAN(I39:I50)</f>
        <v>#NUM!</v>
      </c>
      <c r="M31">
        <f>MAX(I39:I50)</f>
        <v>0</v>
      </c>
      <c r="N31" t="e">
        <f>_xlfn.STDEV.S(I39:I50)</f>
        <v>#DIV/0!</v>
      </c>
      <c r="P31" t="e">
        <f>AVERAGE(W31:W42)</f>
        <v>#DIV/0!</v>
      </c>
      <c r="Q31" t="e">
        <f>MEDIAN(W31:W42)</f>
        <v>#NUM!</v>
      </c>
      <c r="R31">
        <f>MAX(W31:W42)</f>
        <v>0</v>
      </c>
      <c r="S31" t="e">
        <f>_xlfn.STDEV.S(W31:W42)</f>
        <v>#DIV/0!</v>
      </c>
      <c r="W31" t="str">
        <f t="shared" ref="W31:W33" si="48">IF(AND(ISBLANK(Q4), ISBLANK(R4), ISBLANK(G4), ISBLANK(H4)), "", U4)</f>
        <v/>
      </c>
      <c r="Y31" t="str">
        <f t="shared" ref="Y31:Y42" si="49">IF(ISBLANK(Y4), IF(X4 = 0, "", (G4 + H4/3 + V4/9 + W4/3)), U4)</f>
        <v/>
      </c>
      <c r="AH31" t="s">
        <v>80</v>
      </c>
    </row>
    <row r="32" spans="1:66" x14ac:dyDescent="0.2">
      <c r="D32" s="3"/>
      <c r="K32" t="s">
        <v>64</v>
      </c>
      <c r="P32" t="s">
        <v>149</v>
      </c>
      <c r="W32" t="str">
        <f t="shared" si="48"/>
        <v/>
      </c>
      <c r="Y32" t="str">
        <f t="shared" si="49"/>
        <v/>
      </c>
      <c r="AH32" t="s">
        <v>81</v>
      </c>
    </row>
    <row r="33" spans="1:34" x14ac:dyDescent="0.2">
      <c r="D33" s="3"/>
      <c r="K33" t="s">
        <v>57</v>
      </c>
      <c r="L33" t="s">
        <v>58</v>
      </c>
      <c r="M33" t="s">
        <v>59</v>
      </c>
      <c r="N33" t="s">
        <v>60</v>
      </c>
      <c r="P33" t="s">
        <v>57</v>
      </c>
      <c r="Q33" t="s">
        <v>58</v>
      </c>
      <c r="R33" t="s">
        <v>59</v>
      </c>
      <c r="S33" t="s">
        <v>60</v>
      </c>
      <c r="W33" t="str">
        <f t="shared" si="48"/>
        <v/>
      </c>
      <c r="Y33" t="str">
        <f t="shared" si="49"/>
        <v/>
      </c>
      <c r="AH33" t="s">
        <v>82</v>
      </c>
    </row>
    <row r="34" spans="1:34" x14ac:dyDescent="0.2">
      <c r="D34" s="3"/>
      <c r="K34">
        <f>AVERAGE(K39:K50)</f>
        <v>0</v>
      </c>
      <c r="L34">
        <f>MEDIAN(K39:K50)</f>
        <v>0</v>
      </c>
      <c r="M34">
        <f>MAX(K39:K50)</f>
        <v>0</v>
      </c>
      <c r="N34">
        <f>_xlfn.STDEV.S(K39:K50)</f>
        <v>0</v>
      </c>
      <c r="P34" t="e">
        <f>AVERAGE(Y31:Y42)</f>
        <v>#DIV/0!</v>
      </c>
      <c r="Q34" t="e">
        <f>MEDIAN(Y31:Y42)</f>
        <v>#NUM!</v>
      </c>
      <c r="R34">
        <f>MAX(Y31:Y42)</f>
        <v>0</v>
      </c>
      <c r="S34" t="e">
        <f>_xlfn.STDEV.S(Y31:Y42)</f>
        <v>#DIV/0!</v>
      </c>
      <c r="W34" t="str">
        <f>IF(AND(ISBLANK(Q7), ISBLANK(R7), ISBLANK(G7), ISBLANK(H7)), "", U7)</f>
        <v/>
      </c>
      <c r="Y34" t="str">
        <f t="shared" si="49"/>
        <v/>
      </c>
      <c r="AH34" t="s">
        <v>83</v>
      </c>
    </row>
    <row r="35" spans="1:34" x14ac:dyDescent="0.2">
      <c r="P35" t="s">
        <v>95</v>
      </c>
      <c r="R35" t="s">
        <v>197</v>
      </c>
      <c r="W35" t="str">
        <f t="shared" ref="W35:W42" si="50">IF(AND(ISBLANK(Q8), ISBLANK(R8), ISBLANK(G8), ISBLANK(H8)), "", U8)</f>
        <v/>
      </c>
      <c r="Y35" t="str">
        <f t="shared" si="49"/>
        <v/>
      </c>
    </row>
    <row r="36" spans="1:34" x14ac:dyDescent="0.2">
      <c r="P36" t="e">
        <f>Q16/(Q16+R16)</f>
        <v>#DIV/0!</v>
      </c>
      <c r="R36" t="e">
        <f>R16/(Q16+R16)</f>
        <v>#DIV/0!</v>
      </c>
      <c r="W36" t="str">
        <f t="shared" si="50"/>
        <v/>
      </c>
      <c r="Y36" t="str">
        <f t="shared" si="49"/>
        <v/>
      </c>
    </row>
    <row r="37" spans="1:34" x14ac:dyDescent="0.2">
      <c r="W37" t="str">
        <f t="shared" si="50"/>
        <v/>
      </c>
      <c r="Y37" t="str">
        <f t="shared" si="49"/>
        <v/>
      </c>
    </row>
    <row r="38" spans="1:34" x14ac:dyDescent="0.2">
      <c r="A38" t="s">
        <v>68</v>
      </c>
      <c r="C38" t="s">
        <v>69</v>
      </c>
      <c r="E38" t="s">
        <v>72</v>
      </c>
      <c r="G38" t="s">
        <v>250</v>
      </c>
      <c r="K38" t="s">
        <v>73</v>
      </c>
      <c r="M38" t="s">
        <v>70</v>
      </c>
      <c r="N38" t="s">
        <v>71</v>
      </c>
      <c r="O38" t="s">
        <v>199</v>
      </c>
      <c r="Q38" t="s">
        <v>200</v>
      </c>
      <c r="S38" t="s">
        <v>201</v>
      </c>
      <c r="W38" t="str">
        <f t="shared" si="50"/>
        <v/>
      </c>
      <c r="Y38" t="str">
        <f t="shared" si="49"/>
        <v/>
      </c>
    </row>
    <row r="39" spans="1:34" x14ac:dyDescent="0.2">
      <c r="A39">
        <f t="shared" ref="A39:A50" si="51">IF(ISBLANK(B4), "", SUM(AE16+AF16+AG16))</f>
        <v>1</v>
      </c>
      <c r="C39">
        <f t="shared" ref="C39:C50" si="52">IF(ISBLANK(B4), "", O4)</f>
        <v>2</v>
      </c>
      <c r="E39">
        <f t="shared" ref="E39:E50" si="53">IF(ISBLANK(B4), "", Q4)</f>
        <v>0</v>
      </c>
      <c r="G39">
        <f t="shared" ref="G39:G50" si="54">IF(ISBLANK(B4), "", R4)</f>
        <v>0</v>
      </c>
      <c r="K39">
        <f t="shared" ref="K39:K50" si="55">IF(ISBLANK(B4), "", SUM(Q4 + R4))</f>
        <v>0</v>
      </c>
      <c r="M39">
        <f t="shared" ref="M39:M50" si="56">IF(ISBLANK(B4), "", SUM(K4+M4) - O4)</f>
        <v>1</v>
      </c>
      <c r="N39">
        <f t="shared" ref="N39:N50" si="57">IF(ISBLANK(B4), "", U4)</f>
        <v>0</v>
      </c>
      <c r="O39">
        <f t="shared" ref="O39:O50" si="58">COUNTIF(E4, "1")*COUNTIF(F4, "1")</f>
        <v>0</v>
      </c>
      <c r="Q39">
        <f t="shared" ref="Q39:Q50" si="59">COUNTIF(D4, "1")*COUNTIF(F4, "")</f>
        <v>1</v>
      </c>
      <c r="S39">
        <f t="shared" ref="S39:S50" si="60">COUNTIF(E4, "1")*COUNTIF(F4, "")</f>
        <v>0</v>
      </c>
      <c r="W39" t="str">
        <f t="shared" si="50"/>
        <v/>
      </c>
      <c r="Y39" t="str">
        <f t="shared" si="49"/>
        <v/>
      </c>
    </row>
    <row r="40" spans="1:34" x14ac:dyDescent="0.2">
      <c r="A40">
        <f t="shared" si="51"/>
        <v>0</v>
      </c>
      <c r="C40">
        <f t="shared" si="52"/>
        <v>1</v>
      </c>
      <c r="E40">
        <f t="shared" si="53"/>
        <v>0</v>
      </c>
      <c r="G40">
        <f t="shared" si="54"/>
        <v>0</v>
      </c>
      <c r="K40">
        <f t="shared" si="55"/>
        <v>0</v>
      </c>
      <c r="M40">
        <f t="shared" si="56"/>
        <v>1</v>
      </c>
      <c r="N40">
        <f t="shared" si="57"/>
        <v>0</v>
      </c>
      <c r="O40">
        <f t="shared" si="58"/>
        <v>0</v>
      </c>
      <c r="Q40">
        <f t="shared" si="59"/>
        <v>1</v>
      </c>
      <c r="S40">
        <f t="shared" si="60"/>
        <v>1</v>
      </c>
      <c r="W40" t="str">
        <f t="shared" si="50"/>
        <v/>
      </c>
      <c r="Y40" t="str">
        <f t="shared" si="49"/>
        <v/>
      </c>
    </row>
    <row r="41" spans="1:34" x14ac:dyDescent="0.2">
      <c r="A41">
        <f t="shared" si="51"/>
        <v>0</v>
      </c>
      <c r="C41">
        <f t="shared" si="52"/>
        <v>3</v>
      </c>
      <c r="E41">
        <f t="shared" si="53"/>
        <v>0</v>
      </c>
      <c r="G41">
        <f t="shared" si="54"/>
        <v>0</v>
      </c>
      <c r="K41">
        <f t="shared" si="55"/>
        <v>0</v>
      </c>
      <c r="M41">
        <f t="shared" si="56"/>
        <v>0</v>
      </c>
      <c r="N41">
        <f t="shared" si="57"/>
        <v>23</v>
      </c>
      <c r="O41">
        <f t="shared" si="58"/>
        <v>0</v>
      </c>
      <c r="Q41">
        <f t="shared" si="59"/>
        <v>1</v>
      </c>
      <c r="S41">
        <f t="shared" si="60"/>
        <v>1</v>
      </c>
      <c r="W41" t="str">
        <f t="shared" si="50"/>
        <v/>
      </c>
      <c r="Y41" t="str">
        <f t="shared" si="49"/>
        <v/>
      </c>
    </row>
    <row r="42" spans="1:34" x14ac:dyDescent="0.2">
      <c r="A42">
        <f t="shared" si="51"/>
        <v>0</v>
      </c>
      <c r="C42">
        <f t="shared" si="52"/>
        <v>1</v>
      </c>
      <c r="E42">
        <f t="shared" si="53"/>
        <v>0</v>
      </c>
      <c r="G42">
        <f t="shared" si="54"/>
        <v>0</v>
      </c>
      <c r="K42">
        <f t="shared" si="55"/>
        <v>0</v>
      </c>
      <c r="M42">
        <f t="shared" si="56"/>
        <v>0</v>
      </c>
      <c r="N42">
        <f t="shared" si="57"/>
        <v>4</v>
      </c>
      <c r="O42">
        <f t="shared" si="58"/>
        <v>0</v>
      </c>
      <c r="Q42">
        <f t="shared" si="59"/>
        <v>0</v>
      </c>
      <c r="S42">
        <f t="shared" si="60"/>
        <v>0</v>
      </c>
      <c r="W42" t="str">
        <f t="shared" si="50"/>
        <v/>
      </c>
      <c r="Y42" t="str">
        <f t="shared" si="49"/>
        <v/>
      </c>
    </row>
    <row r="43" spans="1:34" x14ac:dyDescent="0.2">
      <c r="A43">
        <f t="shared" si="51"/>
        <v>0</v>
      </c>
      <c r="C43">
        <f t="shared" si="52"/>
        <v>3</v>
      </c>
      <c r="E43">
        <f t="shared" si="53"/>
        <v>0</v>
      </c>
      <c r="G43">
        <f t="shared" si="54"/>
        <v>0</v>
      </c>
      <c r="K43">
        <f t="shared" si="55"/>
        <v>0</v>
      </c>
      <c r="M43">
        <f t="shared" si="56"/>
        <v>1</v>
      </c>
      <c r="N43">
        <f t="shared" si="57"/>
        <v>0</v>
      </c>
      <c r="O43">
        <f t="shared" si="58"/>
        <v>0</v>
      </c>
      <c r="Q43">
        <f t="shared" si="59"/>
        <v>1</v>
      </c>
      <c r="S43">
        <f t="shared" si="60"/>
        <v>0</v>
      </c>
    </row>
    <row r="44" spans="1:34" x14ac:dyDescent="0.2">
      <c r="A44">
        <f t="shared" si="51"/>
        <v>0</v>
      </c>
      <c r="C44">
        <f t="shared" si="52"/>
        <v>3</v>
      </c>
      <c r="E44">
        <f t="shared" si="53"/>
        <v>0</v>
      </c>
      <c r="G44">
        <f t="shared" si="54"/>
        <v>0</v>
      </c>
      <c r="K44">
        <f t="shared" si="55"/>
        <v>0</v>
      </c>
      <c r="M44">
        <f t="shared" si="56"/>
        <v>2</v>
      </c>
      <c r="N44">
        <f t="shared" si="57"/>
        <v>0</v>
      </c>
      <c r="O44">
        <f t="shared" si="58"/>
        <v>0</v>
      </c>
      <c r="Q44">
        <f t="shared" si="59"/>
        <v>1</v>
      </c>
      <c r="S44">
        <f t="shared" si="60"/>
        <v>1</v>
      </c>
    </row>
    <row r="45" spans="1:34" x14ac:dyDescent="0.2">
      <c r="A45">
        <f t="shared" si="51"/>
        <v>0</v>
      </c>
      <c r="C45">
        <f t="shared" si="52"/>
        <v>4</v>
      </c>
      <c r="E45">
        <f t="shared" si="53"/>
        <v>0</v>
      </c>
      <c r="G45">
        <f t="shared" si="54"/>
        <v>0</v>
      </c>
      <c r="K45">
        <f t="shared" si="55"/>
        <v>0</v>
      </c>
      <c r="M45">
        <f t="shared" si="56"/>
        <v>0</v>
      </c>
      <c r="N45">
        <f t="shared" si="57"/>
        <v>19</v>
      </c>
      <c r="O45">
        <f t="shared" si="58"/>
        <v>0</v>
      </c>
      <c r="Q45">
        <f t="shared" si="59"/>
        <v>1</v>
      </c>
      <c r="S45">
        <f t="shared" si="60"/>
        <v>0</v>
      </c>
    </row>
    <row r="46" spans="1:34" x14ac:dyDescent="0.2">
      <c r="A46">
        <f t="shared" si="51"/>
        <v>0</v>
      </c>
      <c r="C46">
        <f t="shared" si="52"/>
        <v>4</v>
      </c>
      <c r="E46">
        <f t="shared" si="53"/>
        <v>0</v>
      </c>
      <c r="G46">
        <f t="shared" si="54"/>
        <v>0</v>
      </c>
      <c r="K46">
        <f t="shared" si="55"/>
        <v>0</v>
      </c>
      <c r="M46">
        <f t="shared" si="56"/>
        <v>0</v>
      </c>
      <c r="N46">
        <f t="shared" si="57"/>
        <v>0</v>
      </c>
      <c r="O46">
        <f t="shared" si="58"/>
        <v>0</v>
      </c>
      <c r="Q46">
        <f t="shared" si="59"/>
        <v>1</v>
      </c>
      <c r="S46">
        <f t="shared" si="60"/>
        <v>0</v>
      </c>
    </row>
    <row r="47" spans="1:34" x14ac:dyDescent="0.2">
      <c r="A47">
        <f t="shared" si="51"/>
        <v>0</v>
      </c>
      <c r="C47">
        <f t="shared" si="52"/>
        <v>3</v>
      </c>
      <c r="E47">
        <f t="shared" si="53"/>
        <v>0</v>
      </c>
      <c r="G47">
        <f t="shared" si="54"/>
        <v>0</v>
      </c>
      <c r="K47">
        <f t="shared" si="55"/>
        <v>0</v>
      </c>
      <c r="M47">
        <f t="shared" si="56"/>
        <v>-1</v>
      </c>
      <c r="N47">
        <f t="shared" si="57"/>
        <v>8</v>
      </c>
      <c r="O47">
        <f t="shared" si="58"/>
        <v>0</v>
      </c>
      <c r="Q47">
        <f t="shared" si="59"/>
        <v>0</v>
      </c>
      <c r="S47">
        <f t="shared" si="60"/>
        <v>0</v>
      </c>
    </row>
    <row r="48" spans="1:34" x14ac:dyDescent="0.2">
      <c r="A48">
        <f t="shared" si="51"/>
        <v>0</v>
      </c>
      <c r="C48">
        <f t="shared" si="52"/>
        <v>3</v>
      </c>
      <c r="E48">
        <f t="shared" si="53"/>
        <v>0</v>
      </c>
      <c r="G48">
        <f t="shared" si="54"/>
        <v>0</v>
      </c>
      <c r="K48">
        <f t="shared" si="55"/>
        <v>0</v>
      </c>
      <c r="M48">
        <f t="shared" si="56"/>
        <v>0</v>
      </c>
      <c r="N48">
        <f t="shared" si="57"/>
        <v>3</v>
      </c>
      <c r="O48">
        <f t="shared" si="58"/>
        <v>0</v>
      </c>
      <c r="Q48">
        <f t="shared" si="59"/>
        <v>1</v>
      </c>
      <c r="S48">
        <f t="shared" si="60"/>
        <v>0</v>
      </c>
    </row>
    <row r="49" spans="1:19" x14ac:dyDescent="0.2">
      <c r="A49">
        <f t="shared" si="51"/>
        <v>0</v>
      </c>
      <c r="C49">
        <f t="shared" si="52"/>
        <v>3</v>
      </c>
      <c r="E49">
        <f t="shared" si="53"/>
        <v>0</v>
      </c>
      <c r="G49">
        <f t="shared" si="54"/>
        <v>0</v>
      </c>
      <c r="K49">
        <f t="shared" si="55"/>
        <v>0</v>
      </c>
      <c r="M49">
        <f t="shared" si="56"/>
        <v>0</v>
      </c>
      <c r="N49">
        <f t="shared" si="57"/>
        <v>3</v>
      </c>
      <c r="O49">
        <f t="shared" si="58"/>
        <v>0</v>
      </c>
      <c r="Q49">
        <f t="shared" si="59"/>
        <v>0</v>
      </c>
      <c r="S49">
        <f t="shared" si="60"/>
        <v>0</v>
      </c>
    </row>
    <row r="50" spans="1:19" x14ac:dyDescent="0.2">
      <c r="A50">
        <f t="shared" si="51"/>
        <v>0</v>
      </c>
      <c r="C50">
        <f t="shared" si="52"/>
        <v>5</v>
      </c>
      <c r="E50">
        <f t="shared" si="53"/>
        <v>0</v>
      </c>
      <c r="G50">
        <f t="shared" si="54"/>
        <v>0</v>
      </c>
      <c r="K50">
        <f t="shared" si="55"/>
        <v>0</v>
      </c>
      <c r="M50">
        <f t="shared" si="56"/>
        <v>-1</v>
      </c>
      <c r="N50">
        <f t="shared" si="57"/>
        <v>0</v>
      </c>
      <c r="O50">
        <f t="shared" si="58"/>
        <v>0</v>
      </c>
      <c r="Q50">
        <f t="shared" si="59"/>
        <v>0</v>
      </c>
      <c r="S50">
        <f t="shared" si="60"/>
        <v>0</v>
      </c>
    </row>
  </sheetData>
  <pageMargins left="0.7" right="0.7" top="0.75" bottom="0.75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 enableFormatConditionsCalculation="0"/>
  <dimension ref="A1:BN50"/>
  <sheetViews>
    <sheetView workbookViewId="0">
      <selection activeCell="U15" sqref="U15"/>
    </sheetView>
  </sheetViews>
  <sheetFormatPr baseColWidth="10" defaultColWidth="11.5" defaultRowHeight="15" x14ac:dyDescent="0.2"/>
  <sheetData>
    <row r="1" spans="1:66" x14ac:dyDescent="0.2">
      <c r="A1" s="1" t="s">
        <v>0</v>
      </c>
      <c r="D1" t="s">
        <v>3</v>
      </c>
      <c r="K1" t="s">
        <v>11</v>
      </c>
      <c r="N1" t="s">
        <v>12</v>
      </c>
      <c r="P1" t="s">
        <v>14</v>
      </c>
      <c r="Q1" t="s">
        <v>17</v>
      </c>
      <c r="S1" t="s">
        <v>18</v>
      </c>
      <c r="Z1" t="s">
        <v>29</v>
      </c>
      <c r="AE1" t="s">
        <v>30</v>
      </c>
      <c r="AK1" t="s">
        <v>42</v>
      </c>
    </row>
    <row r="2" spans="1:66" x14ac:dyDescent="0.2">
      <c r="A2" t="s">
        <v>1</v>
      </c>
      <c r="B2" t="s">
        <v>1</v>
      </c>
      <c r="C2" t="s">
        <v>87</v>
      </c>
      <c r="D2" t="s">
        <v>54</v>
      </c>
      <c r="E2" t="s">
        <v>13</v>
      </c>
      <c r="F2" t="s">
        <v>198</v>
      </c>
      <c r="G2" t="s">
        <v>7</v>
      </c>
      <c r="H2" t="s">
        <v>8</v>
      </c>
      <c r="I2" t="s">
        <v>179</v>
      </c>
      <c r="J2" t="s">
        <v>178</v>
      </c>
      <c r="K2" t="s">
        <v>9</v>
      </c>
      <c r="L2" t="s">
        <v>196</v>
      </c>
      <c r="M2" t="s">
        <v>10</v>
      </c>
      <c r="N2" t="s">
        <v>54</v>
      </c>
      <c r="O2" t="s">
        <v>13</v>
      </c>
      <c r="P2" t="s">
        <v>15</v>
      </c>
      <c r="Q2" t="s">
        <v>8</v>
      </c>
      <c r="R2" t="s">
        <v>7</v>
      </c>
      <c r="S2" t="s">
        <v>181</v>
      </c>
      <c r="T2" t="s">
        <v>182</v>
      </c>
      <c r="U2" t="s">
        <v>19</v>
      </c>
      <c r="V2" t="s">
        <v>191</v>
      </c>
      <c r="W2" t="s">
        <v>192</v>
      </c>
      <c r="X2" t="s">
        <v>175</v>
      </c>
      <c r="Y2" t="s">
        <v>173</v>
      </c>
      <c r="Z2" t="str">
        <f t="shared" ref="Z2:Z13" si="0">LEFT(I4, 1)</f>
        <v/>
      </c>
      <c r="AA2" t="str">
        <f t="shared" ref="AA2:AA13" si="1">MID(I4, 4, 1)</f>
        <v/>
      </c>
      <c r="AB2" t="str">
        <f t="shared" ref="AB2:AB13" si="2">MID(I4, 7, 1)</f>
        <v/>
      </c>
      <c r="AC2" t="str">
        <f t="shared" ref="AC2:AC13" si="3">MID(I4, 10, 1)</f>
        <v/>
      </c>
      <c r="AE2" t="str">
        <f t="shared" ref="AE2:AE13" si="4">LEFT(J4, 1)</f>
        <v/>
      </c>
      <c r="AF2" t="str">
        <f t="shared" ref="AF2:AF13" si="5">MID(J4, 4, 1)</f>
        <v/>
      </c>
      <c r="AG2" t="str">
        <f t="shared" ref="AG2:AG13" si="6">MID(J4, 7, 1)</f>
        <v/>
      </c>
      <c r="AH2" t="str">
        <f t="shared" ref="AH2:AH13" si="7">MID(J4, 10, 1)</f>
        <v/>
      </c>
      <c r="AI2" t="str">
        <f t="shared" ref="AI2:AI13" si="8">MID(J4, 13, 1)</f>
        <v/>
      </c>
      <c r="AK2" t="str">
        <f t="shared" ref="AK2:AK13" si="9">LEFT(P4, 2)</f>
        <v/>
      </c>
      <c r="AL2" t="str">
        <f>MID($P4, 5, 2)</f>
        <v/>
      </c>
      <c r="AM2" t="str">
        <f t="shared" ref="AM2:AM13" si="10">MID($P4, 9, 2)</f>
        <v/>
      </c>
      <c r="AN2" t="str">
        <f t="shared" ref="AN2:AN13" si="11">MID($P4, 13, 2)</f>
        <v/>
      </c>
      <c r="AO2" t="str">
        <f t="shared" ref="AO2:AO13" si="12">MID($P4, 17, 2)</f>
        <v/>
      </c>
      <c r="AP2" t="str">
        <f t="shared" ref="AP2:AP13" si="13">MID($P4, 21, 2)</f>
        <v/>
      </c>
      <c r="AQ2" t="str">
        <f t="shared" ref="AQ2:AQ13" si="14">MID($P4, 25, 2)</f>
        <v/>
      </c>
      <c r="AR2" t="str">
        <f t="shared" ref="AR2:AR13" si="15">MID($P4, 29, 2)</f>
        <v/>
      </c>
      <c r="AS2" t="str">
        <f t="shared" ref="AS2:AS13" si="16">MID($P4, 33, 2)</f>
        <v/>
      </c>
      <c r="AT2" t="str">
        <f t="shared" ref="AT2:AT13" si="17">MID($P4, 37, 2)</f>
        <v/>
      </c>
      <c r="AU2" t="str">
        <f t="shared" ref="AU2:AU13" si="18">MID($P4, 41, 2)</f>
        <v/>
      </c>
      <c r="AV2" t="str">
        <f t="shared" ref="AV2:AV13" si="19">MID($P4, 45, 2)</f>
        <v/>
      </c>
      <c r="AW2" t="str">
        <f t="shared" ref="AW2:AW13" si="20">MID($P4, 49, 2)</f>
        <v/>
      </c>
      <c r="AX2" t="str">
        <f t="shared" ref="AX2:AX13" si="21">MID($P4, 53, 2)</f>
        <v/>
      </c>
      <c r="AY2" t="str">
        <f t="shared" ref="AY2:AY13" si="22">MID($P4, 57, 2)</f>
        <v/>
      </c>
      <c r="AZ2" t="str">
        <f t="shared" ref="AZ2:AZ13" si="23">MID($P4, 61, 2)</f>
        <v/>
      </c>
      <c r="BA2" t="str">
        <f t="shared" ref="BA2:BA13" si="24">MID($P4, 65, 2)</f>
        <v/>
      </c>
      <c r="BB2" t="str">
        <f t="shared" ref="BB2:BB13" si="25">MID($P4, 69, 2)</f>
        <v/>
      </c>
      <c r="BC2" t="str">
        <f t="shared" ref="BC2:BC13" si="26">MID($P4, 73, 2)</f>
        <v/>
      </c>
      <c r="BD2" t="str">
        <f t="shared" ref="BD2:BD13" si="27">MID($P4, 77, 2)</f>
        <v/>
      </c>
      <c r="BE2" t="str">
        <f t="shared" ref="BE2:BE13" si="28">MID($P4, 81, 2)</f>
        <v/>
      </c>
      <c r="BF2" t="str">
        <f t="shared" ref="BF2:BF13" si="29">MID($P4, 85, 2)</f>
        <v/>
      </c>
      <c r="BG2" t="str">
        <f t="shared" ref="BG2:BG13" si="30">MID($P4, 89, 2)</f>
        <v/>
      </c>
      <c r="BH2" t="str">
        <f t="shared" ref="BH2:BH13" si="31">MID($P4, 93, 2)</f>
        <v/>
      </c>
    </row>
    <row r="3" spans="1:66" x14ac:dyDescent="0.2">
      <c r="A3" t="s">
        <v>2</v>
      </c>
      <c r="B3" t="s">
        <v>6</v>
      </c>
      <c r="C3" t="s">
        <v>88</v>
      </c>
      <c r="D3" t="s">
        <v>6</v>
      </c>
      <c r="E3" t="s">
        <v>6</v>
      </c>
      <c r="F3" t="s">
        <v>4</v>
      </c>
      <c r="G3" t="s">
        <v>6</v>
      </c>
      <c r="H3" t="s">
        <v>6</v>
      </c>
      <c r="I3" t="s">
        <v>86</v>
      </c>
      <c r="J3" t="s">
        <v>86</v>
      </c>
      <c r="K3" t="s">
        <v>6</v>
      </c>
      <c r="L3" t="s">
        <v>6</v>
      </c>
      <c r="M3" t="s">
        <v>6</v>
      </c>
      <c r="N3" t="s">
        <v>6</v>
      </c>
      <c r="O3" t="s">
        <v>6</v>
      </c>
      <c r="P3" t="s">
        <v>16</v>
      </c>
      <c r="Q3" t="s">
        <v>6</v>
      </c>
      <c r="R3" t="s">
        <v>6</v>
      </c>
      <c r="S3" t="s">
        <v>4</v>
      </c>
      <c r="T3" t="s">
        <v>4</v>
      </c>
      <c r="U3" t="s">
        <v>6</v>
      </c>
      <c r="V3" t="s">
        <v>6</v>
      </c>
      <c r="W3" t="s">
        <v>6</v>
      </c>
      <c r="X3" t="s">
        <v>6</v>
      </c>
      <c r="Y3" t="s">
        <v>174</v>
      </c>
      <c r="Z3" t="str">
        <f t="shared" si="0"/>
        <v>5</v>
      </c>
      <c r="AA3" t="str">
        <f t="shared" si="1"/>
        <v/>
      </c>
      <c r="AB3" t="str">
        <f t="shared" si="2"/>
        <v/>
      </c>
      <c r="AC3" t="str">
        <f t="shared" si="3"/>
        <v/>
      </c>
      <c r="AE3" t="str">
        <f t="shared" si="4"/>
        <v/>
      </c>
      <c r="AF3" t="str">
        <f t="shared" si="5"/>
        <v/>
      </c>
      <c r="AG3" t="str">
        <f t="shared" si="6"/>
        <v/>
      </c>
      <c r="AH3" t="str">
        <f t="shared" si="7"/>
        <v/>
      </c>
      <c r="AI3" t="str">
        <f t="shared" si="8"/>
        <v/>
      </c>
      <c r="AK3" t="str">
        <f t="shared" si="9"/>
        <v>g1</v>
      </c>
      <c r="AL3" t="str">
        <f t="shared" ref="AL3:AL13" si="32">MID(P5, 5, 2)</f>
        <v/>
      </c>
      <c r="AM3" t="str">
        <f t="shared" si="10"/>
        <v/>
      </c>
      <c r="AN3" t="str">
        <f t="shared" si="11"/>
        <v/>
      </c>
      <c r="AO3" t="str">
        <f t="shared" si="12"/>
        <v/>
      </c>
      <c r="AP3" t="str">
        <f t="shared" si="13"/>
        <v/>
      </c>
      <c r="AQ3" t="str">
        <f t="shared" si="14"/>
        <v/>
      </c>
      <c r="AR3" t="str">
        <f t="shared" si="15"/>
        <v/>
      </c>
      <c r="AS3" t="str">
        <f t="shared" si="16"/>
        <v/>
      </c>
      <c r="AT3" t="str">
        <f t="shared" si="17"/>
        <v/>
      </c>
      <c r="AU3" t="str">
        <f t="shared" si="18"/>
        <v/>
      </c>
      <c r="AV3" t="str">
        <f t="shared" si="19"/>
        <v/>
      </c>
      <c r="AW3" t="str">
        <f t="shared" si="20"/>
        <v/>
      </c>
      <c r="AX3" t="str">
        <f t="shared" si="21"/>
        <v/>
      </c>
      <c r="AY3" t="str">
        <f t="shared" si="22"/>
        <v/>
      </c>
      <c r="AZ3" t="str">
        <f t="shared" si="23"/>
        <v/>
      </c>
      <c r="BA3" t="str">
        <f t="shared" si="24"/>
        <v/>
      </c>
      <c r="BB3" t="str">
        <f t="shared" si="25"/>
        <v/>
      </c>
      <c r="BC3" t="str">
        <f t="shared" si="26"/>
        <v/>
      </c>
      <c r="BD3" t="str">
        <f t="shared" si="27"/>
        <v/>
      </c>
      <c r="BE3" t="str">
        <f t="shared" si="28"/>
        <v/>
      </c>
      <c r="BF3" t="str">
        <f t="shared" si="29"/>
        <v/>
      </c>
      <c r="BG3" t="str">
        <f t="shared" si="30"/>
        <v/>
      </c>
      <c r="BH3" t="str">
        <f t="shared" si="31"/>
        <v/>
      </c>
    </row>
    <row r="4" spans="1:66" x14ac:dyDescent="0.2">
      <c r="A4">
        <v>1</v>
      </c>
      <c r="B4">
        <v>6</v>
      </c>
      <c r="C4" t="s">
        <v>39</v>
      </c>
      <c r="D4">
        <v>1</v>
      </c>
      <c r="E4">
        <v>1</v>
      </c>
      <c r="F4">
        <v>1</v>
      </c>
      <c r="M4">
        <v>3</v>
      </c>
      <c r="N4">
        <v>3</v>
      </c>
      <c r="O4">
        <v>3</v>
      </c>
      <c r="R4">
        <v>1</v>
      </c>
      <c r="S4">
        <v>1</v>
      </c>
      <c r="T4">
        <v>1</v>
      </c>
      <c r="U4">
        <v>1</v>
      </c>
      <c r="X4">
        <f t="shared" ref="X4:X15" si="33">G4+H4+Q4+R4</f>
        <v>1</v>
      </c>
      <c r="Y4" t="s">
        <v>174</v>
      </c>
      <c r="Z4" t="str">
        <f t="shared" si="0"/>
        <v/>
      </c>
      <c r="AA4" t="str">
        <f t="shared" si="1"/>
        <v/>
      </c>
      <c r="AB4" t="str">
        <f t="shared" si="2"/>
        <v/>
      </c>
      <c r="AC4" t="str">
        <f t="shared" si="3"/>
        <v/>
      </c>
      <c r="AE4" t="str">
        <f t="shared" si="4"/>
        <v/>
      </c>
      <c r="AF4" t="str">
        <f t="shared" si="5"/>
        <v/>
      </c>
      <c r="AG4" t="str">
        <f t="shared" si="6"/>
        <v/>
      </c>
      <c r="AH4" t="str">
        <f t="shared" si="7"/>
        <v/>
      </c>
      <c r="AI4" t="str">
        <f t="shared" si="8"/>
        <v/>
      </c>
      <c r="AK4" t="str">
        <f t="shared" si="9"/>
        <v/>
      </c>
      <c r="AL4" t="str">
        <f t="shared" si="32"/>
        <v/>
      </c>
      <c r="AM4" t="str">
        <f t="shared" si="10"/>
        <v/>
      </c>
      <c r="AN4" t="str">
        <f t="shared" si="11"/>
        <v/>
      </c>
      <c r="AO4" t="str">
        <f t="shared" si="12"/>
        <v/>
      </c>
      <c r="AP4" t="str">
        <f t="shared" si="13"/>
        <v/>
      </c>
      <c r="AQ4" t="str">
        <f t="shared" si="14"/>
        <v/>
      </c>
      <c r="AR4" t="str">
        <f t="shared" si="15"/>
        <v/>
      </c>
      <c r="AS4" t="str">
        <f t="shared" si="16"/>
        <v/>
      </c>
      <c r="AT4" t="str">
        <f t="shared" si="17"/>
        <v/>
      </c>
      <c r="AU4" t="str">
        <f t="shared" si="18"/>
        <v/>
      </c>
      <c r="AV4" t="str">
        <f t="shared" si="19"/>
        <v/>
      </c>
      <c r="AW4" t="str">
        <f t="shared" si="20"/>
        <v/>
      </c>
      <c r="AX4" t="str">
        <f t="shared" si="21"/>
        <v/>
      </c>
      <c r="AY4" t="str">
        <f t="shared" si="22"/>
        <v/>
      </c>
      <c r="AZ4" t="str">
        <f t="shared" si="23"/>
        <v/>
      </c>
      <c r="BA4" t="str">
        <f t="shared" si="24"/>
        <v/>
      </c>
      <c r="BB4" t="str">
        <f t="shared" si="25"/>
        <v/>
      </c>
      <c r="BC4" t="str">
        <f t="shared" si="26"/>
        <v/>
      </c>
      <c r="BD4" t="str">
        <f t="shared" si="27"/>
        <v/>
      </c>
      <c r="BE4" t="str">
        <f t="shared" si="28"/>
        <v/>
      </c>
      <c r="BF4" t="str">
        <f t="shared" si="29"/>
        <v/>
      </c>
      <c r="BG4" t="str">
        <f t="shared" si="30"/>
        <v/>
      </c>
      <c r="BH4" t="str">
        <f t="shared" si="31"/>
        <v/>
      </c>
    </row>
    <row r="5" spans="1:66" x14ac:dyDescent="0.2">
      <c r="A5">
        <v>2</v>
      </c>
      <c r="B5">
        <v>13</v>
      </c>
      <c r="C5" t="s">
        <v>207</v>
      </c>
      <c r="I5">
        <v>5</v>
      </c>
      <c r="M5">
        <v>3</v>
      </c>
      <c r="N5">
        <v>4</v>
      </c>
      <c r="O5">
        <v>3</v>
      </c>
      <c r="P5" t="s">
        <v>218</v>
      </c>
      <c r="S5">
        <v>1</v>
      </c>
      <c r="T5">
        <v>1</v>
      </c>
      <c r="X5">
        <f t="shared" si="33"/>
        <v>0</v>
      </c>
      <c r="Z5" t="str">
        <f t="shared" si="0"/>
        <v>3</v>
      </c>
      <c r="AA5" t="str">
        <f t="shared" si="1"/>
        <v/>
      </c>
      <c r="AB5" t="str">
        <f t="shared" si="2"/>
        <v/>
      </c>
      <c r="AC5" t="str">
        <f t="shared" si="3"/>
        <v/>
      </c>
      <c r="AE5" t="str">
        <f t="shared" si="4"/>
        <v>4</v>
      </c>
      <c r="AF5" t="str">
        <f t="shared" si="5"/>
        <v/>
      </c>
      <c r="AG5" t="str">
        <f t="shared" si="6"/>
        <v/>
      </c>
      <c r="AH5" t="str">
        <f t="shared" si="7"/>
        <v/>
      </c>
      <c r="AI5" t="str">
        <f t="shared" si="8"/>
        <v/>
      </c>
      <c r="AK5" t="str">
        <f t="shared" si="9"/>
        <v>h1</v>
      </c>
      <c r="AL5" t="str">
        <f t="shared" si="32"/>
        <v>g2</v>
      </c>
      <c r="AM5" t="str">
        <f t="shared" si="10"/>
        <v>h3</v>
      </c>
      <c r="AN5" t="str">
        <f t="shared" si="11"/>
        <v/>
      </c>
      <c r="AO5" t="str">
        <f t="shared" si="12"/>
        <v/>
      </c>
      <c r="AP5" t="str">
        <f t="shared" si="13"/>
        <v/>
      </c>
      <c r="AQ5" t="str">
        <f t="shared" si="14"/>
        <v/>
      </c>
      <c r="AR5" t="str">
        <f t="shared" si="15"/>
        <v/>
      </c>
      <c r="AS5" t="str">
        <f t="shared" si="16"/>
        <v/>
      </c>
      <c r="AT5" t="str">
        <f t="shared" si="17"/>
        <v/>
      </c>
      <c r="AU5" t="str">
        <f t="shared" si="18"/>
        <v/>
      </c>
      <c r="AV5" t="str">
        <f t="shared" si="19"/>
        <v/>
      </c>
      <c r="AW5" t="str">
        <f t="shared" si="20"/>
        <v/>
      </c>
      <c r="AX5" t="str">
        <f t="shared" si="21"/>
        <v/>
      </c>
      <c r="AY5" t="str">
        <f t="shared" si="22"/>
        <v/>
      </c>
      <c r="AZ5" t="str">
        <f t="shared" si="23"/>
        <v/>
      </c>
      <c r="BA5" t="str">
        <f t="shared" si="24"/>
        <v/>
      </c>
      <c r="BB5" t="str">
        <f t="shared" si="25"/>
        <v/>
      </c>
      <c r="BC5" t="str">
        <f t="shared" si="26"/>
        <v/>
      </c>
      <c r="BD5" t="str">
        <f t="shared" si="27"/>
        <v/>
      </c>
      <c r="BE5" t="str">
        <f t="shared" si="28"/>
        <v/>
      </c>
      <c r="BF5" t="str">
        <f t="shared" si="29"/>
        <v/>
      </c>
      <c r="BG5" t="str">
        <f t="shared" si="30"/>
        <v/>
      </c>
      <c r="BH5" t="str">
        <f t="shared" si="31"/>
        <v/>
      </c>
    </row>
    <row r="6" spans="1:66" x14ac:dyDescent="0.2">
      <c r="A6">
        <v>3</v>
      </c>
      <c r="B6">
        <v>30</v>
      </c>
      <c r="C6" t="s">
        <v>207</v>
      </c>
      <c r="D6">
        <v>1</v>
      </c>
      <c r="E6">
        <v>1</v>
      </c>
      <c r="K6">
        <v>1</v>
      </c>
      <c r="M6">
        <v>1</v>
      </c>
      <c r="N6">
        <v>2</v>
      </c>
      <c r="O6">
        <v>2</v>
      </c>
      <c r="S6">
        <v>1</v>
      </c>
      <c r="T6">
        <v>1</v>
      </c>
      <c r="U6">
        <v>22</v>
      </c>
      <c r="X6">
        <f t="shared" si="33"/>
        <v>0</v>
      </c>
      <c r="Z6" t="str">
        <f t="shared" si="0"/>
        <v/>
      </c>
      <c r="AA6" t="str">
        <f t="shared" si="1"/>
        <v/>
      </c>
      <c r="AB6" t="str">
        <f t="shared" si="2"/>
        <v/>
      </c>
      <c r="AC6" t="str">
        <f t="shared" si="3"/>
        <v/>
      </c>
      <c r="AE6" t="str">
        <f t="shared" si="4"/>
        <v/>
      </c>
      <c r="AF6" t="str">
        <f t="shared" si="5"/>
        <v/>
      </c>
      <c r="AG6" t="str">
        <f t="shared" si="6"/>
        <v/>
      </c>
      <c r="AH6" t="str">
        <f t="shared" si="7"/>
        <v/>
      </c>
      <c r="AI6" t="str">
        <f t="shared" si="8"/>
        <v/>
      </c>
      <c r="AK6" t="str">
        <f t="shared" si="9"/>
        <v/>
      </c>
      <c r="AL6" t="str">
        <f t="shared" si="32"/>
        <v/>
      </c>
      <c r="AM6" t="str">
        <f t="shared" si="10"/>
        <v/>
      </c>
      <c r="AN6" t="str">
        <f t="shared" si="11"/>
        <v/>
      </c>
      <c r="AO6" t="str">
        <f t="shared" si="12"/>
        <v/>
      </c>
      <c r="AP6" t="str">
        <f t="shared" si="13"/>
        <v/>
      </c>
      <c r="AQ6" t="str">
        <f t="shared" si="14"/>
        <v/>
      </c>
      <c r="AR6" t="str">
        <f t="shared" si="15"/>
        <v/>
      </c>
      <c r="AS6" t="str">
        <f t="shared" si="16"/>
        <v/>
      </c>
      <c r="AT6" t="str">
        <f t="shared" si="17"/>
        <v/>
      </c>
      <c r="AU6" t="str">
        <f t="shared" si="18"/>
        <v/>
      </c>
      <c r="AV6" t="str">
        <f t="shared" si="19"/>
        <v/>
      </c>
      <c r="AW6" t="str">
        <f t="shared" si="20"/>
        <v/>
      </c>
      <c r="AX6" t="str">
        <f t="shared" si="21"/>
        <v/>
      </c>
      <c r="AY6" t="str">
        <f t="shared" si="22"/>
        <v/>
      </c>
      <c r="AZ6" t="str">
        <f t="shared" si="23"/>
        <v/>
      </c>
      <c r="BA6" t="str">
        <f t="shared" si="24"/>
        <v/>
      </c>
      <c r="BB6" t="str">
        <f t="shared" si="25"/>
        <v/>
      </c>
      <c r="BC6" t="str">
        <f t="shared" si="26"/>
        <v/>
      </c>
      <c r="BD6" t="str">
        <f t="shared" si="27"/>
        <v/>
      </c>
      <c r="BE6" t="str">
        <f t="shared" si="28"/>
        <v/>
      </c>
      <c r="BF6" t="str">
        <f t="shared" si="29"/>
        <v/>
      </c>
      <c r="BG6" t="str">
        <f t="shared" si="30"/>
        <v/>
      </c>
      <c r="BH6" t="str">
        <f t="shared" si="31"/>
        <v/>
      </c>
    </row>
    <row r="7" spans="1:66" x14ac:dyDescent="0.2">
      <c r="A7">
        <v>4</v>
      </c>
      <c r="B7">
        <v>37</v>
      </c>
      <c r="C7" t="s">
        <v>39</v>
      </c>
      <c r="I7">
        <v>3</v>
      </c>
      <c r="J7">
        <v>4</v>
      </c>
      <c r="K7">
        <v>1</v>
      </c>
      <c r="M7">
        <v>1</v>
      </c>
      <c r="N7">
        <v>2</v>
      </c>
      <c r="O7">
        <v>2</v>
      </c>
      <c r="P7" t="s">
        <v>260</v>
      </c>
      <c r="R7">
        <v>3</v>
      </c>
      <c r="S7">
        <v>1</v>
      </c>
      <c r="T7">
        <v>1</v>
      </c>
      <c r="U7">
        <v>7</v>
      </c>
      <c r="X7">
        <f t="shared" si="33"/>
        <v>3</v>
      </c>
      <c r="Y7" t="s">
        <v>174</v>
      </c>
      <c r="Z7" t="str">
        <f t="shared" si="0"/>
        <v/>
      </c>
      <c r="AA7" t="str">
        <f t="shared" si="1"/>
        <v/>
      </c>
      <c r="AB7" t="str">
        <f t="shared" si="2"/>
        <v/>
      </c>
      <c r="AC7" t="str">
        <f t="shared" si="3"/>
        <v/>
      </c>
      <c r="AE7" t="str">
        <f t="shared" si="4"/>
        <v>3</v>
      </c>
      <c r="AF7" t="str">
        <f t="shared" si="5"/>
        <v/>
      </c>
      <c r="AG7" t="str">
        <f t="shared" si="6"/>
        <v/>
      </c>
      <c r="AH7" t="str">
        <f t="shared" si="7"/>
        <v/>
      </c>
      <c r="AI7" t="str">
        <f t="shared" si="8"/>
        <v/>
      </c>
      <c r="AK7" t="str">
        <f t="shared" si="9"/>
        <v/>
      </c>
      <c r="AL7" t="str">
        <f t="shared" si="32"/>
        <v/>
      </c>
      <c r="AM7" t="str">
        <f t="shared" si="10"/>
        <v/>
      </c>
      <c r="AN7" t="str">
        <f t="shared" si="11"/>
        <v/>
      </c>
      <c r="AO7" t="str">
        <f t="shared" si="12"/>
        <v/>
      </c>
      <c r="AP7" t="str">
        <f t="shared" si="13"/>
        <v/>
      </c>
      <c r="AQ7" t="str">
        <f t="shared" si="14"/>
        <v/>
      </c>
      <c r="AR7" t="str">
        <f t="shared" si="15"/>
        <v/>
      </c>
      <c r="AS7" t="str">
        <f t="shared" si="16"/>
        <v/>
      </c>
      <c r="AT7" t="str">
        <f t="shared" si="17"/>
        <v/>
      </c>
      <c r="AU7" t="str">
        <f t="shared" si="18"/>
        <v/>
      </c>
      <c r="AV7" t="str">
        <f t="shared" si="19"/>
        <v/>
      </c>
      <c r="AW7" t="str">
        <f t="shared" si="20"/>
        <v/>
      </c>
      <c r="AX7" t="str">
        <f t="shared" si="21"/>
        <v/>
      </c>
      <c r="AY7" t="str">
        <f t="shared" si="22"/>
        <v/>
      </c>
      <c r="AZ7" t="str">
        <f t="shared" si="23"/>
        <v/>
      </c>
      <c r="BA7" t="str">
        <f t="shared" si="24"/>
        <v/>
      </c>
      <c r="BB7" t="str">
        <f t="shared" si="25"/>
        <v/>
      </c>
      <c r="BC7" t="str">
        <f t="shared" si="26"/>
        <v/>
      </c>
      <c r="BD7" t="str">
        <f t="shared" si="27"/>
        <v/>
      </c>
      <c r="BE7" t="str">
        <f t="shared" si="28"/>
        <v/>
      </c>
      <c r="BF7" t="str">
        <f t="shared" si="29"/>
        <v/>
      </c>
      <c r="BG7" t="str">
        <f t="shared" si="30"/>
        <v/>
      </c>
      <c r="BH7" t="str">
        <f t="shared" si="31"/>
        <v/>
      </c>
    </row>
    <row r="8" spans="1:66" x14ac:dyDescent="0.2">
      <c r="A8">
        <v>5</v>
      </c>
      <c r="B8">
        <v>42</v>
      </c>
      <c r="C8" t="s">
        <v>207</v>
      </c>
      <c r="D8">
        <v>1</v>
      </c>
      <c r="E8">
        <v>1</v>
      </c>
      <c r="F8">
        <v>1</v>
      </c>
      <c r="G8">
        <v>1</v>
      </c>
      <c r="K8">
        <v>3</v>
      </c>
      <c r="N8">
        <v>2</v>
      </c>
      <c r="O8">
        <v>1</v>
      </c>
      <c r="S8">
        <v>1</v>
      </c>
      <c r="T8">
        <v>1</v>
      </c>
      <c r="U8">
        <v>1</v>
      </c>
      <c r="X8">
        <f t="shared" si="33"/>
        <v>1</v>
      </c>
      <c r="Z8" t="str">
        <f t="shared" si="0"/>
        <v/>
      </c>
      <c r="AA8" t="str">
        <f t="shared" si="1"/>
        <v/>
      </c>
      <c r="AB8" t="str">
        <f t="shared" si="2"/>
        <v/>
      </c>
      <c r="AC8" t="str">
        <f t="shared" si="3"/>
        <v/>
      </c>
      <c r="AE8" t="str">
        <f t="shared" si="4"/>
        <v/>
      </c>
      <c r="AF8" t="str">
        <f t="shared" si="5"/>
        <v/>
      </c>
      <c r="AG8" t="str">
        <f t="shared" si="6"/>
        <v/>
      </c>
      <c r="AH8" t="str">
        <f t="shared" si="7"/>
        <v/>
      </c>
      <c r="AI8" t="str">
        <f t="shared" si="8"/>
        <v/>
      </c>
      <c r="AK8" t="str">
        <f t="shared" si="9"/>
        <v/>
      </c>
      <c r="AL8" t="str">
        <f t="shared" si="32"/>
        <v/>
      </c>
      <c r="AM8" t="str">
        <f t="shared" si="10"/>
        <v/>
      </c>
      <c r="AN8" t="str">
        <f t="shared" si="11"/>
        <v/>
      </c>
      <c r="AO8" t="str">
        <f t="shared" si="12"/>
        <v/>
      </c>
      <c r="AP8" t="str">
        <f t="shared" si="13"/>
        <v/>
      </c>
      <c r="AQ8" t="str">
        <f t="shared" si="14"/>
        <v/>
      </c>
      <c r="AR8" t="str">
        <f t="shared" si="15"/>
        <v/>
      </c>
      <c r="AS8" t="str">
        <f t="shared" si="16"/>
        <v/>
      </c>
      <c r="AT8" t="str">
        <f t="shared" si="17"/>
        <v/>
      </c>
      <c r="AU8" t="str">
        <f t="shared" si="18"/>
        <v/>
      </c>
      <c r="AV8" t="str">
        <f t="shared" si="19"/>
        <v/>
      </c>
      <c r="AW8" t="str">
        <f t="shared" si="20"/>
        <v/>
      </c>
      <c r="AX8" t="str">
        <f t="shared" si="21"/>
        <v/>
      </c>
      <c r="AY8" t="str">
        <f t="shared" si="22"/>
        <v/>
      </c>
      <c r="AZ8" t="str">
        <f t="shared" si="23"/>
        <v/>
      </c>
      <c r="BA8" t="str">
        <f t="shared" si="24"/>
        <v/>
      </c>
      <c r="BB8" t="str">
        <f t="shared" si="25"/>
        <v/>
      </c>
      <c r="BC8" t="str">
        <f t="shared" si="26"/>
        <v/>
      </c>
      <c r="BD8" t="str">
        <f t="shared" si="27"/>
        <v/>
      </c>
      <c r="BE8" t="str">
        <f t="shared" si="28"/>
        <v/>
      </c>
      <c r="BF8" t="str">
        <f t="shared" si="29"/>
        <v/>
      </c>
      <c r="BG8" t="str">
        <f t="shared" si="30"/>
        <v/>
      </c>
      <c r="BH8" t="str">
        <f t="shared" si="31"/>
        <v/>
      </c>
    </row>
    <row r="9" spans="1:66" x14ac:dyDescent="0.2">
      <c r="A9">
        <v>6</v>
      </c>
      <c r="B9">
        <v>58</v>
      </c>
      <c r="C9" t="s">
        <v>39</v>
      </c>
      <c r="D9">
        <v>1</v>
      </c>
      <c r="E9">
        <v>1</v>
      </c>
      <c r="J9">
        <v>3</v>
      </c>
      <c r="M9">
        <v>3</v>
      </c>
      <c r="N9">
        <v>3</v>
      </c>
      <c r="O9">
        <v>3</v>
      </c>
      <c r="R9">
        <v>2</v>
      </c>
      <c r="S9">
        <v>1</v>
      </c>
      <c r="T9">
        <v>1</v>
      </c>
      <c r="U9">
        <v>4</v>
      </c>
      <c r="X9">
        <f t="shared" si="33"/>
        <v>2</v>
      </c>
      <c r="Y9" t="s">
        <v>174</v>
      </c>
      <c r="Z9" t="str">
        <f t="shared" si="0"/>
        <v/>
      </c>
      <c r="AA9" t="str">
        <f t="shared" si="1"/>
        <v/>
      </c>
      <c r="AB9" t="str">
        <f t="shared" si="2"/>
        <v/>
      </c>
      <c r="AC9" t="str">
        <f t="shared" si="3"/>
        <v/>
      </c>
      <c r="AE9" t="str">
        <f t="shared" si="4"/>
        <v>5</v>
      </c>
      <c r="AF9" t="str">
        <f t="shared" si="5"/>
        <v/>
      </c>
      <c r="AG9" t="str">
        <f t="shared" si="6"/>
        <v/>
      </c>
      <c r="AH9" t="str">
        <f t="shared" si="7"/>
        <v/>
      </c>
      <c r="AI9" t="str">
        <f t="shared" si="8"/>
        <v/>
      </c>
      <c r="AK9" t="str">
        <f t="shared" si="9"/>
        <v/>
      </c>
      <c r="AL9" t="str">
        <f t="shared" si="32"/>
        <v/>
      </c>
      <c r="AM9" t="str">
        <f t="shared" si="10"/>
        <v/>
      </c>
      <c r="AN9" t="str">
        <f t="shared" si="11"/>
        <v/>
      </c>
      <c r="AO9" t="str">
        <f t="shared" si="12"/>
        <v/>
      </c>
      <c r="AP9" t="str">
        <f t="shared" si="13"/>
        <v/>
      </c>
      <c r="AQ9" t="str">
        <f t="shared" si="14"/>
        <v/>
      </c>
      <c r="AR9" t="str">
        <f t="shared" si="15"/>
        <v/>
      </c>
      <c r="AS9" t="str">
        <f t="shared" si="16"/>
        <v/>
      </c>
      <c r="AT9" t="str">
        <f t="shared" si="17"/>
        <v/>
      </c>
      <c r="AU9" t="str">
        <f t="shared" si="18"/>
        <v/>
      </c>
      <c r="AV9" t="str">
        <f t="shared" si="19"/>
        <v/>
      </c>
      <c r="AW9" t="str">
        <f t="shared" si="20"/>
        <v/>
      </c>
      <c r="AX9" t="str">
        <f t="shared" si="21"/>
        <v/>
      </c>
      <c r="AY9" t="str">
        <f t="shared" si="22"/>
        <v/>
      </c>
      <c r="AZ9" t="str">
        <f t="shared" si="23"/>
        <v/>
      </c>
      <c r="BA9" t="str">
        <f t="shared" si="24"/>
        <v/>
      </c>
      <c r="BB9" t="str">
        <f t="shared" si="25"/>
        <v/>
      </c>
      <c r="BC9" t="str">
        <f t="shared" si="26"/>
        <v/>
      </c>
      <c r="BD9" t="str">
        <f t="shared" si="27"/>
        <v/>
      </c>
      <c r="BE9" t="str">
        <f t="shared" si="28"/>
        <v/>
      </c>
      <c r="BF9" t="str">
        <f t="shared" si="29"/>
        <v/>
      </c>
      <c r="BG9" t="str">
        <f t="shared" si="30"/>
        <v/>
      </c>
      <c r="BH9" t="str">
        <f t="shared" si="31"/>
        <v/>
      </c>
    </row>
    <row r="10" spans="1:66" x14ac:dyDescent="0.2">
      <c r="A10">
        <v>7</v>
      </c>
      <c r="B10">
        <v>63</v>
      </c>
      <c r="C10" t="s">
        <v>39</v>
      </c>
      <c r="D10">
        <v>1</v>
      </c>
      <c r="E10">
        <v>1</v>
      </c>
      <c r="F10">
        <v>1</v>
      </c>
      <c r="K10">
        <v>1</v>
      </c>
      <c r="M10">
        <v>3</v>
      </c>
      <c r="N10">
        <v>5</v>
      </c>
      <c r="O10">
        <v>5</v>
      </c>
      <c r="S10">
        <v>1</v>
      </c>
      <c r="T10">
        <v>1</v>
      </c>
      <c r="U10">
        <v>1</v>
      </c>
      <c r="X10">
        <f t="shared" si="33"/>
        <v>0</v>
      </c>
      <c r="Z10" t="str">
        <f t="shared" si="0"/>
        <v/>
      </c>
      <c r="AA10" t="str">
        <f t="shared" si="1"/>
        <v/>
      </c>
      <c r="AB10" t="str">
        <f t="shared" si="2"/>
        <v/>
      </c>
      <c r="AC10" t="str">
        <f t="shared" si="3"/>
        <v/>
      </c>
      <c r="AE10" t="str">
        <f t="shared" si="4"/>
        <v>1</v>
      </c>
      <c r="AF10" t="str">
        <f t="shared" si="5"/>
        <v/>
      </c>
      <c r="AG10" t="str">
        <f t="shared" si="6"/>
        <v/>
      </c>
      <c r="AH10" t="str">
        <f t="shared" si="7"/>
        <v/>
      </c>
      <c r="AI10" t="str">
        <f t="shared" si="8"/>
        <v/>
      </c>
      <c r="AK10" t="str">
        <f t="shared" si="9"/>
        <v>g1</v>
      </c>
      <c r="AL10" t="str">
        <f t="shared" si="32"/>
        <v/>
      </c>
      <c r="AM10" t="str">
        <f t="shared" si="10"/>
        <v/>
      </c>
      <c r="AN10" t="str">
        <f t="shared" si="11"/>
        <v/>
      </c>
      <c r="AO10" t="str">
        <f t="shared" si="12"/>
        <v/>
      </c>
      <c r="AP10" t="str">
        <f t="shared" si="13"/>
        <v/>
      </c>
      <c r="AQ10" t="str">
        <f t="shared" si="14"/>
        <v/>
      </c>
      <c r="AR10" t="str">
        <f t="shared" si="15"/>
        <v/>
      </c>
      <c r="AS10" t="str">
        <f t="shared" si="16"/>
        <v/>
      </c>
      <c r="AT10" t="str">
        <f t="shared" si="17"/>
        <v/>
      </c>
      <c r="AU10" t="str">
        <f t="shared" si="18"/>
        <v/>
      </c>
      <c r="AV10" t="str">
        <f t="shared" si="19"/>
        <v/>
      </c>
      <c r="AW10" t="str">
        <f t="shared" si="20"/>
        <v/>
      </c>
      <c r="AX10" t="str">
        <f t="shared" si="21"/>
        <v/>
      </c>
      <c r="AY10" t="str">
        <f t="shared" si="22"/>
        <v/>
      </c>
      <c r="AZ10" t="str">
        <f t="shared" si="23"/>
        <v/>
      </c>
      <c r="BA10" t="str">
        <f t="shared" si="24"/>
        <v/>
      </c>
      <c r="BB10" t="str">
        <f t="shared" si="25"/>
        <v/>
      </c>
      <c r="BC10" t="str">
        <f t="shared" si="26"/>
        <v/>
      </c>
      <c r="BD10" t="str">
        <f t="shared" si="27"/>
        <v/>
      </c>
      <c r="BE10" t="str">
        <f t="shared" si="28"/>
        <v/>
      </c>
      <c r="BF10" t="str">
        <f t="shared" si="29"/>
        <v/>
      </c>
      <c r="BG10" t="str">
        <f t="shared" si="30"/>
        <v/>
      </c>
      <c r="BH10" t="str">
        <f t="shared" si="31"/>
        <v/>
      </c>
    </row>
    <row r="11" spans="1:66" x14ac:dyDescent="0.2">
      <c r="A11">
        <v>8</v>
      </c>
      <c r="B11">
        <v>75</v>
      </c>
      <c r="C11" t="s">
        <v>207</v>
      </c>
      <c r="D11">
        <v>1</v>
      </c>
      <c r="E11">
        <v>1</v>
      </c>
      <c r="F11">
        <v>1</v>
      </c>
      <c r="J11">
        <v>5</v>
      </c>
      <c r="K11">
        <v>2</v>
      </c>
      <c r="M11">
        <v>1</v>
      </c>
      <c r="N11">
        <v>3</v>
      </c>
      <c r="O11">
        <v>3</v>
      </c>
      <c r="R11">
        <v>1</v>
      </c>
      <c r="S11">
        <v>1</v>
      </c>
      <c r="T11">
        <v>1</v>
      </c>
      <c r="U11">
        <v>2</v>
      </c>
      <c r="W11">
        <v>6</v>
      </c>
      <c r="X11">
        <f t="shared" si="33"/>
        <v>1</v>
      </c>
      <c r="Y11" t="s">
        <v>174</v>
      </c>
      <c r="Z11" t="str">
        <f t="shared" si="0"/>
        <v/>
      </c>
      <c r="AA11" t="str">
        <f t="shared" si="1"/>
        <v/>
      </c>
      <c r="AB11" t="str">
        <f t="shared" si="2"/>
        <v/>
      </c>
      <c r="AC11" t="str">
        <f t="shared" si="3"/>
        <v/>
      </c>
      <c r="AE11" t="str">
        <f t="shared" si="4"/>
        <v>1</v>
      </c>
      <c r="AF11" t="str">
        <f t="shared" si="5"/>
        <v/>
      </c>
      <c r="AG11" t="str">
        <f t="shared" si="6"/>
        <v/>
      </c>
      <c r="AH11" t="str">
        <f t="shared" si="7"/>
        <v/>
      </c>
      <c r="AI11" t="str">
        <f t="shared" si="8"/>
        <v/>
      </c>
      <c r="AK11" t="str">
        <f t="shared" si="9"/>
        <v>h1</v>
      </c>
      <c r="AL11" t="str">
        <f t="shared" si="32"/>
        <v/>
      </c>
      <c r="AM11" t="str">
        <f t="shared" si="10"/>
        <v/>
      </c>
      <c r="AN11" t="str">
        <f t="shared" si="11"/>
        <v/>
      </c>
      <c r="AO11" t="str">
        <f t="shared" si="12"/>
        <v/>
      </c>
      <c r="AP11" t="str">
        <f t="shared" si="13"/>
        <v/>
      </c>
      <c r="AQ11" t="str">
        <f t="shared" si="14"/>
        <v/>
      </c>
      <c r="AR11" t="str">
        <f t="shared" si="15"/>
        <v/>
      </c>
      <c r="AS11" t="str">
        <f t="shared" si="16"/>
        <v/>
      </c>
      <c r="AT11" t="str">
        <f t="shared" si="17"/>
        <v/>
      </c>
      <c r="AU11" t="str">
        <f t="shared" si="18"/>
        <v/>
      </c>
      <c r="AV11" t="str">
        <f t="shared" si="19"/>
        <v/>
      </c>
      <c r="AW11" t="str">
        <f t="shared" si="20"/>
        <v/>
      </c>
      <c r="AX11" t="str">
        <f t="shared" si="21"/>
        <v/>
      </c>
      <c r="AY11" t="str">
        <f t="shared" si="22"/>
        <v/>
      </c>
      <c r="AZ11" t="str">
        <f t="shared" si="23"/>
        <v/>
      </c>
      <c r="BA11" t="str">
        <f t="shared" si="24"/>
        <v/>
      </c>
      <c r="BB11" t="str">
        <f t="shared" si="25"/>
        <v/>
      </c>
      <c r="BC11" t="str">
        <f t="shared" si="26"/>
        <v/>
      </c>
      <c r="BD11" t="str">
        <f t="shared" si="27"/>
        <v/>
      </c>
      <c r="BE11" t="str">
        <f t="shared" si="28"/>
        <v/>
      </c>
      <c r="BF11" t="str">
        <f t="shared" si="29"/>
        <v/>
      </c>
      <c r="BG11" t="str">
        <f t="shared" si="30"/>
        <v/>
      </c>
      <c r="BH11" t="str">
        <f t="shared" si="31"/>
        <v/>
      </c>
    </row>
    <row r="12" spans="1:66" x14ac:dyDescent="0.2">
      <c r="A12">
        <v>9</v>
      </c>
      <c r="B12">
        <v>81</v>
      </c>
      <c r="C12" t="s">
        <v>207</v>
      </c>
      <c r="D12">
        <v>1</v>
      </c>
      <c r="E12">
        <v>1</v>
      </c>
      <c r="G12">
        <v>1</v>
      </c>
      <c r="J12">
        <v>1</v>
      </c>
      <c r="K12">
        <v>3</v>
      </c>
      <c r="N12">
        <v>2</v>
      </c>
      <c r="O12">
        <v>2</v>
      </c>
      <c r="P12" t="s">
        <v>218</v>
      </c>
      <c r="R12">
        <v>1</v>
      </c>
      <c r="S12">
        <v>1</v>
      </c>
      <c r="T12">
        <v>1</v>
      </c>
      <c r="U12">
        <v>4</v>
      </c>
      <c r="W12">
        <v>4</v>
      </c>
      <c r="X12">
        <f t="shared" si="33"/>
        <v>2</v>
      </c>
      <c r="Y12" t="s">
        <v>174</v>
      </c>
      <c r="Z12" t="str">
        <f t="shared" si="0"/>
        <v/>
      </c>
      <c r="AA12" t="str">
        <f t="shared" si="1"/>
        <v/>
      </c>
      <c r="AB12" t="str">
        <f t="shared" si="2"/>
        <v/>
      </c>
      <c r="AC12" t="str">
        <f t="shared" si="3"/>
        <v/>
      </c>
      <c r="AE12" t="str">
        <f t="shared" si="4"/>
        <v/>
      </c>
      <c r="AF12" t="str">
        <f t="shared" si="5"/>
        <v/>
      </c>
      <c r="AG12" t="str">
        <f t="shared" si="6"/>
        <v/>
      </c>
      <c r="AH12" t="str">
        <f t="shared" si="7"/>
        <v/>
      </c>
      <c r="AI12" t="str">
        <f t="shared" si="8"/>
        <v/>
      </c>
      <c r="AK12" t="str">
        <f t="shared" si="9"/>
        <v>g1</v>
      </c>
      <c r="AL12" t="str">
        <f t="shared" si="32"/>
        <v/>
      </c>
      <c r="AM12" t="str">
        <f t="shared" si="10"/>
        <v/>
      </c>
      <c r="AN12" t="str">
        <f t="shared" si="11"/>
        <v/>
      </c>
      <c r="AO12" t="str">
        <f t="shared" si="12"/>
        <v/>
      </c>
      <c r="AP12" t="str">
        <f t="shared" si="13"/>
        <v/>
      </c>
      <c r="AQ12" t="str">
        <f t="shared" si="14"/>
        <v/>
      </c>
      <c r="AR12" t="str">
        <f t="shared" si="15"/>
        <v/>
      </c>
      <c r="AS12" t="str">
        <f t="shared" si="16"/>
        <v/>
      </c>
      <c r="AT12" t="str">
        <f t="shared" si="17"/>
        <v/>
      </c>
      <c r="AU12" t="str">
        <f t="shared" si="18"/>
        <v/>
      </c>
      <c r="AV12" t="str">
        <f t="shared" si="19"/>
        <v/>
      </c>
      <c r="AW12" t="str">
        <f t="shared" si="20"/>
        <v/>
      </c>
      <c r="AX12" t="str">
        <f t="shared" si="21"/>
        <v/>
      </c>
      <c r="AY12" t="str">
        <f t="shared" si="22"/>
        <v/>
      </c>
      <c r="AZ12" t="str">
        <f t="shared" si="23"/>
        <v/>
      </c>
      <c r="BA12" t="str">
        <f t="shared" si="24"/>
        <v/>
      </c>
      <c r="BB12" t="str">
        <f t="shared" si="25"/>
        <v/>
      </c>
      <c r="BC12" t="str">
        <f t="shared" si="26"/>
        <v/>
      </c>
      <c r="BD12" t="str">
        <f t="shared" si="27"/>
        <v/>
      </c>
      <c r="BE12" t="str">
        <f t="shared" si="28"/>
        <v/>
      </c>
      <c r="BF12" t="str">
        <f t="shared" si="29"/>
        <v/>
      </c>
      <c r="BG12" t="str">
        <f t="shared" si="30"/>
        <v/>
      </c>
      <c r="BH12" t="str">
        <f t="shared" si="31"/>
        <v/>
      </c>
    </row>
    <row r="13" spans="1:66" x14ac:dyDescent="0.2">
      <c r="A13">
        <v>10</v>
      </c>
      <c r="B13">
        <v>92</v>
      </c>
      <c r="C13" t="s">
        <v>39</v>
      </c>
      <c r="D13">
        <v>1</v>
      </c>
      <c r="F13">
        <v>1</v>
      </c>
      <c r="J13">
        <v>1</v>
      </c>
      <c r="K13">
        <v>2</v>
      </c>
      <c r="M13">
        <v>3</v>
      </c>
      <c r="N13">
        <v>5</v>
      </c>
      <c r="O13">
        <v>4</v>
      </c>
      <c r="P13" t="s">
        <v>209</v>
      </c>
      <c r="R13">
        <v>1</v>
      </c>
      <c r="S13">
        <v>1</v>
      </c>
      <c r="T13">
        <v>1</v>
      </c>
      <c r="U13">
        <v>3</v>
      </c>
      <c r="W13">
        <v>6</v>
      </c>
      <c r="X13">
        <f t="shared" si="33"/>
        <v>1</v>
      </c>
      <c r="Y13" t="s">
        <v>174</v>
      </c>
      <c r="Z13" t="str">
        <f t="shared" si="0"/>
        <v>1</v>
      </c>
      <c r="AA13" t="str">
        <f t="shared" si="1"/>
        <v/>
      </c>
      <c r="AB13" t="str">
        <f t="shared" si="2"/>
        <v/>
      </c>
      <c r="AC13" t="str">
        <f t="shared" si="3"/>
        <v/>
      </c>
      <c r="AE13" t="str">
        <f t="shared" si="4"/>
        <v/>
      </c>
      <c r="AF13" t="str">
        <f t="shared" si="5"/>
        <v/>
      </c>
      <c r="AG13" t="str">
        <f t="shared" si="6"/>
        <v/>
      </c>
      <c r="AH13" t="str">
        <f t="shared" si="7"/>
        <v/>
      </c>
      <c r="AI13" t="str">
        <f t="shared" si="8"/>
        <v/>
      </c>
      <c r="AK13" t="str">
        <f t="shared" si="9"/>
        <v>g1</v>
      </c>
      <c r="AL13" t="str">
        <f t="shared" si="32"/>
        <v/>
      </c>
      <c r="AM13" t="str">
        <f t="shared" si="10"/>
        <v/>
      </c>
      <c r="AN13" t="str">
        <f t="shared" si="11"/>
        <v/>
      </c>
      <c r="AO13" t="str">
        <f t="shared" si="12"/>
        <v/>
      </c>
      <c r="AP13" t="str">
        <f t="shared" si="13"/>
        <v/>
      </c>
      <c r="AQ13" t="str">
        <f t="shared" si="14"/>
        <v/>
      </c>
      <c r="AR13" t="str">
        <f t="shared" si="15"/>
        <v/>
      </c>
      <c r="AS13" t="str">
        <f t="shared" si="16"/>
        <v/>
      </c>
      <c r="AT13" t="str">
        <f t="shared" si="17"/>
        <v/>
      </c>
      <c r="AU13" t="str">
        <f t="shared" si="18"/>
        <v/>
      </c>
      <c r="AV13" t="str">
        <f t="shared" si="19"/>
        <v/>
      </c>
      <c r="AW13" t="str">
        <f t="shared" si="20"/>
        <v/>
      </c>
      <c r="AX13" t="str">
        <f t="shared" si="21"/>
        <v/>
      </c>
      <c r="AY13" t="str">
        <f t="shared" si="22"/>
        <v/>
      </c>
      <c r="AZ13" t="str">
        <f t="shared" si="23"/>
        <v/>
      </c>
      <c r="BA13" t="str">
        <f t="shared" si="24"/>
        <v/>
      </c>
      <c r="BB13" t="str">
        <f t="shared" si="25"/>
        <v/>
      </c>
      <c r="BC13" t="str">
        <f t="shared" si="26"/>
        <v/>
      </c>
      <c r="BD13" t="str">
        <f t="shared" si="27"/>
        <v/>
      </c>
      <c r="BE13" t="str">
        <f t="shared" si="28"/>
        <v/>
      </c>
      <c r="BF13" t="str">
        <f t="shared" si="29"/>
        <v/>
      </c>
      <c r="BG13" t="str">
        <f t="shared" si="30"/>
        <v/>
      </c>
      <c r="BH13" t="str">
        <f t="shared" si="31"/>
        <v/>
      </c>
    </row>
    <row r="14" spans="1:66" x14ac:dyDescent="0.2">
      <c r="A14">
        <v>11</v>
      </c>
      <c r="B14">
        <v>104</v>
      </c>
      <c r="C14" t="s">
        <v>207</v>
      </c>
      <c r="G14">
        <v>2</v>
      </c>
      <c r="K14">
        <v>2</v>
      </c>
      <c r="N14">
        <v>3</v>
      </c>
      <c r="O14">
        <v>3</v>
      </c>
      <c r="P14" t="s">
        <v>218</v>
      </c>
      <c r="R14">
        <v>1</v>
      </c>
      <c r="U14">
        <v>6</v>
      </c>
      <c r="W14">
        <v>4</v>
      </c>
      <c r="X14">
        <f t="shared" si="33"/>
        <v>3</v>
      </c>
      <c r="Z14" t="s">
        <v>31</v>
      </c>
      <c r="AE14" t="s">
        <v>34</v>
      </c>
      <c r="AK14" t="s">
        <v>43</v>
      </c>
      <c r="AP14" t="s">
        <v>84</v>
      </c>
    </row>
    <row r="15" spans="1:66" x14ac:dyDescent="0.2">
      <c r="A15">
        <v>12</v>
      </c>
      <c r="B15">
        <v>113</v>
      </c>
      <c r="C15" t="s">
        <v>39</v>
      </c>
      <c r="G15">
        <v>5</v>
      </c>
      <c r="I15">
        <v>1</v>
      </c>
      <c r="K15">
        <v>4</v>
      </c>
      <c r="N15">
        <v>5</v>
      </c>
      <c r="O15">
        <v>5</v>
      </c>
      <c r="P15" t="s">
        <v>218</v>
      </c>
      <c r="R15">
        <v>1</v>
      </c>
      <c r="S15">
        <v>1</v>
      </c>
      <c r="T15">
        <v>1</v>
      </c>
      <c r="W15">
        <v>5</v>
      </c>
      <c r="X15">
        <f t="shared" si="33"/>
        <v>6</v>
      </c>
      <c r="Z15" t="s">
        <v>21</v>
      </c>
      <c r="AA15" t="s">
        <v>22</v>
      </c>
      <c r="AE15" t="s">
        <v>21</v>
      </c>
      <c r="AF15" t="s">
        <v>22</v>
      </c>
      <c r="AG15" t="s">
        <v>35</v>
      </c>
      <c r="AK15" t="s">
        <v>10</v>
      </c>
      <c r="AL15" t="s">
        <v>25</v>
      </c>
      <c r="AM15" t="s">
        <v>26</v>
      </c>
      <c r="AN15" t="s">
        <v>27</v>
      </c>
      <c r="AP15" t="s">
        <v>15</v>
      </c>
      <c r="AQ15" t="s">
        <v>85</v>
      </c>
    </row>
    <row r="16" spans="1:66" x14ac:dyDescent="0.2">
      <c r="A16" t="s">
        <v>28</v>
      </c>
      <c r="D16">
        <f>SUM(D4:D15)</f>
        <v>8</v>
      </c>
      <c r="E16">
        <f>SUM(E4:E15)</f>
        <v>7</v>
      </c>
      <c r="F16">
        <f>SUM(F4:F15)</f>
        <v>5</v>
      </c>
      <c r="G16">
        <f>SUM(G4:G15)</f>
        <v>9</v>
      </c>
      <c r="H16">
        <f>SUM(H4:H15)</f>
        <v>0</v>
      </c>
      <c r="K16">
        <f>SUM(K4:K15)</f>
        <v>19</v>
      </c>
      <c r="L16">
        <f>SUM(L4:L15)</f>
        <v>0</v>
      </c>
      <c r="M16">
        <f>SUM(M4:M15)</f>
        <v>18</v>
      </c>
      <c r="N16">
        <f>SUM(N4:N15)</f>
        <v>39</v>
      </c>
      <c r="O16">
        <f>SUM(O4:O15)</f>
        <v>36</v>
      </c>
      <c r="Q16">
        <f t="shared" ref="Q16:R16" si="34">SUM(Q4:Q15)</f>
        <v>0</v>
      </c>
      <c r="R16">
        <f t="shared" si="34"/>
        <v>11</v>
      </c>
      <c r="S16">
        <f>SUM(S4:S15)</f>
        <v>11</v>
      </c>
      <c r="T16">
        <f>SUM(T4:T15)</f>
        <v>11</v>
      </c>
      <c r="U16">
        <f>SUM(U4:U15)</f>
        <v>51</v>
      </c>
      <c r="V16">
        <f>SUM(V4:V15)</f>
        <v>0</v>
      </c>
      <c r="W16">
        <f>SUM(W4:W15)</f>
        <v>25</v>
      </c>
      <c r="Z16">
        <f t="shared" ref="Z16:Z27" si="35">COUNTIF(Z2:AC2, "3")*COUNTIF(C4, "r")+COUNTIF(Z2:AC2, "5")*COUNTIF(C4, "b")</f>
        <v>0</v>
      </c>
      <c r="AA16">
        <f t="shared" ref="AA16:AA27" si="36">COUNTIF(Z2:AC2, "1")+COUNTIF(Z2:AC2, "2")+COUNTIF(Z2:AC2, "4")</f>
        <v>0</v>
      </c>
      <c r="AE16">
        <f t="shared" ref="AE16:AE27" si="37">COUNTIF(AE2:AI2, "3")*COUNTIF(C4, "r") + COUNTIF(AE2:AI2, "5")*COUNTIF(C4, "b")</f>
        <v>0</v>
      </c>
      <c r="AF16">
        <f t="shared" ref="AF16:AF27" si="38">COUNTIF(AE2:AI2, "1")+COUNTIF(AE2:AI2, "2")+COUNTIF(AE2:AI2, "4")</f>
        <v>0</v>
      </c>
      <c r="AG16">
        <f t="shared" ref="AG16:AG27" si="39">COUNTIF(AE2:AI2, "3")*COUNTIF(AE2:AI2, "b")+COUNTIF(AE2:AI2, "5")*COUNTIF(AE2:AI2, "r")</f>
        <v>0</v>
      </c>
      <c r="AK16">
        <f t="shared" ref="AK16:AK27" si="40">SUMPRODUCT(LEN($AK2:$BH2) - LEN(SUBSTITUTE($AK2:$BH2, "g", "")))</f>
        <v>0</v>
      </c>
      <c r="AL16">
        <f t="shared" ref="AL16:AL27" si="41">SUMPRODUCT(LEN($AK2:$BH2) - LEN(SUBSTITUTE($AK2:$BH2, "h", "")))</f>
        <v>0</v>
      </c>
      <c r="AM16">
        <f t="shared" ref="AM16:AM27" si="42">SUMPRODUCT(LEN($AK2:$BH2) - LEN(SUBSTITUTE($AK2:$BH2, "v", "")))</f>
        <v>0</v>
      </c>
      <c r="AN16">
        <f t="shared" ref="AN16:AN27" si="43">SUMPRODUCT(LEN($AK2:$BH2) - LEN(SUBSTITUTE($AK2:$BH2, "r", "")))</f>
        <v>0</v>
      </c>
      <c r="AP16">
        <f>MAX(AQ16:BN16)</f>
        <v>0</v>
      </c>
      <c r="AQ16" s="4">
        <f>_xlfn.NUMBERVALUE(RIGHT(AK2,1))</f>
        <v>0</v>
      </c>
      <c r="AR16" s="4">
        <f t="shared" ref="AR16:BG27" si="44">_xlfn.NUMBERVALUE(RIGHT(AL2,1))</f>
        <v>0</v>
      </c>
      <c r="AS16" s="4">
        <f t="shared" si="44"/>
        <v>0</v>
      </c>
      <c r="AT16" s="4">
        <f t="shared" si="44"/>
        <v>0</v>
      </c>
      <c r="AU16" s="4">
        <f t="shared" si="44"/>
        <v>0</v>
      </c>
      <c r="AV16" s="4">
        <f t="shared" si="44"/>
        <v>0</v>
      </c>
      <c r="AW16" s="4">
        <f t="shared" si="44"/>
        <v>0</v>
      </c>
      <c r="AX16" s="4">
        <f t="shared" si="44"/>
        <v>0</v>
      </c>
      <c r="AY16" s="4">
        <f t="shared" si="44"/>
        <v>0</v>
      </c>
      <c r="AZ16" s="4">
        <f t="shared" si="44"/>
        <v>0</v>
      </c>
      <c r="BA16" s="4">
        <f t="shared" si="44"/>
        <v>0</v>
      </c>
      <c r="BB16" s="4">
        <f t="shared" si="44"/>
        <v>0</v>
      </c>
      <c r="BC16" s="4">
        <f t="shared" si="44"/>
        <v>0</v>
      </c>
      <c r="BD16" s="4">
        <f t="shared" si="44"/>
        <v>0</v>
      </c>
      <c r="BE16" s="4">
        <f t="shared" si="44"/>
        <v>0</v>
      </c>
      <c r="BF16" s="4">
        <f t="shared" si="44"/>
        <v>0</v>
      </c>
      <c r="BG16" s="4">
        <f t="shared" si="44"/>
        <v>0</v>
      </c>
      <c r="BH16" s="4">
        <f t="shared" ref="BH16:BN27" si="45">_xlfn.NUMBERVALUE(RIGHT(BB2,1))</f>
        <v>0</v>
      </c>
      <c r="BI16" s="4">
        <f t="shared" si="45"/>
        <v>0</v>
      </c>
      <c r="BJ16" s="4">
        <f t="shared" si="45"/>
        <v>0</v>
      </c>
      <c r="BK16" s="4">
        <f t="shared" si="45"/>
        <v>0</v>
      </c>
      <c r="BL16" s="4">
        <f t="shared" si="45"/>
        <v>0</v>
      </c>
      <c r="BM16" s="4">
        <f t="shared" si="45"/>
        <v>0</v>
      </c>
      <c r="BN16" s="4">
        <f t="shared" si="45"/>
        <v>0</v>
      </c>
    </row>
    <row r="17" spans="1:66" x14ac:dyDescent="0.2">
      <c r="A17" s="1" t="s">
        <v>20</v>
      </c>
      <c r="D17" s="1" t="s">
        <v>49</v>
      </c>
      <c r="G17" s="1" t="s">
        <v>52</v>
      </c>
      <c r="K17" s="3" t="s">
        <v>74</v>
      </c>
      <c r="P17" s="1" t="s">
        <v>66</v>
      </c>
      <c r="Z17">
        <f t="shared" si="35"/>
        <v>1</v>
      </c>
      <c r="AA17">
        <f t="shared" si="36"/>
        <v>0</v>
      </c>
      <c r="AE17">
        <f t="shared" si="37"/>
        <v>0</v>
      </c>
      <c r="AF17">
        <f t="shared" si="38"/>
        <v>0</v>
      </c>
      <c r="AG17">
        <f t="shared" si="39"/>
        <v>0</v>
      </c>
      <c r="AK17">
        <f t="shared" si="40"/>
        <v>1</v>
      </c>
      <c r="AL17">
        <f t="shared" si="41"/>
        <v>0</v>
      </c>
      <c r="AM17">
        <f t="shared" si="42"/>
        <v>0</v>
      </c>
      <c r="AN17">
        <f t="shared" si="43"/>
        <v>0</v>
      </c>
      <c r="AP17">
        <f t="shared" ref="AP17:AP27" si="46">MAX(AQ17:BN17)</f>
        <v>1</v>
      </c>
      <c r="AQ17" s="4">
        <f t="shared" ref="AQ17:AQ27" si="47">_xlfn.NUMBERVALUE(RIGHT(AK3,1))</f>
        <v>1</v>
      </c>
      <c r="AR17" s="4">
        <f t="shared" si="44"/>
        <v>0</v>
      </c>
      <c r="AS17" s="4">
        <f t="shared" si="44"/>
        <v>0</v>
      </c>
      <c r="AT17" s="4">
        <f t="shared" si="44"/>
        <v>0</v>
      </c>
      <c r="AU17" s="4">
        <f t="shared" si="44"/>
        <v>0</v>
      </c>
      <c r="AV17" s="4">
        <f t="shared" si="44"/>
        <v>0</v>
      </c>
      <c r="AW17" s="4">
        <f t="shared" si="44"/>
        <v>0</v>
      </c>
      <c r="AX17" s="4">
        <f t="shared" si="44"/>
        <v>0</v>
      </c>
      <c r="AY17" s="4">
        <f t="shared" si="44"/>
        <v>0</v>
      </c>
      <c r="AZ17" s="4">
        <f t="shared" si="44"/>
        <v>0</v>
      </c>
      <c r="BA17" s="4">
        <f t="shared" si="44"/>
        <v>0</v>
      </c>
      <c r="BB17" s="4">
        <f t="shared" si="44"/>
        <v>0</v>
      </c>
      <c r="BC17" s="4">
        <f t="shared" si="44"/>
        <v>0</v>
      </c>
      <c r="BD17" s="4">
        <f t="shared" si="44"/>
        <v>0</v>
      </c>
      <c r="BE17" s="4">
        <f t="shared" si="44"/>
        <v>0</v>
      </c>
      <c r="BF17" s="4">
        <f t="shared" si="44"/>
        <v>0</v>
      </c>
      <c r="BG17" s="4">
        <f t="shared" si="44"/>
        <v>0</v>
      </c>
      <c r="BH17" s="4">
        <f t="shared" si="45"/>
        <v>0</v>
      </c>
      <c r="BI17" s="4">
        <f t="shared" si="45"/>
        <v>0</v>
      </c>
      <c r="BJ17" s="4">
        <f t="shared" si="45"/>
        <v>0</v>
      </c>
      <c r="BK17" s="4">
        <f t="shared" si="45"/>
        <v>0</v>
      </c>
      <c r="BL17" s="4">
        <f t="shared" si="45"/>
        <v>0</v>
      </c>
      <c r="BM17" s="4">
        <f t="shared" si="45"/>
        <v>0</v>
      </c>
      <c r="BN17" s="4">
        <f t="shared" si="45"/>
        <v>0</v>
      </c>
    </row>
    <row r="18" spans="1:66" x14ac:dyDescent="0.2">
      <c r="A18" t="s">
        <v>32</v>
      </c>
      <c r="B18" t="s">
        <v>21</v>
      </c>
      <c r="D18" t="s">
        <v>180</v>
      </c>
      <c r="G18" s="3" t="s">
        <v>53</v>
      </c>
      <c r="K18" t="s">
        <v>55</v>
      </c>
      <c r="M18" t="s">
        <v>65</v>
      </c>
      <c r="P18" t="s">
        <v>67</v>
      </c>
      <c r="Z18">
        <f t="shared" si="35"/>
        <v>0</v>
      </c>
      <c r="AA18">
        <f t="shared" si="36"/>
        <v>0</v>
      </c>
      <c r="AE18">
        <f t="shared" si="37"/>
        <v>0</v>
      </c>
      <c r="AF18">
        <f t="shared" si="38"/>
        <v>0</v>
      </c>
      <c r="AG18">
        <f t="shared" si="39"/>
        <v>0</v>
      </c>
      <c r="AK18">
        <f t="shared" si="40"/>
        <v>0</v>
      </c>
      <c r="AL18">
        <f t="shared" si="41"/>
        <v>0</v>
      </c>
      <c r="AM18">
        <f t="shared" si="42"/>
        <v>0</v>
      </c>
      <c r="AN18">
        <f t="shared" si="43"/>
        <v>0</v>
      </c>
      <c r="AP18">
        <f t="shared" si="46"/>
        <v>0</v>
      </c>
      <c r="AQ18" s="4">
        <f t="shared" si="47"/>
        <v>0</v>
      </c>
      <c r="AR18" s="4">
        <f t="shared" si="44"/>
        <v>0</v>
      </c>
      <c r="AS18" s="4">
        <f t="shared" si="44"/>
        <v>0</v>
      </c>
      <c r="AT18" s="4">
        <f t="shared" si="44"/>
        <v>0</v>
      </c>
      <c r="AU18" s="4">
        <f t="shared" si="44"/>
        <v>0</v>
      </c>
      <c r="AV18" s="4">
        <f t="shared" si="44"/>
        <v>0</v>
      </c>
      <c r="AW18" s="4">
        <f t="shared" si="44"/>
        <v>0</v>
      </c>
      <c r="AX18" s="4">
        <f t="shared" si="44"/>
        <v>0</v>
      </c>
      <c r="AY18" s="4">
        <f t="shared" si="44"/>
        <v>0</v>
      </c>
      <c r="AZ18" s="4">
        <f t="shared" si="44"/>
        <v>0</v>
      </c>
      <c r="BA18" s="4">
        <f t="shared" si="44"/>
        <v>0</v>
      </c>
      <c r="BB18" s="4">
        <f t="shared" si="44"/>
        <v>0</v>
      </c>
      <c r="BC18" s="4">
        <f t="shared" si="44"/>
        <v>0</v>
      </c>
      <c r="BD18" s="4">
        <f t="shared" si="44"/>
        <v>0</v>
      </c>
      <c r="BE18" s="4">
        <f t="shared" si="44"/>
        <v>0</v>
      </c>
      <c r="BF18" s="4">
        <f t="shared" si="44"/>
        <v>0</v>
      </c>
      <c r="BG18" s="4">
        <f t="shared" si="44"/>
        <v>0</v>
      </c>
      <c r="BH18" s="4">
        <f t="shared" si="45"/>
        <v>0</v>
      </c>
      <c r="BI18" s="4">
        <f t="shared" si="45"/>
        <v>0</v>
      </c>
      <c r="BJ18" s="4">
        <f t="shared" si="45"/>
        <v>0</v>
      </c>
      <c r="BK18" s="4">
        <f t="shared" si="45"/>
        <v>0</v>
      </c>
      <c r="BL18" s="4">
        <f t="shared" si="45"/>
        <v>0</v>
      </c>
      <c r="BM18" s="4">
        <f t="shared" si="45"/>
        <v>0</v>
      </c>
      <c r="BN18" s="4">
        <f t="shared" si="45"/>
        <v>0</v>
      </c>
    </row>
    <row r="19" spans="1:66" x14ac:dyDescent="0.2">
      <c r="A19" t="s">
        <v>40</v>
      </c>
      <c r="B19" t="s">
        <v>22</v>
      </c>
      <c r="D19">
        <f>E16/D16</f>
        <v>0.875</v>
      </c>
      <c r="G19" t="s">
        <v>75</v>
      </c>
      <c r="K19">
        <f>O16/N16</f>
        <v>0.92307692307692313</v>
      </c>
      <c r="M19">
        <f>SUM(M39:M50)</f>
        <v>1</v>
      </c>
      <c r="P19">
        <f>T16/S16</f>
        <v>1</v>
      </c>
      <c r="Z19">
        <f t="shared" si="35"/>
        <v>1</v>
      </c>
      <c r="AA19">
        <f t="shared" si="36"/>
        <v>0</v>
      </c>
      <c r="AE19">
        <f t="shared" si="37"/>
        <v>0</v>
      </c>
      <c r="AF19">
        <f t="shared" si="38"/>
        <v>1</v>
      </c>
      <c r="AG19">
        <f t="shared" si="39"/>
        <v>0</v>
      </c>
      <c r="AK19">
        <f t="shared" si="40"/>
        <v>1</v>
      </c>
      <c r="AL19">
        <f t="shared" si="41"/>
        <v>2</v>
      </c>
      <c r="AM19">
        <f t="shared" si="42"/>
        <v>0</v>
      </c>
      <c r="AN19">
        <f t="shared" si="43"/>
        <v>0</v>
      </c>
      <c r="AP19">
        <f t="shared" si="46"/>
        <v>3</v>
      </c>
      <c r="AQ19" s="4">
        <f t="shared" si="47"/>
        <v>1</v>
      </c>
      <c r="AR19" s="4">
        <f t="shared" si="44"/>
        <v>2</v>
      </c>
      <c r="AS19" s="4">
        <f t="shared" si="44"/>
        <v>3</v>
      </c>
      <c r="AT19" s="4">
        <f t="shared" si="44"/>
        <v>0</v>
      </c>
      <c r="AU19" s="4">
        <f t="shared" si="44"/>
        <v>0</v>
      </c>
      <c r="AV19" s="4">
        <f t="shared" si="44"/>
        <v>0</v>
      </c>
      <c r="AW19" s="4">
        <f t="shared" si="44"/>
        <v>0</v>
      </c>
      <c r="AX19" s="4">
        <f t="shared" si="44"/>
        <v>0</v>
      </c>
      <c r="AY19" s="4">
        <f t="shared" si="44"/>
        <v>0</v>
      </c>
      <c r="AZ19" s="4">
        <f t="shared" si="44"/>
        <v>0</v>
      </c>
      <c r="BA19" s="4">
        <f t="shared" si="44"/>
        <v>0</v>
      </c>
      <c r="BB19" s="4">
        <f t="shared" si="44"/>
        <v>0</v>
      </c>
      <c r="BC19" s="4">
        <f t="shared" si="44"/>
        <v>0</v>
      </c>
      <c r="BD19" s="4">
        <f t="shared" si="44"/>
        <v>0</v>
      </c>
      <c r="BE19" s="4">
        <f t="shared" si="44"/>
        <v>0</v>
      </c>
      <c r="BF19" s="4">
        <f t="shared" si="44"/>
        <v>0</v>
      </c>
      <c r="BG19" s="4">
        <f t="shared" si="44"/>
        <v>0</v>
      </c>
      <c r="BH19" s="4">
        <f t="shared" si="45"/>
        <v>0</v>
      </c>
      <c r="BI19" s="4">
        <f t="shared" si="45"/>
        <v>0</v>
      </c>
      <c r="BJ19" s="4">
        <f t="shared" si="45"/>
        <v>0</v>
      </c>
      <c r="BK19" s="4">
        <f t="shared" si="45"/>
        <v>0</v>
      </c>
      <c r="BL19" s="4">
        <f t="shared" si="45"/>
        <v>0</v>
      </c>
      <c r="BM19" s="4">
        <f t="shared" si="45"/>
        <v>0</v>
      </c>
      <c r="BN19" s="4">
        <f t="shared" si="45"/>
        <v>0</v>
      </c>
    </row>
    <row r="20" spans="1:66" x14ac:dyDescent="0.2">
      <c r="A20" t="s">
        <v>41</v>
      </c>
      <c r="B20" t="s">
        <v>23</v>
      </c>
      <c r="D20" t="s">
        <v>47</v>
      </c>
      <c r="G20">
        <f>AK28/AP28</f>
        <v>0.625</v>
      </c>
      <c r="K20" t="s">
        <v>13</v>
      </c>
      <c r="Z20">
        <f t="shared" si="35"/>
        <v>0</v>
      </c>
      <c r="AA20">
        <f t="shared" si="36"/>
        <v>0</v>
      </c>
      <c r="AE20">
        <f t="shared" si="37"/>
        <v>0</v>
      </c>
      <c r="AF20">
        <f t="shared" si="38"/>
        <v>0</v>
      </c>
      <c r="AG20">
        <f t="shared" si="39"/>
        <v>0</v>
      </c>
      <c r="AK20">
        <f t="shared" si="40"/>
        <v>0</v>
      </c>
      <c r="AL20">
        <f t="shared" si="41"/>
        <v>0</v>
      </c>
      <c r="AM20">
        <f t="shared" si="42"/>
        <v>0</v>
      </c>
      <c r="AN20">
        <f t="shared" si="43"/>
        <v>0</v>
      </c>
      <c r="AP20">
        <f t="shared" si="46"/>
        <v>0</v>
      </c>
      <c r="AQ20" s="4">
        <f t="shared" si="47"/>
        <v>0</v>
      </c>
      <c r="AR20" s="4">
        <f t="shared" si="44"/>
        <v>0</v>
      </c>
      <c r="AS20" s="4">
        <f t="shared" si="44"/>
        <v>0</v>
      </c>
      <c r="AT20" s="4">
        <f t="shared" si="44"/>
        <v>0</v>
      </c>
      <c r="AU20" s="4">
        <f t="shared" si="44"/>
        <v>0</v>
      </c>
      <c r="AV20" s="4">
        <f t="shared" si="44"/>
        <v>0</v>
      </c>
      <c r="AW20" s="4">
        <f t="shared" si="44"/>
        <v>0</v>
      </c>
      <c r="AX20" s="4">
        <f t="shared" si="44"/>
        <v>0</v>
      </c>
      <c r="AY20" s="4">
        <f t="shared" si="44"/>
        <v>0</v>
      </c>
      <c r="AZ20" s="4">
        <f t="shared" si="44"/>
        <v>0</v>
      </c>
      <c r="BA20" s="4">
        <f t="shared" si="44"/>
        <v>0</v>
      </c>
      <c r="BB20" s="4">
        <f t="shared" si="44"/>
        <v>0</v>
      </c>
      <c r="BC20" s="4">
        <f t="shared" si="44"/>
        <v>0</v>
      </c>
      <c r="BD20" s="4">
        <f t="shared" si="44"/>
        <v>0</v>
      </c>
      <c r="BE20" s="4">
        <f t="shared" si="44"/>
        <v>0</v>
      </c>
      <c r="BF20" s="4">
        <f t="shared" si="44"/>
        <v>0</v>
      </c>
      <c r="BG20" s="4">
        <f t="shared" si="44"/>
        <v>0</v>
      </c>
      <c r="BH20" s="4">
        <f t="shared" si="45"/>
        <v>0</v>
      </c>
      <c r="BI20" s="4">
        <f t="shared" si="45"/>
        <v>0</v>
      </c>
      <c r="BJ20" s="4">
        <f t="shared" si="45"/>
        <v>0</v>
      </c>
      <c r="BK20" s="4">
        <f t="shared" si="45"/>
        <v>0</v>
      </c>
      <c r="BL20" s="4">
        <f t="shared" si="45"/>
        <v>0</v>
      </c>
      <c r="BM20" s="4">
        <f t="shared" si="45"/>
        <v>0</v>
      </c>
      <c r="BN20" s="4">
        <f t="shared" si="45"/>
        <v>0</v>
      </c>
    </row>
    <row r="21" spans="1:66" x14ac:dyDescent="0.2">
      <c r="A21" s="1" t="s">
        <v>24</v>
      </c>
      <c r="D21">
        <f>G16/A31</f>
        <v>0.75</v>
      </c>
      <c r="G21" t="s">
        <v>76</v>
      </c>
      <c r="K21" t="s">
        <v>57</v>
      </c>
      <c r="L21" t="s">
        <v>58</v>
      </c>
      <c r="M21" t="s">
        <v>59</v>
      </c>
      <c r="N21" t="s">
        <v>60</v>
      </c>
      <c r="Z21">
        <f t="shared" si="35"/>
        <v>0</v>
      </c>
      <c r="AA21">
        <f t="shared" si="36"/>
        <v>0</v>
      </c>
      <c r="AE21">
        <f t="shared" si="37"/>
        <v>1</v>
      </c>
      <c r="AF21">
        <f t="shared" si="38"/>
        <v>0</v>
      </c>
      <c r="AG21">
        <f t="shared" si="39"/>
        <v>0</v>
      </c>
      <c r="AK21">
        <f t="shared" si="40"/>
        <v>0</v>
      </c>
      <c r="AL21">
        <f t="shared" si="41"/>
        <v>0</v>
      </c>
      <c r="AM21">
        <f t="shared" si="42"/>
        <v>0</v>
      </c>
      <c r="AN21">
        <f t="shared" si="43"/>
        <v>0</v>
      </c>
      <c r="AP21">
        <f t="shared" si="46"/>
        <v>0</v>
      </c>
      <c r="AQ21" s="4">
        <f t="shared" si="47"/>
        <v>0</v>
      </c>
      <c r="AR21" s="4">
        <f t="shared" si="44"/>
        <v>0</v>
      </c>
      <c r="AS21" s="4">
        <f t="shared" si="44"/>
        <v>0</v>
      </c>
      <c r="AT21" s="4">
        <f t="shared" si="44"/>
        <v>0</v>
      </c>
      <c r="AU21" s="4">
        <f t="shared" si="44"/>
        <v>0</v>
      </c>
      <c r="AV21" s="4">
        <f t="shared" si="44"/>
        <v>0</v>
      </c>
      <c r="AW21" s="4">
        <f t="shared" si="44"/>
        <v>0</v>
      </c>
      <c r="AX21" s="4">
        <f t="shared" si="44"/>
        <v>0</v>
      </c>
      <c r="AY21" s="4">
        <f t="shared" si="44"/>
        <v>0</v>
      </c>
      <c r="AZ21" s="4">
        <f t="shared" si="44"/>
        <v>0</v>
      </c>
      <c r="BA21" s="4">
        <f t="shared" si="44"/>
        <v>0</v>
      </c>
      <c r="BB21" s="4">
        <f t="shared" si="44"/>
        <v>0</v>
      </c>
      <c r="BC21" s="4">
        <f t="shared" si="44"/>
        <v>0</v>
      </c>
      <c r="BD21" s="4">
        <f t="shared" si="44"/>
        <v>0</v>
      </c>
      <c r="BE21" s="4">
        <f t="shared" si="44"/>
        <v>0</v>
      </c>
      <c r="BF21" s="4">
        <f t="shared" si="44"/>
        <v>0</v>
      </c>
      <c r="BG21" s="4">
        <f t="shared" si="44"/>
        <v>0</v>
      </c>
      <c r="BH21" s="4">
        <f t="shared" si="45"/>
        <v>0</v>
      </c>
      <c r="BI21" s="4">
        <f t="shared" si="45"/>
        <v>0</v>
      </c>
      <c r="BJ21" s="4">
        <f t="shared" si="45"/>
        <v>0</v>
      </c>
      <c r="BK21" s="4">
        <f t="shared" si="45"/>
        <v>0</v>
      </c>
      <c r="BL21" s="4">
        <f t="shared" si="45"/>
        <v>0</v>
      </c>
      <c r="BM21" s="4">
        <f t="shared" si="45"/>
        <v>0</v>
      </c>
      <c r="BN21" s="4">
        <f t="shared" si="45"/>
        <v>0</v>
      </c>
    </row>
    <row r="22" spans="1:66" x14ac:dyDescent="0.2">
      <c r="A22" t="s">
        <v>36</v>
      </c>
      <c r="B22" t="s">
        <v>10</v>
      </c>
      <c r="D22" t="s">
        <v>48</v>
      </c>
      <c r="G22">
        <f>AL28/AP28</f>
        <v>0.375</v>
      </c>
      <c r="K22">
        <f>AVERAGE(C39:C50)</f>
        <v>3</v>
      </c>
      <c r="L22">
        <f>MEDIAN(C39:C50)</f>
        <v>3</v>
      </c>
      <c r="M22">
        <f>MAX(C39:C50)</f>
        <v>5</v>
      </c>
      <c r="N22">
        <f>_xlfn.STDEV.S(C39:C50)</f>
        <v>1.2060453783110545</v>
      </c>
      <c r="Z22">
        <f t="shared" si="35"/>
        <v>0</v>
      </c>
      <c r="AA22">
        <f t="shared" si="36"/>
        <v>0</v>
      </c>
      <c r="AE22">
        <f t="shared" si="37"/>
        <v>0</v>
      </c>
      <c r="AF22">
        <f t="shared" si="38"/>
        <v>0</v>
      </c>
      <c r="AG22">
        <f t="shared" si="39"/>
        <v>0</v>
      </c>
      <c r="AK22">
        <f t="shared" si="40"/>
        <v>0</v>
      </c>
      <c r="AL22">
        <f t="shared" si="41"/>
        <v>0</v>
      </c>
      <c r="AM22">
        <f t="shared" si="42"/>
        <v>0</v>
      </c>
      <c r="AN22">
        <f t="shared" si="43"/>
        <v>0</v>
      </c>
      <c r="AP22">
        <f t="shared" si="46"/>
        <v>0</v>
      </c>
      <c r="AQ22" s="4">
        <f t="shared" si="47"/>
        <v>0</v>
      </c>
      <c r="AR22" s="4">
        <f t="shared" si="44"/>
        <v>0</v>
      </c>
      <c r="AS22" s="4">
        <f t="shared" si="44"/>
        <v>0</v>
      </c>
      <c r="AT22" s="4">
        <f t="shared" si="44"/>
        <v>0</v>
      </c>
      <c r="AU22" s="4">
        <f t="shared" si="44"/>
        <v>0</v>
      </c>
      <c r="AV22" s="4">
        <f t="shared" si="44"/>
        <v>0</v>
      </c>
      <c r="AW22" s="4">
        <f t="shared" si="44"/>
        <v>0</v>
      </c>
      <c r="AX22" s="4">
        <f t="shared" si="44"/>
        <v>0</v>
      </c>
      <c r="AY22" s="4">
        <f t="shared" si="44"/>
        <v>0</v>
      </c>
      <c r="AZ22" s="4">
        <f t="shared" si="44"/>
        <v>0</v>
      </c>
      <c r="BA22" s="4">
        <f t="shared" si="44"/>
        <v>0</v>
      </c>
      <c r="BB22" s="4">
        <f t="shared" si="44"/>
        <v>0</v>
      </c>
      <c r="BC22" s="4">
        <f t="shared" si="44"/>
        <v>0</v>
      </c>
      <c r="BD22" s="4">
        <f t="shared" si="44"/>
        <v>0</v>
      </c>
      <c r="BE22" s="4">
        <f t="shared" si="44"/>
        <v>0</v>
      </c>
      <c r="BF22" s="4">
        <f t="shared" si="44"/>
        <v>0</v>
      </c>
      <c r="BG22" s="4">
        <f t="shared" si="44"/>
        <v>0</v>
      </c>
      <c r="BH22" s="4">
        <f t="shared" si="45"/>
        <v>0</v>
      </c>
      <c r="BI22" s="4">
        <f t="shared" si="45"/>
        <v>0</v>
      </c>
      <c r="BJ22" s="4">
        <f t="shared" si="45"/>
        <v>0</v>
      </c>
      <c r="BK22" s="4">
        <f t="shared" si="45"/>
        <v>0</v>
      </c>
      <c r="BL22" s="4">
        <f t="shared" si="45"/>
        <v>0</v>
      </c>
      <c r="BM22" s="4">
        <f t="shared" si="45"/>
        <v>0</v>
      </c>
      <c r="BN22" s="4">
        <f t="shared" si="45"/>
        <v>0</v>
      </c>
    </row>
    <row r="23" spans="1:66" x14ac:dyDescent="0.2">
      <c r="A23" t="s">
        <v>37</v>
      </c>
      <c r="B23" t="s">
        <v>25</v>
      </c>
      <c r="D23">
        <f>H16/A31</f>
        <v>0</v>
      </c>
      <c r="G23" t="s">
        <v>77</v>
      </c>
      <c r="K23" t="s">
        <v>8</v>
      </c>
      <c r="Z23">
        <f t="shared" si="35"/>
        <v>0</v>
      </c>
      <c r="AA23">
        <f t="shared" si="36"/>
        <v>0</v>
      </c>
      <c r="AE23">
        <f t="shared" si="37"/>
        <v>1</v>
      </c>
      <c r="AF23">
        <f t="shared" si="38"/>
        <v>0</v>
      </c>
      <c r="AG23">
        <f t="shared" si="39"/>
        <v>0</v>
      </c>
      <c r="AK23">
        <f t="shared" si="40"/>
        <v>0</v>
      </c>
      <c r="AL23">
        <f t="shared" si="41"/>
        <v>0</v>
      </c>
      <c r="AM23">
        <f t="shared" si="42"/>
        <v>0</v>
      </c>
      <c r="AN23">
        <f t="shared" si="43"/>
        <v>0</v>
      </c>
      <c r="AP23">
        <f t="shared" si="46"/>
        <v>0</v>
      </c>
      <c r="AQ23" s="4">
        <f t="shared" si="47"/>
        <v>0</v>
      </c>
      <c r="AR23" s="4">
        <f t="shared" si="44"/>
        <v>0</v>
      </c>
      <c r="AS23" s="4">
        <f t="shared" si="44"/>
        <v>0</v>
      </c>
      <c r="AT23" s="4">
        <f t="shared" si="44"/>
        <v>0</v>
      </c>
      <c r="AU23" s="4">
        <f t="shared" si="44"/>
        <v>0</v>
      </c>
      <c r="AV23" s="4">
        <f t="shared" si="44"/>
        <v>0</v>
      </c>
      <c r="AW23" s="4">
        <f t="shared" si="44"/>
        <v>0</v>
      </c>
      <c r="AX23" s="4">
        <f t="shared" si="44"/>
        <v>0</v>
      </c>
      <c r="AY23" s="4">
        <f t="shared" si="44"/>
        <v>0</v>
      </c>
      <c r="AZ23" s="4">
        <f t="shared" si="44"/>
        <v>0</v>
      </c>
      <c r="BA23" s="4">
        <f t="shared" si="44"/>
        <v>0</v>
      </c>
      <c r="BB23" s="4">
        <f t="shared" si="44"/>
        <v>0</v>
      </c>
      <c r="BC23" s="4">
        <f t="shared" si="44"/>
        <v>0</v>
      </c>
      <c r="BD23" s="4">
        <f t="shared" si="44"/>
        <v>0</v>
      </c>
      <c r="BE23" s="4">
        <f t="shared" si="44"/>
        <v>0</v>
      </c>
      <c r="BF23" s="4">
        <f t="shared" si="44"/>
        <v>0</v>
      </c>
      <c r="BG23" s="4">
        <f t="shared" si="44"/>
        <v>0</v>
      </c>
      <c r="BH23" s="4">
        <f t="shared" si="45"/>
        <v>0</v>
      </c>
      <c r="BI23" s="4">
        <f t="shared" si="45"/>
        <v>0</v>
      </c>
      <c r="BJ23" s="4">
        <f t="shared" si="45"/>
        <v>0</v>
      </c>
      <c r="BK23" s="4">
        <f t="shared" si="45"/>
        <v>0</v>
      </c>
      <c r="BL23" s="4">
        <f t="shared" si="45"/>
        <v>0</v>
      </c>
      <c r="BM23" s="4">
        <f t="shared" si="45"/>
        <v>0</v>
      </c>
      <c r="BN23" s="4">
        <f t="shared" si="45"/>
        <v>0</v>
      </c>
    </row>
    <row r="24" spans="1:66" x14ac:dyDescent="0.2">
      <c r="A24" t="s">
        <v>38</v>
      </c>
      <c r="B24" t="s">
        <v>26</v>
      </c>
      <c r="D24" t="s">
        <v>50</v>
      </c>
      <c r="G24">
        <f>AM28/AP28</f>
        <v>0</v>
      </c>
      <c r="K24" t="s">
        <v>57</v>
      </c>
      <c r="L24" t="s">
        <v>61</v>
      </c>
      <c r="M24" t="s">
        <v>59</v>
      </c>
      <c r="N24" t="s">
        <v>60</v>
      </c>
      <c r="Z24">
        <f t="shared" si="35"/>
        <v>0</v>
      </c>
      <c r="AA24">
        <f t="shared" si="36"/>
        <v>0</v>
      </c>
      <c r="AE24">
        <f t="shared" si="37"/>
        <v>0</v>
      </c>
      <c r="AF24">
        <f t="shared" si="38"/>
        <v>1</v>
      </c>
      <c r="AG24">
        <f t="shared" si="39"/>
        <v>0</v>
      </c>
      <c r="AK24">
        <f t="shared" si="40"/>
        <v>1</v>
      </c>
      <c r="AL24">
        <f t="shared" si="41"/>
        <v>0</v>
      </c>
      <c r="AM24">
        <f t="shared" si="42"/>
        <v>0</v>
      </c>
      <c r="AN24">
        <f t="shared" si="43"/>
        <v>0</v>
      </c>
      <c r="AP24">
        <f t="shared" si="46"/>
        <v>1</v>
      </c>
      <c r="AQ24" s="4">
        <f t="shared" si="47"/>
        <v>1</v>
      </c>
      <c r="AR24" s="4">
        <f t="shared" si="44"/>
        <v>0</v>
      </c>
      <c r="AS24" s="4">
        <f t="shared" si="44"/>
        <v>0</v>
      </c>
      <c r="AT24" s="4">
        <f t="shared" si="44"/>
        <v>0</v>
      </c>
      <c r="AU24" s="4">
        <f t="shared" si="44"/>
        <v>0</v>
      </c>
      <c r="AV24" s="4">
        <f t="shared" si="44"/>
        <v>0</v>
      </c>
      <c r="AW24" s="4">
        <f t="shared" si="44"/>
        <v>0</v>
      </c>
      <c r="AX24" s="4">
        <f t="shared" si="44"/>
        <v>0</v>
      </c>
      <c r="AY24" s="4">
        <f t="shared" si="44"/>
        <v>0</v>
      </c>
      <c r="AZ24" s="4">
        <f t="shared" si="44"/>
        <v>0</v>
      </c>
      <c r="BA24" s="4">
        <f t="shared" si="44"/>
        <v>0</v>
      </c>
      <c r="BB24" s="4">
        <f t="shared" si="44"/>
        <v>0</v>
      </c>
      <c r="BC24" s="4">
        <f t="shared" si="44"/>
        <v>0</v>
      </c>
      <c r="BD24" s="4">
        <f t="shared" si="44"/>
        <v>0</v>
      </c>
      <c r="BE24" s="4">
        <f t="shared" si="44"/>
        <v>0</v>
      </c>
      <c r="BF24" s="4">
        <f t="shared" si="44"/>
        <v>0</v>
      </c>
      <c r="BG24" s="4">
        <f t="shared" si="44"/>
        <v>0</v>
      </c>
      <c r="BH24" s="4">
        <f t="shared" si="45"/>
        <v>0</v>
      </c>
      <c r="BI24" s="4">
        <f t="shared" si="45"/>
        <v>0</v>
      </c>
      <c r="BJ24" s="4">
        <f t="shared" si="45"/>
        <v>0</v>
      </c>
      <c r="BK24" s="4">
        <f t="shared" si="45"/>
        <v>0</v>
      </c>
      <c r="BL24" s="4">
        <f t="shared" si="45"/>
        <v>0</v>
      </c>
      <c r="BM24" s="4">
        <f t="shared" si="45"/>
        <v>0</v>
      </c>
      <c r="BN24" s="4">
        <f t="shared" si="45"/>
        <v>0</v>
      </c>
    </row>
    <row r="25" spans="1:66" x14ac:dyDescent="0.2">
      <c r="A25" t="s">
        <v>39</v>
      </c>
      <c r="B25" t="s">
        <v>27</v>
      </c>
      <c r="D25">
        <f>Z28/A31</f>
        <v>0.16666666666666666</v>
      </c>
      <c r="G25" t="s">
        <v>78</v>
      </c>
      <c r="K25">
        <f>AVERAGE(E39:E50)</f>
        <v>0</v>
      </c>
      <c r="L25">
        <f>MEDIAN(E39:E50)</f>
        <v>0</v>
      </c>
      <c r="M25">
        <f>MAX(E39:E50)</f>
        <v>0</v>
      </c>
      <c r="N25">
        <f>_xlfn.STDEV.S(E39:E50)</f>
        <v>0</v>
      </c>
      <c r="Z25">
        <f t="shared" si="35"/>
        <v>0</v>
      </c>
      <c r="AA25">
        <f t="shared" si="36"/>
        <v>0</v>
      </c>
      <c r="AE25">
        <f t="shared" si="37"/>
        <v>0</v>
      </c>
      <c r="AF25">
        <f t="shared" si="38"/>
        <v>1</v>
      </c>
      <c r="AG25">
        <f t="shared" si="39"/>
        <v>0</v>
      </c>
      <c r="AK25">
        <f t="shared" si="40"/>
        <v>0</v>
      </c>
      <c r="AL25">
        <f t="shared" si="41"/>
        <v>1</v>
      </c>
      <c r="AM25">
        <f t="shared" si="42"/>
        <v>0</v>
      </c>
      <c r="AN25">
        <f t="shared" si="43"/>
        <v>0</v>
      </c>
      <c r="AP25">
        <f t="shared" si="46"/>
        <v>1</v>
      </c>
      <c r="AQ25" s="4">
        <f t="shared" si="47"/>
        <v>1</v>
      </c>
      <c r="AR25" s="4">
        <f t="shared" si="44"/>
        <v>0</v>
      </c>
      <c r="AS25" s="4">
        <f t="shared" si="44"/>
        <v>0</v>
      </c>
      <c r="AT25" s="4">
        <f t="shared" si="44"/>
        <v>0</v>
      </c>
      <c r="AU25" s="4">
        <f t="shared" si="44"/>
        <v>0</v>
      </c>
      <c r="AV25" s="4">
        <f t="shared" si="44"/>
        <v>0</v>
      </c>
      <c r="AW25" s="4">
        <f t="shared" si="44"/>
        <v>0</v>
      </c>
      <c r="AX25" s="4">
        <f t="shared" si="44"/>
        <v>0</v>
      </c>
      <c r="AY25" s="4">
        <f t="shared" si="44"/>
        <v>0</v>
      </c>
      <c r="AZ25" s="4">
        <f t="shared" si="44"/>
        <v>0</v>
      </c>
      <c r="BA25" s="4">
        <f t="shared" si="44"/>
        <v>0</v>
      </c>
      <c r="BB25" s="4">
        <f t="shared" si="44"/>
        <v>0</v>
      </c>
      <c r="BC25" s="4">
        <f t="shared" si="44"/>
        <v>0</v>
      </c>
      <c r="BD25" s="4">
        <f t="shared" si="44"/>
        <v>0</v>
      </c>
      <c r="BE25" s="4">
        <f t="shared" si="44"/>
        <v>0</v>
      </c>
      <c r="BF25" s="4">
        <f t="shared" si="44"/>
        <v>0</v>
      </c>
      <c r="BG25" s="4">
        <f t="shared" si="44"/>
        <v>0</v>
      </c>
      <c r="BH25" s="4">
        <f t="shared" si="45"/>
        <v>0</v>
      </c>
      <c r="BI25" s="4">
        <f t="shared" si="45"/>
        <v>0</v>
      </c>
      <c r="BJ25" s="4">
        <f t="shared" si="45"/>
        <v>0</v>
      </c>
      <c r="BK25" s="4">
        <f t="shared" si="45"/>
        <v>0</v>
      </c>
      <c r="BL25" s="4">
        <f t="shared" si="45"/>
        <v>0</v>
      </c>
      <c r="BM25" s="4">
        <f t="shared" si="45"/>
        <v>0</v>
      </c>
      <c r="BN25" s="4">
        <f t="shared" si="45"/>
        <v>0</v>
      </c>
    </row>
    <row r="26" spans="1:66" x14ac:dyDescent="0.2">
      <c r="A26" t="s">
        <v>44</v>
      </c>
      <c r="D26" t="s">
        <v>51</v>
      </c>
      <c r="G26">
        <f>AN28/AP28</f>
        <v>0</v>
      </c>
      <c r="K26" t="s">
        <v>62</v>
      </c>
      <c r="P26" t="s">
        <v>19</v>
      </c>
      <c r="Z26">
        <f t="shared" si="35"/>
        <v>0</v>
      </c>
      <c r="AA26">
        <f t="shared" si="36"/>
        <v>0</v>
      </c>
      <c r="AE26">
        <f t="shared" si="37"/>
        <v>0</v>
      </c>
      <c r="AF26">
        <f t="shared" si="38"/>
        <v>0</v>
      </c>
      <c r="AG26">
        <f t="shared" si="39"/>
        <v>0</v>
      </c>
      <c r="AK26">
        <f t="shared" si="40"/>
        <v>1</v>
      </c>
      <c r="AL26">
        <f t="shared" si="41"/>
        <v>0</v>
      </c>
      <c r="AM26">
        <f t="shared" si="42"/>
        <v>0</v>
      </c>
      <c r="AN26">
        <f t="shared" si="43"/>
        <v>0</v>
      </c>
      <c r="AP26">
        <f t="shared" si="46"/>
        <v>1</v>
      </c>
      <c r="AQ26" s="4">
        <f t="shared" si="47"/>
        <v>1</v>
      </c>
      <c r="AR26" s="4">
        <f t="shared" si="44"/>
        <v>0</v>
      </c>
      <c r="AS26" s="4">
        <f t="shared" si="44"/>
        <v>0</v>
      </c>
      <c r="AT26" s="4">
        <f t="shared" si="44"/>
        <v>0</v>
      </c>
      <c r="AU26" s="4">
        <f t="shared" si="44"/>
        <v>0</v>
      </c>
      <c r="AV26" s="4">
        <f t="shared" si="44"/>
        <v>0</v>
      </c>
      <c r="AW26" s="4">
        <f t="shared" si="44"/>
        <v>0</v>
      </c>
      <c r="AX26" s="4">
        <f t="shared" si="44"/>
        <v>0</v>
      </c>
      <c r="AY26" s="4">
        <f t="shared" si="44"/>
        <v>0</v>
      </c>
      <c r="AZ26" s="4">
        <f t="shared" si="44"/>
        <v>0</v>
      </c>
      <c r="BA26" s="4">
        <f t="shared" si="44"/>
        <v>0</v>
      </c>
      <c r="BB26" s="4">
        <f t="shared" si="44"/>
        <v>0</v>
      </c>
      <c r="BC26" s="4">
        <f t="shared" si="44"/>
        <v>0</v>
      </c>
      <c r="BD26" s="4">
        <f t="shared" si="44"/>
        <v>0</v>
      </c>
      <c r="BE26" s="4">
        <f t="shared" si="44"/>
        <v>0</v>
      </c>
      <c r="BF26" s="4">
        <f t="shared" si="44"/>
        <v>0</v>
      </c>
      <c r="BG26" s="4">
        <f t="shared" si="44"/>
        <v>0</v>
      </c>
      <c r="BH26" s="4">
        <f t="shared" si="45"/>
        <v>0</v>
      </c>
      <c r="BI26" s="4">
        <f t="shared" si="45"/>
        <v>0</v>
      </c>
      <c r="BJ26" s="4">
        <f t="shared" si="45"/>
        <v>0</v>
      </c>
      <c r="BK26" s="4">
        <f t="shared" si="45"/>
        <v>0</v>
      </c>
      <c r="BL26" s="4">
        <f t="shared" si="45"/>
        <v>0</v>
      </c>
      <c r="BM26" s="4">
        <f t="shared" si="45"/>
        <v>0</v>
      </c>
      <c r="BN26" s="4">
        <f t="shared" si="45"/>
        <v>0</v>
      </c>
    </row>
    <row r="27" spans="1:66" x14ac:dyDescent="0.2">
      <c r="A27" t="s">
        <v>45</v>
      </c>
      <c r="D27">
        <f>AA28/A31</f>
        <v>8.3333333333333329E-2</v>
      </c>
      <c r="G27" t="s">
        <v>56</v>
      </c>
      <c r="K27" t="s">
        <v>57</v>
      </c>
      <c r="L27" t="s">
        <v>58</v>
      </c>
      <c r="M27" t="s">
        <v>59</v>
      </c>
      <c r="N27" t="s">
        <v>60</v>
      </c>
      <c r="P27" t="s">
        <v>57</v>
      </c>
      <c r="Q27" t="s">
        <v>58</v>
      </c>
      <c r="R27" t="s">
        <v>59</v>
      </c>
      <c r="S27" t="s">
        <v>60</v>
      </c>
      <c r="Z27">
        <f t="shared" si="35"/>
        <v>0</v>
      </c>
      <c r="AA27">
        <f t="shared" si="36"/>
        <v>1</v>
      </c>
      <c r="AE27">
        <f t="shared" si="37"/>
        <v>0</v>
      </c>
      <c r="AF27">
        <f t="shared" si="38"/>
        <v>0</v>
      </c>
      <c r="AG27">
        <f t="shared" si="39"/>
        <v>0</v>
      </c>
      <c r="AK27">
        <f t="shared" si="40"/>
        <v>1</v>
      </c>
      <c r="AL27">
        <f t="shared" si="41"/>
        <v>0</v>
      </c>
      <c r="AM27">
        <f t="shared" si="42"/>
        <v>0</v>
      </c>
      <c r="AN27">
        <f t="shared" si="43"/>
        <v>0</v>
      </c>
      <c r="AP27">
        <f t="shared" si="46"/>
        <v>1</v>
      </c>
      <c r="AQ27" s="4">
        <f t="shared" si="47"/>
        <v>1</v>
      </c>
      <c r="AR27" s="4">
        <f t="shared" si="44"/>
        <v>0</v>
      </c>
      <c r="AS27" s="4">
        <f t="shared" si="44"/>
        <v>0</v>
      </c>
      <c r="AT27" s="4">
        <f t="shared" si="44"/>
        <v>0</v>
      </c>
      <c r="AU27" s="4">
        <f t="shared" si="44"/>
        <v>0</v>
      </c>
      <c r="AV27" s="4">
        <f t="shared" si="44"/>
        <v>0</v>
      </c>
      <c r="AW27" s="4">
        <f t="shared" si="44"/>
        <v>0</v>
      </c>
      <c r="AX27" s="4">
        <f t="shared" si="44"/>
        <v>0</v>
      </c>
      <c r="AY27" s="4">
        <f t="shared" si="44"/>
        <v>0</v>
      </c>
      <c r="AZ27" s="4">
        <f t="shared" si="44"/>
        <v>0</v>
      </c>
      <c r="BA27" s="4">
        <f t="shared" si="44"/>
        <v>0</v>
      </c>
      <c r="BB27" s="4">
        <f t="shared" si="44"/>
        <v>0</v>
      </c>
      <c r="BC27" s="4">
        <f t="shared" si="44"/>
        <v>0</v>
      </c>
      <c r="BD27" s="4">
        <f t="shared" si="44"/>
        <v>0</v>
      </c>
      <c r="BE27" s="4">
        <f t="shared" si="44"/>
        <v>0</v>
      </c>
      <c r="BF27" s="4">
        <f t="shared" si="44"/>
        <v>0</v>
      </c>
      <c r="BG27" s="4">
        <f t="shared" si="44"/>
        <v>0</v>
      </c>
      <c r="BH27" s="4">
        <f t="shared" si="45"/>
        <v>0</v>
      </c>
      <c r="BI27" s="4">
        <f t="shared" si="45"/>
        <v>0</v>
      </c>
      <c r="BJ27" s="4">
        <f t="shared" si="45"/>
        <v>0</v>
      </c>
      <c r="BK27" s="4">
        <f t="shared" si="45"/>
        <v>0</v>
      </c>
      <c r="BL27" s="4">
        <f t="shared" si="45"/>
        <v>0</v>
      </c>
      <c r="BM27" s="4">
        <f t="shared" si="45"/>
        <v>0</v>
      </c>
      <c r="BN27" s="4">
        <f t="shared" si="45"/>
        <v>0</v>
      </c>
    </row>
    <row r="28" spans="1:66" x14ac:dyDescent="0.2">
      <c r="A28" t="s">
        <v>46</v>
      </c>
      <c r="D28" t="s">
        <v>202</v>
      </c>
      <c r="G28" t="s">
        <v>57</v>
      </c>
      <c r="H28" t="s">
        <v>58</v>
      </c>
      <c r="I28" t="s">
        <v>59</v>
      </c>
      <c r="J28" t="s">
        <v>60</v>
      </c>
      <c r="K28">
        <f>AVERAGE(G39:G50)</f>
        <v>0.91666666666666663</v>
      </c>
      <c r="L28">
        <f>MEDIAN(G39:G50)</f>
        <v>1</v>
      </c>
      <c r="M28">
        <f>MAX(G39:G50)</f>
        <v>3</v>
      </c>
      <c r="N28">
        <f>_xlfn.STDEV.S(G39:G50)</f>
        <v>0.90033663737851999</v>
      </c>
      <c r="P28">
        <f>AVERAGE(N39:N50)</f>
        <v>4.25</v>
      </c>
      <c r="Q28">
        <f>MEDIAN(N39:N50)</f>
        <v>2.5</v>
      </c>
      <c r="R28">
        <f>MAX(N39:N50)</f>
        <v>22</v>
      </c>
      <c r="S28">
        <f>_xlfn.STDEV.S(N39:N50)</f>
        <v>6.0321110431061884</v>
      </c>
      <c r="Y28" t="s">
        <v>33</v>
      </c>
      <c r="Z28">
        <f>SUM(Z16:Z27)</f>
        <v>2</v>
      </c>
      <c r="AA28">
        <f>SUM(AA16:AA27)</f>
        <v>1</v>
      </c>
      <c r="AE28">
        <f>SUM(AE16:AE27)</f>
        <v>2</v>
      </c>
      <c r="AF28">
        <f>SUM(AF16:AF27)</f>
        <v>3</v>
      </c>
      <c r="AG28">
        <f>SUM(AG16:AG27)</f>
        <v>0</v>
      </c>
      <c r="AK28">
        <f>SUM(AK16:AK27)</f>
        <v>5</v>
      </c>
      <c r="AL28">
        <f>SUM(AL16:AL27)</f>
        <v>3</v>
      </c>
      <c r="AM28">
        <f>SUM(AM16:AM27)</f>
        <v>0</v>
      </c>
      <c r="AN28">
        <f>SUM(AN16:AN27)</f>
        <v>0</v>
      </c>
      <c r="AP28">
        <f>SUM(AP16:AP27)</f>
        <v>8</v>
      </c>
    </row>
    <row r="29" spans="1:66" x14ac:dyDescent="0.2">
      <c r="D29">
        <f>SUM(O39:O50)/F16</f>
        <v>0.8</v>
      </c>
      <c r="G29">
        <f>AVERAGE(A39:A50)</f>
        <v>0.41666666666666669</v>
      </c>
      <c r="H29">
        <f>MEDIAN(A39:A50)</f>
        <v>0</v>
      </c>
      <c r="I29">
        <f>MAX(A39:A50)</f>
        <v>1</v>
      </c>
      <c r="J29">
        <f>_xlfn.STDEV.S(A39:A50)</f>
        <v>0.51492865054443726</v>
      </c>
      <c r="K29" t="s">
        <v>63</v>
      </c>
      <c r="P29" t="s">
        <v>148</v>
      </c>
    </row>
    <row r="30" spans="1:66" x14ac:dyDescent="0.2">
      <c r="A30" t="s">
        <v>147</v>
      </c>
      <c r="D30" t="s">
        <v>203</v>
      </c>
      <c r="G30" t="s">
        <v>50</v>
      </c>
      <c r="H30" t="s">
        <v>51</v>
      </c>
      <c r="I30" t="s">
        <v>89</v>
      </c>
      <c r="K30" t="s">
        <v>57</v>
      </c>
      <c r="L30" t="s">
        <v>58</v>
      </c>
      <c r="M30" t="s">
        <v>59</v>
      </c>
      <c r="N30" t="s">
        <v>60</v>
      </c>
      <c r="P30" t="s">
        <v>57</v>
      </c>
      <c r="Q30" t="s">
        <v>58</v>
      </c>
      <c r="R30" t="s">
        <v>59</v>
      </c>
      <c r="S30" t="s">
        <v>60</v>
      </c>
      <c r="W30" t="s">
        <v>148</v>
      </c>
      <c r="Y30" t="s">
        <v>149</v>
      </c>
      <c r="AH30" t="s">
        <v>79</v>
      </c>
    </row>
    <row r="31" spans="1:66" x14ac:dyDescent="0.2">
      <c r="A31">
        <f>COUNT(B4:B15)</f>
        <v>12</v>
      </c>
      <c r="D31" s="2">
        <f>SUM(S39:S50)/SUM(Q39:Q50)</f>
        <v>1</v>
      </c>
      <c r="G31">
        <f>AE28/A31</f>
        <v>0.16666666666666666</v>
      </c>
      <c r="H31">
        <f>AF28/A31</f>
        <v>0.25</v>
      </c>
      <c r="I31">
        <f>AG28/A31</f>
        <v>0</v>
      </c>
      <c r="K31" t="e">
        <f>AVERAGE(I39:I50)</f>
        <v>#DIV/0!</v>
      </c>
      <c r="L31" t="e">
        <f>MEDIAN(I39:I50)</f>
        <v>#NUM!</v>
      </c>
      <c r="M31">
        <f>MAX(I39:I50)</f>
        <v>0</v>
      </c>
      <c r="N31" t="e">
        <f>_xlfn.STDEV.S(I39:I50)</f>
        <v>#DIV/0!</v>
      </c>
      <c r="P31">
        <f>AVERAGE(W31:W42)</f>
        <v>3.1111111111111112</v>
      </c>
      <c r="Q31">
        <f>MEDIAN(W31:W42)</f>
        <v>3</v>
      </c>
      <c r="R31">
        <f>MAX(W31:W42)</f>
        <v>7</v>
      </c>
      <c r="S31">
        <f>_xlfn.STDEV.S(W31:W42)</f>
        <v>2.3687784005919825</v>
      </c>
      <c r="W31">
        <f t="shared" ref="W31:W33" si="48">IF(AND(ISBLANK(Q4), ISBLANK(R4), ISBLANK(G4), ISBLANK(H4)), "", U4)</f>
        <v>1</v>
      </c>
      <c r="Y31">
        <f t="shared" ref="Y31:Y42" si="49">IF(ISBLANK(Y4), IF(X4 = 0, "", (G4 + H4/3 + V4/9 + W4/3)), U4)</f>
        <v>1</v>
      </c>
      <c r="AH31" t="s">
        <v>80</v>
      </c>
    </row>
    <row r="32" spans="1:66" x14ac:dyDescent="0.2">
      <c r="D32" s="3"/>
      <c r="K32" t="s">
        <v>64</v>
      </c>
      <c r="P32" t="s">
        <v>149</v>
      </c>
      <c r="W32" t="str">
        <f t="shared" si="48"/>
        <v/>
      </c>
      <c r="Y32" t="str">
        <f t="shared" si="49"/>
        <v/>
      </c>
      <c r="AH32" t="s">
        <v>81</v>
      </c>
    </row>
    <row r="33" spans="1:34" x14ac:dyDescent="0.2">
      <c r="A33" t="s">
        <v>292</v>
      </c>
      <c r="D33" s="3"/>
      <c r="K33" t="s">
        <v>57</v>
      </c>
      <c r="L33" t="s">
        <v>58</v>
      </c>
      <c r="M33" t="s">
        <v>59</v>
      </c>
      <c r="N33" t="s">
        <v>60</v>
      </c>
      <c r="P33" t="s">
        <v>57</v>
      </c>
      <c r="Q33" t="s">
        <v>58</v>
      </c>
      <c r="R33" t="s">
        <v>59</v>
      </c>
      <c r="S33" t="s">
        <v>60</v>
      </c>
      <c r="W33" t="str">
        <f t="shared" si="48"/>
        <v/>
      </c>
      <c r="Y33" t="str">
        <f t="shared" si="49"/>
        <v/>
      </c>
      <c r="AH33" t="s">
        <v>82</v>
      </c>
    </row>
    <row r="34" spans="1:34" x14ac:dyDescent="0.2">
      <c r="D34" s="3"/>
      <c r="K34">
        <f>AVERAGE(K39:K50)</f>
        <v>0.91666666666666663</v>
      </c>
      <c r="L34">
        <f>MEDIAN(K39:K50)</f>
        <v>1</v>
      </c>
      <c r="M34">
        <f>MAX(K39:K50)</f>
        <v>3</v>
      </c>
      <c r="N34">
        <f>_xlfn.STDEV.S(K39:K50)</f>
        <v>0.90033663737851999</v>
      </c>
      <c r="P34">
        <f>AVERAGE(Y31:Y42)</f>
        <v>3.5555555555555554</v>
      </c>
      <c r="Q34">
        <f>MEDIAN(Y31:Y42)</f>
        <v>3.333333333333333</v>
      </c>
      <c r="R34">
        <f>MAX(Y31:Y42)</f>
        <v>7</v>
      </c>
      <c r="S34">
        <f>_xlfn.STDEV.S(Y31:Y42)</f>
        <v>2.1730674684008835</v>
      </c>
      <c r="W34">
        <f>IF(AND(ISBLANK(Q7), ISBLANK(R7), ISBLANK(G7), ISBLANK(H7)), "", U7)</f>
        <v>7</v>
      </c>
      <c r="Y34">
        <f t="shared" si="49"/>
        <v>7</v>
      </c>
      <c r="AH34" t="s">
        <v>83</v>
      </c>
    </row>
    <row r="35" spans="1:34" x14ac:dyDescent="0.2">
      <c r="P35" t="s">
        <v>95</v>
      </c>
      <c r="R35" t="s">
        <v>197</v>
      </c>
      <c r="W35">
        <f t="shared" ref="W35:W42" si="50">IF(AND(ISBLANK(Q8), ISBLANK(R8), ISBLANK(G8), ISBLANK(H8)), "", U8)</f>
        <v>1</v>
      </c>
      <c r="Y35">
        <f t="shared" si="49"/>
        <v>1</v>
      </c>
    </row>
    <row r="36" spans="1:34" x14ac:dyDescent="0.2">
      <c r="P36">
        <f>Q16/(Q16+R16)</f>
        <v>0</v>
      </c>
      <c r="R36">
        <f>R16/(Q16+R16)</f>
        <v>1</v>
      </c>
      <c r="W36">
        <f t="shared" si="50"/>
        <v>4</v>
      </c>
      <c r="Y36">
        <f t="shared" si="49"/>
        <v>4</v>
      </c>
    </row>
    <row r="37" spans="1:34" x14ac:dyDescent="0.2">
      <c r="W37" t="str">
        <f t="shared" si="50"/>
        <v/>
      </c>
      <c r="Y37" t="str">
        <f t="shared" si="49"/>
        <v/>
      </c>
    </row>
    <row r="38" spans="1:34" x14ac:dyDescent="0.2">
      <c r="A38" t="s">
        <v>68</v>
      </c>
      <c r="C38" t="s">
        <v>69</v>
      </c>
      <c r="E38" t="s">
        <v>72</v>
      </c>
      <c r="G38" t="s">
        <v>250</v>
      </c>
      <c r="K38" t="s">
        <v>73</v>
      </c>
      <c r="M38" t="s">
        <v>70</v>
      </c>
      <c r="N38" t="s">
        <v>71</v>
      </c>
      <c r="O38" t="s">
        <v>199</v>
      </c>
      <c r="Q38" t="s">
        <v>200</v>
      </c>
      <c r="S38" t="s">
        <v>201</v>
      </c>
      <c r="W38">
        <f t="shared" si="50"/>
        <v>2</v>
      </c>
      <c r="Y38">
        <f t="shared" si="49"/>
        <v>2</v>
      </c>
    </row>
    <row r="39" spans="1:34" x14ac:dyDescent="0.2">
      <c r="A39">
        <f t="shared" ref="A39:A50" si="51">IF(ISBLANK(B4), "", SUM(AE16+AF16+AG16))</f>
        <v>0</v>
      </c>
      <c r="C39">
        <f t="shared" ref="C39:C50" si="52">IF(ISBLANK(B4), "", O4)</f>
        <v>3</v>
      </c>
      <c r="E39">
        <f t="shared" ref="E39:E50" si="53">IF(ISBLANK(B4), "", Q4)</f>
        <v>0</v>
      </c>
      <c r="G39">
        <f t="shared" ref="G39:G50" si="54">IF(ISBLANK(B4), "", R4)</f>
        <v>1</v>
      </c>
      <c r="K39">
        <f t="shared" ref="K39:K50" si="55">IF(ISBLANK(B4), "", SUM(Q4 + R4))</f>
        <v>1</v>
      </c>
      <c r="M39">
        <f t="shared" ref="M39:M50" si="56">IF(ISBLANK(B4), "", SUM(K4+M4) - O4)</f>
        <v>0</v>
      </c>
      <c r="N39">
        <f t="shared" ref="N39:N50" si="57">IF(ISBLANK(B4), "", U4)</f>
        <v>1</v>
      </c>
      <c r="O39">
        <f t="shared" ref="O39:O50" si="58">COUNTIF(E4, "1")*COUNTIF(F4, "1")</f>
        <v>1</v>
      </c>
      <c r="Q39">
        <f t="shared" ref="Q39:Q50" si="59">COUNTIF(D4, "1")*COUNTIF(F4, "")</f>
        <v>0</v>
      </c>
      <c r="S39">
        <f t="shared" ref="S39:S50" si="60">COUNTIF(E4, "1")*COUNTIF(F4, "")</f>
        <v>0</v>
      </c>
      <c r="W39">
        <f t="shared" si="50"/>
        <v>4</v>
      </c>
      <c r="Y39">
        <f t="shared" si="49"/>
        <v>4</v>
      </c>
    </row>
    <row r="40" spans="1:34" x14ac:dyDescent="0.2">
      <c r="A40">
        <f t="shared" si="51"/>
        <v>0</v>
      </c>
      <c r="C40">
        <f t="shared" si="52"/>
        <v>3</v>
      </c>
      <c r="E40">
        <f t="shared" si="53"/>
        <v>0</v>
      </c>
      <c r="G40">
        <f t="shared" si="54"/>
        <v>0</v>
      </c>
      <c r="K40">
        <f t="shared" si="55"/>
        <v>0</v>
      </c>
      <c r="M40">
        <f t="shared" si="56"/>
        <v>0</v>
      </c>
      <c r="N40">
        <f t="shared" si="57"/>
        <v>0</v>
      </c>
      <c r="O40">
        <f t="shared" si="58"/>
        <v>0</v>
      </c>
      <c r="Q40">
        <f t="shared" si="59"/>
        <v>0</v>
      </c>
      <c r="S40">
        <f t="shared" si="60"/>
        <v>0</v>
      </c>
      <c r="W40">
        <f t="shared" si="50"/>
        <v>3</v>
      </c>
      <c r="Y40">
        <f t="shared" si="49"/>
        <v>3</v>
      </c>
    </row>
    <row r="41" spans="1:34" x14ac:dyDescent="0.2">
      <c r="A41">
        <f t="shared" si="51"/>
        <v>0</v>
      </c>
      <c r="C41">
        <f t="shared" si="52"/>
        <v>2</v>
      </c>
      <c r="E41">
        <f t="shared" si="53"/>
        <v>0</v>
      </c>
      <c r="G41">
        <f t="shared" si="54"/>
        <v>0</v>
      </c>
      <c r="K41">
        <f t="shared" si="55"/>
        <v>0</v>
      </c>
      <c r="M41">
        <f t="shared" si="56"/>
        <v>0</v>
      </c>
      <c r="N41">
        <f t="shared" si="57"/>
        <v>22</v>
      </c>
      <c r="O41">
        <f t="shared" si="58"/>
        <v>0</v>
      </c>
      <c r="Q41">
        <f t="shared" si="59"/>
        <v>1</v>
      </c>
      <c r="S41">
        <f t="shared" si="60"/>
        <v>1</v>
      </c>
      <c r="W41">
        <f t="shared" si="50"/>
        <v>6</v>
      </c>
      <c r="Y41">
        <f t="shared" si="49"/>
        <v>3.333333333333333</v>
      </c>
    </row>
    <row r="42" spans="1:34" x14ac:dyDescent="0.2">
      <c r="A42">
        <f t="shared" si="51"/>
        <v>1</v>
      </c>
      <c r="C42">
        <f t="shared" si="52"/>
        <v>2</v>
      </c>
      <c r="E42">
        <f t="shared" si="53"/>
        <v>0</v>
      </c>
      <c r="G42">
        <f t="shared" si="54"/>
        <v>3</v>
      </c>
      <c r="K42">
        <f t="shared" si="55"/>
        <v>3</v>
      </c>
      <c r="M42">
        <f t="shared" si="56"/>
        <v>0</v>
      </c>
      <c r="N42">
        <f t="shared" si="57"/>
        <v>7</v>
      </c>
      <c r="O42">
        <f t="shared" si="58"/>
        <v>0</v>
      </c>
      <c r="Q42">
        <f t="shared" si="59"/>
        <v>0</v>
      </c>
      <c r="S42">
        <f t="shared" si="60"/>
        <v>0</v>
      </c>
      <c r="W42">
        <f t="shared" si="50"/>
        <v>0</v>
      </c>
      <c r="Y42">
        <f t="shared" si="49"/>
        <v>6.666666666666667</v>
      </c>
    </row>
    <row r="43" spans="1:34" x14ac:dyDescent="0.2">
      <c r="A43">
        <f t="shared" si="51"/>
        <v>0</v>
      </c>
      <c r="C43">
        <f t="shared" si="52"/>
        <v>1</v>
      </c>
      <c r="E43">
        <f t="shared" si="53"/>
        <v>0</v>
      </c>
      <c r="G43">
        <f t="shared" si="54"/>
        <v>0</v>
      </c>
      <c r="K43">
        <f t="shared" si="55"/>
        <v>0</v>
      </c>
      <c r="M43">
        <f t="shared" si="56"/>
        <v>2</v>
      </c>
      <c r="N43">
        <f t="shared" si="57"/>
        <v>1</v>
      </c>
      <c r="O43">
        <f t="shared" si="58"/>
        <v>1</v>
      </c>
      <c r="Q43">
        <f t="shared" si="59"/>
        <v>0</v>
      </c>
      <c r="S43">
        <f t="shared" si="60"/>
        <v>0</v>
      </c>
    </row>
    <row r="44" spans="1:34" x14ac:dyDescent="0.2">
      <c r="A44">
        <f t="shared" si="51"/>
        <v>1</v>
      </c>
      <c r="C44">
        <f t="shared" si="52"/>
        <v>3</v>
      </c>
      <c r="E44">
        <f t="shared" si="53"/>
        <v>0</v>
      </c>
      <c r="G44">
        <f t="shared" si="54"/>
        <v>2</v>
      </c>
      <c r="K44">
        <f t="shared" si="55"/>
        <v>2</v>
      </c>
      <c r="M44">
        <f t="shared" si="56"/>
        <v>0</v>
      </c>
      <c r="N44">
        <f t="shared" si="57"/>
        <v>4</v>
      </c>
      <c r="O44">
        <f t="shared" si="58"/>
        <v>0</v>
      </c>
      <c r="Q44">
        <f t="shared" si="59"/>
        <v>1</v>
      </c>
      <c r="S44">
        <f t="shared" si="60"/>
        <v>1</v>
      </c>
    </row>
    <row r="45" spans="1:34" x14ac:dyDescent="0.2">
      <c r="A45">
        <f t="shared" si="51"/>
        <v>0</v>
      </c>
      <c r="C45">
        <f t="shared" si="52"/>
        <v>5</v>
      </c>
      <c r="E45">
        <f t="shared" si="53"/>
        <v>0</v>
      </c>
      <c r="G45">
        <f t="shared" si="54"/>
        <v>0</v>
      </c>
      <c r="K45">
        <f t="shared" si="55"/>
        <v>0</v>
      </c>
      <c r="M45">
        <f t="shared" si="56"/>
        <v>-1</v>
      </c>
      <c r="N45">
        <f t="shared" si="57"/>
        <v>1</v>
      </c>
      <c r="O45">
        <f t="shared" si="58"/>
        <v>1</v>
      </c>
      <c r="Q45">
        <f t="shared" si="59"/>
        <v>0</v>
      </c>
      <c r="S45">
        <f t="shared" si="60"/>
        <v>0</v>
      </c>
    </row>
    <row r="46" spans="1:34" x14ac:dyDescent="0.2">
      <c r="A46">
        <f t="shared" si="51"/>
        <v>1</v>
      </c>
      <c r="C46">
        <f t="shared" si="52"/>
        <v>3</v>
      </c>
      <c r="E46">
        <f t="shared" si="53"/>
        <v>0</v>
      </c>
      <c r="G46">
        <f t="shared" si="54"/>
        <v>1</v>
      </c>
      <c r="K46">
        <f t="shared" si="55"/>
        <v>1</v>
      </c>
      <c r="M46">
        <f t="shared" si="56"/>
        <v>0</v>
      </c>
      <c r="N46">
        <f t="shared" si="57"/>
        <v>2</v>
      </c>
      <c r="O46">
        <f t="shared" si="58"/>
        <v>1</v>
      </c>
      <c r="Q46">
        <f t="shared" si="59"/>
        <v>0</v>
      </c>
      <c r="S46">
        <f t="shared" si="60"/>
        <v>0</v>
      </c>
    </row>
    <row r="47" spans="1:34" x14ac:dyDescent="0.2">
      <c r="A47">
        <f t="shared" si="51"/>
        <v>1</v>
      </c>
      <c r="C47">
        <f t="shared" si="52"/>
        <v>2</v>
      </c>
      <c r="E47">
        <f t="shared" si="53"/>
        <v>0</v>
      </c>
      <c r="G47">
        <f t="shared" si="54"/>
        <v>1</v>
      </c>
      <c r="K47">
        <f t="shared" si="55"/>
        <v>1</v>
      </c>
      <c r="M47">
        <f t="shared" si="56"/>
        <v>1</v>
      </c>
      <c r="N47">
        <f t="shared" si="57"/>
        <v>4</v>
      </c>
      <c r="O47">
        <f t="shared" si="58"/>
        <v>0</v>
      </c>
      <c r="Q47">
        <f t="shared" si="59"/>
        <v>1</v>
      </c>
      <c r="S47">
        <f t="shared" si="60"/>
        <v>1</v>
      </c>
    </row>
    <row r="48" spans="1:34" x14ac:dyDescent="0.2">
      <c r="A48">
        <f t="shared" si="51"/>
        <v>1</v>
      </c>
      <c r="C48">
        <f t="shared" si="52"/>
        <v>4</v>
      </c>
      <c r="E48">
        <f t="shared" si="53"/>
        <v>0</v>
      </c>
      <c r="G48">
        <f t="shared" si="54"/>
        <v>1</v>
      </c>
      <c r="K48">
        <f t="shared" si="55"/>
        <v>1</v>
      </c>
      <c r="M48">
        <f t="shared" si="56"/>
        <v>1</v>
      </c>
      <c r="N48">
        <f t="shared" si="57"/>
        <v>3</v>
      </c>
      <c r="O48">
        <f t="shared" si="58"/>
        <v>0</v>
      </c>
      <c r="Q48">
        <f t="shared" si="59"/>
        <v>0</v>
      </c>
      <c r="S48">
        <f t="shared" si="60"/>
        <v>0</v>
      </c>
    </row>
    <row r="49" spans="1:19" x14ac:dyDescent="0.2">
      <c r="A49">
        <f t="shared" si="51"/>
        <v>0</v>
      </c>
      <c r="C49">
        <f t="shared" si="52"/>
        <v>3</v>
      </c>
      <c r="E49">
        <f t="shared" si="53"/>
        <v>0</v>
      </c>
      <c r="G49">
        <f t="shared" si="54"/>
        <v>1</v>
      </c>
      <c r="K49">
        <f t="shared" si="55"/>
        <v>1</v>
      </c>
      <c r="M49">
        <f t="shared" si="56"/>
        <v>-1</v>
      </c>
      <c r="N49">
        <f t="shared" si="57"/>
        <v>6</v>
      </c>
      <c r="O49">
        <f t="shared" si="58"/>
        <v>0</v>
      </c>
      <c r="Q49">
        <f t="shared" si="59"/>
        <v>0</v>
      </c>
      <c r="S49">
        <f t="shared" si="60"/>
        <v>0</v>
      </c>
    </row>
    <row r="50" spans="1:19" x14ac:dyDescent="0.2">
      <c r="A50">
        <f t="shared" si="51"/>
        <v>0</v>
      </c>
      <c r="C50">
        <f t="shared" si="52"/>
        <v>5</v>
      </c>
      <c r="E50">
        <f t="shared" si="53"/>
        <v>0</v>
      </c>
      <c r="G50">
        <f t="shared" si="54"/>
        <v>1</v>
      </c>
      <c r="K50">
        <f t="shared" si="55"/>
        <v>1</v>
      </c>
      <c r="M50">
        <f t="shared" si="56"/>
        <v>-1</v>
      </c>
      <c r="N50">
        <f t="shared" si="57"/>
        <v>0</v>
      </c>
      <c r="O50">
        <f t="shared" si="58"/>
        <v>0</v>
      </c>
      <c r="Q50">
        <f t="shared" si="59"/>
        <v>0</v>
      </c>
      <c r="S50">
        <f t="shared" si="60"/>
        <v>0</v>
      </c>
    </row>
  </sheetData>
  <pageMargins left="0.7" right="0.7" top="0.75" bottom="0.75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 enableFormatConditionsCalculation="0"/>
  <dimension ref="A1:BN50"/>
  <sheetViews>
    <sheetView workbookViewId="0">
      <selection activeCell="V15" sqref="V15"/>
    </sheetView>
  </sheetViews>
  <sheetFormatPr baseColWidth="10" defaultColWidth="11.5" defaultRowHeight="15" x14ac:dyDescent="0.2"/>
  <sheetData>
    <row r="1" spans="1:66" x14ac:dyDescent="0.2">
      <c r="A1" s="1" t="s">
        <v>0</v>
      </c>
      <c r="D1" t="s">
        <v>3</v>
      </c>
      <c r="K1" t="s">
        <v>11</v>
      </c>
      <c r="N1" t="s">
        <v>12</v>
      </c>
      <c r="P1" t="s">
        <v>14</v>
      </c>
      <c r="Q1" t="s">
        <v>17</v>
      </c>
      <c r="S1" t="s">
        <v>18</v>
      </c>
      <c r="Z1" t="s">
        <v>29</v>
      </c>
      <c r="AE1" t="s">
        <v>30</v>
      </c>
      <c r="AK1" t="s">
        <v>42</v>
      </c>
    </row>
    <row r="2" spans="1:66" x14ac:dyDescent="0.2">
      <c r="A2" t="s">
        <v>1</v>
      </c>
      <c r="B2" t="s">
        <v>1</v>
      </c>
      <c r="C2" t="s">
        <v>87</v>
      </c>
      <c r="D2" t="s">
        <v>54</v>
      </c>
      <c r="E2" t="s">
        <v>13</v>
      </c>
      <c r="F2" t="s">
        <v>198</v>
      </c>
      <c r="G2" t="s">
        <v>7</v>
      </c>
      <c r="H2" t="s">
        <v>8</v>
      </c>
      <c r="I2" t="s">
        <v>179</v>
      </c>
      <c r="J2" t="s">
        <v>178</v>
      </c>
      <c r="K2" t="s">
        <v>9</v>
      </c>
      <c r="L2" t="s">
        <v>196</v>
      </c>
      <c r="M2" t="s">
        <v>10</v>
      </c>
      <c r="N2" t="s">
        <v>54</v>
      </c>
      <c r="O2" t="s">
        <v>13</v>
      </c>
      <c r="P2" t="s">
        <v>15</v>
      </c>
      <c r="Q2" t="s">
        <v>8</v>
      </c>
      <c r="R2" t="s">
        <v>7</v>
      </c>
      <c r="S2" t="s">
        <v>181</v>
      </c>
      <c r="T2" t="s">
        <v>182</v>
      </c>
      <c r="U2" t="s">
        <v>19</v>
      </c>
      <c r="V2" t="s">
        <v>191</v>
      </c>
      <c r="W2" t="s">
        <v>192</v>
      </c>
      <c r="X2" t="s">
        <v>175</v>
      </c>
      <c r="Y2" t="s">
        <v>173</v>
      </c>
      <c r="Z2" t="str">
        <f t="shared" ref="Z2:Z13" si="0">LEFT(I4, 1)</f>
        <v/>
      </c>
      <c r="AA2" t="str">
        <f t="shared" ref="AA2:AA13" si="1">MID(I4, 4, 1)</f>
        <v/>
      </c>
      <c r="AB2" t="str">
        <f t="shared" ref="AB2:AB13" si="2">MID(I4, 7, 1)</f>
        <v/>
      </c>
      <c r="AC2" t="str">
        <f t="shared" ref="AC2:AC13" si="3">MID(I4, 10, 1)</f>
        <v/>
      </c>
      <c r="AE2" t="str">
        <f t="shared" ref="AE2:AE13" si="4">LEFT(J4, 1)</f>
        <v/>
      </c>
      <c r="AF2" t="str">
        <f t="shared" ref="AF2:AF13" si="5">MID(J4, 4, 1)</f>
        <v/>
      </c>
      <c r="AG2" t="str">
        <f t="shared" ref="AG2:AG13" si="6">MID(J4, 7, 1)</f>
        <v/>
      </c>
      <c r="AH2" t="str">
        <f t="shared" ref="AH2:AH13" si="7">MID(J4, 10, 1)</f>
        <v/>
      </c>
      <c r="AI2" t="str">
        <f t="shared" ref="AI2:AI13" si="8">MID(J4, 13, 1)</f>
        <v/>
      </c>
      <c r="AK2" t="str">
        <f t="shared" ref="AK2:AK13" si="9">LEFT(P4, 2)</f>
        <v>g1</v>
      </c>
      <c r="AL2" t="str">
        <f>MID($P4, 5, 2)</f>
        <v>g2</v>
      </c>
      <c r="AM2" t="str">
        <f t="shared" ref="AM2:AM13" si="10">MID($P4, 9, 2)</f>
        <v/>
      </c>
      <c r="AN2" t="str">
        <f t="shared" ref="AN2:AN13" si="11">MID($P4, 13, 2)</f>
        <v/>
      </c>
      <c r="AO2" t="str">
        <f t="shared" ref="AO2:AO13" si="12">MID($P4, 17, 2)</f>
        <v/>
      </c>
      <c r="AP2" t="str">
        <f t="shared" ref="AP2:AP13" si="13">MID($P4, 21, 2)</f>
        <v/>
      </c>
      <c r="AQ2" t="str">
        <f t="shared" ref="AQ2:AQ13" si="14">MID($P4, 25, 2)</f>
        <v/>
      </c>
      <c r="AR2" t="str">
        <f t="shared" ref="AR2:AR13" si="15">MID($P4, 29, 2)</f>
        <v/>
      </c>
      <c r="AS2" t="str">
        <f t="shared" ref="AS2:AS13" si="16">MID($P4, 33, 2)</f>
        <v/>
      </c>
      <c r="AT2" t="str">
        <f t="shared" ref="AT2:AT13" si="17">MID($P4, 37, 2)</f>
        <v/>
      </c>
      <c r="AU2" t="str">
        <f t="shared" ref="AU2:AU13" si="18">MID($P4, 41, 2)</f>
        <v/>
      </c>
      <c r="AV2" t="str">
        <f t="shared" ref="AV2:AV13" si="19">MID($P4, 45, 2)</f>
        <v/>
      </c>
      <c r="AW2" t="str">
        <f t="shared" ref="AW2:AW13" si="20">MID($P4, 49, 2)</f>
        <v/>
      </c>
      <c r="AX2" t="str">
        <f t="shared" ref="AX2:AX13" si="21">MID($P4, 53, 2)</f>
        <v/>
      </c>
      <c r="AY2" t="str">
        <f t="shared" ref="AY2:AY13" si="22">MID($P4, 57, 2)</f>
        <v/>
      </c>
      <c r="AZ2" t="str">
        <f t="shared" ref="AZ2:AZ13" si="23">MID($P4, 61, 2)</f>
        <v/>
      </c>
      <c r="BA2" t="str">
        <f t="shared" ref="BA2:BA13" si="24">MID($P4, 65, 2)</f>
        <v/>
      </c>
      <c r="BB2" t="str">
        <f t="shared" ref="BB2:BB13" si="25">MID($P4, 69, 2)</f>
        <v/>
      </c>
      <c r="BC2" t="str">
        <f t="shared" ref="BC2:BC13" si="26">MID($P4, 73, 2)</f>
        <v/>
      </c>
      <c r="BD2" t="str">
        <f t="shared" ref="BD2:BD13" si="27">MID($P4, 77, 2)</f>
        <v/>
      </c>
      <c r="BE2" t="str">
        <f t="shared" ref="BE2:BE13" si="28">MID($P4, 81, 2)</f>
        <v/>
      </c>
      <c r="BF2" t="str">
        <f t="shared" ref="BF2:BF13" si="29">MID($P4, 85, 2)</f>
        <v/>
      </c>
      <c r="BG2" t="str">
        <f t="shared" ref="BG2:BG13" si="30">MID($P4, 89, 2)</f>
        <v/>
      </c>
      <c r="BH2" t="str">
        <f t="shared" ref="BH2:BH13" si="31">MID($P4, 93, 2)</f>
        <v/>
      </c>
    </row>
    <row r="3" spans="1:66" x14ac:dyDescent="0.2">
      <c r="A3" t="s">
        <v>2</v>
      </c>
      <c r="B3" t="s">
        <v>6</v>
      </c>
      <c r="C3" t="s">
        <v>88</v>
      </c>
      <c r="D3" t="s">
        <v>6</v>
      </c>
      <c r="E3" t="s">
        <v>6</v>
      </c>
      <c r="F3" t="s">
        <v>4</v>
      </c>
      <c r="G3" t="s">
        <v>6</v>
      </c>
      <c r="H3" t="s">
        <v>6</v>
      </c>
      <c r="I3" t="s">
        <v>86</v>
      </c>
      <c r="J3" t="s">
        <v>86</v>
      </c>
      <c r="K3" t="s">
        <v>6</v>
      </c>
      <c r="L3" t="s">
        <v>6</v>
      </c>
      <c r="M3" t="s">
        <v>6</v>
      </c>
      <c r="N3" t="s">
        <v>6</v>
      </c>
      <c r="O3" t="s">
        <v>6</v>
      </c>
      <c r="P3" t="s">
        <v>16</v>
      </c>
      <c r="Q3" t="s">
        <v>6</v>
      </c>
      <c r="R3" t="s">
        <v>6</v>
      </c>
      <c r="S3" t="s">
        <v>4</v>
      </c>
      <c r="T3" t="s">
        <v>4</v>
      </c>
      <c r="U3" t="s">
        <v>6</v>
      </c>
      <c r="V3" t="s">
        <v>6</v>
      </c>
      <c r="W3" t="s">
        <v>6</v>
      </c>
      <c r="X3" t="s">
        <v>6</v>
      </c>
      <c r="Y3" t="s">
        <v>174</v>
      </c>
      <c r="Z3" t="str">
        <f t="shared" si="0"/>
        <v/>
      </c>
      <c r="AA3" t="str">
        <f t="shared" si="1"/>
        <v/>
      </c>
      <c r="AB3" t="str">
        <f t="shared" si="2"/>
        <v/>
      </c>
      <c r="AC3" t="str">
        <f t="shared" si="3"/>
        <v/>
      </c>
      <c r="AE3" t="str">
        <f t="shared" si="4"/>
        <v>2</v>
      </c>
      <c r="AF3" t="str">
        <f t="shared" si="5"/>
        <v/>
      </c>
      <c r="AG3" t="str">
        <f t="shared" si="6"/>
        <v/>
      </c>
      <c r="AH3" t="str">
        <f t="shared" si="7"/>
        <v/>
      </c>
      <c r="AI3" t="str">
        <f t="shared" si="8"/>
        <v/>
      </c>
      <c r="AK3" t="str">
        <f t="shared" si="9"/>
        <v>g1</v>
      </c>
      <c r="AL3" t="str">
        <f t="shared" ref="AL3:AL13" si="32">MID(P5, 5, 2)</f>
        <v/>
      </c>
      <c r="AM3" t="str">
        <f t="shared" si="10"/>
        <v/>
      </c>
      <c r="AN3" t="str">
        <f t="shared" si="11"/>
        <v/>
      </c>
      <c r="AO3" t="str">
        <f t="shared" si="12"/>
        <v/>
      </c>
      <c r="AP3" t="str">
        <f t="shared" si="13"/>
        <v/>
      </c>
      <c r="AQ3" t="str">
        <f t="shared" si="14"/>
        <v/>
      </c>
      <c r="AR3" t="str">
        <f t="shared" si="15"/>
        <v/>
      </c>
      <c r="AS3" t="str">
        <f t="shared" si="16"/>
        <v/>
      </c>
      <c r="AT3" t="str">
        <f t="shared" si="17"/>
        <v/>
      </c>
      <c r="AU3" t="str">
        <f t="shared" si="18"/>
        <v/>
      </c>
      <c r="AV3" t="str">
        <f t="shared" si="19"/>
        <v/>
      </c>
      <c r="AW3" t="str">
        <f t="shared" si="20"/>
        <v/>
      </c>
      <c r="AX3" t="str">
        <f t="shared" si="21"/>
        <v/>
      </c>
      <c r="AY3" t="str">
        <f t="shared" si="22"/>
        <v/>
      </c>
      <c r="AZ3" t="str">
        <f t="shared" si="23"/>
        <v/>
      </c>
      <c r="BA3" t="str">
        <f t="shared" si="24"/>
        <v/>
      </c>
      <c r="BB3" t="str">
        <f t="shared" si="25"/>
        <v/>
      </c>
      <c r="BC3" t="str">
        <f t="shared" si="26"/>
        <v/>
      </c>
      <c r="BD3" t="str">
        <f t="shared" si="27"/>
        <v/>
      </c>
      <c r="BE3" t="str">
        <f t="shared" si="28"/>
        <v/>
      </c>
      <c r="BF3" t="str">
        <f t="shared" si="29"/>
        <v/>
      </c>
      <c r="BG3" t="str">
        <f t="shared" si="30"/>
        <v/>
      </c>
      <c r="BH3" t="str">
        <f t="shared" si="31"/>
        <v/>
      </c>
    </row>
    <row r="4" spans="1:66" x14ac:dyDescent="0.2">
      <c r="A4">
        <v>1</v>
      </c>
      <c r="B4">
        <v>10</v>
      </c>
      <c r="C4" t="s">
        <v>39</v>
      </c>
      <c r="N4">
        <v>1</v>
      </c>
      <c r="O4">
        <v>1</v>
      </c>
      <c r="P4" t="s">
        <v>220</v>
      </c>
      <c r="R4">
        <v>1</v>
      </c>
      <c r="S4">
        <v>1</v>
      </c>
      <c r="T4">
        <v>1</v>
      </c>
      <c r="U4">
        <v>9</v>
      </c>
      <c r="X4">
        <f t="shared" ref="X4:X15" si="33">G4+H4+Q4+R4</f>
        <v>1</v>
      </c>
      <c r="Y4" t="s">
        <v>174</v>
      </c>
      <c r="Z4" t="str">
        <f t="shared" si="0"/>
        <v/>
      </c>
      <c r="AA4" t="str">
        <f t="shared" si="1"/>
        <v/>
      </c>
      <c r="AB4" t="str">
        <f t="shared" si="2"/>
        <v/>
      </c>
      <c r="AC4" t="str">
        <f t="shared" si="3"/>
        <v/>
      </c>
      <c r="AE4" t="str">
        <f t="shared" si="4"/>
        <v>1</v>
      </c>
      <c r="AF4" t="str">
        <f t="shared" si="5"/>
        <v>4</v>
      </c>
      <c r="AG4" t="str">
        <f t="shared" si="6"/>
        <v>5</v>
      </c>
      <c r="AH4" t="str">
        <f t="shared" si="7"/>
        <v/>
      </c>
      <c r="AI4" t="str">
        <f t="shared" si="8"/>
        <v/>
      </c>
      <c r="AK4" t="str">
        <f t="shared" si="9"/>
        <v>h1</v>
      </c>
      <c r="AL4" t="str">
        <f t="shared" si="32"/>
        <v>h2</v>
      </c>
      <c r="AM4" t="str">
        <f t="shared" si="10"/>
        <v>h3</v>
      </c>
      <c r="AN4" t="str">
        <f t="shared" si="11"/>
        <v/>
      </c>
      <c r="AO4" t="str">
        <f t="shared" si="12"/>
        <v/>
      </c>
      <c r="AP4" t="str">
        <f t="shared" si="13"/>
        <v/>
      </c>
      <c r="AQ4" t="str">
        <f t="shared" si="14"/>
        <v/>
      </c>
      <c r="AR4" t="str">
        <f t="shared" si="15"/>
        <v/>
      </c>
      <c r="AS4" t="str">
        <f t="shared" si="16"/>
        <v/>
      </c>
      <c r="AT4" t="str">
        <f t="shared" si="17"/>
        <v/>
      </c>
      <c r="AU4" t="str">
        <f t="shared" si="18"/>
        <v/>
      </c>
      <c r="AV4" t="str">
        <f t="shared" si="19"/>
        <v/>
      </c>
      <c r="AW4" t="str">
        <f t="shared" si="20"/>
        <v/>
      </c>
      <c r="AX4" t="str">
        <f t="shared" si="21"/>
        <v/>
      </c>
      <c r="AY4" t="str">
        <f t="shared" si="22"/>
        <v/>
      </c>
      <c r="AZ4" t="str">
        <f t="shared" si="23"/>
        <v/>
      </c>
      <c r="BA4" t="str">
        <f t="shared" si="24"/>
        <v/>
      </c>
      <c r="BB4" t="str">
        <f t="shared" si="25"/>
        <v/>
      </c>
      <c r="BC4" t="str">
        <f t="shared" si="26"/>
        <v/>
      </c>
      <c r="BD4" t="str">
        <f t="shared" si="27"/>
        <v/>
      </c>
      <c r="BE4" t="str">
        <f t="shared" si="28"/>
        <v/>
      </c>
      <c r="BF4" t="str">
        <f t="shared" si="29"/>
        <v/>
      </c>
      <c r="BG4" t="str">
        <f t="shared" si="30"/>
        <v/>
      </c>
      <c r="BH4" t="str">
        <f t="shared" si="31"/>
        <v/>
      </c>
    </row>
    <row r="5" spans="1:66" x14ac:dyDescent="0.2">
      <c r="A5">
        <v>2</v>
      </c>
      <c r="B5">
        <v>18</v>
      </c>
      <c r="C5" t="s">
        <v>39</v>
      </c>
      <c r="J5">
        <v>2</v>
      </c>
      <c r="N5">
        <v>1</v>
      </c>
      <c r="O5">
        <v>1</v>
      </c>
      <c r="P5" t="s">
        <v>228</v>
      </c>
      <c r="R5">
        <v>2</v>
      </c>
      <c r="S5">
        <v>1</v>
      </c>
      <c r="T5">
        <v>1</v>
      </c>
      <c r="U5">
        <v>7</v>
      </c>
      <c r="X5">
        <f t="shared" si="33"/>
        <v>2</v>
      </c>
      <c r="Y5" t="s">
        <v>174</v>
      </c>
      <c r="Z5" t="str">
        <f t="shared" si="0"/>
        <v/>
      </c>
      <c r="AA5" t="str">
        <f t="shared" si="1"/>
        <v/>
      </c>
      <c r="AB5" t="str">
        <f t="shared" si="2"/>
        <v/>
      </c>
      <c r="AC5" t="str">
        <f t="shared" si="3"/>
        <v/>
      </c>
      <c r="AE5" t="str">
        <f t="shared" si="4"/>
        <v>2</v>
      </c>
      <c r="AF5" t="str">
        <f t="shared" si="5"/>
        <v/>
      </c>
      <c r="AG5" t="str">
        <f t="shared" si="6"/>
        <v/>
      </c>
      <c r="AH5" t="str">
        <f t="shared" si="7"/>
        <v/>
      </c>
      <c r="AI5" t="str">
        <f t="shared" si="8"/>
        <v/>
      </c>
      <c r="AK5" t="str">
        <f t="shared" si="9"/>
        <v>h1</v>
      </c>
      <c r="AL5" t="str">
        <f t="shared" si="32"/>
        <v/>
      </c>
      <c r="AM5" t="str">
        <f t="shared" si="10"/>
        <v/>
      </c>
      <c r="AN5" t="str">
        <f t="shared" si="11"/>
        <v/>
      </c>
      <c r="AO5" t="str">
        <f t="shared" si="12"/>
        <v/>
      </c>
      <c r="AP5" t="str">
        <f t="shared" si="13"/>
        <v/>
      </c>
      <c r="AQ5" t="str">
        <f t="shared" si="14"/>
        <v/>
      </c>
      <c r="AR5" t="str">
        <f t="shared" si="15"/>
        <v/>
      </c>
      <c r="AS5" t="str">
        <f t="shared" si="16"/>
        <v/>
      </c>
      <c r="AT5" t="str">
        <f t="shared" si="17"/>
        <v/>
      </c>
      <c r="AU5" t="str">
        <f t="shared" si="18"/>
        <v/>
      </c>
      <c r="AV5" t="str">
        <f t="shared" si="19"/>
        <v/>
      </c>
      <c r="AW5" t="str">
        <f t="shared" si="20"/>
        <v/>
      </c>
      <c r="AX5" t="str">
        <f t="shared" si="21"/>
        <v/>
      </c>
      <c r="AY5" t="str">
        <f t="shared" si="22"/>
        <v/>
      </c>
      <c r="AZ5" t="str">
        <f t="shared" si="23"/>
        <v/>
      </c>
      <c r="BA5" t="str">
        <f t="shared" si="24"/>
        <v/>
      </c>
      <c r="BB5" t="str">
        <f t="shared" si="25"/>
        <v/>
      </c>
      <c r="BC5" t="str">
        <f t="shared" si="26"/>
        <v/>
      </c>
      <c r="BD5" t="str">
        <f t="shared" si="27"/>
        <v/>
      </c>
      <c r="BE5" t="str">
        <f t="shared" si="28"/>
        <v/>
      </c>
      <c r="BF5" t="str">
        <f t="shared" si="29"/>
        <v/>
      </c>
      <c r="BG5" t="str">
        <f t="shared" si="30"/>
        <v/>
      </c>
      <c r="BH5" t="str">
        <f t="shared" si="31"/>
        <v/>
      </c>
    </row>
    <row r="6" spans="1:66" x14ac:dyDescent="0.2">
      <c r="A6">
        <v>3</v>
      </c>
      <c r="B6">
        <v>30</v>
      </c>
      <c r="C6" t="s">
        <v>207</v>
      </c>
      <c r="G6">
        <v>1</v>
      </c>
      <c r="J6" t="s">
        <v>241</v>
      </c>
      <c r="K6">
        <v>1</v>
      </c>
      <c r="L6">
        <v>2</v>
      </c>
      <c r="N6">
        <v>2</v>
      </c>
      <c r="O6">
        <v>2</v>
      </c>
      <c r="P6" t="s">
        <v>242</v>
      </c>
      <c r="R6">
        <v>3</v>
      </c>
      <c r="S6">
        <v>1</v>
      </c>
      <c r="T6">
        <v>1</v>
      </c>
      <c r="U6">
        <v>22</v>
      </c>
      <c r="X6">
        <f t="shared" si="33"/>
        <v>4</v>
      </c>
      <c r="Y6" t="s">
        <v>174</v>
      </c>
      <c r="Z6" t="str">
        <f t="shared" si="0"/>
        <v/>
      </c>
      <c r="AA6" t="str">
        <f t="shared" si="1"/>
        <v/>
      </c>
      <c r="AB6" t="str">
        <f t="shared" si="2"/>
        <v/>
      </c>
      <c r="AC6" t="str">
        <f t="shared" si="3"/>
        <v/>
      </c>
      <c r="AE6" t="str">
        <f t="shared" si="4"/>
        <v>3</v>
      </c>
      <c r="AF6" t="str">
        <f t="shared" si="5"/>
        <v/>
      </c>
      <c r="AG6" t="str">
        <f t="shared" si="6"/>
        <v/>
      </c>
      <c r="AH6" t="str">
        <f t="shared" si="7"/>
        <v/>
      </c>
      <c r="AI6" t="str">
        <f t="shared" si="8"/>
        <v/>
      </c>
      <c r="AK6" t="str">
        <f t="shared" si="9"/>
        <v>g1</v>
      </c>
      <c r="AL6" t="str">
        <f t="shared" si="32"/>
        <v>h1</v>
      </c>
      <c r="AM6" t="str">
        <f t="shared" si="10"/>
        <v>g2</v>
      </c>
      <c r="AN6" t="str">
        <f t="shared" si="11"/>
        <v>g3</v>
      </c>
      <c r="AO6" t="str">
        <f t="shared" si="12"/>
        <v>g4</v>
      </c>
      <c r="AP6" t="str">
        <f t="shared" si="13"/>
        <v/>
      </c>
      <c r="AQ6" t="str">
        <f t="shared" si="14"/>
        <v/>
      </c>
      <c r="AR6" t="str">
        <f t="shared" si="15"/>
        <v/>
      </c>
      <c r="AS6" t="str">
        <f t="shared" si="16"/>
        <v/>
      </c>
      <c r="AT6" t="str">
        <f t="shared" si="17"/>
        <v/>
      </c>
      <c r="AU6" t="str">
        <f t="shared" si="18"/>
        <v/>
      </c>
      <c r="AV6" t="str">
        <f t="shared" si="19"/>
        <v/>
      </c>
      <c r="AW6" t="str">
        <f t="shared" si="20"/>
        <v/>
      </c>
      <c r="AX6" t="str">
        <f t="shared" si="21"/>
        <v/>
      </c>
      <c r="AY6" t="str">
        <f t="shared" si="22"/>
        <v/>
      </c>
      <c r="AZ6" t="str">
        <f t="shared" si="23"/>
        <v/>
      </c>
      <c r="BA6" t="str">
        <f t="shared" si="24"/>
        <v/>
      </c>
      <c r="BB6" t="str">
        <f t="shared" si="25"/>
        <v/>
      </c>
      <c r="BC6" t="str">
        <f t="shared" si="26"/>
        <v/>
      </c>
      <c r="BD6" t="str">
        <f t="shared" si="27"/>
        <v/>
      </c>
      <c r="BE6" t="str">
        <f t="shared" si="28"/>
        <v/>
      </c>
      <c r="BF6" t="str">
        <f t="shared" si="29"/>
        <v/>
      </c>
      <c r="BG6" t="str">
        <f t="shared" si="30"/>
        <v/>
      </c>
      <c r="BH6" t="str">
        <f t="shared" si="31"/>
        <v/>
      </c>
    </row>
    <row r="7" spans="1:66" x14ac:dyDescent="0.2">
      <c r="A7">
        <v>4</v>
      </c>
      <c r="B7">
        <v>36</v>
      </c>
      <c r="C7" t="s">
        <v>207</v>
      </c>
      <c r="G7">
        <v>6</v>
      </c>
      <c r="J7">
        <v>2</v>
      </c>
      <c r="K7">
        <v>3</v>
      </c>
      <c r="N7">
        <v>3</v>
      </c>
      <c r="O7">
        <v>3</v>
      </c>
      <c r="P7" t="s">
        <v>209</v>
      </c>
      <c r="R7">
        <v>1</v>
      </c>
      <c r="S7">
        <v>1</v>
      </c>
      <c r="T7">
        <v>1</v>
      </c>
      <c r="U7">
        <v>9</v>
      </c>
      <c r="W7">
        <v>9</v>
      </c>
      <c r="X7">
        <f t="shared" si="33"/>
        <v>7</v>
      </c>
      <c r="Y7" t="s">
        <v>174</v>
      </c>
      <c r="Z7" t="str">
        <f t="shared" si="0"/>
        <v/>
      </c>
      <c r="AA7" t="str">
        <f t="shared" si="1"/>
        <v/>
      </c>
      <c r="AB7" t="str">
        <f t="shared" si="2"/>
        <v/>
      </c>
      <c r="AC7" t="str">
        <f t="shared" si="3"/>
        <v/>
      </c>
      <c r="AE7" t="str">
        <f t="shared" si="4"/>
        <v>2</v>
      </c>
      <c r="AF7" t="str">
        <f t="shared" si="5"/>
        <v>5</v>
      </c>
      <c r="AG7" t="str">
        <f t="shared" si="6"/>
        <v/>
      </c>
      <c r="AH7" t="str">
        <f t="shared" si="7"/>
        <v/>
      </c>
      <c r="AI7" t="str">
        <f t="shared" si="8"/>
        <v/>
      </c>
      <c r="AK7" t="str">
        <f t="shared" si="9"/>
        <v/>
      </c>
      <c r="AL7" t="str">
        <f t="shared" si="32"/>
        <v/>
      </c>
      <c r="AM7" t="str">
        <f t="shared" si="10"/>
        <v/>
      </c>
      <c r="AN7" t="str">
        <f t="shared" si="11"/>
        <v/>
      </c>
      <c r="AO7" t="str">
        <f t="shared" si="12"/>
        <v/>
      </c>
      <c r="AP7" t="str">
        <f t="shared" si="13"/>
        <v/>
      </c>
      <c r="AQ7" t="str">
        <f t="shared" si="14"/>
        <v/>
      </c>
      <c r="AR7" t="str">
        <f t="shared" si="15"/>
        <v/>
      </c>
      <c r="AS7" t="str">
        <f t="shared" si="16"/>
        <v/>
      </c>
      <c r="AT7" t="str">
        <f t="shared" si="17"/>
        <v/>
      </c>
      <c r="AU7" t="str">
        <f t="shared" si="18"/>
        <v/>
      </c>
      <c r="AV7" t="str">
        <f t="shared" si="19"/>
        <v/>
      </c>
      <c r="AW7" t="str">
        <f t="shared" si="20"/>
        <v/>
      </c>
      <c r="AX7" t="str">
        <f t="shared" si="21"/>
        <v/>
      </c>
      <c r="AY7" t="str">
        <f t="shared" si="22"/>
        <v/>
      </c>
      <c r="AZ7" t="str">
        <f t="shared" si="23"/>
        <v/>
      </c>
      <c r="BA7" t="str">
        <f t="shared" si="24"/>
        <v/>
      </c>
      <c r="BB7" t="str">
        <f t="shared" si="25"/>
        <v/>
      </c>
      <c r="BC7" t="str">
        <f t="shared" si="26"/>
        <v/>
      </c>
      <c r="BD7" t="str">
        <f t="shared" si="27"/>
        <v/>
      </c>
      <c r="BE7" t="str">
        <f t="shared" si="28"/>
        <v/>
      </c>
      <c r="BF7" t="str">
        <f t="shared" si="29"/>
        <v/>
      </c>
      <c r="BG7" t="str">
        <f t="shared" si="30"/>
        <v/>
      </c>
      <c r="BH7" t="str">
        <f t="shared" si="31"/>
        <v/>
      </c>
    </row>
    <row r="8" spans="1:66" x14ac:dyDescent="0.2">
      <c r="A8">
        <v>5</v>
      </c>
      <c r="B8">
        <v>45</v>
      </c>
      <c r="C8" t="s">
        <v>39</v>
      </c>
      <c r="G8">
        <v>7</v>
      </c>
      <c r="J8">
        <v>3</v>
      </c>
      <c r="P8" t="s">
        <v>264</v>
      </c>
      <c r="R8">
        <v>4</v>
      </c>
      <c r="S8">
        <v>1</v>
      </c>
      <c r="T8">
        <v>1</v>
      </c>
      <c r="U8">
        <v>27</v>
      </c>
      <c r="X8">
        <f t="shared" si="33"/>
        <v>11</v>
      </c>
      <c r="Z8" t="str">
        <f t="shared" si="0"/>
        <v/>
      </c>
      <c r="AA8" t="str">
        <f t="shared" si="1"/>
        <v/>
      </c>
      <c r="AB8" t="str">
        <f t="shared" si="2"/>
        <v/>
      </c>
      <c r="AC8" t="str">
        <f t="shared" si="3"/>
        <v/>
      </c>
      <c r="AE8" t="str">
        <f t="shared" si="4"/>
        <v/>
      </c>
      <c r="AF8" t="str">
        <f t="shared" si="5"/>
        <v/>
      </c>
      <c r="AG8" t="str">
        <f t="shared" si="6"/>
        <v/>
      </c>
      <c r="AH8" t="str">
        <f t="shared" si="7"/>
        <v/>
      </c>
      <c r="AI8" t="str">
        <f t="shared" si="8"/>
        <v/>
      </c>
      <c r="AK8" t="str">
        <f t="shared" si="9"/>
        <v>g1</v>
      </c>
      <c r="AL8" t="str">
        <f t="shared" si="32"/>
        <v>g2</v>
      </c>
      <c r="AM8" t="str">
        <f t="shared" si="10"/>
        <v/>
      </c>
      <c r="AN8" t="str">
        <f t="shared" si="11"/>
        <v/>
      </c>
      <c r="AO8" t="str">
        <f t="shared" si="12"/>
        <v/>
      </c>
      <c r="AP8" t="str">
        <f t="shared" si="13"/>
        <v/>
      </c>
      <c r="AQ8" t="str">
        <f t="shared" si="14"/>
        <v/>
      </c>
      <c r="AR8" t="str">
        <f t="shared" si="15"/>
        <v/>
      </c>
      <c r="AS8" t="str">
        <f t="shared" si="16"/>
        <v/>
      </c>
      <c r="AT8" t="str">
        <f t="shared" si="17"/>
        <v/>
      </c>
      <c r="AU8" t="str">
        <f t="shared" si="18"/>
        <v/>
      </c>
      <c r="AV8" t="str">
        <f t="shared" si="19"/>
        <v/>
      </c>
      <c r="AW8" t="str">
        <f t="shared" si="20"/>
        <v/>
      </c>
      <c r="AX8" t="str">
        <f t="shared" si="21"/>
        <v/>
      </c>
      <c r="AY8" t="str">
        <f t="shared" si="22"/>
        <v/>
      </c>
      <c r="AZ8" t="str">
        <f t="shared" si="23"/>
        <v/>
      </c>
      <c r="BA8" t="str">
        <f t="shared" si="24"/>
        <v/>
      </c>
      <c r="BB8" t="str">
        <f t="shared" si="25"/>
        <v/>
      </c>
      <c r="BC8" t="str">
        <f t="shared" si="26"/>
        <v/>
      </c>
      <c r="BD8" t="str">
        <f t="shared" si="27"/>
        <v/>
      </c>
      <c r="BE8" t="str">
        <f t="shared" si="28"/>
        <v/>
      </c>
      <c r="BF8" t="str">
        <f t="shared" si="29"/>
        <v/>
      </c>
      <c r="BG8" t="str">
        <f t="shared" si="30"/>
        <v/>
      </c>
      <c r="BH8" t="str">
        <f t="shared" si="31"/>
        <v/>
      </c>
    </row>
    <row r="9" spans="1:66" x14ac:dyDescent="0.2">
      <c r="A9">
        <v>6</v>
      </c>
      <c r="B9">
        <v>58</v>
      </c>
      <c r="C9" t="s">
        <v>207</v>
      </c>
      <c r="G9">
        <v>1</v>
      </c>
      <c r="J9" t="s">
        <v>277</v>
      </c>
      <c r="K9">
        <v>3</v>
      </c>
      <c r="N9">
        <v>4</v>
      </c>
      <c r="O9">
        <v>3</v>
      </c>
      <c r="R9">
        <v>2</v>
      </c>
      <c r="S9">
        <v>1</v>
      </c>
      <c r="T9">
        <v>1</v>
      </c>
      <c r="U9">
        <v>14</v>
      </c>
      <c r="X9">
        <f t="shared" si="33"/>
        <v>3</v>
      </c>
      <c r="Y9" t="s">
        <v>174</v>
      </c>
      <c r="Z9" t="str">
        <f t="shared" si="0"/>
        <v/>
      </c>
      <c r="AA9" t="str">
        <f t="shared" si="1"/>
        <v/>
      </c>
      <c r="AB9" t="str">
        <f t="shared" si="2"/>
        <v/>
      </c>
      <c r="AC9" t="str">
        <f t="shared" si="3"/>
        <v/>
      </c>
      <c r="AE9" t="str">
        <f t="shared" si="4"/>
        <v/>
      </c>
      <c r="AF9" t="str">
        <f t="shared" si="5"/>
        <v/>
      </c>
      <c r="AG9" t="str">
        <f t="shared" si="6"/>
        <v/>
      </c>
      <c r="AH9" t="str">
        <f t="shared" si="7"/>
        <v/>
      </c>
      <c r="AI9" t="str">
        <f t="shared" si="8"/>
        <v/>
      </c>
      <c r="AK9" t="str">
        <f t="shared" si="9"/>
        <v>g1</v>
      </c>
      <c r="AL9" t="str">
        <f t="shared" si="32"/>
        <v/>
      </c>
      <c r="AM9" t="str">
        <f t="shared" si="10"/>
        <v/>
      </c>
      <c r="AN9" t="str">
        <f t="shared" si="11"/>
        <v/>
      </c>
      <c r="AO9" t="str">
        <f t="shared" si="12"/>
        <v/>
      </c>
      <c r="AP9" t="str">
        <f t="shared" si="13"/>
        <v/>
      </c>
      <c r="AQ9" t="str">
        <f t="shared" si="14"/>
        <v/>
      </c>
      <c r="AR9" t="str">
        <f t="shared" si="15"/>
        <v/>
      </c>
      <c r="AS9" t="str">
        <f t="shared" si="16"/>
        <v/>
      </c>
      <c r="AT9" t="str">
        <f t="shared" si="17"/>
        <v/>
      </c>
      <c r="AU9" t="str">
        <f t="shared" si="18"/>
        <v/>
      </c>
      <c r="AV9" t="str">
        <f t="shared" si="19"/>
        <v/>
      </c>
      <c r="AW9" t="str">
        <f t="shared" si="20"/>
        <v/>
      </c>
      <c r="AX9" t="str">
        <f t="shared" si="21"/>
        <v/>
      </c>
      <c r="AY9" t="str">
        <f t="shared" si="22"/>
        <v/>
      </c>
      <c r="AZ9" t="str">
        <f t="shared" si="23"/>
        <v/>
      </c>
      <c r="BA9" t="str">
        <f t="shared" si="24"/>
        <v/>
      </c>
      <c r="BB9" t="str">
        <f t="shared" si="25"/>
        <v/>
      </c>
      <c r="BC9" t="str">
        <f t="shared" si="26"/>
        <v/>
      </c>
      <c r="BD9" t="str">
        <f t="shared" si="27"/>
        <v/>
      </c>
      <c r="BE9" t="str">
        <f t="shared" si="28"/>
        <v/>
      </c>
      <c r="BF9" t="str">
        <f t="shared" si="29"/>
        <v/>
      </c>
      <c r="BG9" t="str">
        <f t="shared" si="30"/>
        <v/>
      </c>
      <c r="BH9" t="str">
        <f t="shared" si="31"/>
        <v/>
      </c>
    </row>
    <row r="10" spans="1:66" x14ac:dyDescent="0.2">
      <c r="A10">
        <v>7</v>
      </c>
      <c r="B10">
        <v>70</v>
      </c>
      <c r="C10" t="s">
        <v>207</v>
      </c>
      <c r="K10">
        <v>3</v>
      </c>
      <c r="N10">
        <v>4</v>
      </c>
      <c r="O10">
        <v>4</v>
      </c>
      <c r="P10" t="s">
        <v>220</v>
      </c>
      <c r="R10">
        <v>2</v>
      </c>
      <c r="S10">
        <v>1</v>
      </c>
      <c r="U10">
        <v>49</v>
      </c>
      <c r="X10">
        <f t="shared" si="33"/>
        <v>2</v>
      </c>
      <c r="Y10" t="s">
        <v>174</v>
      </c>
      <c r="Z10" t="str">
        <f t="shared" si="0"/>
        <v/>
      </c>
      <c r="AA10" t="str">
        <f t="shared" si="1"/>
        <v/>
      </c>
      <c r="AB10" t="str">
        <f t="shared" si="2"/>
        <v/>
      </c>
      <c r="AC10" t="str">
        <f t="shared" si="3"/>
        <v/>
      </c>
      <c r="AE10" t="str">
        <f t="shared" si="4"/>
        <v/>
      </c>
      <c r="AF10" t="str">
        <f t="shared" si="5"/>
        <v/>
      </c>
      <c r="AG10" t="str">
        <f t="shared" si="6"/>
        <v/>
      </c>
      <c r="AH10" t="str">
        <f t="shared" si="7"/>
        <v/>
      </c>
      <c r="AI10" t="str">
        <f t="shared" si="8"/>
        <v/>
      </c>
      <c r="AK10" t="str">
        <f t="shared" si="9"/>
        <v/>
      </c>
      <c r="AL10" t="str">
        <f t="shared" si="32"/>
        <v/>
      </c>
      <c r="AM10" t="str">
        <f t="shared" si="10"/>
        <v/>
      </c>
      <c r="AN10" t="str">
        <f t="shared" si="11"/>
        <v/>
      </c>
      <c r="AO10" t="str">
        <f t="shared" si="12"/>
        <v/>
      </c>
      <c r="AP10" t="str">
        <f t="shared" si="13"/>
        <v/>
      </c>
      <c r="AQ10" t="str">
        <f t="shared" si="14"/>
        <v/>
      </c>
      <c r="AR10" t="str">
        <f t="shared" si="15"/>
        <v/>
      </c>
      <c r="AS10" t="str">
        <f t="shared" si="16"/>
        <v/>
      </c>
      <c r="AT10" t="str">
        <f t="shared" si="17"/>
        <v/>
      </c>
      <c r="AU10" t="str">
        <f t="shared" si="18"/>
        <v/>
      </c>
      <c r="AV10" t="str">
        <f t="shared" si="19"/>
        <v/>
      </c>
      <c r="AW10" t="str">
        <f t="shared" si="20"/>
        <v/>
      </c>
      <c r="AX10" t="str">
        <f t="shared" si="21"/>
        <v/>
      </c>
      <c r="AY10" t="str">
        <f t="shared" si="22"/>
        <v/>
      </c>
      <c r="AZ10" t="str">
        <f t="shared" si="23"/>
        <v/>
      </c>
      <c r="BA10" t="str">
        <f t="shared" si="24"/>
        <v/>
      </c>
      <c r="BB10" t="str">
        <f t="shared" si="25"/>
        <v/>
      </c>
      <c r="BC10" t="str">
        <f t="shared" si="26"/>
        <v/>
      </c>
      <c r="BD10" t="str">
        <f t="shared" si="27"/>
        <v/>
      </c>
      <c r="BE10" t="str">
        <f t="shared" si="28"/>
        <v/>
      </c>
      <c r="BF10" t="str">
        <f t="shared" si="29"/>
        <v/>
      </c>
      <c r="BG10" t="str">
        <f t="shared" si="30"/>
        <v/>
      </c>
      <c r="BH10" t="str">
        <f t="shared" si="31"/>
        <v/>
      </c>
    </row>
    <row r="11" spans="1:66" x14ac:dyDescent="0.2">
      <c r="A11">
        <v>8</v>
      </c>
      <c r="B11">
        <v>76</v>
      </c>
      <c r="C11" t="s">
        <v>39</v>
      </c>
      <c r="K11">
        <v>4</v>
      </c>
      <c r="N11">
        <v>4</v>
      </c>
      <c r="O11">
        <v>4</v>
      </c>
      <c r="P11" t="s">
        <v>218</v>
      </c>
      <c r="R11">
        <v>1</v>
      </c>
      <c r="S11">
        <v>1</v>
      </c>
      <c r="T11">
        <v>1</v>
      </c>
      <c r="U11">
        <v>5</v>
      </c>
      <c r="W11">
        <v>15</v>
      </c>
      <c r="X11">
        <f t="shared" si="33"/>
        <v>1</v>
      </c>
      <c r="Y11" t="s">
        <v>174</v>
      </c>
      <c r="Z11" t="str">
        <f t="shared" si="0"/>
        <v/>
      </c>
      <c r="AA11" t="str">
        <f t="shared" si="1"/>
        <v/>
      </c>
      <c r="AB11" t="str">
        <f t="shared" si="2"/>
        <v/>
      </c>
      <c r="AC11" t="str">
        <f t="shared" si="3"/>
        <v/>
      </c>
      <c r="AE11" t="str">
        <f t="shared" si="4"/>
        <v/>
      </c>
      <c r="AF11" t="str">
        <f t="shared" si="5"/>
        <v/>
      </c>
      <c r="AG11" t="str">
        <f t="shared" si="6"/>
        <v/>
      </c>
      <c r="AH11" t="str">
        <f t="shared" si="7"/>
        <v/>
      </c>
      <c r="AI11" t="str">
        <f t="shared" si="8"/>
        <v/>
      </c>
      <c r="AK11" t="str">
        <f t="shared" si="9"/>
        <v>g1</v>
      </c>
      <c r="AL11" t="str">
        <f t="shared" si="32"/>
        <v>g2</v>
      </c>
      <c r="AM11" t="str">
        <f t="shared" si="10"/>
        <v/>
      </c>
      <c r="AN11" t="str">
        <f t="shared" si="11"/>
        <v/>
      </c>
      <c r="AO11" t="str">
        <f t="shared" si="12"/>
        <v/>
      </c>
      <c r="AP11" t="str">
        <f t="shared" si="13"/>
        <v/>
      </c>
      <c r="AQ11" t="str">
        <f t="shared" si="14"/>
        <v/>
      </c>
      <c r="AR11" t="str">
        <f t="shared" si="15"/>
        <v/>
      </c>
      <c r="AS11" t="str">
        <f t="shared" si="16"/>
        <v/>
      </c>
      <c r="AT11" t="str">
        <f t="shared" si="17"/>
        <v/>
      </c>
      <c r="AU11" t="str">
        <f t="shared" si="18"/>
        <v/>
      </c>
      <c r="AV11" t="str">
        <f t="shared" si="19"/>
        <v/>
      </c>
      <c r="AW11" t="str">
        <f t="shared" si="20"/>
        <v/>
      </c>
      <c r="AX11" t="str">
        <f t="shared" si="21"/>
        <v/>
      </c>
      <c r="AY11" t="str">
        <f t="shared" si="22"/>
        <v/>
      </c>
      <c r="AZ11" t="str">
        <f t="shared" si="23"/>
        <v/>
      </c>
      <c r="BA11" t="str">
        <f t="shared" si="24"/>
        <v/>
      </c>
      <c r="BB11" t="str">
        <f t="shared" si="25"/>
        <v/>
      </c>
      <c r="BC11" t="str">
        <f t="shared" si="26"/>
        <v/>
      </c>
      <c r="BD11" t="str">
        <f t="shared" si="27"/>
        <v/>
      </c>
      <c r="BE11" t="str">
        <f t="shared" si="28"/>
        <v/>
      </c>
      <c r="BF11" t="str">
        <f t="shared" si="29"/>
        <v/>
      </c>
      <c r="BG11" t="str">
        <f t="shared" si="30"/>
        <v/>
      </c>
      <c r="BH11" t="str">
        <f t="shared" si="31"/>
        <v/>
      </c>
    </row>
    <row r="12" spans="1:66" x14ac:dyDescent="0.2">
      <c r="A12">
        <v>9</v>
      </c>
      <c r="B12">
        <v>86</v>
      </c>
      <c r="C12" t="s">
        <v>39</v>
      </c>
      <c r="G12">
        <v>6</v>
      </c>
      <c r="K12">
        <v>3</v>
      </c>
      <c r="N12">
        <v>4</v>
      </c>
      <c r="O12">
        <v>2</v>
      </c>
      <c r="R12">
        <v>1</v>
      </c>
      <c r="S12">
        <v>1</v>
      </c>
      <c r="T12">
        <v>1</v>
      </c>
      <c r="U12">
        <v>8</v>
      </c>
      <c r="W12">
        <v>5</v>
      </c>
      <c r="X12">
        <f t="shared" si="33"/>
        <v>7</v>
      </c>
      <c r="Y12" t="s">
        <v>174</v>
      </c>
      <c r="Z12" t="str">
        <f t="shared" si="0"/>
        <v/>
      </c>
      <c r="AA12" t="str">
        <f t="shared" si="1"/>
        <v/>
      </c>
      <c r="AB12" t="str">
        <f t="shared" si="2"/>
        <v/>
      </c>
      <c r="AC12" t="str">
        <f t="shared" si="3"/>
        <v/>
      </c>
      <c r="AE12" t="str">
        <f t="shared" si="4"/>
        <v>4</v>
      </c>
      <c r="AF12" t="str">
        <f t="shared" si="5"/>
        <v>5</v>
      </c>
      <c r="AG12" t="str">
        <f t="shared" si="6"/>
        <v/>
      </c>
      <c r="AH12" t="str">
        <f t="shared" si="7"/>
        <v/>
      </c>
      <c r="AI12" t="str">
        <f t="shared" si="8"/>
        <v/>
      </c>
      <c r="AK12" t="str">
        <f t="shared" si="9"/>
        <v>g1</v>
      </c>
      <c r="AL12" t="str">
        <f t="shared" si="32"/>
        <v>h1</v>
      </c>
      <c r="AM12" t="str">
        <f t="shared" si="10"/>
        <v>g2</v>
      </c>
      <c r="AN12" t="str">
        <f t="shared" si="11"/>
        <v>h2</v>
      </c>
      <c r="AO12" t="str">
        <f t="shared" si="12"/>
        <v/>
      </c>
      <c r="AP12" t="str">
        <f t="shared" si="13"/>
        <v/>
      </c>
      <c r="AQ12" t="str">
        <f t="shared" si="14"/>
        <v/>
      </c>
      <c r="AR12" t="str">
        <f t="shared" si="15"/>
        <v/>
      </c>
      <c r="AS12" t="str">
        <f t="shared" si="16"/>
        <v/>
      </c>
      <c r="AT12" t="str">
        <f t="shared" si="17"/>
        <v/>
      </c>
      <c r="AU12" t="str">
        <f t="shared" si="18"/>
        <v/>
      </c>
      <c r="AV12" t="str">
        <f t="shared" si="19"/>
        <v/>
      </c>
      <c r="AW12" t="str">
        <f t="shared" si="20"/>
        <v/>
      </c>
      <c r="AX12" t="str">
        <f t="shared" si="21"/>
        <v/>
      </c>
      <c r="AY12" t="str">
        <f t="shared" si="22"/>
        <v/>
      </c>
      <c r="AZ12" t="str">
        <f t="shared" si="23"/>
        <v/>
      </c>
      <c r="BA12" t="str">
        <f t="shared" si="24"/>
        <v/>
      </c>
      <c r="BB12" t="str">
        <f t="shared" si="25"/>
        <v/>
      </c>
      <c r="BC12" t="str">
        <f t="shared" si="26"/>
        <v/>
      </c>
      <c r="BD12" t="str">
        <f t="shared" si="27"/>
        <v/>
      </c>
      <c r="BE12" t="str">
        <f t="shared" si="28"/>
        <v/>
      </c>
      <c r="BF12" t="str">
        <f t="shared" si="29"/>
        <v/>
      </c>
      <c r="BG12" t="str">
        <f t="shared" si="30"/>
        <v/>
      </c>
      <c r="BH12" t="str">
        <f t="shared" si="31"/>
        <v/>
      </c>
    </row>
    <row r="13" spans="1:66" x14ac:dyDescent="0.2">
      <c r="A13">
        <v>10</v>
      </c>
      <c r="B13">
        <v>91</v>
      </c>
      <c r="C13" t="s">
        <v>207</v>
      </c>
      <c r="G13">
        <v>4</v>
      </c>
      <c r="K13">
        <v>2</v>
      </c>
      <c r="N13">
        <v>2</v>
      </c>
      <c r="O13">
        <v>2</v>
      </c>
      <c r="P13" t="s">
        <v>220</v>
      </c>
      <c r="R13">
        <v>1</v>
      </c>
      <c r="S13">
        <v>1</v>
      </c>
      <c r="T13">
        <v>1</v>
      </c>
      <c r="U13">
        <v>8</v>
      </c>
      <c r="X13">
        <f t="shared" si="33"/>
        <v>5</v>
      </c>
      <c r="Y13" t="s">
        <v>174</v>
      </c>
      <c r="Z13" t="str">
        <f t="shared" si="0"/>
        <v/>
      </c>
      <c r="AA13" t="str">
        <f t="shared" si="1"/>
        <v/>
      </c>
      <c r="AB13" t="str">
        <f t="shared" si="2"/>
        <v/>
      </c>
      <c r="AC13" t="str">
        <f t="shared" si="3"/>
        <v/>
      </c>
      <c r="AE13" t="str">
        <f t="shared" si="4"/>
        <v>2</v>
      </c>
      <c r="AF13" t="str">
        <f t="shared" si="5"/>
        <v/>
      </c>
      <c r="AG13" t="str">
        <f t="shared" si="6"/>
        <v/>
      </c>
      <c r="AH13" t="str">
        <f t="shared" si="7"/>
        <v/>
      </c>
      <c r="AI13" t="str">
        <f t="shared" si="8"/>
        <v/>
      </c>
      <c r="AK13" t="str">
        <f t="shared" si="9"/>
        <v>g1</v>
      </c>
      <c r="AL13" t="str">
        <f t="shared" si="32"/>
        <v/>
      </c>
      <c r="AM13" t="str">
        <f t="shared" si="10"/>
        <v/>
      </c>
      <c r="AN13" t="str">
        <f t="shared" si="11"/>
        <v/>
      </c>
      <c r="AO13" t="str">
        <f t="shared" si="12"/>
        <v/>
      </c>
      <c r="AP13" t="str">
        <f t="shared" si="13"/>
        <v/>
      </c>
      <c r="AQ13" t="str">
        <f t="shared" si="14"/>
        <v/>
      </c>
      <c r="AR13" t="str">
        <f t="shared" si="15"/>
        <v/>
      </c>
      <c r="AS13" t="str">
        <f t="shared" si="16"/>
        <v/>
      </c>
      <c r="AT13" t="str">
        <f t="shared" si="17"/>
        <v/>
      </c>
      <c r="AU13" t="str">
        <f t="shared" si="18"/>
        <v/>
      </c>
      <c r="AV13" t="str">
        <f t="shared" si="19"/>
        <v/>
      </c>
      <c r="AW13" t="str">
        <f t="shared" si="20"/>
        <v/>
      </c>
      <c r="AX13" t="str">
        <f t="shared" si="21"/>
        <v/>
      </c>
      <c r="AY13" t="str">
        <f t="shared" si="22"/>
        <v/>
      </c>
      <c r="AZ13" t="str">
        <f t="shared" si="23"/>
        <v/>
      </c>
      <c r="BA13" t="str">
        <f t="shared" si="24"/>
        <v/>
      </c>
      <c r="BB13" t="str">
        <f t="shared" si="25"/>
        <v/>
      </c>
      <c r="BC13" t="str">
        <f t="shared" si="26"/>
        <v/>
      </c>
      <c r="BD13" t="str">
        <f t="shared" si="27"/>
        <v/>
      </c>
      <c r="BE13" t="str">
        <f t="shared" si="28"/>
        <v/>
      </c>
      <c r="BF13" t="str">
        <f t="shared" si="29"/>
        <v/>
      </c>
      <c r="BG13" t="str">
        <f t="shared" si="30"/>
        <v/>
      </c>
      <c r="BH13" t="str">
        <f t="shared" si="31"/>
        <v/>
      </c>
    </row>
    <row r="14" spans="1:66" x14ac:dyDescent="0.2">
      <c r="A14">
        <v>11</v>
      </c>
      <c r="B14">
        <v>102</v>
      </c>
      <c r="C14" t="s">
        <v>207</v>
      </c>
      <c r="J14" t="s">
        <v>285</v>
      </c>
      <c r="K14">
        <v>2</v>
      </c>
      <c r="N14">
        <v>3</v>
      </c>
      <c r="O14">
        <v>3</v>
      </c>
      <c r="P14" t="s">
        <v>326</v>
      </c>
      <c r="R14">
        <v>2</v>
      </c>
      <c r="S14">
        <v>1</v>
      </c>
      <c r="T14">
        <v>1</v>
      </c>
      <c r="U14">
        <v>9</v>
      </c>
      <c r="X14">
        <f t="shared" si="33"/>
        <v>2</v>
      </c>
      <c r="Z14" t="s">
        <v>31</v>
      </c>
      <c r="AE14" t="s">
        <v>34</v>
      </c>
      <c r="AK14" t="s">
        <v>43</v>
      </c>
      <c r="AP14" t="s">
        <v>84</v>
      </c>
    </row>
    <row r="15" spans="1:66" x14ac:dyDescent="0.2">
      <c r="A15">
        <v>12</v>
      </c>
      <c r="B15">
        <v>119</v>
      </c>
      <c r="C15" t="s">
        <v>39</v>
      </c>
      <c r="G15">
        <v>6</v>
      </c>
      <c r="J15">
        <v>2</v>
      </c>
      <c r="K15">
        <v>1</v>
      </c>
      <c r="L15">
        <v>4</v>
      </c>
      <c r="N15">
        <v>2</v>
      </c>
      <c r="O15">
        <v>2</v>
      </c>
      <c r="P15" t="s">
        <v>218</v>
      </c>
      <c r="R15">
        <v>1</v>
      </c>
      <c r="S15">
        <v>1</v>
      </c>
      <c r="U15">
        <v>10</v>
      </c>
      <c r="W15">
        <v>3</v>
      </c>
      <c r="X15">
        <f t="shared" si="33"/>
        <v>7</v>
      </c>
      <c r="Z15" t="s">
        <v>21</v>
      </c>
      <c r="AA15" t="s">
        <v>22</v>
      </c>
      <c r="AE15" t="s">
        <v>21</v>
      </c>
      <c r="AF15" t="s">
        <v>22</v>
      </c>
      <c r="AG15" t="s">
        <v>35</v>
      </c>
      <c r="AK15" t="s">
        <v>10</v>
      </c>
      <c r="AL15" t="s">
        <v>25</v>
      </c>
      <c r="AM15" t="s">
        <v>26</v>
      </c>
      <c r="AN15" t="s">
        <v>27</v>
      </c>
      <c r="AP15" t="s">
        <v>15</v>
      </c>
      <c r="AQ15" t="s">
        <v>85</v>
      </c>
    </row>
    <row r="16" spans="1:66" x14ac:dyDescent="0.2">
      <c r="A16" t="s">
        <v>28</v>
      </c>
      <c r="D16">
        <f>SUM(D4:D15)</f>
        <v>0</v>
      </c>
      <c r="E16">
        <f>SUM(E4:E15)</f>
        <v>0</v>
      </c>
      <c r="F16">
        <f>SUM(F4:F15)</f>
        <v>0</v>
      </c>
      <c r="G16">
        <f>SUM(G4:G15)</f>
        <v>31</v>
      </c>
      <c r="H16">
        <f>SUM(H4:H15)</f>
        <v>0</v>
      </c>
      <c r="K16">
        <f>SUM(K4:K15)</f>
        <v>22</v>
      </c>
      <c r="L16">
        <f>SUM(L4:L15)</f>
        <v>6</v>
      </c>
      <c r="M16">
        <f>SUM(M4:M15)</f>
        <v>0</v>
      </c>
      <c r="N16">
        <f>SUM(N4:N15)</f>
        <v>30</v>
      </c>
      <c r="O16">
        <f>SUM(O4:O15)</f>
        <v>27</v>
      </c>
      <c r="Q16">
        <f t="shared" ref="Q16:R16" si="34">SUM(Q4:Q15)</f>
        <v>0</v>
      </c>
      <c r="R16">
        <f t="shared" si="34"/>
        <v>21</v>
      </c>
      <c r="S16">
        <f>SUM(S4:S15)</f>
        <v>12</v>
      </c>
      <c r="T16">
        <f>SUM(T4:T15)</f>
        <v>10</v>
      </c>
      <c r="U16">
        <f>SUM(U4:U15)</f>
        <v>177</v>
      </c>
      <c r="V16">
        <f>SUM(V4:V15)</f>
        <v>0</v>
      </c>
      <c r="W16">
        <f>SUM(W4:W15)</f>
        <v>32</v>
      </c>
      <c r="Z16">
        <f t="shared" ref="Z16:Z27" si="35">COUNTIF(Z2:AC2, "3")*COUNTIF(C4, "r")+COUNTIF(Z2:AC2, "5")*COUNTIF(C4, "b")</f>
        <v>0</v>
      </c>
      <c r="AA16">
        <f t="shared" ref="AA16:AA27" si="36">COUNTIF(Z2:AC2, "1")+COUNTIF(Z2:AC2, "2")+COUNTIF(Z2:AC2, "4")</f>
        <v>0</v>
      </c>
      <c r="AE16">
        <f t="shared" ref="AE16:AE27" si="37">COUNTIF(AE2:AI2, "3")*COUNTIF(C4, "r") + COUNTIF(AE2:AI2, "5")*COUNTIF(C4, "b")</f>
        <v>0</v>
      </c>
      <c r="AF16">
        <f t="shared" ref="AF16:AF27" si="38">COUNTIF(AE2:AI2, "1")+COUNTIF(AE2:AI2, "2")+COUNTIF(AE2:AI2, "4")</f>
        <v>0</v>
      </c>
      <c r="AG16">
        <f t="shared" ref="AG16:AG27" si="39">COUNTIF(AE2:AI2, "3")*COUNTIF(AE2:AI2, "b")+COUNTIF(AE2:AI2, "5")*COUNTIF(AE2:AI2, "r")</f>
        <v>0</v>
      </c>
      <c r="AK16">
        <f t="shared" ref="AK16:AK27" si="40">SUMPRODUCT(LEN($AK2:$BH2) - LEN(SUBSTITUTE($AK2:$BH2, "g", "")))</f>
        <v>2</v>
      </c>
      <c r="AL16">
        <f t="shared" ref="AL16:AL27" si="41">SUMPRODUCT(LEN($AK2:$BH2) - LEN(SUBSTITUTE($AK2:$BH2, "h", "")))</f>
        <v>0</v>
      </c>
      <c r="AM16">
        <f t="shared" ref="AM16:AM27" si="42">SUMPRODUCT(LEN($AK2:$BH2) - LEN(SUBSTITUTE($AK2:$BH2, "v", "")))</f>
        <v>0</v>
      </c>
      <c r="AN16">
        <f t="shared" ref="AN16:AN27" si="43">SUMPRODUCT(LEN($AK2:$BH2) - LEN(SUBSTITUTE($AK2:$BH2, "r", "")))</f>
        <v>0</v>
      </c>
      <c r="AP16">
        <f>MAX(AQ16:BN16)</f>
        <v>2</v>
      </c>
      <c r="AQ16" s="4">
        <f>_xlfn.NUMBERVALUE(RIGHT(AK2,1))</f>
        <v>1</v>
      </c>
      <c r="AR16" s="4">
        <f t="shared" ref="AR16:BG27" si="44">_xlfn.NUMBERVALUE(RIGHT(AL2,1))</f>
        <v>2</v>
      </c>
      <c r="AS16" s="4">
        <f t="shared" si="44"/>
        <v>0</v>
      </c>
      <c r="AT16" s="4">
        <f t="shared" si="44"/>
        <v>0</v>
      </c>
      <c r="AU16" s="4">
        <f t="shared" si="44"/>
        <v>0</v>
      </c>
      <c r="AV16" s="4">
        <f t="shared" si="44"/>
        <v>0</v>
      </c>
      <c r="AW16" s="4">
        <f t="shared" si="44"/>
        <v>0</v>
      </c>
      <c r="AX16" s="4">
        <f t="shared" si="44"/>
        <v>0</v>
      </c>
      <c r="AY16" s="4">
        <f t="shared" si="44"/>
        <v>0</v>
      </c>
      <c r="AZ16" s="4">
        <f t="shared" si="44"/>
        <v>0</v>
      </c>
      <c r="BA16" s="4">
        <f t="shared" si="44"/>
        <v>0</v>
      </c>
      <c r="BB16" s="4">
        <f t="shared" si="44"/>
        <v>0</v>
      </c>
      <c r="BC16" s="4">
        <f t="shared" si="44"/>
        <v>0</v>
      </c>
      <c r="BD16" s="4">
        <f t="shared" si="44"/>
        <v>0</v>
      </c>
      <c r="BE16" s="4">
        <f t="shared" si="44"/>
        <v>0</v>
      </c>
      <c r="BF16" s="4">
        <f t="shared" si="44"/>
        <v>0</v>
      </c>
      <c r="BG16" s="4">
        <f t="shared" si="44"/>
        <v>0</v>
      </c>
      <c r="BH16" s="4">
        <f t="shared" ref="BH16:BN27" si="45">_xlfn.NUMBERVALUE(RIGHT(BB2,1))</f>
        <v>0</v>
      </c>
      <c r="BI16" s="4">
        <f t="shared" si="45"/>
        <v>0</v>
      </c>
      <c r="BJ16" s="4">
        <f t="shared" si="45"/>
        <v>0</v>
      </c>
      <c r="BK16" s="4">
        <f t="shared" si="45"/>
        <v>0</v>
      </c>
      <c r="BL16" s="4">
        <f t="shared" si="45"/>
        <v>0</v>
      </c>
      <c r="BM16" s="4">
        <f t="shared" si="45"/>
        <v>0</v>
      </c>
      <c r="BN16" s="4">
        <f t="shared" si="45"/>
        <v>0</v>
      </c>
    </row>
    <row r="17" spans="1:66" x14ac:dyDescent="0.2">
      <c r="A17" s="1" t="s">
        <v>20</v>
      </c>
      <c r="D17" s="1" t="s">
        <v>49</v>
      </c>
      <c r="G17" s="1" t="s">
        <v>52</v>
      </c>
      <c r="K17" s="3" t="s">
        <v>74</v>
      </c>
      <c r="P17" s="1" t="s">
        <v>66</v>
      </c>
      <c r="Z17">
        <f t="shared" si="35"/>
        <v>0</v>
      </c>
      <c r="AA17">
        <f t="shared" si="36"/>
        <v>0</v>
      </c>
      <c r="AE17">
        <f t="shared" si="37"/>
        <v>0</v>
      </c>
      <c r="AF17">
        <f t="shared" si="38"/>
        <v>1</v>
      </c>
      <c r="AG17">
        <f t="shared" si="39"/>
        <v>0</v>
      </c>
      <c r="AK17">
        <f t="shared" si="40"/>
        <v>1</v>
      </c>
      <c r="AL17">
        <f t="shared" si="41"/>
        <v>0</v>
      </c>
      <c r="AM17">
        <f t="shared" si="42"/>
        <v>0</v>
      </c>
      <c r="AN17">
        <f t="shared" si="43"/>
        <v>0</v>
      </c>
      <c r="AP17">
        <f t="shared" ref="AP17:AP27" si="46">MAX(AQ17:BN17)</f>
        <v>1</v>
      </c>
      <c r="AQ17" s="4">
        <f t="shared" ref="AQ17:AQ27" si="47">_xlfn.NUMBERVALUE(RIGHT(AK3,1))</f>
        <v>1</v>
      </c>
      <c r="AR17" s="4">
        <f t="shared" si="44"/>
        <v>0</v>
      </c>
      <c r="AS17" s="4">
        <f t="shared" si="44"/>
        <v>0</v>
      </c>
      <c r="AT17" s="4">
        <f t="shared" si="44"/>
        <v>0</v>
      </c>
      <c r="AU17" s="4">
        <f t="shared" si="44"/>
        <v>0</v>
      </c>
      <c r="AV17" s="4">
        <f t="shared" si="44"/>
        <v>0</v>
      </c>
      <c r="AW17" s="4">
        <f t="shared" si="44"/>
        <v>0</v>
      </c>
      <c r="AX17" s="4">
        <f t="shared" si="44"/>
        <v>0</v>
      </c>
      <c r="AY17" s="4">
        <f t="shared" si="44"/>
        <v>0</v>
      </c>
      <c r="AZ17" s="4">
        <f t="shared" si="44"/>
        <v>0</v>
      </c>
      <c r="BA17" s="4">
        <f t="shared" si="44"/>
        <v>0</v>
      </c>
      <c r="BB17" s="4">
        <f t="shared" si="44"/>
        <v>0</v>
      </c>
      <c r="BC17" s="4">
        <f t="shared" si="44"/>
        <v>0</v>
      </c>
      <c r="BD17" s="4">
        <f t="shared" si="44"/>
        <v>0</v>
      </c>
      <c r="BE17" s="4">
        <f t="shared" si="44"/>
        <v>0</v>
      </c>
      <c r="BF17" s="4">
        <f t="shared" si="44"/>
        <v>0</v>
      </c>
      <c r="BG17" s="4">
        <f t="shared" si="44"/>
        <v>0</v>
      </c>
      <c r="BH17" s="4">
        <f t="shared" si="45"/>
        <v>0</v>
      </c>
      <c r="BI17" s="4">
        <f t="shared" si="45"/>
        <v>0</v>
      </c>
      <c r="BJ17" s="4">
        <f t="shared" si="45"/>
        <v>0</v>
      </c>
      <c r="BK17" s="4">
        <f t="shared" si="45"/>
        <v>0</v>
      </c>
      <c r="BL17" s="4">
        <f t="shared" si="45"/>
        <v>0</v>
      </c>
      <c r="BM17" s="4">
        <f t="shared" si="45"/>
        <v>0</v>
      </c>
      <c r="BN17" s="4">
        <f t="shared" si="45"/>
        <v>0</v>
      </c>
    </row>
    <row r="18" spans="1:66" x14ac:dyDescent="0.2">
      <c r="A18" t="s">
        <v>32</v>
      </c>
      <c r="B18" t="s">
        <v>21</v>
      </c>
      <c r="D18" t="s">
        <v>180</v>
      </c>
      <c r="G18" s="3" t="s">
        <v>53</v>
      </c>
      <c r="K18" t="s">
        <v>55</v>
      </c>
      <c r="M18" t="s">
        <v>65</v>
      </c>
      <c r="P18" t="s">
        <v>67</v>
      </c>
      <c r="Z18">
        <f t="shared" si="35"/>
        <v>0</v>
      </c>
      <c r="AA18">
        <f t="shared" si="36"/>
        <v>0</v>
      </c>
      <c r="AE18">
        <f t="shared" si="37"/>
        <v>1</v>
      </c>
      <c r="AF18">
        <f t="shared" si="38"/>
        <v>2</v>
      </c>
      <c r="AG18">
        <f t="shared" si="39"/>
        <v>0</v>
      </c>
      <c r="AK18">
        <f t="shared" si="40"/>
        <v>0</v>
      </c>
      <c r="AL18">
        <f t="shared" si="41"/>
        <v>3</v>
      </c>
      <c r="AM18">
        <f t="shared" si="42"/>
        <v>0</v>
      </c>
      <c r="AN18">
        <f t="shared" si="43"/>
        <v>0</v>
      </c>
      <c r="AP18">
        <f t="shared" si="46"/>
        <v>3</v>
      </c>
      <c r="AQ18" s="4">
        <f t="shared" si="47"/>
        <v>1</v>
      </c>
      <c r="AR18" s="4">
        <f t="shared" si="44"/>
        <v>2</v>
      </c>
      <c r="AS18" s="4">
        <f t="shared" si="44"/>
        <v>3</v>
      </c>
      <c r="AT18" s="4">
        <f t="shared" si="44"/>
        <v>0</v>
      </c>
      <c r="AU18" s="4">
        <f t="shared" si="44"/>
        <v>0</v>
      </c>
      <c r="AV18" s="4">
        <f t="shared" si="44"/>
        <v>0</v>
      </c>
      <c r="AW18" s="4">
        <f t="shared" si="44"/>
        <v>0</v>
      </c>
      <c r="AX18" s="4">
        <f t="shared" si="44"/>
        <v>0</v>
      </c>
      <c r="AY18" s="4">
        <f t="shared" si="44"/>
        <v>0</v>
      </c>
      <c r="AZ18" s="4">
        <f t="shared" si="44"/>
        <v>0</v>
      </c>
      <c r="BA18" s="4">
        <f t="shared" si="44"/>
        <v>0</v>
      </c>
      <c r="BB18" s="4">
        <f t="shared" si="44"/>
        <v>0</v>
      </c>
      <c r="BC18" s="4">
        <f t="shared" si="44"/>
        <v>0</v>
      </c>
      <c r="BD18" s="4">
        <f t="shared" si="44"/>
        <v>0</v>
      </c>
      <c r="BE18" s="4">
        <f t="shared" si="44"/>
        <v>0</v>
      </c>
      <c r="BF18" s="4">
        <f t="shared" si="44"/>
        <v>0</v>
      </c>
      <c r="BG18" s="4">
        <f t="shared" si="44"/>
        <v>0</v>
      </c>
      <c r="BH18" s="4">
        <f t="shared" si="45"/>
        <v>0</v>
      </c>
      <c r="BI18" s="4">
        <f t="shared" si="45"/>
        <v>0</v>
      </c>
      <c r="BJ18" s="4">
        <f t="shared" si="45"/>
        <v>0</v>
      </c>
      <c r="BK18" s="4">
        <f t="shared" si="45"/>
        <v>0</v>
      </c>
      <c r="BL18" s="4">
        <f t="shared" si="45"/>
        <v>0</v>
      </c>
      <c r="BM18" s="4">
        <f t="shared" si="45"/>
        <v>0</v>
      </c>
      <c r="BN18" s="4">
        <f t="shared" si="45"/>
        <v>0</v>
      </c>
    </row>
    <row r="19" spans="1:66" x14ac:dyDescent="0.2">
      <c r="A19" t="s">
        <v>40</v>
      </c>
      <c r="B19" t="s">
        <v>22</v>
      </c>
      <c r="D19" t="e">
        <f>E16/D16</f>
        <v>#DIV/0!</v>
      </c>
      <c r="G19" t="s">
        <v>75</v>
      </c>
      <c r="K19">
        <f>O16/N16</f>
        <v>0.9</v>
      </c>
      <c r="M19">
        <f>SUM(M39:M50)</f>
        <v>-5</v>
      </c>
      <c r="P19">
        <f>T16/S16</f>
        <v>0.83333333333333337</v>
      </c>
      <c r="Z19">
        <f t="shared" si="35"/>
        <v>0</v>
      </c>
      <c r="AA19">
        <f t="shared" si="36"/>
        <v>0</v>
      </c>
      <c r="AE19">
        <f t="shared" si="37"/>
        <v>0</v>
      </c>
      <c r="AF19">
        <f t="shared" si="38"/>
        <v>1</v>
      </c>
      <c r="AG19">
        <f t="shared" si="39"/>
        <v>0</v>
      </c>
      <c r="AK19">
        <f t="shared" si="40"/>
        <v>0</v>
      </c>
      <c r="AL19">
        <f t="shared" si="41"/>
        <v>1</v>
      </c>
      <c r="AM19">
        <f t="shared" si="42"/>
        <v>0</v>
      </c>
      <c r="AN19">
        <f t="shared" si="43"/>
        <v>0</v>
      </c>
      <c r="AP19">
        <f t="shared" si="46"/>
        <v>1</v>
      </c>
      <c r="AQ19" s="4">
        <f t="shared" si="47"/>
        <v>1</v>
      </c>
      <c r="AR19" s="4">
        <f t="shared" si="44"/>
        <v>0</v>
      </c>
      <c r="AS19" s="4">
        <f t="shared" si="44"/>
        <v>0</v>
      </c>
      <c r="AT19" s="4">
        <f t="shared" si="44"/>
        <v>0</v>
      </c>
      <c r="AU19" s="4">
        <f t="shared" si="44"/>
        <v>0</v>
      </c>
      <c r="AV19" s="4">
        <f t="shared" si="44"/>
        <v>0</v>
      </c>
      <c r="AW19" s="4">
        <f t="shared" si="44"/>
        <v>0</v>
      </c>
      <c r="AX19" s="4">
        <f t="shared" si="44"/>
        <v>0</v>
      </c>
      <c r="AY19" s="4">
        <f t="shared" si="44"/>
        <v>0</v>
      </c>
      <c r="AZ19" s="4">
        <f t="shared" si="44"/>
        <v>0</v>
      </c>
      <c r="BA19" s="4">
        <f t="shared" si="44"/>
        <v>0</v>
      </c>
      <c r="BB19" s="4">
        <f t="shared" si="44"/>
        <v>0</v>
      </c>
      <c r="BC19" s="4">
        <f t="shared" si="44"/>
        <v>0</v>
      </c>
      <c r="BD19" s="4">
        <f t="shared" si="44"/>
        <v>0</v>
      </c>
      <c r="BE19" s="4">
        <f t="shared" si="44"/>
        <v>0</v>
      </c>
      <c r="BF19" s="4">
        <f t="shared" si="44"/>
        <v>0</v>
      </c>
      <c r="BG19" s="4">
        <f t="shared" si="44"/>
        <v>0</v>
      </c>
      <c r="BH19" s="4">
        <f t="shared" si="45"/>
        <v>0</v>
      </c>
      <c r="BI19" s="4">
        <f t="shared" si="45"/>
        <v>0</v>
      </c>
      <c r="BJ19" s="4">
        <f t="shared" si="45"/>
        <v>0</v>
      </c>
      <c r="BK19" s="4">
        <f t="shared" si="45"/>
        <v>0</v>
      </c>
      <c r="BL19" s="4">
        <f t="shared" si="45"/>
        <v>0</v>
      </c>
      <c r="BM19" s="4">
        <f t="shared" si="45"/>
        <v>0</v>
      </c>
      <c r="BN19" s="4">
        <f t="shared" si="45"/>
        <v>0</v>
      </c>
    </row>
    <row r="20" spans="1:66" x14ac:dyDescent="0.2">
      <c r="A20" t="s">
        <v>41</v>
      </c>
      <c r="B20" t="s">
        <v>23</v>
      </c>
      <c r="D20" t="s">
        <v>47</v>
      </c>
      <c r="G20">
        <f>AK28/AP28</f>
        <v>0.78947368421052633</v>
      </c>
      <c r="K20" t="s">
        <v>13</v>
      </c>
      <c r="Z20">
        <f t="shared" si="35"/>
        <v>0</v>
      </c>
      <c r="AA20">
        <f t="shared" si="36"/>
        <v>0</v>
      </c>
      <c r="AE20">
        <f t="shared" si="37"/>
        <v>1</v>
      </c>
      <c r="AF20">
        <f t="shared" si="38"/>
        <v>0</v>
      </c>
      <c r="AG20">
        <f t="shared" si="39"/>
        <v>0</v>
      </c>
      <c r="AK20">
        <f t="shared" si="40"/>
        <v>4</v>
      </c>
      <c r="AL20">
        <f t="shared" si="41"/>
        <v>1</v>
      </c>
      <c r="AM20">
        <f t="shared" si="42"/>
        <v>0</v>
      </c>
      <c r="AN20">
        <f t="shared" si="43"/>
        <v>0</v>
      </c>
      <c r="AP20">
        <f t="shared" si="46"/>
        <v>4</v>
      </c>
      <c r="AQ20" s="4">
        <f t="shared" si="47"/>
        <v>1</v>
      </c>
      <c r="AR20" s="4">
        <f t="shared" si="44"/>
        <v>1</v>
      </c>
      <c r="AS20" s="4">
        <f t="shared" si="44"/>
        <v>2</v>
      </c>
      <c r="AT20" s="4">
        <f t="shared" si="44"/>
        <v>3</v>
      </c>
      <c r="AU20" s="4">
        <f t="shared" si="44"/>
        <v>4</v>
      </c>
      <c r="AV20" s="4">
        <f t="shared" si="44"/>
        <v>0</v>
      </c>
      <c r="AW20" s="4">
        <f t="shared" si="44"/>
        <v>0</v>
      </c>
      <c r="AX20" s="4">
        <f t="shared" si="44"/>
        <v>0</v>
      </c>
      <c r="AY20" s="4">
        <f t="shared" si="44"/>
        <v>0</v>
      </c>
      <c r="AZ20" s="4">
        <f t="shared" si="44"/>
        <v>0</v>
      </c>
      <c r="BA20" s="4">
        <f t="shared" si="44"/>
        <v>0</v>
      </c>
      <c r="BB20" s="4">
        <f t="shared" si="44"/>
        <v>0</v>
      </c>
      <c r="BC20" s="4">
        <f t="shared" si="44"/>
        <v>0</v>
      </c>
      <c r="BD20" s="4">
        <f t="shared" si="44"/>
        <v>0</v>
      </c>
      <c r="BE20" s="4">
        <f t="shared" si="44"/>
        <v>0</v>
      </c>
      <c r="BF20" s="4">
        <f t="shared" si="44"/>
        <v>0</v>
      </c>
      <c r="BG20" s="4">
        <f t="shared" si="44"/>
        <v>0</v>
      </c>
      <c r="BH20" s="4">
        <f t="shared" si="45"/>
        <v>0</v>
      </c>
      <c r="BI20" s="4">
        <f t="shared" si="45"/>
        <v>0</v>
      </c>
      <c r="BJ20" s="4">
        <f t="shared" si="45"/>
        <v>0</v>
      </c>
      <c r="BK20" s="4">
        <f t="shared" si="45"/>
        <v>0</v>
      </c>
      <c r="BL20" s="4">
        <f t="shared" si="45"/>
        <v>0</v>
      </c>
      <c r="BM20" s="4">
        <f t="shared" si="45"/>
        <v>0</v>
      </c>
      <c r="BN20" s="4">
        <f t="shared" si="45"/>
        <v>0</v>
      </c>
    </row>
    <row r="21" spans="1:66" x14ac:dyDescent="0.2">
      <c r="A21" s="1" t="s">
        <v>24</v>
      </c>
      <c r="D21">
        <f>G16/A31</f>
        <v>2.5833333333333335</v>
      </c>
      <c r="G21" t="s">
        <v>76</v>
      </c>
      <c r="K21" t="s">
        <v>57</v>
      </c>
      <c r="L21" t="s">
        <v>58</v>
      </c>
      <c r="M21" t="s">
        <v>59</v>
      </c>
      <c r="N21" t="s">
        <v>60</v>
      </c>
      <c r="Z21">
        <f t="shared" si="35"/>
        <v>0</v>
      </c>
      <c r="AA21">
        <f t="shared" si="36"/>
        <v>0</v>
      </c>
      <c r="AE21">
        <f t="shared" si="37"/>
        <v>1</v>
      </c>
      <c r="AF21">
        <f t="shared" si="38"/>
        <v>1</v>
      </c>
      <c r="AG21">
        <f t="shared" si="39"/>
        <v>0</v>
      </c>
      <c r="AK21">
        <f t="shared" si="40"/>
        <v>0</v>
      </c>
      <c r="AL21">
        <f t="shared" si="41"/>
        <v>0</v>
      </c>
      <c r="AM21">
        <f t="shared" si="42"/>
        <v>0</v>
      </c>
      <c r="AN21">
        <f t="shared" si="43"/>
        <v>0</v>
      </c>
      <c r="AP21">
        <f t="shared" si="46"/>
        <v>0</v>
      </c>
      <c r="AQ21" s="4">
        <f t="shared" si="47"/>
        <v>0</v>
      </c>
      <c r="AR21" s="4">
        <f t="shared" si="44"/>
        <v>0</v>
      </c>
      <c r="AS21" s="4">
        <f t="shared" si="44"/>
        <v>0</v>
      </c>
      <c r="AT21" s="4">
        <f t="shared" si="44"/>
        <v>0</v>
      </c>
      <c r="AU21" s="4">
        <f t="shared" si="44"/>
        <v>0</v>
      </c>
      <c r="AV21" s="4">
        <f t="shared" si="44"/>
        <v>0</v>
      </c>
      <c r="AW21" s="4">
        <f t="shared" si="44"/>
        <v>0</v>
      </c>
      <c r="AX21" s="4">
        <f t="shared" si="44"/>
        <v>0</v>
      </c>
      <c r="AY21" s="4">
        <f t="shared" si="44"/>
        <v>0</v>
      </c>
      <c r="AZ21" s="4">
        <f t="shared" si="44"/>
        <v>0</v>
      </c>
      <c r="BA21" s="4">
        <f t="shared" si="44"/>
        <v>0</v>
      </c>
      <c r="BB21" s="4">
        <f t="shared" si="44"/>
        <v>0</v>
      </c>
      <c r="BC21" s="4">
        <f t="shared" si="44"/>
        <v>0</v>
      </c>
      <c r="BD21" s="4">
        <f t="shared" si="44"/>
        <v>0</v>
      </c>
      <c r="BE21" s="4">
        <f t="shared" si="44"/>
        <v>0</v>
      </c>
      <c r="BF21" s="4">
        <f t="shared" si="44"/>
        <v>0</v>
      </c>
      <c r="BG21" s="4">
        <f t="shared" si="44"/>
        <v>0</v>
      </c>
      <c r="BH21" s="4">
        <f t="shared" si="45"/>
        <v>0</v>
      </c>
      <c r="BI21" s="4">
        <f t="shared" si="45"/>
        <v>0</v>
      </c>
      <c r="BJ21" s="4">
        <f t="shared" si="45"/>
        <v>0</v>
      </c>
      <c r="BK21" s="4">
        <f t="shared" si="45"/>
        <v>0</v>
      </c>
      <c r="BL21" s="4">
        <f t="shared" si="45"/>
        <v>0</v>
      </c>
      <c r="BM21" s="4">
        <f t="shared" si="45"/>
        <v>0</v>
      </c>
      <c r="BN21" s="4">
        <f t="shared" si="45"/>
        <v>0</v>
      </c>
    </row>
    <row r="22" spans="1:66" x14ac:dyDescent="0.2">
      <c r="A22" t="s">
        <v>36</v>
      </c>
      <c r="B22" t="s">
        <v>10</v>
      </c>
      <c r="D22" t="s">
        <v>48</v>
      </c>
      <c r="G22">
        <f>AL28/AP28</f>
        <v>0.36842105263157893</v>
      </c>
      <c r="K22">
        <f>AVERAGE(C39:C50)</f>
        <v>2.25</v>
      </c>
      <c r="L22">
        <f>MEDIAN(C39:C50)</f>
        <v>2</v>
      </c>
      <c r="M22">
        <f>MAX(C39:C50)</f>
        <v>4</v>
      </c>
      <c r="N22">
        <f>_xlfn.STDEV.S(C39:C50)</f>
        <v>1.2154310870109943</v>
      </c>
      <c r="Z22">
        <f t="shared" si="35"/>
        <v>0</v>
      </c>
      <c r="AA22">
        <f t="shared" si="36"/>
        <v>0</v>
      </c>
      <c r="AE22">
        <f t="shared" si="37"/>
        <v>0</v>
      </c>
      <c r="AF22">
        <f t="shared" si="38"/>
        <v>0</v>
      </c>
      <c r="AG22">
        <f t="shared" si="39"/>
        <v>0</v>
      </c>
      <c r="AK22">
        <f t="shared" si="40"/>
        <v>2</v>
      </c>
      <c r="AL22">
        <f t="shared" si="41"/>
        <v>0</v>
      </c>
      <c r="AM22">
        <f t="shared" si="42"/>
        <v>0</v>
      </c>
      <c r="AN22">
        <f t="shared" si="43"/>
        <v>0</v>
      </c>
      <c r="AP22">
        <f t="shared" si="46"/>
        <v>2</v>
      </c>
      <c r="AQ22" s="4">
        <f t="shared" si="47"/>
        <v>1</v>
      </c>
      <c r="AR22" s="4">
        <f t="shared" si="44"/>
        <v>2</v>
      </c>
      <c r="AS22" s="4">
        <f t="shared" si="44"/>
        <v>0</v>
      </c>
      <c r="AT22" s="4">
        <f t="shared" si="44"/>
        <v>0</v>
      </c>
      <c r="AU22" s="4">
        <f t="shared" si="44"/>
        <v>0</v>
      </c>
      <c r="AV22" s="4">
        <f t="shared" si="44"/>
        <v>0</v>
      </c>
      <c r="AW22" s="4">
        <f t="shared" si="44"/>
        <v>0</v>
      </c>
      <c r="AX22" s="4">
        <f t="shared" si="44"/>
        <v>0</v>
      </c>
      <c r="AY22" s="4">
        <f t="shared" si="44"/>
        <v>0</v>
      </c>
      <c r="AZ22" s="4">
        <f t="shared" si="44"/>
        <v>0</v>
      </c>
      <c r="BA22" s="4">
        <f t="shared" si="44"/>
        <v>0</v>
      </c>
      <c r="BB22" s="4">
        <f t="shared" si="44"/>
        <v>0</v>
      </c>
      <c r="BC22" s="4">
        <f t="shared" si="44"/>
        <v>0</v>
      </c>
      <c r="BD22" s="4">
        <f t="shared" si="44"/>
        <v>0</v>
      </c>
      <c r="BE22" s="4">
        <f t="shared" si="44"/>
        <v>0</v>
      </c>
      <c r="BF22" s="4">
        <f t="shared" si="44"/>
        <v>0</v>
      </c>
      <c r="BG22" s="4">
        <f t="shared" si="44"/>
        <v>0</v>
      </c>
      <c r="BH22" s="4">
        <f t="shared" si="45"/>
        <v>0</v>
      </c>
      <c r="BI22" s="4">
        <f t="shared" si="45"/>
        <v>0</v>
      </c>
      <c r="BJ22" s="4">
        <f t="shared" si="45"/>
        <v>0</v>
      </c>
      <c r="BK22" s="4">
        <f t="shared" si="45"/>
        <v>0</v>
      </c>
      <c r="BL22" s="4">
        <f t="shared" si="45"/>
        <v>0</v>
      </c>
      <c r="BM22" s="4">
        <f t="shared" si="45"/>
        <v>0</v>
      </c>
      <c r="BN22" s="4">
        <f t="shared" si="45"/>
        <v>0</v>
      </c>
    </row>
    <row r="23" spans="1:66" x14ac:dyDescent="0.2">
      <c r="A23" t="s">
        <v>37</v>
      </c>
      <c r="B23" t="s">
        <v>25</v>
      </c>
      <c r="D23">
        <f>H16/A31</f>
        <v>0</v>
      </c>
      <c r="G23" t="s">
        <v>77</v>
      </c>
      <c r="K23" t="s">
        <v>8</v>
      </c>
      <c r="Z23">
        <f t="shared" si="35"/>
        <v>0</v>
      </c>
      <c r="AA23">
        <f t="shared" si="36"/>
        <v>0</v>
      </c>
      <c r="AE23">
        <f t="shared" si="37"/>
        <v>0</v>
      </c>
      <c r="AF23">
        <f t="shared" si="38"/>
        <v>0</v>
      </c>
      <c r="AG23">
        <f t="shared" si="39"/>
        <v>0</v>
      </c>
      <c r="AK23">
        <f t="shared" si="40"/>
        <v>1</v>
      </c>
      <c r="AL23">
        <f t="shared" si="41"/>
        <v>0</v>
      </c>
      <c r="AM23">
        <f t="shared" si="42"/>
        <v>0</v>
      </c>
      <c r="AN23">
        <f t="shared" si="43"/>
        <v>0</v>
      </c>
      <c r="AP23">
        <f t="shared" si="46"/>
        <v>1</v>
      </c>
      <c r="AQ23" s="4">
        <f t="shared" si="47"/>
        <v>1</v>
      </c>
      <c r="AR23" s="4">
        <f t="shared" si="44"/>
        <v>0</v>
      </c>
      <c r="AS23" s="4">
        <f t="shared" si="44"/>
        <v>0</v>
      </c>
      <c r="AT23" s="4">
        <f t="shared" si="44"/>
        <v>0</v>
      </c>
      <c r="AU23" s="4">
        <f t="shared" si="44"/>
        <v>0</v>
      </c>
      <c r="AV23" s="4">
        <f t="shared" si="44"/>
        <v>0</v>
      </c>
      <c r="AW23" s="4">
        <f t="shared" si="44"/>
        <v>0</v>
      </c>
      <c r="AX23" s="4">
        <f t="shared" si="44"/>
        <v>0</v>
      </c>
      <c r="AY23" s="4">
        <f t="shared" si="44"/>
        <v>0</v>
      </c>
      <c r="AZ23" s="4">
        <f t="shared" si="44"/>
        <v>0</v>
      </c>
      <c r="BA23" s="4">
        <f t="shared" si="44"/>
        <v>0</v>
      </c>
      <c r="BB23" s="4">
        <f t="shared" si="44"/>
        <v>0</v>
      </c>
      <c r="BC23" s="4">
        <f t="shared" si="44"/>
        <v>0</v>
      </c>
      <c r="BD23" s="4">
        <f t="shared" si="44"/>
        <v>0</v>
      </c>
      <c r="BE23" s="4">
        <f t="shared" si="44"/>
        <v>0</v>
      </c>
      <c r="BF23" s="4">
        <f t="shared" si="44"/>
        <v>0</v>
      </c>
      <c r="BG23" s="4">
        <f t="shared" si="44"/>
        <v>0</v>
      </c>
      <c r="BH23" s="4">
        <f t="shared" si="45"/>
        <v>0</v>
      </c>
      <c r="BI23" s="4">
        <f t="shared" si="45"/>
        <v>0</v>
      </c>
      <c r="BJ23" s="4">
        <f t="shared" si="45"/>
        <v>0</v>
      </c>
      <c r="BK23" s="4">
        <f t="shared" si="45"/>
        <v>0</v>
      </c>
      <c r="BL23" s="4">
        <f t="shared" si="45"/>
        <v>0</v>
      </c>
      <c r="BM23" s="4">
        <f t="shared" si="45"/>
        <v>0</v>
      </c>
      <c r="BN23" s="4">
        <f t="shared" si="45"/>
        <v>0</v>
      </c>
    </row>
    <row r="24" spans="1:66" x14ac:dyDescent="0.2">
      <c r="A24" t="s">
        <v>38</v>
      </c>
      <c r="B24" t="s">
        <v>26</v>
      </c>
      <c r="D24" t="s">
        <v>50</v>
      </c>
      <c r="G24">
        <f>AM28/AP28</f>
        <v>0</v>
      </c>
      <c r="K24" t="s">
        <v>57</v>
      </c>
      <c r="L24" t="s">
        <v>61</v>
      </c>
      <c r="M24" t="s">
        <v>59</v>
      </c>
      <c r="N24" t="s">
        <v>60</v>
      </c>
      <c r="Z24">
        <f t="shared" si="35"/>
        <v>0</v>
      </c>
      <c r="AA24">
        <f t="shared" si="36"/>
        <v>0</v>
      </c>
      <c r="AE24">
        <f t="shared" si="37"/>
        <v>0</v>
      </c>
      <c r="AF24">
        <f t="shared" si="38"/>
        <v>0</v>
      </c>
      <c r="AG24">
        <f t="shared" si="39"/>
        <v>0</v>
      </c>
      <c r="AK24">
        <f t="shared" si="40"/>
        <v>0</v>
      </c>
      <c r="AL24">
        <f t="shared" si="41"/>
        <v>0</v>
      </c>
      <c r="AM24">
        <f t="shared" si="42"/>
        <v>0</v>
      </c>
      <c r="AN24">
        <f t="shared" si="43"/>
        <v>0</v>
      </c>
      <c r="AP24">
        <f t="shared" si="46"/>
        <v>0</v>
      </c>
      <c r="AQ24" s="4">
        <f t="shared" si="47"/>
        <v>0</v>
      </c>
      <c r="AR24" s="4">
        <f t="shared" si="44"/>
        <v>0</v>
      </c>
      <c r="AS24" s="4">
        <f t="shared" si="44"/>
        <v>0</v>
      </c>
      <c r="AT24" s="4">
        <f t="shared" si="44"/>
        <v>0</v>
      </c>
      <c r="AU24" s="4">
        <f t="shared" si="44"/>
        <v>0</v>
      </c>
      <c r="AV24" s="4">
        <f t="shared" si="44"/>
        <v>0</v>
      </c>
      <c r="AW24" s="4">
        <f t="shared" si="44"/>
        <v>0</v>
      </c>
      <c r="AX24" s="4">
        <f t="shared" si="44"/>
        <v>0</v>
      </c>
      <c r="AY24" s="4">
        <f t="shared" si="44"/>
        <v>0</v>
      </c>
      <c r="AZ24" s="4">
        <f t="shared" si="44"/>
        <v>0</v>
      </c>
      <c r="BA24" s="4">
        <f t="shared" si="44"/>
        <v>0</v>
      </c>
      <c r="BB24" s="4">
        <f t="shared" si="44"/>
        <v>0</v>
      </c>
      <c r="BC24" s="4">
        <f t="shared" si="44"/>
        <v>0</v>
      </c>
      <c r="BD24" s="4">
        <f t="shared" si="44"/>
        <v>0</v>
      </c>
      <c r="BE24" s="4">
        <f t="shared" si="44"/>
        <v>0</v>
      </c>
      <c r="BF24" s="4">
        <f t="shared" si="44"/>
        <v>0</v>
      </c>
      <c r="BG24" s="4">
        <f t="shared" si="44"/>
        <v>0</v>
      </c>
      <c r="BH24" s="4">
        <f t="shared" si="45"/>
        <v>0</v>
      </c>
      <c r="BI24" s="4">
        <f t="shared" si="45"/>
        <v>0</v>
      </c>
      <c r="BJ24" s="4">
        <f t="shared" si="45"/>
        <v>0</v>
      </c>
      <c r="BK24" s="4">
        <f t="shared" si="45"/>
        <v>0</v>
      </c>
      <c r="BL24" s="4">
        <f t="shared" si="45"/>
        <v>0</v>
      </c>
      <c r="BM24" s="4">
        <f t="shared" si="45"/>
        <v>0</v>
      </c>
      <c r="BN24" s="4">
        <f t="shared" si="45"/>
        <v>0</v>
      </c>
    </row>
    <row r="25" spans="1:66" x14ac:dyDescent="0.2">
      <c r="A25" t="s">
        <v>39</v>
      </c>
      <c r="B25" t="s">
        <v>27</v>
      </c>
      <c r="D25">
        <f>Z28/A31</f>
        <v>0</v>
      </c>
      <c r="G25" t="s">
        <v>78</v>
      </c>
      <c r="K25">
        <f>AVERAGE(E39:E50)</f>
        <v>0</v>
      </c>
      <c r="L25">
        <f>MEDIAN(E39:E50)</f>
        <v>0</v>
      </c>
      <c r="M25">
        <f>MAX(E39:E50)</f>
        <v>0</v>
      </c>
      <c r="N25">
        <f>_xlfn.STDEV.S(E39:E50)</f>
        <v>0</v>
      </c>
      <c r="Z25">
        <f t="shared" si="35"/>
        <v>0</v>
      </c>
      <c r="AA25">
        <f t="shared" si="36"/>
        <v>0</v>
      </c>
      <c r="AE25">
        <f t="shared" si="37"/>
        <v>0</v>
      </c>
      <c r="AF25">
        <f t="shared" si="38"/>
        <v>0</v>
      </c>
      <c r="AG25">
        <f t="shared" si="39"/>
        <v>0</v>
      </c>
      <c r="AK25">
        <f t="shared" si="40"/>
        <v>2</v>
      </c>
      <c r="AL25">
        <f t="shared" si="41"/>
        <v>0</v>
      </c>
      <c r="AM25">
        <f t="shared" si="42"/>
        <v>0</v>
      </c>
      <c r="AN25">
        <f t="shared" si="43"/>
        <v>0</v>
      </c>
      <c r="AP25">
        <f t="shared" si="46"/>
        <v>2</v>
      </c>
      <c r="AQ25" s="4">
        <f t="shared" si="47"/>
        <v>1</v>
      </c>
      <c r="AR25" s="4">
        <f t="shared" si="44"/>
        <v>2</v>
      </c>
      <c r="AS25" s="4">
        <f t="shared" si="44"/>
        <v>0</v>
      </c>
      <c r="AT25" s="4">
        <f t="shared" si="44"/>
        <v>0</v>
      </c>
      <c r="AU25" s="4">
        <f t="shared" si="44"/>
        <v>0</v>
      </c>
      <c r="AV25" s="4">
        <f t="shared" si="44"/>
        <v>0</v>
      </c>
      <c r="AW25" s="4">
        <f t="shared" si="44"/>
        <v>0</v>
      </c>
      <c r="AX25" s="4">
        <f t="shared" si="44"/>
        <v>0</v>
      </c>
      <c r="AY25" s="4">
        <f t="shared" si="44"/>
        <v>0</v>
      </c>
      <c r="AZ25" s="4">
        <f t="shared" si="44"/>
        <v>0</v>
      </c>
      <c r="BA25" s="4">
        <f t="shared" si="44"/>
        <v>0</v>
      </c>
      <c r="BB25" s="4">
        <f t="shared" si="44"/>
        <v>0</v>
      </c>
      <c r="BC25" s="4">
        <f t="shared" si="44"/>
        <v>0</v>
      </c>
      <c r="BD25" s="4">
        <f t="shared" si="44"/>
        <v>0</v>
      </c>
      <c r="BE25" s="4">
        <f t="shared" si="44"/>
        <v>0</v>
      </c>
      <c r="BF25" s="4">
        <f t="shared" si="44"/>
        <v>0</v>
      </c>
      <c r="BG25" s="4">
        <f t="shared" si="44"/>
        <v>0</v>
      </c>
      <c r="BH25" s="4">
        <f t="shared" si="45"/>
        <v>0</v>
      </c>
      <c r="BI25" s="4">
        <f t="shared" si="45"/>
        <v>0</v>
      </c>
      <c r="BJ25" s="4">
        <f t="shared" si="45"/>
        <v>0</v>
      </c>
      <c r="BK25" s="4">
        <f t="shared" si="45"/>
        <v>0</v>
      </c>
      <c r="BL25" s="4">
        <f t="shared" si="45"/>
        <v>0</v>
      </c>
      <c r="BM25" s="4">
        <f t="shared" si="45"/>
        <v>0</v>
      </c>
      <c r="BN25" s="4">
        <f t="shared" si="45"/>
        <v>0</v>
      </c>
    </row>
    <row r="26" spans="1:66" x14ac:dyDescent="0.2">
      <c r="A26" t="s">
        <v>44</v>
      </c>
      <c r="D26" t="s">
        <v>51</v>
      </c>
      <c r="G26">
        <f>AN28/AP28</f>
        <v>0</v>
      </c>
      <c r="K26" t="s">
        <v>62</v>
      </c>
      <c r="P26" t="s">
        <v>19</v>
      </c>
      <c r="Z26">
        <f t="shared" si="35"/>
        <v>0</v>
      </c>
      <c r="AA26">
        <f t="shared" si="36"/>
        <v>0</v>
      </c>
      <c r="AE26">
        <f t="shared" si="37"/>
        <v>1</v>
      </c>
      <c r="AF26">
        <f t="shared" si="38"/>
        <v>1</v>
      </c>
      <c r="AG26">
        <f t="shared" si="39"/>
        <v>0</v>
      </c>
      <c r="AK26">
        <f t="shared" si="40"/>
        <v>2</v>
      </c>
      <c r="AL26">
        <f t="shared" si="41"/>
        <v>2</v>
      </c>
      <c r="AM26">
        <f t="shared" si="42"/>
        <v>0</v>
      </c>
      <c r="AN26">
        <f t="shared" si="43"/>
        <v>0</v>
      </c>
      <c r="AP26">
        <f t="shared" si="46"/>
        <v>2</v>
      </c>
      <c r="AQ26" s="4">
        <f t="shared" si="47"/>
        <v>1</v>
      </c>
      <c r="AR26" s="4">
        <f t="shared" si="44"/>
        <v>1</v>
      </c>
      <c r="AS26" s="4">
        <f t="shared" si="44"/>
        <v>2</v>
      </c>
      <c r="AT26" s="4">
        <f t="shared" si="44"/>
        <v>2</v>
      </c>
      <c r="AU26" s="4">
        <f t="shared" si="44"/>
        <v>0</v>
      </c>
      <c r="AV26" s="4">
        <f t="shared" si="44"/>
        <v>0</v>
      </c>
      <c r="AW26" s="4">
        <f t="shared" si="44"/>
        <v>0</v>
      </c>
      <c r="AX26" s="4">
        <f t="shared" si="44"/>
        <v>0</v>
      </c>
      <c r="AY26" s="4">
        <f t="shared" si="44"/>
        <v>0</v>
      </c>
      <c r="AZ26" s="4">
        <f t="shared" si="44"/>
        <v>0</v>
      </c>
      <c r="BA26" s="4">
        <f t="shared" si="44"/>
        <v>0</v>
      </c>
      <c r="BB26" s="4">
        <f t="shared" si="44"/>
        <v>0</v>
      </c>
      <c r="BC26" s="4">
        <f t="shared" si="44"/>
        <v>0</v>
      </c>
      <c r="BD26" s="4">
        <f t="shared" si="44"/>
        <v>0</v>
      </c>
      <c r="BE26" s="4">
        <f t="shared" si="44"/>
        <v>0</v>
      </c>
      <c r="BF26" s="4">
        <f t="shared" si="44"/>
        <v>0</v>
      </c>
      <c r="BG26" s="4">
        <f t="shared" si="44"/>
        <v>0</v>
      </c>
      <c r="BH26" s="4">
        <f t="shared" si="45"/>
        <v>0</v>
      </c>
      <c r="BI26" s="4">
        <f t="shared" si="45"/>
        <v>0</v>
      </c>
      <c r="BJ26" s="4">
        <f t="shared" si="45"/>
        <v>0</v>
      </c>
      <c r="BK26" s="4">
        <f t="shared" si="45"/>
        <v>0</v>
      </c>
      <c r="BL26" s="4">
        <f t="shared" si="45"/>
        <v>0</v>
      </c>
      <c r="BM26" s="4">
        <f t="shared" si="45"/>
        <v>0</v>
      </c>
      <c r="BN26" s="4">
        <f t="shared" si="45"/>
        <v>0</v>
      </c>
    </row>
    <row r="27" spans="1:66" x14ac:dyDescent="0.2">
      <c r="A27" t="s">
        <v>45</v>
      </c>
      <c r="D27">
        <f>AA28/A31</f>
        <v>0</v>
      </c>
      <c r="G27" t="s">
        <v>56</v>
      </c>
      <c r="K27" t="s">
        <v>57</v>
      </c>
      <c r="L27" t="s">
        <v>58</v>
      </c>
      <c r="M27" t="s">
        <v>59</v>
      </c>
      <c r="N27" t="s">
        <v>60</v>
      </c>
      <c r="P27" t="s">
        <v>57</v>
      </c>
      <c r="Q27" t="s">
        <v>58</v>
      </c>
      <c r="R27" t="s">
        <v>59</v>
      </c>
      <c r="S27" t="s">
        <v>60</v>
      </c>
      <c r="Z27">
        <f t="shared" si="35"/>
        <v>0</v>
      </c>
      <c r="AA27">
        <f t="shared" si="36"/>
        <v>0</v>
      </c>
      <c r="AE27">
        <f t="shared" si="37"/>
        <v>0</v>
      </c>
      <c r="AF27">
        <f t="shared" si="38"/>
        <v>1</v>
      </c>
      <c r="AG27">
        <f t="shared" si="39"/>
        <v>0</v>
      </c>
      <c r="AK27">
        <f t="shared" si="40"/>
        <v>1</v>
      </c>
      <c r="AL27">
        <f t="shared" si="41"/>
        <v>0</v>
      </c>
      <c r="AM27">
        <f t="shared" si="42"/>
        <v>0</v>
      </c>
      <c r="AN27">
        <f t="shared" si="43"/>
        <v>0</v>
      </c>
      <c r="AP27">
        <f t="shared" si="46"/>
        <v>1</v>
      </c>
      <c r="AQ27" s="4">
        <f t="shared" si="47"/>
        <v>1</v>
      </c>
      <c r="AR27" s="4">
        <f t="shared" si="44"/>
        <v>0</v>
      </c>
      <c r="AS27" s="4">
        <f t="shared" si="44"/>
        <v>0</v>
      </c>
      <c r="AT27" s="4">
        <f t="shared" si="44"/>
        <v>0</v>
      </c>
      <c r="AU27" s="4">
        <f t="shared" si="44"/>
        <v>0</v>
      </c>
      <c r="AV27" s="4">
        <f t="shared" si="44"/>
        <v>0</v>
      </c>
      <c r="AW27" s="4">
        <f t="shared" si="44"/>
        <v>0</v>
      </c>
      <c r="AX27" s="4">
        <f t="shared" si="44"/>
        <v>0</v>
      </c>
      <c r="AY27" s="4">
        <f t="shared" si="44"/>
        <v>0</v>
      </c>
      <c r="AZ27" s="4">
        <f t="shared" si="44"/>
        <v>0</v>
      </c>
      <c r="BA27" s="4">
        <f t="shared" si="44"/>
        <v>0</v>
      </c>
      <c r="BB27" s="4">
        <f t="shared" si="44"/>
        <v>0</v>
      </c>
      <c r="BC27" s="4">
        <f t="shared" si="44"/>
        <v>0</v>
      </c>
      <c r="BD27" s="4">
        <f t="shared" si="44"/>
        <v>0</v>
      </c>
      <c r="BE27" s="4">
        <f t="shared" si="44"/>
        <v>0</v>
      </c>
      <c r="BF27" s="4">
        <f t="shared" si="44"/>
        <v>0</v>
      </c>
      <c r="BG27" s="4">
        <f t="shared" si="44"/>
        <v>0</v>
      </c>
      <c r="BH27" s="4">
        <f t="shared" si="45"/>
        <v>0</v>
      </c>
      <c r="BI27" s="4">
        <f t="shared" si="45"/>
        <v>0</v>
      </c>
      <c r="BJ27" s="4">
        <f t="shared" si="45"/>
        <v>0</v>
      </c>
      <c r="BK27" s="4">
        <f t="shared" si="45"/>
        <v>0</v>
      </c>
      <c r="BL27" s="4">
        <f t="shared" si="45"/>
        <v>0</v>
      </c>
      <c r="BM27" s="4">
        <f t="shared" si="45"/>
        <v>0</v>
      </c>
      <c r="BN27" s="4">
        <f t="shared" si="45"/>
        <v>0</v>
      </c>
    </row>
    <row r="28" spans="1:66" x14ac:dyDescent="0.2">
      <c r="A28" t="s">
        <v>46</v>
      </c>
      <c r="D28" t="s">
        <v>202</v>
      </c>
      <c r="G28" t="s">
        <v>57</v>
      </c>
      <c r="H28" t="s">
        <v>58</v>
      </c>
      <c r="I28" t="s">
        <v>59</v>
      </c>
      <c r="J28" t="s">
        <v>60</v>
      </c>
      <c r="K28">
        <f>AVERAGE(G39:G50)</f>
        <v>1.75</v>
      </c>
      <c r="L28">
        <f>MEDIAN(G39:G50)</f>
        <v>1.5</v>
      </c>
      <c r="M28">
        <f>MAX(G39:G50)</f>
        <v>4</v>
      </c>
      <c r="N28">
        <f>_xlfn.STDEV.S(G39:G50)</f>
        <v>0.96530729916342273</v>
      </c>
      <c r="P28">
        <f>AVERAGE(N39:N50)</f>
        <v>14.75</v>
      </c>
      <c r="Q28">
        <f>MEDIAN(N39:N50)</f>
        <v>9</v>
      </c>
      <c r="R28">
        <f>MAX(N39:N50)</f>
        <v>49</v>
      </c>
      <c r="S28">
        <f>_xlfn.STDEV.S(N39:N50)</f>
        <v>12.592385866791956</v>
      </c>
      <c r="Y28" t="s">
        <v>33</v>
      </c>
      <c r="Z28">
        <f>SUM(Z16:Z27)</f>
        <v>0</v>
      </c>
      <c r="AA28">
        <f>SUM(AA16:AA27)</f>
        <v>0</v>
      </c>
      <c r="AE28">
        <f>SUM(AE16:AE27)</f>
        <v>4</v>
      </c>
      <c r="AF28">
        <f>SUM(AF16:AF27)</f>
        <v>7</v>
      </c>
      <c r="AG28">
        <f>SUM(AG16:AG27)</f>
        <v>0</v>
      </c>
      <c r="AK28">
        <f>SUM(AK16:AK27)</f>
        <v>15</v>
      </c>
      <c r="AL28">
        <f>SUM(AL16:AL27)</f>
        <v>7</v>
      </c>
      <c r="AM28">
        <f>SUM(AM16:AM27)</f>
        <v>0</v>
      </c>
      <c r="AN28">
        <f>SUM(AN16:AN27)</f>
        <v>0</v>
      </c>
      <c r="AP28">
        <f>SUM(AP16:AP27)</f>
        <v>19</v>
      </c>
    </row>
    <row r="29" spans="1:66" x14ac:dyDescent="0.2">
      <c r="D29" t="e">
        <f>SUM(O39:O50)/F16</f>
        <v>#DIV/0!</v>
      </c>
      <c r="G29">
        <f>AVERAGE(A39:A50)</f>
        <v>0.91666666666666663</v>
      </c>
      <c r="H29">
        <f>MEDIAN(A39:A50)</f>
        <v>1</v>
      </c>
      <c r="I29">
        <f>MAX(A39:A50)</f>
        <v>3</v>
      </c>
      <c r="J29">
        <f>_xlfn.STDEV.S(A39:A50)</f>
        <v>0.99620491989562188</v>
      </c>
      <c r="K29" t="s">
        <v>63</v>
      </c>
      <c r="P29" t="s">
        <v>148</v>
      </c>
    </row>
    <row r="30" spans="1:66" x14ac:dyDescent="0.2">
      <c r="A30" t="s">
        <v>147</v>
      </c>
      <c r="D30" t="s">
        <v>203</v>
      </c>
      <c r="G30" t="s">
        <v>50</v>
      </c>
      <c r="H30" t="s">
        <v>51</v>
      </c>
      <c r="I30" t="s">
        <v>89</v>
      </c>
      <c r="K30" t="s">
        <v>57</v>
      </c>
      <c r="L30" t="s">
        <v>58</v>
      </c>
      <c r="M30" t="s">
        <v>59</v>
      </c>
      <c r="N30" t="s">
        <v>60</v>
      </c>
      <c r="P30" t="s">
        <v>57</v>
      </c>
      <c r="Q30" t="s">
        <v>58</v>
      </c>
      <c r="R30" t="s">
        <v>59</v>
      </c>
      <c r="S30" t="s">
        <v>60</v>
      </c>
      <c r="W30" t="s">
        <v>148</v>
      </c>
      <c r="Y30" t="s">
        <v>149</v>
      </c>
      <c r="AH30" t="s">
        <v>79</v>
      </c>
    </row>
    <row r="31" spans="1:66" x14ac:dyDescent="0.2">
      <c r="A31">
        <f>COUNT(B4:B15)</f>
        <v>12</v>
      </c>
      <c r="D31" s="2" t="e">
        <f>SUM(S39:S50)/SUM(Q39:Q50)</f>
        <v>#DIV/0!</v>
      </c>
      <c r="G31">
        <f>AE28/A31</f>
        <v>0.33333333333333331</v>
      </c>
      <c r="H31">
        <f>AF28/A31</f>
        <v>0.58333333333333337</v>
      </c>
      <c r="I31">
        <f>AG28/A31</f>
        <v>0</v>
      </c>
      <c r="K31" t="e">
        <f>AVERAGE(I39:I50)</f>
        <v>#DIV/0!</v>
      </c>
      <c r="L31" t="e">
        <f>MEDIAN(I39:I50)</f>
        <v>#NUM!</v>
      </c>
      <c r="M31">
        <f>MAX(I39:I50)</f>
        <v>0</v>
      </c>
      <c r="N31" t="e">
        <f>_xlfn.STDEV.S(I39:I50)</f>
        <v>#DIV/0!</v>
      </c>
      <c r="P31">
        <f>AVERAGE(W31:W42)</f>
        <v>14.75</v>
      </c>
      <c r="Q31">
        <f>MEDIAN(W31:W42)</f>
        <v>9</v>
      </c>
      <c r="R31">
        <f>MAX(W31:W42)</f>
        <v>49</v>
      </c>
      <c r="S31">
        <f>_xlfn.STDEV.S(W31:W42)</f>
        <v>12.592385866791956</v>
      </c>
      <c r="W31">
        <f t="shared" ref="W31:W33" si="48">IF(AND(ISBLANK(Q4), ISBLANK(R4), ISBLANK(G4), ISBLANK(H4)), "", U4)</f>
        <v>9</v>
      </c>
      <c r="Y31">
        <f t="shared" ref="Y31:Y42" si="49">IF(ISBLANK(Y4), IF(X4 = 0, "", (G4 + H4/3 + V4/9 + W4/3)), U4)</f>
        <v>9</v>
      </c>
      <c r="AH31" t="s">
        <v>80</v>
      </c>
    </row>
    <row r="32" spans="1:66" x14ac:dyDescent="0.2">
      <c r="D32" s="3"/>
      <c r="K32" t="s">
        <v>64</v>
      </c>
      <c r="P32" t="s">
        <v>149</v>
      </c>
      <c r="W32">
        <f t="shared" si="48"/>
        <v>7</v>
      </c>
      <c r="Y32">
        <f t="shared" si="49"/>
        <v>7</v>
      </c>
      <c r="AH32" t="s">
        <v>81</v>
      </c>
    </row>
    <row r="33" spans="1:34" x14ac:dyDescent="0.2">
      <c r="A33" t="s">
        <v>219</v>
      </c>
      <c r="D33" s="3"/>
      <c r="K33" t="s">
        <v>57</v>
      </c>
      <c r="L33" t="s">
        <v>58</v>
      </c>
      <c r="M33" t="s">
        <v>59</v>
      </c>
      <c r="N33" t="s">
        <v>60</v>
      </c>
      <c r="P33" t="s">
        <v>57</v>
      </c>
      <c r="Q33" t="s">
        <v>58</v>
      </c>
      <c r="R33" t="s">
        <v>59</v>
      </c>
      <c r="S33" t="s">
        <v>60</v>
      </c>
      <c r="W33">
        <f t="shared" si="48"/>
        <v>22</v>
      </c>
      <c r="Y33">
        <f t="shared" si="49"/>
        <v>22</v>
      </c>
      <c r="AH33" t="s">
        <v>82</v>
      </c>
    </row>
    <row r="34" spans="1:34" x14ac:dyDescent="0.2">
      <c r="D34" s="3"/>
      <c r="K34">
        <f>AVERAGE(K39:K50)</f>
        <v>1.75</v>
      </c>
      <c r="L34">
        <f>MEDIAN(K39:K50)</f>
        <v>1.5</v>
      </c>
      <c r="M34">
        <f>MAX(K39:K50)</f>
        <v>4</v>
      </c>
      <c r="N34">
        <f>_xlfn.STDEV.S(K39:K50)</f>
        <v>0.96530729916342273</v>
      </c>
      <c r="P34">
        <f>AVERAGE(Y31:Y42)</f>
        <v>12.083333333333334</v>
      </c>
      <c r="Q34">
        <f>MEDIAN(Y31:Y42)</f>
        <v>8</v>
      </c>
      <c r="R34">
        <f>MAX(Y31:Y42)</f>
        <v>49</v>
      </c>
      <c r="S34">
        <f>_xlfn.STDEV.S(Y31:Y42)</f>
        <v>12.759725939870576</v>
      </c>
      <c r="W34">
        <f>IF(AND(ISBLANK(Q7), ISBLANK(R7), ISBLANK(G7), ISBLANK(H7)), "", U7)</f>
        <v>9</v>
      </c>
      <c r="Y34">
        <f t="shared" si="49"/>
        <v>9</v>
      </c>
      <c r="AH34" t="s">
        <v>83</v>
      </c>
    </row>
    <row r="35" spans="1:34" x14ac:dyDescent="0.2">
      <c r="P35" t="s">
        <v>95</v>
      </c>
      <c r="R35" t="s">
        <v>197</v>
      </c>
      <c r="W35">
        <f t="shared" ref="W35:W42" si="50">IF(AND(ISBLANK(Q8), ISBLANK(R8), ISBLANK(G8), ISBLANK(H8)), "", U8)</f>
        <v>27</v>
      </c>
      <c r="Y35">
        <f t="shared" si="49"/>
        <v>7</v>
      </c>
    </row>
    <row r="36" spans="1:34" x14ac:dyDescent="0.2">
      <c r="P36">
        <f>Q16/(Q16+R16)</f>
        <v>0</v>
      </c>
      <c r="R36">
        <f>R16/(Q16+R16)</f>
        <v>1</v>
      </c>
      <c r="W36">
        <f t="shared" si="50"/>
        <v>14</v>
      </c>
      <c r="Y36">
        <f t="shared" si="49"/>
        <v>14</v>
      </c>
    </row>
    <row r="37" spans="1:34" x14ac:dyDescent="0.2">
      <c r="W37">
        <f t="shared" si="50"/>
        <v>49</v>
      </c>
      <c r="Y37">
        <f t="shared" si="49"/>
        <v>49</v>
      </c>
    </row>
    <row r="38" spans="1:34" x14ac:dyDescent="0.2">
      <c r="A38" t="s">
        <v>68</v>
      </c>
      <c r="C38" t="s">
        <v>69</v>
      </c>
      <c r="E38" t="s">
        <v>72</v>
      </c>
      <c r="G38" t="s">
        <v>250</v>
      </c>
      <c r="K38" t="s">
        <v>73</v>
      </c>
      <c r="M38" t="s">
        <v>70</v>
      </c>
      <c r="N38" t="s">
        <v>71</v>
      </c>
      <c r="O38" t="s">
        <v>199</v>
      </c>
      <c r="Q38" t="s">
        <v>200</v>
      </c>
      <c r="S38" t="s">
        <v>201</v>
      </c>
      <c r="W38">
        <f t="shared" si="50"/>
        <v>5</v>
      </c>
      <c r="Y38">
        <f t="shared" si="49"/>
        <v>5</v>
      </c>
    </row>
    <row r="39" spans="1:34" x14ac:dyDescent="0.2">
      <c r="A39">
        <f t="shared" ref="A39:A50" si="51">IF(ISBLANK(B4), "", SUM(AE16+AF16+AG16))</f>
        <v>0</v>
      </c>
      <c r="C39">
        <f t="shared" ref="C39:C50" si="52">IF(ISBLANK(B4), "", O4)</f>
        <v>1</v>
      </c>
      <c r="E39">
        <f t="shared" ref="E39:E50" si="53">IF(ISBLANK(B4), "", Q4)</f>
        <v>0</v>
      </c>
      <c r="G39">
        <f t="shared" ref="G39:G50" si="54">IF(ISBLANK(B4), "", R4)</f>
        <v>1</v>
      </c>
      <c r="K39">
        <f t="shared" ref="K39:K50" si="55">IF(ISBLANK(B4), "", SUM(Q4 + R4))</f>
        <v>1</v>
      </c>
      <c r="M39">
        <f t="shared" ref="M39:M50" si="56">IF(ISBLANK(B4), "", SUM(K4+M4) - O4)</f>
        <v>-1</v>
      </c>
      <c r="N39">
        <f t="shared" ref="N39:N50" si="57">IF(ISBLANK(B4), "", U4)</f>
        <v>9</v>
      </c>
      <c r="O39">
        <f t="shared" ref="O39:O50" si="58">COUNTIF(E4, "1")*COUNTIF(F4, "1")</f>
        <v>0</v>
      </c>
      <c r="Q39">
        <f t="shared" ref="Q39:Q50" si="59">COUNTIF(D4, "1")*COUNTIF(F4, "")</f>
        <v>0</v>
      </c>
      <c r="S39">
        <f t="shared" ref="S39:S50" si="60">COUNTIF(E4, "1")*COUNTIF(F4, "")</f>
        <v>0</v>
      </c>
      <c r="W39">
        <f t="shared" si="50"/>
        <v>8</v>
      </c>
      <c r="Y39">
        <f t="shared" si="49"/>
        <v>8</v>
      </c>
    </row>
    <row r="40" spans="1:34" x14ac:dyDescent="0.2">
      <c r="A40">
        <f t="shared" si="51"/>
        <v>1</v>
      </c>
      <c r="C40">
        <f t="shared" si="52"/>
        <v>1</v>
      </c>
      <c r="E40">
        <f t="shared" si="53"/>
        <v>0</v>
      </c>
      <c r="G40">
        <f t="shared" si="54"/>
        <v>2</v>
      </c>
      <c r="K40">
        <f t="shared" si="55"/>
        <v>2</v>
      </c>
      <c r="M40">
        <f t="shared" si="56"/>
        <v>-1</v>
      </c>
      <c r="N40">
        <f t="shared" si="57"/>
        <v>7</v>
      </c>
      <c r="O40">
        <f t="shared" si="58"/>
        <v>0</v>
      </c>
      <c r="Q40">
        <f t="shared" si="59"/>
        <v>0</v>
      </c>
      <c r="S40">
        <f t="shared" si="60"/>
        <v>0</v>
      </c>
      <c r="W40">
        <f t="shared" si="50"/>
        <v>8</v>
      </c>
      <c r="Y40">
        <f t="shared" si="49"/>
        <v>8</v>
      </c>
    </row>
    <row r="41" spans="1:34" x14ac:dyDescent="0.2">
      <c r="A41">
        <f t="shared" si="51"/>
        <v>3</v>
      </c>
      <c r="C41">
        <f t="shared" si="52"/>
        <v>2</v>
      </c>
      <c r="E41">
        <f t="shared" si="53"/>
        <v>0</v>
      </c>
      <c r="G41">
        <f t="shared" si="54"/>
        <v>3</v>
      </c>
      <c r="K41">
        <f t="shared" si="55"/>
        <v>3</v>
      </c>
      <c r="M41">
        <f t="shared" si="56"/>
        <v>-1</v>
      </c>
      <c r="N41">
        <f t="shared" si="57"/>
        <v>22</v>
      </c>
      <c r="O41">
        <f t="shared" si="58"/>
        <v>0</v>
      </c>
      <c r="Q41">
        <f t="shared" si="59"/>
        <v>0</v>
      </c>
      <c r="S41">
        <f t="shared" si="60"/>
        <v>0</v>
      </c>
      <c r="W41">
        <f t="shared" si="50"/>
        <v>9</v>
      </c>
      <c r="Y41">
        <f t="shared" si="49"/>
        <v>0</v>
      </c>
    </row>
    <row r="42" spans="1:34" x14ac:dyDescent="0.2">
      <c r="A42">
        <f t="shared" si="51"/>
        <v>1</v>
      </c>
      <c r="C42">
        <f t="shared" si="52"/>
        <v>3</v>
      </c>
      <c r="E42">
        <f t="shared" si="53"/>
        <v>0</v>
      </c>
      <c r="G42">
        <f t="shared" si="54"/>
        <v>1</v>
      </c>
      <c r="K42">
        <f t="shared" si="55"/>
        <v>1</v>
      </c>
      <c r="M42">
        <f t="shared" si="56"/>
        <v>0</v>
      </c>
      <c r="N42">
        <f t="shared" si="57"/>
        <v>9</v>
      </c>
      <c r="O42">
        <f t="shared" si="58"/>
        <v>0</v>
      </c>
      <c r="Q42">
        <f t="shared" si="59"/>
        <v>0</v>
      </c>
      <c r="S42">
        <f t="shared" si="60"/>
        <v>0</v>
      </c>
      <c r="W42">
        <f t="shared" si="50"/>
        <v>10</v>
      </c>
      <c r="Y42">
        <f t="shared" si="49"/>
        <v>7</v>
      </c>
    </row>
    <row r="43" spans="1:34" x14ac:dyDescent="0.2">
      <c r="A43">
        <f t="shared" si="51"/>
        <v>1</v>
      </c>
      <c r="C43">
        <f t="shared" si="52"/>
        <v>0</v>
      </c>
      <c r="E43">
        <f t="shared" si="53"/>
        <v>0</v>
      </c>
      <c r="G43">
        <f t="shared" si="54"/>
        <v>4</v>
      </c>
      <c r="K43">
        <f t="shared" si="55"/>
        <v>4</v>
      </c>
      <c r="M43">
        <f t="shared" si="56"/>
        <v>0</v>
      </c>
      <c r="N43">
        <f t="shared" si="57"/>
        <v>27</v>
      </c>
      <c r="O43">
        <f t="shared" si="58"/>
        <v>0</v>
      </c>
      <c r="Q43">
        <f t="shared" si="59"/>
        <v>0</v>
      </c>
      <c r="S43">
        <f t="shared" si="60"/>
        <v>0</v>
      </c>
    </row>
    <row r="44" spans="1:34" x14ac:dyDescent="0.2">
      <c r="A44">
        <f t="shared" si="51"/>
        <v>2</v>
      </c>
      <c r="C44">
        <f t="shared" si="52"/>
        <v>3</v>
      </c>
      <c r="E44">
        <f t="shared" si="53"/>
        <v>0</v>
      </c>
      <c r="G44">
        <f t="shared" si="54"/>
        <v>2</v>
      </c>
      <c r="K44">
        <f t="shared" si="55"/>
        <v>2</v>
      </c>
      <c r="M44">
        <f t="shared" si="56"/>
        <v>0</v>
      </c>
      <c r="N44">
        <f t="shared" si="57"/>
        <v>14</v>
      </c>
      <c r="O44">
        <f t="shared" si="58"/>
        <v>0</v>
      </c>
      <c r="Q44">
        <f t="shared" si="59"/>
        <v>0</v>
      </c>
      <c r="S44">
        <f t="shared" si="60"/>
        <v>0</v>
      </c>
    </row>
    <row r="45" spans="1:34" x14ac:dyDescent="0.2">
      <c r="A45">
        <f t="shared" si="51"/>
        <v>0</v>
      </c>
      <c r="C45">
        <f t="shared" si="52"/>
        <v>4</v>
      </c>
      <c r="E45">
        <f t="shared" si="53"/>
        <v>0</v>
      </c>
      <c r="G45">
        <f t="shared" si="54"/>
        <v>2</v>
      </c>
      <c r="K45">
        <f t="shared" si="55"/>
        <v>2</v>
      </c>
      <c r="M45">
        <f t="shared" si="56"/>
        <v>-1</v>
      </c>
      <c r="N45">
        <f t="shared" si="57"/>
        <v>49</v>
      </c>
      <c r="O45">
        <f t="shared" si="58"/>
        <v>0</v>
      </c>
      <c r="Q45">
        <f t="shared" si="59"/>
        <v>0</v>
      </c>
      <c r="S45">
        <f t="shared" si="60"/>
        <v>0</v>
      </c>
    </row>
    <row r="46" spans="1:34" x14ac:dyDescent="0.2">
      <c r="A46">
        <f t="shared" si="51"/>
        <v>0</v>
      </c>
      <c r="C46">
        <f t="shared" si="52"/>
        <v>4</v>
      </c>
      <c r="E46">
        <f t="shared" si="53"/>
        <v>0</v>
      </c>
      <c r="G46">
        <f t="shared" si="54"/>
        <v>1</v>
      </c>
      <c r="K46">
        <f t="shared" si="55"/>
        <v>1</v>
      </c>
      <c r="M46">
        <f t="shared" si="56"/>
        <v>0</v>
      </c>
      <c r="N46">
        <f t="shared" si="57"/>
        <v>5</v>
      </c>
      <c r="O46">
        <f t="shared" si="58"/>
        <v>0</v>
      </c>
      <c r="Q46">
        <f t="shared" si="59"/>
        <v>0</v>
      </c>
      <c r="S46">
        <f t="shared" si="60"/>
        <v>0</v>
      </c>
    </row>
    <row r="47" spans="1:34" x14ac:dyDescent="0.2">
      <c r="A47">
        <f t="shared" si="51"/>
        <v>0</v>
      </c>
      <c r="C47">
        <f t="shared" si="52"/>
        <v>2</v>
      </c>
      <c r="E47">
        <f t="shared" si="53"/>
        <v>0</v>
      </c>
      <c r="G47">
        <f t="shared" si="54"/>
        <v>1</v>
      </c>
      <c r="K47">
        <f t="shared" si="55"/>
        <v>1</v>
      </c>
      <c r="M47">
        <f t="shared" si="56"/>
        <v>1</v>
      </c>
      <c r="N47">
        <f t="shared" si="57"/>
        <v>8</v>
      </c>
      <c r="O47">
        <f t="shared" si="58"/>
        <v>0</v>
      </c>
      <c r="Q47">
        <f t="shared" si="59"/>
        <v>0</v>
      </c>
      <c r="S47">
        <f t="shared" si="60"/>
        <v>0</v>
      </c>
    </row>
    <row r="48" spans="1:34" x14ac:dyDescent="0.2">
      <c r="A48">
        <f t="shared" si="51"/>
        <v>0</v>
      </c>
      <c r="C48">
        <f t="shared" si="52"/>
        <v>2</v>
      </c>
      <c r="E48">
        <f t="shared" si="53"/>
        <v>0</v>
      </c>
      <c r="G48">
        <f t="shared" si="54"/>
        <v>1</v>
      </c>
      <c r="K48">
        <f t="shared" si="55"/>
        <v>1</v>
      </c>
      <c r="M48">
        <f t="shared" si="56"/>
        <v>0</v>
      </c>
      <c r="N48">
        <f t="shared" si="57"/>
        <v>8</v>
      </c>
      <c r="O48">
        <f t="shared" si="58"/>
        <v>0</v>
      </c>
      <c r="Q48">
        <f t="shared" si="59"/>
        <v>0</v>
      </c>
      <c r="S48">
        <f t="shared" si="60"/>
        <v>0</v>
      </c>
    </row>
    <row r="49" spans="1:19" x14ac:dyDescent="0.2">
      <c r="A49">
        <f t="shared" si="51"/>
        <v>2</v>
      </c>
      <c r="C49">
        <f t="shared" si="52"/>
        <v>3</v>
      </c>
      <c r="E49">
        <f t="shared" si="53"/>
        <v>0</v>
      </c>
      <c r="G49">
        <f t="shared" si="54"/>
        <v>2</v>
      </c>
      <c r="K49">
        <f t="shared" si="55"/>
        <v>2</v>
      </c>
      <c r="M49">
        <f t="shared" si="56"/>
        <v>-1</v>
      </c>
      <c r="N49">
        <f t="shared" si="57"/>
        <v>9</v>
      </c>
      <c r="O49">
        <f t="shared" si="58"/>
        <v>0</v>
      </c>
      <c r="Q49">
        <f t="shared" si="59"/>
        <v>0</v>
      </c>
      <c r="S49">
        <f t="shared" si="60"/>
        <v>0</v>
      </c>
    </row>
    <row r="50" spans="1:19" x14ac:dyDescent="0.2">
      <c r="A50">
        <f t="shared" si="51"/>
        <v>1</v>
      </c>
      <c r="C50">
        <f t="shared" si="52"/>
        <v>2</v>
      </c>
      <c r="E50">
        <f t="shared" si="53"/>
        <v>0</v>
      </c>
      <c r="G50">
        <f t="shared" si="54"/>
        <v>1</v>
      </c>
      <c r="K50">
        <f t="shared" si="55"/>
        <v>1</v>
      </c>
      <c r="M50">
        <f t="shared" si="56"/>
        <v>-1</v>
      </c>
      <c r="N50">
        <f t="shared" si="57"/>
        <v>10</v>
      </c>
      <c r="O50">
        <f t="shared" si="58"/>
        <v>0</v>
      </c>
      <c r="Q50">
        <f t="shared" si="59"/>
        <v>0</v>
      </c>
      <c r="S50">
        <f t="shared" si="60"/>
        <v>0</v>
      </c>
    </row>
  </sheetData>
  <pageMargins left="0.7" right="0.7" top="0.75" bottom="0.75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 enableFormatConditionsCalculation="0"/>
  <dimension ref="A1:BN50"/>
  <sheetViews>
    <sheetView topLeftCell="C1" workbookViewId="0">
      <selection activeCell="U15" sqref="U15"/>
    </sheetView>
  </sheetViews>
  <sheetFormatPr baseColWidth="10" defaultColWidth="11.5" defaultRowHeight="15" x14ac:dyDescent="0.2"/>
  <sheetData>
    <row r="1" spans="1:66" x14ac:dyDescent="0.2">
      <c r="A1" s="1" t="s">
        <v>0</v>
      </c>
      <c r="D1" t="s">
        <v>3</v>
      </c>
      <c r="K1" t="s">
        <v>11</v>
      </c>
      <c r="N1" t="s">
        <v>12</v>
      </c>
      <c r="P1" t="s">
        <v>14</v>
      </c>
      <c r="Q1" t="s">
        <v>17</v>
      </c>
      <c r="S1" t="s">
        <v>18</v>
      </c>
      <c r="Z1" t="s">
        <v>29</v>
      </c>
      <c r="AE1" t="s">
        <v>30</v>
      </c>
      <c r="AK1" t="s">
        <v>42</v>
      </c>
    </row>
    <row r="2" spans="1:66" x14ac:dyDescent="0.2">
      <c r="A2" t="s">
        <v>1</v>
      </c>
      <c r="B2" t="s">
        <v>1</v>
      </c>
      <c r="C2" t="s">
        <v>87</v>
      </c>
      <c r="D2" t="s">
        <v>54</v>
      </c>
      <c r="E2" t="s">
        <v>13</v>
      </c>
      <c r="F2" t="s">
        <v>198</v>
      </c>
      <c r="G2" t="s">
        <v>7</v>
      </c>
      <c r="H2" t="s">
        <v>8</v>
      </c>
      <c r="I2" t="s">
        <v>179</v>
      </c>
      <c r="J2" t="s">
        <v>178</v>
      </c>
      <c r="K2" t="s">
        <v>9</v>
      </c>
      <c r="L2" t="s">
        <v>196</v>
      </c>
      <c r="M2" t="s">
        <v>10</v>
      </c>
      <c r="N2" t="s">
        <v>54</v>
      </c>
      <c r="O2" t="s">
        <v>13</v>
      </c>
      <c r="P2" t="s">
        <v>15</v>
      </c>
      <c r="Q2" t="s">
        <v>8</v>
      </c>
      <c r="R2" t="s">
        <v>7</v>
      </c>
      <c r="S2" t="s">
        <v>181</v>
      </c>
      <c r="T2" t="s">
        <v>182</v>
      </c>
      <c r="U2" t="s">
        <v>19</v>
      </c>
      <c r="V2" t="s">
        <v>191</v>
      </c>
      <c r="W2" t="s">
        <v>192</v>
      </c>
      <c r="X2" t="s">
        <v>175</v>
      </c>
      <c r="Y2" t="s">
        <v>173</v>
      </c>
      <c r="Z2" t="str">
        <f t="shared" ref="Z2:Z13" si="0">LEFT(I4, 1)</f>
        <v/>
      </c>
      <c r="AA2" t="str">
        <f t="shared" ref="AA2:AA13" si="1">MID(I4, 4, 1)</f>
        <v/>
      </c>
      <c r="AB2" t="str">
        <f t="shared" ref="AB2:AB13" si="2">MID(I4, 7, 1)</f>
        <v/>
      </c>
      <c r="AC2" t="str">
        <f t="shared" ref="AC2:AC13" si="3">MID(I4, 10, 1)</f>
        <v/>
      </c>
      <c r="AE2" t="str">
        <f t="shared" ref="AE2:AE13" si="4">LEFT(J4, 1)</f>
        <v/>
      </c>
      <c r="AF2" t="str">
        <f t="shared" ref="AF2:AF13" si="5">MID(J4, 4, 1)</f>
        <v/>
      </c>
      <c r="AG2" t="str">
        <f t="shared" ref="AG2:AG13" si="6">MID(J4, 7, 1)</f>
        <v/>
      </c>
      <c r="AH2" t="str">
        <f t="shared" ref="AH2:AH13" si="7">MID(J4, 10, 1)</f>
        <v/>
      </c>
      <c r="AI2" t="str">
        <f t="shared" ref="AI2:AI13" si="8">MID(J4, 13, 1)</f>
        <v/>
      </c>
      <c r="AK2" t="str">
        <f t="shared" ref="AK2:AK13" si="9">LEFT(P4, 2)</f>
        <v/>
      </c>
      <c r="AL2" t="str">
        <f>MID($P4, 5, 2)</f>
        <v/>
      </c>
      <c r="AM2" t="str">
        <f t="shared" ref="AM2:AM13" si="10">MID($P4, 9, 2)</f>
        <v/>
      </c>
      <c r="AN2" t="str">
        <f t="shared" ref="AN2:AN13" si="11">MID($P4, 13, 2)</f>
        <v/>
      </c>
      <c r="AO2" t="str">
        <f t="shared" ref="AO2:AO13" si="12">MID($P4, 17, 2)</f>
        <v/>
      </c>
      <c r="AP2" t="str">
        <f t="shared" ref="AP2:AP13" si="13">MID($P4, 21, 2)</f>
        <v/>
      </c>
      <c r="AQ2" t="str">
        <f t="shared" ref="AQ2:AQ13" si="14">MID($P4, 25, 2)</f>
        <v/>
      </c>
      <c r="AR2" t="str">
        <f t="shared" ref="AR2:AR13" si="15">MID($P4, 29, 2)</f>
        <v/>
      </c>
      <c r="AS2" t="str">
        <f t="shared" ref="AS2:AS13" si="16">MID($P4, 33, 2)</f>
        <v/>
      </c>
      <c r="AT2" t="str">
        <f t="shared" ref="AT2:AT13" si="17">MID($P4, 37, 2)</f>
        <v/>
      </c>
      <c r="AU2" t="str">
        <f t="shared" ref="AU2:AU13" si="18">MID($P4, 41, 2)</f>
        <v/>
      </c>
      <c r="AV2" t="str">
        <f t="shared" ref="AV2:AV13" si="19">MID($P4, 45, 2)</f>
        <v/>
      </c>
      <c r="AW2" t="str">
        <f t="shared" ref="AW2:AW13" si="20">MID($P4, 49, 2)</f>
        <v/>
      </c>
      <c r="AX2" t="str">
        <f t="shared" ref="AX2:AX13" si="21">MID($P4, 53, 2)</f>
        <v/>
      </c>
      <c r="AY2" t="str">
        <f t="shared" ref="AY2:AY13" si="22">MID($P4, 57, 2)</f>
        <v/>
      </c>
      <c r="AZ2" t="str">
        <f t="shared" ref="AZ2:AZ13" si="23">MID($P4, 61, 2)</f>
        <v/>
      </c>
      <c r="BA2" t="str">
        <f t="shared" ref="BA2:BA13" si="24">MID($P4, 65, 2)</f>
        <v/>
      </c>
      <c r="BB2" t="str">
        <f t="shared" ref="BB2:BB13" si="25">MID($P4, 69, 2)</f>
        <v/>
      </c>
      <c r="BC2" t="str">
        <f t="shared" ref="BC2:BC13" si="26">MID($P4, 73, 2)</f>
        <v/>
      </c>
      <c r="BD2" t="str">
        <f t="shared" ref="BD2:BD13" si="27">MID($P4, 77, 2)</f>
        <v/>
      </c>
      <c r="BE2" t="str">
        <f t="shared" ref="BE2:BE13" si="28">MID($P4, 81, 2)</f>
        <v/>
      </c>
      <c r="BF2" t="str">
        <f t="shared" ref="BF2:BF13" si="29">MID($P4, 85, 2)</f>
        <v/>
      </c>
      <c r="BG2" t="str">
        <f t="shared" ref="BG2:BG13" si="30">MID($P4, 89, 2)</f>
        <v/>
      </c>
      <c r="BH2" t="str">
        <f t="shared" ref="BH2:BH13" si="31">MID($P4, 93, 2)</f>
        <v/>
      </c>
    </row>
    <row r="3" spans="1:66" x14ac:dyDescent="0.2">
      <c r="A3" t="s">
        <v>2</v>
      </c>
      <c r="B3" t="s">
        <v>6</v>
      </c>
      <c r="C3" t="s">
        <v>88</v>
      </c>
      <c r="D3" t="s">
        <v>6</v>
      </c>
      <c r="E3" t="s">
        <v>6</v>
      </c>
      <c r="F3" t="s">
        <v>4</v>
      </c>
      <c r="G3" t="s">
        <v>6</v>
      </c>
      <c r="H3" t="s">
        <v>6</v>
      </c>
      <c r="I3" t="s">
        <v>86</v>
      </c>
      <c r="J3" t="s">
        <v>86</v>
      </c>
      <c r="K3" t="s">
        <v>6</v>
      </c>
      <c r="L3" t="s">
        <v>6</v>
      </c>
      <c r="M3" t="s">
        <v>6</v>
      </c>
      <c r="N3" t="s">
        <v>6</v>
      </c>
      <c r="O3" t="s">
        <v>6</v>
      </c>
      <c r="P3" t="s">
        <v>16</v>
      </c>
      <c r="Q3" t="s">
        <v>6</v>
      </c>
      <c r="R3" t="s">
        <v>6</v>
      </c>
      <c r="S3" t="s">
        <v>4</v>
      </c>
      <c r="T3" t="s">
        <v>4</v>
      </c>
      <c r="U3" t="s">
        <v>6</v>
      </c>
      <c r="V3" t="s">
        <v>6</v>
      </c>
      <c r="W3" t="s">
        <v>6</v>
      </c>
      <c r="X3" t="s">
        <v>6</v>
      </c>
      <c r="Y3" t="s">
        <v>174</v>
      </c>
      <c r="Z3" t="str">
        <f t="shared" si="0"/>
        <v/>
      </c>
      <c r="AA3" t="str">
        <f t="shared" si="1"/>
        <v/>
      </c>
      <c r="AB3" t="str">
        <f t="shared" si="2"/>
        <v/>
      </c>
      <c r="AC3" t="str">
        <f t="shared" si="3"/>
        <v/>
      </c>
      <c r="AE3" t="str">
        <f t="shared" si="4"/>
        <v/>
      </c>
      <c r="AF3" t="str">
        <f t="shared" si="5"/>
        <v/>
      </c>
      <c r="AG3" t="str">
        <f t="shared" si="6"/>
        <v/>
      </c>
      <c r="AH3" t="str">
        <f t="shared" si="7"/>
        <v/>
      </c>
      <c r="AI3" t="str">
        <f t="shared" si="8"/>
        <v/>
      </c>
      <c r="AK3" t="str">
        <f t="shared" si="9"/>
        <v/>
      </c>
      <c r="AL3" t="str">
        <f t="shared" ref="AL3:AL13" si="32">MID(P5, 5, 2)</f>
        <v/>
      </c>
      <c r="AM3" t="str">
        <f t="shared" si="10"/>
        <v/>
      </c>
      <c r="AN3" t="str">
        <f t="shared" si="11"/>
        <v/>
      </c>
      <c r="AO3" t="str">
        <f t="shared" si="12"/>
        <v/>
      </c>
      <c r="AP3" t="str">
        <f t="shared" si="13"/>
        <v/>
      </c>
      <c r="AQ3" t="str">
        <f t="shared" si="14"/>
        <v/>
      </c>
      <c r="AR3" t="str">
        <f t="shared" si="15"/>
        <v/>
      </c>
      <c r="AS3" t="str">
        <f t="shared" si="16"/>
        <v/>
      </c>
      <c r="AT3" t="str">
        <f t="shared" si="17"/>
        <v/>
      </c>
      <c r="AU3" t="str">
        <f t="shared" si="18"/>
        <v/>
      </c>
      <c r="AV3" t="str">
        <f t="shared" si="19"/>
        <v/>
      </c>
      <c r="AW3" t="str">
        <f t="shared" si="20"/>
        <v/>
      </c>
      <c r="AX3" t="str">
        <f t="shared" si="21"/>
        <v/>
      </c>
      <c r="AY3" t="str">
        <f t="shared" si="22"/>
        <v/>
      </c>
      <c r="AZ3" t="str">
        <f t="shared" si="23"/>
        <v/>
      </c>
      <c r="BA3" t="str">
        <f t="shared" si="24"/>
        <v/>
      </c>
      <c r="BB3" t="str">
        <f t="shared" si="25"/>
        <v/>
      </c>
      <c r="BC3" t="str">
        <f t="shared" si="26"/>
        <v/>
      </c>
      <c r="BD3" t="str">
        <f t="shared" si="27"/>
        <v/>
      </c>
      <c r="BE3" t="str">
        <f t="shared" si="28"/>
        <v/>
      </c>
      <c r="BF3" t="str">
        <f t="shared" si="29"/>
        <v/>
      </c>
      <c r="BG3" t="str">
        <f t="shared" si="30"/>
        <v/>
      </c>
      <c r="BH3" t="str">
        <f t="shared" si="31"/>
        <v/>
      </c>
    </row>
    <row r="4" spans="1:66" x14ac:dyDescent="0.2">
      <c r="A4">
        <v>1</v>
      </c>
      <c r="B4">
        <v>8</v>
      </c>
      <c r="C4" t="s">
        <v>207</v>
      </c>
      <c r="D4">
        <v>1</v>
      </c>
      <c r="E4">
        <v>1</v>
      </c>
      <c r="K4">
        <v>4</v>
      </c>
      <c r="N4">
        <v>4</v>
      </c>
      <c r="O4">
        <v>4</v>
      </c>
      <c r="S4">
        <v>1</v>
      </c>
      <c r="U4">
        <v>23</v>
      </c>
      <c r="X4">
        <f t="shared" ref="X4:X15" si="33">G4+H4+Q4+R4</f>
        <v>0</v>
      </c>
      <c r="Z4" t="str">
        <f t="shared" si="0"/>
        <v/>
      </c>
      <c r="AA4" t="str">
        <f t="shared" si="1"/>
        <v/>
      </c>
      <c r="AB4" t="str">
        <f t="shared" si="2"/>
        <v/>
      </c>
      <c r="AC4" t="str">
        <f t="shared" si="3"/>
        <v/>
      </c>
      <c r="AE4" t="str">
        <f t="shared" si="4"/>
        <v/>
      </c>
      <c r="AF4" t="str">
        <f t="shared" si="5"/>
        <v/>
      </c>
      <c r="AG4" t="str">
        <f t="shared" si="6"/>
        <v/>
      </c>
      <c r="AH4" t="str">
        <f t="shared" si="7"/>
        <v/>
      </c>
      <c r="AI4" t="str">
        <f t="shared" si="8"/>
        <v/>
      </c>
      <c r="AK4" t="str">
        <f t="shared" si="9"/>
        <v/>
      </c>
      <c r="AL4" t="str">
        <f t="shared" si="32"/>
        <v/>
      </c>
      <c r="AM4" t="str">
        <f t="shared" si="10"/>
        <v/>
      </c>
      <c r="AN4" t="str">
        <f t="shared" si="11"/>
        <v/>
      </c>
      <c r="AO4" t="str">
        <f t="shared" si="12"/>
        <v/>
      </c>
      <c r="AP4" t="str">
        <f t="shared" si="13"/>
        <v/>
      </c>
      <c r="AQ4" t="str">
        <f t="shared" si="14"/>
        <v/>
      </c>
      <c r="AR4" t="str">
        <f t="shared" si="15"/>
        <v/>
      </c>
      <c r="AS4" t="str">
        <f t="shared" si="16"/>
        <v/>
      </c>
      <c r="AT4" t="str">
        <f t="shared" si="17"/>
        <v/>
      </c>
      <c r="AU4" t="str">
        <f t="shared" si="18"/>
        <v/>
      </c>
      <c r="AV4" t="str">
        <f t="shared" si="19"/>
        <v/>
      </c>
      <c r="AW4" t="str">
        <f t="shared" si="20"/>
        <v/>
      </c>
      <c r="AX4" t="str">
        <f t="shared" si="21"/>
        <v/>
      </c>
      <c r="AY4" t="str">
        <f t="shared" si="22"/>
        <v/>
      </c>
      <c r="AZ4" t="str">
        <f t="shared" si="23"/>
        <v/>
      </c>
      <c r="BA4" t="str">
        <f t="shared" si="24"/>
        <v/>
      </c>
      <c r="BB4" t="str">
        <f t="shared" si="25"/>
        <v/>
      </c>
      <c r="BC4" t="str">
        <f t="shared" si="26"/>
        <v/>
      </c>
      <c r="BD4" t="str">
        <f t="shared" si="27"/>
        <v/>
      </c>
      <c r="BE4" t="str">
        <f t="shared" si="28"/>
        <v/>
      </c>
      <c r="BF4" t="str">
        <f t="shared" si="29"/>
        <v/>
      </c>
      <c r="BG4" t="str">
        <f t="shared" si="30"/>
        <v/>
      </c>
      <c r="BH4" t="str">
        <f t="shared" si="31"/>
        <v/>
      </c>
    </row>
    <row r="5" spans="1:66" x14ac:dyDescent="0.2">
      <c r="A5">
        <v>2</v>
      </c>
      <c r="B5">
        <v>17</v>
      </c>
      <c r="C5" t="s">
        <v>39</v>
      </c>
      <c r="D5">
        <v>1</v>
      </c>
      <c r="E5">
        <v>1</v>
      </c>
      <c r="L5">
        <v>4</v>
      </c>
      <c r="S5">
        <v>1</v>
      </c>
      <c r="T5">
        <v>1</v>
      </c>
      <c r="X5">
        <f t="shared" si="33"/>
        <v>0</v>
      </c>
      <c r="Z5" t="str">
        <f t="shared" si="0"/>
        <v/>
      </c>
      <c r="AA5" t="str">
        <f t="shared" si="1"/>
        <v/>
      </c>
      <c r="AB5" t="str">
        <f t="shared" si="2"/>
        <v/>
      </c>
      <c r="AC5" t="str">
        <f t="shared" si="3"/>
        <v/>
      </c>
      <c r="AE5" t="str">
        <f t="shared" si="4"/>
        <v/>
      </c>
      <c r="AF5" t="str">
        <f t="shared" si="5"/>
        <v/>
      </c>
      <c r="AG5" t="str">
        <f t="shared" si="6"/>
        <v/>
      </c>
      <c r="AH5" t="str">
        <f t="shared" si="7"/>
        <v/>
      </c>
      <c r="AI5" t="str">
        <f t="shared" si="8"/>
        <v/>
      </c>
      <c r="AK5" t="str">
        <f t="shared" si="9"/>
        <v/>
      </c>
      <c r="AL5" t="str">
        <f t="shared" si="32"/>
        <v/>
      </c>
      <c r="AM5" t="str">
        <f t="shared" si="10"/>
        <v/>
      </c>
      <c r="AN5" t="str">
        <f t="shared" si="11"/>
        <v/>
      </c>
      <c r="AO5" t="str">
        <f t="shared" si="12"/>
        <v/>
      </c>
      <c r="AP5" t="str">
        <f t="shared" si="13"/>
        <v/>
      </c>
      <c r="AQ5" t="str">
        <f t="shared" si="14"/>
        <v/>
      </c>
      <c r="AR5" t="str">
        <f t="shared" si="15"/>
        <v/>
      </c>
      <c r="AS5" t="str">
        <f t="shared" si="16"/>
        <v/>
      </c>
      <c r="AT5" t="str">
        <f t="shared" si="17"/>
        <v/>
      </c>
      <c r="AU5" t="str">
        <f t="shared" si="18"/>
        <v/>
      </c>
      <c r="AV5" t="str">
        <f t="shared" si="19"/>
        <v/>
      </c>
      <c r="AW5" t="str">
        <f t="shared" si="20"/>
        <v/>
      </c>
      <c r="AX5" t="str">
        <f t="shared" si="21"/>
        <v/>
      </c>
      <c r="AY5" t="str">
        <f t="shared" si="22"/>
        <v/>
      </c>
      <c r="AZ5" t="str">
        <f t="shared" si="23"/>
        <v/>
      </c>
      <c r="BA5" t="str">
        <f t="shared" si="24"/>
        <v/>
      </c>
      <c r="BB5" t="str">
        <f t="shared" si="25"/>
        <v/>
      </c>
      <c r="BC5" t="str">
        <f t="shared" si="26"/>
        <v/>
      </c>
      <c r="BD5" t="str">
        <f t="shared" si="27"/>
        <v/>
      </c>
      <c r="BE5" t="str">
        <f t="shared" si="28"/>
        <v/>
      </c>
      <c r="BF5" t="str">
        <f t="shared" si="29"/>
        <v/>
      </c>
      <c r="BG5" t="str">
        <f t="shared" si="30"/>
        <v/>
      </c>
      <c r="BH5" t="str">
        <f t="shared" si="31"/>
        <v/>
      </c>
    </row>
    <row r="6" spans="1:66" x14ac:dyDescent="0.2">
      <c r="A6">
        <v>3</v>
      </c>
      <c r="B6">
        <v>23</v>
      </c>
      <c r="C6" t="s">
        <v>207</v>
      </c>
      <c r="D6">
        <v>1</v>
      </c>
      <c r="E6">
        <v>1</v>
      </c>
      <c r="F6">
        <v>1</v>
      </c>
      <c r="S6">
        <v>1</v>
      </c>
      <c r="X6">
        <f t="shared" si="33"/>
        <v>0</v>
      </c>
      <c r="Z6" t="str">
        <f t="shared" si="0"/>
        <v/>
      </c>
      <c r="AA6" t="str">
        <f t="shared" si="1"/>
        <v/>
      </c>
      <c r="AB6" t="str">
        <f t="shared" si="2"/>
        <v/>
      </c>
      <c r="AC6" t="str">
        <f t="shared" si="3"/>
        <v/>
      </c>
      <c r="AE6" t="str">
        <f t="shared" si="4"/>
        <v/>
      </c>
      <c r="AF6" t="str">
        <f t="shared" si="5"/>
        <v/>
      </c>
      <c r="AG6" t="str">
        <f t="shared" si="6"/>
        <v/>
      </c>
      <c r="AH6" t="str">
        <f t="shared" si="7"/>
        <v/>
      </c>
      <c r="AI6" t="str">
        <f t="shared" si="8"/>
        <v/>
      </c>
      <c r="AK6" t="str">
        <f t="shared" si="9"/>
        <v/>
      </c>
      <c r="AL6" t="str">
        <f t="shared" si="32"/>
        <v/>
      </c>
      <c r="AM6" t="str">
        <f t="shared" si="10"/>
        <v/>
      </c>
      <c r="AN6" t="str">
        <f t="shared" si="11"/>
        <v/>
      </c>
      <c r="AO6" t="str">
        <f t="shared" si="12"/>
        <v/>
      </c>
      <c r="AP6" t="str">
        <f t="shared" si="13"/>
        <v/>
      </c>
      <c r="AQ6" t="str">
        <f t="shared" si="14"/>
        <v/>
      </c>
      <c r="AR6" t="str">
        <f t="shared" si="15"/>
        <v/>
      </c>
      <c r="AS6" t="str">
        <f t="shared" si="16"/>
        <v/>
      </c>
      <c r="AT6" t="str">
        <f t="shared" si="17"/>
        <v/>
      </c>
      <c r="AU6" t="str">
        <f t="shared" si="18"/>
        <v/>
      </c>
      <c r="AV6" t="str">
        <f t="shared" si="19"/>
        <v/>
      </c>
      <c r="AW6" t="str">
        <f t="shared" si="20"/>
        <v/>
      </c>
      <c r="AX6" t="str">
        <f t="shared" si="21"/>
        <v/>
      </c>
      <c r="AY6" t="str">
        <f t="shared" si="22"/>
        <v/>
      </c>
      <c r="AZ6" t="str">
        <f t="shared" si="23"/>
        <v/>
      </c>
      <c r="BA6" t="str">
        <f t="shared" si="24"/>
        <v/>
      </c>
      <c r="BB6" t="str">
        <f t="shared" si="25"/>
        <v/>
      </c>
      <c r="BC6" t="str">
        <f t="shared" si="26"/>
        <v/>
      </c>
      <c r="BD6" t="str">
        <f t="shared" si="27"/>
        <v/>
      </c>
      <c r="BE6" t="str">
        <f t="shared" si="28"/>
        <v/>
      </c>
      <c r="BF6" t="str">
        <f t="shared" si="29"/>
        <v/>
      </c>
      <c r="BG6" t="str">
        <f t="shared" si="30"/>
        <v/>
      </c>
      <c r="BH6" t="str">
        <f t="shared" si="31"/>
        <v/>
      </c>
    </row>
    <row r="7" spans="1:66" x14ac:dyDescent="0.2">
      <c r="A7">
        <v>4</v>
      </c>
      <c r="B7">
        <v>36</v>
      </c>
      <c r="C7" t="s">
        <v>39</v>
      </c>
      <c r="D7">
        <v>1</v>
      </c>
      <c r="E7">
        <v>1</v>
      </c>
      <c r="F7">
        <v>1</v>
      </c>
      <c r="K7">
        <v>3</v>
      </c>
      <c r="L7">
        <v>1</v>
      </c>
      <c r="N7">
        <v>3</v>
      </c>
      <c r="O7">
        <v>3</v>
      </c>
      <c r="S7">
        <v>1</v>
      </c>
      <c r="T7">
        <v>1</v>
      </c>
      <c r="U7">
        <v>6</v>
      </c>
      <c r="X7">
        <f t="shared" si="33"/>
        <v>0</v>
      </c>
      <c r="Z7" t="str">
        <f t="shared" si="0"/>
        <v/>
      </c>
      <c r="AA7" t="str">
        <f t="shared" si="1"/>
        <v/>
      </c>
      <c r="AB7" t="str">
        <f t="shared" si="2"/>
        <v/>
      </c>
      <c r="AC7" t="str">
        <f t="shared" si="3"/>
        <v/>
      </c>
      <c r="AE7" t="str">
        <f t="shared" si="4"/>
        <v>1</v>
      </c>
      <c r="AF7" t="str">
        <f t="shared" si="5"/>
        <v/>
      </c>
      <c r="AG7" t="str">
        <f t="shared" si="6"/>
        <v/>
      </c>
      <c r="AH7" t="str">
        <f t="shared" si="7"/>
        <v/>
      </c>
      <c r="AI7" t="str">
        <f t="shared" si="8"/>
        <v/>
      </c>
      <c r="AK7" t="str">
        <f t="shared" si="9"/>
        <v/>
      </c>
      <c r="AL7" t="str">
        <f t="shared" si="32"/>
        <v/>
      </c>
      <c r="AM7" t="str">
        <f t="shared" si="10"/>
        <v/>
      </c>
      <c r="AN7" t="str">
        <f t="shared" si="11"/>
        <v/>
      </c>
      <c r="AO7" t="str">
        <f t="shared" si="12"/>
        <v/>
      </c>
      <c r="AP7" t="str">
        <f t="shared" si="13"/>
        <v/>
      </c>
      <c r="AQ7" t="str">
        <f t="shared" si="14"/>
        <v/>
      </c>
      <c r="AR7" t="str">
        <f t="shared" si="15"/>
        <v/>
      </c>
      <c r="AS7" t="str">
        <f t="shared" si="16"/>
        <v/>
      </c>
      <c r="AT7" t="str">
        <f t="shared" si="17"/>
        <v/>
      </c>
      <c r="AU7" t="str">
        <f t="shared" si="18"/>
        <v/>
      </c>
      <c r="AV7" t="str">
        <f t="shared" si="19"/>
        <v/>
      </c>
      <c r="AW7" t="str">
        <f t="shared" si="20"/>
        <v/>
      </c>
      <c r="AX7" t="str">
        <f t="shared" si="21"/>
        <v/>
      </c>
      <c r="AY7" t="str">
        <f t="shared" si="22"/>
        <v/>
      </c>
      <c r="AZ7" t="str">
        <f t="shared" si="23"/>
        <v/>
      </c>
      <c r="BA7" t="str">
        <f t="shared" si="24"/>
        <v/>
      </c>
      <c r="BB7" t="str">
        <f t="shared" si="25"/>
        <v/>
      </c>
      <c r="BC7" t="str">
        <f t="shared" si="26"/>
        <v/>
      </c>
      <c r="BD7" t="str">
        <f t="shared" si="27"/>
        <v/>
      </c>
      <c r="BE7" t="str">
        <f t="shared" si="28"/>
        <v/>
      </c>
      <c r="BF7" t="str">
        <f t="shared" si="29"/>
        <v/>
      </c>
      <c r="BG7" t="str">
        <f t="shared" si="30"/>
        <v/>
      </c>
      <c r="BH7" t="str">
        <f t="shared" si="31"/>
        <v/>
      </c>
    </row>
    <row r="8" spans="1:66" x14ac:dyDescent="0.2">
      <c r="A8">
        <v>5</v>
      </c>
      <c r="B8">
        <v>42</v>
      </c>
      <c r="C8" t="s">
        <v>39</v>
      </c>
      <c r="D8">
        <v>1</v>
      </c>
      <c r="E8">
        <v>1</v>
      </c>
      <c r="K8">
        <v>2</v>
      </c>
      <c r="N8">
        <v>2</v>
      </c>
      <c r="O8">
        <v>2</v>
      </c>
      <c r="S8">
        <v>1</v>
      </c>
      <c r="T8">
        <v>1</v>
      </c>
      <c r="X8">
        <f t="shared" si="33"/>
        <v>0</v>
      </c>
      <c r="Z8" t="str">
        <f t="shared" si="0"/>
        <v/>
      </c>
      <c r="AA8" t="str">
        <f t="shared" si="1"/>
        <v/>
      </c>
      <c r="AB8" t="str">
        <f t="shared" si="2"/>
        <v/>
      </c>
      <c r="AC8" t="str">
        <f t="shared" si="3"/>
        <v/>
      </c>
      <c r="AE8" t="str">
        <f t="shared" si="4"/>
        <v/>
      </c>
      <c r="AF8" t="str">
        <f t="shared" si="5"/>
        <v/>
      </c>
      <c r="AG8" t="str">
        <f t="shared" si="6"/>
        <v/>
      </c>
      <c r="AH8" t="str">
        <f t="shared" si="7"/>
        <v/>
      </c>
      <c r="AI8" t="str">
        <f t="shared" si="8"/>
        <v/>
      </c>
      <c r="AK8" t="str">
        <f t="shared" si="9"/>
        <v/>
      </c>
      <c r="AL8" t="str">
        <f t="shared" si="32"/>
        <v/>
      </c>
      <c r="AM8" t="str">
        <f t="shared" si="10"/>
        <v/>
      </c>
      <c r="AN8" t="str">
        <f t="shared" si="11"/>
        <v/>
      </c>
      <c r="AO8" t="str">
        <f t="shared" si="12"/>
        <v/>
      </c>
      <c r="AP8" t="str">
        <f t="shared" si="13"/>
        <v/>
      </c>
      <c r="AQ8" t="str">
        <f t="shared" si="14"/>
        <v/>
      </c>
      <c r="AR8" t="str">
        <f t="shared" si="15"/>
        <v/>
      </c>
      <c r="AS8" t="str">
        <f t="shared" si="16"/>
        <v/>
      </c>
      <c r="AT8" t="str">
        <f t="shared" si="17"/>
        <v/>
      </c>
      <c r="AU8" t="str">
        <f t="shared" si="18"/>
        <v/>
      </c>
      <c r="AV8" t="str">
        <f t="shared" si="19"/>
        <v/>
      </c>
      <c r="AW8" t="str">
        <f t="shared" si="20"/>
        <v/>
      </c>
      <c r="AX8" t="str">
        <f t="shared" si="21"/>
        <v/>
      </c>
      <c r="AY8" t="str">
        <f t="shared" si="22"/>
        <v/>
      </c>
      <c r="AZ8" t="str">
        <f t="shared" si="23"/>
        <v/>
      </c>
      <c r="BA8" t="str">
        <f t="shared" si="24"/>
        <v/>
      </c>
      <c r="BB8" t="str">
        <f t="shared" si="25"/>
        <v/>
      </c>
      <c r="BC8" t="str">
        <f t="shared" si="26"/>
        <v/>
      </c>
      <c r="BD8" t="str">
        <f t="shared" si="27"/>
        <v/>
      </c>
      <c r="BE8" t="str">
        <f t="shared" si="28"/>
        <v/>
      </c>
      <c r="BF8" t="str">
        <f t="shared" si="29"/>
        <v/>
      </c>
      <c r="BG8" t="str">
        <f t="shared" si="30"/>
        <v/>
      </c>
      <c r="BH8" t="str">
        <f t="shared" si="31"/>
        <v/>
      </c>
    </row>
    <row r="9" spans="1:66" x14ac:dyDescent="0.2">
      <c r="A9">
        <v>6</v>
      </c>
      <c r="B9">
        <v>51</v>
      </c>
      <c r="C9" t="s">
        <v>207</v>
      </c>
      <c r="D9">
        <v>1</v>
      </c>
      <c r="E9">
        <v>1</v>
      </c>
      <c r="F9">
        <v>1</v>
      </c>
      <c r="J9">
        <v>1</v>
      </c>
      <c r="K9">
        <v>1</v>
      </c>
      <c r="L9">
        <v>2</v>
      </c>
      <c r="N9">
        <v>1</v>
      </c>
      <c r="O9">
        <v>1</v>
      </c>
      <c r="S9">
        <v>1</v>
      </c>
      <c r="T9">
        <v>1</v>
      </c>
      <c r="X9">
        <f t="shared" si="33"/>
        <v>0</v>
      </c>
      <c r="Z9" t="str">
        <f t="shared" si="0"/>
        <v/>
      </c>
      <c r="AA9" t="str">
        <f t="shared" si="1"/>
        <v/>
      </c>
      <c r="AB9" t="str">
        <f t="shared" si="2"/>
        <v/>
      </c>
      <c r="AC9" t="str">
        <f t="shared" si="3"/>
        <v/>
      </c>
      <c r="AE9" t="str">
        <f t="shared" si="4"/>
        <v/>
      </c>
      <c r="AF9" t="str">
        <f t="shared" si="5"/>
        <v/>
      </c>
      <c r="AG9" t="str">
        <f t="shared" si="6"/>
        <v/>
      </c>
      <c r="AH9" t="str">
        <f t="shared" si="7"/>
        <v/>
      </c>
      <c r="AI9" t="str">
        <f t="shared" si="8"/>
        <v/>
      </c>
      <c r="AK9" t="str">
        <f t="shared" si="9"/>
        <v/>
      </c>
      <c r="AL9" t="str">
        <f t="shared" si="32"/>
        <v/>
      </c>
      <c r="AM9" t="str">
        <f t="shared" si="10"/>
        <v/>
      </c>
      <c r="AN9" t="str">
        <f t="shared" si="11"/>
        <v/>
      </c>
      <c r="AO9" t="str">
        <f t="shared" si="12"/>
        <v/>
      </c>
      <c r="AP9" t="str">
        <f t="shared" si="13"/>
        <v/>
      </c>
      <c r="AQ9" t="str">
        <f t="shared" si="14"/>
        <v/>
      </c>
      <c r="AR9" t="str">
        <f t="shared" si="15"/>
        <v/>
      </c>
      <c r="AS9" t="str">
        <f t="shared" si="16"/>
        <v/>
      </c>
      <c r="AT9" t="str">
        <f t="shared" si="17"/>
        <v/>
      </c>
      <c r="AU9" t="str">
        <f t="shared" si="18"/>
        <v/>
      </c>
      <c r="AV9" t="str">
        <f t="shared" si="19"/>
        <v/>
      </c>
      <c r="AW9" t="str">
        <f t="shared" si="20"/>
        <v/>
      </c>
      <c r="AX9" t="str">
        <f t="shared" si="21"/>
        <v/>
      </c>
      <c r="AY9" t="str">
        <f t="shared" si="22"/>
        <v/>
      </c>
      <c r="AZ9" t="str">
        <f t="shared" si="23"/>
        <v/>
      </c>
      <c r="BA9" t="str">
        <f t="shared" si="24"/>
        <v/>
      </c>
      <c r="BB9" t="str">
        <f t="shared" si="25"/>
        <v/>
      </c>
      <c r="BC9" t="str">
        <f t="shared" si="26"/>
        <v/>
      </c>
      <c r="BD9" t="str">
        <f t="shared" si="27"/>
        <v/>
      </c>
      <c r="BE9" t="str">
        <f t="shared" si="28"/>
        <v/>
      </c>
      <c r="BF9" t="str">
        <f t="shared" si="29"/>
        <v/>
      </c>
      <c r="BG9" t="str">
        <f t="shared" si="30"/>
        <v/>
      </c>
      <c r="BH9" t="str">
        <f t="shared" si="31"/>
        <v/>
      </c>
    </row>
    <row r="10" spans="1:66" x14ac:dyDescent="0.2">
      <c r="A10">
        <v>7</v>
      </c>
      <c r="B10">
        <v>68</v>
      </c>
      <c r="C10" t="s">
        <v>207</v>
      </c>
      <c r="D10">
        <v>1</v>
      </c>
      <c r="E10">
        <v>1</v>
      </c>
      <c r="F10">
        <v>1</v>
      </c>
      <c r="K10">
        <v>3</v>
      </c>
      <c r="N10">
        <v>3</v>
      </c>
      <c r="O10">
        <v>3</v>
      </c>
      <c r="S10">
        <v>1</v>
      </c>
      <c r="T10">
        <v>1</v>
      </c>
      <c r="U10">
        <v>1</v>
      </c>
      <c r="X10">
        <f t="shared" si="33"/>
        <v>0</v>
      </c>
      <c r="Z10" t="str">
        <f t="shared" si="0"/>
        <v/>
      </c>
      <c r="AA10" t="str">
        <f t="shared" si="1"/>
        <v/>
      </c>
      <c r="AB10" t="str">
        <f t="shared" si="2"/>
        <v/>
      </c>
      <c r="AC10" t="str">
        <f t="shared" si="3"/>
        <v/>
      </c>
      <c r="AE10" t="str">
        <f t="shared" si="4"/>
        <v/>
      </c>
      <c r="AF10" t="str">
        <f t="shared" si="5"/>
        <v/>
      </c>
      <c r="AG10" t="str">
        <f t="shared" si="6"/>
        <v/>
      </c>
      <c r="AH10" t="str">
        <f t="shared" si="7"/>
        <v/>
      </c>
      <c r="AI10" t="str">
        <f t="shared" si="8"/>
        <v/>
      </c>
      <c r="AK10" t="str">
        <f t="shared" si="9"/>
        <v/>
      </c>
      <c r="AL10" t="str">
        <f t="shared" si="32"/>
        <v/>
      </c>
      <c r="AM10" t="str">
        <f t="shared" si="10"/>
        <v/>
      </c>
      <c r="AN10" t="str">
        <f t="shared" si="11"/>
        <v/>
      </c>
      <c r="AO10" t="str">
        <f t="shared" si="12"/>
        <v/>
      </c>
      <c r="AP10" t="str">
        <f t="shared" si="13"/>
        <v/>
      </c>
      <c r="AQ10" t="str">
        <f t="shared" si="14"/>
        <v/>
      </c>
      <c r="AR10" t="str">
        <f t="shared" si="15"/>
        <v/>
      </c>
      <c r="AS10" t="str">
        <f t="shared" si="16"/>
        <v/>
      </c>
      <c r="AT10" t="str">
        <f t="shared" si="17"/>
        <v/>
      </c>
      <c r="AU10" t="str">
        <f t="shared" si="18"/>
        <v/>
      </c>
      <c r="AV10" t="str">
        <f t="shared" si="19"/>
        <v/>
      </c>
      <c r="AW10" t="str">
        <f t="shared" si="20"/>
        <v/>
      </c>
      <c r="AX10" t="str">
        <f t="shared" si="21"/>
        <v/>
      </c>
      <c r="AY10" t="str">
        <f t="shared" si="22"/>
        <v/>
      </c>
      <c r="AZ10" t="str">
        <f t="shared" si="23"/>
        <v/>
      </c>
      <c r="BA10" t="str">
        <f t="shared" si="24"/>
        <v/>
      </c>
      <c r="BB10" t="str">
        <f t="shared" si="25"/>
        <v/>
      </c>
      <c r="BC10" t="str">
        <f t="shared" si="26"/>
        <v/>
      </c>
      <c r="BD10" t="str">
        <f t="shared" si="27"/>
        <v/>
      </c>
      <c r="BE10" t="str">
        <f t="shared" si="28"/>
        <v/>
      </c>
      <c r="BF10" t="str">
        <f t="shared" si="29"/>
        <v/>
      </c>
      <c r="BG10" t="str">
        <f t="shared" si="30"/>
        <v/>
      </c>
      <c r="BH10" t="str">
        <f t="shared" si="31"/>
        <v/>
      </c>
    </row>
    <row r="11" spans="1:66" x14ac:dyDescent="0.2">
      <c r="A11">
        <v>8</v>
      </c>
      <c r="B11">
        <v>77</v>
      </c>
      <c r="C11" t="s">
        <v>39</v>
      </c>
      <c r="D11">
        <v>1</v>
      </c>
      <c r="E11">
        <v>1</v>
      </c>
      <c r="F11">
        <v>1</v>
      </c>
      <c r="K11">
        <v>2</v>
      </c>
      <c r="N11">
        <v>3</v>
      </c>
      <c r="O11">
        <v>3</v>
      </c>
      <c r="S11">
        <v>1</v>
      </c>
      <c r="T11">
        <v>1</v>
      </c>
      <c r="U11">
        <v>1</v>
      </c>
      <c r="X11">
        <f t="shared" si="33"/>
        <v>0</v>
      </c>
      <c r="Z11" t="str">
        <f t="shared" si="0"/>
        <v/>
      </c>
      <c r="AA11" t="str">
        <f t="shared" si="1"/>
        <v/>
      </c>
      <c r="AB11" t="str">
        <f t="shared" si="2"/>
        <v/>
      </c>
      <c r="AC11" t="str">
        <f t="shared" si="3"/>
        <v/>
      </c>
      <c r="AE11" t="str">
        <f t="shared" si="4"/>
        <v/>
      </c>
      <c r="AF11" t="str">
        <f t="shared" si="5"/>
        <v/>
      </c>
      <c r="AG11" t="str">
        <f t="shared" si="6"/>
        <v/>
      </c>
      <c r="AH11" t="str">
        <f t="shared" si="7"/>
        <v/>
      </c>
      <c r="AI11" t="str">
        <f t="shared" si="8"/>
        <v/>
      </c>
      <c r="AK11" t="str">
        <f t="shared" si="9"/>
        <v/>
      </c>
      <c r="AL11" t="str">
        <f t="shared" si="32"/>
        <v/>
      </c>
      <c r="AM11" t="str">
        <f t="shared" si="10"/>
        <v/>
      </c>
      <c r="AN11" t="str">
        <f t="shared" si="11"/>
        <v/>
      </c>
      <c r="AO11" t="str">
        <f t="shared" si="12"/>
        <v/>
      </c>
      <c r="AP11" t="str">
        <f t="shared" si="13"/>
        <v/>
      </c>
      <c r="AQ11" t="str">
        <f t="shared" si="14"/>
        <v/>
      </c>
      <c r="AR11" t="str">
        <f t="shared" si="15"/>
        <v/>
      </c>
      <c r="AS11" t="str">
        <f t="shared" si="16"/>
        <v/>
      </c>
      <c r="AT11" t="str">
        <f t="shared" si="17"/>
        <v/>
      </c>
      <c r="AU11" t="str">
        <f t="shared" si="18"/>
        <v/>
      </c>
      <c r="AV11" t="str">
        <f t="shared" si="19"/>
        <v/>
      </c>
      <c r="AW11" t="str">
        <f t="shared" si="20"/>
        <v/>
      </c>
      <c r="AX11" t="str">
        <f t="shared" si="21"/>
        <v/>
      </c>
      <c r="AY11" t="str">
        <f t="shared" si="22"/>
        <v/>
      </c>
      <c r="AZ11" t="str">
        <f t="shared" si="23"/>
        <v/>
      </c>
      <c r="BA11" t="str">
        <f t="shared" si="24"/>
        <v/>
      </c>
      <c r="BB11" t="str">
        <f t="shared" si="25"/>
        <v/>
      </c>
      <c r="BC11" t="str">
        <f t="shared" si="26"/>
        <v/>
      </c>
      <c r="BD11" t="str">
        <f t="shared" si="27"/>
        <v/>
      </c>
      <c r="BE11" t="str">
        <f t="shared" si="28"/>
        <v/>
      </c>
      <c r="BF11" t="str">
        <f t="shared" si="29"/>
        <v/>
      </c>
      <c r="BG11" t="str">
        <f t="shared" si="30"/>
        <v/>
      </c>
      <c r="BH11" t="str">
        <f t="shared" si="31"/>
        <v/>
      </c>
    </row>
    <row r="12" spans="1:66" x14ac:dyDescent="0.2">
      <c r="A12">
        <v>9</v>
      </c>
      <c r="B12">
        <v>86</v>
      </c>
      <c r="C12" t="s">
        <v>39</v>
      </c>
      <c r="D12">
        <v>1</v>
      </c>
      <c r="E12">
        <v>1</v>
      </c>
      <c r="F12">
        <v>1</v>
      </c>
      <c r="K12">
        <v>3</v>
      </c>
      <c r="N12">
        <v>3</v>
      </c>
      <c r="O12">
        <v>3</v>
      </c>
      <c r="S12">
        <v>1</v>
      </c>
      <c r="U12">
        <v>8</v>
      </c>
      <c r="X12">
        <f t="shared" si="33"/>
        <v>0</v>
      </c>
      <c r="Z12" t="str">
        <f t="shared" si="0"/>
        <v/>
      </c>
      <c r="AA12" t="str">
        <f t="shared" si="1"/>
        <v/>
      </c>
      <c r="AB12" t="str">
        <f t="shared" si="2"/>
        <v/>
      </c>
      <c r="AC12" t="str">
        <f t="shared" si="3"/>
        <v/>
      </c>
      <c r="AE12" t="str">
        <f t="shared" si="4"/>
        <v/>
      </c>
      <c r="AF12" t="str">
        <f t="shared" si="5"/>
        <v/>
      </c>
      <c r="AG12" t="str">
        <f t="shared" si="6"/>
        <v/>
      </c>
      <c r="AH12" t="str">
        <f t="shared" si="7"/>
        <v/>
      </c>
      <c r="AI12" t="str">
        <f t="shared" si="8"/>
        <v/>
      </c>
      <c r="AK12" t="str">
        <f t="shared" si="9"/>
        <v/>
      </c>
      <c r="AL12" t="str">
        <f t="shared" si="32"/>
        <v/>
      </c>
      <c r="AM12" t="str">
        <f t="shared" si="10"/>
        <v/>
      </c>
      <c r="AN12" t="str">
        <f t="shared" si="11"/>
        <v/>
      </c>
      <c r="AO12" t="str">
        <f t="shared" si="12"/>
        <v/>
      </c>
      <c r="AP12" t="str">
        <f t="shared" si="13"/>
        <v/>
      </c>
      <c r="AQ12" t="str">
        <f t="shared" si="14"/>
        <v/>
      </c>
      <c r="AR12" t="str">
        <f t="shared" si="15"/>
        <v/>
      </c>
      <c r="AS12" t="str">
        <f t="shared" si="16"/>
        <v/>
      </c>
      <c r="AT12" t="str">
        <f t="shared" si="17"/>
        <v/>
      </c>
      <c r="AU12" t="str">
        <f t="shared" si="18"/>
        <v/>
      </c>
      <c r="AV12" t="str">
        <f t="shared" si="19"/>
        <v/>
      </c>
      <c r="AW12" t="str">
        <f t="shared" si="20"/>
        <v/>
      </c>
      <c r="AX12" t="str">
        <f t="shared" si="21"/>
        <v/>
      </c>
      <c r="AY12" t="str">
        <f t="shared" si="22"/>
        <v/>
      </c>
      <c r="AZ12" t="str">
        <f t="shared" si="23"/>
        <v/>
      </c>
      <c r="BA12" t="str">
        <f t="shared" si="24"/>
        <v/>
      </c>
      <c r="BB12" t="str">
        <f t="shared" si="25"/>
        <v/>
      </c>
      <c r="BC12" t="str">
        <f t="shared" si="26"/>
        <v/>
      </c>
      <c r="BD12" t="str">
        <f t="shared" si="27"/>
        <v/>
      </c>
      <c r="BE12" t="str">
        <f t="shared" si="28"/>
        <v/>
      </c>
      <c r="BF12" t="str">
        <f t="shared" si="29"/>
        <v/>
      </c>
      <c r="BG12" t="str">
        <f t="shared" si="30"/>
        <v/>
      </c>
      <c r="BH12" t="str">
        <f t="shared" si="31"/>
        <v/>
      </c>
    </row>
    <row r="13" spans="1:66" x14ac:dyDescent="0.2">
      <c r="A13">
        <v>10</v>
      </c>
      <c r="B13">
        <v>91</v>
      </c>
      <c r="C13" t="s">
        <v>39</v>
      </c>
      <c r="D13">
        <v>1</v>
      </c>
      <c r="E13">
        <v>1</v>
      </c>
      <c r="F13">
        <v>1</v>
      </c>
      <c r="K13">
        <v>3</v>
      </c>
      <c r="L13">
        <v>1</v>
      </c>
      <c r="N13">
        <v>3</v>
      </c>
      <c r="O13">
        <v>3</v>
      </c>
      <c r="S13">
        <v>1</v>
      </c>
      <c r="U13">
        <v>2</v>
      </c>
      <c r="X13">
        <f t="shared" si="33"/>
        <v>0</v>
      </c>
      <c r="Z13" t="str">
        <f t="shared" si="0"/>
        <v/>
      </c>
      <c r="AA13" t="str">
        <f t="shared" si="1"/>
        <v/>
      </c>
      <c r="AB13" t="str">
        <f t="shared" si="2"/>
        <v/>
      </c>
      <c r="AC13" t="str">
        <f t="shared" si="3"/>
        <v/>
      </c>
      <c r="AE13" t="str">
        <f t="shared" si="4"/>
        <v/>
      </c>
      <c r="AF13" t="str">
        <f t="shared" si="5"/>
        <v/>
      </c>
      <c r="AG13" t="str">
        <f t="shared" si="6"/>
        <v/>
      </c>
      <c r="AH13" t="str">
        <f t="shared" si="7"/>
        <v/>
      </c>
      <c r="AI13" t="str">
        <f t="shared" si="8"/>
        <v/>
      </c>
      <c r="AK13" t="str">
        <f t="shared" si="9"/>
        <v/>
      </c>
      <c r="AL13" t="str">
        <f t="shared" si="32"/>
        <v/>
      </c>
      <c r="AM13" t="str">
        <f t="shared" si="10"/>
        <v/>
      </c>
      <c r="AN13" t="str">
        <f t="shared" si="11"/>
        <v/>
      </c>
      <c r="AO13" t="str">
        <f t="shared" si="12"/>
        <v/>
      </c>
      <c r="AP13" t="str">
        <f t="shared" si="13"/>
        <v/>
      </c>
      <c r="AQ13" t="str">
        <f t="shared" si="14"/>
        <v/>
      </c>
      <c r="AR13" t="str">
        <f t="shared" si="15"/>
        <v/>
      </c>
      <c r="AS13" t="str">
        <f t="shared" si="16"/>
        <v/>
      </c>
      <c r="AT13" t="str">
        <f t="shared" si="17"/>
        <v/>
      </c>
      <c r="AU13" t="str">
        <f t="shared" si="18"/>
        <v/>
      </c>
      <c r="AV13" t="str">
        <f t="shared" si="19"/>
        <v/>
      </c>
      <c r="AW13" t="str">
        <f t="shared" si="20"/>
        <v/>
      </c>
      <c r="AX13" t="str">
        <f t="shared" si="21"/>
        <v/>
      </c>
      <c r="AY13" t="str">
        <f t="shared" si="22"/>
        <v/>
      </c>
      <c r="AZ13" t="str">
        <f t="shared" si="23"/>
        <v/>
      </c>
      <c r="BA13" t="str">
        <f t="shared" si="24"/>
        <v/>
      </c>
      <c r="BB13" t="str">
        <f t="shared" si="25"/>
        <v/>
      </c>
      <c r="BC13" t="str">
        <f t="shared" si="26"/>
        <v/>
      </c>
      <c r="BD13" t="str">
        <f t="shared" si="27"/>
        <v/>
      </c>
      <c r="BE13" t="str">
        <f t="shared" si="28"/>
        <v/>
      </c>
      <c r="BF13" t="str">
        <f t="shared" si="29"/>
        <v/>
      </c>
      <c r="BG13" t="str">
        <f t="shared" si="30"/>
        <v/>
      </c>
      <c r="BH13" t="str">
        <f t="shared" si="31"/>
        <v/>
      </c>
    </row>
    <row r="14" spans="1:66" x14ac:dyDescent="0.2">
      <c r="A14">
        <v>11</v>
      </c>
      <c r="B14">
        <v>103</v>
      </c>
      <c r="C14" t="s">
        <v>207</v>
      </c>
      <c r="K14">
        <v>3</v>
      </c>
      <c r="L14">
        <v>1</v>
      </c>
      <c r="N14">
        <v>4</v>
      </c>
      <c r="O14">
        <v>4</v>
      </c>
      <c r="U14">
        <v>8</v>
      </c>
      <c r="X14">
        <f t="shared" si="33"/>
        <v>0</v>
      </c>
      <c r="Z14" t="s">
        <v>31</v>
      </c>
      <c r="AE14" t="s">
        <v>34</v>
      </c>
      <c r="AK14" t="s">
        <v>43</v>
      </c>
      <c r="AP14" t="s">
        <v>84</v>
      </c>
    </row>
    <row r="15" spans="1:66" x14ac:dyDescent="0.2">
      <c r="A15">
        <v>12</v>
      </c>
      <c r="B15">
        <v>111</v>
      </c>
      <c r="C15" t="s">
        <v>207</v>
      </c>
      <c r="D15">
        <v>1</v>
      </c>
      <c r="E15">
        <v>1</v>
      </c>
      <c r="F15">
        <v>1</v>
      </c>
      <c r="K15">
        <v>4</v>
      </c>
      <c r="N15">
        <v>4</v>
      </c>
      <c r="O15">
        <v>4</v>
      </c>
      <c r="S15">
        <v>1</v>
      </c>
      <c r="T15">
        <v>1</v>
      </c>
      <c r="X15">
        <f t="shared" si="33"/>
        <v>0</v>
      </c>
      <c r="Z15" t="s">
        <v>21</v>
      </c>
      <c r="AA15" t="s">
        <v>22</v>
      </c>
      <c r="AE15" t="s">
        <v>21</v>
      </c>
      <c r="AF15" t="s">
        <v>22</v>
      </c>
      <c r="AG15" t="s">
        <v>35</v>
      </c>
      <c r="AK15" t="s">
        <v>10</v>
      </c>
      <c r="AL15" t="s">
        <v>25</v>
      </c>
      <c r="AM15" t="s">
        <v>26</v>
      </c>
      <c r="AN15" t="s">
        <v>27</v>
      </c>
      <c r="AP15" t="s">
        <v>15</v>
      </c>
      <c r="AQ15" t="s">
        <v>85</v>
      </c>
    </row>
    <row r="16" spans="1:66" x14ac:dyDescent="0.2">
      <c r="A16" t="s">
        <v>28</v>
      </c>
      <c r="D16">
        <f>SUM(D4:D15)</f>
        <v>11</v>
      </c>
      <c r="E16">
        <f>SUM(E4:E15)</f>
        <v>11</v>
      </c>
      <c r="F16">
        <f>SUM(F4:F15)</f>
        <v>8</v>
      </c>
      <c r="G16">
        <f>SUM(G4:G15)</f>
        <v>0</v>
      </c>
      <c r="H16">
        <f>SUM(H4:H15)</f>
        <v>0</v>
      </c>
      <c r="K16">
        <f>SUM(K4:K15)</f>
        <v>28</v>
      </c>
      <c r="L16">
        <f>SUM(L4:L15)</f>
        <v>9</v>
      </c>
      <c r="M16">
        <f>SUM(M4:M15)</f>
        <v>0</v>
      </c>
      <c r="N16">
        <f>SUM(N4:N15)</f>
        <v>30</v>
      </c>
      <c r="O16">
        <f>SUM(O4:O15)</f>
        <v>30</v>
      </c>
      <c r="Q16">
        <f t="shared" ref="Q16:R16" si="34">SUM(Q4:Q15)</f>
        <v>0</v>
      </c>
      <c r="R16">
        <f t="shared" si="34"/>
        <v>0</v>
      </c>
      <c r="S16">
        <f>SUM(S4:S15)</f>
        <v>11</v>
      </c>
      <c r="T16">
        <f>SUM(T4:T15)</f>
        <v>7</v>
      </c>
      <c r="U16">
        <f>SUM(U4:U15)</f>
        <v>49</v>
      </c>
      <c r="V16">
        <f>SUM(V4:V15)</f>
        <v>0</v>
      </c>
      <c r="W16">
        <f>SUM(W4:W15)</f>
        <v>0</v>
      </c>
      <c r="Z16">
        <f t="shared" ref="Z16:Z27" si="35">COUNTIF(Z2:AC2, "3")*COUNTIF(C4, "r")+COUNTIF(Z2:AC2, "5")*COUNTIF(C4, "b")</f>
        <v>0</v>
      </c>
      <c r="AA16">
        <f t="shared" ref="AA16:AA27" si="36">COUNTIF(Z2:AC2, "1")+COUNTIF(Z2:AC2, "2")+COUNTIF(Z2:AC2, "4")</f>
        <v>0</v>
      </c>
      <c r="AE16">
        <f t="shared" ref="AE16:AE27" si="37">COUNTIF(AE2:AI2, "3")*COUNTIF(C4, "r") + COUNTIF(AE2:AI2, "5")*COUNTIF(C4, "b")</f>
        <v>0</v>
      </c>
      <c r="AF16">
        <f t="shared" ref="AF16:AF27" si="38">COUNTIF(AE2:AI2, "1")+COUNTIF(AE2:AI2, "2")+COUNTIF(AE2:AI2, "4")</f>
        <v>0</v>
      </c>
      <c r="AG16">
        <f t="shared" ref="AG16:AG27" si="39">COUNTIF(AE2:AI2, "3")*COUNTIF(AE2:AI2, "b")+COUNTIF(AE2:AI2, "5")*COUNTIF(AE2:AI2, "r")</f>
        <v>0</v>
      </c>
      <c r="AK16">
        <f t="shared" ref="AK16:AK27" si="40">SUMPRODUCT(LEN($AK2:$BH2) - LEN(SUBSTITUTE($AK2:$BH2, "g", "")))</f>
        <v>0</v>
      </c>
      <c r="AL16">
        <f t="shared" ref="AL16:AL27" si="41">SUMPRODUCT(LEN($AK2:$BH2) - LEN(SUBSTITUTE($AK2:$BH2, "h", "")))</f>
        <v>0</v>
      </c>
      <c r="AM16">
        <f t="shared" ref="AM16:AM27" si="42">SUMPRODUCT(LEN($AK2:$BH2) - LEN(SUBSTITUTE($AK2:$BH2, "v", "")))</f>
        <v>0</v>
      </c>
      <c r="AN16">
        <f t="shared" ref="AN16:AN27" si="43">SUMPRODUCT(LEN($AK2:$BH2) - LEN(SUBSTITUTE($AK2:$BH2, "r", "")))</f>
        <v>0</v>
      </c>
      <c r="AP16">
        <f>MAX(AQ16:BN16)</f>
        <v>0</v>
      </c>
      <c r="AQ16" s="4">
        <f>_xlfn.NUMBERVALUE(RIGHT(AK2,1))</f>
        <v>0</v>
      </c>
      <c r="AR16" s="4">
        <f t="shared" ref="AR16:BG27" si="44">_xlfn.NUMBERVALUE(RIGHT(AL2,1))</f>
        <v>0</v>
      </c>
      <c r="AS16" s="4">
        <f t="shared" si="44"/>
        <v>0</v>
      </c>
      <c r="AT16" s="4">
        <f t="shared" si="44"/>
        <v>0</v>
      </c>
      <c r="AU16" s="4">
        <f t="shared" si="44"/>
        <v>0</v>
      </c>
      <c r="AV16" s="4">
        <f t="shared" si="44"/>
        <v>0</v>
      </c>
      <c r="AW16" s="4">
        <f t="shared" si="44"/>
        <v>0</v>
      </c>
      <c r="AX16" s="4">
        <f t="shared" si="44"/>
        <v>0</v>
      </c>
      <c r="AY16" s="4">
        <f t="shared" si="44"/>
        <v>0</v>
      </c>
      <c r="AZ16" s="4">
        <f t="shared" si="44"/>
        <v>0</v>
      </c>
      <c r="BA16" s="4">
        <f t="shared" si="44"/>
        <v>0</v>
      </c>
      <c r="BB16" s="4">
        <f t="shared" si="44"/>
        <v>0</v>
      </c>
      <c r="BC16" s="4">
        <f t="shared" si="44"/>
        <v>0</v>
      </c>
      <c r="BD16" s="4">
        <f t="shared" si="44"/>
        <v>0</v>
      </c>
      <c r="BE16" s="4">
        <f t="shared" si="44"/>
        <v>0</v>
      </c>
      <c r="BF16" s="4">
        <f t="shared" si="44"/>
        <v>0</v>
      </c>
      <c r="BG16" s="4">
        <f t="shared" si="44"/>
        <v>0</v>
      </c>
      <c r="BH16" s="4">
        <f t="shared" ref="BH16:BN27" si="45">_xlfn.NUMBERVALUE(RIGHT(BB2,1))</f>
        <v>0</v>
      </c>
      <c r="BI16" s="4">
        <f t="shared" si="45"/>
        <v>0</v>
      </c>
      <c r="BJ16" s="4">
        <f t="shared" si="45"/>
        <v>0</v>
      </c>
      <c r="BK16" s="4">
        <f t="shared" si="45"/>
        <v>0</v>
      </c>
      <c r="BL16" s="4">
        <f t="shared" si="45"/>
        <v>0</v>
      </c>
      <c r="BM16" s="4">
        <f t="shared" si="45"/>
        <v>0</v>
      </c>
      <c r="BN16" s="4">
        <f t="shared" si="45"/>
        <v>0</v>
      </c>
    </row>
    <row r="17" spans="1:66" x14ac:dyDescent="0.2">
      <c r="A17" s="1" t="s">
        <v>20</v>
      </c>
      <c r="D17" s="1" t="s">
        <v>49</v>
      </c>
      <c r="G17" s="1" t="s">
        <v>52</v>
      </c>
      <c r="K17" s="3" t="s">
        <v>74</v>
      </c>
      <c r="P17" s="1" t="s">
        <v>66</v>
      </c>
      <c r="Z17">
        <f t="shared" si="35"/>
        <v>0</v>
      </c>
      <c r="AA17">
        <f t="shared" si="36"/>
        <v>0</v>
      </c>
      <c r="AE17">
        <f t="shared" si="37"/>
        <v>0</v>
      </c>
      <c r="AF17">
        <f t="shared" si="38"/>
        <v>0</v>
      </c>
      <c r="AG17">
        <f t="shared" si="39"/>
        <v>0</v>
      </c>
      <c r="AK17">
        <f t="shared" si="40"/>
        <v>0</v>
      </c>
      <c r="AL17">
        <f t="shared" si="41"/>
        <v>0</v>
      </c>
      <c r="AM17">
        <f t="shared" si="42"/>
        <v>0</v>
      </c>
      <c r="AN17">
        <f t="shared" si="43"/>
        <v>0</v>
      </c>
      <c r="AP17">
        <f t="shared" ref="AP17:AP27" si="46">MAX(AQ17:BN17)</f>
        <v>0</v>
      </c>
      <c r="AQ17" s="4">
        <f t="shared" ref="AQ17:AQ27" si="47">_xlfn.NUMBERVALUE(RIGHT(AK3,1))</f>
        <v>0</v>
      </c>
      <c r="AR17" s="4">
        <f t="shared" si="44"/>
        <v>0</v>
      </c>
      <c r="AS17" s="4">
        <f t="shared" si="44"/>
        <v>0</v>
      </c>
      <c r="AT17" s="4">
        <f t="shared" si="44"/>
        <v>0</v>
      </c>
      <c r="AU17" s="4">
        <f t="shared" si="44"/>
        <v>0</v>
      </c>
      <c r="AV17" s="4">
        <f t="shared" si="44"/>
        <v>0</v>
      </c>
      <c r="AW17" s="4">
        <f t="shared" si="44"/>
        <v>0</v>
      </c>
      <c r="AX17" s="4">
        <f t="shared" si="44"/>
        <v>0</v>
      </c>
      <c r="AY17" s="4">
        <f t="shared" si="44"/>
        <v>0</v>
      </c>
      <c r="AZ17" s="4">
        <f t="shared" si="44"/>
        <v>0</v>
      </c>
      <c r="BA17" s="4">
        <f t="shared" si="44"/>
        <v>0</v>
      </c>
      <c r="BB17" s="4">
        <f t="shared" si="44"/>
        <v>0</v>
      </c>
      <c r="BC17" s="4">
        <f t="shared" si="44"/>
        <v>0</v>
      </c>
      <c r="BD17" s="4">
        <f t="shared" si="44"/>
        <v>0</v>
      </c>
      <c r="BE17" s="4">
        <f t="shared" si="44"/>
        <v>0</v>
      </c>
      <c r="BF17" s="4">
        <f t="shared" si="44"/>
        <v>0</v>
      </c>
      <c r="BG17" s="4">
        <f t="shared" si="44"/>
        <v>0</v>
      </c>
      <c r="BH17" s="4">
        <f t="shared" si="45"/>
        <v>0</v>
      </c>
      <c r="BI17" s="4">
        <f t="shared" si="45"/>
        <v>0</v>
      </c>
      <c r="BJ17" s="4">
        <f t="shared" si="45"/>
        <v>0</v>
      </c>
      <c r="BK17" s="4">
        <f t="shared" si="45"/>
        <v>0</v>
      </c>
      <c r="BL17" s="4">
        <f t="shared" si="45"/>
        <v>0</v>
      </c>
      <c r="BM17" s="4">
        <f t="shared" si="45"/>
        <v>0</v>
      </c>
      <c r="BN17" s="4">
        <f t="shared" si="45"/>
        <v>0</v>
      </c>
    </row>
    <row r="18" spans="1:66" x14ac:dyDescent="0.2">
      <c r="A18" t="s">
        <v>32</v>
      </c>
      <c r="B18" t="s">
        <v>21</v>
      </c>
      <c r="D18" t="s">
        <v>180</v>
      </c>
      <c r="G18" s="3" t="s">
        <v>53</v>
      </c>
      <c r="K18" t="s">
        <v>55</v>
      </c>
      <c r="M18" t="s">
        <v>65</v>
      </c>
      <c r="P18" t="s">
        <v>67</v>
      </c>
      <c r="Z18">
        <f t="shared" si="35"/>
        <v>0</v>
      </c>
      <c r="AA18">
        <f t="shared" si="36"/>
        <v>0</v>
      </c>
      <c r="AE18">
        <f t="shared" si="37"/>
        <v>0</v>
      </c>
      <c r="AF18">
        <f t="shared" si="38"/>
        <v>0</v>
      </c>
      <c r="AG18">
        <f t="shared" si="39"/>
        <v>0</v>
      </c>
      <c r="AK18">
        <f t="shared" si="40"/>
        <v>0</v>
      </c>
      <c r="AL18">
        <f t="shared" si="41"/>
        <v>0</v>
      </c>
      <c r="AM18">
        <f t="shared" si="42"/>
        <v>0</v>
      </c>
      <c r="AN18">
        <f t="shared" si="43"/>
        <v>0</v>
      </c>
      <c r="AP18">
        <f t="shared" si="46"/>
        <v>0</v>
      </c>
      <c r="AQ18" s="4">
        <f t="shared" si="47"/>
        <v>0</v>
      </c>
      <c r="AR18" s="4">
        <f t="shared" si="44"/>
        <v>0</v>
      </c>
      <c r="AS18" s="4">
        <f t="shared" si="44"/>
        <v>0</v>
      </c>
      <c r="AT18" s="4">
        <f t="shared" si="44"/>
        <v>0</v>
      </c>
      <c r="AU18" s="4">
        <f t="shared" si="44"/>
        <v>0</v>
      </c>
      <c r="AV18" s="4">
        <f t="shared" si="44"/>
        <v>0</v>
      </c>
      <c r="AW18" s="4">
        <f t="shared" si="44"/>
        <v>0</v>
      </c>
      <c r="AX18" s="4">
        <f t="shared" si="44"/>
        <v>0</v>
      </c>
      <c r="AY18" s="4">
        <f t="shared" si="44"/>
        <v>0</v>
      </c>
      <c r="AZ18" s="4">
        <f t="shared" si="44"/>
        <v>0</v>
      </c>
      <c r="BA18" s="4">
        <f t="shared" si="44"/>
        <v>0</v>
      </c>
      <c r="BB18" s="4">
        <f t="shared" si="44"/>
        <v>0</v>
      </c>
      <c r="BC18" s="4">
        <f t="shared" si="44"/>
        <v>0</v>
      </c>
      <c r="BD18" s="4">
        <f t="shared" si="44"/>
        <v>0</v>
      </c>
      <c r="BE18" s="4">
        <f t="shared" si="44"/>
        <v>0</v>
      </c>
      <c r="BF18" s="4">
        <f t="shared" si="44"/>
        <v>0</v>
      </c>
      <c r="BG18" s="4">
        <f t="shared" si="44"/>
        <v>0</v>
      </c>
      <c r="BH18" s="4">
        <f t="shared" si="45"/>
        <v>0</v>
      </c>
      <c r="BI18" s="4">
        <f t="shared" si="45"/>
        <v>0</v>
      </c>
      <c r="BJ18" s="4">
        <f t="shared" si="45"/>
        <v>0</v>
      </c>
      <c r="BK18" s="4">
        <f t="shared" si="45"/>
        <v>0</v>
      </c>
      <c r="BL18" s="4">
        <f t="shared" si="45"/>
        <v>0</v>
      </c>
      <c r="BM18" s="4">
        <f t="shared" si="45"/>
        <v>0</v>
      </c>
      <c r="BN18" s="4">
        <f t="shared" si="45"/>
        <v>0</v>
      </c>
    </row>
    <row r="19" spans="1:66" x14ac:dyDescent="0.2">
      <c r="A19" t="s">
        <v>40</v>
      </c>
      <c r="B19" t="s">
        <v>22</v>
      </c>
      <c r="D19">
        <f>E16/D16</f>
        <v>1</v>
      </c>
      <c r="G19" t="s">
        <v>75</v>
      </c>
      <c r="K19">
        <f>O16/N16</f>
        <v>1</v>
      </c>
      <c r="M19">
        <f>SUM(M39:M50)</f>
        <v>-2</v>
      </c>
      <c r="P19">
        <f>T16/S16</f>
        <v>0.63636363636363635</v>
      </c>
      <c r="Z19">
        <f t="shared" si="35"/>
        <v>0</v>
      </c>
      <c r="AA19">
        <f t="shared" si="36"/>
        <v>0</v>
      </c>
      <c r="AE19">
        <f t="shared" si="37"/>
        <v>0</v>
      </c>
      <c r="AF19">
        <f t="shared" si="38"/>
        <v>0</v>
      </c>
      <c r="AG19">
        <f t="shared" si="39"/>
        <v>0</v>
      </c>
      <c r="AK19">
        <f t="shared" si="40"/>
        <v>0</v>
      </c>
      <c r="AL19">
        <f t="shared" si="41"/>
        <v>0</v>
      </c>
      <c r="AM19">
        <f t="shared" si="42"/>
        <v>0</v>
      </c>
      <c r="AN19">
        <f t="shared" si="43"/>
        <v>0</v>
      </c>
      <c r="AP19">
        <f t="shared" si="46"/>
        <v>0</v>
      </c>
      <c r="AQ19" s="4">
        <f t="shared" si="47"/>
        <v>0</v>
      </c>
      <c r="AR19" s="4">
        <f t="shared" si="44"/>
        <v>0</v>
      </c>
      <c r="AS19" s="4">
        <f t="shared" si="44"/>
        <v>0</v>
      </c>
      <c r="AT19" s="4">
        <f t="shared" si="44"/>
        <v>0</v>
      </c>
      <c r="AU19" s="4">
        <f t="shared" si="44"/>
        <v>0</v>
      </c>
      <c r="AV19" s="4">
        <f t="shared" si="44"/>
        <v>0</v>
      </c>
      <c r="AW19" s="4">
        <f t="shared" si="44"/>
        <v>0</v>
      </c>
      <c r="AX19" s="4">
        <f t="shared" si="44"/>
        <v>0</v>
      </c>
      <c r="AY19" s="4">
        <f t="shared" si="44"/>
        <v>0</v>
      </c>
      <c r="AZ19" s="4">
        <f t="shared" si="44"/>
        <v>0</v>
      </c>
      <c r="BA19" s="4">
        <f t="shared" si="44"/>
        <v>0</v>
      </c>
      <c r="BB19" s="4">
        <f t="shared" si="44"/>
        <v>0</v>
      </c>
      <c r="BC19" s="4">
        <f t="shared" si="44"/>
        <v>0</v>
      </c>
      <c r="BD19" s="4">
        <f t="shared" si="44"/>
        <v>0</v>
      </c>
      <c r="BE19" s="4">
        <f t="shared" si="44"/>
        <v>0</v>
      </c>
      <c r="BF19" s="4">
        <f t="shared" si="44"/>
        <v>0</v>
      </c>
      <c r="BG19" s="4">
        <f t="shared" si="44"/>
        <v>0</v>
      </c>
      <c r="BH19" s="4">
        <f t="shared" si="45"/>
        <v>0</v>
      </c>
      <c r="BI19" s="4">
        <f t="shared" si="45"/>
        <v>0</v>
      </c>
      <c r="BJ19" s="4">
        <f t="shared" si="45"/>
        <v>0</v>
      </c>
      <c r="BK19" s="4">
        <f t="shared" si="45"/>
        <v>0</v>
      </c>
      <c r="BL19" s="4">
        <f t="shared" si="45"/>
        <v>0</v>
      </c>
      <c r="BM19" s="4">
        <f t="shared" si="45"/>
        <v>0</v>
      </c>
      <c r="BN19" s="4">
        <f t="shared" si="45"/>
        <v>0</v>
      </c>
    </row>
    <row r="20" spans="1:66" x14ac:dyDescent="0.2">
      <c r="A20" t="s">
        <v>41</v>
      </c>
      <c r="B20" t="s">
        <v>23</v>
      </c>
      <c r="D20" t="s">
        <v>47</v>
      </c>
      <c r="G20" t="e">
        <f>AK28/AP28</f>
        <v>#DIV/0!</v>
      </c>
      <c r="K20" t="s">
        <v>13</v>
      </c>
      <c r="Z20">
        <f t="shared" si="35"/>
        <v>0</v>
      </c>
      <c r="AA20">
        <f t="shared" si="36"/>
        <v>0</v>
      </c>
      <c r="AE20">
        <f t="shared" si="37"/>
        <v>0</v>
      </c>
      <c r="AF20">
        <f t="shared" si="38"/>
        <v>0</v>
      </c>
      <c r="AG20">
        <f t="shared" si="39"/>
        <v>0</v>
      </c>
      <c r="AK20">
        <f t="shared" si="40"/>
        <v>0</v>
      </c>
      <c r="AL20">
        <f t="shared" si="41"/>
        <v>0</v>
      </c>
      <c r="AM20">
        <f t="shared" si="42"/>
        <v>0</v>
      </c>
      <c r="AN20">
        <f t="shared" si="43"/>
        <v>0</v>
      </c>
      <c r="AP20">
        <f t="shared" si="46"/>
        <v>0</v>
      </c>
      <c r="AQ20" s="4">
        <f t="shared" si="47"/>
        <v>0</v>
      </c>
      <c r="AR20" s="4">
        <f t="shared" si="44"/>
        <v>0</v>
      </c>
      <c r="AS20" s="4">
        <f t="shared" si="44"/>
        <v>0</v>
      </c>
      <c r="AT20" s="4">
        <f t="shared" si="44"/>
        <v>0</v>
      </c>
      <c r="AU20" s="4">
        <f t="shared" si="44"/>
        <v>0</v>
      </c>
      <c r="AV20" s="4">
        <f t="shared" si="44"/>
        <v>0</v>
      </c>
      <c r="AW20" s="4">
        <f t="shared" si="44"/>
        <v>0</v>
      </c>
      <c r="AX20" s="4">
        <f t="shared" si="44"/>
        <v>0</v>
      </c>
      <c r="AY20" s="4">
        <f t="shared" si="44"/>
        <v>0</v>
      </c>
      <c r="AZ20" s="4">
        <f t="shared" si="44"/>
        <v>0</v>
      </c>
      <c r="BA20" s="4">
        <f t="shared" si="44"/>
        <v>0</v>
      </c>
      <c r="BB20" s="4">
        <f t="shared" si="44"/>
        <v>0</v>
      </c>
      <c r="BC20" s="4">
        <f t="shared" si="44"/>
        <v>0</v>
      </c>
      <c r="BD20" s="4">
        <f t="shared" si="44"/>
        <v>0</v>
      </c>
      <c r="BE20" s="4">
        <f t="shared" si="44"/>
        <v>0</v>
      </c>
      <c r="BF20" s="4">
        <f t="shared" si="44"/>
        <v>0</v>
      </c>
      <c r="BG20" s="4">
        <f t="shared" si="44"/>
        <v>0</v>
      </c>
      <c r="BH20" s="4">
        <f t="shared" si="45"/>
        <v>0</v>
      </c>
      <c r="BI20" s="4">
        <f t="shared" si="45"/>
        <v>0</v>
      </c>
      <c r="BJ20" s="4">
        <f t="shared" si="45"/>
        <v>0</v>
      </c>
      <c r="BK20" s="4">
        <f t="shared" si="45"/>
        <v>0</v>
      </c>
      <c r="BL20" s="4">
        <f t="shared" si="45"/>
        <v>0</v>
      </c>
      <c r="BM20" s="4">
        <f t="shared" si="45"/>
        <v>0</v>
      </c>
      <c r="BN20" s="4">
        <f t="shared" si="45"/>
        <v>0</v>
      </c>
    </row>
    <row r="21" spans="1:66" x14ac:dyDescent="0.2">
      <c r="A21" s="1" t="s">
        <v>24</v>
      </c>
      <c r="D21">
        <f>G16/A31</f>
        <v>0</v>
      </c>
      <c r="G21" t="s">
        <v>76</v>
      </c>
      <c r="K21" t="s">
        <v>57</v>
      </c>
      <c r="L21" t="s">
        <v>58</v>
      </c>
      <c r="M21" t="s">
        <v>59</v>
      </c>
      <c r="N21" t="s">
        <v>60</v>
      </c>
      <c r="Z21">
        <f t="shared" si="35"/>
        <v>0</v>
      </c>
      <c r="AA21">
        <f t="shared" si="36"/>
        <v>0</v>
      </c>
      <c r="AE21">
        <f t="shared" si="37"/>
        <v>0</v>
      </c>
      <c r="AF21">
        <f t="shared" si="38"/>
        <v>1</v>
      </c>
      <c r="AG21">
        <f t="shared" si="39"/>
        <v>0</v>
      </c>
      <c r="AK21">
        <f t="shared" si="40"/>
        <v>0</v>
      </c>
      <c r="AL21">
        <f t="shared" si="41"/>
        <v>0</v>
      </c>
      <c r="AM21">
        <f t="shared" si="42"/>
        <v>0</v>
      </c>
      <c r="AN21">
        <f t="shared" si="43"/>
        <v>0</v>
      </c>
      <c r="AP21">
        <f t="shared" si="46"/>
        <v>0</v>
      </c>
      <c r="AQ21" s="4">
        <f t="shared" si="47"/>
        <v>0</v>
      </c>
      <c r="AR21" s="4">
        <f t="shared" si="44"/>
        <v>0</v>
      </c>
      <c r="AS21" s="4">
        <f t="shared" si="44"/>
        <v>0</v>
      </c>
      <c r="AT21" s="4">
        <f t="shared" si="44"/>
        <v>0</v>
      </c>
      <c r="AU21" s="4">
        <f t="shared" si="44"/>
        <v>0</v>
      </c>
      <c r="AV21" s="4">
        <f t="shared" si="44"/>
        <v>0</v>
      </c>
      <c r="AW21" s="4">
        <f t="shared" si="44"/>
        <v>0</v>
      </c>
      <c r="AX21" s="4">
        <f t="shared" si="44"/>
        <v>0</v>
      </c>
      <c r="AY21" s="4">
        <f t="shared" si="44"/>
        <v>0</v>
      </c>
      <c r="AZ21" s="4">
        <f t="shared" si="44"/>
        <v>0</v>
      </c>
      <c r="BA21" s="4">
        <f t="shared" si="44"/>
        <v>0</v>
      </c>
      <c r="BB21" s="4">
        <f t="shared" si="44"/>
        <v>0</v>
      </c>
      <c r="BC21" s="4">
        <f t="shared" si="44"/>
        <v>0</v>
      </c>
      <c r="BD21" s="4">
        <f t="shared" si="44"/>
        <v>0</v>
      </c>
      <c r="BE21" s="4">
        <f t="shared" si="44"/>
        <v>0</v>
      </c>
      <c r="BF21" s="4">
        <f t="shared" si="44"/>
        <v>0</v>
      </c>
      <c r="BG21" s="4">
        <f t="shared" si="44"/>
        <v>0</v>
      </c>
      <c r="BH21" s="4">
        <f t="shared" si="45"/>
        <v>0</v>
      </c>
      <c r="BI21" s="4">
        <f t="shared" si="45"/>
        <v>0</v>
      </c>
      <c r="BJ21" s="4">
        <f t="shared" si="45"/>
        <v>0</v>
      </c>
      <c r="BK21" s="4">
        <f t="shared" si="45"/>
        <v>0</v>
      </c>
      <c r="BL21" s="4">
        <f t="shared" si="45"/>
        <v>0</v>
      </c>
      <c r="BM21" s="4">
        <f t="shared" si="45"/>
        <v>0</v>
      </c>
      <c r="BN21" s="4">
        <f t="shared" si="45"/>
        <v>0</v>
      </c>
    </row>
    <row r="22" spans="1:66" x14ac:dyDescent="0.2">
      <c r="A22" t="s">
        <v>36</v>
      </c>
      <c r="B22" t="s">
        <v>10</v>
      </c>
      <c r="D22" t="s">
        <v>48</v>
      </c>
      <c r="G22" t="e">
        <f>AL28/AP28</f>
        <v>#DIV/0!</v>
      </c>
      <c r="K22">
        <f>AVERAGE(C39:C50)</f>
        <v>2.5</v>
      </c>
      <c r="L22">
        <f>MEDIAN(C39:C50)</f>
        <v>3</v>
      </c>
      <c r="M22">
        <f>MAX(C39:C50)</f>
        <v>4</v>
      </c>
      <c r="N22">
        <f>_xlfn.STDEV.S(C39:C50)</f>
        <v>1.4459976109624424</v>
      </c>
      <c r="Z22">
        <f t="shared" si="35"/>
        <v>0</v>
      </c>
      <c r="AA22">
        <f t="shared" si="36"/>
        <v>0</v>
      </c>
      <c r="AE22">
        <f t="shared" si="37"/>
        <v>0</v>
      </c>
      <c r="AF22">
        <f t="shared" si="38"/>
        <v>0</v>
      </c>
      <c r="AG22">
        <f t="shared" si="39"/>
        <v>0</v>
      </c>
      <c r="AK22">
        <f t="shared" si="40"/>
        <v>0</v>
      </c>
      <c r="AL22">
        <f t="shared" si="41"/>
        <v>0</v>
      </c>
      <c r="AM22">
        <f t="shared" si="42"/>
        <v>0</v>
      </c>
      <c r="AN22">
        <f t="shared" si="43"/>
        <v>0</v>
      </c>
      <c r="AP22">
        <f t="shared" si="46"/>
        <v>0</v>
      </c>
      <c r="AQ22" s="4">
        <f t="shared" si="47"/>
        <v>0</v>
      </c>
      <c r="AR22" s="4">
        <f t="shared" si="44"/>
        <v>0</v>
      </c>
      <c r="AS22" s="4">
        <f t="shared" si="44"/>
        <v>0</v>
      </c>
      <c r="AT22" s="4">
        <f t="shared" si="44"/>
        <v>0</v>
      </c>
      <c r="AU22" s="4">
        <f t="shared" si="44"/>
        <v>0</v>
      </c>
      <c r="AV22" s="4">
        <f t="shared" si="44"/>
        <v>0</v>
      </c>
      <c r="AW22" s="4">
        <f t="shared" si="44"/>
        <v>0</v>
      </c>
      <c r="AX22" s="4">
        <f t="shared" si="44"/>
        <v>0</v>
      </c>
      <c r="AY22" s="4">
        <f t="shared" si="44"/>
        <v>0</v>
      </c>
      <c r="AZ22" s="4">
        <f t="shared" si="44"/>
        <v>0</v>
      </c>
      <c r="BA22" s="4">
        <f t="shared" si="44"/>
        <v>0</v>
      </c>
      <c r="BB22" s="4">
        <f t="shared" si="44"/>
        <v>0</v>
      </c>
      <c r="BC22" s="4">
        <f t="shared" si="44"/>
        <v>0</v>
      </c>
      <c r="BD22" s="4">
        <f t="shared" si="44"/>
        <v>0</v>
      </c>
      <c r="BE22" s="4">
        <f t="shared" si="44"/>
        <v>0</v>
      </c>
      <c r="BF22" s="4">
        <f t="shared" si="44"/>
        <v>0</v>
      </c>
      <c r="BG22" s="4">
        <f t="shared" si="44"/>
        <v>0</v>
      </c>
      <c r="BH22" s="4">
        <f t="shared" si="45"/>
        <v>0</v>
      </c>
      <c r="BI22" s="4">
        <f t="shared" si="45"/>
        <v>0</v>
      </c>
      <c r="BJ22" s="4">
        <f t="shared" si="45"/>
        <v>0</v>
      </c>
      <c r="BK22" s="4">
        <f t="shared" si="45"/>
        <v>0</v>
      </c>
      <c r="BL22" s="4">
        <f t="shared" si="45"/>
        <v>0</v>
      </c>
      <c r="BM22" s="4">
        <f t="shared" si="45"/>
        <v>0</v>
      </c>
      <c r="BN22" s="4">
        <f t="shared" si="45"/>
        <v>0</v>
      </c>
    </row>
    <row r="23" spans="1:66" x14ac:dyDescent="0.2">
      <c r="A23" t="s">
        <v>37</v>
      </c>
      <c r="B23" t="s">
        <v>25</v>
      </c>
      <c r="D23">
        <f>H16/A31</f>
        <v>0</v>
      </c>
      <c r="G23" t="s">
        <v>77</v>
      </c>
      <c r="K23" t="s">
        <v>8</v>
      </c>
      <c r="Z23">
        <f t="shared" si="35"/>
        <v>0</v>
      </c>
      <c r="AA23">
        <f t="shared" si="36"/>
        <v>0</v>
      </c>
      <c r="AE23">
        <f t="shared" si="37"/>
        <v>0</v>
      </c>
      <c r="AF23">
        <f t="shared" si="38"/>
        <v>0</v>
      </c>
      <c r="AG23">
        <f t="shared" si="39"/>
        <v>0</v>
      </c>
      <c r="AK23">
        <f t="shared" si="40"/>
        <v>0</v>
      </c>
      <c r="AL23">
        <f t="shared" si="41"/>
        <v>0</v>
      </c>
      <c r="AM23">
        <f t="shared" si="42"/>
        <v>0</v>
      </c>
      <c r="AN23">
        <f t="shared" si="43"/>
        <v>0</v>
      </c>
      <c r="AP23">
        <f t="shared" si="46"/>
        <v>0</v>
      </c>
      <c r="AQ23" s="4">
        <f t="shared" si="47"/>
        <v>0</v>
      </c>
      <c r="AR23" s="4">
        <f t="shared" si="44"/>
        <v>0</v>
      </c>
      <c r="AS23" s="4">
        <f t="shared" si="44"/>
        <v>0</v>
      </c>
      <c r="AT23" s="4">
        <f t="shared" si="44"/>
        <v>0</v>
      </c>
      <c r="AU23" s="4">
        <f t="shared" si="44"/>
        <v>0</v>
      </c>
      <c r="AV23" s="4">
        <f t="shared" si="44"/>
        <v>0</v>
      </c>
      <c r="AW23" s="4">
        <f t="shared" si="44"/>
        <v>0</v>
      </c>
      <c r="AX23" s="4">
        <f t="shared" si="44"/>
        <v>0</v>
      </c>
      <c r="AY23" s="4">
        <f t="shared" si="44"/>
        <v>0</v>
      </c>
      <c r="AZ23" s="4">
        <f t="shared" si="44"/>
        <v>0</v>
      </c>
      <c r="BA23" s="4">
        <f t="shared" si="44"/>
        <v>0</v>
      </c>
      <c r="BB23" s="4">
        <f t="shared" si="44"/>
        <v>0</v>
      </c>
      <c r="BC23" s="4">
        <f t="shared" si="44"/>
        <v>0</v>
      </c>
      <c r="BD23" s="4">
        <f t="shared" si="44"/>
        <v>0</v>
      </c>
      <c r="BE23" s="4">
        <f t="shared" si="44"/>
        <v>0</v>
      </c>
      <c r="BF23" s="4">
        <f t="shared" si="44"/>
        <v>0</v>
      </c>
      <c r="BG23" s="4">
        <f t="shared" si="44"/>
        <v>0</v>
      </c>
      <c r="BH23" s="4">
        <f t="shared" si="45"/>
        <v>0</v>
      </c>
      <c r="BI23" s="4">
        <f t="shared" si="45"/>
        <v>0</v>
      </c>
      <c r="BJ23" s="4">
        <f t="shared" si="45"/>
        <v>0</v>
      </c>
      <c r="BK23" s="4">
        <f t="shared" si="45"/>
        <v>0</v>
      </c>
      <c r="BL23" s="4">
        <f t="shared" si="45"/>
        <v>0</v>
      </c>
      <c r="BM23" s="4">
        <f t="shared" si="45"/>
        <v>0</v>
      </c>
      <c r="BN23" s="4">
        <f t="shared" si="45"/>
        <v>0</v>
      </c>
    </row>
    <row r="24" spans="1:66" x14ac:dyDescent="0.2">
      <c r="A24" t="s">
        <v>38</v>
      </c>
      <c r="B24" t="s">
        <v>26</v>
      </c>
      <c r="D24" t="s">
        <v>50</v>
      </c>
      <c r="G24" t="e">
        <f>AM28/AP28</f>
        <v>#DIV/0!</v>
      </c>
      <c r="K24" t="s">
        <v>57</v>
      </c>
      <c r="L24" t="s">
        <v>61</v>
      </c>
      <c r="M24" t="s">
        <v>59</v>
      </c>
      <c r="N24" t="s">
        <v>60</v>
      </c>
      <c r="Z24">
        <f t="shared" si="35"/>
        <v>0</v>
      </c>
      <c r="AA24">
        <f t="shared" si="36"/>
        <v>0</v>
      </c>
      <c r="AE24">
        <f t="shared" si="37"/>
        <v>0</v>
      </c>
      <c r="AF24">
        <f t="shared" si="38"/>
        <v>0</v>
      </c>
      <c r="AG24">
        <f t="shared" si="39"/>
        <v>0</v>
      </c>
      <c r="AK24">
        <f t="shared" si="40"/>
        <v>0</v>
      </c>
      <c r="AL24">
        <f t="shared" si="41"/>
        <v>0</v>
      </c>
      <c r="AM24">
        <f t="shared" si="42"/>
        <v>0</v>
      </c>
      <c r="AN24">
        <f t="shared" si="43"/>
        <v>0</v>
      </c>
      <c r="AP24">
        <f t="shared" si="46"/>
        <v>0</v>
      </c>
      <c r="AQ24" s="4">
        <f t="shared" si="47"/>
        <v>0</v>
      </c>
      <c r="AR24" s="4">
        <f t="shared" si="44"/>
        <v>0</v>
      </c>
      <c r="AS24" s="4">
        <f t="shared" si="44"/>
        <v>0</v>
      </c>
      <c r="AT24" s="4">
        <f t="shared" si="44"/>
        <v>0</v>
      </c>
      <c r="AU24" s="4">
        <f t="shared" si="44"/>
        <v>0</v>
      </c>
      <c r="AV24" s="4">
        <f t="shared" si="44"/>
        <v>0</v>
      </c>
      <c r="AW24" s="4">
        <f t="shared" si="44"/>
        <v>0</v>
      </c>
      <c r="AX24" s="4">
        <f t="shared" si="44"/>
        <v>0</v>
      </c>
      <c r="AY24" s="4">
        <f t="shared" si="44"/>
        <v>0</v>
      </c>
      <c r="AZ24" s="4">
        <f t="shared" si="44"/>
        <v>0</v>
      </c>
      <c r="BA24" s="4">
        <f t="shared" si="44"/>
        <v>0</v>
      </c>
      <c r="BB24" s="4">
        <f t="shared" si="44"/>
        <v>0</v>
      </c>
      <c r="BC24" s="4">
        <f t="shared" si="44"/>
        <v>0</v>
      </c>
      <c r="BD24" s="4">
        <f t="shared" si="44"/>
        <v>0</v>
      </c>
      <c r="BE24" s="4">
        <f t="shared" si="44"/>
        <v>0</v>
      </c>
      <c r="BF24" s="4">
        <f t="shared" si="44"/>
        <v>0</v>
      </c>
      <c r="BG24" s="4">
        <f t="shared" si="44"/>
        <v>0</v>
      </c>
      <c r="BH24" s="4">
        <f t="shared" si="45"/>
        <v>0</v>
      </c>
      <c r="BI24" s="4">
        <f t="shared" si="45"/>
        <v>0</v>
      </c>
      <c r="BJ24" s="4">
        <f t="shared" si="45"/>
        <v>0</v>
      </c>
      <c r="BK24" s="4">
        <f t="shared" si="45"/>
        <v>0</v>
      </c>
      <c r="BL24" s="4">
        <f t="shared" si="45"/>
        <v>0</v>
      </c>
      <c r="BM24" s="4">
        <f t="shared" si="45"/>
        <v>0</v>
      </c>
      <c r="BN24" s="4">
        <f t="shared" si="45"/>
        <v>0</v>
      </c>
    </row>
    <row r="25" spans="1:66" x14ac:dyDescent="0.2">
      <c r="A25" t="s">
        <v>39</v>
      </c>
      <c r="B25" t="s">
        <v>27</v>
      </c>
      <c r="D25">
        <f>Z28/A31</f>
        <v>0</v>
      </c>
      <c r="G25" t="s">
        <v>78</v>
      </c>
      <c r="K25">
        <f>AVERAGE(E39:E50)</f>
        <v>0</v>
      </c>
      <c r="L25">
        <f>MEDIAN(E39:E50)</f>
        <v>0</v>
      </c>
      <c r="M25">
        <f>MAX(E39:E50)</f>
        <v>0</v>
      </c>
      <c r="N25">
        <f>_xlfn.STDEV.S(E39:E50)</f>
        <v>0</v>
      </c>
      <c r="Z25">
        <f t="shared" si="35"/>
        <v>0</v>
      </c>
      <c r="AA25">
        <f t="shared" si="36"/>
        <v>0</v>
      </c>
      <c r="AE25">
        <f t="shared" si="37"/>
        <v>0</v>
      </c>
      <c r="AF25">
        <f t="shared" si="38"/>
        <v>0</v>
      </c>
      <c r="AG25">
        <f t="shared" si="39"/>
        <v>0</v>
      </c>
      <c r="AK25">
        <f t="shared" si="40"/>
        <v>0</v>
      </c>
      <c r="AL25">
        <f t="shared" si="41"/>
        <v>0</v>
      </c>
      <c r="AM25">
        <f t="shared" si="42"/>
        <v>0</v>
      </c>
      <c r="AN25">
        <f t="shared" si="43"/>
        <v>0</v>
      </c>
      <c r="AP25">
        <f t="shared" si="46"/>
        <v>0</v>
      </c>
      <c r="AQ25" s="4">
        <f t="shared" si="47"/>
        <v>0</v>
      </c>
      <c r="AR25" s="4">
        <f t="shared" si="44"/>
        <v>0</v>
      </c>
      <c r="AS25" s="4">
        <f t="shared" si="44"/>
        <v>0</v>
      </c>
      <c r="AT25" s="4">
        <f t="shared" si="44"/>
        <v>0</v>
      </c>
      <c r="AU25" s="4">
        <f t="shared" si="44"/>
        <v>0</v>
      </c>
      <c r="AV25" s="4">
        <f t="shared" si="44"/>
        <v>0</v>
      </c>
      <c r="AW25" s="4">
        <f t="shared" si="44"/>
        <v>0</v>
      </c>
      <c r="AX25" s="4">
        <f t="shared" si="44"/>
        <v>0</v>
      </c>
      <c r="AY25" s="4">
        <f t="shared" si="44"/>
        <v>0</v>
      </c>
      <c r="AZ25" s="4">
        <f t="shared" si="44"/>
        <v>0</v>
      </c>
      <c r="BA25" s="4">
        <f t="shared" si="44"/>
        <v>0</v>
      </c>
      <c r="BB25" s="4">
        <f t="shared" si="44"/>
        <v>0</v>
      </c>
      <c r="BC25" s="4">
        <f t="shared" si="44"/>
        <v>0</v>
      </c>
      <c r="BD25" s="4">
        <f t="shared" si="44"/>
        <v>0</v>
      </c>
      <c r="BE25" s="4">
        <f t="shared" si="44"/>
        <v>0</v>
      </c>
      <c r="BF25" s="4">
        <f t="shared" si="44"/>
        <v>0</v>
      </c>
      <c r="BG25" s="4">
        <f t="shared" si="44"/>
        <v>0</v>
      </c>
      <c r="BH25" s="4">
        <f t="shared" si="45"/>
        <v>0</v>
      </c>
      <c r="BI25" s="4">
        <f t="shared" si="45"/>
        <v>0</v>
      </c>
      <c r="BJ25" s="4">
        <f t="shared" si="45"/>
        <v>0</v>
      </c>
      <c r="BK25" s="4">
        <f t="shared" si="45"/>
        <v>0</v>
      </c>
      <c r="BL25" s="4">
        <f t="shared" si="45"/>
        <v>0</v>
      </c>
      <c r="BM25" s="4">
        <f t="shared" si="45"/>
        <v>0</v>
      </c>
      <c r="BN25" s="4">
        <f t="shared" si="45"/>
        <v>0</v>
      </c>
    </row>
    <row r="26" spans="1:66" x14ac:dyDescent="0.2">
      <c r="A26" t="s">
        <v>44</v>
      </c>
      <c r="D26" t="s">
        <v>51</v>
      </c>
      <c r="G26" t="e">
        <f>AN28/AP28</f>
        <v>#DIV/0!</v>
      </c>
      <c r="K26" t="s">
        <v>62</v>
      </c>
      <c r="P26" t="s">
        <v>19</v>
      </c>
      <c r="Z26">
        <f t="shared" si="35"/>
        <v>0</v>
      </c>
      <c r="AA26">
        <f t="shared" si="36"/>
        <v>0</v>
      </c>
      <c r="AE26">
        <f t="shared" si="37"/>
        <v>0</v>
      </c>
      <c r="AF26">
        <f t="shared" si="38"/>
        <v>0</v>
      </c>
      <c r="AG26">
        <f t="shared" si="39"/>
        <v>0</v>
      </c>
      <c r="AK26">
        <f t="shared" si="40"/>
        <v>0</v>
      </c>
      <c r="AL26">
        <f t="shared" si="41"/>
        <v>0</v>
      </c>
      <c r="AM26">
        <f t="shared" si="42"/>
        <v>0</v>
      </c>
      <c r="AN26">
        <f t="shared" si="43"/>
        <v>0</v>
      </c>
      <c r="AP26">
        <f t="shared" si="46"/>
        <v>0</v>
      </c>
      <c r="AQ26" s="4">
        <f t="shared" si="47"/>
        <v>0</v>
      </c>
      <c r="AR26" s="4">
        <f t="shared" si="44"/>
        <v>0</v>
      </c>
      <c r="AS26" s="4">
        <f t="shared" si="44"/>
        <v>0</v>
      </c>
      <c r="AT26" s="4">
        <f t="shared" si="44"/>
        <v>0</v>
      </c>
      <c r="AU26" s="4">
        <f t="shared" si="44"/>
        <v>0</v>
      </c>
      <c r="AV26" s="4">
        <f t="shared" si="44"/>
        <v>0</v>
      </c>
      <c r="AW26" s="4">
        <f t="shared" si="44"/>
        <v>0</v>
      </c>
      <c r="AX26" s="4">
        <f t="shared" si="44"/>
        <v>0</v>
      </c>
      <c r="AY26" s="4">
        <f t="shared" si="44"/>
        <v>0</v>
      </c>
      <c r="AZ26" s="4">
        <f t="shared" si="44"/>
        <v>0</v>
      </c>
      <c r="BA26" s="4">
        <f t="shared" si="44"/>
        <v>0</v>
      </c>
      <c r="BB26" s="4">
        <f t="shared" si="44"/>
        <v>0</v>
      </c>
      <c r="BC26" s="4">
        <f t="shared" si="44"/>
        <v>0</v>
      </c>
      <c r="BD26" s="4">
        <f t="shared" si="44"/>
        <v>0</v>
      </c>
      <c r="BE26" s="4">
        <f t="shared" si="44"/>
        <v>0</v>
      </c>
      <c r="BF26" s="4">
        <f t="shared" si="44"/>
        <v>0</v>
      </c>
      <c r="BG26" s="4">
        <f t="shared" si="44"/>
        <v>0</v>
      </c>
      <c r="BH26" s="4">
        <f t="shared" si="45"/>
        <v>0</v>
      </c>
      <c r="BI26" s="4">
        <f t="shared" si="45"/>
        <v>0</v>
      </c>
      <c r="BJ26" s="4">
        <f t="shared" si="45"/>
        <v>0</v>
      </c>
      <c r="BK26" s="4">
        <f t="shared" si="45"/>
        <v>0</v>
      </c>
      <c r="BL26" s="4">
        <f t="shared" si="45"/>
        <v>0</v>
      </c>
      <c r="BM26" s="4">
        <f t="shared" si="45"/>
        <v>0</v>
      </c>
      <c r="BN26" s="4">
        <f t="shared" si="45"/>
        <v>0</v>
      </c>
    </row>
    <row r="27" spans="1:66" x14ac:dyDescent="0.2">
      <c r="A27" t="s">
        <v>45</v>
      </c>
      <c r="D27">
        <f>AA28/A31</f>
        <v>0</v>
      </c>
      <c r="G27" t="s">
        <v>56</v>
      </c>
      <c r="K27" t="s">
        <v>57</v>
      </c>
      <c r="L27" t="s">
        <v>58</v>
      </c>
      <c r="M27" t="s">
        <v>59</v>
      </c>
      <c r="N27" t="s">
        <v>60</v>
      </c>
      <c r="P27" t="s">
        <v>57</v>
      </c>
      <c r="Q27" t="s">
        <v>58</v>
      </c>
      <c r="R27" t="s">
        <v>59</v>
      </c>
      <c r="S27" t="s">
        <v>60</v>
      </c>
      <c r="Z27">
        <f t="shared" si="35"/>
        <v>0</v>
      </c>
      <c r="AA27">
        <f t="shared" si="36"/>
        <v>0</v>
      </c>
      <c r="AE27">
        <f t="shared" si="37"/>
        <v>0</v>
      </c>
      <c r="AF27">
        <f t="shared" si="38"/>
        <v>0</v>
      </c>
      <c r="AG27">
        <f t="shared" si="39"/>
        <v>0</v>
      </c>
      <c r="AK27">
        <f t="shared" si="40"/>
        <v>0</v>
      </c>
      <c r="AL27">
        <f t="shared" si="41"/>
        <v>0</v>
      </c>
      <c r="AM27">
        <f t="shared" si="42"/>
        <v>0</v>
      </c>
      <c r="AN27">
        <f t="shared" si="43"/>
        <v>0</v>
      </c>
      <c r="AP27">
        <f t="shared" si="46"/>
        <v>0</v>
      </c>
      <c r="AQ27" s="4">
        <f t="shared" si="47"/>
        <v>0</v>
      </c>
      <c r="AR27" s="4">
        <f t="shared" si="44"/>
        <v>0</v>
      </c>
      <c r="AS27" s="4">
        <f t="shared" si="44"/>
        <v>0</v>
      </c>
      <c r="AT27" s="4">
        <f t="shared" si="44"/>
        <v>0</v>
      </c>
      <c r="AU27" s="4">
        <f t="shared" si="44"/>
        <v>0</v>
      </c>
      <c r="AV27" s="4">
        <f t="shared" si="44"/>
        <v>0</v>
      </c>
      <c r="AW27" s="4">
        <f t="shared" si="44"/>
        <v>0</v>
      </c>
      <c r="AX27" s="4">
        <f t="shared" si="44"/>
        <v>0</v>
      </c>
      <c r="AY27" s="4">
        <f t="shared" si="44"/>
        <v>0</v>
      </c>
      <c r="AZ27" s="4">
        <f t="shared" si="44"/>
        <v>0</v>
      </c>
      <c r="BA27" s="4">
        <f t="shared" si="44"/>
        <v>0</v>
      </c>
      <c r="BB27" s="4">
        <f t="shared" si="44"/>
        <v>0</v>
      </c>
      <c r="BC27" s="4">
        <f t="shared" si="44"/>
        <v>0</v>
      </c>
      <c r="BD27" s="4">
        <f t="shared" si="44"/>
        <v>0</v>
      </c>
      <c r="BE27" s="4">
        <f t="shared" si="44"/>
        <v>0</v>
      </c>
      <c r="BF27" s="4">
        <f t="shared" si="44"/>
        <v>0</v>
      </c>
      <c r="BG27" s="4">
        <f t="shared" si="44"/>
        <v>0</v>
      </c>
      <c r="BH27" s="4">
        <f t="shared" si="45"/>
        <v>0</v>
      </c>
      <c r="BI27" s="4">
        <f t="shared" si="45"/>
        <v>0</v>
      </c>
      <c r="BJ27" s="4">
        <f t="shared" si="45"/>
        <v>0</v>
      </c>
      <c r="BK27" s="4">
        <f t="shared" si="45"/>
        <v>0</v>
      </c>
      <c r="BL27" s="4">
        <f t="shared" si="45"/>
        <v>0</v>
      </c>
      <c r="BM27" s="4">
        <f t="shared" si="45"/>
        <v>0</v>
      </c>
      <c r="BN27" s="4">
        <f t="shared" si="45"/>
        <v>0</v>
      </c>
    </row>
    <row r="28" spans="1:66" x14ac:dyDescent="0.2">
      <c r="A28" t="s">
        <v>46</v>
      </c>
      <c r="D28" t="s">
        <v>202</v>
      </c>
      <c r="G28" t="s">
        <v>57</v>
      </c>
      <c r="H28" t="s">
        <v>58</v>
      </c>
      <c r="I28" t="s">
        <v>59</v>
      </c>
      <c r="J28" t="s">
        <v>60</v>
      </c>
      <c r="K28">
        <f>AVERAGE(G39:G50)</f>
        <v>0</v>
      </c>
      <c r="L28">
        <f>MEDIAN(G39:G50)</f>
        <v>0</v>
      </c>
      <c r="M28">
        <f>MAX(G39:G50)</f>
        <v>0</v>
      </c>
      <c r="N28">
        <f>_xlfn.STDEV.S(G39:G50)</f>
        <v>0</v>
      </c>
      <c r="P28">
        <f>AVERAGE(N39:N50)</f>
        <v>4.083333333333333</v>
      </c>
      <c r="Q28">
        <f>MEDIAN(N39:N50)</f>
        <v>1</v>
      </c>
      <c r="R28">
        <f>MAX(N39:N50)</f>
        <v>23</v>
      </c>
      <c r="S28">
        <f>_xlfn.STDEV.S(N39:N50)</f>
        <v>6.7346908322550787</v>
      </c>
      <c r="Y28" t="s">
        <v>33</v>
      </c>
      <c r="Z28">
        <f>SUM(Z16:Z27)</f>
        <v>0</v>
      </c>
      <c r="AA28">
        <f>SUM(AA16:AA27)</f>
        <v>0</v>
      </c>
      <c r="AE28">
        <f>SUM(AE16:AE27)</f>
        <v>0</v>
      </c>
      <c r="AF28">
        <f>SUM(AF16:AF27)</f>
        <v>1</v>
      </c>
      <c r="AG28">
        <f>SUM(AG16:AG27)</f>
        <v>0</v>
      </c>
      <c r="AK28">
        <f>SUM(AK16:AK27)</f>
        <v>0</v>
      </c>
      <c r="AL28">
        <f>SUM(AL16:AL27)</f>
        <v>0</v>
      </c>
      <c r="AM28">
        <f>SUM(AM16:AM27)</f>
        <v>0</v>
      </c>
      <c r="AN28">
        <f>SUM(AN16:AN27)</f>
        <v>0</v>
      </c>
      <c r="AP28">
        <f>SUM(AP16:AP27)</f>
        <v>0</v>
      </c>
    </row>
    <row r="29" spans="1:66" x14ac:dyDescent="0.2">
      <c r="D29">
        <f>SUM(O39:O50)/F16</f>
        <v>1</v>
      </c>
      <c r="G29">
        <f>AVERAGE(A39:A50)</f>
        <v>8.3333333333333329E-2</v>
      </c>
      <c r="H29">
        <f>MEDIAN(A39:A50)</f>
        <v>0</v>
      </c>
      <c r="I29">
        <f>MAX(A39:A50)</f>
        <v>1</v>
      </c>
      <c r="J29">
        <f>_xlfn.STDEV.S(A39:A50)</f>
        <v>0.28867513459481287</v>
      </c>
      <c r="K29" t="s">
        <v>63</v>
      </c>
      <c r="P29" t="s">
        <v>148</v>
      </c>
    </row>
    <row r="30" spans="1:66" x14ac:dyDescent="0.2">
      <c r="A30" t="s">
        <v>147</v>
      </c>
      <c r="D30" t="s">
        <v>203</v>
      </c>
      <c r="G30" t="s">
        <v>50</v>
      </c>
      <c r="H30" t="s">
        <v>51</v>
      </c>
      <c r="I30" t="s">
        <v>89</v>
      </c>
      <c r="K30" t="s">
        <v>57</v>
      </c>
      <c r="L30" t="s">
        <v>58</v>
      </c>
      <c r="M30" t="s">
        <v>59</v>
      </c>
      <c r="N30" t="s">
        <v>60</v>
      </c>
      <c r="P30" t="s">
        <v>57</v>
      </c>
      <c r="Q30" t="s">
        <v>58</v>
      </c>
      <c r="R30" t="s">
        <v>59</v>
      </c>
      <c r="S30" t="s">
        <v>60</v>
      </c>
      <c r="W30" t="s">
        <v>148</v>
      </c>
      <c r="Y30" t="s">
        <v>149</v>
      </c>
      <c r="AH30" t="s">
        <v>79</v>
      </c>
    </row>
    <row r="31" spans="1:66" x14ac:dyDescent="0.2">
      <c r="A31">
        <f>COUNT(B4:B15)</f>
        <v>12</v>
      </c>
      <c r="D31" s="2">
        <f>SUM(S39:S50)/SUM(Q39:Q50)</f>
        <v>1</v>
      </c>
      <c r="G31">
        <f>AE28/A31</f>
        <v>0</v>
      </c>
      <c r="H31">
        <f>AF28/A31</f>
        <v>8.3333333333333329E-2</v>
      </c>
      <c r="I31">
        <f>AG28/A31</f>
        <v>0</v>
      </c>
      <c r="K31" t="e">
        <f>AVERAGE(I39:I50)</f>
        <v>#DIV/0!</v>
      </c>
      <c r="L31" t="e">
        <f>MEDIAN(I39:I50)</f>
        <v>#NUM!</v>
      </c>
      <c r="M31">
        <f>MAX(I39:I50)</f>
        <v>0</v>
      </c>
      <c r="N31" t="e">
        <f>_xlfn.STDEV.S(I39:I50)</f>
        <v>#DIV/0!</v>
      </c>
      <c r="P31" t="e">
        <f>AVERAGE(W31:W42)</f>
        <v>#DIV/0!</v>
      </c>
      <c r="Q31" t="e">
        <f>MEDIAN(W31:W42)</f>
        <v>#NUM!</v>
      </c>
      <c r="R31">
        <f>MAX(W31:W42)</f>
        <v>0</v>
      </c>
      <c r="S31" t="e">
        <f>_xlfn.STDEV.S(W31:W42)</f>
        <v>#DIV/0!</v>
      </c>
      <c r="W31" t="str">
        <f t="shared" ref="W31:W33" si="48">IF(AND(ISBLANK(Q4), ISBLANK(R4), ISBLANK(G4), ISBLANK(H4)), "", U4)</f>
        <v/>
      </c>
      <c r="Y31" t="str">
        <f t="shared" ref="Y31:Y42" si="49">IF(ISBLANK(Y4), IF(X4 = 0, "", (G4 + H4/3 + V4/9 + W4/3)), U4)</f>
        <v/>
      </c>
      <c r="AH31" t="s">
        <v>80</v>
      </c>
    </row>
    <row r="32" spans="1:66" x14ac:dyDescent="0.2">
      <c r="D32" s="3"/>
      <c r="K32" t="s">
        <v>64</v>
      </c>
      <c r="P32" t="s">
        <v>149</v>
      </c>
      <c r="W32" t="str">
        <f t="shared" si="48"/>
        <v/>
      </c>
      <c r="Y32" t="str">
        <f t="shared" si="49"/>
        <v/>
      </c>
      <c r="AH32" t="s">
        <v>81</v>
      </c>
    </row>
    <row r="33" spans="1:34" x14ac:dyDescent="0.2">
      <c r="A33" t="s">
        <v>216</v>
      </c>
      <c r="D33" s="3"/>
      <c r="K33" t="s">
        <v>57</v>
      </c>
      <c r="L33" t="s">
        <v>58</v>
      </c>
      <c r="M33" t="s">
        <v>59</v>
      </c>
      <c r="N33" t="s">
        <v>60</v>
      </c>
      <c r="P33" t="s">
        <v>57</v>
      </c>
      <c r="Q33" t="s">
        <v>58</v>
      </c>
      <c r="R33" t="s">
        <v>59</v>
      </c>
      <c r="S33" t="s">
        <v>60</v>
      </c>
      <c r="W33" t="str">
        <f t="shared" si="48"/>
        <v/>
      </c>
      <c r="Y33" t="str">
        <f t="shared" si="49"/>
        <v/>
      </c>
      <c r="AH33" t="s">
        <v>82</v>
      </c>
    </row>
    <row r="34" spans="1:34" x14ac:dyDescent="0.2">
      <c r="A34" t="s">
        <v>231</v>
      </c>
      <c r="D34" s="3"/>
      <c r="K34">
        <f>AVERAGE(K39:K50)</f>
        <v>0</v>
      </c>
      <c r="L34">
        <f>MEDIAN(K39:K50)</f>
        <v>0</v>
      </c>
      <c r="M34">
        <f>MAX(K39:K50)</f>
        <v>0</v>
      </c>
      <c r="N34">
        <f>_xlfn.STDEV.S(K39:K50)</f>
        <v>0</v>
      </c>
      <c r="P34" t="e">
        <f>AVERAGE(Y31:Y42)</f>
        <v>#DIV/0!</v>
      </c>
      <c r="Q34" t="e">
        <f>MEDIAN(Y31:Y42)</f>
        <v>#NUM!</v>
      </c>
      <c r="R34">
        <f>MAX(Y31:Y42)</f>
        <v>0</v>
      </c>
      <c r="S34" t="e">
        <f>_xlfn.STDEV.S(Y31:Y42)</f>
        <v>#DIV/0!</v>
      </c>
      <c r="W34" t="str">
        <f>IF(AND(ISBLANK(Q7), ISBLANK(R7), ISBLANK(G7), ISBLANK(H7)), "", U7)</f>
        <v/>
      </c>
      <c r="Y34" t="str">
        <f t="shared" si="49"/>
        <v/>
      </c>
      <c r="AH34" t="s">
        <v>83</v>
      </c>
    </row>
    <row r="35" spans="1:34" x14ac:dyDescent="0.2">
      <c r="A35" t="s">
        <v>329</v>
      </c>
      <c r="P35" t="s">
        <v>95</v>
      </c>
      <c r="R35" t="s">
        <v>197</v>
      </c>
      <c r="W35" t="str">
        <f t="shared" ref="W35:W42" si="50">IF(AND(ISBLANK(Q8), ISBLANK(R8), ISBLANK(G8), ISBLANK(H8)), "", U8)</f>
        <v/>
      </c>
      <c r="Y35" t="str">
        <f t="shared" si="49"/>
        <v/>
      </c>
    </row>
    <row r="36" spans="1:34" x14ac:dyDescent="0.2">
      <c r="P36" t="e">
        <f>Q16/(Q16+R16)</f>
        <v>#DIV/0!</v>
      </c>
      <c r="R36" t="e">
        <f>R16/(Q16+R16)</f>
        <v>#DIV/0!</v>
      </c>
      <c r="W36" t="str">
        <f t="shared" si="50"/>
        <v/>
      </c>
      <c r="Y36" t="str">
        <f t="shared" si="49"/>
        <v/>
      </c>
    </row>
    <row r="37" spans="1:34" x14ac:dyDescent="0.2">
      <c r="W37" t="str">
        <f t="shared" si="50"/>
        <v/>
      </c>
      <c r="Y37" t="str">
        <f t="shared" si="49"/>
        <v/>
      </c>
    </row>
    <row r="38" spans="1:34" x14ac:dyDescent="0.2">
      <c r="A38" t="s">
        <v>68</v>
      </c>
      <c r="C38" t="s">
        <v>69</v>
      </c>
      <c r="E38" t="s">
        <v>72</v>
      </c>
      <c r="G38" t="s">
        <v>250</v>
      </c>
      <c r="K38" t="s">
        <v>73</v>
      </c>
      <c r="M38" t="s">
        <v>70</v>
      </c>
      <c r="N38" t="s">
        <v>71</v>
      </c>
      <c r="O38" t="s">
        <v>199</v>
      </c>
      <c r="Q38" t="s">
        <v>200</v>
      </c>
      <c r="S38" t="s">
        <v>201</v>
      </c>
      <c r="W38" t="str">
        <f t="shared" si="50"/>
        <v/>
      </c>
      <c r="Y38" t="str">
        <f t="shared" si="49"/>
        <v/>
      </c>
    </row>
    <row r="39" spans="1:34" x14ac:dyDescent="0.2">
      <c r="A39">
        <f t="shared" ref="A39:A50" si="51">IF(ISBLANK(B4), "", SUM(AE16+AF16+AG16))</f>
        <v>0</v>
      </c>
      <c r="C39">
        <f t="shared" ref="C39:C50" si="52">IF(ISBLANK(B4), "", O4)</f>
        <v>4</v>
      </c>
      <c r="E39">
        <f t="shared" ref="E39:E50" si="53">IF(ISBLANK(B4), "", Q4)</f>
        <v>0</v>
      </c>
      <c r="G39">
        <f t="shared" ref="G39:G50" si="54">IF(ISBLANK(B4), "", R4)</f>
        <v>0</v>
      </c>
      <c r="K39">
        <f t="shared" ref="K39:K50" si="55">IF(ISBLANK(B4), "", SUM(Q4 + R4))</f>
        <v>0</v>
      </c>
      <c r="M39">
        <f t="shared" ref="M39:M50" si="56">IF(ISBLANK(B4), "", SUM(K4+M4) - O4)</f>
        <v>0</v>
      </c>
      <c r="N39">
        <f t="shared" ref="N39:N50" si="57">IF(ISBLANK(B4), "", U4)</f>
        <v>23</v>
      </c>
      <c r="O39">
        <f t="shared" ref="O39:O50" si="58">COUNTIF(E4, "1")*COUNTIF(F4, "1")</f>
        <v>0</v>
      </c>
      <c r="Q39">
        <f t="shared" ref="Q39:Q50" si="59">COUNTIF(D4, "1")*COUNTIF(F4, "")</f>
        <v>1</v>
      </c>
      <c r="S39">
        <f t="shared" ref="S39:S50" si="60">COUNTIF(E4, "1")*COUNTIF(F4, "")</f>
        <v>1</v>
      </c>
      <c r="W39" t="str">
        <f t="shared" si="50"/>
        <v/>
      </c>
      <c r="Y39" t="str">
        <f t="shared" si="49"/>
        <v/>
      </c>
    </row>
    <row r="40" spans="1:34" x14ac:dyDescent="0.2">
      <c r="A40">
        <f t="shared" si="51"/>
        <v>0</v>
      </c>
      <c r="C40">
        <f t="shared" si="52"/>
        <v>0</v>
      </c>
      <c r="E40">
        <f t="shared" si="53"/>
        <v>0</v>
      </c>
      <c r="G40">
        <f t="shared" si="54"/>
        <v>0</v>
      </c>
      <c r="K40">
        <f t="shared" si="55"/>
        <v>0</v>
      </c>
      <c r="M40">
        <f t="shared" si="56"/>
        <v>0</v>
      </c>
      <c r="N40">
        <f t="shared" si="57"/>
        <v>0</v>
      </c>
      <c r="O40">
        <f t="shared" si="58"/>
        <v>0</v>
      </c>
      <c r="Q40">
        <f t="shared" si="59"/>
        <v>1</v>
      </c>
      <c r="S40">
        <f t="shared" si="60"/>
        <v>1</v>
      </c>
      <c r="W40" t="str">
        <f t="shared" si="50"/>
        <v/>
      </c>
      <c r="Y40" t="str">
        <f t="shared" si="49"/>
        <v/>
      </c>
    </row>
    <row r="41" spans="1:34" x14ac:dyDescent="0.2">
      <c r="A41">
        <f t="shared" si="51"/>
        <v>0</v>
      </c>
      <c r="C41">
        <f t="shared" si="52"/>
        <v>0</v>
      </c>
      <c r="E41">
        <f t="shared" si="53"/>
        <v>0</v>
      </c>
      <c r="G41">
        <f t="shared" si="54"/>
        <v>0</v>
      </c>
      <c r="K41">
        <f t="shared" si="55"/>
        <v>0</v>
      </c>
      <c r="M41">
        <f t="shared" si="56"/>
        <v>0</v>
      </c>
      <c r="N41">
        <f t="shared" si="57"/>
        <v>0</v>
      </c>
      <c r="O41">
        <f t="shared" si="58"/>
        <v>1</v>
      </c>
      <c r="Q41">
        <f t="shared" si="59"/>
        <v>0</v>
      </c>
      <c r="S41">
        <f t="shared" si="60"/>
        <v>0</v>
      </c>
      <c r="W41" t="str">
        <f t="shared" si="50"/>
        <v/>
      </c>
      <c r="Y41" t="str">
        <f t="shared" si="49"/>
        <v/>
      </c>
    </row>
    <row r="42" spans="1:34" x14ac:dyDescent="0.2">
      <c r="A42">
        <f t="shared" si="51"/>
        <v>0</v>
      </c>
      <c r="C42">
        <f t="shared" si="52"/>
        <v>3</v>
      </c>
      <c r="E42">
        <f t="shared" si="53"/>
        <v>0</v>
      </c>
      <c r="G42">
        <f t="shared" si="54"/>
        <v>0</v>
      </c>
      <c r="K42">
        <f t="shared" si="55"/>
        <v>0</v>
      </c>
      <c r="M42">
        <f t="shared" si="56"/>
        <v>0</v>
      </c>
      <c r="N42">
        <f t="shared" si="57"/>
        <v>6</v>
      </c>
      <c r="O42">
        <f t="shared" si="58"/>
        <v>1</v>
      </c>
      <c r="Q42">
        <f t="shared" si="59"/>
        <v>0</v>
      </c>
      <c r="S42">
        <f t="shared" si="60"/>
        <v>0</v>
      </c>
      <c r="W42" t="str">
        <f t="shared" si="50"/>
        <v/>
      </c>
      <c r="Y42" t="str">
        <f t="shared" si="49"/>
        <v/>
      </c>
    </row>
    <row r="43" spans="1:34" x14ac:dyDescent="0.2">
      <c r="A43">
        <f t="shared" si="51"/>
        <v>0</v>
      </c>
      <c r="C43">
        <f t="shared" si="52"/>
        <v>2</v>
      </c>
      <c r="E43">
        <f t="shared" si="53"/>
        <v>0</v>
      </c>
      <c r="G43">
        <f t="shared" si="54"/>
        <v>0</v>
      </c>
      <c r="K43">
        <f t="shared" si="55"/>
        <v>0</v>
      </c>
      <c r="M43">
        <f t="shared" si="56"/>
        <v>0</v>
      </c>
      <c r="N43">
        <f t="shared" si="57"/>
        <v>0</v>
      </c>
      <c r="O43">
        <f t="shared" si="58"/>
        <v>0</v>
      </c>
      <c r="Q43">
        <f t="shared" si="59"/>
        <v>1</v>
      </c>
      <c r="S43">
        <f t="shared" si="60"/>
        <v>1</v>
      </c>
    </row>
    <row r="44" spans="1:34" x14ac:dyDescent="0.2">
      <c r="A44">
        <f t="shared" si="51"/>
        <v>1</v>
      </c>
      <c r="C44">
        <f t="shared" si="52"/>
        <v>1</v>
      </c>
      <c r="E44">
        <f t="shared" si="53"/>
        <v>0</v>
      </c>
      <c r="G44">
        <f t="shared" si="54"/>
        <v>0</v>
      </c>
      <c r="K44">
        <f t="shared" si="55"/>
        <v>0</v>
      </c>
      <c r="M44">
        <f t="shared" si="56"/>
        <v>0</v>
      </c>
      <c r="N44">
        <f t="shared" si="57"/>
        <v>0</v>
      </c>
      <c r="O44">
        <f t="shared" si="58"/>
        <v>1</v>
      </c>
      <c r="Q44">
        <f t="shared" si="59"/>
        <v>0</v>
      </c>
      <c r="S44">
        <f t="shared" si="60"/>
        <v>0</v>
      </c>
    </row>
    <row r="45" spans="1:34" x14ac:dyDescent="0.2">
      <c r="A45">
        <f t="shared" si="51"/>
        <v>0</v>
      </c>
      <c r="C45">
        <f t="shared" si="52"/>
        <v>3</v>
      </c>
      <c r="E45">
        <f t="shared" si="53"/>
        <v>0</v>
      </c>
      <c r="G45">
        <f t="shared" si="54"/>
        <v>0</v>
      </c>
      <c r="K45">
        <f t="shared" si="55"/>
        <v>0</v>
      </c>
      <c r="M45">
        <f t="shared" si="56"/>
        <v>0</v>
      </c>
      <c r="N45">
        <f t="shared" si="57"/>
        <v>1</v>
      </c>
      <c r="O45">
        <f t="shared" si="58"/>
        <v>1</v>
      </c>
      <c r="Q45">
        <f t="shared" si="59"/>
        <v>0</v>
      </c>
      <c r="S45">
        <f t="shared" si="60"/>
        <v>0</v>
      </c>
    </row>
    <row r="46" spans="1:34" x14ac:dyDescent="0.2">
      <c r="A46">
        <f t="shared" si="51"/>
        <v>0</v>
      </c>
      <c r="C46">
        <f t="shared" si="52"/>
        <v>3</v>
      </c>
      <c r="E46">
        <f t="shared" si="53"/>
        <v>0</v>
      </c>
      <c r="G46">
        <f t="shared" si="54"/>
        <v>0</v>
      </c>
      <c r="K46">
        <f t="shared" si="55"/>
        <v>0</v>
      </c>
      <c r="M46">
        <f t="shared" si="56"/>
        <v>-1</v>
      </c>
      <c r="N46">
        <f t="shared" si="57"/>
        <v>1</v>
      </c>
      <c r="O46">
        <f t="shared" si="58"/>
        <v>1</v>
      </c>
      <c r="Q46">
        <f t="shared" si="59"/>
        <v>0</v>
      </c>
      <c r="S46">
        <f t="shared" si="60"/>
        <v>0</v>
      </c>
    </row>
    <row r="47" spans="1:34" x14ac:dyDescent="0.2">
      <c r="A47">
        <f t="shared" si="51"/>
        <v>0</v>
      </c>
      <c r="C47">
        <f t="shared" si="52"/>
        <v>3</v>
      </c>
      <c r="E47">
        <f t="shared" si="53"/>
        <v>0</v>
      </c>
      <c r="G47">
        <f t="shared" si="54"/>
        <v>0</v>
      </c>
      <c r="K47">
        <f t="shared" si="55"/>
        <v>0</v>
      </c>
      <c r="M47">
        <f t="shared" si="56"/>
        <v>0</v>
      </c>
      <c r="N47">
        <f t="shared" si="57"/>
        <v>8</v>
      </c>
      <c r="O47">
        <f t="shared" si="58"/>
        <v>1</v>
      </c>
      <c r="Q47">
        <f t="shared" si="59"/>
        <v>0</v>
      </c>
      <c r="S47">
        <f t="shared" si="60"/>
        <v>0</v>
      </c>
    </row>
    <row r="48" spans="1:34" x14ac:dyDescent="0.2">
      <c r="A48">
        <f t="shared" si="51"/>
        <v>0</v>
      </c>
      <c r="C48">
        <f t="shared" si="52"/>
        <v>3</v>
      </c>
      <c r="E48">
        <f t="shared" si="53"/>
        <v>0</v>
      </c>
      <c r="G48">
        <f t="shared" si="54"/>
        <v>0</v>
      </c>
      <c r="K48">
        <f t="shared" si="55"/>
        <v>0</v>
      </c>
      <c r="M48">
        <f t="shared" si="56"/>
        <v>0</v>
      </c>
      <c r="N48">
        <f t="shared" si="57"/>
        <v>2</v>
      </c>
      <c r="O48">
        <f t="shared" si="58"/>
        <v>1</v>
      </c>
      <c r="Q48">
        <f t="shared" si="59"/>
        <v>0</v>
      </c>
      <c r="S48">
        <f t="shared" si="60"/>
        <v>0</v>
      </c>
    </row>
    <row r="49" spans="1:19" x14ac:dyDescent="0.2">
      <c r="A49">
        <f t="shared" si="51"/>
        <v>0</v>
      </c>
      <c r="C49">
        <f t="shared" si="52"/>
        <v>4</v>
      </c>
      <c r="E49">
        <f t="shared" si="53"/>
        <v>0</v>
      </c>
      <c r="G49">
        <f t="shared" si="54"/>
        <v>0</v>
      </c>
      <c r="K49">
        <f t="shared" si="55"/>
        <v>0</v>
      </c>
      <c r="M49">
        <f t="shared" si="56"/>
        <v>-1</v>
      </c>
      <c r="N49">
        <f t="shared" si="57"/>
        <v>8</v>
      </c>
      <c r="O49">
        <f t="shared" si="58"/>
        <v>0</v>
      </c>
      <c r="Q49">
        <f t="shared" si="59"/>
        <v>0</v>
      </c>
      <c r="S49">
        <f t="shared" si="60"/>
        <v>0</v>
      </c>
    </row>
    <row r="50" spans="1:19" x14ac:dyDescent="0.2">
      <c r="A50">
        <f t="shared" si="51"/>
        <v>0</v>
      </c>
      <c r="C50">
        <f t="shared" si="52"/>
        <v>4</v>
      </c>
      <c r="E50">
        <f t="shared" si="53"/>
        <v>0</v>
      </c>
      <c r="G50">
        <f t="shared" si="54"/>
        <v>0</v>
      </c>
      <c r="K50">
        <f t="shared" si="55"/>
        <v>0</v>
      </c>
      <c r="M50">
        <f t="shared" si="56"/>
        <v>0</v>
      </c>
      <c r="N50">
        <f t="shared" si="57"/>
        <v>0</v>
      </c>
      <c r="O50">
        <f t="shared" si="58"/>
        <v>1</v>
      </c>
      <c r="Q50">
        <f t="shared" si="59"/>
        <v>0</v>
      </c>
      <c r="S50">
        <f t="shared" si="60"/>
        <v>0</v>
      </c>
    </row>
  </sheetData>
  <pageMargins left="0.7" right="0.7" top="0.75" bottom="0.75" header="0.3" footer="0.3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 enableFormatConditionsCalculation="0"/>
  <dimension ref="A1:BN50"/>
  <sheetViews>
    <sheetView topLeftCell="C1" workbookViewId="0">
      <selection activeCell="U15" sqref="U15"/>
    </sheetView>
  </sheetViews>
  <sheetFormatPr baseColWidth="10" defaultColWidth="11.5" defaultRowHeight="15" x14ac:dyDescent="0.2"/>
  <sheetData>
    <row r="1" spans="1:66" x14ac:dyDescent="0.2">
      <c r="A1" s="1" t="s">
        <v>0</v>
      </c>
      <c r="D1" t="s">
        <v>3</v>
      </c>
      <c r="K1" t="s">
        <v>11</v>
      </c>
      <c r="N1" t="s">
        <v>12</v>
      </c>
      <c r="P1" t="s">
        <v>14</v>
      </c>
      <c r="Q1" t="s">
        <v>17</v>
      </c>
      <c r="S1" t="s">
        <v>18</v>
      </c>
      <c r="Z1" t="s">
        <v>29</v>
      </c>
      <c r="AE1" t="s">
        <v>30</v>
      </c>
      <c r="AK1" t="s">
        <v>42</v>
      </c>
    </row>
    <row r="2" spans="1:66" x14ac:dyDescent="0.2">
      <c r="A2" t="s">
        <v>1</v>
      </c>
      <c r="B2" t="s">
        <v>1</v>
      </c>
      <c r="C2" t="s">
        <v>87</v>
      </c>
      <c r="D2" t="s">
        <v>54</v>
      </c>
      <c r="E2" t="s">
        <v>13</v>
      </c>
      <c r="F2" t="s">
        <v>198</v>
      </c>
      <c r="G2" t="s">
        <v>7</v>
      </c>
      <c r="H2" t="s">
        <v>8</v>
      </c>
      <c r="I2" t="s">
        <v>179</v>
      </c>
      <c r="J2" t="s">
        <v>178</v>
      </c>
      <c r="K2" t="s">
        <v>9</v>
      </c>
      <c r="L2" t="s">
        <v>196</v>
      </c>
      <c r="M2" t="s">
        <v>10</v>
      </c>
      <c r="N2" t="s">
        <v>54</v>
      </c>
      <c r="O2" t="s">
        <v>13</v>
      </c>
      <c r="P2" t="s">
        <v>15</v>
      </c>
      <c r="Q2" t="s">
        <v>8</v>
      </c>
      <c r="R2" t="s">
        <v>7</v>
      </c>
      <c r="S2" t="s">
        <v>181</v>
      </c>
      <c r="T2" t="s">
        <v>182</v>
      </c>
      <c r="U2" t="s">
        <v>19</v>
      </c>
      <c r="V2" t="s">
        <v>191</v>
      </c>
      <c r="W2" t="s">
        <v>192</v>
      </c>
      <c r="X2" t="s">
        <v>175</v>
      </c>
      <c r="Y2" t="s">
        <v>173</v>
      </c>
      <c r="Z2" t="str">
        <f t="shared" ref="Z2:Z13" si="0">LEFT(I4, 1)</f>
        <v/>
      </c>
      <c r="AA2" t="str">
        <f t="shared" ref="AA2:AA13" si="1">MID(I4, 4, 1)</f>
        <v/>
      </c>
      <c r="AB2" t="str">
        <f t="shared" ref="AB2:AB13" si="2">MID(I4, 7, 1)</f>
        <v/>
      </c>
      <c r="AC2" t="str">
        <f t="shared" ref="AC2:AC13" si="3">MID(I4, 10, 1)</f>
        <v/>
      </c>
      <c r="AE2" t="str">
        <f t="shared" ref="AE2:AE13" si="4">LEFT(J4, 1)</f>
        <v/>
      </c>
      <c r="AF2" t="str">
        <f t="shared" ref="AF2:AF13" si="5">MID(J4, 4, 1)</f>
        <v/>
      </c>
      <c r="AG2" t="str">
        <f t="shared" ref="AG2:AG13" si="6">MID(J4, 7, 1)</f>
        <v/>
      </c>
      <c r="AH2" t="str">
        <f t="shared" ref="AH2:AH13" si="7">MID(J4, 10, 1)</f>
        <v/>
      </c>
      <c r="AI2" t="str">
        <f t="shared" ref="AI2:AI13" si="8">MID(J4, 13, 1)</f>
        <v/>
      </c>
      <c r="AK2" t="str">
        <f t="shared" ref="AK2:AK13" si="9">LEFT(P4, 2)</f>
        <v/>
      </c>
      <c r="AL2" t="str">
        <f>MID($P4, 5, 2)</f>
        <v/>
      </c>
      <c r="AM2" t="str">
        <f t="shared" ref="AM2:AM13" si="10">MID($P4, 9, 2)</f>
        <v/>
      </c>
      <c r="AN2" t="str">
        <f t="shared" ref="AN2:AN13" si="11">MID($P4, 13, 2)</f>
        <v/>
      </c>
      <c r="AO2" t="str">
        <f t="shared" ref="AO2:AO13" si="12">MID($P4, 17, 2)</f>
        <v/>
      </c>
      <c r="AP2" t="str">
        <f t="shared" ref="AP2:AP13" si="13">MID($P4, 21, 2)</f>
        <v/>
      </c>
      <c r="AQ2" t="str">
        <f t="shared" ref="AQ2:AQ13" si="14">MID($P4, 25, 2)</f>
        <v/>
      </c>
      <c r="AR2" t="str">
        <f t="shared" ref="AR2:AR13" si="15">MID($P4, 29, 2)</f>
        <v/>
      </c>
      <c r="AS2" t="str">
        <f t="shared" ref="AS2:AS13" si="16">MID($P4, 33, 2)</f>
        <v/>
      </c>
      <c r="AT2" t="str">
        <f t="shared" ref="AT2:AT13" si="17">MID($P4, 37, 2)</f>
        <v/>
      </c>
      <c r="AU2" t="str">
        <f t="shared" ref="AU2:AU13" si="18">MID($P4, 41, 2)</f>
        <v/>
      </c>
      <c r="AV2" t="str">
        <f t="shared" ref="AV2:AV13" si="19">MID($P4, 45, 2)</f>
        <v/>
      </c>
      <c r="AW2" t="str">
        <f t="shared" ref="AW2:AW13" si="20">MID($P4, 49, 2)</f>
        <v/>
      </c>
      <c r="AX2" t="str">
        <f t="shared" ref="AX2:AX13" si="21">MID($P4, 53, 2)</f>
        <v/>
      </c>
      <c r="AY2" t="str">
        <f t="shared" ref="AY2:AY13" si="22">MID($P4, 57, 2)</f>
        <v/>
      </c>
      <c r="AZ2" t="str">
        <f t="shared" ref="AZ2:AZ13" si="23">MID($P4, 61, 2)</f>
        <v/>
      </c>
      <c r="BA2" t="str">
        <f t="shared" ref="BA2:BA13" si="24">MID($P4, 65, 2)</f>
        <v/>
      </c>
      <c r="BB2" t="str">
        <f t="shared" ref="BB2:BB13" si="25">MID($P4, 69, 2)</f>
        <v/>
      </c>
      <c r="BC2" t="str">
        <f t="shared" ref="BC2:BC13" si="26">MID($P4, 73, 2)</f>
        <v/>
      </c>
      <c r="BD2" t="str">
        <f t="shared" ref="BD2:BD13" si="27">MID($P4, 77, 2)</f>
        <v/>
      </c>
      <c r="BE2" t="str">
        <f t="shared" ref="BE2:BE13" si="28">MID($P4, 81, 2)</f>
        <v/>
      </c>
      <c r="BF2" t="str">
        <f t="shared" ref="BF2:BF13" si="29">MID($P4, 85, 2)</f>
        <v/>
      </c>
      <c r="BG2" t="str">
        <f t="shared" ref="BG2:BG13" si="30">MID($P4, 89, 2)</f>
        <v/>
      </c>
      <c r="BH2" t="str">
        <f t="shared" ref="BH2:BH13" si="31">MID($P4, 93, 2)</f>
        <v/>
      </c>
    </row>
    <row r="3" spans="1:66" x14ac:dyDescent="0.2">
      <c r="A3" t="s">
        <v>2</v>
      </c>
      <c r="B3" t="s">
        <v>6</v>
      </c>
      <c r="C3" t="s">
        <v>88</v>
      </c>
      <c r="D3" t="s">
        <v>6</v>
      </c>
      <c r="E3" t="s">
        <v>6</v>
      </c>
      <c r="F3" t="s">
        <v>4</v>
      </c>
      <c r="G3" t="s">
        <v>6</v>
      </c>
      <c r="H3" t="s">
        <v>6</v>
      </c>
      <c r="I3" t="s">
        <v>86</v>
      </c>
      <c r="J3" t="s">
        <v>86</v>
      </c>
      <c r="K3" t="s">
        <v>6</v>
      </c>
      <c r="L3" t="s">
        <v>6</v>
      </c>
      <c r="M3" t="s">
        <v>6</v>
      </c>
      <c r="N3" t="s">
        <v>6</v>
      </c>
      <c r="O3" t="s">
        <v>6</v>
      </c>
      <c r="P3" t="s">
        <v>16</v>
      </c>
      <c r="Q3" t="s">
        <v>6</v>
      </c>
      <c r="R3" t="s">
        <v>6</v>
      </c>
      <c r="S3" t="s">
        <v>4</v>
      </c>
      <c r="T3" t="s">
        <v>4</v>
      </c>
      <c r="U3" t="s">
        <v>6</v>
      </c>
      <c r="V3" t="s">
        <v>6</v>
      </c>
      <c r="W3" t="s">
        <v>6</v>
      </c>
      <c r="X3" t="s">
        <v>6</v>
      </c>
      <c r="Y3" t="s">
        <v>174</v>
      </c>
      <c r="Z3" t="str">
        <f t="shared" si="0"/>
        <v/>
      </c>
      <c r="AA3" t="str">
        <f t="shared" si="1"/>
        <v/>
      </c>
      <c r="AB3" t="str">
        <f t="shared" si="2"/>
        <v/>
      </c>
      <c r="AC3" t="str">
        <f t="shared" si="3"/>
        <v/>
      </c>
      <c r="AE3" t="str">
        <f t="shared" si="4"/>
        <v>1</v>
      </c>
      <c r="AF3" t="str">
        <f t="shared" si="5"/>
        <v/>
      </c>
      <c r="AG3" t="str">
        <f t="shared" si="6"/>
        <v/>
      </c>
      <c r="AH3" t="str">
        <f t="shared" si="7"/>
        <v/>
      </c>
      <c r="AI3" t="str">
        <f t="shared" si="8"/>
        <v/>
      </c>
      <c r="AK3" t="str">
        <f t="shared" si="9"/>
        <v/>
      </c>
      <c r="AL3" t="str">
        <f t="shared" ref="AL3:AL13" si="32">MID(P5, 5, 2)</f>
        <v/>
      </c>
      <c r="AM3" t="str">
        <f t="shared" si="10"/>
        <v/>
      </c>
      <c r="AN3" t="str">
        <f t="shared" si="11"/>
        <v/>
      </c>
      <c r="AO3" t="str">
        <f t="shared" si="12"/>
        <v/>
      </c>
      <c r="AP3" t="str">
        <f t="shared" si="13"/>
        <v/>
      </c>
      <c r="AQ3" t="str">
        <f t="shared" si="14"/>
        <v/>
      </c>
      <c r="AR3" t="str">
        <f t="shared" si="15"/>
        <v/>
      </c>
      <c r="AS3" t="str">
        <f t="shared" si="16"/>
        <v/>
      </c>
      <c r="AT3" t="str">
        <f t="shared" si="17"/>
        <v/>
      </c>
      <c r="AU3" t="str">
        <f t="shared" si="18"/>
        <v/>
      </c>
      <c r="AV3" t="str">
        <f t="shared" si="19"/>
        <v/>
      </c>
      <c r="AW3" t="str">
        <f t="shared" si="20"/>
        <v/>
      </c>
      <c r="AX3" t="str">
        <f t="shared" si="21"/>
        <v/>
      </c>
      <c r="AY3" t="str">
        <f t="shared" si="22"/>
        <v/>
      </c>
      <c r="AZ3" t="str">
        <f t="shared" si="23"/>
        <v/>
      </c>
      <c r="BA3" t="str">
        <f t="shared" si="24"/>
        <v/>
      </c>
      <c r="BB3" t="str">
        <f t="shared" si="25"/>
        <v/>
      </c>
      <c r="BC3" t="str">
        <f t="shared" si="26"/>
        <v/>
      </c>
      <c r="BD3" t="str">
        <f t="shared" si="27"/>
        <v/>
      </c>
      <c r="BE3" t="str">
        <f t="shared" si="28"/>
        <v/>
      </c>
      <c r="BF3" t="str">
        <f t="shared" si="29"/>
        <v/>
      </c>
      <c r="BG3" t="str">
        <f t="shared" si="30"/>
        <v/>
      </c>
      <c r="BH3" t="str">
        <f t="shared" si="31"/>
        <v/>
      </c>
    </row>
    <row r="4" spans="1:66" x14ac:dyDescent="0.2">
      <c r="A4">
        <v>1</v>
      </c>
      <c r="B4">
        <v>7</v>
      </c>
      <c r="C4" t="s">
        <v>207</v>
      </c>
      <c r="D4">
        <v>1</v>
      </c>
      <c r="F4">
        <v>1</v>
      </c>
      <c r="K4">
        <v>3</v>
      </c>
      <c r="L4">
        <v>1</v>
      </c>
      <c r="N4">
        <v>3</v>
      </c>
      <c r="O4">
        <v>3</v>
      </c>
      <c r="S4">
        <v>1</v>
      </c>
      <c r="T4">
        <v>1</v>
      </c>
      <c r="X4">
        <f t="shared" ref="X4:X15" si="33">G4+H4+Q4+R4</f>
        <v>0</v>
      </c>
      <c r="Z4" t="str">
        <f t="shared" si="0"/>
        <v/>
      </c>
      <c r="AA4" t="str">
        <f t="shared" si="1"/>
        <v/>
      </c>
      <c r="AB4" t="str">
        <f t="shared" si="2"/>
        <v/>
      </c>
      <c r="AC4" t="str">
        <f t="shared" si="3"/>
        <v/>
      </c>
      <c r="AE4" t="str">
        <f t="shared" si="4"/>
        <v/>
      </c>
      <c r="AF4" t="str">
        <f t="shared" si="5"/>
        <v/>
      </c>
      <c r="AG4" t="str">
        <f t="shared" si="6"/>
        <v/>
      </c>
      <c r="AH4" t="str">
        <f t="shared" si="7"/>
        <v/>
      </c>
      <c r="AI4" t="str">
        <f t="shared" si="8"/>
        <v/>
      </c>
      <c r="AK4" t="str">
        <f t="shared" si="9"/>
        <v/>
      </c>
      <c r="AL4" t="str">
        <f t="shared" si="32"/>
        <v/>
      </c>
      <c r="AM4" t="str">
        <f t="shared" si="10"/>
        <v/>
      </c>
      <c r="AN4" t="str">
        <f t="shared" si="11"/>
        <v/>
      </c>
      <c r="AO4" t="str">
        <f t="shared" si="12"/>
        <v/>
      </c>
      <c r="AP4" t="str">
        <f t="shared" si="13"/>
        <v/>
      </c>
      <c r="AQ4" t="str">
        <f t="shared" si="14"/>
        <v/>
      </c>
      <c r="AR4" t="str">
        <f t="shared" si="15"/>
        <v/>
      </c>
      <c r="AS4" t="str">
        <f t="shared" si="16"/>
        <v/>
      </c>
      <c r="AT4" t="str">
        <f t="shared" si="17"/>
        <v/>
      </c>
      <c r="AU4" t="str">
        <f t="shared" si="18"/>
        <v/>
      </c>
      <c r="AV4" t="str">
        <f t="shared" si="19"/>
        <v/>
      </c>
      <c r="AW4" t="str">
        <f t="shared" si="20"/>
        <v/>
      </c>
      <c r="AX4" t="str">
        <f t="shared" si="21"/>
        <v/>
      </c>
      <c r="AY4" t="str">
        <f t="shared" si="22"/>
        <v/>
      </c>
      <c r="AZ4" t="str">
        <f t="shared" si="23"/>
        <v/>
      </c>
      <c r="BA4" t="str">
        <f t="shared" si="24"/>
        <v/>
      </c>
      <c r="BB4" t="str">
        <f t="shared" si="25"/>
        <v/>
      </c>
      <c r="BC4" t="str">
        <f t="shared" si="26"/>
        <v/>
      </c>
      <c r="BD4" t="str">
        <f t="shared" si="27"/>
        <v/>
      </c>
      <c r="BE4" t="str">
        <f t="shared" si="28"/>
        <v/>
      </c>
      <c r="BF4" t="str">
        <f t="shared" si="29"/>
        <v/>
      </c>
      <c r="BG4" t="str">
        <f t="shared" si="30"/>
        <v/>
      </c>
      <c r="BH4" t="str">
        <f t="shared" si="31"/>
        <v/>
      </c>
    </row>
    <row r="5" spans="1:66" x14ac:dyDescent="0.2">
      <c r="A5">
        <v>2</v>
      </c>
      <c r="B5">
        <v>16</v>
      </c>
      <c r="C5" t="s">
        <v>39</v>
      </c>
      <c r="J5">
        <v>1</v>
      </c>
      <c r="K5">
        <v>3</v>
      </c>
      <c r="N5">
        <v>4</v>
      </c>
      <c r="O5">
        <v>4</v>
      </c>
      <c r="S5">
        <v>1</v>
      </c>
      <c r="T5">
        <v>1</v>
      </c>
      <c r="X5">
        <f t="shared" si="33"/>
        <v>0</v>
      </c>
      <c r="Z5" t="str">
        <f t="shared" si="0"/>
        <v/>
      </c>
      <c r="AA5" t="str">
        <f t="shared" si="1"/>
        <v/>
      </c>
      <c r="AB5" t="str">
        <f t="shared" si="2"/>
        <v/>
      </c>
      <c r="AC5" t="str">
        <f t="shared" si="3"/>
        <v/>
      </c>
      <c r="AE5" t="str">
        <f t="shared" si="4"/>
        <v/>
      </c>
      <c r="AF5" t="str">
        <f t="shared" si="5"/>
        <v/>
      </c>
      <c r="AG5" t="str">
        <f t="shared" si="6"/>
        <v/>
      </c>
      <c r="AH5" t="str">
        <f t="shared" si="7"/>
        <v/>
      </c>
      <c r="AI5" t="str">
        <f t="shared" si="8"/>
        <v/>
      </c>
      <c r="AK5" t="str">
        <f t="shared" si="9"/>
        <v/>
      </c>
      <c r="AL5" t="str">
        <f t="shared" si="32"/>
        <v/>
      </c>
      <c r="AM5" t="str">
        <f t="shared" si="10"/>
        <v/>
      </c>
      <c r="AN5" t="str">
        <f t="shared" si="11"/>
        <v/>
      </c>
      <c r="AO5" t="str">
        <f t="shared" si="12"/>
        <v/>
      </c>
      <c r="AP5" t="str">
        <f t="shared" si="13"/>
        <v/>
      </c>
      <c r="AQ5" t="str">
        <f t="shared" si="14"/>
        <v/>
      </c>
      <c r="AR5" t="str">
        <f t="shared" si="15"/>
        <v/>
      </c>
      <c r="AS5" t="str">
        <f t="shared" si="16"/>
        <v/>
      </c>
      <c r="AT5" t="str">
        <f t="shared" si="17"/>
        <v/>
      </c>
      <c r="AU5" t="str">
        <f t="shared" si="18"/>
        <v/>
      </c>
      <c r="AV5" t="str">
        <f t="shared" si="19"/>
        <v/>
      </c>
      <c r="AW5" t="str">
        <f t="shared" si="20"/>
        <v/>
      </c>
      <c r="AX5" t="str">
        <f t="shared" si="21"/>
        <v/>
      </c>
      <c r="AY5" t="str">
        <f t="shared" si="22"/>
        <v/>
      </c>
      <c r="AZ5" t="str">
        <f t="shared" si="23"/>
        <v/>
      </c>
      <c r="BA5" t="str">
        <f t="shared" si="24"/>
        <v/>
      </c>
      <c r="BB5" t="str">
        <f t="shared" si="25"/>
        <v/>
      </c>
      <c r="BC5" t="str">
        <f t="shared" si="26"/>
        <v/>
      </c>
      <c r="BD5" t="str">
        <f t="shared" si="27"/>
        <v/>
      </c>
      <c r="BE5" t="str">
        <f t="shared" si="28"/>
        <v/>
      </c>
      <c r="BF5" t="str">
        <f t="shared" si="29"/>
        <v/>
      </c>
      <c r="BG5" t="str">
        <f t="shared" si="30"/>
        <v/>
      </c>
      <c r="BH5" t="str">
        <f t="shared" si="31"/>
        <v/>
      </c>
    </row>
    <row r="6" spans="1:66" x14ac:dyDescent="0.2">
      <c r="A6">
        <v>3</v>
      </c>
      <c r="B6">
        <v>28</v>
      </c>
      <c r="C6" t="s">
        <v>207</v>
      </c>
      <c r="D6">
        <v>1</v>
      </c>
      <c r="K6">
        <v>2</v>
      </c>
      <c r="N6">
        <v>3</v>
      </c>
      <c r="O6">
        <v>3</v>
      </c>
      <c r="S6">
        <v>1</v>
      </c>
      <c r="T6">
        <v>1</v>
      </c>
      <c r="X6">
        <f t="shared" si="33"/>
        <v>0</v>
      </c>
      <c r="Z6" t="str">
        <f t="shared" si="0"/>
        <v/>
      </c>
      <c r="AA6" t="str">
        <f t="shared" si="1"/>
        <v/>
      </c>
      <c r="AB6" t="str">
        <f t="shared" si="2"/>
        <v/>
      </c>
      <c r="AC6" t="str">
        <f t="shared" si="3"/>
        <v/>
      </c>
      <c r="AE6" t="str">
        <f t="shared" si="4"/>
        <v/>
      </c>
      <c r="AF6" t="str">
        <f t="shared" si="5"/>
        <v/>
      </c>
      <c r="AG6" t="str">
        <f t="shared" si="6"/>
        <v/>
      </c>
      <c r="AH6" t="str">
        <f t="shared" si="7"/>
        <v/>
      </c>
      <c r="AI6" t="str">
        <f t="shared" si="8"/>
        <v/>
      </c>
      <c r="AK6" t="str">
        <f t="shared" si="9"/>
        <v/>
      </c>
      <c r="AL6" t="str">
        <f t="shared" si="32"/>
        <v/>
      </c>
      <c r="AM6" t="str">
        <f t="shared" si="10"/>
        <v/>
      </c>
      <c r="AN6" t="str">
        <f t="shared" si="11"/>
        <v/>
      </c>
      <c r="AO6" t="str">
        <f t="shared" si="12"/>
        <v/>
      </c>
      <c r="AP6" t="str">
        <f t="shared" si="13"/>
        <v/>
      </c>
      <c r="AQ6" t="str">
        <f t="shared" si="14"/>
        <v/>
      </c>
      <c r="AR6" t="str">
        <f t="shared" si="15"/>
        <v/>
      </c>
      <c r="AS6" t="str">
        <f t="shared" si="16"/>
        <v/>
      </c>
      <c r="AT6" t="str">
        <f t="shared" si="17"/>
        <v/>
      </c>
      <c r="AU6" t="str">
        <f t="shared" si="18"/>
        <v/>
      </c>
      <c r="AV6" t="str">
        <f t="shared" si="19"/>
        <v/>
      </c>
      <c r="AW6" t="str">
        <f t="shared" si="20"/>
        <v/>
      </c>
      <c r="AX6" t="str">
        <f t="shared" si="21"/>
        <v/>
      </c>
      <c r="AY6" t="str">
        <f t="shared" si="22"/>
        <v/>
      </c>
      <c r="AZ6" t="str">
        <f t="shared" si="23"/>
        <v/>
      </c>
      <c r="BA6" t="str">
        <f t="shared" si="24"/>
        <v/>
      </c>
      <c r="BB6" t="str">
        <f t="shared" si="25"/>
        <v/>
      </c>
      <c r="BC6" t="str">
        <f t="shared" si="26"/>
        <v/>
      </c>
      <c r="BD6" t="str">
        <f t="shared" si="27"/>
        <v/>
      </c>
      <c r="BE6" t="str">
        <f t="shared" si="28"/>
        <v/>
      </c>
      <c r="BF6" t="str">
        <f t="shared" si="29"/>
        <v/>
      </c>
      <c r="BG6" t="str">
        <f t="shared" si="30"/>
        <v/>
      </c>
      <c r="BH6" t="str">
        <f t="shared" si="31"/>
        <v/>
      </c>
    </row>
    <row r="7" spans="1:66" x14ac:dyDescent="0.2">
      <c r="A7">
        <v>4</v>
      </c>
      <c r="B7">
        <v>39</v>
      </c>
      <c r="C7" t="s">
        <v>207</v>
      </c>
      <c r="K7">
        <v>5</v>
      </c>
      <c r="N7">
        <v>5</v>
      </c>
      <c r="O7">
        <v>5</v>
      </c>
      <c r="S7">
        <v>1</v>
      </c>
      <c r="T7">
        <v>1</v>
      </c>
      <c r="U7">
        <v>1</v>
      </c>
      <c r="X7">
        <f t="shared" si="33"/>
        <v>0</v>
      </c>
      <c r="Z7" t="str">
        <f t="shared" si="0"/>
        <v/>
      </c>
      <c r="AA7" t="str">
        <f t="shared" si="1"/>
        <v/>
      </c>
      <c r="AB7" t="str">
        <f t="shared" si="2"/>
        <v/>
      </c>
      <c r="AC7" t="str">
        <f t="shared" si="3"/>
        <v/>
      </c>
      <c r="AE7" t="str">
        <f t="shared" si="4"/>
        <v>2</v>
      </c>
      <c r="AF7" t="str">
        <f t="shared" si="5"/>
        <v/>
      </c>
      <c r="AG7" t="str">
        <f t="shared" si="6"/>
        <v/>
      </c>
      <c r="AH7" t="str">
        <f t="shared" si="7"/>
        <v/>
      </c>
      <c r="AI7" t="str">
        <f t="shared" si="8"/>
        <v/>
      </c>
      <c r="AK7" t="str">
        <f t="shared" si="9"/>
        <v/>
      </c>
      <c r="AL7" t="str">
        <f t="shared" si="32"/>
        <v/>
      </c>
      <c r="AM7" t="str">
        <f t="shared" si="10"/>
        <v/>
      </c>
      <c r="AN7" t="str">
        <f t="shared" si="11"/>
        <v/>
      </c>
      <c r="AO7" t="str">
        <f t="shared" si="12"/>
        <v/>
      </c>
      <c r="AP7" t="str">
        <f t="shared" si="13"/>
        <v/>
      </c>
      <c r="AQ7" t="str">
        <f t="shared" si="14"/>
        <v/>
      </c>
      <c r="AR7" t="str">
        <f t="shared" si="15"/>
        <v/>
      </c>
      <c r="AS7" t="str">
        <f t="shared" si="16"/>
        <v/>
      </c>
      <c r="AT7" t="str">
        <f t="shared" si="17"/>
        <v/>
      </c>
      <c r="AU7" t="str">
        <f t="shared" si="18"/>
        <v/>
      </c>
      <c r="AV7" t="str">
        <f t="shared" si="19"/>
        <v/>
      </c>
      <c r="AW7" t="str">
        <f t="shared" si="20"/>
        <v/>
      </c>
      <c r="AX7" t="str">
        <f t="shared" si="21"/>
        <v/>
      </c>
      <c r="AY7" t="str">
        <f t="shared" si="22"/>
        <v/>
      </c>
      <c r="AZ7" t="str">
        <f t="shared" si="23"/>
        <v/>
      </c>
      <c r="BA7" t="str">
        <f t="shared" si="24"/>
        <v/>
      </c>
      <c r="BB7" t="str">
        <f t="shared" si="25"/>
        <v/>
      </c>
      <c r="BC7" t="str">
        <f t="shared" si="26"/>
        <v/>
      </c>
      <c r="BD7" t="str">
        <f t="shared" si="27"/>
        <v/>
      </c>
      <c r="BE7" t="str">
        <f t="shared" si="28"/>
        <v/>
      </c>
      <c r="BF7" t="str">
        <f t="shared" si="29"/>
        <v/>
      </c>
      <c r="BG7" t="str">
        <f t="shared" si="30"/>
        <v/>
      </c>
      <c r="BH7" t="str">
        <f t="shared" si="31"/>
        <v/>
      </c>
    </row>
    <row r="8" spans="1:66" x14ac:dyDescent="0.2">
      <c r="A8">
        <v>5</v>
      </c>
      <c r="B8">
        <v>50</v>
      </c>
      <c r="C8" t="s">
        <v>39</v>
      </c>
      <c r="D8">
        <v>1</v>
      </c>
      <c r="K8">
        <v>4</v>
      </c>
      <c r="N8">
        <v>4</v>
      </c>
      <c r="O8">
        <v>4</v>
      </c>
      <c r="S8">
        <v>1</v>
      </c>
      <c r="T8">
        <v>1</v>
      </c>
      <c r="U8">
        <v>14</v>
      </c>
      <c r="X8">
        <f t="shared" si="33"/>
        <v>0</v>
      </c>
      <c r="Z8" t="str">
        <f t="shared" si="0"/>
        <v/>
      </c>
      <c r="AA8" t="str">
        <f t="shared" si="1"/>
        <v/>
      </c>
      <c r="AB8" t="str">
        <f t="shared" si="2"/>
        <v/>
      </c>
      <c r="AC8" t="str">
        <f t="shared" si="3"/>
        <v/>
      </c>
      <c r="AE8" t="str">
        <f t="shared" si="4"/>
        <v/>
      </c>
      <c r="AF8" t="str">
        <f t="shared" si="5"/>
        <v/>
      </c>
      <c r="AG8" t="str">
        <f t="shared" si="6"/>
        <v/>
      </c>
      <c r="AH8" t="str">
        <f t="shared" si="7"/>
        <v/>
      </c>
      <c r="AI8" t="str">
        <f t="shared" si="8"/>
        <v/>
      </c>
      <c r="AK8" t="str">
        <f t="shared" si="9"/>
        <v/>
      </c>
      <c r="AL8" t="str">
        <f t="shared" si="32"/>
        <v/>
      </c>
      <c r="AM8" t="str">
        <f t="shared" si="10"/>
        <v/>
      </c>
      <c r="AN8" t="str">
        <f t="shared" si="11"/>
        <v/>
      </c>
      <c r="AO8" t="str">
        <f t="shared" si="12"/>
        <v/>
      </c>
      <c r="AP8" t="str">
        <f t="shared" si="13"/>
        <v/>
      </c>
      <c r="AQ8" t="str">
        <f t="shared" si="14"/>
        <v/>
      </c>
      <c r="AR8" t="str">
        <f t="shared" si="15"/>
        <v/>
      </c>
      <c r="AS8" t="str">
        <f t="shared" si="16"/>
        <v/>
      </c>
      <c r="AT8" t="str">
        <f t="shared" si="17"/>
        <v/>
      </c>
      <c r="AU8" t="str">
        <f t="shared" si="18"/>
        <v/>
      </c>
      <c r="AV8" t="str">
        <f t="shared" si="19"/>
        <v/>
      </c>
      <c r="AW8" t="str">
        <f t="shared" si="20"/>
        <v/>
      </c>
      <c r="AX8" t="str">
        <f t="shared" si="21"/>
        <v/>
      </c>
      <c r="AY8" t="str">
        <f t="shared" si="22"/>
        <v/>
      </c>
      <c r="AZ8" t="str">
        <f t="shared" si="23"/>
        <v/>
      </c>
      <c r="BA8" t="str">
        <f t="shared" si="24"/>
        <v/>
      </c>
      <c r="BB8" t="str">
        <f t="shared" si="25"/>
        <v/>
      </c>
      <c r="BC8" t="str">
        <f t="shared" si="26"/>
        <v/>
      </c>
      <c r="BD8" t="str">
        <f t="shared" si="27"/>
        <v/>
      </c>
      <c r="BE8" t="str">
        <f t="shared" si="28"/>
        <v/>
      </c>
      <c r="BF8" t="str">
        <f t="shared" si="29"/>
        <v/>
      </c>
      <c r="BG8" t="str">
        <f t="shared" si="30"/>
        <v/>
      </c>
      <c r="BH8" t="str">
        <f t="shared" si="31"/>
        <v/>
      </c>
    </row>
    <row r="9" spans="1:66" x14ac:dyDescent="0.2">
      <c r="A9">
        <v>6</v>
      </c>
      <c r="B9">
        <v>60</v>
      </c>
      <c r="C9" t="s">
        <v>39</v>
      </c>
      <c r="D9">
        <v>1</v>
      </c>
      <c r="E9">
        <v>1</v>
      </c>
      <c r="F9">
        <v>1</v>
      </c>
      <c r="J9">
        <v>2</v>
      </c>
      <c r="K9">
        <v>3</v>
      </c>
      <c r="N9">
        <v>3</v>
      </c>
      <c r="O9">
        <v>3</v>
      </c>
      <c r="S9">
        <v>1</v>
      </c>
      <c r="T9">
        <v>1</v>
      </c>
      <c r="X9">
        <f t="shared" si="33"/>
        <v>0</v>
      </c>
      <c r="Z9" t="str">
        <f t="shared" si="0"/>
        <v/>
      </c>
      <c r="AA9" t="str">
        <f t="shared" si="1"/>
        <v/>
      </c>
      <c r="AB9" t="str">
        <f t="shared" si="2"/>
        <v/>
      </c>
      <c r="AC9" t="str">
        <f t="shared" si="3"/>
        <v/>
      </c>
      <c r="AE9" t="str">
        <f t="shared" si="4"/>
        <v/>
      </c>
      <c r="AF9" t="str">
        <f t="shared" si="5"/>
        <v/>
      </c>
      <c r="AG9" t="str">
        <f t="shared" si="6"/>
        <v/>
      </c>
      <c r="AH9" t="str">
        <f t="shared" si="7"/>
        <v/>
      </c>
      <c r="AI9" t="str">
        <f t="shared" si="8"/>
        <v/>
      </c>
      <c r="AK9" t="str">
        <f t="shared" si="9"/>
        <v/>
      </c>
      <c r="AL9" t="str">
        <f t="shared" si="32"/>
        <v/>
      </c>
      <c r="AM9" t="str">
        <f t="shared" si="10"/>
        <v/>
      </c>
      <c r="AN9" t="str">
        <f t="shared" si="11"/>
        <v/>
      </c>
      <c r="AO9" t="str">
        <f t="shared" si="12"/>
        <v/>
      </c>
      <c r="AP9" t="str">
        <f t="shared" si="13"/>
        <v/>
      </c>
      <c r="AQ9" t="str">
        <f t="shared" si="14"/>
        <v/>
      </c>
      <c r="AR9" t="str">
        <f t="shared" si="15"/>
        <v/>
      </c>
      <c r="AS9" t="str">
        <f t="shared" si="16"/>
        <v/>
      </c>
      <c r="AT9" t="str">
        <f t="shared" si="17"/>
        <v/>
      </c>
      <c r="AU9" t="str">
        <f t="shared" si="18"/>
        <v/>
      </c>
      <c r="AV9" t="str">
        <f t="shared" si="19"/>
        <v/>
      </c>
      <c r="AW9" t="str">
        <f t="shared" si="20"/>
        <v/>
      </c>
      <c r="AX9" t="str">
        <f t="shared" si="21"/>
        <v/>
      </c>
      <c r="AY9" t="str">
        <f t="shared" si="22"/>
        <v/>
      </c>
      <c r="AZ9" t="str">
        <f t="shared" si="23"/>
        <v/>
      </c>
      <c r="BA9" t="str">
        <f t="shared" si="24"/>
        <v/>
      </c>
      <c r="BB9" t="str">
        <f t="shared" si="25"/>
        <v/>
      </c>
      <c r="BC9" t="str">
        <f t="shared" si="26"/>
        <v/>
      </c>
      <c r="BD9" t="str">
        <f t="shared" si="27"/>
        <v/>
      </c>
      <c r="BE9" t="str">
        <f t="shared" si="28"/>
        <v/>
      </c>
      <c r="BF9" t="str">
        <f t="shared" si="29"/>
        <v/>
      </c>
      <c r="BG9" t="str">
        <f t="shared" si="30"/>
        <v/>
      </c>
      <c r="BH9" t="str">
        <f t="shared" si="31"/>
        <v/>
      </c>
    </row>
    <row r="10" spans="1:66" x14ac:dyDescent="0.2">
      <c r="A10">
        <v>7</v>
      </c>
      <c r="B10">
        <v>65</v>
      </c>
      <c r="C10" t="s">
        <v>39</v>
      </c>
      <c r="D10">
        <v>1</v>
      </c>
      <c r="K10">
        <v>5</v>
      </c>
      <c r="L10">
        <v>1</v>
      </c>
      <c r="N10">
        <v>6</v>
      </c>
      <c r="O10">
        <v>6</v>
      </c>
      <c r="S10">
        <v>1</v>
      </c>
      <c r="X10">
        <f t="shared" si="33"/>
        <v>0</v>
      </c>
      <c r="Z10" t="str">
        <f t="shared" si="0"/>
        <v/>
      </c>
      <c r="AA10" t="str">
        <f t="shared" si="1"/>
        <v/>
      </c>
      <c r="AB10" t="str">
        <f t="shared" si="2"/>
        <v/>
      </c>
      <c r="AC10" t="str">
        <f t="shared" si="3"/>
        <v/>
      </c>
      <c r="AE10" t="str">
        <f t="shared" si="4"/>
        <v/>
      </c>
      <c r="AF10" t="str">
        <f t="shared" si="5"/>
        <v/>
      </c>
      <c r="AG10" t="str">
        <f t="shared" si="6"/>
        <v/>
      </c>
      <c r="AH10" t="str">
        <f t="shared" si="7"/>
        <v/>
      </c>
      <c r="AI10" t="str">
        <f t="shared" si="8"/>
        <v/>
      </c>
      <c r="AK10" t="str">
        <f t="shared" si="9"/>
        <v/>
      </c>
      <c r="AL10" t="str">
        <f t="shared" si="32"/>
        <v/>
      </c>
      <c r="AM10" t="str">
        <f t="shared" si="10"/>
        <v/>
      </c>
      <c r="AN10" t="str">
        <f t="shared" si="11"/>
        <v/>
      </c>
      <c r="AO10" t="str">
        <f t="shared" si="12"/>
        <v/>
      </c>
      <c r="AP10" t="str">
        <f t="shared" si="13"/>
        <v/>
      </c>
      <c r="AQ10" t="str">
        <f t="shared" si="14"/>
        <v/>
      </c>
      <c r="AR10" t="str">
        <f t="shared" si="15"/>
        <v/>
      </c>
      <c r="AS10" t="str">
        <f t="shared" si="16"/>
        <v/>
      </c>
      <c r="AT10" t="str">
        <f t="shared" si="17"/>
        <v/>
      </c>
      <c r="AU10" t="str">
        <f t="shared" si="18"/>
        <v/>
      </c>
      <c r="AV10" t="str">
        <f t="shared" si="19"/>
        <v/>
      </c>
      <c r="AW10" t="str">
        <f t="shared" si="20"/>
        <v/>
      </c>
      <c r="AX10" t="str">
        <f t="shared" si="21"/>
        <v/>
      </c>
      <c r="AY10" t="str">
        <f t="shared" si="22"/>
        <v/>
      </c>
      <c r="AZ10" t="str">
        <f t="shared" si="23"/>
        <v/>
      </c>
      <c r="BA10" t="str">
        <f t="shared" si="24"/>
        <v/>
      </c>
      <c r="BB10" t="str">
        <f t="shared" si="25"/>
        <v/>
      </c>
      <c r="BC10" t="str">
        <f t="shared" si="26"/>
        <v/>
      </c>
      <c r="BD10" t="str">
        <f t="shared" si="27"/>
        <v/>
      </c>
      <c r="BE10" t="str">
        <f t="shared" si="28"/>
        <v/>
      </c>
      <c r="BF10" t="str">
        <f t="shared" si="29"/>
        <v/>
      </c>
      <c r="BG10" t="str">
        <f t="shared" si="30"/>
        <v/>
      </c>
      <c r="BH10" t="str">
        <f t="shared" si="31"/>
        <v/>
      </c>
    </row>
    <row r="11" spans="1:66" x14ac:dyDescent="0.2">
      <c r="A11">
        <v>8</v>
      </c>
      <c r="B11">
        <v>72</v>
      </c>
      <c r="C11" t="s">
        <v>207</v>
      </c>
      <c r="K11">
        <v>4</v>
      </c>
      <c r="N11">
        <v>5</v>
      </c>
      <c r="O11">
        <v>5</v>
      </c>
      <c r="S11">
        <v>1</v>
      </c>
      <c r="T11">
        <v>1</v>
      </c>
      <c r="U11">
        <v>4</v>
      </c>
      <c r="X11">
        <f t="shared" si="33"/>
        <v>0</v>
      </c>
      <c r="Z11" t="str">
        <f t="shared" si="0"/>
        <v/>
      </c>
      <c r="AA11" t="str">
        <f t="shared" si="1"/>
        <v/>
      </c>
      <c r="AB11" t="str">
        <f t="shared" si="2"/>
        <v/>
      </c>
      <c r="AC11" t="str">
        <f t="shared" si="3"/>
        <v/>
      </c>
      <c r="AE11" t="str">
        <f t="shared" si="4"/>
        <v/>
      </c>
      <c r="AF11" t="str">
        <f t="shared" si="5"/>
        <v/>
      </c>
      <c r="AG11" t="str">
        <f t="shared" si="6"/>
        <v/>
      </c>
      <c r="AH11" t="str">
        <f t="shared" si="7"/>
        <v/>
      </c>
      <c r="AI11" t="str">
        <f t="shared" si="8"/>
        <v/>
      </c>
      <c r="AK11" t="str">
        <f t="shared" si="9"/>
        <v/>
      </c>
      <c r="AL11" t="str">
        <f t="shared" si="32"/>
        <v/>
      </c>
      <c r="AM11" t="str">
        <f t="shared" si="10"/>
        <v/>
      </c>
      <c r="AN11" t="str">
        <f t="shared" si="11"/>
        <v/>
      </c>
      <c r="AO11" t="str">
        <f t="shared" si="12"/>
        <v/>
      </c>
      <c r="AP11" t="str">
        <f t="shared" si="13"/>
        <v/>
      </c>
      <c r="AQ11" t="str">
        <f t="shared" si="14"/>
        <v/>
      </c>
      <c r="AR11" t="str">
        <f t="shared" si="15"/>
        <v/>
      </c>
      <c r="AS11" t="str">
        <f t="shared" si="16"/>
        <v/>
      </c>
      <c r="AT11" t="str">
        <f t="shared" si="17"/>
        <v/>
      </c>
      <c r="AU11" t="str">
        <f t="shared" si="18"/>
        <v/>
      </c>
      <c r="AV11" t="str">
        <f t="shared" si="19"/>
        <v/>
      </c>
      <c r="AW11" t="str">
        <f t="shared" si="20"/>
        <v/>
      </c>
      <c r="AX11" t="str">
        <f t="shared" si="21"/>
        <v/>
      </c>
      <c r="AY11" t="str">
        <f t="shared" si="22"/>
        <v/>
      </c>
      <c r="AZ11" t="str">
        <f t="shared" si="23"/>
        <v/>
      </c>
      <c r="BA11" t="str">
        <f t="shared" si="24"/>
        <v/>
      </c>
      <c r="BB11" t="str">
        <f t="shared" si="25"/>
        <v/>
      </c>
      <c r="BC11" t="str">
        <f t="shared" si="26"/>
        <v/>
      </c>
      <c r="BD11" t="str">
        <f t="shared" si="27"/>
        <v/>
      </c>
      <c r="BE11" t="str">
        <f t="shared" si="28"/>
        <v/>
      </c>
      <c r="BF11" t="str">
        <f t="shared" si="29"/>
        <v/>
      </c>
      <c r="BG11" t="str">
        <f t="shared" si="30"/>
        <v/>
      </c>
      <c r="BH11" t="str">
        <f t="shared" si="31"/>
        <v/>
      </c>
    </row>
    <row r="12" spans="1:66" x14ac:dyDescent="0.2">
      <c r="A12">
        <v>9</v>
      </c>
      <c r="B12">
        <v>81</v>
      </c>
      <c r="C12" t="s">
        <v>39</v>
      </c>
      <c r="K12">
        <v>3</v>
      </c>
      <c r="L12">
        <v>2</v>
      </c>
      <c r="N12">
        <v>4</v>
      </c>
      <c r="O12">
        <v>4</v>
      </c>
      <c r="S12">
        <v>1</v>
      </c>
      <c r="T12">
        <v>1</v>
      </c>
      <c r="X12">
        <f t="shared" si="33"/>
        <v>0</v>
      </c>
      <c r="Z12" t="str">
        <f t="shared" si="0"/>
        <v/>
      </c>
      <c r="AA12" t="str">
        <f t="shared" si="1"/>
        <v/>
      </c>
      <c r="AB12" t="str">
        <f t="shared" si="2"/>
        <v/>
      </c>
      <c r="AC12" t="str">
        <f t="shared" si="3"/>
        <v/>
      </c>
      <c r="AE12" t="str">
        <f t="shared" si="4"/>
        <v>4</v>
      </c>
      <c r="AF12" t="str">
        <f t="shared" si="5"/>
        <v/>
      </c>
      <c r="AG12" t="str">
        <f t="shared" si="6"/>
        <v/>
      </c>
      <c r="AH12" t="str">
        <f t="shared" si="7"/>
        <v/>
      </c>
      <c r="AI12" t="str">
        <f t="shared" si="8"/>
        <v/>
      </c>
      <c r="AK12" t="str">
        <f t="shared" si="9"/>
        <v/>
      </c>
      <c r="AL12" t="str">
        <f t="shared" si="32"/>
        <v/>
      </c>
      <c r="AM12" t="str">
        <f t="shared" si="10"/>
        <v/>
      </c>
      <c r="AN12" t="str">
        <f t="shared" si="11"/>
        <v/>
      </c>
      <c r="AO12" t="str">
        <f t="shared" si="12"/>
        <v/>
      </c>
      <c r="AP12" t="str">
        <f t="shared" si="13"/>
        <v/>
      </c>
      <c r="AQ12" t="str">
        <f t="shared" si="14"/>
        <v/>
      </c>
      <c r="AR12" t="str">
        <f t="shared" si="15"/>
        <v/>
      </c>
      <c r="AS12" t="str">
        <f t="shared" si="16"/>
        <v/>
      </c>
      <c r="AT12" t="str">
        <f t="shared" si="17"/>
        <v/>
      </c>
      <c r="AU12" t="str">
        <f t="shared" si="18"/>
        <v/>
      </c>
      <c r="AV12" t="str">
        <f t="shared" si="19"/>
        <v/>
      </c>
      <c r="AW12" t="str">
        <f t="shared" si="20"/>
        <v/>
      </c>
      <c r="AX12" t="str">
        <f t="shared" si="21"/>
        <v/>
      </c>
      <c r="AY12" t="str">
        <f t="shared" si="22"/>
        <v/>
      </c>
      <c r="AZ12" t="str">
        <f t="shared" si="23"/>
        <v/>
      </c>
      <c r="BA12" t="str">
        <f t="shared" si="24"/>
        <v/>
      </c>
      <c r="BB12" t="str">
        <f t="shared" si="25"/>
        <v/>
      </c>
      <c r="BC12" t="str">
        <f t="shared" si="26"/>
        <v/>
      </c>
      <c r="BD12" t="str">
        <f t="shared" si="27"/>
        <v/>
      </c>
      <c r="BE12" t="str">
        <f t="shared" si="28"/>
        <v/>
      </c>
      <c r="BF12" t="str">
        <f t="shared" si="29"/>
        <v/>
      </c>
      <c r="BG12" t="str">
        <f t="shared" si="30"/>
        <v/>
      </c>
      <c r="BH12" t="str">
        <f t="shared" si="31"/>
        <v/>
      </c>
    </row>
    <row r="13" spans="1:66" x14ac:dyDescent="0.2">
      <c r="A13">
        <v>10</v>
      </c>
      <c r="B13">
        <v>99</v>
      </c>
      <c r="C13" t="s">
        <v>207</v>
      </c>
      <c r="D13">
        <v>1</v>
      </c>
      <c r="K13">
        <v>3</v>
      </c>
      <c r="N13">
        <v>4</v>
      </c>
      <c r="O13">
        <v>4</v>
      </c>
      <c r="S13">
        <v>1</v>
      </c>
      <c r="T13">
        <v>1</v>
      </c>
      <c r="U13">
        <v>5</v>
      </c>
      <c r="X13">
        <f t="shared" si="33"/>
        <v>0</v>
      </c>
      <c r="Z13" t="str">
        <f t="shared" si="0"/>
        <v/>
      </c>
      <c r="AA13" t="str">
        <f t="shared" si="1"/>
        <v/>
      </c>
      <c r="AB13" t="str">
        <f t="shared" si="2"/>
        <v/>
      </c>
      <c r="AC13" t="str">
        <f t="shared" si="3"/>
        <v/>
      </c>
      <c r="AE13" t="str">
        <f t="shared" si="4"/>
        <v>5</v>
      </c>
      <c r="AF13" t="str">
        <f t="shared" si="5"/>
        <v/>
      </c>
      <c r="AG13" t="str">
        <f t="shared" si="6"/>
        <v/>
      </c>
      <c r="AH13" t="str">
        <f t="shared" si="7"/>
        <v/>
      </c>
      <c r="AI13" t="str">
        <f t="shared" si="8"/>
        <v/>
      </c>
      <c r="AK13" t="str">
        <f t="shared" si="9"/>
        <v/>
      </c>
      <c r="AL13" t="str">
        <f t="shared" si="32"/>
        <v/>
      </c>
      <c r="AM13" t="str">
        <f t="shared" si="10"/>
        <v/>
      </c>
      <c r="AN13" t="str">
        <f t="shared" si="11"/>
        <v/>
      </c>
      <c r="AO13" t="str">
        <f t="shared" si="12"/>
        <v/>
      </c>
      <c r="AP13" t="str">
        <f t="shared" si="13"/>
        <v/>
      </c>
      <c r="AQ13" t="str">
        <f t="shared" si="14"/>
        <v/>
      </c>
      <c r="AR13" t="str">
        <f t="shared" si="15"/>
        <v/>
      </c>
      <c r="AS13" t="str">
        <f t="shared" si="16"/>
        <v/>
      </c>
      <c r="AT13" t="str">
        <f t="shared" si="17"/>
        <v/>
      </c>
      <c r="AU13" t="str">
        <f t="shared" si="18"/>
        <v/>
      </c>
      <c r="AV13" t="str">
        <f t="shared" si="19"/>
        <v/>
      </c>
      <c r="AW13" t="str">
        <f t="shared" si="20"/>
        <v/>
      </c>
      <c r="AX13" t="str">
        <f t="shared" si="21"/>
        <v/>
      </c>
      <c r="AY13" t="str">
        <f t="shared" si="22"/>
        <v/>
      </c>
      <c r="AZ13" t="str">
        <f t="shared" si="23"/>
        <v/>
      </c>
      <c r="BA13" t="str">
        <f t="shared" si="24"/>
        <v/>
      </c>
      <c r="BB13" t="str">
        <f t="shared" si="25"/>
        <v/>
      </c>
      <c r="BC13" t="str">
        <f t="shared" si="26"/>
        <v/>
      </c>
      <c r="BD13" t="str">
        <f t="shared" si="27"/>
        <v/>
      </c>
      <c r="BE13" t="str">
        <f t="shared" si="28"/>
        <v/>
      </c>
      <c r="BF13" t="str">
        <f t="shared" si="29"/>
        <v/>
      </c>
      <c r="BG13" t="str">
        <f t="shared" si="30"/>
        <v/>
      </c>
      <c r="BH13" t="str">
        <f t="shared" si="31"/>
        <v/>
      </c>
    </row>
    <row r="14" spans="1:66" x14ac:dyDescent="0.2">
      <c r="A14">
        <v>11</v>
      </c>
      <c r="B14">
        <v>106</v>
      </c>
      <c r="C14" t="s">
        <v>39</v>
      </c>
      <c r="D14">
        <v>1</v>
      </c>
      <c r="E14">
        <v>1</v>
      </c>
      <c r="F14">
        <v>1</v>
      </c>
      <c r="J14">
        <v>4</v>
      </c>
      <c r="K14">
        <v>3</v>
      </c>
      <c r="L14">
        <v>1</v>
      </c>
      <c r="N14">
        <v>3</v>
      </c>
      <c r="O14">
        <v>3</v>
      </c>
      <c r="S14">
        <v>1</v>
      </c>
      <c r="T14">
        <v>1</v>
      </c>
      <c r="U14">
        <v>6</v>
      </c>
      <c r="X14">
        <f t="shared" si="33"/>
        <v>0</v>
      </c>
      <c r="Z14" t="s">
        <v>31</v>
      </c>
      <c r="AE14" t="s">
        <v>34</v>
      </c>
      <c r="AK14" t="s">
        <v>43</v>
      </c>
      <c r="AP14" t="s">
        <v>84</v>
      </c>
    </row>
    <row r="15" spans="1:66" x14ac:dyDescent="0.2">
      <c r="A15">
        <v>12</v>
      </c>
      <c r="B15">
        <v>119</v>
      </c>
      <c r="C15" t="s">
        <v>207</v>
      </c>
      <c r="D15">
        <v>1</v>
      </c>
      <c r="F15">
        <v>1</v>
      </c>
      <c r="J15">
        <v>5</v>
      </c>
      <c r="K15">
        <v>5</v>
      </c>
      <c r="N15">
        <v>4</v>
      </c>
      <c r="O15">
        <v>4</v>
      </c>
      <c r="S15">
        <v>1</v>
      </c>
      <c r="T15">
        <v>1</v>
      </c>
      <c r="X15">
        <f t="shared" si="33"/>
        <v>0</v>
      </c>
      <c r="Z15" t="s">
        <v>21</v>
      </c>
      <c r="AA15" t="s">
        <v>22</v>
      </c>
      <c r="AE15" t="s">
        <v>21</v>
      </c>
      <c r="AF15" t="s">
        <v>22</v>
      </c>
      <c r="AG15" t="s">
        <v>35</v>
      </c>
      <c r="AK15" t="s">
        <v>10</v>
      </c>
      <c r="AL15" t="s">
        <v>25</v>
      </c>
      <c r="AM15" t="s">
        <v>26</v>
      </c>
      <c r="AN15" t="s">
        <v>27</v>
      </c>
      <c r="AP15" t="s">
        <v>15</v>
      </c>
      <c r="AQ15" t="s">
        <v>85</v>
      </c>
    </row>
    <row r="16" spans="1:66" x14ac:dyDescent="0.2">
      <c r="A16" t="s">
        <v>28</v>
      </c>
      <c r="D16">
        <f>SUM(D4:D15)</f>
        <v>8</v>
      </c>
      <c r="E16">
        <f>SUM(E4:E15)</f>
        <v>2</v>
      </c>
      <c r="F16">
        <f>SUM(F4:F15)</f>
        <v>4</v>
      </c>
      <c r="G16">
        <f>SUM(G4:G15)</f>
        <v>0</v>
      </c>
      <c r="H16">
        <f>SUM(H4:H15)</f>
        <v>0</v>
      </c>
      <c r="K16">
        <f>SUM(K4:K15)</f>
        <v>43</v>
      </c>
      <c r="L16">
        <f>SUM(L4:L15)</f>
        <v>5</v>
      </c>
      <c r="M16">
        <f>SUM(M4:M15)</f>
        <v>0</v>
      </c>
      <c r="N16">
        <f>SUM(N4:N15)</f>
        <v>48</v>
      </c>
      <c r="O16">
        <f>SUM(O4:O15)</f>
        <v>48</v>
      </c>
      <c r="Q16">
        <f t="shared" ref="Q16:R16" si="34">SUM(Q4:Q15)</f>
        <v>0</v>
      </c>
      <c r="R16">
        <f t="shared" si="34"/>
        <v>0</v>
      </c>
      <c r="S16">
        <f>SUM(S4:S15)</f>
        <v>12</v>
      </c>
      <c r="T16">
        <f>SUM(T4:T15)</f>
        <v>11</v>
      </c>
      <c r="U16">
        <f>SUM(U4:U15)</f>
        <v>30</v>
      </c>
      <c r="V16">
        <f>SUM(V4:V15)</f>
        <v>0</v>
      </c>
      <c r="W16">
        <f>SUM(W4:W15)</f>
        <v>0</v>
      </c>
      <c r="Z16">
        <f t="shared" ref="Z16:Z27" si="35">COUNTIF(Z2:AC2, "3")*COUNTIF(C4, "r")+COUNTIF(Z2:AC2, "5")*COUNTIF(C4, "b")</f>
        <v>0</v>
      </c>
      <c r="AA16">
        <f t="shared" ref="AA16:AA27" si="36">COUNTIF(Z2:AC2, "1")+COUNTIF(Z2:AC2, "2")+COUNTIF(Z2:AC2, "4")</f>
        <v>0</v>
      </c>
      <c r="AE16">
        <f t="shared" ref="AE16:AE27" si="37">COUNTIF(AE2:AI2, "3")*COUNTIF(C4, "r") + COUNTIF(AE2:AI2, "5")*COUNTIF(C4, "b")</f>
        <v>0</v>
      </c>
      <c r="AF16">
        <f t="shared" ref="AF16:AF27" si="38">COUNTIF(AE2:AI2, "1")+COUNTIF(AE2:AI2, "2")+COUNTIF(AE2:AI2, "4")</f>
        <v>0</v>
      </c>
      <c r="AG16">
        <f t="shared" ref="AG16:AG27" si="39">COUNTIF(AE2:AI2, "3")*COUNTIF(AE2:AI2, "b")+COUNTIF(AE2:AI2, "5")*COUNTIF(AE2:AI2, "r")</f>
        <v>0</v>
      </c>
      <c r="AK16">
        <f t="shared" ref="AK16:AK27" si="40">SUMPRODUCT(LEN($AK2:$BH2) - LEN(SUBSTITUTE($AK2:$BH2, "g", "")))</f>
        <v>0</v>
      </c>
      <c r="AL16">
        <f t="shared" ref="AL16:AL27" si="41">SUMPRODUCT(LEN($AK2:$BH2) - LEN(SUBSTITUTE($AK2:$BH2, "h", "")))</f>
        <v>0</v>
      </c>
      <c r="AM16">
        <f t="shared" ref="AM16:AM27" si="42">SUMPRODUCT(LEN($AK2:$BH2) - LEN(SUBSTITUTE($AK2:$BH2, "v", "")))</f>
        <v>0</v>
      </c>
      <c r="AN16">
        <f t="shared" ref="AN16:AN27" si="43">SUMPRODUCT(LEN($AK2:$BH2) - LEN(SUBSTITUTE($AK2:$BH2, "r", "")))</f>
        <v>0</v>
      </c>
      <c r="AP16">
        <f>MAX(AQ16:BN16)</f>
        <v>0</v>
      </c>
      <c r="AQ16" s="4">
        <f>_xlfn.NUMBERVALUE(RIGHT(AK2,1))</f>
        <v>0</v>
      </c>
      <c r="AR16" s="4">
        <f t="shared" ref="AR16:BG27" si="44">_xlfn.NUMBERVALUE(RIGHT(AL2,1))</f>
        <v>0</v>
      </c>
      <c r="AS16" s="4">
        <f t="shared" si="44"/>
        <v>0</v>
      </c>
      <c r="AT16" s="4">
        <f t="shared" si="44"/>
        <v>0</v>
      </c>
      <c r="AU16" s="4">
        <f t="shared" si="44"/>
        <v>0</v>
      </c>
      <c r="AV16" s="4">
        <f t="shared" si="44"/>
        <v>0</v>
      </c>
      <c r="AW16" s="4">
        <f t="shared" si="44"/>
        <v>0</v>
      </c>
      <c r="AX16" s="4">
        <f t="shared" si="44"/>
        <v>0</v>
      </c>
      <c r="AY16" s="4">
        <f t="shared" si="44"/>
        <v>0</v>
      </c>
      <c r="AZ16" s="4">
        <f t="shared" si="44"/>
        <v>0</v>
      </c>
      <c r="BA16" s="4">
        <f t="shared" si="44"/>
        <v>0</v>
      </c>
      <c r="BB16" s="4">
        <f t="shared" si="44"/>
        <v>0</v>
      </c>
      <c r="BC16" s="4">
        <f t="shared" si="44"/>
        <v>0</v>
      </c>
      <c r="BD16" s="4">
        <f t="shared" si="44"/>
        <v>0</v>
      </c>
      <c r="BE16" s="4">
        <f t="shared" si="44"/>
        <v>0</v>
      </c>
      <c r="BF16" s="4">
        <f t="shared" si="44"/>
        <v>0</v>
      </c>
      <c r="BG16" s="4">
        <f t="shared" si="44"/>
        <v>0</v>
      </c>
      <c r="BH16" s="4">
        <f t="shared" ref="BH16:BN27" si="45">_xlfn.NUMBERVALUE(RIGHT(BB2,1))</f>
        <v>0</v>
      </c>
      <c r="BI16" s="4">
        <f t="shared" si="45"/>
        <v>0</v>
      </c>
      <c r="BJ16" s="4">
        <f t="shared" si="45"/>
        <v>0</v>
      </c>
      <c r="BK16" s="4">
        <f t="shared" si="45"/>
        <v>0</v>
      </c>
      <c r="BL16" s="4">
        <f t="shared" si="45"/>
        <v>0</v>
      </c>
      <c r="BM16" s="4">
        <f t="shared" si="45"/>
        <v>0</v>
      </c>
      <c r="BN16" s="4">
        <f t="shared" si="45"/>
        <v>0</v>
      </c>
    </row>
    <row r="17" spans="1:66" x14ac:dyDescent="0.2">
      <c r="A17" s="1" t="s">
        <v>20</v>
      </c>
      <c r="D17" s="1" t="s">
        <v>49</v>
      </c>
      <c r="G17" s="1" t="s">
        <v>52</v>
      </c>
      <c r="K17" s="3" t="s">
        <v>74</v>
      </c>
      <c r="P17" s="1" t="s">
        <v>66</v>
      </c>
      <c r="Z17">
        <f t="shared" si="35"/>
        <v>0</v>
      </c>
      <c r="AA17">
        <f t="shared" si="36"/>
        <v>0</v>
      </c>
      <c r="AE17">
        <f t="shared" si="37"/>
        <v>0</v>
      </c>
      <c r="AF17">
        <f t="shared" si="38"/>
        <v>1</v>
      </c>
      <c r="AG17">
        <f t="shared" si="39"/>
        <v>0</v>
      </c>
      <c r="AK17">
        <f t="shared" si="40"/>
        <v>0</v>
      </c>
      <c r="AL17">
        <f t="shared" si="41"/>
        <v>0</v>
      </c>
      <c r="AM17">
        <f t="shared" si="42"/>
        <v>0</v>
      </c>
      <c r="AN17">
        <f t="shared" si="43"/>
        <v>0</v>
      </c>
      <c r="AP17">
        <f t="shared" ref="AP17:AP27" si="46">MAX(AQ17:BN17)</f>
        <v>0</v>
      </c>
      <c r="AQ17" s="4">
        <f t="shared" ref="AQ17:AQ27" si="47">_xlfn.NUMBERVALUE(RIGHT(AK3,1))</f>
        <v>0</v>
      </c>
      <c r="AR17" s="4">
        <f t="shared" si="44"/>
        <v>0</v>
      </c>
      <c r="AS17" s="4">
        <f t="shared" si="44"/>
        <v>0</v>
      </c>
      <c r="AT17" s="4">
        <f t="shared" si="44"/>
        <v>0</v>
      </c>
      <c r="AU17" s="4">
        <f t="shared" si="44"/>
        <v>0</v>
      </c>
      <c r="AV17" s="4">
        <f t="shared" si="44"/>
        <v>0</v>
      </c>
      <c r="AW17" s="4">
        <f t="shared" si="44"/>
        <v>0</v>
      </c>
      <c r="AX17" s="4">
        <f t="shared" si="44"/>
        <v>0</v>
      </c>
      <c r="AY17" s="4">
        <f t="shared" si="44"/>
        <v>0</v>
      </c>
      <c r="AZ17" s="4">
        <f t="shared" si="44"/>
        <v>0</v>
      </c>
      <c r="BA17" s="4">
        <f t="shared" si="44"/>
        <v>0</v>
      </c>
      <c r="BB17" s="4">
        <f t="shared" si="44"/>
        <v>0</v>
      </c>
      <c r="BC17" s="4">
        <f t="shared" si="44"/>
        <v>0</v>
      </c>
      <c r="BD17" s="4">
        <f t="shared" si="44"/>
        <v>0</v>
      </c>
      <c r="BE17" s="4">
        <f t="shared" si="44"/>
        <v>0</v>
      </c>
      <c r="BF17" s="4">
        <f t="shared" si="44"/>
        <v>0</v>
      </c>
      <c r="BG17" s="4">
        <f t="shared" si="44"/>
        <v>0</v>
      </c>
      <c r="BH17" s="4">
        <f t="shared" si="45"/>
        <v>0</v>
      </c>
      <c r="BI17" s="4">
        <f t="shared" si="45"/>
        <v>0</v>
      </c>
      <c r="BJ17" s="4">
        <f t="shared" si="45"/>
        <v>0</v>
      </c>
      <c r="BK17" s="4">
        <f t="shared" si="45"/>
        <v>0</v>
      </c>
      <c r="BL17" s="4">
        <f t="shared" si="45"/>
        <v>0</v>
      </c>
      <c r="BM17" s="4">
        <f t="shared" si="45"/>
        <v>0</v>
      </c>
      <c r="BN17" s="4">
        <f t="shared" si="45"/>
        <v>0</v>
      </c>
    </row>
    <row r="18" spans="1:66" x14ac:dyDescent="0.2">
      <c r="A18" t="s">
        <v>32</v>
      </c>
      <c r="B18" t="s">
        <v>21</v>
      </c>
      <c r="D18" t="s">
        <v>180</v>
      </c>
      <c r="G18" s="3" t="s">
        <v>53</v>
      </c>
      <c r="K18" t="s">
        <v>55</v>
      </c>
      <c r="M18" t="s">
        <v>65</v>
      </c>
      <c r="P18" t="s">
        <v>67</v>
      </c>
      <c r="Z18">
        <f t="shared" si="35"/>
        <v>0</v>
      </c>
      <c r="AA18">
        <f t="shared" si="36"/>
        <v>0</v>
      </c>
      <c r="AE18">
        <f t="shared" si="37"/>
        <v>0</v>
      </c>
      <c r="AF18">
        <f t="shared" si="38"/>
        <v>0</v>
      </c>
      <c r="AG18">
        <f t="shared" si="39"/>
        <v>0</v>
      </c>
      <c r="AK18">
        <f t="shared" si="40"/>
        <v>0</v>
      </c>
      <c r="AL18">
        <f t="shared" si="41"/>
        <v>0</v>
      </c>
      <c r="AM18">
        <f t="shared" si="42"/>
        <v>0</v>
      </c>
      <c r="AN18">
        <f t="shared" si="43"/>
        <v>0</v>
      </c>
      <c r="AP18">
        <f t="shared" si="46"/>
        <v>0</v>
      </c>
      <c r="AQ18" s="4">
        <f t="shared" si="47"/>
        <v>0</v>
      </c>
      <c r="AR18" s="4">
        <f t="shared" si="44"/>
        <v>0</v>
      </c>
      <c r="AS18" s="4">
        <f t="shared" si="44"/>
        <v>0</v>
      </c>
      <c r="AT18" s="4">
        <f t="shared" si="44"/>
        <v>0</v>
      </c>
      <c r="AU18" s="4">
        <f t="shared" si="44"/>
        <v>0</v>
      </c>
      <c r="AV18" s="4">
        <f t="shared" si="44"/>
        <v>0</v>
      </c>
      <c r="AW18" s="4">
        <f t="shared" si="44"/>
        <v>0</v>
      </c>
      <c r="AX18" s="4">
        <f t="shared" si="44"/>
        <v>0</v>
      </c>
      <c r="AY18" s="4">
        <f t="shared" si="44"/>
        <v>0</v>
      </c>
      <c r="AZ18" s="4">
        <f t="shared" si="44"/>
        <v>0</v>
      </c>
      <c r="BA18" s="4">
        <f t="shared" si="44"/>
        <v>0</v>
      </c>
      <c r="BB18" s="4">
        <f t="shared" si="44"/>
        <v>0</v>
      </c>
      <c r="BC18" s="4">
        <f t="shared" si="44"/>
        <v>0</v>
      </c>
      <c r="BD18" s="4">
        <f t="shared" si="44"/>
        <v>0</v>
      </c>
      <c r="BE18" s="4">
        <f t="shared" si="44"/>
        <v>0</v>
      </c>
      <c r="BF18" s="4">
        <f t="shared" si="44"/>
        <v>0</v>
      </c>
      <c r="BG18" s="4">
        <f t="shared" si="44"/>
        <v>0</v>
      </c>
      <c r="BH18" s="4">
        <f t="shared" si="45"/>
        <v>0</v>
      </c>
      <c r="BI18" s="4">
        <f t="shared" si="45"/>
        <v>0</v>
      </c>
      <c r="BJ18" s="4">
        <f t="shared" si="45"/>
        <v>0</v>
      </c>
      <c r="BK18" s="4">
        <f t="shared" si="45"/>
        <v>0</v>
      </c>
      <c r="BL18" s="4">
        <f t="shared" si="45"/>
        <v>0</v>
      </c>
      <c r="BM18" s="4">
        <f t="shared" si="45"/>
        <v>0</v>
      </c>
      <c r="BN18" s="4">
        <f t="shared" si="45"/>
        <v>0</v>
      </c>
    </row>
    <row r="19" spans="1:66" x14ac:dyDescent="0.2">
      <c r="A19" t="s">
        <v>40</v>
      </c>
      <c r="B19" t="s">
        <v>22</v>
      </c>
      <c r="D19">
        <f>E16/D16</f>
        <v>0.25</v>
      </c>
      <c r="G19" t="s">
        <v>75</v>
      </c>
      <c r="K19">
        <f>O16/N16</f>
        <v>1</v>
      </c>
      <c r="M19">
        <f>SUM(M39:M50)</f>
        <v>-5</v>
      </c>
      <c r="P19">
        <f>T16/S16</f>
        <v>0.91666666666666663</v>
      </c>
      <c r="Z19">
        <f t="shared" si="35"/>
        <v>0</v>
      </c>
      <c r="AA19">
        <f t="shared" si="36"/>
        <v>0</v>
      </c>
      <c r="AE19">
        <f t="shared" si="37"/>
        <v>0</v>
      </c>
      <c r="AF19">
        <f t="shared" si="38"/>
        <v>0</v>
      </c>
      <c r="AG19">
        <f t="shared" si="39"/>
        <v>0</v>
      </c>
      <c r="AK19">
        <f t="shared" si="40"/>
        <v>0</v>
      </c>
      <c r="AL19">
        <f t="shared" si="41"/>
        <v>0</v>
      </c>
      <c r="AM19">
        <f t="shared" si="42"/>
        <v>0</v>
      </c>
      <c r="AN19">
        <f t="shared" si="43"/>
        <v>0</v>
      </c>
      <c r="AP19">
        <f t="shared" si="46"/>
        <v>0</v>
      </c>
      <c r="AQ19" s="4">
        <f t="shared" si="47"/>
        <v>0</v>
      </c>
      <c r="AR19" s="4">
        <f t="shared" si="44"/>
        <v>0</v>
      </c>
      <c r="AS19" s="4">
        <f t="shared" si="44"/>
        <v>0</v>
      </c>
      <c r="AT19" s="4">
        <f t="shared" si="44"/>
        <v>0</v>
      </c>
      <c r="AU19" s="4">
        <f t="shared" si="44"/>
        <v>0</v>
      </c>
      <c r="AV19" s="4">
        <f t="shared" si="44"/>
        <v>0</v>
      </c>
      <c r="AW19" s="4">
        <f t="shared" si="44"/>
        <v>0</v>
      </c>
      <c r="AX19" s="4">
        <f t="shared" si="44"/>
        <v>0</v>
      </c>
      <c r="AY19" s="4">
        <f t="shared" si="44"/>
        <v>0</v>
      </c>
      <c r="AZ19" s="4">
        <f t="shared" si="44"/>
        <v>0</v>
      </c>
      <c r="BA19" s="4">
        <f t="shared" si="44"/>
        <v>0</v>
      </c>
      <c r="BB19" s="4">
        <f t="shared" si="44"/>
        <v>0</v>
      </c>
      <c r="BC19" s="4">
        <f t="shared" si="44"/>
        <v>0</v>
      </c>
      <c r="BD19" s="4">
        <f t="shared" si="44"/>
        <v>0</v>
      </c>
      <c r="BE19" s="4">
        <f t="shared" si="44"/>
        <v>0</v>
      </c>
      <c r="BF19" s="4">
        <f t="shared" si="44"/>
        <v>0</v>
      </c>
      <c r="BG19" s="4">
        <f t="shared" si="44"/>
        <v>0</v>
      </c>
      <c r="BH19" s="4">
        <f t="shared" si="45"/>
        <v>0</v>
      </c>
      <c r="BI19" s="4">
        <f t="shared" si="45"/>
        <v>0</v>
      </c>
      <c r="BJ19" s="4">
        <f t="shared" si="45"/>
        <v>0</v>
      </c>
      <c r="BK19" s="4">
        <f t="shared" si="45"/>
        <v>0</v>
      </c>
      <c r="BL19" s="4">
        <f t="shared" si="45"/>
        <v>0</v>
      </c>
      <c r="BM19" s="4">
        <f t="shared" si="45"/>
        <v>0</v>
      </c>
      <c r="BN19" s="4">
        <f t="shared" si="45"/>
        <v>0</v>
      </c>
    </row>
    <row r="20" spans="1:66" x14ac:dyDescent="0.2">
      <c r="A20" t="s">
        <v>41</v>
      </c>
      <c r="B20" t="s">
        <v>23</v>
      </c>
      <c r="D20" t="s">
        <v>47</v>
      </c>
      <c r="G20" t="e">
        <f>AK28/AP28</f>
        <v>#DIV/0!</v>
      </c>
      <c r="K20" t="s">
        <v>13</v>
      </c>
      <c r="Z20">
        <f t="shared" si="35"/>
        <v>0</v>
      </c>
      <c r="AA20">
        <f t="shared" si="36"/>
        <v>0</v>
      </c>
      <c r="AE20">
        <f t="shared" si="37"/>
        <v>0</v>
      </c>
      <c r="AF20">
        <f t="shared" si="38"/>
        <v>0</v>
      </c>
      <c r="AG20">
        <f t="shared" si="39"/>
        <v>0</v>
      </c>
      <c r="AK20">
        <f t="shared" si="40"/>
        <v>0</v>
      </c>
      <c r="AL20">
        <f t="shared" si="41"/>
        <v>0</v>
      </c>
      <c r="AM20">
        <f t="shared" si="42"/>
        <v>0</v>
      </c>
      <c r="AN20">
        <f t="shared" si="43"/>
        <v>0</v>
      </c>
      <c r="AP20">
        <f t="shared" si="46"/>
        <v>0</v>
      </c>
      <c r="AQ20" s="4">
        <f t="shared" si="47"/>
        <v>0</v>
      </c>
      <c r="AR20" s="4">
        <f t="shared" si="44"/>
        <v>0</v>
      </c>
      <c r="AS20" s="4">
        <f t="shared" si="44"/>
        <v>0</v>
      </c>
      <c r="AT20" s="4">
        <f t="shared" si="44"/>
        <v>0</v>
      </c>
      <c r="AU20" s="4">
        <f t="shared" si="44"/>
        <v>0</v>
      </c>
      <c r="AV20" s="4">
        <f t="shared" si="44"/>
        <v>0</v>
      </c>
      <c r="AW20" s="4">
        <f t="shared" si="44"/>
        <v>0</v>
      </c>
      <c r="AX20" s="4">
        <f t="shared" si="44"/>
        <v>0</v>
      </c>
      <c r="AY20" s="4">
        <f t="shared" si="44"/>
        <v>0</v>
      </c>
      <c r="AZ20" s="4">
        <f t="shared" si="44"/>
        <v>0</v>
      </c>
      <c r="BA20" s="4">
        <f t="shared" si="44"/>
        <v>0</v>
      </c>
      <c r="BB20" s="4">
        <f t="shared" si="44"/>
        <v>0</v>
      </c>
      <c r="BC20" s="4">
        <f t="shared" si="44"/>
        <v>0</v>
      </c>
      <c r="BD20" s="4">
        <f t="shared" si="44"/>
        <v>0</v>
      </c>
      <c r="BE20" s="4">
        <f t="shared" si="44"/>
        <v>0</v>
      </c>
      <c r="BF20" s="4">
        <f t="shared" si="44"/>
        <v>0</v>
      </c>
      <c r="BG20" s="4">
        <f t="shared" si="44"/>
        <v>0</v>
      </c>
      <c r="BH20" s="4">
        <f t="shared" si="45"/>
        <v>0</v>
      </c>
      <c r="BI20" s="4">
        <f t="shared" si="45"/>
        <v>0</v>
      </c>
      <c r="BJ20" s="4">
        <f t="shared" si="45"/>
        <v>0</v>
      </c>
      <c r="BK20" s="4">
        <f t="shared" si="45"/>
        <v>0</v>
      </c>
      <c r="BL20" s="4">
        <f t="shared" si="45"/>
        <v>0</v>
      </c>
      <c r="BM20" s="4">
        <f t="shared" si="45"/>
        <v>0</v>
      </c>
      <c r="BN20" s="4">
        <f t="shared" si="45"/>
        <v>0</v>
      </c>
    </row>
    <row r="21" spans="1:66" x14ac:dyDescent="0.2">
      <c r="A21" s="1" t="s">
        <v>24</v>
      </c>
      <c r="D21">
        <f>G16/A31</f>
        <v>0</v>
      </c>
      <c r="G21" t="s">
        <v>76</v>
      </c>
      <c r="K21" t="s">
        <v>57</v>
      </c>
      <c r="L21" t="s">
        <v>58</v>
      </c>
      <c r="M21" t="s">
        <v>59</v>
      </c>
      <c r="N21" t="s">
        <v>60</v>
      </c>
      <c r="Z21">
        <f t="shared" si="35"/>
        <v>0</v>
      </c>
      <c r="AA21">
        <f t="shared" si="36"/>
        <v>0</v>
      </c>
      <c r="AE21">
        <f t="shared" si="37"/>
        <v>0</v>
      </c>
      <c r="AF21">
        <f t="shared" si="38"/>
        <v>1</v>
      </c>
      <c r="AG21">
        <f t="shared" si="39"/>
        <v>0</v>
      </c>
      <c r="AK21">
        <f t="shared" si="40"/>
        <v>0</v>
      </c>
      <c r="AL21">
        <f t="shared" si="41"/>
        <v>0</v>
      </c>
      <c r="AM21">
        <f t="shared" si="42"/>
        <v>0</v>
      </c>
      <c r="AN21">
        <f t="shared" si="43"/>
        <v>0</v>
      </c>
      <c r="AP21">
        <f t="shared" si="46"/>
        <v>0</v>
      </c>
      <c r="AQ21" s="4">
        <f t="shared" si="47"/>
        <v>0</v>
      </c>
      <c r="AR21" s="4">
        <f t="shared" si="44"/>
        <v>0</v>
      </c>
      <c r="AS21" s="4">
        <f t="shared" si="44"/>
        <v>0</v>
      </c>
      <c r="AT21" s="4">
        <f t="shared" si="44"/>
        <v>0</v>
      </c>
      <c r="AU21" s="4">
        <f t="shared" si="44"/>
        <v>0</v>
      </c>
      <c r="AV21" s="4">
        <f t="shared" si="44"/>
        <v>0</v>
      </c>
      <c r="AW21" s="4">
        <f t="shared" si="44"/>
        <v>0</v>
      </c>
      <c r="AX21" s="4">
        <f t="shared" si="44"/>
        <v>0</v>
      </c>
      <c r="AY21" s="4">
        <f t="shared" si="44"/>
        <v>0</v>
      </c>
      <c r="AZ21" s="4">
        <f t="shared" si="44"/>
        <v>0</v>
      </c>
      <c r="BA21" s="4">
        <f t="shared" si="44"/>
        <v>0</v>
      </c>
      <c r="BB21" s="4">
        <f t="shared" si="44"/>
        <v>0</v>
      </c>
      <c r="BC21" s="4">
        <f t="shared" si="44"/>
        <v>0</v>
      </c>
      <c r="BD21" s="4">
        <f t="shared" si="44"/>
        <v>0</v>
      </c>
      <c r="BE21" s="4">
        <f t="shared" si="44"/>
        <v>0</v>
      </c>
      <c r="BF21" s="4">
        <f t="shared" si="44"/>
        <v>0</v>
      </c>
      <c r="BG21" s="4">
        <f t="shared" si="44"/>
        <v>0</v>
      </c>
      <c r="BH21" s="4">
        <f t="shared" si="45"/>
        <v>0</v>
      </c>
      <c r="BI21" s="4">
        <f t="shared" si="45"/>
        <v>0</v>
      </c>
      <c r="BJ21" s="4">
        <f t="shared" si="45"/>
        <v>0</v>
      </c>
      <c r="BK21" s="4">
        <f t="shared" si="45"/>
        <v>0</v>
      </c>
      <c r="BL21" s="4">
        <f t="shared" si="45"/>
        <v>0</v>
      </c>
      <c r="BM21" s="4">
        <f t="shared" si="45"/>
        <v>0</v>
      </c>
      <c r="BN21" s="4">
        <f t="shared" si="45"/>
        <v>0</v>
      </c>
    </row>
    <row r="22" spans="1:66" x14ac:dyDescent="0.2">
      <c r="A22" t="s">
        <v>36</v>
      </c>
      <c r="B22" t="s">
        <v>10</v>
      </c>
      <c r="D22" t="s">
        <v>48</v>
      </c>
      <c r="G22" t="e">
        <f>AL28/AP28</f>
        <v>#DIV/0!</v>
      </c>
      <c r="K22">
        <f>AVERAGE(C39:C50)</f>
        <v>4</v>
      </c>
      <c r="L22">
        <f>MEDIAN(C39:C50)</f>
        <v>4</v>
      </c>
      <c r="M22">
        <f>MAX(C39:C50)</f>
        <v>6</v>
      </c>
      <c r="N22">
        <f>_xlfn.STDEV.S(C39:C50)</f>
        <v>0.95346258924559235</v>
      </c>
      <c r="Z22">
        <f t="shared" si="35"/>
        <v>0</v>
      </c>
      <c r="AA22">
        <f t="shared" si="36"/>
        <v>0</v>
      </c>
      <c r="AE22">
        <f t="shared" si="37"/>
        <v>0</v>
      </c>
      <c r="AF22">
        <f t="shared" si="38"/>
        <v>0</v>
      </c>
      <c r="AG22">
        <f t="shared" si="39"/>
        <v>0</v>
      </c>
      <c r="AK22">
        <f t="shared" si="40"/>
        <v>0</v>
      </c>
      <c r="AL22">
        <f t="shared" si="41"/>
        <v>0</v>
      </c>
      <c r="AM22">
        <f t="shared" si="42"/>
        <v>0</v>
      </c>
      <c r="AN22">
        <f t="shared" si="43"/>
        <v>0</v>
      </c>
      <c r="AP22">
        <f t="shared" si="46"/>
        <v>0</v>
      </c>
      <c r="AQ22" s="4">
        <f t="shared" si="47"/>
        <v>0</v>
      </c>
      <c r="AR22" s="4">
        <f t="shared" si="44"/>
        <v>0</v>
      </c>
      <c r="AS22" s="4">
        <f t="shared" si="44"/>
        <v>0</v>
      </c>
      <c r="AT22" s="4">
        <f t="shared" si="44"/>
        <v>0</v>
      </c>
      <c r="AU22" s="4">
        <f t="shared" si="44"/>
        <v>0</v>
      </c>
      <c r="AV22" s="4">
        <f t="shared" si="44"/>
        <v>0</v>
      </c>
      <c r="AW22" s="4">
        <f t="shared" si="44"/>
        <v>0</v>
      </c>
      <c r="AX22" s="4">
        <f t="shared" si="44"/>
        <v>0</v>
      </c>
      <c r="AY22" s="4">
        <f t="shared" si="44"/>
        <v>0</v>
      </c>
      <c r="AZ22" s="4">
        <f t="shared" si="44"/>
        <v>0</v>
      </c>
      <c r="BA22" s="4">
        <f t="shared" si="44"/>
        <v>0</v>
      </c>
      <c r="BB22" s="4">
        <f t="shared" si="44"/>
        <v>0</v>
      </c>
      <c r="BC22" s="4">
        <f t="shared" si="44"/>
        <v>0</v>
      </c>
      <c r="BD22" s="4">
        <f t="shared" si="44"/>
        <v>0</v>
      </c>
      <c r="BE22" s="4">
        <f t="shared" si="44"/>
        <v>0</v>
      </c>
      <c r="BF22" s="4">
        <f t="shared" si="44"/>
        <v>0</v>
      </c>
      <c r="BG22" s="4">
        <f t="shared" si="44"/>
        <v>0</v>
      </c>
      <c r="BH22" s="4">
        <f t="shared" si="45"/>
        <v>0</v>
      </c>
      <c r="BI22" s="4">
        <f t="shared" si="45"/>
        <v>0</v>
      </c>
      <c r="BJ22" s="4">
        <f t="shared" si="45"/>
        <v>0</v>
      </c>
      <c r="BK22" s="4">
        <f t="shared" si="45"/>
        <v>0</v>
      </c>
      <c r="BL22" s="4">
        <f t="shared" si="45"/>
        <v>0</v>
      </c>
      <c r="BM22" s="4">
        <f t="shared" si="45"/>
        <v>0</v>
      </c>
      <c r="BN22" s="4">
        <f t="shared" si="45"/>
        <v>0</v>
      </c>
    </row>
    <row r="23" spans="1:66" x14ac:dyDescent="0.2">
      <c r="A23" t="s">
        <v>37</v>
      </c>
      <c r="B23" t="s">
        <v>25</v>
      </c>
      <c r="D23">
        <f>H16/A31</f>
        <v>0</v>
      </c>
      <c r="G23" t="s">
        <v>77</v>
      </c>
      <c r="K23" t="s">
        <v>8</v>
      </c>
      <c r="Z23">
        <f t="shared" si="35"/>
        <v>0</v>
      </c>
      <c r="AA23">
        <f t="shared" si="36"/>
        <v>0</v>
      </c>
      <c r="AE23">
        <f t="shared" si="37"/>
        <v>0</v>
      </c>
      <c r="AF23">
        <f t="shared" si="38"/>
        <v>0</v>
      </c>
      <c r="AG23">
        <f t="shared" si="39"/>
        <v>0</v>
      </c>
      <c r="AK23">
        <f t="shared" si="40"/>
        <v>0</v>
      </c>
      <c r="AL23">
        <f t="shared" si="41"/>
        <v>0</v>
      </c>
      <c r="AM23">
        <f t="shared" si="42"/>
        <v>0</v>
      </c>
      <c r="AN23">
        <f t="shared" si="43"/>
        <v>0</v>
      </c>
      <c r="AP23">
        <f t="shared" si="46"/>
        <v>0</v>
      </c>
      <c r="AQ23" s="4">
        <f t="shared" si="47"/>
        <v>0</v>
      </c>
      <c r="AR23" s="4">
        <f t="shared" si="44"/>
        <v>0</v>
      </c>
      <c r="AS23" s="4">
        <f t="shared" si="44"/>
        <v>0</v>
      </c>
      <c r="AT23" s="4">
        <f t="shared" si="44"/>
        <v>0</v>
      </c>
      <c r="AU23" s="4">
        <f t="shared" si="44"/>
        <v>0</v>
      </c>
      <c r="AV23" s="4">
        <f t="shared" si="44"/>
        <v>0</v>
      </c>
      <c r="AW23" s="4">
        <f t="shared" si="44"/>
        <v>0</v>
      </c>
      <c r="AX23" s="4">
        <f t="shared" si="44"/>
        <v>0</v>
      </c>
      <c r="AY23" s="4">
        <f t="shared" si="44"/>
        <v>0</v>
      </c>
      <c r="AZ23" s="4">
        <f t="shared" si="44"/>
        <v>0</v>
      </c>
      <c r="BA23" s="4">
        <f t="shared" si="44"/>
        <v>0</v>
      </c>
      <c r="BB23" s="4">
        <f t="shared" si="44"/>
        <v>0</v>
      </c>
      <c r="BC23" s="4">
        <f t="shared" si="44"/>
        <v>0</v>
      </c>
      <c r="BD23" s="4">
        <f t="shared" si="44"/>
        <v>0</v>
      </c>
      <c r="BE23" s="4">
        <f t="shared" si="44"/>
        <v>0</v>
      </c>
      <c r="BF23" s="4">
        <f t="shared" si="44"/>
        <v>0</v>
      </c>
      <c r="BG23" s="4">
        <f t="shared" si="44"/>
        <v>0</v>
      </c>
      <c r="BH23" s="4">
        <f t="shared" si="45"/>
        <v>0</v>
      </c>
      <c r="BI23" s="4">
        <f t="shared" si="45"/>
        <v>0</v>
      </c>
      <c r="BJ23" s="4">
        <f t="shared" si="45"/>
        <v>0</v>
      </c>
      <c r="BK23" s="4">
        <f t="shared" si="45"/>
        <v>0</v>
      </c>
      <c r="BL23" s="4">
        <f t="shared" si="45"/>
        <v>0</v>
      </c>
      <c r="BM23" s="4">
        <f t="shared" si="45"/>
        <v>0</v>
      </c>
      <c r="BN23" s="4">
        <f t="shared" si="45"/>
        <v>0</v>
      </c>
    </row>
    <row r="24" spans="1:66" x14ac:dyDescent="0.2">
      <c r="A24" t="s">
        <v>38</v>
      </c>
      <c r="B24" t="s">
        <v>26</v>
      </c>
      <c r="D24" t="s">
        <v>50</v>
      </c>
      <c r="G24" t="e">
        <f>AM28/AP28</f>
        <v>#DIV/0!</v>
      </c>
      <c r="K24" t="s">
        <v>57</v>
      </c>
      <c r="L24" t="s">
        <v>61</v>
      </c>
      <c r="M24" t="s">
        <v>59</v>
      </c>
      <c r="N24" t="s">
        <v>60</v>
      </c>
      <c r="Z24">
        <f t="shared" si="35"/>
        <v>0</v>
      </c>
      <c r="AA24">
        <f t="shared" si="36"/>
        <v>0</v>
      </c>
      <c r="AE24">
        <f t="shared" si="37"/>
        <v>0</v>
      </c>
      <c r="AF24">
        <f t="shared" si="38"/>
        <v>0</v>
      </c>
      <c r="AG24">
        <f t="shared" si="39"/>
        <v>0</v>
      </c>
      <c r="AK24">
        <f t="shared" si="40"/>
        <v>0</v>
      </c>
      <c r="AL24">
        <f t="shared" si="41"/>
        <v>0</v>
      </c>
      <c r="AM24">
        <f t="shared" si="42"/>
        <v>0</v>
      </c>
      <c r="AN24">
        <f t="shared" si="43"/>
        <v>0</v>
      </c>
      <c r="AP24">
        <f t="shared" si="46"/>
        <v>0</v>
      </c>
      <c r="AQ24" s="4">
        <f t="shared" si="47"/>
        <v>0</v>
      </c>
      <c r="AR24" s="4">
        <f t="shared" si="44"/>
        <v>0</v>
      </c>
      <c r="AS24" s="4">
        <f t="shared" si="44"/>
        <v>0</v>
      </c>
      <c r="AT24" s="4">
        <f t="shared" si="44"/>
        <v>0</v>
      </c>
      <c r="AU24" s="4">
        <f t="shared" si="44"/>
        <v>0</v>
      </c>
      <c r="AV24" s="4">
        <f t="shared" si="44"/>
        <v>0</v>
      </c>
      <c r="AW24" s="4">
        <f t="shared" si="44"/>
        <v>0</v>
      </c>
      <c r="AX24" s="4">
        <f t="shared" si="44"/>
        <v>0</v>
      </c>
      <c r="AY24" s="4">
        <f t="shared" si="44"/>
        <v>0</v>
      </c>
      <c r="AZ24" s="4">
        <f t="shared" si="44"/>
        <v>0</v>
      </c>
      <c r="BA24" s="4">
        <f t="shared" si="44"/>
        <v>0</v>
      </c>
      <c r="BB24" s="4">
        <f t="shared" si="44"/>
        <v>0</v>
      </c>
      <c r="BC24" s="4">
        <f t="shared" si="44"/>
        <v>0</v>
      </c>
      <c r="BD24" s="4">
        <f t="shared" si="44"/>
        <v>0</v>
      </c>
      <c r="BE24" s="4">
        <f t="shared" si="44"/>
        <v>0</v>
      </c>
      <c r="BF24" s="4">
        <f t="shared" si="44"/>
        <v>0</v>
      </c>
      <c r="BG24" s="4">
        <f t="shared" si="44"/>
        <v>0</v>
      </c>
      <c r="BH24" s="4">
        <f t="shared" si="45"/>
        <v>0</v>
      </c>
      <c r="BI24" s="4">
        <f t="shared" si="45"/>
        <v>0</v>
      </c>
      <c r="BJ24" s="4">
        <f t="shared" si="45"/>
        <v>0</v>
      </c>
      <c r="BK24" s="4">
        <f t="shared" si="45"/>
        <v>0</v>
      </c>
      <c r="BL24" s="4">
        <f t="shared" si="45"/>
        <v>0</v>
      </c>
      <c r="BM24" s="4">
        <f t="shared" si="45"/>
        <v>0</v>
      </c>
      <c r="BN24" s="4">
        <f t="shared" si="45"/>
        <v>0</v>
      </c>
    </row>
    <row r="25" spans="1:66" x14ac:dyDescent="0.2">
      <c r="A25" t="s">
        <v>39</v>
      </c>
      <c r="B25" t="s">
        <v>27</v>
      </c>
      <c r="D25">
        <f>Z28/A31</f>
        <v>0</v>
      </c>
      <c r="G25" t="s">
        <v>78</v>
      </c>
      <c r="K25">
        <f>AVERAGE(E39:E50)</f>
        <v>0</v>
      </c>
      <c r="L25">
        <f>MEDIAN(E39:E50)</f>
        <v>0</v>
      </c>
      <c r="M25">
        <f>MAX(E39:E50)</f>
        <v>0</v>
      </c>
      <c r="N25">
        <f>_xlfn.STDEV.S(E39:E50)</f>
        <v>0</v>
      </c>
      <c r="Z25">
        <f t="shared" si="35"/>
        <v>0</v>
      </c>
      <c r="AA25">
        <f t="shared" si="36"/>
        <v>0</v>
      </c>
      <c r="AE25">
        <f t="shared" si="37"/>
        <v>0</v>
      </c>
      <c r="AF25">
        <f t="shared" si="38"/>
        <v>0</v>
      </c>
      <c r="AG25">
        <f t="shared" si="39"/>
        <v>0</v>
      </c>
      <c r="AK25">
        <f t="shared" si="40"/>
        <v>0</v>
      </c>
      <c r="AL25">
        <f t="shared" si="41"/>
        <v>0</v>
      </c>
      <c r="AM25">
        <f t="shared" si="42"/>
        <v>0</v>
      </c>
      <c r="AN25">
        <f t="shared" si="43"/>
        <v>0</v>
      </c>
      <c r="AP25">
        <f t="shared" si="46"/>
        <v>0</v>
      </c>
      <c r="AQ25" s="4">
        <f t="shared" si="47"/>
        <v>0</v>
      </c>
      <c r="AR25" s="4">
        <f t="shared" si="44"/>
        <v>0</v>
      </c>
      <c r="AS25" s="4">
        <f t="shared" si="44"/>
        <v>0</v>
      </c>
      <c r="AT25" s="4">
        <f t="shared" si="44"/>
        <v>0</v>
      </c>
      <c r="AU25" s="4">
        <f t="shared" si="44"/>
        <v>0</v>
      </c>
      <c r="AV25" s="4">
        <f t="shared" si="44"/>
        <v>0</v>
      </c>
      <c r="AW25" s="4">
        <f t="shared" si="44"/>
        <v>0</v>
      </c>
      <c r="AX25" s="4">
        <f t="shared" si="44"/>
        <v>0</v>
      </c>
      <c r="AY25" s="4">
        <f t="shared" si="44"/>
        <v>0</v>
      </c>
      <c r="AZ25" s="4">
        <f t="shared" si="44"/>
        <v>0</v>
      </c>
      <c r="BA25" s="4">
        <f t="shared" si="44"/>
        <v>0</v>
      </c>
      <c r="BB25" s="4">
        <f t="shared" si="44"/>
        <v>0</v>
      </c>
      <c r="BC25" s="4">
        <f t="shared" si="44"/>
        <v>0</v>
      </c>
      <c r="BD25" s="4">
        <f t="shared" si="44"/>
        <v>0</v>
      </c>
      <c r="BE25" s="4">
        <f t="shared" si="44"/>
        <v>0</v>
      </c>
      <c r="BF25" s="4">
        <f t="shared" si="44"/>
        <v>0</v>
      </c>
      <c r="BG25" s="4">
        <f t="shared" si="44"/>
        <v>0</v>
      </c>
      <c r="BH25" s="4">
        <f t="shared" si="45"/>
        <v>0</v>
      </c>
      <c r="BI25" s="4">
        <f t="shared" si="45"/>
        <v>0</v>
      </c>
      <c r="BJ25" s="4">
        <f t="shared" si="45"/>
        <v>0</v>
      </c>
      <c r="BK25" s="4">
        <f t="shared" si="45"/>
        <v>0</v>
      </c>
      <c r="BL25" s="4">
        <f t="shared" si="45"/>
        <v>0</v>
      </c>
      <c r="BM25" s="4">
        <f t="shared" si="45"/>
        <v>0</v>
      </c>
      <c r="BN25" s="4">
        <f t="shared" si="45"/>
        <v>0</v>
      </c>
    </row>
    <row r="26" spans="1:66" x14ac:dyDescent="0.2">
      <c r="A26" t="s">
        <v>44</v>
      </c>
      <c r="D26" t="s">
        <v>51</v>
      </c>
      <c r="G26" t="e">
        <f>AN28/AP28</f>
        <v>#DIV/0!</v>
      </c>
      <c r="K26" t="s">
        <v>62</v>
      </c>
      <c r="P26" t="s">
        <v>19</v>
      </c>
      <c r="Z26">
        <f t="shared" si="35"/>
        <v>0</v>
      </c>
      <c r="AA26">
        <f t="shared" si="36"/>
        <v>0</v>
      </c>
      <c r="AE26">
        <f t="shared" si="37"/>
        <v>0</v>
      </c>
      <c r="AF26">
        <f t="shared" si="38"/>
        <v>1</v>
      </c>
      <c r="AG26">
        <f t="shared" si="39"/>
        <v>0</v>
      </c>
      <c r="AK26">
        <f t="shared" si="40"/>
        <v>0</v>
      </c>
      <c r="AL26">
        <f t="shared" si="41"/>
        <v>0</v>
      </c>
      <c r="AM26">
        <f t="shared" si="42"/>
        <v>0</v>
      </c>
      <c r="AN26">
        <f t="shared" si="43"/>
        <v>0</v>
      </c>
      <c r="AP26">
        <f t="shared" si="46"/>
        <v>0</v>
      </c>
      <c r="AQ26" s="4">
        <f t="shared" si="47"/>
        <v>0</v>
      </c>
      <c r="AR26" s="4">
        <f t="shared" si="44"/>
        <v>0</v>
      </c>
      <c r="AS26" s="4">
        <f t="shared" si="44"/>
        <v>0</v>
      </c>
      <c r="AT26" s="4">
        <f t="shared" si="44"/>
        <v>0</v>
      </c>
      <c r="AU26" s="4">
        <f t="shared" si="44"/>
        <v>0</v>
      </c>
      <c r="AV26" s="4">
        <f t="shared" si="44"/>
        <v>0</v>
      </c>
      <c r="AW26" s="4">
        <f t="shared" si="44"/>
        <v>0</v>
      </c>
      <c r="AX26" s="4">
        <f t="shared" si="44"/>
        <v>0</v>
      </c>
      <c r="AY26" s="4">
        <f t="shared" si="44"/>
        <v>0</v>
      </c>
      <c r="AZ26" s="4">
        <f t="shared" si="44"/>
        <v>0</v>
      </c>
      <c r="BA26" s="4">
        <f t="shared" si="44"/>
        <v>0</v>
      </c>
      <c r="BB26" s="4">
        <f t="shared" si="44"/>
        <v>0</v>
      </c>
      <c r="BC26" s="4">
        <f t="shared" si="44"/>
        <v>0</v>
      </c>
      <c r="BD26" s="4">
        <f t="shared" si="44"/>
        <v>0</v>
      </c>
      <c r="BE26" s="4">
        <f t="shared" si="44"/>
        <v>0</v>
      </c>
      <c r="BF26" s="4">
        <f t="shared" si="44"/>
        <v>0</v>
      </c>
      <c r="BG26" s="4">
        <f t="shared" si="44"/>
        <v>0</v>
      </c>
      <c r="BH26" s="4">
        <f t="shared" si="45"/>
        <v>0</v>
      </c>
      <c r="BI26" s="4">
        <f t="shared" si="45"/>
        <v>0</v>
      </c>
      <c r="BJ26" s="4">
        <f t="shared" si="45"/>
        <v>0</v>
      </c>
      <c r="BK26" s="4">
        <f t="shared" si="45"/>
        <v>0</v>
      </c>
      <c r="BL26" s="4">
        <f t="shared" si="45"/>
        <v>0</v>
      </c>
      <c r="BM26" s="4">
        <f t="shared" si="45"/>
        <v>0</v>
      </c>
      <c r="BN26" s="4">
        <f t="shared" si="45"/>
        <v>0</v>
      </c>
    </row>
    <row r="27" spans="1:66" x14ac:dyDescent="0.2">
      <c r="A27" t="s">
        <v>45</v>
      </c>
      <c r="D27">
        <f>AA28/A31</f>
        <v>0</v>
      </c>
      <c r="G27" t="s">
        <v>56</v>
      </c>
      <c r="K27" t="s">
        <v>57</v>
      </c>
      <c r="L27" t="s">
        <v>58</v>
      </c>
      <c r="M27" t="s">
        <v>59</v>
      </c>
      <c r="N27" t="s">
        <v>60</v>
      </c>
      <c r="P27" t="s">
        <v>57</v>
      </c>
      <c r="Q27" t="s">
        <v>58</v>
      </c>
      <c r="R27" t="s">
        <v>59</v>
      </c>
      <c r="S27" t="s">
        <v>60</v>
      </c>
      <c r="Z27">
        <f t="shared" si="35"/>
        <v>0</v>
      </c>
      <c r="AA27">
        <f t="shared" si="36"/>
        <v>0</v>
      </c>
      <c r="AE27">
        <f t="shared" si="37"/>
        <v>1</v>
      </c>
      <c r="AF27">
        <f t="shared" si="38"/>
        <v>0</v>
      </c>
      <c r="AG27">
        <f t="shared" si="39"/>
        <v>0</v>
      </c>
      <c r="AK27">
        <f t="shared" si="40"/>
        <v>0</v>
      </c>
      <c r="AL27">
        <f t="shared" si="41"/>
        <v>0</v>
      </c>
      <c r="AM27">
        <f t="shared" si="42"/>
        <v>0</v>
      </c>
      <c r="AN27">
        <f t="shared" si="43"/>
        <v>0</v>
      </c>
      <c r="AP27">
        <f t="shared" si="46"/>
        <v>0</v>
      </c>
      <c r="AQ27" s="4">
        <f t="shared" si="47"/>
        <v>0</v>
      </c>
      <c r="AR27" s="4">
        <f t="shared" si="44"/>
        <v>0</v>
      </c>
      <c r="AS27" s="4">
        <f t="shared" si="44"/>
        <v>0</v>
      </c>
      <c r="AT27" s="4">
        <f t="shared" si="44"/>
        <v>0</v>
      </c>
      <c r="AU27" s="4">
        <f t="shared" si="44"/>
        <v>0</v>
      </c>
      <c r="AV27" s="4">
        <f t="shared" si="44"/>
        <v>0</v>
      </c>
      <c r="AW27" s="4">
        <f t="shared" si="44"/>
        <v>0</v>
      </c>
      <c r="AX27" s="4">
        <f t="shared" si="44"/>
        <v>0</v>
      </c>
      <c r="AY27" s="4">
        <f t="shared" si="44"/>
        <v>0</v>
      </c>
      <c r="AZ27" s="4">
        <f t="shared" si="44"/>
        <v>0</v>
      </c>
      <c r="BA27" s="4">
        <f t="shared" si="44"/>
        <v>0</v>
      </c>
      <c r="BB27" s="4">
        <f t="shared" si="44"/>
        <v>0</v>
      </c>
      <c r="BC27" s="4">
        <f t="shared" si="44"/>
        <v>0</v>
      </c>
      <c r="BD27" s="4">
        <f t="shared" si="44"/>
        <v>0</v>
      </c>
      <c r="BE27" s="4">
        <f t="shared" si="44"/>
        <v>0</v>
      </c>
      <c r="BF27" s="4">
        <f t="shared" si="44"/>
        <v>0</v>
      </c>
      <c r="BG27" s="4">
        <f t="shared" si="44"/>
        <v>0</v>
      </c>
      <c r="BH27" s="4">
        <f t="shared" si="45"/>
        <v>0</v>
      </c>
      <c r="BI27" s="4">
        <f t="shared" si="45"/>
        <v>0</v>
      </c>
      <c r="BJ27" s="4">
        <f t="shared" si="45"/>
        <v>0</v>
      </c>
      <c r="BK27" s="4">
        <f t="shared" si="45"/>
        <v>0</v>
      </c>
      <c r="BL27" s="4">
        <f t="shared" si="45"/>
        <v>0</v>
      </c>
      <c r="BM27" s="4">
        <f t="shared" si="45"/>
        <v>0</v>
      </c>
      <c r="BN27" s="4">
        <f t="shared" si="45"/>
        <v>0</v>
      </c>
    </row>
    <row r="28" spans="1:66" x14ac:dyDescent="0.2">
      <c r="A28" t="s">
        <v>46</v>
      </c>
      <c r="D28" t="s">
        <v>202</v>
      </c>
      <c r="G28" t="s">
        <v>57</v>
      </c>
      <c r="H28" t="s">
        <v>58</v>
      </c>
      <c r="I28" t="s">
        <v>59</v>
      </c>
      <c r="J28" t="s">
        <v>60</v>
      </c>
      <c r="K28">
        <f>AVERAGE(G39:G50)</f>
        <v>0</v>
      </c>
      <c r="L28">
        <f>MEDIAN(G39:G50)</f>
        <v>0</v>
      </c>
      <c r="M28">
        <f>MAX(G39:G50)</f>
        <v>0</v>
      </c>
      <c r="N28">
        <f>_xlfn.STDEV.S(G39:G50)</f>
        <v>0</v>
      </c>
      <c r="P28">
        <f>AVERAGE(N39:N50)</f>
        <v>2.5</v>
      </c>
      <c r="Q28">
        <f>MEDIAN(N39:N50)</f>
        <v>0</v>
      </c>
      <c r="R28">
        <f>MAX(N39:N50)</f>
        <v>14</v>
      </c>
      <c r="S28">
        <f>_xlfn.STDEV.S(N39:N50)</f>
        <v>4.2533409328325762</v>
      </c>
      <c r="Y28" t="s">
        <v>33</v>
      </c>
      <c r="Z28">
        <f>SUM(Z16:Z27)</f>
        <v>0</v>
      </c>
      <c r="AA28">
        <f>SUM(AA16:AA27)</f>
        <v>0</v>
      </c>
      <c r="AE28">
        <f>SUM(AE16:AE27)</f>
        <v>1</v>
      </c>
      <c r="AF28">
        <f>SUM(AF16:AF27)</f>
        <v>3</v>
      </c>
      <c r="AG28">
        <f>SUM(AG16:AG27)</f>
        <v>0</v>
      </c>
      <c r="AK28">
        <f>SUM(AK16:AK27)</f>
        <v>0</v>
      </c>
      <c r="AL28">
        <f>SUM(AL16:AL27)</f>
        <v>0</v>
      </c>
      <c r="AM28">
        <f>SUM(AM16:AM27)</f>
        <v>0</v>
      </c>
      <c r="AN28">
        <f>SUM(AN16:AN27)</f>
        <v>0</v>
      </c>
      <c r="AP28">
        <f>SUM(AP16:AP27)</f>
        <v>0</v>
      </c>
    </row>
    <row r="29" spans="1:66" x14ac:dyDescent="0.2">
      <c r="D29">
        <f>SUM(O39:O50)/F16</f>
        <v>0.5</v>
      </c>
      <c r="G29">
        <f>AVERAGE(A39:A50)</f>
        <v>0.33333333333333331</v>
      </c>
      <c r="H29">
        <f>MEDIAN(A39:A50)</f>
        <v>0</v>
      </c>
      <c r="I29">
        <f>MAX(A39:A50)</f>
        <v>1</v>
      </c>
      <c r="J29">
        <f>_xlfn.STDEV.S(A39:A50)</f>
        <v>0.49236596391733095</v>
      </c>
      <c r="K29" t="s">
        <v>63</v>
      </c>
      <c r="P29" t="s">
        <v>148</v>
      </c>
    </row>
    <row r="30" spans="1:66" x14ac:dyDescent="0.2">
      <c r="A30" t="s">
        <v>147</v>
      </c>
      <c r="D30" t="s">
        <v>203</v>
      </c>
      <c r="G30" t="s">
        <v>50</v>
      </c>
      <c r="H30" t="s">
        <v>51</v>
      </c>
      <c r="I30" t="s">
        <v>89</v>
      </c>
      <c r="K30" t="s">
        <v>57</v>
      </c>
      <c r="L30" t="s">
        <v>58</v>
      </c>
      <c r="M30" t="s">
        <v>59</v>
      </c>
      <c r="N30" t="s">
        <v>60</v>
      </c>
      <c r="P30" t="s">
        <v>57</v>
      </c>
      <c r="Q30" t="s">
        <v>58</v>
      </c>
      <c r="R30" t="s">
        <v>59</v>
      </c>
      <c r="S30" t="s">
        <v>60</v>
      </c>
      <c r="W30" t="s">
        <v>148</v>
      </c>
      <c r="Y30" t="s">
        <v>149</v>
      </c>
      <c r="AH30" t="s">
        <v>79</v>
      </c>
    </row>
    <row r="31" spans="1:66" x14ac:dyDescent="0.2">
      <c r="A31">
        <f>COUNT(B4:B15)</f>
        <v>12</v>
      </c>
      <c r="D31" s="2">
        <f>SUM(S39:S50)/SUM(Q39:Q50)</f>
        <v>0</v>
      </c>
      <c r="G31">
        <f>AE28/A31</f>
        <v>8.3333333333333329E-2</v>
      </c>
      <c r="H31">
        <f>AF28/A31</f>
        <v>0.25</v>
      </c>
      <c r="I31">
        <f>AG28/A31</f>
        <v>0</v>
      </c>
      <c r="K31" t="e">
        <f>AVERAGE(I39:I50)</f>
        <v>#DIV/0!</v>
      </c>
      <c r="L31" t="e">
        <f>MEDIAN(I39:I50)</f>
        <v>#NUM!</v>
      </c>
      <c r="M31">
        <f>MAX(I39:I50)</f>
        <v>0</v>
      </c>
      <c r="N31" t="e">
        <f>_xlfn.STDEV.S(I39:I50)</f>
        <v>#DIV/0!</v>
      </c>
      <c r="P31" t="e">
        <f>AVERAGE(W31:W42)</f>
        <v>#DIV/0!</v>
      </c>
      <c r="Q31" t="e">
        <f>MEDIAN(W31:W42)</f>
        <v>#NUM!</v>
      </c>
      <c r="R31">
        <f>MAX(W31:W42)</f>
        <v>0</v>
      </c>
      <c r="S31" t="e">
        <f>_xlfn.STDEV.S(W31:W42)</f>
        <v>#DIV/0!</v>
      </c>
      <c r="W31" t="str">
        <f t="shared" ref="W31:W33" si="48">IF(AND(ISBLANK(Q4), ISBLANK(R4), ISBLANK(G4), ISBLANK(H4)), "", U4)</f>
        <v/>
      </c>
      <c r="Y31" t="str">
        <f t="shared" ref="Y31:Y42" si="49">IF(ISBLANK(Y4), IF(X4 = 0, "", (G4 + H4/3 + V4/9 + W4/3)), U4)</f>
        <v/>
      </c>
      <c r="AH31" t="s">
        <v>80</v>
      </c>
    </row>
    <row r="32" spans="1:66" x14ac:dyDescent="0.2">
      <c r="A32" t="s">
        <v>336</v>
      </c>
      <c r="D32" s="3"/>
      <c r="K32" t="s">
        <v>64</v>
      </c>
      <c r="P32" t="s">
        <v>149</v>
      </c>
      <c r="W32" t="str">
        <f t="shared" si="48"/>
        <v/>
      </c>
      <c r="Y32" t="str">
        <f t="shared" si="49"/>
        <v/>
      </c>
      <c r="AH32" t="s">
        <v>81</v>
      </c>
    </row>
    <row r="33" spans="1:34" x14ac:dyDescent="0.2">
      <c r="D33" s="3"/>
      <c r="K33" t="s">
        <v>57</v>
      </c>
      <c r="L33" t="s">
        <v>58</v>
      </c>
      <c r="M33" t="s">
        <v>59</v>
      </c>
      <c r="N33" t="s">
        <v>60</v>
      </c>
      <c r="P33" t="s">
        <v>57</v>
      </c>
      <c r="Q33" t="s">
        <v>58</v>
      </c>
      <c r="R33" t="s">
        <v>59</v>
      </c>
      <c r="S33" t="s">
        <v>60</v>
      </c>
      <c r="W33" t="str">
        <f t="shared" si="48"/>
        <v/>
      </c>
      <c r="Y33" t="str">
        <f t="shared" si="49"/>
        <v/>
      </c>
      <c r="AH33" t="s">
        <v>82</v>
      </c>
    </row>
    <row r="34" spans="1:34" x14ac:dyDescent="0.2">
      <c r="D34" s="3"/>
      <c r="K34">
        <f>AVERAGE(K39:K50)</f>
        <v>0</v>
      </c>
      <c r="L34">
        <f>MEDIAN(K39:K50)</f>
        <v>0</v>
      </c>
      <c r="M34">
        <f>MAX(K39:K50)</f>
        <v>0</v>
      </c>
      <c r="N34">
        <f>_xlfn.STDEV.S(K39:K50)</f>
        <v>0</v>
      </c>
      <c r="P34" t="e">
        <f>AVERAGE(Y31:Y42)</f>
        <v>#DIV/0!</v>
      </c>
      <c r="Q34" t="e">
        <f>MEDIAN(Y31:Y42)</f>
        <v>#NUM!</v>
      </c>
      <c r="R34">
        <f>MAX(Y31:Y42)</f>
        <v>0</v>
      </c>
      <c r="S34" t="e">
        <f>_xlfn.STDEV.S(Y31:Y42)</f>
        <v>#DIV/0!</v>
      </c>
      <c r="W34" t="str">
        <f>IF(AND(ISBLANK(Q7), ISBLANK(R7), ISBLANK(G7), ISBLANK(H7)), "", U7)</f>
        <v/>
      </c>
      <c r="Y34" t="str">
        <f t="shared" si="49"/>
        <v/>
      </c>
      <c r="AH34" t="s">
        <v>83</v>
      </c>
    </row>
    <row r="35" spans="1:34" x14ac:dyDescent="0.2">
      <c r="P35" t="s">
        <v>95</v>
      </c>
      <c r="R35" t="s">
        <v>197</v>
      </c>
      <c r="W35" t="str">
        <f t="shared" ref="W35:W42" si="50">IF(AND(ISBLANK(Q8), ISBLANK(R8), ISBLANK(G8), ISBLANK(H8)), "", U8)</f>
        <v/>
      </c>
      <c r="Y35" t="str">
        <f t="shared" si="49"/>
        <v/>
      </c>
    </row>
    <row r="36" spans="1:34" x14ac:dyDescent="0.2">
      <c r="P36" t="e">
        <f>Q16/(Q16+R16)</f>
        <v>#DIV/0!</v>
      </c>
      <c r="R36" t="e">
        <f>R16/(Q16+R16)</f>
        <v>#DIV/0!</v>
      </c>
      <c r="W36" t="str">
        <f t="shared" si="50"/>
        <v/>
      </c>
      <c r="Y36" t="str">
        <f t="shared" si="49"/>
        <v/>
      </c>
    </row>
    <row r="37" spans="1:34" x14ac:dyDescent="0.2">
      <c r="W37" t="str">
        <f t="shared" si="50"/>
        <v/>
      </c>
      <c r="Y37" t="str">
        <f t="shared" si="49"/>
        <v/>
      </c>
    </row>
    <row r="38" spans="1:34" x14ac:dyDescent="0.2">
      <c r="A38" t="s">
        <v>68</v>
      </c>
      <c r="C38" t="s">
        <v>69</v>
      </c>
      <c r="E38" t="s">
        <v>72</v>
      </c>
      <c r="G38" t="s">
        <v>250</v>
      </c>
      <c r="K38" t="s">
        <v>73</v>
      </c>
      <c r="M38" t="s">
        <v>70</v>
      </c>
      <c r="N38" t="s">
        <v>71</v>
      </c>
      <c r="O38" t="s">
        <v>199</v>
      </c>
      <c r="Q38" t="s">
        <v>200</v>
      </c>
      <c r="S38" t="s">
        <v>201</v>
      </c>
      <c r="W38" t="str">
        <f t="shared" si="50"/>
        <v/>
      </c>
      <c r="Y38" t="str">
        <f t="shared" si="49"/>
        <v/>
      </c>
    </row>
    <row r="39" spans="1:34" x14ac:dyDescent="0.2">
      <c r="A39">
        <f t="shared" ref="A39:A50" si="51">IF(ISBLANK(B4), "", SUM(AE16+AF16+AG16))</f>
        <v>0</v>
      </c>
      <c r="C39">
        <f t="shared" ref="C39:C50" si="52">IF(ISBLANK(B4), "", O4)</f>
        <v>3</v>
      </c>
      <c r="E39">
        <f t="shared" ref="E39:E50" si="53">IF(ISBLANK(B4), "", Q4)</f>
        <v>0</v>
      </c>
      <c r="G39">
        <f t="shared" ref="G39:G50" si="54">IF(ISBLANK(B4), "", R4)</f>
        <v>0</v>
      </c>
      <c r="K39">
        <f t="shared" ref="K39:K50" si="55">IF(ISBLANK(B4), "", SUM(Q4 + R4))</f>
        <v>0</v>
      </c>
      <c r="M39">
        <f t="shared" ref="M39:M50" si="56">IF(ISBLANK(B4), "", SUM(K4+M4) - O4)</f>
        <v>0</v>
      </c>
      <c r="N39">
        <f t="shared" ref="N39:N50" si="57">IF(ISBLANK(B4), "", U4)</f>
        <v>0</v>
      </c>
      <c r="O39">
        <f t="shared" ref="O39:O50" si="58">COUNTIF(E4, "1")*COUNTIF(F4, "1")</f>
        <v>0</v>
      </c>
      <c r="Q39">
        <f t="shared" ref="Q39:Q50" si="59">COUNTIF(D4, "1")*COUNTIF(F4, "")</f>
        <v>0</v>
      </c>
      <c r="S39">
        <f t="shared" ref="S39:S50" si="60">COUNTIF(E4, "1")*COUNTIF(F4, "")</f>
        <v>0</v>
      </c>
      <c r="W39" t="str">
        <f t="shared" si="50"/>
        <v/>
      </c>
      <c r="Y39" t="str">
        <f t="shared" si="49"/>
        <v/>
      </c>
    </row>
    <row r="40" spans="1:34" x14ac:dyDescent="0.2">
      <c r="A40">
        <f t="shared" si="51"/>
        <v>1</v>
      </c>
      <c r="C40">
        <f t="shared" si="52"/>
        <v>4</v>
      </c>
      <c r="E40">
        <f t="shared" si="53"/>
        <v>0</v>
      </c>
      <c r="G40">
        <f t="shared" si="54"/>
        <v>0</v>
      </c>
      <c r="K40">
        <f t="shared" si="55"/>
        <v>0</v>
      </c>
      <c r="M40">
        <f t="shared" si="56"/>
        <v>-1</v>
      </c>
      <c r="N40">
        <f t="shared" si="57"/>
        <v>0</v>
      </c>
      <c r="O40">
        <f t="shared" si="58"/>
        <v>0</v>
      </c>
      <c r="Q40">
        <f t="shared" si="59"/>
        <v>0</v>
      </c>
      <c r="S40">
        <f t="shared" si="60"/>
        <v>0</v>
      </c>
      <c r="W40" t="str">
        <f t="shared" si="50"/>
        <v/>
      </c>
      <c r="Y40" t="str">
        <f t="shared" si="49"/>
        <v/>
      </c>
    </row>
    <row r="41" spans="1:34" x14ac:dyDescent="0.2">
      <c r="A41">
        <f t="shared" si="51"/>
        <v>0</v>
      </c>
      <c r="C41">
        <f t="shared" si="52"/>
        <v>3</v>
      </c>
      <c r="E41">
        <f t="shared" si="53"/>
        <v>0</v>
      </c>
      <c r="G41">
        <f t="shared" si="54"/>
        <v>0</v>
      </c>
      <c r="K41">
        <f t="shared" si="55"/>
        <v>0</v>
      </c>
      <c r="M41">
        <f t="shared" si="56"/>
        <v>-1</v>
      </c>
      <c r="N41">
        <f t="shared" si="57"/>
        <v>0</v>
      </c>
      <c r="O41">
        <f t="shared" si="58"/>
        <v>0</v>
      </c>
      <c r="Q41">
        <f t="shared" si="59"/>
        <v>1</v>
      </c>
      <c r="S41">
        <f t="shared" si="60"/>
        <v>0</v>
      </c>
      <c r="W41" t="str">
        <f t="shared" si="50"/>
        <v/>
      </c>
      <c r="Y41" t="str">
        <f t="shared" si="49"/>
        <v/>
      </c>
    </row>
    <row r="42" spans="1:34" x14ac:dyDescent="0.2">
      <c r="A42">
        <f t="shared" si="51"/>
        <v>0</v>
      </c>
      <c r="C42">
        <f t="shared" si="52"/>
        <v>5</v>
      </c>
      <c r="E42">
        <f t="shared" si="53"/>
        <v>0</v>
      </c>
      <c r="G42">
        <f t="shared" si="54"/>
        <v>0</v>
      </c>
      <c r="K42">
        <f t="shared" si="55"/>
        <v>0</v>
      </c>
      <c r="M42">
        <f t="shared" si="56"/>
        <v>0</v>
      </c>
      <c r="N42">
        <f t="shared" si="57"/>
        <v>1</v>
      </c>
      <c r="O42">
        <f t="shared" si="58"/>
        <v>0</v>
      </c>
      <c r="Q42">
        <f t="shared" si="59"/>
        <v>0</v>
      </c>
      <c r="S42">
        <f t="shared" si="60"/>
        <v>0</v>
      </c>
      <c r="W42" t="str">
        <f t="shared" si="50"/>
        <v/>
      </c>
      <c r="Y42" t="str">
        <f t="shared" si="49"/>
        <v/>
      </c>
    </row>
    <row r="43" spans="1:34" x14ac:dyDescent="0.2">
      <c r="A43">
        <f t="shared" si="51"/>
        <v>0</v>
      </c>
      <c r="C43">
        <f t="shared" si="52"/>
        <v>4</v>
      </c>
      <c r="E43">
        <f t="shared" si="53"/>
        <v>0</v>
      </c>
      <c r="G43">
        <f t="shared" si="54"/>
        <v>0</v>
      </c>
      <c r="K43">
        <f t="shared" si="55"/>
        <v>0</v>
      </c>
      <c r="M43">
        <f t="shared" si="56"/>
        <v>0</v>
      </c>
      <c r="N43">
        <f t="shared" si="57"/>
        <v>14</v>
      </c>
      <c r="O43">
        <f t="shared" si="58"/>
        <v>0</v>
      </c>
      <c r="Q43">
        <f t="shared" si="59"/>
        <v>1</v>
      </c>
      <c r="S43">
        <f t="shared" si="60"/>
        <v>0</v>
      </c>
    </row>
    <row r="44" spans="1:34" x14ac:dyDescent="0.2">
      <c r="A44">
        <f t="shared" si="51"/>
        <v>1</v>
      </c>
      <c r="C44">
        <f t="shared" si="52"/>
        <v>3</v>
      </c>
      <c r="E44">
        <f t="shared" si="53"/>
        <v>0</v>
      </c>
      <c r="G44">
        <f t="shared" si="54"/>
        <v>0</v>
      </c>
      <c r="K44">
        <f t="shared" si="55"/>
        <v>0</v>
      </c>
      <c r="M44">
        <f t="shared" si="56"/>
        <v>0</v>
      </c>
      <c r="N44">
        <f t="shared" si="57"/>
        <v>0</v>
      </c>
      <c r="O44">
        <f t="shared" si="58"/>
        <v>1</v>
      </c>
      <c r="Q44">
        <f t="shared" si="59"/>
        <v>0</v>
      </c>
      <c r="S44">
        <f t="shared" si="60"/>
        <v>0</v>
      </c>
    </row>
    <row r="45" spans="1:34" x14ac:dyDescent="0.2">
      <c r="A45">
        <f t="shared" si="51"/>
        <v>0</v>
      </c>
      <c r="C45">
        <f t="shared" si="52"/>
        <v>6</v>
      </c>
      <c r="E45">
        <f t="shared" si="53"/>
        <v>0</v>
      </c>
      <c r="G45">
        <f t="shared" si="54"/>
        <v>0</v>
      </c>
      <c r="K45">
        <f t="shared" si="55"/>
        <v>0</v>
      </c>
      <c r="M45">
        <f t="shared" si="56"/>
        <v>-1</v>
      </c>
      <c r="N45">
        <f t="shared" si="57"/>
        <v>0</v>
      </c>
      <c r="O45">
        <f t="shared" si="58"/>
        <v>0</v>
      </c>
      <c r="Q45">
        <f t="shared" si="59"/>
        <v>1</v>
      </c>
      <c r="S45">
        <f t="shared" si="60"/>
        <v>0</v>
      </c>
    </row>
    <row r="46" spans="1:34" x14ac:dyDescent="0.2">
      <c r="A46">
        <f t="shared" si="51"/>
        <v>0</v>
      </c>
      <c r="C46">
        <f t="shared" si="52"/>
        <v>5</v>
      </c>
      <c r="E46">
        <f t="shared" si="53"/>
        <v>0</v>
      </c>
      <c r="G46">
        <f t="shared" si="54"/>
        <v>0</v>
      </c>
      <c r="K46">
        <f t="shared" si="55"/>
        <v>0</v>
      </c>
      <c r="M46">
        <f t="shared" si="56"/>
        <v>-1</v>
      </c>
      <c r="N46">
        <f t="shared" si="57"/>
        <v>4</v>
      </c>
      <c r="O46">
        <f t="shared" si="58"/>
        <v>0</v>
      </c>
      <c r="Q46">
        <f t="shared" si="59"/>
        <v>0</v>
      </c>
      <c r="S46">
        <f t="shared" si="60"/>
        <v>0</v>
      </c>
    </row>
    <row r="47" spans="1:34" x14ac:dyDescent="0.2">
      <c r="A47">
        <f t="shared" si="51"/>
        <v>0</v>
      </c>
      <c r="C47">
        <f t="shared" si="52"/>
        <v>4</v>
      </c>
      <c r="E47">
        <f t="shared" si="53"/>
        <v>0</v>
      </c>
      <c r="G47">
        <f t="shared" si="54"/>
        <v>0</v>
      </c>
      <c r="K47">
        <f t="shared" si="55"/>
        <v>0</v>
      </c>
      <c r="M47">
        <f t="shared" si="56"/>
        <v>-1</v>
      </c>
      <c r="N47">
        <f t="shared" si="57"/>
        <v>0</v>
      </c>
      <c r="O47">
        <f t="shared" si="58"/>
        <v>0</v>
      </c>
      <c r="Q47">
        <f t="shared" si="59"/>
        <v>0</v>
      </c>
      <c r="S47">
        <f t="shared" si="60"/>
        <v>0</v>
      </c>
    </row>
    <row r="48" spans="1:34" x14ac:dyDescent="0.2">
      <c r="A48">
        <f t="shared" si="51"/>
        <v>0</v>
      </c>
      <c r="C48">
        <f t="shared" si="52"/>
        <v>4</v>
      </c>
      <c r="E48">
        <f t="shared" si="53"/>
        <v>0</v>
      </c>
      <c r="G48">
        <f t="shared" si="54"/>
        <v>0</v>
      </c>
      <c r="K48">
        <f t="shared" si="55"/>
        <v>0</v>
      </c>
      <c r="M48">
        <f t="shared" si="56"/>
        <v>-1</v>
      </c>
      <c r="N48">
        <f t="shared" si="57"/>
        <v>5</v>
      </c>
      <c r="O48">
        <f t="shared" si="58"/>
        <v>0</v>
      </c>
      <c r="Q48">
        <f t="shared" si="59"/>
        <v>1</v>
      </c>
      <c r="S48">
        <f t="shared" si="60"/>
        <v>0</v>
      </c>
    </row>
    <row r="49" spans="1:19" x14ac:dyDescent="0.2">
      <c r="A49">
        <f t="shared" si="51"/>
        <v>1</v>
      </c>
      <c r="C49">
        <f t="shared" si="52"/>
        <v>3</v>
      </c>
      <c r="E49">
        <f t="shared" si="53"/>
        <v>0</v>
      </c>
      <c r="G49">
        <f t="shared" si="54"/>
        <v>0</v>
      </c>
      <c r="K49">
        <f t="shared" si="55"/>
        <v>0</v>
      </c>
      <c r="M49">
        <f t="shared" si="56"/>
        <v>0</v>
      </c>
      <c r="N49">
        <f t="shared" si="57"/>
        <v>6</v>
      </c>
      <c r="O49">
        <f t="shared" si="58"/>
        <v>1</v>
      </c>
      <c r="Q49">
        <f t="shared" si="59"/>
        <v>0</v>
      </c>
      <c r="S49">
        <f t="shared" si="60"/>
        <v>0</v>
      </c>
    </row>
    <row r="50" spans="1:19" x14ac:dyDescent="0.2">
      <c r="A50">
        <f t="shared" si="51"/>
        <v>1</v>
      </c>
      <c r="C50">
        <f t="shared" si="52"/>
        <v>4</v>
      </c>
      <c r="E50">
        <f t="shared" si="53"/>
        <v>0</v>
      </c>
      <c r="G50">
        <f t="shared" si="54"/>
        <v>0</v>
      </c>
      <c r="K50">
        <f t="shared" si="55"/>
        <v>0</v>
      </c>
      <c r="M50">
        <f t="shared" si="56"/>
        <v>1</v>
      </c>
      <c r="N50">
        <f t="shared" si="57"/>
        <v>0</v>
      </c>
      <c r="O50">
        <f t="shared" si="58"/>
        <v>0</v>
      </c>
      <c r="Q50">
        <f t="shared" si="59"/>
        <v>0</v>
      </c>
      <c r="S50">
        <f t="shared" si="60"/>
        <v>0</v>
      </c>
    </row>
  </sheetData>
  <pageMargins left="0.7" right="0.7" top="0.75" bottom="0.75" header="0.3" footer="0.3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 enableFormatConditionsCalculation="0"/>
  <dimension ref="A1:BN50"/>
  <sheetViews>
    <sheetView workbookViewId="0">
      <selection activeCell="V15" sqref="V15"/>
    </sheetView>
  </sheetViews>
  <sheetFormatPr baseColWidth="10" defaultColWidth="11.5" defaultRowHeight="15" x14ac:dyDescent="0.2"/>
  <sheetData>
    <row r="1" spans="1:66" x14ac:dyDescent="0.2">
      <c r="A1" s="1" t="s">
        <v>0</v>
      </c>
      <c r="D1" t="s">
        <v>3</v>
      </c>
      <c r="K1" t="s">
        <v>11</v>
      </c>
      <c r="N1" t="s">
        <v>12</v>
      </c>
      <c r="P1" t="s">
        <v>14</v>
      </c>
      <c r="Q1" t="s">
        <v>17</v>
      </c>
      <c r="S1" t="s">
        <v>18</v>
      </c>
      <c r="Z1" t="s">
        <v>29</v>
      </c>
      <c r="AE1" t="s">
        <v>30</v>
      </c>
      <c r="AK1" t="s">
        <v>42</v>
      </c>
    </row>
    <row r="2" spans="1:66" x14ac:dyDescent="0.2">
      <c r="A2" t="s">
        <v>1</v>
      </c>
      <c r="B2" t="s">
        <v>1</v>
      </c>
      <c r="C2" t="s">
        <v>87</v>
      </c>
      <c r="D2" t="s">
        <v>54</v>
      </c>
      <c r="E2" t="s">
        <v>13</v>
      </c>
      <c r="F2" t="s">
        <v>198</v>
      </c>
      <c r="G2" t="s">
        <v>7</v>
      </c>
      <c r="H2" t="s">
        <v>8</v>
      </c>
      <c r="I2" t="s">
        <v>179</v>
      </c>
      <c r="J2" t="s">
        <v>178</v>
      </c>
      <c r="K2" t="s">
        <v>9</v>
      </c>
      <c r="L2" t="s">
        <v>196</v>
      </c>
      <c r="M2" t="s">
        <v>10</v>
      </c>
      <c r="N2" t="s">
        <v>54</v>
      </c>
      <c r="O2" t="s">
        <v>13</v>
      </c>
      <c r="P2" t="s">
        <v>15</v>
      </c>
      <c r="Q2" t="s">
        <v>8</v>
      </c>
      <c r="R2" t="s">
        <v>7</v>
      </c>
      <c r="S2" t="s">
        <v>181</v>
      </c>
      <c r="T2" t="s">
        <v>182</v>
      </c>
      <c r="U2" t="s">
        <v>19</v>
      </c>
      <c r="V2" t="s">
        <v>191</v>
      </c>
      <c r="W2" t="s">
        <v>192</v>
      </c>
      <c r="X2" t="s">
        <v>175</v>
      </c>
      <c r="Y2" t="s">
        <v>173</v>
      </c>
      <c r="Z2" t="str">
        <f t="shared" ref="Z2:Z13" si="0">LEFT(I4, 1)</f>
        <v/>
      </c>
      <c r="AA2" t="str">
        <f t="shared" ref="AA2:AA13" si="1">MID(I4, 4, 1)</f>
        <v/>
      </c>
      <c r="AB2" t="str">
        <f t="shared" ref="AB2:AB13" si="2">MID(I4, 7, 1)</f>
        <v/>
      </c>
      <c r="AC2" t="str">
        <f t="shared" ref="AC2:AC13" si="3">MID(I4, 10, 1)</f>
        <v/>
      </c>
      <c r="AE2" t="str">
        <f t="shared" ref="AE2:AE13" si="4">LEFT(J4, 1)</f>
        <v/>
      </c>
      <c r="AF2" t="str">
        <f t="shared" ref="AF2:AF13" si="5">MID(J4, 4, 1)</f>
        <v/>
      </c>
      <c r="AG2" t="str">
        <f t="shared" ref="AG2:AG13" si="6">MID(J4, 7, 1)</f>
        <v/>
      </c>
      <c r="AH2" t="str">
        <f t="shared" ref="AH2:AH13" si="7">MID(J4, 10, 1)</f>
        <v/>
      </c>
      <c r="AI2" t="str">
        <f t="shared" ref="AI2:AI13" si="8">MID(J4, 13, 1)</f>
        <v/>
      </c>
      <c r="AK2" t="str">
        <f t="shared" ref="AK2:AK13" si="9">LEFT(P4, 2)</f>
        <v/>
      </c>
      <c r="AL2" t="str">
        <f>MID($P4, 5, 2)</f>
        <v/>
      </c>
      <c r="AM2" t="str">
        <f t="shared" ref="AM2:AM13" si="10">MID($P4, 9, 2)</f>
        <v/>
      </c>
      <c r="AN2" t="str">
        <f t="shared" ref="AN2:AN13" si="11">MID($P4, 13, 2)</f>
        <v/>
      </c>
      <c r="AO2" t="str">
        <f t="shared" ref="AO2:AO13" si="12">MID($P4, 17, 2)</f>
        <v/>
      </c>
      <c r="AP2" t="str">
        <f t="shared" ref="AP2:AP13" si="13">MID($P4, 21, 2)</f>
        <v/>
      </c>
      <c r="AQ2" t="str">
        <f t="shared" ref="AQ2:AQ13" si="14">MID($P4, 25, 2)</f>
        <v/>
      </c>
      <c r="AR2" t="str">
        <f t="shared" ref="AR2:AR13" si="15">MID($P4, 29, 2)</f>
        <v/>
      </c>
      <c r="AS2" t="str">
        <f t="shared" ref="AS2:AS13" si="16">MID($P4, 33, 2)</f>
        <v/>
      </c>
      <c r="AT2" t="str">
        <f t="shared" ref="AT2:AT13" si="17">MID($P4, 37, 2)</f>
        <v/>
      </c>
      <c r="AU2" t="str">
        <f t="shared" ref="AU2:AU13" si="18">MID($P4, 41, 2)</f>
        <v/>
      </c>
      <c r="AV2" t="str">
        <f t="shared" ref="AV2:AV13" si="19">MID($P4, 45, 2)</f>
        <v/>
      </c>
      <c r="AW2" t="str">
        <f t="shared" ref="AW2:AW13" si="20">MID($P4, 49, 2)</f>
        <v/>
      </c>
      <c r="AX2" t="str">
        <f t="shared" ref="AX2:AX13" si="21">MID($P4, 53, 2)</f>
        <v/>
      </c>
      <c r="AY2" t="str">
        <f t="shared" ref="AY2:AY13" si="22">MID($P4, 57, 2)</f>
        <v/>
      </c>
      <c r="AZ2" t="str">
        <f t="shared" ref="AZ2:AZ13" si="23">MID($P4, 61, 2)</f>
        <v/>
      </c>
      <c r="BA2" t="str">
        <f t="shared" ref="BA2:BA13" si="24">MID($P4, 65, 2)</f>
        <v/>
      </c>
      <c r="BB2" t="str">
        <f t="shared" ref="BB2:BB13" si="25">MID($P4, 69, 2)</f>
        <v/>
      </c>
      <c r="BC2" t="str">
        <f t="shared" ref="BC2:BC13" si="26">MID($P4, 73, 2)</f>
        <v/>
      </c>
      <c r="BD2" t="str">
        <f t="shared" ref="BD2:BD13" si="27">MID($P4, 77, 2)</f>
        <v/>
      </c>
      <c r="BE2" t="str">
        <f t="shared" ref="BE2:BE13" si="28">MID($P4, 81, 2)</f>
        <v/>
      </c>
      <c r="BF2" t="str">
        <f t="shared" ref="BF2:BF13" si="29">MID($P4, 85, 2)</f>
        <v/>
      </c>
      <c r="BG2" t="str">
        <f t="shared" ref="BG2:BG13" si="30">MID($P4, 89, 2)</f>
        <v/>
      </c>
      <c r="BH2" t="str">
        <f t="shared" ref="BH2:BH13" si="31">MID($P4, 93, 2)</f>
        <v/>
      </c>
    </row>
    <row r="3" spans="1:66" x14ac:dyDescent="0.2">
      <c r="A3" t="s">
        <v>2</v>
      </c>
      <c r="B3" t="s">
        <v>6</v>
      </c>
      <c r="C3" t="s">
        <v>88</v>
      </c>
      <c r="D3" t="s">
        <v>6</v>
      </c>
      <c r="E3" t="s">
        <v>6</v>
      </c>
      <c r="F3" t="s">
        <v>4</v>
      </c>
      <c r="G3" t="s">
        <v>6</v>
      </c>
      <c r="H3" t="s">
        <v>6</v>
      </c>
      <c r="I3" t="s">
        <v>86</v>
      </c>
      <c r="J3" t="s">
        <v>86</v>
      </c>
      <c r="K3" t="s">
        <v>6</v>
      </c>
      <c r="L3" t="s">
        <v>6</v>
      </c>
      <c r="M3" t="s">
        <v>6</v>
      </c>
      <c r="N3" t="s">
        <v>6</v>
      </c>
      <c r="O3" t="s">
        <v>6</v>
      </c>
      <c r="P3" t="s">
        <v>16</v>
      </c>
      <c r="Q3" t="s">
        <v>6</v>
      </c>
      <c r="R3" t="s">
        <v>6</v>
      </c>
      <c r="S3" t="s">
        <v>4</v>
      </c>
      <c r="T3" t="s">
        <v>4</v>
      </c>
      <c r="U3" t="s">
        <v>6</v>
      </c>
      <c r="V3" t="s">
        <v>6</v>
      </c>
      <c r="W3" t="s">
        <v>6</v>
      </c>
      <c r="X3" t="s">
        <v>6</v>
      </c>
      <c r="Y3" t="s">
        <v>174</v>
      </c>
      <c r="Z3" t="str">
        <f t="shared" si="0"/>
        <v/>
      </c>
      <c r="AA3" t="str">
        <f t="shared" si="1"/>
        <v/>
      </c>
      <c r="AB3" t="str">
        <f t="shared" si="2"/>
        <v/>
      </c>
      <c r="AC3" t="str">
        <f t="shared" si="3"/>
        <v/>
      </c>
      <c r="AE3" t="str">
        <f t="shared" si="4"/>
        <v>2</v>
      </c>
      <c r="AF3" t="str">
        <f t="shared" si="5"/>
        <v/>
      </c>
      <c r="AG3" t="str">
        <f t="shared" si="6"/>
        <v/>
      </c>
      <c r="AH3" t="str">
        <f t="shared" si="7"/>
        <v/>
      </c>
      <c r="AI3" t="str">
        <f t="shared" si="8"/>
        <v/>
      </c>
      <c r="AK3" t="str">
        <f t="shared" si="9"/>
        <v/>
      </c>
      <c r="AL3" t="str">
        <f t="shared" ref="AL3:AL13" si="32">MID(P5, 5, 2)</f>
        <v/>
      </c>
      <c r="AM3" t="str">
        <f t="shared" si="10"/>
        <v/>
      </c>
      <c r="AN3" t="str">
        <f t="shared" si="11"/>
        <v/>
      </c>
      <c r="AO3" t="str">
        <f t="shared" si="12"/>
        <v/>
      </c>
      <c r="AP3" t="str">
        <f t="shared" si="13"/>
        <v/>
      </c>
      <c r="AQ3" t="str">
        <f t="shared" si="14"/>
        <v/>
      </c>
      <c r="AR3" t="str">
        <f t="shared" si="15"/>
        <v/>
      </c>
      <c r="AS3" t="str">
        <f t="shared" si="16"/>
        <v/>
      </c>
      <c r="AT3" t="str">
        <f t="shared" si="17"/>
        <v/>
      </c>
      <c r="AU3" t="str">
        <f t="shared" si="18"/>
        <v/>
      </c>
      <c r="AV3" t="str">
        <f t="shared" si="19"/>
        <v/>
      </c>
      <c r="AW3" t="str">
        <f t="shared" si="20"/>
        <v/>
      </c>
      <c r="AX3" t="str">
        <f t="shared" si="21"/>
        <v/>
      </c>
      <c r="AY3" t="str">
        <f t="shared" si="22"/>
        <v/>
      </c>
      <c r="AZ3" t="str">
        <f t="shared" si="23"/>
        <v/>
      </c>
      <c r="BA3" t="str">
        <f t="shared" si="24"/>
        <v/>
      </c>
      <c r="BB3" t="str">
        <f t="shared" si="25"/>
        <v/>
      </c>
      <c r="BC3" t="str">
        <f t="shared" si="26"/>
        <v/>
      </c>
      <c r="BD3" t="str">
        <f t="shared" si="27"/>
        <v/>
      </c>
      <c r="BE3" t="str">
        <f t="shared" si="28"/>
        <v/>
      </c>
      <c r="BF3" t="str">
        <f t="shared" si="29"/>
        <v/>
      </c>
      <c r="BG3" t="str">
        <f t="shared" si="30"/>
        <v/>
      </c>
      <c r="BH3" t="str">
        <f t="shared" si="31"/>
        <v/>
      </c>
    </row>
    <row r="4" spans="1:66" x14ac:dyDescent="0.2">
      <c r="A4">
        <v>1</v>
      </c>
      <c r="B4">
        <v>7</v>
      </c>
      <c r="C4" t="s">
        <v>207</v>
      </c>
      <c r="M4">
        <v>2</v>
      </c>
      <c r="N4">
        <v>3</v>
      </c>
      <c r="O4">
        <v>3</v>
      </c>
      <c r="R4">
        <v>1</v>
      </c>
      <c r="S4">
        <v>1</v>
      </c>
      <c r="T4">
        <v>1</v>
      </c>
      <c r="U4">
        <v>1</v>
      </c>
      <c r="X4">
        <f t="shared" ref="X4:X15" si="33">G4+H4+Q4+R4</f>
        <v>1</v>
      </c>
      <c r="Y4" t="s">
        <v>174</v>
      </c>
      <c r="Z4" t="str">
        <f t="shared" si="0"/>
        <v/>
      </c>
      <c r="AA4" t="str">
        <f t="shared" si="1"/>
        <v/>
      </c>
      <c r="AB4" t="str">
        <f t="shared" si="2"/>
        <v/>
      </c>
      <c r="AC4" t="str">
        <f t="shared" si="3"/>
        <v/>
      </c>
      <c r="AE4" t="str">
        <f t="shared" si="4"/>
        <v/>
      </c>
      <c r="AF4" t="str">
        <f t="shared" si="5"/>
        <v/>
      </c>
      <c r="AG4" t="str">
        <f t="shared" si="6"/>
        <v/>
      </c>
      <c r="AH4" t="str">
        <f t="shared" si="7"/>
        <v/>
      </c>
      <c r="AI4" t="str">
        <f t="shared" si="8"/>
        <v/>
      </c>
      <c r="AK4" t="str">
        <f t="shared" si="9"/>
        <v>g1</v>
      </c>
      <c r="AL4" t="str">
        <f t="shared" si="32"/>
        <v>g2</v>
      </c>
      <c r="AM4" t="str">
        <f t="shared" si="10"/>
        <v/>
      </c>
      <c r="AN4" t="str">
        <f t="shared" si="11"/>
        <v/>
      </c>
      <c r="AO4" t="str">
        <f t="shared" si="12"/>
        <v/>
      </c>
      <c r="AP4" t="str">
        <f t="shared" si="13"/>
        <v/>
      </c>
      <c r="AQ4" t="str">
        <f t="shared" si="14"/>
        <v/>
      </c>
      <c r="AR4" t="str">
        <f t="shared" si="15"/>
        <v/>
      </c>
      <c r="AS4" t="str">
        <f t="shared" si="16"/>
        <v/>
      </c>
      <c r="AT4" t="str">
        <f t="shared" si="17"/>
        <v/>
      </c>
      <c r="AU4" t="str">
        <f t="shared" si="18"/>
        <v/>
      </c>
      <c r="AV4" t="str">
        <f t="shared" si="19"/>
        <v/>
      </c>
      <c r="AW4" t="str">
        <f t="shared" si="20"/>
        <v/>
      </c>
      <c r="AX4" t="str">
        <f t="shared" si="21"/>
        <v/>
      </c>
      <c r="AY4" t="str">
        <f t="shared" si="22"/>
        <v/>
      </c>
      <c r="AZ4" t="str">
        <f t="shared" si="23"/>
        <v/>
      </c>
      <c r="BA4" t="str">
        <f t="shared" si="24"/>
        <v/>
      </c>
      <c r="BB4" t="str">
        <f t="shared" si="25"/>
        <v/>
      </c>
      <c r="BC4" t="str">
        <f t="shared" si="26"/>
        <v/>
      </c>
      <c r="BD4" t="str">
        <f t="shared" si="27"/>
        <v/>
      </c>
      <c r="BE4" t="str">
        <f t="shared" si="28"/>
        <v/>
      </c>
      <c r="BF4" t="str">
        <f t="shared" si="29"/>
        <v/>
      </c>
      <c r="BG4" t="str">
        <f t="shared" si="30"/>
        <v/>
      </c>
      <c r="BH4" t="str">
        <f t="shared" si="31"/>
        <v/>
      </c>
    </row>
    <row r="5" spans="1:66" x14ac:dyDescent="0.2">
      <c r="A5">
        <v>2</v>
      </c>
      <c r="B5">
        <v>15</v>
      </c>
      <c r="C5" t="s">
        <v>39</v>
      </c>
      <c r="D5">
        <v>1</v>
      </c>
      <c r="F5">
        <v>1</v>
      </c>
      <c r="J5">
        <v>2</v>
      </c>
      <c r="K5">
        <v>3</v>
      </c>
      <c r="N5">
        <v>3</v>
      </c>
      <c r="O5">
        <v>3</v>
      </c>
      <c r="S5">
        <v>1</v>
      </c>
      <c r="T5">
        <v>1</v>
      </c>
      <c r="U5">
        <v>18</v>
      </c>
      <c r="X5">
        <f t="shared" si="33"/>
        <v>0</v>
      </c>
      <c r="Z5" t="str">
        <f t="shared" si="0"/>
        <v/>
      </c>
      <c r="AA5" t="str">
        <f t="shared" si="1"/>
        <v/>
      </c>
      <c r="AB5" t="str">
        <f t="shared" si="2"/>
        <v/>
      </c>
      <c r="AC5" t="str">
        <f t="shared" si="3"/>
        <v/>
      </c>
      <c r="AE5" t="str">
        <f t="shared" si="4"/>
        <v>4</v>
      </c>
      <c r="AF5" t="str">
        <f t="shared" si="5"/>
        <v/>
      </c>
      <c r="AG5" t="str">
        <f t="shared" si="6"/>
        <v/>
      </c>
      <c r="AH5" t="str">
        <f t="shared" si="7"/>
        <v/>
      </c>
      <c r="AI5" t="str">
        <f t="shared" si="8"/>
        <v/>
      </c>
      <c r="AK5" t="str">
        <f t="shared" si="9"/>
        <v/>
      </c>
      <c r="AL5" t="str">
        <f t="shared" si="32"/>
        <v/>
      </c>
      <c r="AM5" t="str">
        <f t="shared" si="10"/>
        <v/>
      </c>
      <c r="AN5" t="str">
        <f t="shared" si="11"/>
        <v/>
      </c>
      <c r="AO5" t="str">
        <f t="shared" si="12"/>
        <v/>
      </c>
      <c r="AP5" t="str">
        <f t="shared" si="13"/>
        <v/>
      </c>
      <c r="AQ5" t="str">
        <f t="shared" si="14"/>
        <v/>
      </c>
      <c r="AR5" t="str">
        <f t="shared" si="15"/>
        <v/>
      </c>
      <c r="AS5" t="str">
        <f t="shared" si="16"/>
        <v/>
      </c>
      <c r="AT5" t="str">
        <f t="shared" si="17"/>
        <v/>
      </c>
      <c r="AU5" t="str">
        <f t="shared" si="18"/>
        <v/>
      </c>
      <c r="AV5" t="str">
        <f t="shared" si="19"/>
        <v/>
      </c>
      <c r="AW5" t="str">
        <f t="shared" si="20"/>
        <v/>
      </c>
      <c r="AX5" t="str">
        <f t="shared" si="21"/>
        <v/>
      </c>
      <c r="AY5" t="str">
        <f t="shared" si="22"/>
        <v/>
      </c>
      <c r="AZ5" t="str">
        <f t="shared" si="23"/>
        <v/>
      </c>
      <c r="BA5" t="str">
        <f t="shared" si="24"/>
        <v/>
      </c>
      <c r="BB5" t="str">
        <f t="shared" si="25"/>
        <v/>
      </c>
      <c r="BC5" t="str">
        <f t="shared" si="26"/>
        <v/>
      </c>
      <c r="BD5" t="str">
        <f t="shared" si="27"/>
        <v/>
      </c>
      <c r="BE5" t="str">
        <f t="shared" si="28"/>
        <v/>
      </c>
      <c r="BF5" t="str">
        <f t="shared" si="29"/>
        <v/>
      </c>
      <c r="BG5" t="str">
        <f t="shared" si="30"/>
        <v/>
      </c>
      <c r="BH5" t="str">
        <f t="shared" si="31"/>
        <v/>
      </c>
    </row>
    <row r="6" spans="1:66" x14ac:dyDescent="0.2">
      <c r="A6">
        <v>3</v>
      </c>
      <c r="B6">
        <v>23</v>
      </c>
      <c r="C6" t="s">
        <v>207</v>
      </c>
      <c r="M6">
        <v>1</v>
      </c>
      <c r="N6">
        <v>2</v>
      </c>
      <c r="O6">
        <v>2</v>
      </c>
      <c r="P6" t="s">
        <v>232</v>
      </c>
      <c r="R6">
        <v>2</v>
      </c>
      <c r="S6">
        <v>1</v>
      </c>
      <c r="T6">
        <v>1</v>
      </c>
      <c r="U6">
        <v>8</v>
      </c>
      <c r="X6">
        <f t="shared" si="33"/>
        <v>2</v>
      </c>
      <c r="Y6" t="s">
        <v>174</v>
      </c>
      <c r="Z6" t="str">
        <f t="shared" si="0"/>
        <v/>
      </c>
      <c r="AA6" t="str">
        <f t="shared" si="1"/>
        <v/>
      </c>
      <c r="AB6" t="str">
        <f t="shared" si="2"/>
        <v/>
      </c>
      <c r="AC6" t="str">
        <f t="shared" si="3"/>
        <v/>
      </c>
      <c r="AE6" t="str">
        <f t="shared" si="4"/>
        <v/>
      </c>
      <c r="AF6" t="str">
        <f t="shared" si="5"/>
        <v/>
      </c>
      <c r="AG6" t="str">
        <f t="shared" si="6"/>
        <v/>
      </c>
      <c r="AH6" t="str">
        <f t="shared" si="7"/>
        <v/>
      </c>
      <c r="AI6" t="str">
        <f t="shared" si="8"/>
        <v/>
      </c>
      <c r="AK6" t="str">
        <f t="shared" si="9"/>
        <v/>
      </c>
      <c r="AL6" t="str">
        <f t="shared" si="32"/>
        <v/>
      </c>
      <c r="AM6" t="str">
        <f t="shared" si="10"/>
        <v/>
      </c>
      <c r="AN6" t="str">
        <f t="shared" si="11"/>
        <v/>
      </c>
      <c r="AO6" t="str">
        <f t="shared" si="12"/>
        <v/>
      </c>
      <c r="AP6" t="str">
        <f t="shared" si="13"/>
        <v/>
      </c>
      <c r="AQ6" t="str">
        <f t="shared" si="14"/>
        <v/>
      </c>
      <c r="AR6" t="str">
        <f t="shared" si="15"/>
        <v/>
      </c>
      <c r="AS6" t="str">
        <f t="shared" si="16"/>
        <v/>
      </c>
      <c r="AT6" t="str">
        <f t="shared" si="17"/>
        <v/>
      </c>
      <c r="AU6" t="str">
        <f t="shared" si="18"/>
        <v/>
      </c>
      <c r="AV6" t="str">
        <f t="shared" si="19"/>
        <v/>
      </c>
      <c r="AW6" t="str">
        <f t="shared" si="20"/>
        <v/>
      </c>
      <c r="AX6" t="str">
        <f t="shared" si="21"/>
        <v/>
      </c>
      <c r="AY6" t="str">
        <f t="shared" si="22"/>
        <v/>
      </c>
      <c r="AZ6" t="str">
        <f t="shared" si="23"/>
        <v/>
      </c>
      <c r="BA6" t="str">
        <f t="shared" si="24"/>
        <v/>
      </c>
      <c r="BB6" t="str">
        <f t="shared" si="25"/>
        <v/>
      </c>
      <c r="BC6" t="str">
        <f t="shared" si="26"/>
        <v/>
      </c>
      <c r="BD6" t="str">
        <f t="shared" si="27"/>
        <v/>
      </c>
      <c r="BE6" t="str">
        <f t="shared" si="28"/>
        <v/>
      </c>
      <c r="BF6" t="str">
        <f t="shared" si="29"/>
        <v/>
      </c>
      <c r="BG6" t="str">
        <f t="shared" si="30"/>
        <v/>
      </c>
      <c r="BH6" t="str">
        <f t="shared" si="31"/>
        <v/>
      </c>
    </row>
    <row r="7" spans="1:66" x14ac:dyDescent="0.2">
      <c r="A7">
        <v>4</v>
      </c>
      <c r="B7">
        <v>31</v>
      </c>
      <c r="C7" t="s">
        <v>39</v>
      </c>
      <c r="D7">
        <v>1</v>
      </c>
      <c r="J7">
        <v>4</v>
      </c>
      <c r="K7">
        <v>1</v>
      </c>
      <c r="M7">
        <v>1</v>
      </c>
      <c r="N7">
        <v>3</v>
      </c>
      <c r="O7">
        <v>3</v>
      </c>
      <c r="R7">
        <v>1</v>
      </c>
      <c r="S7">
        <v>1</v>
      </c>
      <c r="T7">
        <v>1</v>
      </c>
      <c r="U7">
        <v>1</v>
      </c>
      <c r="W7">
        <v>1</v>
      </c>
      <c r="X7">
        <f t="shared" si="33"/>
        <v>1</v>
      </c>
      <c r="Y7" t="s">
        <v>174</v>
      </c>
      <c r="Z7" t="str">
        <f t="shared" si="0"/>
        <v/>
      </c>
      <c r="AA7" t="str">
        <f t="shared" si="1"/>
        <v/>
      </c>
      <c r="AB7" t="str">
        <f t="shared" si="2"/>
        <v/>
      </c>
      <c r="AC7" t="str">
        <f t="shared" si="3"/>
        <v/>
      </c>
      <c r="AE7" t="str">
        <f t="shared" si="4"/>
        <v/>
      </c>
      <c r="AF7" t="str">
        <f t="shared" si="5"/>
        <v/>
      </c>
      <c r="AG7" t="str">
        <f t="shared" si="6"/>
        <v/>
      </c>
      <c r="AH7" t="str">
        <f t="shared" si="7"/>
        <v/>
      </c>
      <c r="AI7" t="str">
        <f t="shared" si="8"/>
        <v/>
      </c>
      <c r="AK7" t="str">
        <f t="shared" si="9"/>
        <v/>
      </c>
      <c r="AL7" t="str">
        <f t="shared" si="32"/>
        <v/>
      </c>
      <c r="AM7" t="str">
        <f t="shared" si="10"/>
        <v/>
      </c>
      <c r="AN7" t="str">
        <f t="shared" si="11"/>
        <v/>
      </c>
      <c r="AO7" t="str">
        <f t="shared" si="12"/>
        <v/>
      </c>
      <c r="AP7" t="str">
        <f t="shared" si="13"/>
        <v/>
      </c>
      <c r="AQ7" t="str">
        <f t="shared" si="14"/>
        <v/>
      </c>
      <c r="AR7" t="str">
        <f t="shared" si="15"/>
        <v/>
      </c>
      <c r="AS7" t="str">
        <f t="shared" si="16"/>
        <v/>
      </c>
      <c r="AT7" t="str">
        <f t="shared" si="17"/>
        <v/>
      </c>
      <c r="AU7" t="str">
        <f t="shared" si="18"/>
        <v/>
      </c>
      <c r="AV7" t="str">
        <f t="shared" si="19"/>
        <v/>
      </c>
      <c r="AW7" t="str">
        <f t="shared" si="20"/>
        <v/>
      </c>
      <c r="AX7" t="str">
        <f t="shared" si="21"/>
        <v/>
      </c>
      <c r="AY7" t="str">
        <f t="shared" si="22"/>
        <v/>
      </c>
      <c r="AZ7" t="str">
        <f t="shared" si="23"/>
        <v/>
      </c>
      <c r="BA7" t="str">
        <f t="shared" si="24"/>
        <v/>
      </c>
      <c r="BB7" t="str">
        <f t="shared" si="25"/>
        <v/>
      </c>
      <c r="BC7" t="str">
        <f t="shared" si="26"/>
        <v/>
      </c>
      <c r="BD7" t="str">
        <f t="shared" si="27"/>
        <v/>
      </c>
      <c r="BE7" t="str">
        <f t="shared" si="28"/>
        <v/>
      </c>
      <c r="BF7" t="str">
        <f t="shared" si="29"/>
        <v/>
      </c>
      <c r="BG7" t="str">
        <f t="shared" si="30"/>
        <v/>
      </c>
      <c r="BH7" t="str">
        <f t="shared" si="31"/>
        <v/>
      </c>
    </row>
    <row r="8" spans="1:66" x14ac:dyDescent="0.2">
      <c r="A8">
        <v>5</v>
      </c>
      <c r="B8">
        <v>48</v>
      </c>
      <c r="C8" t="s">
        <v>207</v>
      </c>
      <c r="K8">
        <v>2</v>
      </c>
      <c r="N8">
        <v>3</v>
      </c>
      <c r="O8">
        <v>3</v>
      </c>
      <c r="S8">
        <v>1</v>
      </c>
      <c r="T8">
        <v>1</v>
      </c>
      <c r="X8">
        <f t="shared" si="33"/>
        <v>0</v>
      </c>
      <c r="Z8" t="str">
        <f t="shared" si="0"/>
        <v/>
      </c>
      <c r="AA8" t="str">
        <f t="shared" si="1"/>
        <v/>
      </c>
      <c r="AB8" t="str">
        <f t="shared" si="2"/>
        <v/>
      </c>
      <c r="AC8" t="str">
        <f t="shared" si="3"/>
        <v/>
      </c>
      <c r="AE8" t="str">
        <f t="shared" si="4"/>
        <v/>
      </c>
      <c r="AF8" t="str">
        <f t="shared" si="5"/>
        <v/>
      </c>
      <c r="AG8" t="str">
        <f t="shared" si="6"/>
        <v/>
      </c>
      <c r="AH8" t="str">
        <f t="shared" si="7"/>
        <v/>
      </c>
      <c r="AI8" t="str">
        <f t="shared" si="8"/>
        <v/>
      </c>
      <c r="AK8" t="str">
        <f t="shared" si="9"/>
        <v/>
      </c>
      <c r="AL8" t="str">
        <f t="shared" si="32"/>
        <v/>
      </c>
      <c r="AM8" t="str">
        <f t="shared" si="10"/>
        <v/>
      </c>
      <c r="AN8" t="str">
        <f t="shared" si="11"/>
        <v/>
      </c>
      <c r="AO8" t="str">
        <f t="shared" si="12"/>
        <v/>
      </c>
      <c r="AP8" t="str">
        <f t="shared" si="13"/>
        <v/>
      </c>
      <c r="AQ8" t="str">
        <f t="shared" si="14"/>
        <v/>
      </c>
      <c r="AR8" t="str">
        <f t="shared" si="15"/>
        <v/>
      </c>
      <c r="AS8" t="str">
        <f t="shared" si="16"/>
        <v/>
      </c>
      <c r="AT8" t="str">
        <f t="shared" si="17"/>
        <v/>
      </c>
      <c r="AU8" t="str">
        <f t="shared" si="18"/>
        <v/>
      </c>
      <c r="AV8" t="str">
        <f t="shared" si="19"/>
        <v/>
      </c>
      <c r="AW8" t="str">
        <f t="shared" si="20"/>
        <v/>
      </c>
      <c r="AX8" t="str">
        <f t="shared" si="21"/>
        <v/>
      </c>
      <c r="AY8" t="str">
        <f t="shared" si="22"/>
        <v/>
      </c>
      <c r="AZ8" t="str">
        <f t="shared" si="23"/>
        <v/>
      </c>
      <c r="BA8" t="str">
        <f t="shared" si="24"/>
        <v/>
      </c>
      <c r="BB8" t="str">
        <f t="shared" si="25"/>
        <v/>
      </c>
      <c r="BC8" t="str">
        <f t="shared" si="26"/>
        <v/>
      </c>
      <c r="BD8" t="str">
        <f t="shared" si="27"/>
        <v/>
      </c>
      <c r="BE8" t="str">
        <f t="shared" si="28"/>
        <v/>
      </c>
      <c r="BF8" t="str">
        <f t="shared" si="29"/>
        <v/>
      </c>
      <c r="BG8" t="str">
        <f t="shared" si="30"/>
        <v/>
      </c>
      <c r="BH8" t="str">
        <f t="shared" si="31"/>
        <v/>
      </c>
    </row>
    <row r="9" spans="1:66" x14ac:dyDescent="0.2">
      <c r="A9">
        <v>6</v>
      </c>
      <c r="B9">
        <v>54</v>
      </c>
      <c r="C9" t="s">
        <v>39</v>
      </c>
      <c r="K9">
        <v>3</v>
      </c>
      <c r="N9">
        <v>3</v>
      </c>
      <c r="O9">
        <v>2</v>
      </c>
      <c r="S9">
        <v>1</v>
      </c>
      <c r="T9">
        <v>1</v>
      </c>
      <c r="X9">
        <f t="shared" si="33"/>
        <v>0</v>
      </c>
      <c r="Z9" t="str">
        <f t="shared" si="0"/>
        <v/>
      </c>
      <c r="AA9" t="str">
        <f t="shared" si="1"/>
        <v/>
      </c>
      <c r="AB9" t="str">
        <f t="shared" si="2"/>
        <v/>
      </c>
      <c r="AC9" t="str">
        <f t="shared" si="3"/>
        <v/>
      </c>
      <c r="AE9" t="str">
        <f t="shared" si="4"/>
        <v>3</v>
      </c>
      <c r="AF9" t="str">
        <f t="shared" si="5"/>
        <v/>
      </c>
      <c r="AG9" t="str">
        <f t="shared" si="6"/>
        <v/>
      </c>
      <c r="AH9" t="str">
        <f t="shared" si="7"/>
        <v/>
      </c>
      <c r="AI9" t="str">
        <f t="shared" si="8"/>
        <v/>
      </c>
      <c r="AK9" t="str">
        <f t="shared" si="9"/>
        <v/>
      </c>
      <c r="AL9" t="str">
        <f t="shared" si="32"/>
        <v/>
      </c>
      <c r="AM9" t="str">
        <f t="shared" si="10"/>
        <v/>
      </c>
      <c r="AN9" t="str">
        <f t="shared" si="11"/>
        <v/>
      </c>
      <c r="AO9" t="str">
        <f t="shared" si="12"/>
        <v/>
      </c>
      <c r="AP9" t="str">
        <f t="shared" si="13"/>
        <v/>
      </c>
      <c r="AQ9" t="str">
        <f t="shared" si="14"/>
        <v/>
      </c>
      <c r="AR9" t="str">
        <f t="shared" si="15"/>
        <v/>
      </c>
      <c r="AS9" t="str">
        <f t="shared" si="16"/>
        <v/>
      </c>
      <c r="AT9" t="str">
        <f t="shared" si="17"/>
        <v/>
      </c>
      <c r="AU9" t="str">
        <f t="shared" si="18"/>
        <v/>
      </c>
      <c r="AV9" t="str">
        <f t="shared" si="19"/>
        <v/>
      </c>
      <c r="AW9" t="str">
        <f t="shared" si="20"/>
        <v/>
      </c>
      <c r="AX9" t="str">
        <f t="shared" si="21"/>
        <v/>
      </c>
      <c r="AY9" t="str">
        <f t="shared" si="22"/>
        <v/>
      </c>
      <c r="AZ9" t="str">
        <f t="shared" si="23"/>
        <v/>
      </c>
      <c r="BA9" t="str">
        <f t="shared" si="24"/>
        <v/>
      </c>
      <c r="BB9" t="str">
        <f t="shared" si="25"/>
        <v/>
      </c>
      <c r="BC9" t="str">
        <f t="shared" si="26"/>
        <v/>
      </c>
      <c r="BD9" t="str">
        <f t="shared" si="27"/>
        <v/>
      </c>
      <c r="BE9" t="str">
        <f t="shared" si="28"/>
        <v/>
      </c>
      <c r="BF9" t="str">
        <f t="shared" si="29"/>
        <v/>
      </c>
      <c r="BG9" t="str">
        <f t="shared" si="30"/>
        <v/>
      </c>
      <c r="BH9" t="str">
        <f t="shared" si="31"/>
        <v/>
      </c>
    </row>
    <row r="10" spans="1:66" x14ac:dyDescent="0.2">
      <c r="A10">
        <v>7</v>
      </c>
      <c r="B10">
        <v>63</v>
      </c>
      <c r="C10" t="s">
        <v>39</v>
      </c>
      <c r="K10">
        <v>1</v>
      </c>
      <c r="M10">
        <v>2</v>
      </c>
      <c r="N10">
        <v>4</v>
      </c>
      <c r="S10">
        <v>1</v>
      </c>
      <c r="T10">
        <v>1</v>
      </c>
      <c r="U10">
        <v>1</v>
      </c>
      <c r="X10">
        <f t="shared" si="33"/>
        <v>0</v>
      </c>
      <c r="Z10" t="str">
        <f t="shared" si="0"/>
        <v/>
      </c>
      <c r="AA10" t="str">
        <f t="shared" si="1"/>
        <v/>
      </c>
      <c r="AB10" t="str">
        <f t="shared" si="2"/>
        <v/>
      </c>
      <c r="AC10" t="str">
        <f t="shared" si="3"/>
        <v/>
      </c>
      <c r="AE10" t="str">
        <f t="shared" si="4"/>
        <v/>
      </c>
      <c r="AF10" t="str">
        <f t="shared" si="5"/>
        <v/>
      </c>
      <c r="AG10" t="str">
        <f t="shared" si="6"/>
        <v/>
      </c>
      <c r="AH10" t="str">
        <f t="shared" si="7"/>
        <v/>
      </c>
      <c r="AI10" t="str">
        <f t="shared" si="8"/>
        <v/>
      </c>
      <c r="AK10" t="str">
        <f t="shared" si="9"/>
        <v/>
      </c>
      <c r="AL10" t="str">
        <f t="shared" si="32"/>
        <v/>
      </c>
      <c r="AM10" t="str">
        <f t="shared" si="10"/>
        <v/>
      </c>
      <c r="AN10" t="str">
        <f t="shared" si="11"/>
        <v/>
      </c>
      <c r="AO10" t="str">
        <f t="shared" si="12"/>
        <v/>
      </c>
      <c r="AP10" t="str">
        <f t="shared" si="13"/>
        <v/>
      </c>
      <c r="AQ10" t="str">
        <f t="shared" si="14"/>
        <v/>
      </c>
      <c r="AR10" t="str">
        <f t="shared" si="15"/>
        <v/>
      </c>
      <c r="AS10" t="str">
        <f t="shared" si="16"/>
        <v/>
      </c>
      <c r="AT10" t="str">
        <f t="shared" si="17"/>
        <v/>
      </c>
      <c r="AU10" t="str">
        <f t="shared" si="18"/>
        <v/>
      </c>
      <c r="AV10" t="str">
        <f t="shared" si="19"/>
        <v/>
      </c>
      <c r="AW10" t="str">
        <f t="shared" si="20"/>
        <v/>
      </c>
      <c r="AX10" t="str">
        <f t="shared" si="21"/>
        <v/>
      </c>
      <c r="AY10" t="str">
        <f t="shared" si="22"/>
        <v/>
      </c>
      <c r="AZ10" t="str">
        <f t="shared" si="23"/>
        <v/>
      </c>
      <c r="BA10" t="str">
        <f t="shared" si="24"/>
        <v/>
      </c>
      <c r="BB10" t="str">
        <f t="shared" si="25"/>
        <v/>
      </c>
      <c r="BC10" t="str">
        <f t="shared" si="26"/>
        <v/>
      </c>
      <c r="BD10" t="str">
        <f t="shared" si="27"/>
        <v/>
      </c>
      <c r="BE10" t="str">
        <f t="shared" si="28"/>
        <v/>
      </c>
      <c r="BF10" t="str">
        <f t="shared" si="29"/>
        <v/>
      </c>
      <c r="BG10" t="str">
        <f t="shared" si="30"/>
        <v/>
      </c>
      <c r="BH10" t="str">
        <f t="shared" si="31"/>
        <v/>
      </c>
    </row>
    <row r="11" spans="1:66" x14ac:dyDescent="0.2">
      <c r="A11">
        <v>8</v>
      </c>
      <c r="B11">
        <v>79</v>
      </c>
      <c r="C11" t="s">
        <v>39</v>
      </c>
      <c r="G11">
        <v>4</v>
      </c>
      <c r="J11">
        <v>3</v>
      </c>
      <c r="M11">
        <v>2</v>
      </c>
      <c r="N11">
        <v>3</v>
      </c>
      <c r="O11">
        <v>2</v>
      </c>
      <c r="U11">
        <v>4</v>
      </c>
      <c r="X11">
        <f t="shared" si="33"/>
        <v>4</v>
      </c>
      <c r="Y11" t="s">
        <v>174</v>
      </c>
      <c r="Z11" t="str">
        <f t="shared" si="0"/>
        <v/>
      </c>
      <c r="AA11" t="str">
        <f t="shared" si="1"/>
        <v/>
      </c>
      <c r="AB11" t="str">
        <f t="shared" si="2"/>
        <v/>
      </c>
      <c r="AC11" t="str">
        <f t="shared" si="3"/>
        <v/>
      </c>
      <c r="AE11" t="str">
        <f t="shared" si="4"/>
        <v/>
      </c>
      <c r="AF11" t="str">
        <f t="shared" si="5"/>
        <v/>
      </c>
      <c r="AG11" t="str">
        <f t="shared" si="6"/>
        <v/>
      </c>
      <c r="AH11" t="str">
        <f t="shared" si="7"/>
        <v/>
      </c>
      <c r="AI11" t="str">
        <f t="shared" si="8"/>
        <v/>
      </c>
      <c r="AK11" t="str">
        <f t="shared" si="9"/>
        <v/>
      </c>
      <c r="AL11" t="str">
        <f t="shared" si="32"/>
        <v/>
      </c>
      <c r="AM11" t="str">
        <f t="shared" si="10"/>
        <v/>
      </c>
      <c r="AN11" t="str">
        <f t="shared" si="11"/>
        <v/>
      </c>
      <c r="AO11" t="str">
        <f t="shared" si="12"/>
        <v/>
      </c>
      <c r="AP11" t="str">
        <f t="shared" si="13"/>
        <v/>
      </c>
      <c r="AQ11" t="str">
        <f t="shared" si="14"/>
        <v/>
      </c>
      <c r="AR11" t="str">
        <f t="shared" si="15"/>
        <v/>
      </c>
      <c r="AS11" t="str">
        <f t="shared" si="16"/>
        <v/>
      </c>
      <c r="AT11" t="str">
        <f t="shared" si="17"/>
        <v/>
      </c>
      <c r="AU11" t="str">
        <f t="shared" si="18"/>
        <v/>
      </c>
      <c r="AV11" t="str">
        <f t="shared" si="19"/>
        <v/>
      </c>
      <c r="AW11" t="str">
        <f t="shared" si="20"/>
        <v/>
      </c>
      <c r="AX11" t="str">
        <f t="shared" si="21"/>
        <v/>
      </c>
      <c r="AY11" t="str">
        <f t="shared" si="22"/>
        <v/>
      </c>
      <c r="AZ11" t="str">
        <f t="shared" si="23"/>
        <v/>
      </c>
      <c r="BA11" t="str">
        <f t="shared" si="24"/>
        <v/>
      </c>
      <c r="BB11" t="str">
        <f t="shared" si="25"/>
        <v/>
      </c>
      <c r="BC11" t="str">
        <f t="shared" si="26"/>
        <v/>
      </c>
      <c r="BD11" t="str">
        <f t="shared" si="27"/>
        <v/>
      </c>
      <c r="BE11" t="str">
        <f t="shared" si="28"/>
        <v/>
      </c>
      <c r="BF11" t="str">
        <f t="shared" si="29"/>
        <v/>
      </c>
      <c r="BG11" t="str">
        <f t="shared" si="30"/>
        <v/>
      </c>
      <c r="BH11" t="str">
        <f t="shared" si="31"/>
        <v/>
      </c>
    </row>
    <row r="12" spans="1:66" x14ac:dyDescent="0.2">
      <c r="A12">
        <v>9</v>
      </c>
      <c r="B12">
        <v>84</v>
      </c>
      <c r="C12" t="s">
        <v>207</v>
      </c>
      <c r="G12">
        <v>1</v>
      </c>
      <c r="K12">
        <v>4</v>
      </c>
      <c r="U12">
        <v>5</v>
      </c>
      <c r="X12">
        <f t="shared" si="33"/>
        <v>1</v>
      </c>
      <c r="Z12" t="str">
        <f t="shared" si="0"/>
        <v/>
      </c>
      <c r="AA12" t="str">
        <f t="shared" si="1"/>
        <v/>
      </c>
      <c r="AB12" t="str">
        <f t="shared" si="2"/>
        <v/>
      </c>
      <c r="AC12" t="str">
        <f t="shared" si="3"/>
        <v/>
      </c>
      <c r="AE12" t="str">
        <f t="shared" si="4"/>
        <v>1</v>
      </c>
      <c r="AF12" t="str">
        <f t="shared" si="5"/>
        <v/>
      </c>
      <c r="AG12" t="str">
        <f t="shared" si="6"/>
        <v/>
      </c>
      <c r="AH12" t="str">
        <f t="shared" si="7"/>
        <v/>
      </c>
      <c r="AI12" t="str">
        <f t="shared" si="8"/>
        <v/>
      </c>
      <c r="AK12" t="str">
        <f t="shared" si="9"/>
        <v>g1</v>
      </c>
      <c r="AL12" t="str">
        <f t="shared" si="32"/>
        <v/>
      </c>
      <c r="AM12" t="str">
        <f t="shared" si="10"/>
        <v/>
      </c>
      <c r="AN12" t="str">
        <f t="shared" si="11"/>
        <v/>
      </c>
      <c r="AO12" t="str">
        <f t="shared" si="12"/>
        <v/>
      </c>
      <c r="AP12" t="str">
        <f t="shared" si="13"/>
        <v/>
      </c>
      <c r="AQ12" t="str">
        <f t="shared" si="14"/>
        <v/>
      </c>
      <c r="AR12" t="str">
        <f t="shared" si="15"/>
        <v/>
      </c>
      <c r="AS12" t="str">
        <f t="shared" si="16"/>
        <v/>
      </c>
      <c r="AT12" t="str">
        <f t="shared" si="17"/>
        <v/>
      </c>
      <c r="AU12" t="str">
        <f t="shared" si="18"/>
        <v/>
      </c>
      <c r="AV12" t="str">
        <f t="shared" si="19"/>
        <v/>
      </c>
      <c r="AW12" t="str">
        <f t="shared" si="20"/>
        <v/>
      </c>
      <c r="AX12" t="str">
        <f t="shared" si="21"/>
        <v/>
      </c>
      <c r="AY12" t="str">
        <f t="shared" si="22"/>
        <v/>
      </c>
      <c r="AZ12" t="str">
        <f t="shared" si="23"/>
        <v/>
      </c>
      <c r="BA12" t="str">
        <f t="shared" si="24"/>
        <v/>
      </c>
      <c r="BB12" t="str">
        <f t="shared" si="25"/>
        <v/>
      </c>
      <c r="BC12" t="str">
        <f t="shared" si="26"/>
        <v/>
      </c>
      <c r="BD12" t="str">
        <f t="shared" si="27"/>
        <v/>
      </c>
      <c r="BE12" t="str">
        <f t="shared" si="28"/>
        <v/>
      </c>
      <c r="BF12" t="str">
        <f t="shared" si="29"/>
        <v/>
      </c>
      <c r="BG12" t="str">
        <f t="shared" si="30"/>
        <v/>
      </c>
      <c r="BH12" t="str">
        <f t="shared" si="31"/>
        <v/>
      </c>
    </row>
    <row r="13" spans="1:66" x14ac:dyDescent="0.2">
      <c r="A13">
        <v>10</v>
      </c>
      <c r="B13">
        <v>91</v>
      </c>
      <c r="C13" t="s">
        <v>207</v>
      </c>
      <c r="N13">
        <v>1</v>
      </c>
      <c r="S13">
        <v>1</v>
      </c>
      <c r="T13">
        <v>1</v>
      </c>
      <c r="U13">
        <v>8</v>
      </c>
      <c r="X13">
        <f t="shared" si="33"/>
        <v>0</v>
      </c>
      <c r="Z13" t="str">
        <f t="shared" si="0"/>
        <v/>
      </c>
      <c r="AA13" t="str">
        <f t="shared" si="1"/>
        <v/>
      </c>
      <c r="AB13" t="str">
        <f t="shared" si="2"/>
        <v/>
      </c>
      <c r="AC13" t="str">
        <f t="shared" si="3"/>
        <v/>
      </c>
      <c r="AE13" t="str">
        <f t="shared" si="4"/>
        <v/>
      </c>
      <c r="AF13" t="str">
        <f t="shared" si="5"/>
        <v/>
      </c>
      <c r="AG13" t="str">
        <f t="shared" si="6"/>
        <v/>
      </c>
      <c r="AH13" t="str">
        <f t="shared" si="7"/>
        <v/>
      </c>
      <c r="AI13" t="str">
        <f t="shared" si="8"/>
        <v/>
      </c>
      <c r="AK13" t="str">
        <f t="shared" si="9"/>
        <v>h1</v>
      </c>
      <c r="AL13" t="str">
        <f t="shared" si="32"/>
        <v>h2</v>
      </c>
      <c r="AM13" t="str">
        <f t="shared" si="10"/>
        <v>g3</v>
      </c>
      <c r="AN13" t="str">
        <f t="shared" si="11"/>
        <v>g4</v>
      </c>
      <c r="AO13" t="str">
        <f t="shared" si="12"/>
        <v/>
      </c>
      <c r="AP13" t="str">
        <f t="shared" si="13"/>
        <v/>
      </c>
      <c r="AQ13" t="str">
        <f t="shared" si="14"/>
        <v/>
      </c>
      <c r="AR13" t="str">
        <f t="shared" si="15"/>
        <v/>
      </c>
      <c r="AS13" t="str">
        <f t="shared" si="16"/>
        <v/>
      </c>
      <c r="AT13" t="str">
        <f t="shared" si="17"/>
        <v/>
      </c>
      <c r="AU13" t="str">
        <f t="shared" si="18"/>
        <v/>
      </c>
      <c r="AV13" t="str">
        <f t="shared" si="19"/>
        <v/>
      </c>
      <c r="AW13" t="str">
        <f t="shared" si="20"/>
        <v/>
      </c>
      <c r="AX13" t="str">
        <f t="shared" si="21"/>
        <v/>
      </c>
      <c r="AY13" t="str">
        <f t="shared" si="22"/>
        <v/>
      </c>
      <c r="AZ13" t="str">
        <f t="shared" si="23"/>
        <v/>
      </c>
      <c r="BA13" t="str">
        <f t="shared" si="24"/>
        <v/>
      </c>
      <c r="BB13" t="str">
        <f t="shared" si="25"/>
        <v/>
      </c>
      <c r="BC13" t="str">
        <f t="shared" si="26"/>
        <v/>
      </c>
      <c r="BD13" t="str">
        <f t="shared" si="27"/>
        <v/>
      </c>
      <c r="BE13" t="str">
        <f t="shared" si="28"/>
        <v/>
      </c>
      <c r="BF13" t="str">
        <f t="shared" si="29"/>
        <v/>
      </c>
      <c r="BG13" t="str">
        <f t="shared" si="30"/>
        <v/>
      </c>
      <c r="BH13" t="str">
        <f t="shared" si="31"/>
        <v/>
      </c>
    </row>
    <row r="14" spans="1:66" x14ac:dyDescent="0.2">
      <c r="A14">
        <v>11</v>
      </c>
      <c r="B14">
        <v>101</v>
      </c>
      <c r="C14" t="s">
        <v>39</v>
      </c>
      <c r="D14">
        <v>1</v>
      </c>
      <c r="G14">
        <v>1</v>
      </c>
      <c r="J14">
        <v>1</v>
      </c>
      <c r="P14" t="s">
        <v>218</v>
      </c>
      <c r="U14">
        <v>5</v>
      </c>
      <c r="X14">
        <f t="shared" si="33"/>
        <v>1</v>
      </c>
      <c r="Z14" t="s">
        <v>31</v>
      </c>
      <c r="AE14" t="s">
        <v>34</v>
      </c>
      <c r="AK14" t="s">
        <v>43</v>
      </c>
      <c r="AP14" t="s">
        <v>84</v>
      </c>
    </row>
    <row r="15" spans="1:66" x14ac:dyDescent="0.2">
      <c r="A15">
        <v>12</v>
      </c>
      <c r="B15">
        <v>114</v>
      </c>
      <c r="C15" t="s">
        <v>207</v>
      </c>
      <c r="G15">
        <v>2</v>
      </c>
      <c r="P15" t="s">
        <v>345</v>
      </c>
      <c r="R15">
        <v>3</v>
      </c>
      <c r="S15">
        <v>1</v>
      </c>
      <c r="T15">
        <v>1</v>
      </c>
      <c r="U15">
        <v>6</v>
      </c>
      <c r="W15">
        <v>12</v>
      </c>
      <c r="X15">
        <f t="shared" si="33"/>
        <v>5</v>
      </c>
      <c r="Z15" t="s">
        <v>21</v>
      </c>
      <c r="AA15" t="s">
        <v>22</v>
      </c>
      <c r="AE15" t="s">
        <v>21</v>
      </c>
      <c r="AF15" t="s">
        <v>22</v>
      </c>
      <c r="AG15" t="s">
        <v>35</v>
      </c>
      <c r="AK15" t="s">
        <v>10</v>
      </c>
      <c r="AL15" t="s">
        <v>25</v>
      </c>
      <c r="AM15" t="s">
        <v>26</v>
      </c>
      <c r="AN15" t="s">
        <v>27</v>
      </c>
      <c r="AP15" t="s">
        <v>15</v>
      </c>
      <c r="AQ15" t="s">
        <v>85</v>
      </c>
    </row>
    <row r="16" spans="1:66" x14ac:dyDescent="0.2">
      <c r="A16" t="s">
        <v>28</v>
      </c>
      <c r="D16">
        <f>SUM(D4:D15)</f>
        <v>3</v>
      </c>
      <c r="E16">
        <f>SUM(E4:E15)</f>
        <v>0</v>
      </c>
      <c r="F16">
        <f>SUM(F4:F15)</f>
        <v>1</v>
      </c>
      <c r="G16">
        <f>SUM(G4:G15)</f>
        <v>8</v>
      </c>
      <c r="H16">
        <f>SUM(H4:H15)</f>
        <v>0</v>
      </c>
      <c r="K16">
        <f>SUM(K4:K15)</f>
        <v>14</v>
      </c>
      <c r="L16">
        <f>SUM(L4:L15)</f>
        <v>0</v>
      </c>
      <c r="M16">
        <f>SUM(M4:M15)</f>
        <v>8</v>
      </c>
      <c r="N16">
        <f>SUM(N4:N15)</f>
        <v>25</v>
      </c>
      <c r="O16">
        <f>SUM(O4:O15)</f>
        <v>18</v>
      </c>
      <c r="Q16">
        <f t="shared" ref="Q16:R16" si="34">SUM(Q4:Q15)</f>
        <v>0</v>
      </c>
      <c r="R16">
        <f t="shared" si="34"/>
        <v>7</v>
      </c>
      <c r="S16">
        <f>SUM(S4:S15)</f>
        <v>9</v>
      </c>
      <c r="T16">
        <f>SUM(T4:T15)</f>
        <v>9</v>
      </c>
      <c r="U16">
        <f>SUM(U4:U15)</f>
        <v>57</v>
      </c>
      <c r="V16">
        <f>SUM(V4:V15)</f>
        <v>0</v>
      </c>
      <c r="W16">
        <f>SUM(W4:W15)</f>
        <v>13</v>
      </c>
      <c r="Z16">
        <f t="shared" ref="Z16:Z27" si="35">COUNTIF(Z2:AC2, "3")*COUNTIF(C4, "r")+COUNTIF(Z2:AC2, "5")*COUNTIF(C4, "b")</f>
        <v>0</v>
      </c>
      <c r="AA16">
        <f t="shared" ref="AA16:AA27" si="36">COUNTIF(Z2:AC2, "1")+COUNTIF(Z2:AC2, "2")+COUNTIF(Z2:AC2, "4")</f>
        <v>0</v>
      </c>
      <c r="AE16">
        <f t="shared" ref="AE16:AE27" si="37">COUNTIF(AE2:AI2, "3")*COUNTIF(C4, "r") + COUNTIF(AE2:AI2, "5")*COUNTIF(C4, "b")</f>
        <v>0</v>
      </c>
      <c r="AF16">
        <f t="shared" ref="AF16:AF27" si="38">COUNTIF(AE2:AI2, "1")+COUNTIF(AE2:AI2, "2")+COUNTIF(AE2:AI2, "4")</f>
        <v>0</v>
      </c>
      <c r="AG16">
        <f t="shared" ref="AG16:AG27" si="39">COUNTIF(AE2:AI2, "3")*COUNTIF(AE2:AI2, "b")+COUNTIF(AE2:AI2, "5")*COUNTIF(AE2:AI2, "r")</f>
        <v>0</v>
      </c>
      <c r="AK16">
        <f t="shared" ref="AK16:AK27" si="40">SUMPRODUCT(LEN($AK2:$BH2) - LEN(SUBSTITUTE($AK2:$BH2, "g", "")))</f>
        <v>0</v>
      </c>
      <c r="AL16">
        <f t="shared" ref="AL16:AL27" si="41">SUMPRODUCT(LEN($AK2:$BH2) - LEN(SUBSTITUTE($AK2:$BH2, "h", "")))</f>
        <v>0</v>
      </c>
      <c r="AM16">
        <f t="shared" ref="AM16:AM27" si="42">SUMPRODUCT(LEN($AK2:$BH2) - LEN(SUBSTITUTE($AK2:$BH2, "v", "")))</f>
        <v>0</v>
      </c>
      <c r="AN16">
        <f t="shared" ref="AN16:AN27" si="43">SUMPRODUCT(LEN($AK2:$BH2) - LEN(SUBSTITUTE($AK2:$BH2, "r", "")))</f>
        <v>0</v>
      </c>
      <c r="AP16">
        <f>MAX(AQ16:BN16)</f>
        <v>0</v>
      </c>
      <c r="AQ16" s="4">
        <f>_xlfn.NUMBERVALUE(RIGHT(AK2,1))</f>
        <v>0</v>
      </c>
      <c r="AR16" s="4">
        <f t="shared" ref="AR16:BG27" si="44">_xlfn.NUMBERVALUE(RIGHT(AL2,1))</f>
        <v>0</v>
      </c>
      <c r="AS16" s="4">
        <f t="shared" si="44"/>
        <v>0</v>
      </c>
      <c r="AT16" s="4">
        <f t="shared" si="44"/>
        <v>0</v>
      </c>
      <c r="AU16" s="4">
        <f t="shared" si="44"/>
        <v>0</v>
      </c>
      <c r="AV16" s="4">
        <f t="shared" si="44"/>
        <v>0</v>
      </c>
      <c r="AW16" s="4">
        <f t="shared" si="44"/>
        <v>0</v>
      </c>
      <c r="AX16" s="4">
        <f t="shared" si="44"/>
        <v>0</v>
      </c>
      <c r="AY16" s="4">
        <f t="shared" si="44"/>
        <v>0</v>
      </c>
      <c r="AZ16" s="4">
        <f t="shared" si="44"/>
        <v>0</v>
      </c>
      <c r="BA16" s="4">
        <f t="shared" si="44"/>
        <v>0</v>
      </c>
      <c r="BB16" s="4">
        <f t="shared" si="44"/>
        <v>0</v>
      </c>
      <c r="BC16" s="4">
        <f t="shared" si="44"/>
        <v>0</v>
      </c>
      <c r="BD16" s="4">
        <f t="shared" si="44"/>
        <v>0</v>
      </c>
      <c r="BE16" s="4">
        <f t="shared" si="44"/>
        <v>0</v>
      </c>
      <c r="BF16" s="4">
        <f t="shared" si="44"/>
        <v>0</v>
      </c>
      <c r="BG16" s="4">
        <f t="shared" si="44"/>
        <v>0</v>
      </c>
      <c r="BH16" s="4">
        <f t="shared" ref="BH16:BN27" si="45">_xlfn.NUMBERVALUE(RIGHT(BB2,1))</f>
        <v>0</v>
      </c>
      <c r="BI16" s="4">
        <f t="shared" si="45"/>
        <v>0</v>
      </c>
      <c r="BJ16" s="4">
        <f t="shared" si="45"/>
        <v>0</v>
      </c>
      <c r="BK16" s="4">
        <f t="shared" si="45"/>
        <v>0</v>
      </c>
      <c r="BL16" s="4">
        <f t="shared" si="45"/>
        <v>0</v>
      </c>
      <c r="BM16" s="4">
        <f t="shared" si="45"/>
        <v>0</v>
      </c>
      <c r="BN16" s="4">
        <f t="shared" si="45"/>
        <v>0</v>
      </c>
    </row>
    <row r="17" spans="1:66" x14ac:dyDescent="0.2">
      <c r="A17" s="1" t="s">
        <v>20</v>
      </c>
      <c r="D17" s="1" t="s">
        <v>49</v>
      </c>
      <c r="G17" s="1" t="s">
        <v>52</v>
      </c>
      <c r="K17" s="3" t="s">
        <v>74</v>
      </c>
      <c r="P17" s="1" t="s">
        <v>66</v>
      </c>
      <c r="Z17">
        <f t="shared" si="35"/>
        <v>0</v>
      </c>
      <c r="AA17">
        <f t="shared" si="36"/>
        <v>0</v>
      </c>
      <c r="AE17">
        <f t="shared" si="37"/>
        <v>0</v>
      </c>
      <c r="AF17">
        <f t="shared" si="38"/>
        <v>1</v>
      </c>
      <c r="AG17">
        <f t="shared" si="39"/>
        <v>0</v>
      </c>
      <c r="AK17">
        <f t="shared" si="40"/>
        <v>0</v>
      </c>
      <c r="AL17">
        <f t="shared" si="41"/>
        <v>0</v>
      </c>
      <c r="AM17">
        <f t="shared" si="42"/>
        <v>0</v>
      </c>
      <c r="AN17">
        <f t="shared" si="43"/>
        <v>0</v>
      </c>
      <c r="AP17">
        <f t="shared" ref="AP17:AP27" si="46">MAX(AQ17:BN17)</f>
        <v>0</v>
      </c>
      <c r="AQ17" s="4">
        <f t="shared" ref="AQ17:AQ27" si="47">_xlfn.NUMBERVALUE(RIGHT(AK3,1))</f>
        <v>0</v>
      </c>
      <c r="AR17" s="4">
        <f t="shared" si="44"/>
        <v>0</v>
      </c>
      <c r="AS17" s="4">
        <f t="shared" si="44"/>
        <v>0</v>
      </c>
      <c r="AT17" s="4">
        <f t="shared" si="44"/>
        <v>0</v>
      </c>
      <c r="AU17" s="4">
        <f t="shared" si="44"/>
        <v>0</v>
      </c>
      <c r="AV17" s="4">
        <f t="shared" si="44"/>
        <v>0</v>
      </c>
      <c r="AW17" s="4">
        <f t="shared" si="44"/>
        <v>0</v>
      </c>
      <c r="AX17" s="4">
        <f t="shared" si="44"/>
        <v>0</v>
      </c>
      <c r="AY17" s="4">
        <f t="shared" si="44"/>
        <v>0</v>
      </c>
      <c r="AZ17" s="4">
        <f t="shared" si="44"/>
        <v>0</v>
      </c>
      <c r="BA17" s="4">
        <f t="shared" si="44"/>
        <v>0</v>
      </c>
      <c r="BB17" s="4">
        <f t="shared" si="44"/>
        <v>0</v>
      </c>
      <c r="BC17" s="4">
        <f t="shared" si="44"/>
        <v>0</v>
      </c>
      <c r="BD17" s="4">
        <f t="shared" si="44"/>
        <v>0</v>
      </c>
      <c r="BE17" s="4">
        <f t="shared" si="44"/>
        <v>0</v>
      </c>
      <c r="BF17" s="4">
        <f t="shared" si="44"/>
        <v>0</v>
      </c>
      <c r="BG17" s="4">
        <f t="shared" si="44"/>
        <v>0</v>
      </c>
      <c r="BH17" s="4">
        <f t="shared" si="45"/>
        <v>0</v>
      </c>
      <c r="BI17" s="4">
        <f t="shared" si="45"/>
        <v>0</v>
      </c>
      <c r="BJ17" s="4">
        <f t="shared" si="45"/>
        <v>0</v>
      </c>
      <c r="BK17" s="4">
        <f t="shared" si="45"/>
        <v>0</v>
      </c>
      <c r="BL17" s="4">
        <f t="shared" si="45"/>
        <v>0</v>
      </c>
      <c r="BM17" s="4">
        <f t="shared" si="45"/>
        <v>0</v>
      </c>
      <c r="BN17" s="4">
        <f t="shared" si="45"/>
        <v>0</v>
      </c>
    </row>
    <row r="18" spans="1:66" x14ac:dyDescent="0.2">
      <c r="A18" t="s">
        <v>32</v>
      </c>
      <c r="B18" t="s">
        <v>21</v>
      </c>
      <c r="D18" t="s">
        <v>180</v>
      </c>
      <c r="G18" s="3" t="s">
        <v>53</v>
      </c>
      <c r="K18" t="s">
        <v>55</v>
      </c>
      <c r="M18" t="s">
        <v>65</v>
      </c>
      <c r="P18" t="s">
        <v>67</v>
      </c>
      <c r="Z18">
        <f t="shared" si="35"/>
        <v>0</v>
      </c>
      <c r="AA18">
        <f t="shared" si="36"/>
        <v>0</v>
      </c>
      <c r="AE18">
        <f t="shared" si="37"/>
        <v>0</v>
      </c>
      <c r="AF18">
        <f t="shared" si="38"/>
        <v>0</v>
      </c>
      <c r="AG18">
        <f t="shared" si="39"/>
        <v>0</v>
      </c>
      <c r="AK18">
        <f t="shared" si="40"/>
        <v>2</v>
      </c>
      <c r="AL18">
        <f t="shared" si="41"/>
        <v>0</v>
      </c>
      <c r="AM18">
        <f t="shared" si="42"/>
        <v>0</v>
      </c>
      <c r="AN18">
        <f t="shared" si="43"/>
        <v>0</v>
      </c>
      <c r="AP18">
        <f t="shared" si="46"/>
        <v>2</v>
      </c>
      <c r="AQ18" s="4">
        <f t="shared" si="47"/>
        <v>1</v>
      </c>
      <c r="AR18" s="4">
        <f t="shared" si="44"/>
        <v>2</v>
      </c>
      <c r="AS18" s="4">
        <f t="shared" si="44"/>
        <v>0</v>
      </c>
      <c r="AT18" s="4">
        <f t="shared" si="44"/>
        <v>0</v>
      </c>
      <c r="AU18" s="4">
        <f t="shared" si="44"/>
        <v>0</v>
      </c>
      <c r="AV18" s="4">
        <f t="shared" si="44"/>
        <v>0</v>
      </c>
      <c r="AW18" s="4">
        <f t="shared" si="44"/>
        <v>0</v>
      </c>
      <c r="AX18" s="4">
        <f t="shared" si="44"/>
        <v>0</v>
      </c>
      <c r="AY18" s="4">
        <f t="shared" si="44"/>
        <v>0</v>
      </c>
      <c r="AZ18" s="4">
        <f t="shared" si="44"/>
        <v>0</v>
      </c>
      <c r="BA18" s="4">
        <f t="shared" si="44"/>
        <v>0</v>
      </c>
      <c r="BB18" s="4">
        <f t="shared" si="44"/>
        <v>0</v>
      </c>
      <c r="BC18" s="4">
        <f t="shared" si="44"/>
        <v>0</v>
      </c>
      <c r="BD18" s="4">
        <f t="shared" si="44"/>
        <v>0</v>
      </c>
      <c r="BE18" s="4">
        <f t="shared" si="44"/>
        <v>0</v>
      </c>
      <c r="BF18" s="4">
        <f t="shared" si="44"/>
        <v>0</v>
      </c>
      <c r="BG18" s="4">
        <f t="shared" si="44"/>
        <v>0</v>
      </c>
      <c r="BH18" s="4">
        <f t="shared" si="45"/>
        <v>0</v>
      </c>
      <c r="BI18" s="4">
        <f t="shared" si="45"/>
        <v>0</v>
      </c>
      <c r="BJ18" s="4">
        <f t="shared" si="45"/>
        <v>0</v>
      </c>
      <c r="BK18" s="4">
        <f t="shared" si="45"/>
        <v>0</v>
      </c>
      <c r="BL18" s="4">
        <f t="shared" si="45"/>
        <v>0</v>
      </c>
      <c r="BM18" s="4">
        <f t="shared" si="45"/>
        <v>0</v>
      </c>
      <c r="BN18" s="4">
        <f t="shared" si="45"/>
        <v>0</v>
      </c>
    </row>
    <row r="19" spans="1:66" x14ac:dyDescent="0.2">
      <c r="A19" t="s">
        <v>40</v>
      </c>
      <c r="B19" t="s">
        <v>22</v>
      </c>
      <c r="D19">
        <f>E16/D16</f>
        <v>0</v>
      </c>
      <c r="G19" t="s">
        <v>75</v>
      </c>
      <c r="K19">
        <f>O16/N16</f>
        <v>0.72</v>
      </c>
      <c r="M19">
        <f>SUM(M39:M50)</f>
        <v>4</v>
      </c>
      <c r="P19">
        <f>T16/S16</f>
        <v>1</v>
      </c>
      <c r="Z19">
        <f t="shared" si="35"/>
        <v>0</v>
      </c>
      <c r="AA19">
        <f t="shared" si="36"/>
        <v>0</v>
      </c>
      <c r="AE19">
        <f t="shared" si="37"/>
        <v>0</v>
      </c>
      <c r="AF19">
        <f t="shared" si="38"/>
        <v>1</v>
      </c>
      <c r="AG19">
        <f t="shared" si="39"/>
        <v>0</v>
      </c>
      <c r="AK19">
        <f t="shared" si="40"/>
        <v>0</v>
      </c>
      <c r="AL19">
        <f t="shared" si="41"/>
        <v>0</v>
      </c>
      <c r="AM19">
        <f t="shared" si="42"/>
        <v>0</v>
      </c>
      <c r="AN19">
        <f t="shared" si="43"/>
        <v>0</v>
      </c>
      <c r="AP19">
        <f t="shared" si="46"/>
        <v>0</v>
      </c>
      <c r="AQ19" s="4">
        <f t="shared" si="47"/>
        <v>0</v>
      </c>
      <c r="AR19" s="4">
        <f t="shared" si="44"/>
        <v>0</v>
      </c>
      <c r="AS19" s="4">
        <f t="shared" si="44"/>
        <v>0</v>
      </c>
      <c r="AT19" s="4">
        <f t="shared" si="44"/>
        <v>0</v>
      </c>
      <c r="AU19" s="4">
        <f t="shared" si="44"/>
        <v>0</v>
      </c>
      <c r="AV19" s="4">
        <f t="shared" si="44"/>
        <v>0</v>
      </c>
      <c r="AW19" s="4">
        <f t="shared" si="44"/>
        <v>0</v>
      </c>
      <c r="AX19" s="4">
        <f t="shared" si="44"/>
        <v>0</v>
      </c>
      <c r="AY19" s="4">
        <f t="shared" si="44"/>
        <v>0</v>
      </c>
      <c r="AZ19" s="4">
        <f t="shared" si="44"/>
        <v>0</v>
      </c>
      <c r="BA19" s="4">
        <f t="shared" si="44"/>
        <v>0</v>
      </c>
      <c r="BB19" s="4">
        <f t="shared" si="44"/>
        <v>0</v>
      </c>
      <c r="BC19" s="4">
        <f t="shared" si="44"/>
        <v>0</v>
      </c>
      <c r="BD19" s="4">
        <f t="shared" si="44"/>
        <v>0</v>
      </c>
      <c r="BE19" s="4">
        <f t="shared" si="44"/>
        <v>0</v>
      </c>
      <c r="BF19" s="4">
        <f t="shared" si="44"/>
        <v>0</v>
      </c>
      <c r="BG19" s="4">
        <f t="shared" si="44"/>
        <v>0</v>
      </c>
      <c r="BH19" s="4">
        <f t="shared" si="45"/>
        <v>0</v>
      </c>
      <c r="BI19" s="4">
        <f t="shared" si="45"/>
        <v>0</v>
      </c>
      <c r="BJ19" s="4">
        <f t="shared" si="45"/>
        <v>0</v>
      </c>
      <c r="BK19" s="4">
        <f t="shared" si="45"/>
        <v>0</v>
      </c>
      <c r="BL19" s="4">
        <f t="shared" si="45"/>
        <v>0</v>
      </c>
      <c r="BM19" s="4">
        <f t="shared" si="45"/>
        <v>0</v>
      </c>
      <c r="BN19" s="4">
        <f t="shared" si="45"/>
        <v>0</v>
      </c>
    </row>
    <row r="20" spans="1:66" x14ac:dyDescent="0.2">
      <c r="A20" t="s">
        <v>41</v>
      </c>
      <c r="B20" t="s">
        <v>23</v>
      </c>
      <c r="D20" t="s">
        <v>47</v>
      </c>
      <c r="G20">
        <f>AK28/AP28</f>
        <v>0.7142857142857143</v>
      </c>
      <c r="K20" t="s">
        <v>13</v>
      </c>
      <c r="Z20">
        <f t="shared" si="35"/>
        <v>0</v>
      </c>
      <c r="AA20">
        <f t="shared" si="36"/>
        <v>0</v>
      </c>
      <c r="AE20">
        <f t="shared" si="37"/>
        <v>0</v>
      </c>
      <c r="AF20">
        <f t="shared" si="38"/>
        <v>0</v>
      </c>
      <c r="AG20">
        <f t="shared" si="39"/>
        <v>0</v>
      </c>
      <c r="AK20">
        <f t="shared" si="40"/>
        <v>0</v>
      </c>
      <c r="AL20">
        <f t="shared" si="41"/>
        <v>0</v>
      </c>
      <c r="AM20">
        <f t="shared" si="42"/>
        <v>0</v>
      </c>
      <c r="AN20">
        <f t="shared" si="43"/>
        <v>0</v>
      </c>
      <c r="AP20">
        <f t="shared" si="46"/>
        <v>0</v>
      </c>
      <c r="AQ20" s="4">
        <f t="shared" si="47"/>
        <v>0</v>
      </c>
      <c r="AR20" s="4">
        <f t="shared" si="44"/>
        <v>0</v>
      </c>
      <c r="AS20" s="4">
        <f t="shared" si="44"/>
        <v>0</v>
      </c>
      <c r="AT20" s="4">
        <f t="shared" si="44"/>
        <v>0</v>
      </c>
      <c r="AU20" s="4">
        <f t="shared" si="44"/>
        <v>0</v>
      </c>
      <c r="AV20" s="4">
        <f t="shared" si="44"/>
        <v>0</v>
      </c>
      <c r="AW20" s="4">
        <f t="shared" si="44"/>
        <v>0</v>
      </c>
      <c r="AX20" s="4">
        <f t="shared" si="44"/>
        <v>0</v>
      </c>
      <c r="AY20" s="4">
        <f t="shared" si="44"/>
        <v>0</v>
      </c>
      <c r="AZ20" s="4">
        <f t="shared" si="44"/>
        <v>0</v>
      </c>
      <c r="BA20" s="4">
        <f t="shared" si="44"/>
        <v>0</v>
      </c>
      <c r="BB20" s="4">
        <f t="shared" si="44"/>
        <v>0</v>
      </c>
      <c r="BC20" s="4">
        <f t="shared" si="44"/>
        <v>0</v>
      </c>
      <c r="BD20" s="4">
        <f t="shared" si="44"/>
        <v>0</v>
      </c>
      <c r="BE20" s="4">
        <f t="shared" si="44"/>
        <v>0</v>
      </c>
      <c r="BF20" s="4">
        <f t="shared" si="44"/>
        <v>0</v>
      </c>
      <c r="BG20" s="4">
        <f t="shared" si="44"/>
        <v>0</v>
      </c>
      <c r="BH20" s="4">
        <f t="shared" si="45"/>
        <v>0</v>
      </c>
      <c r="BI20" s="4">
        <f t="shared" si="45"/>
        <v>0</v>
      </c>
      <c r="BJ20" s="4">
        <f t="shared" si="45"/>
        <v>0</v>
      </c>
      <c r="BK20" s="4">
        <f t="shared" si="45"/>
        <v>0</v>
      </c>
      <c r="BL20" s="4">
        <f t="shared" si="45"/>
        <v>0</v>
      </c>
      <c r="BM20" s="4">
        <f t="shared" si="45"/>
        <v>0</v>
      </c>
      <c r="BN20" s="4">
        <f t="shared" si="45"/>
        <v>0</v>
      </c>
    </row>
    <row r="21" spans="1:66" x14ac:dyDescent="0.2">
      <c r="A21" s="1" t="s">
        <v>24</v>
      </c>
      <c r="D21">
        <f>G16/A31</f>
        <v>0.66666666666666663</v>
      </c>
      <c r="G21" t="s">
        <v>76</v>
      </c>
      <c r="K21" t="s">
        <v>57</v>
      </c>
      <c r="L21" t="s">
        <v>58</v>
      </c>
      <c r="M21" t="s">
        <v>59</v>
      </c>
      <c r="N21" t="s">
        <v>60</v>
      </c>
      <c r="Z21">
        <f t="shared" si="35"/>
        <v>0</v>
      </c>
      <c r="AA21">
        <f t="shared" si="36"/>
        <v>0</v>
      </c>
      <c r="AE21">
        <f t="shared" si="37"/>
        <v>0</v>
      </c>
      <c r="AF21">
        <f t="shared" si="38"/>
        <v>0</v>
      </c>
      <c r="AG21">
        <f t="shared" si="39"/>
        <v>0</v>
      </c>
      <c r="AK21">
        <f t="shared" si="40"/>
        <v>0</v>
      </c>
      <c r="AL21">
        <f t="shared" si="41"/>
        <v>0</v>
      </c>
      <c r="AM21">
        <f t="shared" si="42"/>
        <v>0</v>
      </c>
      <c r="AN21">
        <f t="shared" si="43"/>
        <v>0</v>
      </c>
      <c r="AP21">
        <f t="shared" si="46"/>
        <v>0</v>
      </c>
      <c r="AQ21" s="4">
        <f t="shared" si="47"/>
        <v>0</v>
      </c>
      <c r="AR21" s="4">
        <f t="shared" si="44"/>
        <v>0</v>
      </c>
      <c r="AS21" s="4">
        <f t="shared" si="44"/>
        <v>0</v>
      </c>
      <c r="AT21" s="4">
        <f t="shared" si="44"/>
        <v>0</v>
      </c>
      <c r="AU21" s="4">
        <f t="shared" si="44"/>
        <v>0</v>
      </c>
      <c r="AV21" s="4">
        <f t="shared" si="44"/>
        <v>0</v>
      </c>
      <c r="AW21" s="4">
        <f t="shared" si="44"/>
        <v>0</v>
      </c>
      <c r="AX21" s="4">
        <f t="shared" si="44"/>
        <v>0</v>
      </c>
      <c r="AY21" s="4">
        <f t="shared" si="44"/>
        <v>0</v>
      </c>
      <c r="AZ21" s="4">
        <f t="shared" si="44"/>
        <v>0</v>
      </c>
      <c r="BA21" s="4">
        <f t="shared" si="44"/>
        <v>0</v>
      </c>
      <c r="BB21" s="4">
        <f t="shared" si="44"/>
        <v>0</v>
      </c>
      <c r="BC21" s="4">
        <f t="shared" si="44"/>
        <v>0</v>
      </c>
      <c r="BD21" s="4">
        <f t="shared" si="44"/>
        <v>0</v>
      </c>
      <c r="BE21" s="4">
        <f t="shared" si="44"/>
        <v>0</v>
      </c>
      <c r="BF21" s="4">
        <f t="shared" si="44"/>
        <v>0</v>
      </c>
      <c r="BG21" s="4">
        <f t="shared" si="44"/>
        <v>0</v>
      </c>
      <c r="BH21" s="4">
        <f t="shared" si="45"/>
        <v>0</v>
      </c>
      <c r="BI21" s="4">
        <f t="shared" si="45"/>
        <v>0</v>
      </c>
      <c r="BJ21" s="4">
        <f t="shared" si="45"/>
        <v>0</v>
      </c>
      <c r="BK21" s="4">
        <f t="shared" si="45"/>
        <v>0</v>
      </c>
      <c r="BL21" s="4">
        <f t="shared" si="45"/>
        <v>0</v>
      </c>
      <c r="BM21" s="4">
        <f t="shared" si="45"/>
        <v>0</v>
      </c>
      <c r="BN21" s="4">
        <f t="shared" si="45"/>
        <v>0</v>
      </c>
    </row>
    <row r="22" spans="1:66" x14ac:dyDescent="0.2">
      <c r="A22" t="s">
        <v>36</v>
      </c>
      <c r="B22" t="s">
        <v>10</v>
      </c>
      <c r="D22" t="s">
        <v>48</v>
      </c>
      <c r="G22">
        <f>AL28/AP28</f>
        <v>0.2857142857142857</v>
      </c>
      <c r="K22">
        <f>AVERAGE(C39:C50)</f>
        <v>1.5</v>
      </c>
      <c r="L22">
        <f>MEDIAN(C39:C50)</f>
        <v>2</v>
      </c>
      <c r="M22">
        <f>MAX(C39:C50)</f>
        <v>3</v>
      </c>
      <c r="N22">
        <f>_xlfn.STDEV.S(C39:C50)</f>
        <v>1.3816985594155149</v>
      </c>
      <c r="Z22">
        <f t="shared" si="35"/>
        <v>0</v>
      </c>
      <c r="AA22">
        <f t="shared" si="36"/>
        <v>0</v>
      </c>
      <c r="AE22">
        <f t="shared" si="37"/>
        <v>0</v>
      </c>
      <c r="AF22">
        <f t="shared" si="38"/>
        <v>0</v>
      </c>
      <c r="AG22">
        <f t="shared" si="39"/>
        <v>0</v>
      </c>
      <c r="AK22">
        <f t="shared" si="40"/>
        <v>0</v>
      </c>
      <c r="AL22">
        <f t="shared" si="41"/>
        <v>0</v>
      </c>
      <c r="AM22">
        <f t="shared" si="42"/>
        <v>0</v>
      </c>
      <c r="AN22">
        <f t="shared" si="43"/>
        <v>0</v>
      </c>
      <c r="AP22">
        <f t="shared" si="46"/>
        <v>0</v>
      </c>
      <c r="AQ22" s="4">
        <f t="shared" si="47"/>
        <v>0</v>
      </c>
      <c r="AR22" s="4">
        <f t="shared" si="44"/>
        <v>0</v>
      </c>
      <c r="AS22" s="4">
        <f t="shared" si="44"/>
        <v>0</v>
      </c>
      <c r="AT22" s="4">
        <f t="shared" si="44"/>
        <v>0</v>
      </c>
      <c r="AU22" s="4">
        <f t="shared" si="44"/>
        <v>0</v>
      </c>
      <c r="AV22" s="4">
        <f t="shared" si="44"/>
        <v>0</v>
      </c>
      <c r="AW22" s="4">
        <f t="shared" si="44"/>
        <v>0</v>
      </c>
      <c r="AX22" s="4">
        <f t="shared" si="44"/>
        <v>0</v>
      </c>
      <c r="AY22" s="4">
        <f t="shared" si="44"/>
        <v>0</v>
      </c>
      <c r="AZ22" s="4">
        <f t="shared" si="44"/>
        <v>0</v>
      </c>
      <c r="BA22" s="4">
        <f t="shared" si="44"/>
        <v>0</v>
      </c>
      <c r="BB22" s="4">
        <f t="shared" si="44"/>
        <v>0</v>
      </c>
      <c r="BC22" s="4">
        <f t="shared" si="44"/>
        <v>0</v>
      </c>
      <c r="BD22" s="4">
        <f t="shared" si="44"/>
        <v>0</v>
      </c>
      <c r="BE22" s="4">
        <f t="shared" si="44"/>
        <v>0</v>
      </c>
      <c r="BF22" s="4">
        <f t="shared" si="44"/>
        <v>0</v>
      </c>
      <c r="BG22" s="4">
        <f t="shared" si="44"/>
        <v>0</v>
      </c>
      <c r="BH22" s="4">
        <f t="shared" si="45"/>
        <v>0</v>
      </c>
      <c r="BI22" s="4">
        <f t="shared" si="45"/>
        <v>0</v>
      </c>
      <c r="BJ22" s="4">
        <f t="shared" si="45"/>
        <v>0</v>
      </c>
      <c r="BK22" s="4">
        <f t="shared" si="45"/>
        <v>0</v>
      </c>
      <c r="BL22" s="4">
        <f t="shared" si="45"/>
        <v>0</v>
      </c>
      <c r="BM22" s="4">
        <f t="shared" si="45"/>
        <v>0</v>
      </c>
      <c r="BN22" s="4">
        <f t="shared" si="45"/>
        <v>0</v>
      </c>
    </row>
    <row r="23" spans="1:66" x14ac:dyDescent="0.2">
      <c r="A23" t="s">
        <v>37</v>
      </c>
      <c r="B23" t="s">
        <v>25</v>
      </c>
      <c r="D23">
        <f>H16/A31</f>
        <v>0</v>
      </c>
      <c r="G23" t="s">
        <v>77</v>
      </c>
      <c r="K23" t="s">
        <v>8</v>
      </c>
      <c r="Z23">
        <f t="shared" si="35"/>
        <v>0</v>
      </c>
      <c r="AA23">
        <f t="shared" si="36"/>
        <v>0</v>
      </c>
      <c r="AE23">
        <f t="shared" si="37"/>
        <v>1</v>
      </c>
      <c r="AF23">
        <f t="shared" si="38"/>
        <v>0</v>
      </c>
      <c r="AG23">
        <f t="shared" si="39"/>
        <v>0</v>
      </c>
      <c r="AK23">
        <f t="shared" si="40"/>
        <v>0</v>
      </c>
      <c r="AL23">
        <f t="shared" si="41"/>
        <v>0</v>
      </c>
      <c r="AM23">
        <f t="shared" si="42"/>
        <v>0</v>
      </c>
      <c r="AN23">
        <f t="shared" si="43"/>
        <v>0</v>
      </c>
      <c r="AP23">
        <f t="shared" si="46"/>
        <v>0</v>
      </c>
      <c r="AQ23" s="4">
        <f t="shared" si="47"/>
        <v>0</v>
      </c>
      <c r="AR23" s="4">
        <f t="shared" si="44"/>
        <v>0</v>
      </c>
      <c r="AS23" s="4">
        <f t="shared" si="44"/>
        <v>0</v>
      </c>
      <c r="AT23" s="4">
        <f t="shared" si="44"/>
        <v>0</v>
      </c>
      <c r="AU23" s="4">
        <f t="shared" si="44"/>
        <v>0</v>
      </c>
      <c r="AV23" s="4">
        <f t="shared" si="44"/>
        <v>0</v>
      </c>
      <c r="AW23" s="4">
        <f t="shared" si="44"/>
        <v>0</v>
      </c>
      <c r="AX23" s="4">
        <f t="shared" si="44"/>
        <v>0</v>
      </c>
      <c r="AY23" s="4">
        <f t="shared" si="44"/>
        <v>0</v>
      </c>
      <c r="AZ23" s="4">
        <f t="shared" si="44"/>
        <v>0</v>
      </c>
      <c r="BA23" s="4">
        <f t="shared" si="44"/>
        <v>0</v>
      </c>
      <c r="BB23" s="4">
        <f t="shared" si="44"/>
        <v>0</v>
      </c>
      <c r="BC23" s="4">
        <f t="shared" si="44"/>
        <v>0</v>
      </c>
      <c r="BD23" s="4">
        <f t="shared" si="44"/>
        <v>0</v>
      </c>
      <c r="BE23" s="4">
        <f t="shared" si="44"/>
        <v>0</v>
      </c>
      <c r="BF23" s="4">
        <f t="shared" si="44"/>
        <v>0</v>
      </c>
      <c r="BG23" s="4">
        <f t="shared" si="44"/>
        <v>0</v>
      </c>
      <c r="BH23" s="4">
        <f t="shared" si="45"/>
        <v>0</v>
      </c>
      <c r="BI23" s="4">
        <f t="shared" si="45"/>
        <v>0</v>
      </c>
      <c r="BJ23" s="4">
        <f t="shared" si="45"/>
        <v>0</v>
      </c>
      <c r="BK23" s="4">
        <f t="shared" si="45"/>
        <v>0</v>
      </c>
      <c r="BL23" s="4">
        <f t="shared" si="45"/>
        <v>0</v>
      </c>
      <c r="BM23" s="4">
        <f t="shared" si="45"/>
        <v>0</v>
      </c>
      <c r="BN23" s="4">
        <f t="shared" si="45"/>
        <v>0</v>
      </c>
    </row>
    <row r="24" spans="1:66" x14ac:dyDescent="0.2">
      <c r="A24" t="s">
        <v>38</v>
      </c>
      <c r="B24" t="s">
        <v>26</v>
      </c>
      <c r="D24" t="s">
        <v>50</v>
      </c>
      <c r="G24">
        <f>AM28/AP28</f>
        <v>0</v>
      </c>
      <c r="K24" t="s">
        <v>57</v>
      </c>
      <c r="L24" t="s">
        <v>61</v>
      </c>
      <c r="M24" t="s">
        <v>59</v>
      </c>
      <c r="N24" t="s">
        <v>60</v>
      </c>
      <c r="Z24">
        <f t="shared" si="35"/>
        <v>0</v>
      </c>
      <c r="AA24">
        <f t="shared" si="36"/>
        <v>0</v>
      </c>
      <c r="AE24">
        <f t="shared" si="37"/>
        <v>0</v>
      </c>
      <c r="AF24">
        <f t="shared" si="38"/>
        <v>0</v>
      </c>
      <c r="AG24">
        <f t="shared" si="39"/>
        <v>0</v>
      </c>
      <c r="AK24">
        <f t="shared" si="40"/>
        <v>0</v>
      </c>
      <c r="AL24">
        <f t="shared" si="41"/>
        <v>0</v>
      </c>
      <c r="AM24">
        <f t="shared" si="42"/>
        <v>0</v>
      </c>
      <c r="AN24">
        <f t="shared" si="43"/>
        <v>0</v>
      </c>
      <c r="AP24">
        <f t="shared" si="46"/>
        <v>0</v>
      </c>
      <c r="AQ24" s="4">
        <f t="shared" si="47"/>
        <v>0</v>
      </c>
      <c r="AR24" s="4">
        <f t="shared" si="44"/>
        <v>0</v>
      </c>
      <c r="AS24" s="4">
        <f t="shared" si="44"/>
        <v>0</v>
      </c>
      <c r="AT24" s="4">
        <f t="shared" si="44"/>
        <v>0</v>
      </c>
      <c r="AU24" s="4">
        <f t="shared" si="44"/>
        <v>0</v>
      </c>
      <c r="AV24" s="4">
        <f t="shared" si="44"/>
        <v>0</v>
      </c>
      <c r="AW24" s="4">
        <f t="shared" si="44"/>
        <v>0</v>
      </c>
      <c r="AX24" s="4">
        <f t="shared" si="44"/>
        <v>0</v>
      </c>
      <c r="AY24" s="4">
        <f t="shared" si="44"/>
        <v>0</v>
      </c>
      <c r="AZ24" s="4">
        <f t="shared" si="44"/>
        <v>0</v>
      </c>
      <c r="BA24" s="4">
        <f t="shared" si="44"/>
        <v>0</v>
      </c>
      <c r="BB24" s="4">
        <f t="shared" si="44"/>
        <v>0</v>
      </c>
      <c r="BC24" s="4">
        <f t="shared" si="44"/>
        <v>0</v>
      </c>
      <c r="BD24" s="4">
        <f t="shared" si="44"/>
        <v>0</v>
      </c>
      <c r="BE24" s="4">
        <f t="shared" si="44"/>
        <v>0</v>
      </c>
      <c r="BF24" s="4">
        <f t="shared" si="44"/>
        <v>0</v>
      </c>
      <c r="BG24" s="4">
        <f t="shared" si="44"/>
        <v>0</v>
      </c>
      <c r="BH24" s="4">
        <f t="shared" si="45"/>
        <v>0</v>
      </c>
      <c r="BI24" s="4">
        <f t="shared" si="45"/>
        <v>0</v>
      </c>
      <c r="BJ24" s="4">
        <f t="shared" si="45"/>
        <v>0</v>
      </c>
      <c r="BK24" s="4">
        <f t="shared" si="45"/>
        <v>0</v>
      </c>
      <c r="BL24" s="4">
        <f t="shared" si="45"/>
        <v>0</v>
      </c>
      <c r="BM24" s="4">
        <f t="shared" si="45"/>
        <v>0</v>
      </c>
      <c r="BN24" s="4">
        <f t="shared" si="45"/>
        <v>0</v>
      </c>
    </row>
    <row r="25" spans="1:66" x14ac:dyDescent="0.2">
      <c r="A25" t="s">
        <v>39</v>
      </c>
      <c r="B25" t="s">
        <v>27</v>
      </c>
      <c r="D25">
        <f>Z28/A31</f>
        <v>0</v>
      </c>
      <c r="G25" t="s">
        <v>78</v>
      </c>
      <c r="K25">
        <f>AVERAGE(E39:E50)</f>
        <v>0</v>
      </c>
      <c r="L25">
        <f>MEDIAN(E39:E50)</f>
        <v>0</v>
      </c>
      <c r="M25">
        <f>MAX(E39:E50)</f>
        <v>0</v>
      </c>
      <c r="N25">
        <f>_xlfn.STDEV.S(E39:E50)</f>
        <v>0</v>
      </c>
      <c r="Z25">
        <f t="shared" si="35"/>
        <v>0</v>
      </c>
      <c r="AA25">
        <f t="shared" si="36"/>
        <v>0</v>
      </c>
      <c r="AE25">
        <f t="shared" si="37"/>
        <v>0</v>
      </c>
      <c r="AF25">
        <f t="shared" si="38"/>
        <v>0</v>
      </c>
      <c r="AG25">
        <f t="shared" si="39"/>
        <v>0</v>
      </c>
      <c r="AK25">
        <f t="shared" si="40"/>
        <v>0</v>
      </c>
      <c r="AL25">
        <f t="shared" si="41"/>
        <v>0</v>
      </c>
      <c r="AM25">
        <f t="shared" si="42"/>
        <v>0</v>
      </c>
      <c r="AN25">
        <f t="shared" si="43"/>
        <v>0</v>
      </c>
      <c r="AP25">
        <f t="shared" si="46"/>
        <v>0</v>
      </c>
      <c r="AQ25" s="4">
        <f t="shared" si="47"/>
        <v>0</v>
      </c>
      <c r="AR25" s="4">
        <f t="shared" si="44"/>
        <v>0</v>
      </c>
      <c r="AS25" s="4">
        <f t="shared" si="44"/>
        <v>0</v>
      </c>
      <c r="AT25" s="4">
        <f t="shared" si="44"/>
        <v>0</v>
      </c>
      <c r="AU25" s="4">
        <f t="shared" si="44"/>
        <v>0</v>
      </c>
      <c r="AV25" s="4">
        <f t="shared" si="44"/>
        <v>0</v>
      </c>
      <c r="AW25" s="4">
        <f t="shared" si="44"/>
        <v>0</v>
      </c>
      <c r="AX25" s="4">
        <f t="shared" si="44"/>
        <v>0</v>
      </c>
      <c r="AY25" s="4">
        <f t="shared" si="44"/>
        <v>0</v>
      </c>
      <c r="AZ25" s="4">
        <f t="shared" si="44"/>
        <v>0</v>
      </c>
      <c r="BA25" s="4">
        <f t="shared" si="44"/>
        <v>0</v>
      </c>
      <c r="BB25" s="4">
        <f t="shared" si="44"/>
        <v>0</v>
      </c>
      <c r="BC25" s="4">
        <f t="shared" si="44"/>
        <v>0</v>
      </c>
      <c r="BD25" s="4">
        <f t="shared" si="44"/>
        <v>0</v>
      </c>
      <c r="BE25" s="4">
        <f t="shared" si="44"/>
        <v>0</v>
      </c>
      <c r="BF25" s="4">
        <f t="shared" si="44"/>
        <v>0</v>
      </c>
      <c r="BG25" s="4">
        <f t="shared" si="44"/>
        <v>0</v>
      </c>
      <c r="BH25" s="4">
        <f t="shared" si="45"/>
        <v>0</v>
      </c>
      <c r="BI25" s="4">
        <f t="shared" si="45"/>
        <v>0</v>
      </c>
      <c r="BJ25" s="4">
        <f t="shared" si="45"/>
        <v>0</v>
      </c>
      <c r="BK25" s="4">
        <f t="shared" si="45"/>
        <v>0</v>
      </c>
      <c r="BL25" s="4">
        <f t="shared" si="45"/>
        <v>0</v>
      </c>
      <c r="BM25" s="4">
        <f t="shared" si="45"/>
        <v>0</v>
      </c>
      <c r="BN25" s="4">
        <f t="shared" si="45"/>
        <v>0</v>
      </c>
    </row>
    <row r="26" spans="1:66" x14ac:dyDescent="0.2">
      <c r="A26" t="s">
        <v>44</v>
      </c>
      <c r="D26" t="s">
        <v>51</v>
      </c>
      <c r="G26">
        <f>AN28/AP28</f>
        <v>0</v>
      </c>
      <c r="K26" t="s">
        <v>62</v>
      </c>
      <c r="P26" t="s">
        <v>19</v>
      </c>
      <c r="Z26">
        <f t="shared" si="35"/>
        <v>0</v>
      </c>
      <c r="AA26">
        <f t="shared" si="36"/>
        <v>0</v>
      </c>
      <c r="AE26">
        <f t="shared" si="37"/>
        <v>0</v>
      </c>
      <c r="AF26">
        <f t="shared" si="38"/>
        <v>1</v>
      </c>
      <c r="AG26">
        <f t="shared" si="39"/>
        <v>0</v>
      </c>
      <c r="AK26">
        <f t="shared" si="40"/>
        <v>1</v>
      </c>
      <c r="AL26">
        <f t="shared" si="41"/>
        <v>0</v>
      </c>
      <c r="AM26">
        <f t="shared" si="42"/>
        <v>0</v>
      </c>
      <c r="AN26">
        <f t="shared" si="43"/>
        <v>0</v>
      </c>
      <c r="AP26">
        <f t="shared" si="46"/>
        <v>1</v>
      </c>
      <c r="AQ26" s="4">
        <f t="shared" si="47"/>
        <v>1</v>
      </c>
      <c r="AR26" s="4">
        <f t="shared" si="44"/>
        <v>0</v>
      </c>
      <c r="AS26" s="4">
        <f t="shared" si="44"/>
        <v>0</v>
      </c>
      <c r="AT26" s="4">
        <f t="shared" si="44"/>
        <v>0</v>
      </c>
      <c r="AU26" s="4">
        <f t="shared" si="44"/>
        <v>0</v>
      </c>
      <c r="AV26" s="4">
        <f t="shared" si="44"/>
        <v>0</v>
      </c>
      <c r="AW26" s="4">
        <f t="shared" si="44"/>
        <v>0</v>
      </c>
      <c r="AX26" s="4">
        <f t="shared" si="44"/>
        <v>0</v>
      </c>
      <c r="AY26" s="4">
        <f t="shared" si="44"/>
        <v>0</v>
      </c>
      <c r="AZ26" s="4">
        <f t="shared" si="44"/>
        <v>0</v>
      </c>
      <c r="BA26" s="4">
        <f t="shared" si="44"/>
        <v>0</v>
      </c>
      <c r="BB26" s="4">
        <f t="shared" si="44"/>
        <v>0</v>
      </c>
      <c r="BC26" s="4">
        <f t="shared" si="44"/>
        <v>0</v>
      </c>
      <c r="BD26" s="4">
        <f t="shared" si="44"/>
        <v>0</v>
      </c>
      <c r="BE26" s="4">
        <f t="shared" si="44"/>
        <v>0</v>
      </c>
      <c r="BF26" s="4">
        <f t="shared" si="44"/>
        <v>0</v>
      </c>
      <c r="BG26" s="4">
        <f t="shared" si="44"/>
        <v>0</v>
      </c>
      <c r="BH26" s="4">
        <f t="shared" si="45"/>
        <v>0</v>
      </c>
      <c r="BI26" s="4">
        <f t="shared" si="45"/>
        <v>0</v>
      </c>
      <c r="BJ26" s="4">
        <f t="shared" si="45"/>
        <v>0</v>
      </c>
      <c r="BK26" s="4">
        <f t="shared" si="45"/>
        <v>0</v>
      </c>
      <c r="BL26" s="4">
        <f t="shared" si="45"/>
        <v>0</v>
      </c>
      <c r="BM26" s="4">
        <f t="shared" si="45"/>
        <v>0</v>
      </c>
      <c r="BN26" s="4">
        <f t="shared" si="45"/>
        <v>0</v>
      </c>
    </row>
    <row r="27" spans="1:66" x14ac:dyDescent="0.2">
      <c r="A27" t="s">
        <v>45</v>
      </c>
      <c r="D27">
        <f>AA28/A31</f>
        <v>0</v>
      </c>
      <c r="G27" t="s">
        <v>56</v>
      </c>
      <c r="K27" t="s">
        <v>57</v>
      </c>
      <c r="L27" t="s">
        <v>58</v>
      </c>
      <c r="M27" t="s">
        <v>59</v>
      </c>
      <c r="N27" t="s">
        <v>60</v>
      </c>
      <c r="P27" t="s">
        <v>57</v>
      </c>
      <c r="Q27" t="s">
        <v>58</v>
      </c>
      <c r="R27" t="s">
        <v>59</v>
      </c>
      <c r="S27" t="s">
        <v>60</v>
      </c>
      <c r="Z27">
        <f t="shared" si="35"/>
        <v>0</v>
      </c>
      <c r="AA27">
        <f t="shared" si="36"/>
        <v>0</v>
      </c>
      <c r="AE27">
        <f t="shared" si="37"/>
        <v>0</v>
      </c>
      <c r="AF27">
        <f t="shared" si="38"/>
        <v>0</v>
      </c>
      <c r="AG27">
        <f t="shared" si="39"/>
        <v>0</v>
      </c>
      <c r="AK27">
        <f t="shared" si="40"/>
        <v>2</v>
      </c>
      <c r="AL27">
        <f t="shared" si="41"/>
        <v>2</v>
      </c>
      <c r="AM27">
        <f t="shared" si="42"/>
        <v>0</v>
      </c>
      <c r="AN27">
        <f t="shared" si="43"/>
        <v>0</v>
      </c>
      <c r="AP27">
        <f t="shared" si="46"/>
        <v>4</v>
      </c>
      <c r="AQ27" s="4">
        <f t="shared" si="47"/>
        <v>1</v>
      </c>
      <c r="AR27" s="4">
        <f t="shared" si="44"/>
        <v>2</v>
      </c>
      <c r="AS27" s="4">
        <f t="shared" si="44"/>
        <v>3</v>
      </c>
      <c r="AT27" s="4">
        <f t="shared" si="44"/>
        <v>4</v>
      </c>
      <c r="AU27" s="4">
        <f t="shared" si="44"/>
        <v>0</v>
      </c>
      <c r="AV27" s="4">
        <f t="shared" si="44"/>
        <v>0</v>
      </c>
      <c r="AW27" s="4">
        <f t="shared" si="44"/>
        <v>0</v>
      </c>
      <c r="AX27" s="4">
        <f t="shared" si="44"/>
        <v>0</v>
      </c>
      <c r="AY27" s="4">
        <f t="shared" si="44"/>
        <v>0</v>
      </c>
      <c r="AZ27" s="4">
        <f t="shared" si="44"/>
        <v>0</v>
      </c>
      <c r="BA27" s="4">
        <f t="shared" si="44"/>
        <v>0</v>
      </c>
      <c r="BB27" s="4">
        <f t="shared" si="44"/>
        <v>0</v>
      </c>
      <c r="BC27" s="4">
        <f t="shared" si="44"/>
        <v>0</v>
      </c>
      <c r="BD27" s="4">
        <f t="shared" si="44"/>
        <v>0</v>
      </c>
      <c r="BE27" s="4">
        <f t="shared" si="44"/>
        <v>0</v>
      </c>
      <c r="BF27" s="4">
        <f t="shared" si="44"/>
        <v>0</v>
      </c>
      <c r="BG27" s="4">
        <f t="shared" si="44"/>
        <v>0</v>
      </c>
      <c r="BH27" s="4">
        <f t="shared" si="45"/>
        <v>0</v>
      </c>
      <c r="BI27" s="4">
        <f t="shared" si="45"/>
        <v>0</v>
      </c>
      <c r="BJ27" s="4">
        <f t="shared" si="45"/>
        <v>0</v>
      </c>
      <c r="BK27" s="4">
        <f t="shared" si="45"/>
        <v>0</v>
      </c>
      <c r="BL27" s="4">
        <f t="shared" si="45"/>
        <v>0</v>
      </c>
      <c r="BM27" s="4">
        <f t="shared" si="45"/>
        <v>0</v>
      </c>
      <c r="BN27" s="4">
        <f t="shared" si="45"/>
        <v>0</v>
      </c>
    </row>
    <row r="28" spans="1:66" x14ac:dyDescent="0.2">
      <c r="A28" t="s">
        <v>46</v>
      </c>
      <c r="D28" t="s">
        <v>202</v>
      </c>
      <c r="G28" t="s">
        <v>57</v>
      </c>
      <c r="H28" t="s">
        <v>58</v>
      </c>
      <c r="I28" t="s">
        <v>59</v>
      </c>
      <c r="J28" t="s">
        <v>60</v>
      </c>
      <c r="K28">
        <f>AVERAGE(G39:G50)</f>
        <v>0.58333333333333337</v>
      </c>
      <c r="L28">
        <f>MEDIAN(G39:G50)</f>
        <v>0</v>
      </c>
      <c r="M28">
        <f>MAX(G39:G50)</f>
        <v>3</v>
      </c>
      <c r="N28">
        <f>_xlfn.STDEV.S(G39:G50)</f>
        <v>0.99620491989562199</v>
      </c>
      <c r="P28">
        <f>AVERAGE(N39:N50)</f>
        <v>4.75</v>
      </c>
      <c r="Q28">
        <f>MEDIAN(N39:N50)</f>
        <v>4.5</v>
      </c>
      <c r="R28">
        <f>MAX(N39:N50)</f>
        <v>18</v>
      </c>
      <c r="S28">
        <f>_xlfn.STDEV.S(N39:N50)</f>
        <v>5.1012476192326988</v>
      </c>
      <c r="Y28" t="s">
        <v>33</v>
      </c>
      <c r="Z28">
        <f>SUM(Z16:Z27)</f>
        <v>0</v>
      </c>
      <c r="AA28">
        <f>SUM(AA16:AA27)</f>
        <v>0</v>
      </c>
      <c r="AE28">
        <f>SUM(AE16:AE27)</f>
        <v>1</v>
      </c>
      <c r="AF28">
        <f>SUM(AF16:AF27)</f>
        <v>3</v>
      </c>
      <c r="AG28">
        <f>SUM(AG16:AG27)</f>
        <v>0</v>
      </c>
      <c r="AK28">
        <f>SUM(AK16:AK27)</f>
        <v>5</v>
      </c>
      <c r="AL28">
        <f>SUM(AL16:AL27)</f>
        <v>2</v>
      </c>
      <c r="AM28">
        <f>SUM(AM16:AM27)</f>
        <v>0</v>
      </c>
      <c r="AN28">
        <f>SUM(AN16:AN27)</f>
        <v>0</v>
      </c>
      <c r="AP28">
        <f>SUM(AP16:AP27)</f>
        <v>7</v>
      </c>
    </row>
    <row r="29" spans="1:66" x14ac:dyDescent="0.2">
      <c r="D29">
        <f>SUM(O39:O50)/F16</f>
        <v>0</v>
      </c>
      <c r="G29">
        <f>AVERAGE(A39:A50)</f>
        <v>0.33333333333333331</v>
      </c>
      <c r="H29">
        <f>MEDIAN(A39:A50)</f>
        <v>0</v>
      </c>
      <c r="I29">
        <f>MAX(A39:A50)</f>
        <v>1</v>
      </c>
      <c r="J29">
        <f>_xlfn.STDEV.S(A39:A50)</f>
        <v>0.49236596391733095</v>
      </c>
      <c r="K29" t="s">
        <v>63</v>
      </c>
      <c r="P29" t="s">
        <v>148</v>
      </c>
    </row>
    <row r="30" spans="1:66" x14ac:dyDescent="0.2">
      <c r="A30" t="s">
        <v>147</v>
      </c>
      <c r="D30" t="s">
        <v>203</v>
      </c>
      <c r="G30" t="s">
        <v>50</v>
      </c>
      <c r="H30" t="s">
        <v>51</v>
      </c>
      <c r="I30" t="s">
        <v>89</v>
      </c>
      <c r="K30" t="s">
        <v>57</v>
      </c>
      <c r="L30" t="s">
        <v>58</v>
      </c>
      <c r="M30" t="s">
        <v>59</v>
      </c>
      <c r="N30" t="s">
        <v>60</v>
      </c>
      <c r="P30" t="s">
        <v>57</v>
      </c>
      <c r="Q30" t="s">
        <v>58</v>
      </c>
      <c r="R30" t="s">
        <v>59</v>
      </c>
      <c r="S30" t="s">
        <v>60</v>
      </c>
      <c r="W30" t="s">
        <v>148</v>
      </c>
      <c r="Y30" t="s">
        <v>149</v>
      </c>
      <c r="AH30" t="s">
        <v>79</v>
      </c>
    </row>
    <row r="31" spans="1:66" x14ac:dyDescent="0.2">
      <c r="A31">
        <f>COUNT(B4:B15)</f>
        <v>12</v>
      </c>
      <c r="D31" s="2">
        <f>SUM(S39:S50)/SUM(Q39:Q50)</f>
        <v>0</v>
      </c>
      <c r="G31">
        <f>AE28/A31</f>
        <v>8.3333333333333329E-2</v>
      </c>
      <c r="H31">
        <f>AF28/A31</f>
        <v>0.25</v>
      </c>
      <c r="I31">
        <f>AG28/A31</f>
        <v>0</v>
      </c>
      <c r="K31" t="e">
        <f>AVERAGE(I39:I50)</f>
        <v>#DIV/0!</v>
      </c>
      <c r="L31" t="e">
        <f>MEDIAN(I39:I50)</f>
        <v>#NUM!</v>
      </c>
      <c r="M31">
        <f>MAX(I39:I50)</f>
        <v>0</v>
      </c>
      <c r="N31" t="e">
        <f>_xlfn.STDEV.S(I39:I50)</f>
        <v>#DIV/0!</v>
      </c>
      <c r="P31">
        <f>AVERAGE(W31:W42)</f>
        <v>4.2857142857142856</v>
      </c>
      <c r="Q31">
        <f>MEDIAN(W31:W42)</f>
        <v>5</v>
      </c>
      <c r="R31">
        <f>MAX(W31:W42)</f>
        <v>8</v>
      </c>
      <c r="S31">
        <f>_xlfn.STDEV.S(W31:W42)</f>
        <v>2.5634797778466227</v>
      </c>
      <c r="W31">
        <f t="shared" ref="W31:W33" si="48">IF(AND(ISBLANK(Q4), ISBLANK(R4), ISBLANK(G4), ISBLANK(H4)), "", U4)</f>
        <v>1</v>
      </c>
      <c r="Y31">
        <f t="shared" ref="Y31:Y42" si="49">IF(ISBLANK(Y4), IF(X4 = 0, "", (G4 + H4/3 + V4/9 + W4/3)), U4)</f>
        <v>1</v>
      </c>
      <c r="AH31" t="s">
        <v>80</v>
      </c>
    </row>
    <row r="32" spans="1:66" x14ac:dyDescent="0.2">
      <c r="D32" s="3"/>
      <c r="K32" t="s">
        <v>64</v>
      </c>
      <c r="P32" t="s">
        <v>149</v>
      </c>
      <c r="W32" t="str">
        <f t="shared" si="48"/>
        <v/>
      </c>
      <c r="Y32" t="str">
        <f t="shared" si="49"/>
        <v/>
      </c>
      <c r="AH32" t="s">
        <v>81</v>
      </c>
    </row>
    <row r="33" spans="1:34" x14ac:dyDescent="0.2">
      <c r="D33" s="2" t="s">
        <v>304</v>
      </c>
      <c r="K33" t="s">
        <v>57</v>
      </c>
      <c r="L33" t="s">
        <v>58</v>
      </c>
      <c r="M33" t="s">
        <v>59</v>
      </c>
      <c r="N33" t="s">
        <v>60</v>
      </c>
      <c r="P33" t="s">
        <v>57</v>
      </c>
      <c r="Q33" t="s">
        <v>58</v>
      </c>
      <c r="R33" t="s">
        <v>59</v>
      </c>
      <c r="S33" t="s">
        <v>60</v>
      </c>
      <c r="W33">
        <f t="shared" si="48"/>
        <v>8</v>
      </c>
      <c r="Y33">
        <f t="shared" si="49"/>
        <v>8</v>
      </c>
      <c r="AH33" t="s">
        <v>82</v>
      </c>
    </row>
    <row r="34" spans="1:34" x14ac:dyDescent="0.2">
      <c r="D34" s="2" t="s">
        <v>309</v>
      </c>
      <c r="K34">
        <f>AVERAGE(K39:K50)</f>
        <v>0.58333333333333337</v>
      </c>
      <c r="L34">
        <f>MEDIAN(K39:K50)</f>
        <v>0</v>
      </c>
      <c r="M34">
        <f>MAX(K39:K50)</f>
        <v>3</v>
      </c>
      <c r="N34">
        <f>_xlfn.STDEV.S(K39:K50)</f>
        <v>0.99620491989562199</v>
      </c>
      <c r="P34">
        <f>AVERAGE(Y31:Y42)</f>
        <v>3.1428571428571428</v>
      </c>
      <c r="Q34">
        <f>MEDIAN(Y31:Y42)</f>
        <v>1</v>
      </c>
      <c r="R34">
        <f>MAX(Y31:Y42)</f>
        <v>8</v>
      </c>
      <c r="S34">
        <f>_xlfn.STDEV.S(Y31:Y42)</f>
        <v>2.9113897843110044</v>
      </c>
      <c r="W34">
        <f>IF(AND(ISBLANK(Q7), ISBLANK(R7), ISBLANK(G7), ISBLANK(H7)), "", U7)</f>
        <v>1</v>
      </c>
      <c r="Y34">
        <f t="shared" si="49"/>
        <v>1</v>
      </c>
      <c r="AH34" t="s">
        <v>83</v>
      </c>
    </row>
    <row r="35" spans="1:34" x14ac:dyDescent="0.2">
      <c r="D35" s="2" t="s">
        <v>314</v>
      </c>
      <c r="P35" t="s">
        <v>95</v>
      </c>
      <c r="R35" t="s">
        <v>197</v>
      </c>
      <c r="W35" t="str">
        <f t="shared" ref="W35:W42" si="50">IF(AND(ISBLANK(Q8), ISBLANK(R8), ISBLANK(G8), ISBLANK(H8)), "", U8)</f>
        <v/>
      </c>
      <c r="Y35" t="str">
        <f t="shared" si="49"/>
        <v/>
      </c>
    </row>
    <row r="36" spans="1:34" x14ac:dyDescent="0.2">
      <c r="D36" s="2" t="s">
        <v>325</v>
      </c>
      <c r="P36">
        <f>Q16/(Q16+R16)</f>
        <v>0</v>
      </c>
      <c r="R36">
        <f>R16/(Q16+R16)</f>
        <v>1</v>
      </c>
      <c r="W36" t="str">
        <f t="shared" si="50"/>
        <v/>
      </c>
      <c r="Y36" t="str">
        <f t="shared" si="49"/>
        <v/>
      </c>
    </row>
    <row r="37" spans="1:34" x14ac:dyDescent="0.2">
      <c r="W37" t="str">
        <f t="shared" si="50"/>
        <v/>
      </c>
      <c r="Y37" t="str">
        <f t="shared" si="49"/>
        <v/>
      </c>
    </row>
    <row r="38" spans="1:34" x14ac:dyDescent="0.2">
      <c r="A38" t="s">
        <v>68</v>
      </c>
      <c r="C38" t="s">
        <v>69</v>
      </c>
      <c r="E38" t="s">
        <v>72</v>
      </c>
      <c r="G38" t="s">
        <v>250</v>
      </c>
      <c r="K38" t="s">
        <v>73</v>
      </c>
      <c r="M38" t="s">
        <v>70</v>
      </c>
      <c r="N38" t="s">
        <v>71</v>
      </c>
      <c r="O38" t="s">
        <v>199</v>
      </c>
      <c r="Q38" t="s">
        <v>200</v>
      </c>
      <c r="S38" t="s">
        <v>201</v>
      </c>
      <c r="W38">
        <f t="shared" si="50"/>
        <v>4</v>
      </c>
      <c r="Y38">
        <f t="shared" si="49"/>
        <v>4</v>
      </c>
    </row>
    <row r="39" spans="1:34" x14ac:dyDescent="0.2">
      <c r="A39">
        <f t="shared" ref="A39:A50" si="51">IF(ISBLANK(B4), "", SUM(AE16+AF16+AG16))</f>
        <v>0</v>
      </c>
      <c r="C39">
        <f t="shared" ref="C39:C50" si="52">IF(ISBLANK(B4), "", O4)</f>
        <v>3</v>
      </c>
      <c r="E39">
        <f t="shared" ref="E39:E50" si="53">IF(ISBLANK(B4), "", Q4)</f>
        <v>0</v>
      </c>
      <c r="G39">
        <f t="shared" ref="G39:G50" si="54">IF(ISBLANK(B4), "", R4)</f>
        <v>1</v>
      </c>
      <c r="K39">
        <f t="shared" ref="K39:K50" si="55">IF(ISBLANK(B4), "", SUM(Q4 + R4))</f>
        <v>1</v>
      </c>
      <c r="M39">
        <f t="shared" ref="M39:M50" si="56">IF(ISBLANK(B4), "", SUM(K4+M4) - O4)</f>
        <v>-1</v>
      </c>
      <c r="N39">
        <f t="shared" ref="N39:N50" si="57">IF(ISBLANK(B4), "", U4)</f>
        <v>1</v>
      </c>
      <c r="O39">
        <f t="shared" ref="O39:O50" si="58">COUNTIF(E4, "1")*COUNTIF(F4, "1")</f>
        <v>0</v>
      </c>
      <c r="Q39">
        <f t="shared" ref="Q39:Q50" si="59">COUNTIF(D4, "1")*COUNTIF(F4, "")</f>
        <v>0</v>
      </c>
      <c r="S39">
        <f t="shared" ref="S39:S50" si="60">COUNTIF(E4, "1")*COUNTIF(F4, "")</f>
        <v>0</v>
      </c>
      <c r="W39">
        <f t="shared" si="50"/>
        <v>5</v>
      </c>
      <c r="Y39">
        <f t="shared" si="49"/>
        <v>1</v>
      </c>
    </row>
    <row r="40" spans="1:34" x14ac:dyDescent="0.2">
      <c r="A40">
        <f t="shared" si="51"/>
        <v>1</v>
      </c>
      <c r="C40">
        <f t="shared" si="52"/>
        <v>3</v>
      </c>
      <c r="E40">
        <f t="shared" si="53"/>
        <v>0</v>
      </c>
      <c r="G40">
        <f t="shared" si="54"/>
        <v>0</v>
      </c>
      <c r="K40">
        <f t="shared" si="55"/>
        <v>0</v>
      </c>
      <c r="M40">
        <f t="shared" si="56"/>
        <v>0</v>
      </c>
      <c r="N40">
        <f t="shared" si="57"/>
        <v>18</v>
      </c>
      <c r="O40">
        <f t="shared" si="58"/>
        <v>0</v>
      </c>
      <c r="Q40">
        <f t="shared" si="59"/>
        <v>0</v>
      </c>
      <c r="S40">
        <f t="shared" si="60"/>
        <v>0</v>
      </c>
      <c r="W40" t="str">
        <f t="shared" si="50"/>
        <v/>
      </c>
      <c r="Y40" t="str">
        <f t="shared" si="49"/>
        <v/>
      </c>
    </row>
    <row r="41" spans="1:34" x14ac:dyDescent="0.2">
      <c r="A41">
        <f t="shared" si="51"/>
        <v>0</v>
      </c>
      <c r="C41">
        <f t="shared" si="52"/>
        <v>2</v>
      </c>
      <c r="E41">
        <f t="shared" si="53"/>
        <v>0</v>
      </c>
      <c r="G41">
        <f t="shared" si="54"/>
        <v>2</v>
      </c>
      <c r="K41">
        <f t="shared" si="55"/>
        <v>2</v>
      </c>
      <c r="M41">
        <f t="shared" si="56"/>
        <v>-1</v>
      </c>
      <c r="N41">
        <f t="shared" si="57"/>
        <v>8</v>
      </c>
      <c r="O41">
        <f t="shared" si="58"/>
        <v>0</v>
      </c>
      <c r="Q41">
        <f t="shared" si="59"/>
        <v>0</v>
      </c>
      <c r="S41">
        <f t="shared" si="60"/>
        <v>0</v>
      </c>
      <c r="W41">
        <f t="shared" si="50"/>
        <v>5</v>
      </c>
      <c r="Y41">
        <f t="shared" si="49"/>
        <v>1</v>
      </c>
    </row>
    <row r="42" spans="1:34" x14ac:dyDescent="0.2">
      <c r="A42">
        <f t="shared" si="51"/>
        <v>1</v>
      </c>
      <c r="C42">
        <f t="shared" si="52"/>
        <v>3</v>
      </c>
      <c r="E42">
        <f t="shared" si="53"/>
        <v>0</v>
      </c>
      <c r="G42">
        <f t="shared" si="54"/>
        <v>1</v>
      </c>
      <c r="K42">
        <f t="shared" si="55"/>
        <v>1</v>
      </c>
      <c r="M42">
        <f t="shared" si="56"/>
        <v>-1</v>
      </c>
      <c r="N42">
        <f t="shared" si="57"/>
        <v>1</v>
      </c>
      <c r="O42">
        <f t="shared" si="58"/>
        <v>0</v>
      </c>
      <c r="Q42">
        <f t="shared" si="59"/>
        <v>1</v>
      </c>
      <c r="S42">
        <f t="shared" si="60"/>
        <v>0</v>
      </c>
      <c r="W42">
        <f t="shared" si="50"/>
        <v>6</v>
      </c>
      <c r="Y42">
        <f t="shared" si="49"/>
        <v>6</v>
      </c>
    </row>
    <row r="43" spans="1:34" x14ac:dyDescent="0.2">
      <c r="A43">
        <f t="shared" si="51"/>
        <v>0</v>
      </c>
      <c r="C43">
        <f t="shared" si="52"/>
        <v>3</v>
      </c>
      <c r="E43">
        <f t="shared" si="53"/>
        <v>0</v>
      </c>
      <c r="G43">
        <f t="shared" si="54"/>
        <v>0</v>
      </c>
      <c r="K43">
        <f t="shared" si="55"/>
        <v>0</v>
      </c>
      <c r="M43">
        <f t="shared" si="56"/>
        <v>-1</v>
      </c>
      <c r="N43">
        <f t="shared" si="57"/>
        <v>0</v>
      </c>
      <c r="O43">
        <f t="shared" si="58"/>
        <v>0</v>
      </c>
      <c r="Q43">
        <f t="shared" si="59"/>
        <v>0</v>
      </c>
      <c r="S43">
        <f t="shared" si="60"/>
        <v>0</v>
      </c>
    </row>
    <row r="44" spans="1:34" x14ac:dyDescent="0.2">
      <c r="A44">
        <f t="shared" si="51"/>
        <v>0</v>
      </c>
      <c r="C44">
        <f t="shared" si="52"/>
        <v>2</v>
      </c>
      <c r="E44">
        <f t="shared" si="53"/>
        <v>0</v>
      </c>
      <c r="G44">
        <f t="shared" si="54"/>
        <v>0</v>
      </c>
      <c r="K44">
        <f t="shared" si="55"/>
        <v>0</v>
      </c>
      <c r="M44">
        <f t="shared" si="56"/>
        <v>1</v>
      </c>
      <c r="N44">
        <f t="shared" si="57"/>
        <v>0</v>
      </c>
      <c r="O44">
        <f t="shared" si="58"/>
        <v>0</v>
      </c>
      <c r="Q44">
        <f t="shared" si="59"/>
        <v>0</v>
      </c>
      <c r="S44">
        <f t="shared" si="60"/>
        <v>0</v>
      </c>
    </row>
    <row r="45" spans="1:34" x14ac:dyDescent="0.2">
      <c r="A45">
        <f t="shared" si="51"/>
        <v>0</v>
      </c>
      <c r="C45">
        <f t="shared" si="52"/>
        <v>0</v>
      </c>
      <c r="E45">
        <f t="shared" si="53"/>
        <v>0</v>
      </c>
      <c r="G45">
        <f t="shared" si="54"/>
        <v>0</v>
      </c>
      <c r="K45">
        <f t="shared" si="55"/>
        <v>0</v>
      </c>
      <c r="M45">
        <f t="shared" si="56"/>
        <v>3</v>
      </c>
      <c r="N45">
        <f t="shared" si="57"/>
        <v>1</v>
      </c>
      <c r="O45">
        <f t="shared" si="58"/>
        <v>0</v>
      </c>
      <c r="Q45">
        <f t="shared" si="59"/>
        <v>0</v>
      </c>
      <c r="S45">
        <f t="shared" si="60"/>
        <v>0</v>
      </c>
    </row>
    <row r="46" spans="1:34" x14ac:dyDescent="0.2">
      <c r="A46">
        <f t="shared" si="51"/>
        <v>1</v>
      </c>
      <c r="C46">
        <f t="shared" si="52"/>
        <v>2</v>
      </c>
      <c r="E46">
        <f t="shared" si="53"/>
        <v>0</v>
      </c>
      <c r="G46">
        <f t="shared" si="54"/>
        <v>0</v>
      </c>
      <c r="K46">
        <f t="shared" si="55"/>
        <v>0</v>
      </c>
      <c r="M46">
        <f t="shared" si="56"/>
        <v>0</v>
      </c>
      <c r="N46">
        <f t="shared" si="57"/>
        <v>4</v>
      </c>
      <c r="O46">
        <f t="shared" si="58"/>
        <v>0</v>
      </c>
      <c r="Q46">
        <f t="shared" si="59"/>
        <v>0</v>
      </c>
      <c r="S46">
        <f t="shared" si="60"/>
        <v>0</v>
      </c>
    </row>
    <row r="47" spans="1:34" x14ac:dyDescent="0.2">
      <c r="A47">
        <f t="shared" si="51"/>
        <v>0</v>
      </c>
      <c r="C47">
        <f t="shared" si="52"/>
        <v>0</v>
      </c>
      <c r="E47">
        <f t="shared" si="53"/>
        <v>0</v>
      </c>
      <c r="G47">
        <f t="shared" si="54"/>
        <v>0</v>
      </c>
      <c r="K47">
        <f t="shared" si="55"/>
        <v>0</v>
      </c>
      <c r="M47">
        <f t="shared" si="56"/>
        <v>4</v>
      </c>
      <c r="N47">
        <f t="shared" si="57"/>
        <v>5</v>
      </c>
      <c r="O47">
        <f t="shared" si="58"/>
        <v>0</v>
      </c>
      <c r="Q47">
        <f t="shared" si="59"/>
        <v>0</v>
      </c>
      <c r="S47">
        <f t="shared" si="60"/>
        <v>0</v>
      </c>
    </row>
    <row r="48" spans="1:34" x14ac:dyDescent="0.2">
      <c r="A48">
        <f t="shared" si="51"/>
        <v>0</v>
      </c>
      <c r="C48">
        <f t="shared" si="52"/>
        <v>0</v>
      </c>
      <c r="E48">
        <f t="shared" si="53"/>
        <v>0</v>
      </c>
      <c r="G48">
        <f t="shared" si="54"/>
        <v>0</v>
      </c>
      <c r="K48">
        <f t="shared" si="55"/>
        <v>0</v>
      </c>
      <c r="M48">
        <f t="shared" si="56"/>
        <v>0</v>
      </c>
      <c r="N48">
        <f t="shared" si="57"/>
        <v>8</v>
      </c>
      <c r="O48">
        <f t="shared" si="58"/>
        <v>0</v>
      </c>
      <c r="Q48">
        <f t="shared" si="59"/>
        <v>0</v>
      </c>
      <c r="S48">
        <f t="shared" si="60"/>
        <v>0</v>
      </c>
    </row>
    <row r="49" spans="1:19" x14ac:dyDescent="0.2">
      <c r="A49">
        <f t="shared" si="51"/>
        <v>1</v>
      </c>
      <c r="C49">
        <f t="shared" si="52"/>
        <v>0</v>
      </c>
      <c r="E49">
        <f t="shared" si="53"/>
        <v>0</v>
      </c>
      <c r="G49">
        <f t="shared" si="54"/>
        <v>0</v>
      </c>
      <c r="K49">
        <f t="shared" si="55"/>
        <v>0</v>
      </c>
      <c r="M49">
        <f t="shared" si="56"/>
        <v>0</v>
      </c>
      <c r="N49">
        <f t="shared" si="57"/>
        <v>5</v>
      </c>
      <c r="O49">
        <f t="shared" si="58"/>
        <v>0</v>
      </c>
      <c r="Q49">
        <f t="shared" si="59"/>
        <v>1</v>
      </c>
      <c r="S49">
        <f t="shared" si="60"/>
        <v>0</v>
      </c>
    </row>
    <row r="50" spans="1:19" x14ac:dyDescent="0.2">
      <c r="A50">
        <f t="shared" si="51"/>
        <v>0</v>
      </c>
      <c r="C50">
        <f t="shared" si="52"/>
        <v>0</v>
      </c>
      <c r="E50">
        <f t="shared" si="53"/>
        <v>0</v>
      </c>
      <c r="G50">
        <f t="shared" si="54"/>
        <v>3</v>
      </c>
      <c r="K50">
        <f t="shared" si="55"/>
        <v>3</v>
      </c>
      <c r="M50">
        <f t="shared" si="56"/>
        <v>0</v>
      </c>
      <c r="N50">
        <f t="shared" si="57"/>
        <v>6</v>
      </c>
      <c r="O50">
        <f t="shared" si="58"/>
        <v>0</v>
      </c>
      <c r="Q50">
        <f t="shared" si="59"/>
        <v>0</v>
      </c>
      <c r="S50">
        <f t="shared" si="60"/>
        <v>0</v>
      </c>
    </row>
  </sheetData>
  <pageMargins left="0.7" right="0.7" top="0.75" bottom="0.75" header="0.3" footer="0.3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 enableFormatConditionsCalculation="0"/>
  <dimension ref="A1:BN50"/>
  <sheetViews>
    <sheetView workbookViewId="0">
      <selection activeCell="V14" sqref="V14"/>
    </sheetView>
  </sheetViews>
  <sheetFormatPr baseColWidth="10" defaultColWidth="11.5" defaultRowHeight="15" x14ac:dyDescent="0.2"/>
  <sheetData>
    <row r="1" spans="1:66" x14ac:dyDescent="0.2">
      <c r="A1" s="1" t="s">
        <v>0</v>
      </c>
      <c r="D1" t="s">
        <v>3</v>
      </c>
      <c r="K1" t="s">
        <v>11</v>
      </c>
      <c r="N1" t="s">
        <v>12</v>
      </c>
      <c r="P1" t="s">
        <v>14</v>
      </c>
      <c r="Q1" t="s">
        <v>17</v>
      </c>
      <c r="S1" t="s">
        <v>18</v>
      </c>
      <c r="Z1" t="s">
        <v>29</v>
      </c>
      <c r="AE1" t="s">
        <v>30</v>
      </c>
      <c r="AK1" t="s">
        <v>42</v>
      </c>
    </row>
    <row r="2" spans="1:66" x14ac:dyDescent="0.2">
      <c r="A2" t="s">
        <v>1</v>
      </c>
      <c r="B2" t="s">
        <v>1</v>
      </c>
      <c r="C2" t="s">
        <v>87</v>
      </c>
      <c r="D2" t="s">
        <v>54</v>
      </c>
      <c r="E2" t="s">
        <v>13</v>
      </c>
      <c r="F2" t="s">
        <v>198</v>
      </c>
      <c r="G2" t="s">
        <v>7</v>
      </c>
      <c r="H2" t="s">
        <v>8</v>
      </c>
      <c r="I2" t="s">
        <v>179</v>
      </c>
      <c r="J2" t="s">
        <v>178</v>
      </c>
      <c r="K2" t="s">
        <v>9</v>
      </c>
      <c r="L2" t="s">
        <v>196</v>
      </c>
      <c r="M2" t="s">
        <v>10</v>
      </c>
      <c r="N2" t="s">
        <v>54</v>
      </c>
      <c r="O2" t="s">
        <v>13</v>
      </c>
      <c r="P2" t="s">
        <v>15</v>
      </c>
      <c r="Q2" t="s">
        <v>8</v>
      </c>
      <c r="R2" t="s">
        <v>7</v>
      </c>
      <c r="S2" t="s">
        <v>181</v>
      </c>
      <c r="T2" t="s">
        <v>182</v>
      </c>
      <c r="U2" t="s">
        <v>19</v>
      </c>
      <c r="V2" t="s">
        <v>191</v>
      </c>
      <c r="W2" t="s">
        <v>192</v>
      </c>
      <c r="X2" t="s">
        <v>175</v>
      </c>
      <c r="Y2" t="s">
        <v>173</v>
      </c>
      <c r="Z2" t="str">
        <f t="shared" ref="Z2:Z13" si="0">LEFT(I4, 1)</f>
        <v/>
      </c>
      <c r="AA2" t="str">
        <f t="shared" ref="AA2:AA13" si="1">MID(I4, 4, 1)</f>
        <v/>
      </c>
      <c r="AB2" t="str">
        <f t="shared" ref="AB2:AB13" si="2">MID(I4, 7, 1)</f>
        <v/>
      </c>
      <c r="AC2" t="str">
        <f t="shared" ref="AC2:AC13" si="3">MID(I4, 10, 1)</f>
        <v/>
      </c>
      <c r="AE2" t="str">
        <f t="shared" ref="AE2:AE13" si="4">LEFT(J4, 1)</f>
        <v/>
      </c>
      <c r="AF2" t="str">
        <f t="shared" ref="AF2:AF13" si="5">MID(J4, 4, 1)</f>
        <v/>
      </c>
      <c r="AG2" t="str">
        <f t="shared" ref="AG2:AG13" si="6">MID(J4, 7, 1)</f>
        <v/>
      </c>
      <c r="AH2" t="str">
        <f t="shared" ref="AH2:AH13" si="7">MID(J4, 10, 1)</f>
        <v/>
      </c>
      <c r="AI2" t="str">
        <f t="shared" ref="AI2:AI13" si="8">MID(J4, 13, 1)</f>
        <v/>
      </c>
      <c r="AK2" t="str">
        <f t="shared" ref="AK2:AK13" si="9">LEFT(P4, 2)</f>
        <v/>
      </c>
      <c r="AL2" t="str">
        <f>MID($P4, 5, 2)</f>
        <v/>
      </c>
      <c r="AM2" t="str">
        <f t="shared" ref="AM2:AM13" si="10">MID($P4, 9, 2)</f>
        <v/>
      </c>
      <c r="AN2" t="str">
        <f t="shared" ref="AN2:AN13" si="11">MID($P4, 13, 2)</f>
        <v/>
      </c>
      <c r="AO2" t="str">
        <f t="shared" ref="AO2:AO13" si="12">MID($P4, 17, 2)</f>
        <v/>
      </c>
      <c r="AP2" t="str">
        <f t="shared" ref="AP2:AP13" si="13">MID($P4, 21, 2)</f>
        <v/>
      </c>
      <c r="AQ2" t="str">
        <f t="shared" ref="AQ2:AQ13" si="14">MID($P4, 25, 2)</f>
        <v/>
      </c>
      <c r="AR2" t="str">
        <f t="shared" ref="AR2:AR13" si="15">MID($P4, 29, 2)</f>
        <v/>
      </c>
      <c r="AS2" t="str">
        <f t="shared" ref="AS2:AS13" si="16">MID($P4, 33, 2)</f>
        <v/>
      </c>
      <c r="AT2" t="str">
        <f t="shared" ref="AT2:AT13" si="17">MID($P4, 37, 2)</f>
        <v/>
      </c>
      <c r="AU2" t="str">
        <f t="shared" ref="AU2:AU13" si="18">MID($P4, 41, 2)</f>
        <v/>
      </c>
      <c r="AV2" t="str">
        <f t="shared" ref="AV2:AV13" si="19">MID($P4, 45, 2)</f>
        <v/>
      </c>
      <c r="AW2" t="str">
        <f t="shared" ref="AW2:AW13" si="20">MID($P4, 49, 2)</f>
        <v/>
      </c>
      <c r="AX2" t="str">
        <f t="shared" ref="AX2:AX13" si="21">MID($P4, 53, 2)</f>
        <v/>
      </c>
      <c r="AY2" t="str">
        <f t="shared" ref="AY2:AY13" si="22">MID($P4, 57, 2)</f>
        <v/>
      </c>
      <c r="AZ2" t="str">
        <f t="shared" ref="AZ2:AZ13" si="23">MID($P4, 61, 2)</f>
        <v/>
      </c>
      <c r="BA2" t="str">
        <f t="shared" ref="BA2:BA13" si="24">MID($P4, 65, 2)</f>
        <v/>
      </c>
      <c r="BB2" t="str">
        <f t="shared" ref="BB2:BB13" si="25">MID($P4, 69, 2)</f>
        <v/>
      </c>
      <c r="BC2" t="str">
        <f t="shared" ref="BC2:BC13" si="26">MID($P4, 73, 2)</f>
        <v/>
      </c>
      <c r="BD2" t="str">
        <f t="shared" ref="BD2:BD13" si="27">MID($P4, 77, 2)</f>
        <v/>
      </c>
      <c r="BE2" t="str">
        <f t="shared" ref="BE2:BE13" si="28">MID($P4, 81, 2)</f>
        <v/>
      </c>
      <c r="BF2" t="str">
        <f t="shared" ref="BF2:BF13" si="29">MID($P4, 85, 2)</f>
        <v/>
      </c>
      <c r="BG2" t="str">
        <f t="shared" ref="BG2:BG13" si="30">MID($P4, 89, 2)</f>
        <v/>
      </c>
      <c r="BH2" t="str">
        <f t="shared" ref="BH2:BH13" si="31">MID($P4, 93, 2)</f>
        <v/>
      </c>
    </row>
    <row r="3" spans="1:66" x14ac:dyDescent="0.2">
      <c r="A3" t="s">
        <v>2</v>
      </c>
      <c r="B3" t="s">
        <v>6</v>
      </c>
      <c r="C3" t="s">
        <v>88</v>
      </c>
      <c r="D3" t="s">
        <v>6</v>
      </c>
      <c r="E3" t="s">
        <v>6</v>
      </c>
      <c r="F3" t="s">
        <v>4</v>
      </c>
      <c r="G3" t="s">
        <v>6</v>
      </c>
      <c r="H3" t="s">
        <v>6</v>
      </c>
      <c r="I3" t="s">
        <v>86</v>
      </c>
      <c r="J3" t="s">
        <v>86</v>
      </c>
      <c r="K3" t="s">
        <v>6</v>
      </c>
      <c r="L3" t="s">
        <v>6</v>
      </c>
      <c r="M3" t="s">
        <v>6</v>
      </c>
      <c r="N3" t="s">
        <v>6</v>
      </c>
      <c r="O3" t="s">
        <v>6</v>
      </c>
      <c r="P3" t="s">
        <v>16</v>
      </c>
      <c r="Q3" t="s">
        <v>6</v>
      </c>
      <c r="R3" t="s">
        <v>6</v>
      </c>
      <c r="S3" t="s">
        <v>4</v>
      </c>
      <c r="T3" t="s">
        <v>4</v>
      </c>
      <c r="U3" t="s">
        <v>6</v>
      </c>
      <c r="V3" t="s">
        <v>6</v>
      </c>
      <c r="W3" t="s">
        <v>6</v>
      </c>
      <c r="X3" t="s">
        <v>6</v>
      </c>
      <c r="Y3" t="s">
        <v>174</v>
      </c>
      <c r="Z3" t="str">
        <f t="shared" si="0"/>
        <v/>
      </c>
      <c r="AA3" t="str">
        <f t="shared" si="1"/>
        <v/>
      </c>
      <c r="AB3" t="str">
        <f t="shared" si="2"/>
        <v/>
      </c>
      <c r="AC3" t="str">
        <f t="shared" si="3"/>
        <v/>
      </c>
      <c r="AE3" t="str">
        <f t="shared" si="4"/>
        <v/>
      </c>
      <c r="AF3" t="str">
        <f t="shared" si="5"/>
        <v/>
      </c>
      <c r="AG3" t="str">
        <f t="shared" si="6"/>
        <v/>
      </c>
      <c r="AH3" t="str">
        <f t="shared" si="7"/>
        <v/>
      </c>
      <c r="AI3" t="str">
        <f t="shared" si="8"/>
        <v/>
      </c>
      <c r="AK3" t="str">
        <f t="shared" si="9"/>
        <v/>
      </c>
      <c r="AL3" t="str">
        <f t="shared" ref="AL3:AL13" si="32">MID(P5, 5, 2)</f>
        <v/>
      </c>
      <c r="AM3" t="str">
        <f t="shared" si="10"/>
        <v/>
      </c>
      <c r="AN3" t="str">
        <f t="shared" si="11"/>
        <v/>
      </c>
      <c r="AO3" t="str">
        <f t="shared" si="12"/>
        <v/>
      </c>
      <c r="AP3" t="str">
        <f t="shared" si="13"/>
        <v/>
      </c>
      <c r="AQ3" t="str">
        <f t="shared" si="14"/>
        <v/>
      </c>
      <c r="AR3" t="str">
        <f t="shared" si="15"/>
        <v/>
      </c>
      <c r="AS3" t="str">
        <f t="shared" si="16"/>
        <v/>
      </c>
      <c r="AT3" t="str">
        <f t="shared" si="17"/>
        <v/>
      </c>
      <c r="AU3" t="str">
        <f t="shared" si="18"/>
        <v/>
      </c>
      <c r="AV3" t="str">
        <f t="shared" si="19"/>
        <v/>
      </c>
      <c r="AW3" t="str">
        <f t="shared" si="20"/>
        <v/>
      </c>
      <c r="AX3" t="str">
        <f t="shared" si="21"/>
        <v/>
      </c>
      <c r="AY3" t="str">
        <f t="shared" si="22"/>
        <v/>
      </c>
      <c r="AZ3" t="str">
        <f t="shared" si="23"/>
        <v/>
      </c>
      <c r="BA3" t="str">
        <f t="shared" si="24"/>
        <v/>
      </c>
      <c r="BB3" t="str">
        <f t="shared" si="25"/>
        <v/>
      </c>
      <c r="BC3" t="str">
        <f t="shared" si="26"/>
        <v/>
      </c>
      <c r="BD3" t="str">
        <f t="shared" si="27"/>
        <v/>
      </c>
      <c r="BE3" t="str">
        <f t="shared" si="28"/>
        <v/>
      </c>
      <c r="BF3" t="str">
        <f t="shared" si="29"/>
        <v/>
      </c>
      <c r="BG3" t="str">
        <f t="shared" si="30"/>
        <v/>
      </c>
      <c r="BH3" t="str">
        <f t="shared" si="31"/>
        <v/>
      </c>
    </row>
    <row r="4" spans="1:66" x14ac:dyDescent="0.2">
      <c r="A4">
        <v>1</v>
      </c>
      <c r="B4">
        <v>5</v>
      </c>
      <c r="C4" t="s">
        <v>39</v>
      </c>
      <c r="D4">
        <v>1</v>
      </c>
      <c r="E4">
        <v>1</v>
      </c>
      <c r="F4">
        <v>1</v>
      </c>
      <c r="K4">
        <v>4</v>
      </c>
      <c r="N4">
        <v>3</v>
      </c>
      <c r="O4">
        <v>3</v>
      </c>
      <c r="S4">
        <v>1</v>
      </c>
      <c r="T4">
        <v>1</v>
      </c>
      <c r="U4">
        <v>2</v>
      </c>
      <c r="X4">
        <f t="shared" ref="X4:X15" si="33">G4+H4+Q4+R4</f>
        <v>0</v>
      </c>
      <c r="Z4" t="str">
        <f t="shared" si="0"/>
        <v/>
      </c>
      <c r="AA4" t="str">
        <f t="shared" si="1"/>
        <v/>
      </c>
      <c r="AB4" t="str">
        <f t="shared" si="2"/>
        <v/>
      </c>
      <c r="AC4" t="str">
        <f t="shared" si="3"/>
        <v/>
      </c>
      <c r="AE4" t="str">
        <f t="shared" si="4"/>
        <v/>
      </c>
      <c r="AF4" t="str">
        <f t="shared" si="5"/>
        <v/>
      </c>
      <c r="AG4" t="str">
        <f t="shared" si="6"/>
        <v/>
      </c>
      <c r="AH4" t="str">
        <f t="shared" si="7"/>
        <v/>
      </c>
      <c r="AI4" t="str">
        <f t="shared" si="8"/>
        <v/>
      </c>
      <c r="AK4" t="str">
        <f t="shared" si="9"/>
        <v/>
      </c>
      <c r="AL4" t="str">
        <f t="shared" si="32"/>
        <v/>
      </c>
      <c r="AM4" t="str">
        <f t="shared" si="10"/>
        <v/>
      </c>
      <c r="AN4" t="str">
        <f t="shared" si="11"/>
        <v/>
      </c>
      <c r="AO4" t="str">
        <f t="shared" si="12"/>
        <v/>
      </c>
      <c r="AP4" t="str">
        <f t="shared" si="13"/>
        <v/>
      </c>
      <c r="AQ4" t="str">
        <f t="shared" si="14"/>
        <v/>
      </c>
      <c r="AR4" t="str">
        <f t="shared" si="15"/>
        <v/>
      </c>
      <c r="AS4" t="str">
        <f t="shared" si="16"/>
        <v/>
      </c>
      <c r="AT4" t="str">
        <f t="shared" si="17"/>
        <v/>
      </c>
      <c r="AU4" t="str">
        <f t="shared" si="18"/>
        <v/>
      </c>
      <c r="AV4" t="str">
        <f t="shared" si="19"/>
        <v/>
      </c>
      <c r="AW4" t="str">
        <f t="shared" si="20"/>
        <v/>
      </c>
      <c r="AX4" t="str">
        <f t="shared" si="21"/>
        <v/>
      </c>
      <c r="AY4" t="str">
        <f t="shared" si="22"/>
        <v/>
      </c>
      <c r="AZ4" t="str">
        <f t="shared" si="23"/>
        <v/>
      </c>
      <c r="BA4" t="str">
        <f t="shared" si="24"/>
        <v/>
      </c>
      <c r="BB4" t="str">
        <f t="shared" si="25"/>
        <v/>
      </c>
      <c r="BC4" t="str">
        <f t="shared" si="26"/>
        <v/>
      </c>
      <c r="BD4" t="str">
        <f t="shared" si="27"/>
        <v/>
      </c>
      <c r="BE4" t="str">
        <f t="shared" si="28"/>
        <v/>
      </c>
      <c r="BF4" t="str">
        <f t="shared" si="29"/>
        <v/>
      </c>
      <c r="BG4" t="str">
        <f t="shared" si="30"/>
        <v/>
      </c>
      <c r="BH4" t="str">
        <f t="shared" si="31"/>
        <v/>
      </c>
    </row>
    <row r="5" spans="1:66" x14ac:dyDescent="0.2">
      <c r="A5">
        <v>2</v>
      </c>
      <c r="B5">
        <v>20</v>
      </c>
      <c r="C5" t="s">
        <v>39</v>
      </c>
      <c r="D5">
        <v>1</v>
      </c>
      <c r="F5">
        <v>1</v>
      </c>
      <c r="K5">
        <v>5</v>
      </c>
      <c r="N5">
        <v>6</v>
      </c>
      <c r="O5">
        <v>4</v>
      </c>
      <c r="S5">
        <v>1</v>
      </c>
      <c r="T5">
        <v>1</v>
      </c>
      <c r="X5">
        <f t="shared" si="33"/>
        <v>0</v>
      </c>
      <c r="Z5" t="str">
        <f t="shared" si="0"/>
        <v/>
      </c>
      <c r="AA5" t="str">
        <f t="shared" si="1"/>
        <v/>
      </c>
      <c r="AB5" t="str">
        <f t="shared" si="2"/>
        <v/>
      </c>
      <c r="AC5" t="str">
        <f t="shared" si="3"/>
        <v/>
      </c>
      <c r="AE5" t="str">
        <f t="shared" si="4"/>
        <v/>
      </c>
      <c r="AF5" t="str">
        <f t="shared" si="5"/>
        <v/>
      </c>
      <c r="AG5" t="str">
        <f t="shared" si="6"/>
        <v/>
      </c>
      <c r="AH5" t="str">
        <f t="shared" si="7"/>
        <v/>
      </c>
      <c r="AI5" t="str">
        <f t="shared" si="8"/>
        <v/>
      </c>
      <c r="AK5" t="str">
        <f t="shared" si="9"/>
        <v/>
      </c>
      <c r="AL5" t="str">
        <f t="shared" si="32"/>
        <v/>
      </c>
      <c r="AM5" t="str">
        <f t="shared" si="10"/>
        <v/>
      </c>
      <c r="AN5" t="str">
        <f t="shared" si="11"/>
        <v/>
      </c>
      <c r="AO5" t="str">
        <f t="shared" si="12"/>
        <v/>
      </c>
      <c r="AP5" t="str">
        <f t="shared" si="13"/>
        <v/>
      </c>
      <c r="AQ5" t="str">
        <f t="shared" si="14"/>
        <v/>
      </c>
      <c r="AR5" t="str">
        <f t="shared" si="15"/>
        <v/>
      </c>
      <c r="AS5" t="str">
        <f t="shared" si="16"/>
        <v/>
      </c>
      <c r="AT5" t="str">
        <f t="shared" si="17"/>
        <v/>
      </c>
      <c r="AU5" t="str">
        <f t="shared" si="18"/>
        <v/>
      </c>
      <c r="AV5" t="str">
        <f t="shared" si="19"/>
        <v/>
      </c>
      <c r="AW5" t="str">
        <f t="shared" si="20"/>
        <v/>
      </c>
      <c r="AX5" t="str">
        <f t="shared" si="21"/>
        <v/>
      </c>
      <c r="AY5" t="str">
        <f t="shared" si="22"/>
        <v/>
      </c>
      <c r="AZ5" t="str">
        <f t="shared" si="23"/>
        <v/>
      </c>
      <c r="BA5" t="str">
        <f t="shared" si="24"/>
        <v/>
      </c>
      <c r="BB5" t="str">
        <f t="shared" si="25"/>
        <v/>
      </c>
      <c r="BC5" t="str">
        <f t="shared" si="26"/>
        <v/>
      </c>
      <c r="BD5" t="str">
        <f t="shared" si="27"/>
        <v/>
      </c>
      <c r="BE5" t="str">
        <f t="shared" si="28"/>
        <v/>
      </c>
      <c r="BF5" t="str">
        <f t="shared" si="29"/>
        <v/>
      </c>
      <c r="BG5" t="str">
        <f t="shared" si="30"/>
        <v/>
      </c>
      <c r="BH5" t="str">
        <f t="shared" si="31"/>
        <v/>
      </c>
    </row>
    <row r="6" spans="1:66" x14ac:dyDescent="0.2">
      <c r="A6">
        <v>3</v>
      </c>
      <c r="B6">
        <v>27</v>
      </c>
      <c r="C6" t="s">
        <v>39</v>
      </c>
      <c r="D6">
        <v>1</v>
      </c>
      <c r="E6">
        <v>1</v>
      </c>
      <c r="F6">
        <v>1</v>
      </c>
      <c r="X6">
        <f t="shared" si="33"/>
        <v>0</v>
      </c>
      <c r="Z6" t="str">
        <f t="shared" si="0"/>
        <v/>
      </c>
      <c r="AA6" t="str">
        <f t="shared" si="1"/>
        <v/>
      </c>
      <c r="AB6" t="str">
        <f t="shared" si="2"/>
        <v/>
      </c>
      <c r="AC6" t="str">
        <f t="shared" si="3"/>
        <v/>
      </c>
      <c r="AE6" t="str">
        <f t="shared" si="4"/>
        <v/>
      </c>
      <c r="AF6" t="str">
        <f t="shared" si="5"/>
        <v/>
      </c>
      <c r="AG6" t="str">
        <f t="shared" si="6"/>
        <v/>
      </c>
      <c r="AH6" t="str">
        <f t="shared" si="7"/>
        <v/>
      </c>
      <c r="AI6" t="str">
        <f t="shared" si="8"/>
        <v/>
      </c>
      <c r="AK6" t="str">
        <f t="shared" si="9"/>
        <v/>
      </c>
      <c r="AL6" t="str">
        <f t="shared" si="32"/>
        <v/>
      </c>
      <c r="AM6" t="str">
        <f t="shared" si="10"/>
        <v/>
      </c>
      <c r="AN6" t="str">
        <f t="shared" si="11"/>
        <v/>
      </c>
      <c r="AO6" t="str">
        <f t="shared" si="12"/>
        <v/>
      </c>
      <c r="AP6" t="str">
        <f t="shared" si="13"/>
        <v/>
      </c>
      <c r="AQ6" t="str">
        <f t="shared" si="14"/>
        <v/>
      </c>
      <c r="AR6" t="str">
        <f t="shared" si="15"/>
        <v/>
      </c>
      <c r="AS6" t="str">
        <f t="shared" si="16"/>
        <v/>
      </c>
      <c r="AT6" t="str">
        <f t="shared" si="17"/>
        <v/>
      </c>
      <c r="AU6" t="str">
        <f t="shared" si="18"/>
        <v/>
      </c>
      <c r="AV6" t="str">
        <f t="shared" si="19"/>
        <v/>
      </c>
      <c r="AW6" t="str">
        <f t="shared" si="20"/>
        <v/>
      </c>
      <c r="AX6" t="str">
        <f t="shared" si="21"/>
        <v/>
      </c>
      <c r="AY6" t="str">
        <f t="shared" si="22"/>
        <v/>
      </c>
      <c r="AZ6" t="str">
        <f t="shared" si="23"/>
        <v/>
      </c>
      <c r="BA6" t="str">
        <f t="shared" si="24"/>
        <v/>
      </c>
      <c r="BB6" t="str">
        <f t="shared" si="25"/>
        <v/>
      </c>
      <c r="BC6" t="str">
        <f t="shared" si="26"/>
        <v/>
      </c>
      <c r="BD6" t="str">
        <f t="shared" si="27"/>
        <v/>
      </c>
      <c r="BE6" t="str">
        <f t="shared" si="28"/>
        <v/>
      </c>
      <c r="BF6" t="str">
        <f t="shared" si="29"/>
        <v/>
      </c>
      <c r="BG6" t="str">
        <f t="shared" si="30"/>
        <v/>
      </c>
      <c r="BH6" t="str">
        <f t="shared" si="31"/>
        <v/>
      </c>
    </row>
    <row r="7" spans="1:66" x14ac:dyDescent="0.2">
      <c r="A7">
        <v>4</v>
      </c>
      <c r="B7">
        <v>34</v>
      </c>
      <c r="C7" t="s">
        <v>207</v>
      </c>
      <c r="D7">
        <v>1</v>
      </c>
      <c r="E7">
        <v>1</v>
      </c>
      <c r="F7">
        <v>1</v>
      </c>
      <c r="K7">
        <v>3</v>
      </c>
      <c r="N7">
        <v>3</v>
      </c>
      <c r="O7">
        <v>3</v>
      </c>
      <c r="S7">
        <v>1</v>
      </c>
      <c r="T7">
        <v>1</v>
      </c>
      <c r="X7">
        <f t="shared" si="33"/>
        <v>0</v>
      </c>
      <c r="Z7" t="str">
        <f t="shared" si="0"/>
        <v/>
      </c>
      <c r="AA7" t="str">
        <f t="shared" si="1"/>
        <v/>
      </c>
      <c r="AB7" t="str">
        <f t="shared" si="2"/>
        <v/>
      </c>
      <c r="AC7" t="str">
        <f t="shared" si="3"/>
        <v/>
      </c>
      <c r="AE7" t="str">
        <f t="shared" si="4"/>
        <v/>
      </c>
      <c r="AF7" t="str">
        <f t="shared" si="5"/>
        <v/>
      </c>
      <c r="AG7" t="str">
        <f t="shared" si="6"/>
        <v/>
      </c>
      <c r="AH7" t="str">
        <f t="shared" si="7"/>
        <v/>
      </c>
      <c r="AI7" t="str">
        <f t="shared" si="8"/>
        <v/>
      </c>
      <c r="AK7" t="str">
        <f t="shared" si="9"/>
        <v/>
      </c>
      <c r="AL7" t="str">
        <f t="shared" si="32"/>
        <v/>
      </c>
      <c r="AM7" t="str">
        <f t="shared" si="10"/>
        <v/>
      </c>
      <c r="AN7" t="str">
        <f t="shared" si="11"/>
        <v/>
      </c>
      <c r="AO7" t="str">
        <f t="shared" si="12"/>
        <v/>
      </c>
      <c r="AP7" t="str">
        <f t="shared" si="13"/>
        <v/>
      </c>
      <c r="AQ7" t="str">
        <f t="shared" si="14"/>
        <v/>
      </c>
      <c r="AR7" t="str">
        <f t="shared" si="15"/>
        <v/>
      </c>
      <c r="AS7" t="str">
        <f t="shared" si="16"/>
        <v/>
      </c>
      <c r="AT7" t="str">
        <f t="shared" si="17"/>
        <v/>
      </c>
      <c r="AU7" t="str">
        <f t="shared" si="18"/>
        <v/>
      </c>
      <c r="AV7" t="str">
        <f t="shared" si="19"/>
        <v/>
      </c>
      <c r="AW7" t="str">
        <f t="shared" si="20"/>
        <v/>
      </c>
      <c r="AX7" t="str">
        <f t="shared" si="21"/>
        <v/>
      </c>
      <c r="AY7" t="str">
        <f t="shared" si="22"/>
        <v/>
      </c>
      <c r="AZ7" t="str">
        <f t="shared" si="23"/>
        <v/>
      </c>
      <c r="BA7" t="str">
        <f t="shared" si="24"/>
        <v/>
      </c>
      <c r="BB7" t="str">
        <f t="shared" si="25"/>
        <v/>
      </c>
      <c r="BC7" t="str">
        <f t="shared" si="26"/>
        <v/>
      </c>
      <c r="BD7" t="str">
        <f t="shared" si="27"/>
        <v/>
      </c>
      <c r="BE7" t="str">
        <f t="shared" si="28"/>
        <v/>
      </c>
      <c r="BF7" t="str">
        <f t="shared" si="29"/>
        <v/>
      </c>
      <c r="BG7" t="str">
        <f t="shared" si="30"/>
        <v/>
      </c>
      <c r="BH7" t="str">
        <f t="shared" si="31"/>
        <v/>
      </c>
    </row>
    <row r="8" spans="1:66" x14ac:dyDescent="0.2">
      <c r="A8">
        <v>5</v>
      </c>
      <c r="B8">
        <v>48</v>
      </c>
      <c r="C8" t="s">
        <v>207</v>
      </c>
      <c r="K8">
        <v>3</v>
      </c>
      <c r="N8">
        <v>4</v>
      </c>
      <c r="O8">
        <v>4</v>
      </c>
      <c r="S8">
        <v>1</v>
      </c>
      <c r="T8">
        <v>1</v>
      </c>
      <c r="X8">
        <f t="shared" si="33"/>
        <v>0</v>
      </c>
      <c r="Z8" t="str">
        <f t="shared" si="0"/>
        <v/>
      </c>
      <c r="AA8" t="str">
        <f t="shared" si="1"/>
        <v/>
      </c>
      <c r="AB8" t="str">
        <f t="shared" si="2"/>
        <v/>
      </c>
      <c r="AC8" t="str">
        <f t="shared" si="3"/>
        <v/>
      </c>
      <c r="AE8" t="str">
        <f t="shared" si="4"/>
        <v/>
      </c>
      <c r="AF8" t="str">
        <f t="shared" si="5"/>
        <v/>
      </c>
      <c r="AG8" t="str">
        <f t="shared" si="6"/>
        <v/>
      </c>
      <c r="AH8" t="str">
        <f t="shared" si="7"/>
        <v/>
      </c>
      <c r="AI8" t="str">
        <f t="shared" si="8"/>
        <v/>
      </c>
      <c r="AK8" t="str">
        <f t="shared" si="9"/>
        <v/>
      </c>
      <c r="AL8" t="str">
        <f t="shared" si="32"/>
        <v/>
      </c>
      <c r="AM8" t="str">
        <f t="shared" si="10"/>
        <v/>
      </c>
      <c r="AN8" t="str">
        <f t="shared" si="11"/>
        <v/>
      </c>
      <c r="AO8" t="str">
        <f t="shared" si="12"/>
        <v/>
      </c>
      <c r="AP8" t="str">
        <f t="shared" si="13"/>
        <v/>
      </c>
      <c r="AQ8" t="str">
        <f t="shared" si="14"/>
        <v/>
      </c>
      <c r="AR8" t="str">
        <f t="shared" si="15"/>
        <v/>
      </c>
      <c r="AS8" t="str">
        <f t="shared" si="16"/>
        <v/>
      </c>
      <c r="AT8" t="str">
        <f t="shared" si="17"/>
        <v/>
      </c>
      <c r="AU8" t="str">
        <f t="shared" si="18"/>
        <v/>
      </c>
      <c r="AV8" t="str">
        <f t="shared" si="19"/>
        <v/>
      </c>
      <c r="AW8" t="str">
        <f t="shared" si="20"/>
        <v/>
      </c>
      <c r="AX8" t="str">
        <f t="shared" si="21"/>
        <v/>
      </c>
      <c r="AY8" t="str">
        <f t="shared" si="22"/>
        <v/>
      </c>
      <c r="AZ8" t="str">
        <f t="shared" si="23"/>
        <v/>
      </c>
      <c r="BA8" t="str">
        <f t="shared" si="24"/>
        <v/>
      </c>
      <c r="BB8" t="str">
        <f t="shared" si="25"/>
        <v/>
      </c>
      <c r="BC8" t="str">
        <f t="shared" si="26"/>
        <v/>
      </c>
      <c r="BD8" t="str">
        <f t="shared" si="27"/>
        <v/>
      </c>
      <c r="BE8" t="str">
        <f t="shared" si="28"/>
        <v/>
      </c>
      <c r="BF8" t="str">
        <f t="shared" si="29"/>
        <v/>
      </c>
      <c r="BG8" t="str">
        <f t="shared" si="30"/>
        <v/>
      </c>
      <c r="BH8" t="str">
        <f t="shared" si="31"/>
        <v/>
      </c>
    </row>
    <row r="9" spans="1:66" x14ac:dyDescent="0.2">
      <c r="A9" s="12">
        <v>6</v>
      </c>
      <c r="B9" s="12">
        <v>55</v>
      </c>
      <c r="C9" s="12" t="s">
        <v>39</v>
      </c>
      <c r="D9" s="12">
        <v>1</v>
      </c>
      <c r="E9" s="12"/>
      <c r="F9" s="12">
        <v>1</v>
      </c>
      <c r="G9" s="12"/>
      <c r="H9" s="12"/>
      <c r="I9" s="12"/>
      <c r="J9" s="12"/>
      <c r="K9" s="12">
        <v>4</v>
      </c>
      <c r="L9" s="12"/>
      <c r="M9" s="12"/>
      <c r="N9" s="12">
        <v>4</v>
      </c>
      <c r="O9" s="12">
        <v>4</v>
      </c>
      <c r="P9" s="12"/>
      <c r="Q9" s="12"/>
      <c r="R9" s="12"/>
      <c r="S9" s="12">
        <v>1</v>
      </c>
      <c r="T9" s="12">
        <v>1</v>
      </c>
      <c r="U9" s="12"/>
      <c r="X9">
        <f t="shared" si="33"/>
        <v>0</v>
      </c>
      <c r="Z9" t="str">
        <f t="shared" si="0"/>
        <v/>
      </c>
      <c r="AA9" t="str">
        <f t="shared" si="1"/>
        <v/>
      </c>
      <c r="AB9" t="str">
        <f t="shared" si="2"/>
        <v/>
      </c>
      <c r="AC9" t="str">
        <f t="shared" si="3"/>
        <v/>
      </c>
      <c r="AE9" t="str">
        <f t="shared" si="4"/>
        <v/>
      </c>
      <c r="AF9" t="str">
        <f t="shared" si="5"/>
        <v/>
      </c>
      <c r="AG9" t="str">
        <f t="shared" si="6"/>
        <v/>
      </c>
      <c r="AH9" t="str">
        <f t="shared" si="7"/>
        <v/>
      </c>
      <c r="AI9" t="str">
        <f t="shared" si="8"/>
        <v/>
      </c>
      <c r="AK9" t="str">
        <f t="shared" si="9"/>
        <v/>
      </c>
      <c r="AL9" t="str">
        <f t="shared" si="32"/>
        <v/>
      </c>
      <c r="AM9" t="str">
        <f t="shared" si="10"/>
        <v/>
      </c>
      <c r="AN9" t="str">
        <f t="shared" si="11"/>
        <v/>
      </c>
      <c r="AO9" t="str">
        <f t="shared" si="12"/>
        <v/>
      </c>
      <c r="AP9" t="str">
        <f t="shared" si="13"/>
        <v/>
      </c>
      <c r="AQ9" t="str">
        <f t="shared" si="14"/>
        <v/>
      </c>
      <c r="AR9" t="str">
        <f t="shared" si="15"/>
        <v/>
      </c>
      <c r="AS9" t="str">
        <f t="shared" si="16"/>
        <v/>
      </c>
      <c r="AT9" t="str">
        <f t="shared" si="17"/>
        <v/>
      </c>
      <c r="AU9" t="str">
        <f t="shared" si="18"/>
        <v/>
      </c>
      <c r="AV9" t="str">
        <f t="shared" si="19"/>
        <v/>
      </c>
      <c r="AW9" t="str">
        <f t="shared" si="20"/>
        <v/>
      </c>
      <c r="AX9" t="str">
        <f t="shared" si="21"/>
        <v/>
      </c>
      <c r="AY9" t="str">
        <f t="shared" si="22"/>
        <v/>
      </c>
      <c r="AZ9" t="str">
        <f t="shared" si="23"/>
        <v/>
      </c>
      <c r="BA9" t="str">
        <f t="shared" si="24"/>
        <v/>
      </c>
      <c r="BB9" t="str">
        <f t="shared" si="25"/>
        <v/>
      </c>
      <c r="BC9" t="str">
        <f t="shared" si="26"/>
        <v/>
      </c>
      <c r="BD9" t="str">
        <f t="shared" si="27"/>
        <v/>
      </c>
      <c r="BE9" t="str">
        <f t="shared" si="28"/>
        <v/>
      </c>
      <c r="BF9" t="str">
        <f t="shared" si="29"/>
        <v/>
      </c>
      <c r="BG9" t="str">
        <f t="shared" si="30"/>
        <v/>
      </c>
      <c r="BH9" t="str">
        <f t="shared" si="31"/>
        <v/>
      </c>
    </row>
    <row r="10" spans="1:66" x14ac:dyDescent="0.2">
      <c r="A10">
        <v>7</v>
      </c>
      <c r="B10">
        <v>65</v>
      </c>
      <c r="C10" t="s">
        <v>207</v>
      </c>
      <c r="D10">
        <v>1</v>
      </c>
      <c r="K10">
        <v>5</v>
      </c>
      <c r="N10">
        <v>4</v>
      </c>
      <c r="O10">
        <v>4</v>
      </c>
      <c r="S10">
        <v>1</v>
      </c>
      <c r="T10">
        <v>1</v>
      </c>
      <c r="X10">
        <f t="shared" si="33"/>
        <v>0</v>
      </c>
      <c r="Z10" t="str">
        <f t="shared" si="0"/>
        <v/>
      </c>
      <c r="AA10" t="str">
        <f t="shared" si="1"/>
        <v/>
      </c>
      <c r="AB10" t="str">
        <f t="shared" si="2"/>
        <v/>
      </c>
      <c r="AC10" t="str">
        <f t="shared" si="3"/>
        <v/>
      </c>
      <c r="AE10" t="str">
        <f t="shared" si="4"/>
        <v/>
      </c>
      <c r="AF10" t="str">
        <f t="shared" si="5"/>
        <v/>
      </c>
      <c r="AG10" t="str">
        <f t="shared" si="6"/>
        <v/>
      </c>
      <c r="AH10" t="str">
        <f t="shared" si="7"/>
        <v/>
      </c>
      <c r="AI10" t="str">
        <f t="shared" si="8"/>
        <v/>
      </c>
      <c r="AK10" t="str">
        <f t="shared" si="9"/>
        <v/>
      </c>
      <c r="AL10" t="str">
        <f t="shared" si="32"/>
        <v/>
      </c>
      <c r="AM10" t="str">
        <f t="shared" si="10"/>
        <v/>
      </c>
      <c r="AN10" t="str">
        <f t="shared" si="11"/>
        <v/>
      </c>
      <c r="AO10" t="str">
        <f t="shared" si="12"/>
        <v/>
      </c>
      <c r="AP10" t="str">
        <f t="shared" si="13"/>
        <v/>
      </c>
      <c r="AQ10" t="str">
        <f t="shared" si="14"/>
        <v/>
      </c>
      <c r="AR10" t="str">
        <f t="shared" si="15"/>
        <v/>
      </c>
      <c r="AS10" t="str">
        <f t="shared" si="16"/>
        <v/>
      </c>
      <c r="AT10" t="str">
        <f t="shared" si="17"/>
        <v/>
      </c>
      <c r="AU10" t="str">
        <f t="shared" si="18"/>
        <v/>
      </c>
      <c r="AV10" t="str">
        <f t="shared" si="19"/>
        <v/>
      </c>
      <c r="AW10" t="str">
        <f t="shared" si="20"/>
        <v/>
      </c>
      <c r="AX10" t="str">
        <f t="shared" si="21"/>
        <v/>
      </c>
      <c r="AY10" t="str">
        <f t="shared" si="22"/>
        <v/>
      </c>
      <c r="AZ10" t="str">
        <f t="shared" si="23"/>
        <v/>
      </c>
      <c r="BA10" t="str">
        <f t="shared" si="24"/>
        <v/>
      </c>
      <c r="BB10" t="str">
        <f t="shared" si="25"/>
        <v/>
      </c>
      <c r="BC10" t="str">
        <f t="shared" si="26"/>
        <v/>
      </c>
      <c r="BD10" t="str">
        <f t="shared" si="27"/>
        <v/>
      </c>
      <c r="BE10" t="str">
        <f t="shared" si="28"/>
        <v/>
      </c>
      <c r="BF10" t="str">
        <f t="shared" si="29"/>
        <v/>
      </c>
      <c r="BG10" t="str">
        <f t="shared" si="30"/>
        <v/>
      </c>
      <c r="BH10" t="str">
        <f t="shared" si="31"/>
        <v/>
      </c>
    </row>
    <row r="11" spans="1:66" x14ac:dyDescent="0.2">
      <c r="A11">
        <v>8</v>
      </c>
      <c r="B11">
        <v>80</v>
      </c>
      <c r="C11" t="s">
        <v>39</v>
      </c>
      <c r="D11">
        <v>1</v>
      </c>
      <c r="E11">
        <v>1</v>
      </c>
      <c r="F11">
        <v>1</v>
      </c>
      <c r="K11">
        <v>4</v>
      </c>
      <c r="N11">
        <v>4</v>
      </c>
      <c r="O11">
        <v>4</v>
      </c>
      <c r="S11">
        <v>1</v>
      </c>
      <c r="T11">
        <v>1</v>
      </c>
      <c r="X11">
        <f t="shared" si="33"/>
        <v>0</v>
      </c>
      <c r="Z11" t="str">
        <f t="shared" si="0"/>
        <v/>
      </c>
      <c r="AA11" t="str">
        <f t="shared" si="1"/>
        <v/>
      </c>
      <c r="AB11" t="str">
        <f t="shared" si="2"/>
        <v/>
      </c>
      <c r="AC11" t="str">
        <f t="shared" si="3"/>
        <v/>
      </c>
      <c r="AE11" t="str">
        <f t="shared" si="4"/>
        <v/>
      </c>
      <c r="AF11" t="str">
        <f t="shared" si="5"/>
        <v/>
      </c>
      <c r="AG11" t="str">
        <f t="shared" si="6"/>
        <v/>
      </c>
      <c r="AH11" t="str">
        <f t="shared" si="7"/>
        <v/>
      </c>
      <c r="AI11" t="str">
        <f t="shared" si="8"/>
        <v/>
      </c>
      <c r="AK11" t="str">
        <f t="shared" si="9"/>
        <v/>
      </c>
      <c r="AL11" t="str">
        <f t="shared" si="32"/>
        <v/>
      </c>
      <c r="AM11" t="str">
        <f t="shared" si="10"/>
        <v/>
      </c>
      <c r="AN11" t="str">
        <f t="shared" si="11"/>
        <v/>
      </c>
      <c r="AO11" t="str">
        <f t="shared" si="12"/>
        <v/>
      </c>
      <c r="AP11" t="str">
        <f t="shared" si="13"/>
        <v/>
      </c>
      <c r="AQ11" t="str">
        <f t="shared" si="14"/>
        <v/>
      </c>
      <c r="AR11" t="str">
        <f t="shared" si="15"/>
        <v/>
      </c>
      <c r="AS11" t="str">
        <f t="shared" si="16"/>
        <v/>
      </c>
      <c r="AT11" t="str">
        <f t="shared" si="17"/>
        <v/>
      </c>
      <c r="AU11" t="str">
        <f t="shared" si="18"/>
        <v/>
      </c>
      <c r="AV11" t="str">
        <f t="shared" si="19"/>
        <v/>
      </c>
      <c r="AW11" t="str">
        <f t="shared" si="20"/>
        <v/>
      </c>
      <c r="AX11" t="str">
        <f t="shared" si="21"/>
        <v/>
      </c>
      <c r="AY11" t="str">
        <f t="shared" si="22"/>
        <v/>
      </c>
      <c r="AZ11" t="str">
        <f t="shared" si="23"/>
        <v/>
      </c>
      <c r="BA11" t="str">
        <f t="shared" si="24"/>
        <v/>
      </c>
      <c r="BB11" t="str">
        <f t="shared" si="25"/>
        <v/>
      </c>
      <c r="BC11" t="str">
        <f t="shared" si="26"/>
        <v/>
      </c>
      <c r="BD11" t="str">
        <f t="shared" si="27"/>
        <v/>
      </c>
      <c r="BE11" t="str">
        <f t="shared" si="28"/>
        <v/>
      </c>
      <c r="BF11" t="str">
        <f t="shared" si="29"/>
        <v/>
      </c>
      <c r="BG11" t="str">
        <f t="shared" si="30"/>
        <v/>
      </c>
      <c r="BH11" t="str">
        <f t="shared" si="31"/>
        <v/>
      </c>
    </row>
    <row r="12" spans="1:66" x14ac:dyDescent="0.2">
      <c r="A12">
        <v>9</v>
      </c>
      <c r="B12">
        <v>93</v>
      </c>
      <c r="C12" t="s">
        <v>207</v>
      </c>
      <c r="D12">
        <v>1</v>
      </c>
      <c r="E12">
        <v>1</v>
      </c>
      <c r="F12">
        <v>1</v>
      </c>
      <c r="K12">
        <v>4</v>
      </c>
      <c r="L12">
        <v>2</v>
      </c>
      <c r="N12">
        <v>4</v>
      </c>
      <c r="O12">
        <v>4</v>
      </c>
      <c r="S12">
        <v>1</v>
      </c>
      <c r="T12">
        <v>1</v>
      </c>
      <c r="U12">
        <v>11</v>
      </c>
      <c r="X12">
        <f t="shared" si="33"/>
        <v>0</v>
      </c>
      <c r="Z12" t="str">
        <f t="shared" si="0"/>
        <v/>
      </c>
      <c r="AA12" t="str">
        <f t="shared" si="1"/>
        <v/>
      </c>
      <c r="AB12" t="str">
        <f t="shared" si="2"/>
        <v/>
      </c>
      <c r="AC12" t="str">
        <f t="shared" si="3"/>
        <v/>
      </c>
      <c r="AE12" t="str">
        <f t="shared" si="4"/>
        <v/>
      </c>
      <c r="AF12" t="str">
        <f t="shared" si="5"/>
        <v/>
      </c>
      <c r="AG12" t="str">
        <f t="shared" si="6"/>
        <v/>
      </c>
      <c r="AH12" t="str">
        <f t="shared" si="7"/>
        <v/>
      </c>
      <c r="AI12" t="str">
        <f t="shared" si="8"/>
        <v/>
      </c>
      <c r="AK12" t="str">
        <f t="shared" si="9"/>
        <v/>
      </c>
      <c r="AL12" t="str">
        <f t="shared" si="32"/>
        <v/>
      </c>
      <c r="AM12" t="str">
        <f t="shared" si="10"/>
        <v/>
      </c>
      <c r="AN12" t="str">
        <f t="shared" si="11"/>
        <v/>
      </c>
      <c r="AO12" t="str">
        <f t="shared" si="12"/>
        <v/>
      </c>
      <c r="AP12" t="str">
        <f t="shared" si="13"/>
        <v/>
      </c>
      <c r="AQ12" t="str">
        <f t="shared" si="14"/>
        <v/>
      </c>
      <c r="AR12" t="str">
        <f t="shared" si="15"/>
        <v/>
      </c>
      <c r="AS12" t="str">
        <f t="shared" si="16"/>
        <v/>
      </c>
      <c r="AT12" t="str">
        <f t="shared" si="17"/>
        <v/>
      </c>
      <c r="AU12" t="str">
        <f t="shared" si="18"/>
        <v/>
      </c>
      <c r="AV12" t="str">
        <f t="shared" si="19"/>
        <v/>
      </c>
      <c r="AW12" t="str">
        <f t="shared" si="20"/>
        <v/>
      </c>
      <c r="AX12" t="str">
        <f t="shared" si="21"/>
        <v/>
      </c>
      <c r="AY12" t="str">
        <f t="shared" si="22"/>
        <v/>
      </c>
      <c r="AZ12" t="str">
        <f t="shared" si="23"/>
        <v/>
      </c>
      <c r="BA12" t="str">
        <f t="shared" si="24"/>
        <v/>
      </c>
      <c r="BB12" t="str">
        <f t="shared" si="25"/>
        <v/>
      </c>
      <c r="BC12" t="str">
        <f t="shared" si="26"/>
        <v/>
      </c>
      <c r="BD12" t="str">
        <f t="shared" si="27"/>
        <v/>
      </c>
      <c r="BE12" t="str">
        <f t="shared" si="28"/>
        <v/>
      </c>
      <c r="BF12" t="str">
        <f t="shared" si="29"/>
        <v/>
      </c>
      <c r="BG12" t="str">
        <f t="shared" si="30"/>
        <v/>
      </c>
      <c r="BH12" t="str">
        <f t="shared" si="31"/>
        <v/>
      </c>
    </row>
    <row r="13" spans="1:66" x14ac:dyDescent="0.2">
      <c r="A13">
        <v>10</v>
      </c>
      <c r="B13">
        <v>104</v>
      </c>
      <c r="C13" t="s">
        <v>207</v>
      </c>
      <c r="D13">
        <v>1</v>
      </c>
      <c r="E13">
        <v>1</v>
      </c>
      <c r="F13">
        <v>1</v>
      </c>
      <c r="K13">
        <v>5</v>
      </c>
      <c r="L13">
        <v>1</v>
      </c>
      <c r="N13">
        <v>4</v>
      </c>
      <c r="O13">
        <v>4</v>
      </c>
      <c r="S13">
        <v>1</v>
      </c>
      <c r="T13">
        <v>1</v>
      </c>
      <c r="U13">
        <v>6</v>
      </c>
      <c r="X13">
        <f t="shared" si="33"/>
        <v>0</v>
      </c>
      <c r="Z13" t="str">
        <f t="shared" si="0"/>
        <v/>
      </c>
      <c r="AA13" t="str">
        <f t="shared" si="1"/>
        <v/>
      </c>
      <c r="AB13" t="str">
        <f t="shared" si="2"/>
        <v/>
      </c>
      <c r="AC13" t="str">
        <f t="shared" si="3"/>
        <v/>
      </c>
      <c r="AE13" t="str">
        <f t="shared" si="4"/>
        <v/>
      </c>
      <c r="AF13" t="str">
        <f t="shared" si="5"/>
        <v/>
      </c>
      <c r="AG13" t="str">
        <f t="shared" si="6"/>
        <v/>
      </c>
      <c r="AH13" t="str">
        <f t="shared" si="7"/>
        <v/>
      </c>
      <c r="AI13" t="str">
        <f t="shared" si="8"/>
        <v/>
      </c>
      <c r="AK13" t="str">
        <f t="shared" si="9"/>
        <v/>
      </c>
      <c r="AL13" t="str">
        <f t="shared" si="32"/>
        <v/>
      </c>
      <c r="AM13" t="str">
        <f t="shared" si="10"/>
        <v/>
      </c>
      <c r="AN13" t="str">
        <f t="shared" si="11"/>
        <v/>
      </c>
      <c r="AO13" t="str">
        <f t="shared" si="12"/>
        <v/>
      </c>
      <c r="AP13" t="str">
        <f t="shared" si="13"/>
        <v/>
      </c>
      <c r="AQ13" t="str">
        <f t="shared" si="14"/>
        <v/>
      </c>
      <c r="AR13" t="str">
        <f t="shared" si="15"/>
        <v/>
      </c>
      <c r="AS13" t="str">
        <f t="shared" si="16"/>
        <v/>
      </c>
      <c r="AT13" t="str">
        <f t="shared" si="17"/>
        <v/>
      </c>
      <c r="AU13" t="str">
        <f t="shared" si="18"/>
        <v/>
      </c>
      <c r="AV13" t="str">
        <f t="shared" si="19"/>
        <v/>
      </c>
      <c r="AW13" t="str">
        <f t="shared" si="20"/>
        <v/>
      </c>
      <c r="AX13" t="str">
        <f t="shared" si="21"/>
        <v/>
      </c>
      <c r="AY13" t="str">
        <f t="shared" si="22"/>
        <v/>
      </c>
      <c r="AZ13" t="str">
        <f t="shared" si="23"/>
        <v/>
      </c>
      <c r="BA13" t="str">
        <f t="shared" si="24"/>
        <v/>
      </c>
      <c r="BB13" t="str">
        <f t="shared" si="25"/>
        <v/>
      </c>
      <c r="BC13" t="str">
        <f t="shared" si="26"/>
        <v/>
      </c>
      <c r="BD13" t="str">
        <f t="shared" si="27"/>
        <v/>
      </c>
      <c r="BE13" t="str">
        <f t="shared" si="28"/>
        <v/>
      </c>
      <c r="BF13" t="str">
        <f t="shared" si="29"/>
        <v/>
      </c>
      <c r="BG13" t="str">
        <f t="shared" si="30"/>
        <v/>
      </c>
      <c r="BH13" t="str">
        <f t="shared" si="31"/>
        <v/>
      </c>
    </row>
    <row r="14" spans="1:66" x14ac:dyDescent="0.2">
      <c r="A14">
        <v>11</v>
      </c>
      <c r="B14">
        <v>120</v>
      </c>
      <c r="C14" t="s">
        <v>207</v>
      </c>
      <c r="D14">
        <v>1</v>
      </c>
      <c r="E14">
        <v>1</v>
      </c>
      <c r="F14">
        <v>1</v>
      </c>
      <c r="K14">
        <v>3</v>
      </c>
      <c r="L14">
        <v>1</v>
      </c>
      <c r="N14">
        <v>3</v>
      </c>
      <c r="O14">
        <v>3</v>
      </c>
      <c r="S14">
        <v>1</v>
      </c>
      <c r="T14">
        <v>1</v>
      </c>
      <c r="U14">
        <v>4</v>
      </c>
      <c r="X14">
        <f t="shared" si="33"/>
        <v>0</v>
      </c>
      <c r="Z14" t="s">
        <v>31</v>
      </c>
      <c r="AE14" t="s">
        <v>34</v>
      </c>
      <c r="AK14" t="s">
        <v>43</v>
      </c>
      <c r="AP14" t="s">
        <v>84</v>
      </c>
    </row>
    <row r="15" spans="1:66" x14ac:dyDescent="0.2">
      <c r="A15">
        <v>12</v>
      </c>
      <c r="X15">
        <f t="shared" si="33"/>
        <v>0</v>
      </c>
      <c r="Z15" t="s">
        <v>21</v>
      </c>
      <c r="AA15" t="s">
        <v>22</v>
      </c>
      <c r="AE15" t="s">
        <v>21</v>
      </c>
      <c r="AF15" t="s">
        <v>22</v>
      </c>
      <c r="AG15" t="s">
        <v>35</v>
      </c>
      <c r="AK15" t="s">
        <v>10</v>
      </c>
      <c r="AL15" t="s">
        <v>25</v>
      </c>
      <c r="AM15" t="s">
        <v>26</v>
      </c>
      <c r="AN15" t="s">
        <v>27</v>
      </c>
      <c r="AP15" t="s">
        <v>15</v>
      </c>
      <c r="AQ15" t="s">
        <v>85</v>
      </c>
    </row>
    <row r="16" spans="1:66" x14ac:dyDescent="0.2">
      <c r="A16" t="s">
        <v>28</v>
      </c>
      <c r="D16">
        <f>SUM(D4:D15)</f>
        <v>10</v>
      </c>
      <c r="E16">
        <f>SUM(E4:E15)</f>
        <v>7</v>
      </c>
      <c r="F16">
        <f>SUM(F4:F15)</f>
        <v>9</v>
      </c>
      <c r="G16">
        <f>SUM(G4:G15)</f>
        <v>0</v>
      </c>
      <c r="H16">
        <f>SUM(H4:H15)</f>
        <v>0</v>
      </c>
      <c r="K16">
        <f>SUM(K4:K15)</f>
        <v>40</v>
      </c>
      <c r="L16">
        <f>SUM(L4:L15)</f>
        <v>4</v>
      </c>
      <c r="M16">
        <f>SUM(M4:M15)</f>
        <v>0</v>
      </c>
      <c r="N16">
        <f>SUM(N4:N15)</f>
        <v>39</v>
      </c>
      <c r="O16">
        <f>SUM(O4:O15)</f>
        <v>37</v>
      </c>
      <c r="Q16">
        <f t="shared" ref="Q16:R16" si="34">SUM(Q4:Q15)</f>
        <v>0</v>
      </c>
      <c r="R16">
        <f t="shared" si="34"/>
        <v>0</v>
      </c>
      <c r="S16">
        <f>SUM(S4:S15)</f>
        <v>10</v>
      </c>
      <c r="T16">
        <f>SUM(T4:T15)</f>
        <v>10</v>
      </c>
      <c r="U16">
        <f>SUM(U4:U15)</f>
        <v>23</v>
      </c>
      <c r="V16">
        <f>SUM(V4:V15)</f>
        <v>0</v>
      </c>
      <c r="W16">
        <f>SUM(W4:W15)</f>
        <v>0</v>
      </c>
      <c r="Z16">
        <f t="shared" ref="Z16:Z27" si="35">COUNTIF(Z2:AC2, "3")*COUNTIF(C4, "r")+COUNTIF(Z2:AC2, "5")*COUNTIF(C4, "b")</f>
        <v>0</v>
      </c>
      <c r="AA16">
        <f t="shared" ref="AA16:AA27" si="36">COUNTIF(Z2:AC2, "1")+COUNTIF(Z2:AC2, "2")+COUNTIF(Z2:AC2, "4")</f>
        <v>0</v>
      </c>
      <c r="AE16">
        <f t="shared" ref="AE16:AE27" si="37">COUNTIF(AE2:AI2, "3")*COUNTIF(C4, "r") + COUNTIF(AE2:AI2, "5")*COUNTIF(C4, "b")</f>
        <v>0</v>
      </c>
      <c r="AF16">
        <f t="shared" ref="AF16:AF27" si="38">COUNTIF(AE2:AI2, "1")+COUNTIF(AE2:AI2, "2")+COUNTIF(AE2:AI2, "4")</f>
        <v>0</v>
      </c>
      <c r="AG16">
        <f t="shared" ref="AG16:AG27" si="39">COUNTIF(AE2:AI2, "3")*COUNTIF(AE2:AI2, "b")+COUNTIF(AE2:AI2, "5")*COUNTIF(AE2:AI2, "r")</f>
        <v>0</v>
      </c>
      <c r="AK16">
        <f t="shared" ref="AK16:AK27" si="40">SUMPRODUCT(LEN($AK2:$BH2) - LEN(SUBSTITUTE($AK2:$BH2, "g", "")))</f>
        <v>0</v>
      </c>
      <c r="AL16">
        <f t="shared" ref="AL16:AL27" si="41">SUMPRODUCT(LEN($AK2:$BH2) - LEN(SUBSTITUTE($AK2:$BH2, "h", "")))</f>
        <v>0</v>
      </c>
      <c r="AM16">
        <f t="shared" ref="AM16:AM27" si="42">SUMPRODUCT(LEN($AK2:$BH2) - LEN(SUBSTITUTE($AK2:$BH2, "v", "")))</f>
        <v>0</v>
      </c>
      <c r="AN16">
        <f t="shared" ref="AN16:AN27" si="43">SUMPRODUCT(LEN($AK2:$BH2) - LEN(SUBSTITUTE($AK2:$BH2, "r", "")))</f>
        <v>0</v>
      </c>
      <c r="AP16">
        <f>MAX(AQ16:BN16)</f>
        <v>0</v>
      </c>
      <c r="AQ16" s="4">
        <f>_xlfn.NUMBERVALUE(RIGHT(AK2,1))</f>
        <v>0</v>
      </c>
      <c r="AR16" s="4">
        <f t="shared" ref="AR16:BG27" si="44">_xlfn.NUMBERVALUE(RIGHT(AL2,1))</f>
        <v>0</v>
      </c>
      <c r="AS16" s="4">
        <f t="shared" si="44"/>
        <v>0</v>
      </c>
      <c r="AT16" s="4">
        <f t="shared" si="44"/>
        <v>0</v>
      </c>
      <c r="AU16" s="4">
        <f t="shared" si="44"/>
        <v>0</v>
      </c>
      <c r="AV16" s="4">
        <f t="shared" si="44"/>
        <v>0</v>
      </c>
      <c r="AW16" s="4">
        <f t="shared" si="44"/>
        <v>0</v>
      </c>
      <c r="AX16" s="4">
        <f t="shared" si="44"/>
        <v>0</v>
      </c>
      <c r="AY16" s="4">
        <f t="shared" si="44"/>
        <v>0</v>
      </c>
      <c r="AZ16" s="4">
        <f t="shared" si="44"/>
        <v>0</v>
      </c>
      <c r="BA16" s="4">
        <f t="shared" si="44"/>
        <v>0</v>
      </c>
      <c r="BB16" s="4">
        <f t="shared" si="44"/>
        <v>0</v>
      </c>
      <c r="BC16" s="4">
        <f t="shared" si="44"/>
        <v>0</v>
      </c>
      <c r="BD16" s="4">
        <f t="shared" si="44"/>
        <v>0</v>
      </c>
      <c r="BE16" s="4">
        <f t="shared" si="44"/>
        <v>0</v>
      </c>
      <c r="BF16" s="4">
        <f t="shared" si="44"/>
        <v>0</v>
      </c>
      <c r="BG16" s="4">
        <f t="shared" si="44"/>
        <v>0</v>
      </c>
      <c r="BH16" s="4">
        <f t="shared" ref="BH16:BN27" si="45">_xlfn.NUMBERVALUE(RIGHT(BB2,1))</f>
        <v>0</v>
      </c>
      <c r="BI16" s="4">
        <f t="shared" si="45"/>
        <v>0</v>
      </c>
      <c r="BJ16" s="4">
        <f t="shared" si="45"/>
        <v>0</v>
      </c>
      <c r="BK16" s="4">
        <f t="shared" si="45"/>
        <v>0</v>
      </c>
      <c r="BL16" s="4">
        <f t="shared" si="45"/>
        <v>0</v>
      </c>
      <c r="BM16" s="4">
        <f t="shared" si="45"/>
        <v>0</v>
      </c>
      <c r="BN16" s="4">
        <f t="shared" si="45"/>
        <v>0</v>
      </c>
    </row>
    <row r="17" spans="1:66" x14ac:dyDescent="0.2">
      <c r="A17" s="1" t="s">
        <v>20</v>
      </c>
      <c r="D17" s="1" t="s">
        <v>49</v>
      </c>
      <c r="G17" s="1" t="s">
        <v>52</v>
      </c>
      <c r="K17" s="3" t="s">
        <v>74</v>
      </c>
      <c r="P17" s="1" t="s">
        <v>66</v>
      </c>
      <c r="Z17">
        <f t="shared" si="35"/>
        <v>0</v>
      </c>
      <c r="AA17">
        <f t="shared" si="36"/>
        <v>0</v>
      </c>
      <c r="AE17">
        <f t="shared" si="37"/>
        <v>0</v>
      </c>
      <c r="AF17">
        <f t="shared" si="38"/>
        <v>0</v>
      </c>
      <c r="AG17">
        <f t="shared" si="39"/>
        <v>0</v>
      </c>
      <c r="AK17">
        <f t="shared" si="40"/>
        <v>0</v>
      </c>
      <c r="AL17">
        <f t="shared" si="41"/>
        <v>0</v>
      </c>
      <c r="AM17">
        <f t="shared" si="42"/>
        <v>0</v>
      </c>
      <c r="AN17">
        <f t="shared" si="43"/>
        <v>0</v>
      </c>
      <c r="AP17">
        <f t="shared" ref="AP17:AP27" si="46">MAX(AQ17:BN17)</f>
        <v>0</v>
      </c>
      <c r="AQ17" s="4">
        <f t="shared" ref="AQ17:AQ27" si="47">_xlfn.NUMBERVALUE(RIGHT(AK3,1))</f>
        <v>0</v>
      </c>
      <c r="AR17" s="4">
        <f t="shared" si="44"/>
        <v>0</v>
      </c>
      <c r="AS17" s="4">
        <f t="shared" si="44"/>
        <v>0</v>
      </c>
      <c r="AT17" s="4">
        <f t="shared" si="44"/>
        <v>0</v>
      </c>
      <c r="AU17" s="4">
        <f t="shared" si="44"/>
        <v>0</v>
      </c>
      <c r="AV17" s="4">
        <f t="shared" si="44"/>
        <v>0</v>
      </c>
      <c r="AW17" s="4">
        <f t="shared" si="44"/>
        <v>0</v>
      </c>
      <c r="AX17" s="4">
        <f t="shared" si="44"/>
        <v>0</v>
      </c>
      <c r="AY17" s="4">
        <f t="shared" si="44"/>
        <v>0</v>
      </c>
      <c r="AZ17" s="4">
        <f t="shared" si="44"/>
        <v>0</v>
      </c>
      <c r="BA17" s="4">
        <f t="shared" si="44"/>
        <v>0</v>
      </c>
      <c r="BB17" s="4">
        <f t="shared" si="44"/>
        <v>0</v>
      </c>
      <c r="BC17" s="4">
        <f t="shared" si="44"/>
        <v>0</v>
      </c>
      <c r="BD17" s="4">
        <f t="shared" si="44"/>
        <v>0</v>
      </c>
      <c r="BE17" s="4">
        <f t="shared" si="44"/>
        <v>0</v>
      </c>
      <c r="BF17" s="4">
        <f t="shared" si="44"/>
        <v>0</v>
      </c>
      <c r="BG17" s="4">
        <f t="shared" si="44"/>
        <v>0</v>
      </c>
      <c r="BH17" s="4">
        <f t="shared" si="45"/>
        <v>0</v>
      </c>
      <c r="BI17" s="4">
        <f t="shared" si="45"/>
        <v>0</v>
      </c>
      <c r="BJ17" s="4">
        <f t="shared" si="45"/>
        <v>0</v>
      </c>
      <c r="BK17" s="4">
        <f t="shared" si="45"/>
        <v>0</v>
      </c>
      <c r="BL17" s="4">
        <f t="shared" si="45"/>
        <v>0</v>
      </c>
      <c r="BM17" s="4">
        <f t="shared" si="45"/>
        <v>0</v>
      </c>
      <c r="BN17" s="4">
        <f t="shared" si="45"/>
        <v>0</v>
      </c>
    </row>
    <row r="18" spans="1:66" x14ac:dyDescent="0.2">
      <c r="A18" t="s">
        <v>32</v>
      </c>
      <c r="B18" t="s">
        <v>21</v>
      </c>
      <c r="D18" t="s">
        <v>180</v>
      </c>
      <c r="G18" s="3" t="s">
        <v>53</v>
      </c>
      <c r="K18" t="s">
        <v>55</v>
      </c>
      <c r="M18" t="s">
        <v>65</v>
      </c>
      <c r="P18" t="s">
        <v>67</v>
      </c>
      <c r="Z18">
        <f t="shared" si="35"/>
        <v>0</v>
      </c>
      <c r="AA18">
        <f t="shared" si="36"/>
        <v>0</v>
      </c>
      <c r="AE18">
        <f t="shared" si="37"/>
        <v>0</v>
      </c>
      <c r="AF18">
        <f t="shared" si="38"/>
        <v>0</v>
      </c>
      <c r="AG18">
        <f t="shared" si="39"/>
        <v>0</v>
      </c>
      <c r="AK18">
        <f t="shared" si="40"/>
        <v>0</v>
      </c>
      <c r="AL18">
        <f t="shared" si="41"/>
        <v>0</v>
      </c>
      <c r="AM18">
        <f t="shared" si="42"/>
        <v>0</v>
      </c>
      <c r="AN18">
        <f t="shared" si="43"/>
        <v>0</v>
      </c>
      <c r="AP18">
        <f t="shared" si="46"/>
        <v>0</v>
      </c>
      <c r="AQ18" s="4">
        <f t="shared" si="47"/>
        <v>0</v>
      </c>
      <c r="AR18" s="4">
        <f t="shared" si="44"/>
        <v>0</v>
      </c>
      <c r="AS18" s="4">
        <f t="shared" si="44"/>
        <v>0</v>
      </c>
      <c r="AT18" s="4">
        <f t="shared" si="44"/>
        <v>0</v>
      </c>
      <c r="AU18" s="4">
        <f t="shared" si="44"/>
        <v>0</v>
      </c>
      <c r="AV18" s="4">
        <f t="shared" si="44"/>
        <v>0</v>
      </c>
      <c r="AW18" s="4">
        <f t="shared" si="44"/>
        <v>0</v>
      </c>
      <c r="AX18" s="4">
        <f t="shared" si="44"/>
        <v>0</v>
      </c>
      <c r="AY18" s="4">
        <f t="shared" si="44"/>
        <v>0</v>
      </c>
      <c r="AZ18" s="4">
        <f t="shared" si="44"/>
        <v>0</v>
      </c>
      <c r="BA18" s="4">
        <f t="shared" si="44"/>
        <v>0</v>
      </c>
      <c r="BB18" s="4">
        <f t="shared" si="44"/>
        <v>0</v>
      </c>
      <c r="BC18" s="4">
        <f t="shared" si="44"/>
        <v>0</v>
      </c>
      <c r="BD18" s="4">
        <f t="shared" si="44"/>
        <v>0</v>
      </c>
      <c r="BE18" s="4">
        <f t="shared" si="44"/>
        <v>0</v>
      </c>
      <c r="BF18" s="4">
        <f t="shared" si="44"/>
        <v>0</v>
      </c>
      <c r="BG18" s="4">
        <f t="shared" si="44"/>
        <v>0</v>
      </c>
      <c r="BH18" s="4">
        <f t="shared" si="45"/>
        <v>0</v>
      </c>
      <c r="BI18" s="4">
        <f t="shared" si="45"/>
        <v>0</v>
      </c>
      <c r="BJ18" s="4">
        <f t="shared" si="45"/>
        <v>0</v>
      </c>
      <c r="BK18" s="4">
        <f t="shared" si="45"/>
        <v>0</v>
      </c>
      <c r="BL18" s="4">
        <f t="shared" si="45"/>
        <v>0</v>
      </c>
      <c r="BM18" s="4">
        <f t="shared" si="45"/>
        <v>0</v>
      </c>
      <c r="BN18" s="4">
        <f t="shared" si="45"/>
        <v>0</v>
      </c>
    </row>
    <row r="19" spans="1:66" x14ac:dyDescent="0.2">
      <c r="A19" t="s">
        <v>40</v>
      </c>
      <c r="B19" t="s">
        <v>22</v>
      </c>
      <c r="D19">
        <f>E16/D16</f>
        <v>0.7</v>
      </c>
      <c r="G19" t="s">
        <v>75</v>
      </c>
      <c r="K19">
        <f>O16/N16</f>
        <v>0.94871794871794868</v>
      </c>
      <c r="M19">
        <f>SUM(M39:M50)</f>
        <v>3</v>
      </c>
      <c r="P19">
        <f>T16/S16</f>
        <v>1</v>
      </c>
      <c r="Z19">
        <f t="shared" si="35"/>
        <v>0</v>
      </c>
      <c r="AA19">
        <f t="shared" si="36"/>
        <v>0</v>
      </c>
      <c r="AE19">
        <f t="shared" si="37"/>
        <v>0</v>
      </c>
      <c r="AF19">
        <f t="shared" si="38"/>
        <v>0</v>
      </c>
      <c r="AG19">
        <f t="shared" si="39"/>
        <v>0</v>
      </c>
      <c r="AK19">
        <f t="shared" si="40"/>
        <v>0</v>
      </c>
      <c r="AL19">
        <f t="shared" si="41"/>
        <v>0</v>
      </c>
      <c r="AM19">
        <f t="shared" si="42"/>
        <v>0</v>
      </c>
      <c r="AN19">
        <f t="shared" si="43"/>
        <v>0</v>
      </c>
      <c r="AP19">
        <f t="shared" si="46"/>
        <v>0</v>
      </c>
      <c r="AQ19" s="4">
        <f t="shared" si="47"/>
        <v>0</v>
      </c>
      <c r="AR19" s="4">
        <f t="shared" si="44"/>
        <v>0</v>
      </c>
      <c r="AS19" s="4">
        <f t="shared" si="44"/>
        <v>0</v>
      </c>
      <c r="AT19" s="4">
        <f t="shared" si="44"/>
        <v>0</v>
      </c>
      <c r="AU19" s="4">
        <f t="shared" si="44"/>
        <v>0</v>
      </c>
      <c r="AV19" s="4">
        <f t="shared" si="44"/>
        <v>0</v>
      </c>
      <c r="AW19" s="4">
        <f t="shared" si="44"/>
        <v>0</v>
      </c>
      <c r="AX19" s="4">
        <f t="shared" si="44"/>
        <v>0</v>
      </c>
      <c r="AY19" s="4">
        <f t="shared" si="44"/>
        <v>0</v>
      </c>
      <c r="AZ19" s="4">
        <f t="shared" si="44"/>
        <v>0</v>
      </c>
      <c r="BA19" s="4">
        <f t="shared" si="44"/>
        <v>0</v>
      </c>
      <c r="BB19" s="4">
        <f t="shared" si="44"/>
        <v>0</v>
      </c>
      <c r="BC19" s="4">
        <f t="shared" si="44"/>
        <v>0</v>
      </c>
      <c r="BD19" s="4">
        <f t="shared" si="44"/>
        <v>0</v>
      </c>
      <c r="BE19" s="4">
        <f t="shared" si="44"/>
        <v>0</v>
      </c>
      <c r="BF19" s="4">
        <f t="shared" si="44"/>
        <v>0</v>
      </c>
      <c r="BG19" s="4">
        <f t="shared" si="44"/>
        <v>0</v>
      </c>
      <c r="BH19" s="4">
        <f t="shared" si="45"/>
        <v>0</v>
      </c>
      <c r="BI19" s="4">
        <f t="shared" si="45"/>
        <v>0</v>
      </c>
      <c r="BJ19" s="4">
        <f t="shared" si="45"/>
        <v>0</v>
      </c>
      <c r="BK19" s="4">
        <f t="shared" si="45"/>
        <v>0</v>
      </c>
      <c r="BL19" s="4">
        <f t="shared" si="45"/>
        <v>0</v>
      </c>
      <c r="BM19" s="4">
        <f t="shared" si="45"/>
        <v>0</v>
      </c>
      <c r="BN19" s="4">
        <f t="shared" si="45"/>
        <v>0</v>
      </c>
    </row>
    <row r="20" spans="1:66" x14ac:dyDescent="0.2">
      <c r="A20" t="s">
        <v>41</v>
      </c>
      <c r="B20" t="s">
        <v>23</v>
      </c>
      <c r="D20" t="s">
        <v>47</v>
      </c>
      <c r="G20" t="e">
        <f>AK28/AP28</f>
        <v>#DIV/0!</v>
      </c>
      <c r="K20" t="s">
        <v>13</v>
      </c>
      <c r="Z20">
        <f t="shared" si="35"/>
        <v>0</v>
      </c>
      <c r="AA20">
        <f t="shared" si="36"/>
        <v>0</v>
      </c>
      <c r="AE20">
        <f t="shared" si="37"/>
        <v>0</v>
      </c>
      <c r="AF20">
        <f t="shared" si="38"/>
        <v>0</v>
      </c>
      <c r="AG20">
        <f t="shared" si="39"/>
        <v>0</v>
      </c>
      <c r="AK20">
        <f t="shared" si="40"/>
        <v>0</v>
      </c>
      <c r="AL20">
        <f t="shared" si="41"/>
        <v>0</v>
      </c>
      <c r="AM20">
        <f t="shared" si="42"/>
        <v>0</v>
      </c>
      <c r="AN20">
        <f t="shared" si="43"/>
        <v>0</v>
      </c>
      <c r="AP20">
        <f t="shared" si="46"/>
        <v>0</v>
      </c>
      <c r="AQ20" s="4">
        <f t="shared" si="47"/>
        <v>0</v>
      </c>
      <c r="AR20" s="4">
        <f t="shared" si="44"/>
        <v>0</v>
      </c>
      <c r="AS20" s="4">
        <f t="shared" si="44"/>
        <v>0</v>
      </c>
      <c r="AT20" s="4">
        <f t="shared" si="44"/>
        <v>0</v>
      </c>
      <c r="AU20" s="4">
        <f t="shared" si="44"/>
        <v>0</v>
      </c>
      <c r="AV20" s="4">
        <f t="shared" si="44"/>
        <v>0</v>
      </c>
      <c r="AW20" s="4">
        <f t="shared" si="44"/>
        <v>0</v>
      </c>
      <c r="AX20" s="4">
        <f t="shared" si="44"/>
        <v>0</v>
      </c>
      <c r="AY20" s="4">
        <f t="shared" si="44"/>
        <v>0</v>
      </c>
      <c r="AZ20" s="4">
        <f t="shared" si="44"/>
        <v>0</v>
      </c>
      <c r="BA20" s="4">
        <f t="shared" si="44"/>
        <v>0</v>
      </c>
      <c r="BB20" s="4">
        <f t="shared" si="44"/>
        <v>0</v>
      </c>
      <c r="BC20" s="4">
        <f t="shared" si="44"/>
        <v>0</v>
      </c>
      <c r="BD20" s="4">
        <f t="shared" si="44"/>
        <v>0</v>
      </c>
      <c r="BE20" s="4">
        <f t="shared" si="44"/>
        <v>0</v>
      </c>
      <c r="BF20" s="4">
        <f t="shared" si="44"/>
        <v>0</v>
      </c>
      <c r="BG20" s="4">
        <f t="shared" si="44"/>
        <v>0</v>
      </c>
      <c r="BH20" s="4">
        <f t="shared" si="45"/>
        <v>0</v>
      </c>
      <c r="BI20" s="4">
        <f t="shared" si="45"/>
        <v>0</v>
      </c>
      <c r="BJ20" s="4">
        <f t="shared" si="45"/>
        <v>0</v>
      </c>
      <c r="BK20" s="4">
        <f t="shared" si="45"/>
        <v>0</v>
      </c>
      <c r="BL20" s="4">
        <f t="shared" si="45"/>
        <v>0</v>
      </c>
      <c r="BM20" s="4">
        <f t="shared" si="45"/>
        <v>0</v>
      </c>
      <c r="BN20" s="4">
        <f t="shared" si="45"/>
        <v>0</v>
      </c>
    </row>
    <row r="21" spans="1:66" x14ac:dyDescent="0.2">
      <c r="A21" s="1" t="s">
        <v>24</v>
      </c>
      <c r="D21">
        <f>G16/A31</f>
        <v>0</v>
      </c>
      <c r="G21" t="s">
        <v>76</v>
      </c>
      <c r="K21" t="s">
        <v>57</v>
      </c>
      <c r="L21" t="s">
        <v>58</v>
      </c>
      <c r="M21" t="s">
        <v>59</v>
      </c>
      <c r="N21" t="s">
        <v>60</v>
      </c>
      <c r="Z21">
        <f t="shared" si="35"/>
        <v>0</v>
      </c>
      <c r="AA21">
        <f t="shared" si="36"/>
        <v>0</v>
      </c>
      <c r="AE21">
        <f t="shared" si="37"/>
        <v>0</v>
      </c>
      <c r="AF21">
        <f t="shared" si="38"/>
        <v>0</v>
      </c>
      <c r="AG21">
        <f t="shared" si="39"/>
        <v>0</v>
      </c>
      <c r="AK21">
        <f t="shared" si="40"/>
        <v>0</v>
      </c>
      <c r="AL21">
        <f t="shared" si="41"/>
        <v>0</v>
      </c>
      <c r="AM21">
        <f t="shared" si="42"/>
        <v>0</v>
      </c>
      <c r="AN21">
        <f t="shared" si="43"/>
        <v>0</v>
      </c>
      <c r="AP21">
        <f t="shared" si="46"/>
        <v>0</v>
      </c>
      <c r="AQ21" s="4">
        <f t="shared" si="47"/>
        <v>0</v>
      </c>
      <c r="AR21" s="4">
        <f t="shared" si="44"/>
        <v>0</v>
      </c>
      <c r="AS21" s="4">
        <f t="shared" si="44"/>
        <v>0</v>
      </c>
      <c r="AT21" s="4">
        <f t="shared" si="44"/>
        <v>0</v>
      </c>
      <c r="AU21" s="4">
        <f t="shared" si="44"/>
        <v>0</v>
      </c>
      <c r="AV21" s="4">
        <f t="shared" si="44"/>
        <v>0</v>
      </c>
      <c r="AW21" s="4">
        <f t="shared" si="44"/>
        <v>0</v>
      </c>
      <c r="AX21" s="4">
        <f t="shared" si="44"/>
        <v>0</v>
      </c>
      <c r="AY21" s="4">
        <f t="shared" si="44"/>
        <v>0</v>
      </c>
      <c r="AZ21" s="4">
        <f t="shared" si="44"/>
        <v>0</v>
      </c>
      <c r="BA21" s="4">
        <f t="shared" si="44"/>
        <v>0</v>
      </c>
      <c r="BB21" s="4">
        <f t="shared" si="44"/>
        <v>0</v>
      </c>
      <c r="BC21" s="4">
        <f t="shared" si="44"/>
        <v>0</v>
      </c>
      <c r="BD21" s="4">
        <f t="shared" si="44"/>
        <v>0</v>
      </c>
      <c r="BE21" s="4">
        <f t="shared" si="44"/>
        <v>0</v>
      </c>
      <c r="BF21" s="4">
        <f t="shared" si="44"/>
        <v>0</v>
      </c>
      <c r="BG21" s="4">
        <f t="shared" si="44"/>
        <v>0</v>
      </c>
      <c r="BH21" s="4">
        <f t="shared" si="45"/>
        <v>0</v>
      </c>
      <c r="BI21" s="4">
        <f t="shared" si="45"/>
        <v>0</v>
      </c>
      <c r="BJ21" s="4">
        <f t="shared" si="45"/>
        <v>0</v>
      </c>
      <c r="BK21" s="4">
        <f t="shared" si="45"/>
        <v>0</v>
      </c>
      <c r="BL21" s="4">
        <f t="shared" si="45"/>
        <v>0</v>
      </c>
      <c r="BM21" s="4">
        <f t="shared" si="45"/>
        <v>0</v>
      </c>
      <c r="BN21" s="4">
        <f t="shared" si="45"/>
        <v>0</v>
      </c>
    </row>
    <row r="22" spans="1:66" x14ac:dyDescent="0.2">
      <c r="A22" t="s">
        <v>36</v>
      </c>
      <c r="B22" t="s">
        <v>10</v>
      </c>
      <c r="D22" t="s">
        <v>48</v>
      </c>
      <c r="G22" t="e">
        <f>AL28/AP28</f>
        <v>#DIV/0!</v>
      </c>
      <c r="K22">
        <f>AVERAGE(C39:C50)</f>
        <v>3.3636363636363638</v>
      </c>
      <c r="L22">
        <f>MEDIAN(C39:C50)</f>
        <v>4</v>
      </c>
      <c r="M22">
        <f>MAX(C39:C50)</f>
        <v>4</v>
      </c>
      <c r="N22">
        <f>_xlfn.STDEV.S(C39:C50)</f>
        <v>1.2060453783110545</v>
      </c>
      <c r="Z22">
        <f t="shared" si="35"/>
        <v>0</v>
      </c>
      <c r="AA22">
        <f t="shared" si="36"/>
        <v>0</v>
      </c>
      <c r="AE22">
        <f t="shared" si="37"/>
        <v>0</v>
      </c>
      <c r="AF22">
        <f t="shared" si="38"/>
        <v>0</v>
      </c>
      <c r="AG22">
        <f t="shared" si="39"/>
        <v>0</v>
      </c>
      <c r="AK22">
        <f t="shared" si="40"/>
        <v>0</v>
      </c>
      <c r="AL22">
        <f t="shared" si="41"/>
        <v>0</v>
      </c>
      <c r="AM22">
        <f t="shared" si="42"/>
        <v>0</v>
      </c>
      <c r="AN22">
        <f t="shared" si="43"/>
        <v>0</v>
      </c>
      <c r="AP22">
        <f t="shared" si="46"/>
        <v>0</v>
      </c>
      <c r="AQ22" s="4">
        <f t="shared" si="47"/>
        <v>0</v>
      </c>
      <c r="AR22" s="4">
        <f t="shared" si="44"/>
        <v>0</v>
      </c>
      <c r="AS22" s="4">
        <f t="shared" si="44"/>
        <v>0</v>
      </c>
      <c r="AT22" s="4">
        <f t="shared" si="44"/>
        <v>0</v>
      </c>
      <c r="AU22" s="4">
        <f t="shared" si="44"/>
        <v>0</v>
      </c>
      <c r="AV22" s="4">
        <f t="shared" si="44"/>
        <v>0</v>
      </c>
      <c r="AW22" s="4">
        <f t="shared" si="44"/>
        <v>0</v>
      </c>
      <c r="AX22" s="4">
        <f t="shared" si="44"/>
        <v>0</v>
      </c>
      <c r="AY22" s="4">
        <f t="shared" si="44"/>
        <v>0</v>
      </c>
      <c r="AZ22" s="4">
        <f t="shared" si="44"/>
        <v>0</v>
      </c>
      <c r="BA22" s="4">
        <f t="shared" si="44"/>
        <v>0</v>
      </c>
      <c r="BB22" s="4">
        <f t="shared" si="44"/>
        <v>0</v>
      </c>
      <c r="BC22" s="4">
        <f t="shared" si="44"/>
        <v>0</v>
      </c>
      <c r="BD22" s="4">
        <f t="shared" si="44"/>
        <v>0</v>
      </c>
      <c r="BE22" s="4">
        <f t="shared" si="44"/>
        <v>0</v>
      </c>
      <c r="BF22" s="4">
        <f t="shared" si="44"/>
        <v>0</v>
      </c>
      <c r="BG22" s="4">
        <f t="shared" si="44"/>
        <v>0</v>
      </c>
      <c r="BH22" s="4">
        <f t="shared" si="45"/>
        <v>0</v>
      </c>
      <c r="BI22" s="4">
        <f t="shared" si="45"/>
        <v>0</v>
      </c>
      <c r="BJ22" s="4">
        <f t="shared" si="45"/>
        <v>0</v>
      </c>
      <c r="BK22" s="4">
        <f t="shared" si="45"/>
        <v>0</v>
      </c>
      <c r="BL22" s="4">
        <f t="shared" si="45"/>
        <v>0</v>
      </c>
      <c r="BM22" s="4">
        <f t="shared" si="45"/>
        <v>0</v>
      </c>
      <c r="BN22" s="4">
        <f t="shared" si="45"/>
        <v>0</v>
      </c>
    </row>
    <row r="23" spans="1:66" x14ac:dyDescent="0.2">
      <c r="A23" t="s">
        <v>37</v>
      </c>
      <c r="B23" t="s">
        <v>25</v>
      </c>
      <c r="D23">
        <f>H16/A31</f>
        <v>0</v>
      </c>
      <c r="G23" t="s">
        <v>77</v>
      </c>
      <c r="K23" t="s">
        <v>8</v>
      </c>
      <c r="Z23">
        <f t="shared" si="35"/>
        <v>0</v>
      </c>
      <c r="AA23">
        <f t="shared" si="36"/>
        <v>0</v>
      </c>
      <c r="AE23">
        <f t="shared" si="37"/>
        <v>0</v>
      </c>
      <c r="AF23">
        <f t="shared" si="38"/>
        <v>0</v>
      </c>
      <c r="AG23">
        <f t="shared" si="39"/>
        <v>0</v>
      </c>
      <c r="AK23">
        <f t="shared" si="40"/>
        <v>0</v>
      </c>
      <c r="AL23">
        <f t="shared" si="41"/>
        <v>0</v>
      </c>
      <c r="AM23">
        <f t="shared" si="42"/>
        <v>0</v>
      </c>
      <c r="AN23">
        <f t="shared" si="43"/>
        <v>0</v>
      </c>
      <c r="AP23">
        <f t="shared" si="46"/>
        <v>0</v>
      </c>
      <c r="AQ23" s="4">
        <f t="shared" si="47"/>
        <v>0</v>
      </c>
      <c r="AR23" s="4">
        <f t="shared" si="44"/>
        <v>0</v>
      </c>
      <c r="AS23" s="4">
        <f t="shared" si="44"/>
        <v>0</v>
      </c>
      <c r="AT23" s="4">
        <f t="shared" si="44"/>
        <v>0</v>
      </c>
      <c r="AU23" s="4">
        <f t="shared" si="44"/>
        <v>0</v>
      </c>
      <c r="AV23" s="4">
        <f t="shared" si="44"/>
        <v>0</v>
      </c>
      <c r="AW23" s="4">
        <f t="shared" si="44"/>
        <v>0</v>
      </c>
      <c r="AX23" s="4">
        <f t="shared" si="44"/>
        <v>0</v>
      </c>
      <c r="AY23" s="4">
        <f t="shared" si="44"/>
        <v>0</v>
      </c>
      <c r="AZ23" s="4">
        <f t="shared" si="44"/>
        <v>0</v>
      </c>
      <c r="BA23" s="4">
        <f t="shared" si="44"/>
        <v>0</v>
      </c>
      <c r="BB23" s="4">
        <f t="shared" si="44"/>
        <v>0</v>
      </c>
      <c r="BC23" s="4">
        <f t="shared" si="44"/>
        <v>0</v>
      </c>
      <c r="BD23" s="4">
        <f t="shared" si="44"/>
        <v>0</v>
      </c>
      <c r="BE23" s="4">
        <f t="shared" si="44"/>
        <v>0</v>
      </c>
      <c r="BF23" s="4">
        <f t="shared" si="44"/>
        <v>0</v>
      </c>
      <c r="BG23" s="4">
        <f t="shared" si="44"/>
        <v>0</v>
      </c>
      <c r="BH23" s="4">
        <f t="shared" si="45"/>
        <v>0</v>
      </c>
      <c r="BI23" s="4">
        <f t="shared" si="45"/>
        <v>0</v>
      </c>
      <c r="BJ23" s="4">
        <f t="shared" si="45"/>
        <v>0</v>
      </c>
      <c r="BK23" s="4">
        <f t="shared" si="45"/>
        <v>0</v>
      </c>
      <c r="BL23" s="4">
        <f t="shared" si="45"/>
        <v>0</v>
      </c>
      <c r="BM23" s="4">
        <f t="shared" si="45"/>
        <v>0</v>
      </c>
      <c r="BN23" s="4">
        <f t="shared" si="45"/>
        <v>0</v>
      </c>
    </row>
    <row r="24" spans="1:66" x14ac:dyDescent="0.2">
      <c r="A24" t="s">
        <v>38</v>
      </c>
      <c r="B24" t="s">
        <v>26</v>
      </c>
      <c r="D24" t="s">
        <v>50</v>
      </c>
      <c r="G24" t="e">
        <f>AM28/AP28</f>
        <v>#DIV/0!</v>
      </c>
      <c r="K24" t="s">
        <v>57</v>
      </c>
      <c r="L24" t="s">
        <v>61</v>
      </c>
      <c r="M24" t="s">
        <v>59</v>
      </c>
      <c r="N24" t="s">
        <v>60</v>
      </c>
      <c r="Z24">
        <f t="shared" si="35"/>
        <v>0</v>
      </c>
      <c r="AA24">
        <f t="shared" si="36"/>
        <v>0</v>
      </c>
      <c r="AE24">
        <f t="shared" si="37"/>
        <v>0</v>
      </c>
      <c r="AF24">
        <f t="shared" si="38"/>
        <v>0</v>
      </c>
      <c r="AG24">
        <f t="shared" si="39"/>
        <v>0</v>
      </c>
      <c r="AK24">
        <f t="shared" si="40"/>
        <v>0</v>
      </c>
      <c r="AL24">
        <f t="shared" si="41"/>
        <v>0</v>
      </c>
      <c r="AM24">
        <f t="shared" si="42"/>
        <v>0</v>
      </c>
      <c r="AN24">
        <f t="shared" si="43"/>
        <v>0</v>
      </c>
      <c r="AP24">
        <f t="shared" si="46"/>
        <v>0</v>
      </c>
      <c r="AQ24" s="4">
        <f t="shared" si="47"/>
        <v>0</v>
      </c>
      <c r="AR24" s="4">
        <f t="shared" si="44"/>
        <v>0</v>
      </c>
      <c r="AS24" s="4">
        <f t="shared" si="44"/>
        <v>0</v>
      </c>
      <c r="AT24" s="4">
        <f t="shared" si="44"/>
        <v>0</v>
      </c>
      <c r="AU24" s="4">
        <f t="shared" si="44"/>
        <v>0</v>
      </c>
      <c r="AV24" s="4">
        <f t="shared" si="44"/>
        <v>0</v>
      </c>
      <c r="AW24" s="4">
        <f t="shared" si="44"/>
        <v>0</v>
      </c>
      <c r="AX24" s="4">
        <f t="shared" si="44"/>
        <v>0</v>
      </c>
      <c r="AY24" s="4">
        <f t="shared" si="44"/>
        <v>0</v>
      </c>
      <c r="AZ24" s="4">
        <f t="shared" si="44"/>
        <v>0</v>
      </c>
      <c r="BA24" s="4">
        <f t="shared" si="44"/>
        <v>0</v>
      </c>
      <c r="BB24" s="4">
        <f t="shared" si="44"/>
        <v>0</v>
      </c>
      <c r="BC24" s="4">
        <f t="shared" si="44"/>
        <v>0</v>
      </c>
      <c r="BD24" s="4">
        <f t="shared" si="44"/>
        <v>0</v>
      </c>
      <c r="BE24" s="4">
        <f t="shared" si="44"/>
        <v>0</v>
      </c>
      <c r="BF24" s="4">
        <f t="shared" si="44"/>
        <v>0</v>
      </c>
      <c r="BG24" s="4">
        <f t="shared" si="44"/>
        <v>0</v>
      </c>
      <c r="BH24" s="4">
        <f t="shared" si="45"/>
        <v>0</v>
      </c>
      <c r="BI24" s="4">
        <f t="shared" si="45"/>
        <v>0</v>
      </c>
      <c r="BJ24" s="4">
        <f t="shared" si="45"/>
        <v>0</v>
      </c>
      <c r="BK24" s="4">
        <f t="shared" si="45"/>
        <v>0</v>
      </c>
      <c r="BL24" s="4">
        <f t="shared" si="45"/>
        <v>0</v>
      </c>
      <c r="BM24" s="4">
        <f t="shared" si="45"/>
        <v>0</v>
      </c>
      <c r="BN24" s="4">
        <f t="shared" si="45"/>
        <v>0</v>
      </c>
    </row>
    <row r="25" spans="1:66" x14ac:dyDescent="0.2">
      <c r="A25" t="s">
        <v>39</v>
      </c>
      <c r="B25" t="s">
        <v>27</v>
      </c>
      <c r="D25">
        <f>Z28/A31</f>
        <v>0</v>
      </c>
      <c r="G25" t="s">
        <v>78</v>
      </c>
      <c r="K25">
        <f>AVERAGE(E39:E50)</f>
        <v>0</v>
      </c>
      <c r="L25">
        <f>MEDIAN(E39:E50)</f>
        <v>0</v>
      </c>
      <c r="M25">
        <f>MAX(E39:E50)</f>
        <v>0</v>
      </c>
      <c r="N25">
        <f>_xlfn.STDEV.S(E39:E50)</f>
        <v>0</v>
      </c>
      <c r="Z25">
        <f t="shared" si="35"/>
        <v>0</v>
      </c>
      <c r="AA25">
        <f t="shared" si="36"/>
        <v>0</v>
      </c>
      <c r="AE25">
        <f t="shared" si="37"/>
        <v>0</v>
      </c>
      <c r="AF25">
        <f t="shared" si="38"/>
        <v>0</v>
      </c>
      <c r="AG25">
        <f t="shared" si="39"/>
        <v>0</v>
      </c>
      <c r="AK25">
        <f t="shared" si="40"/>
        <v>0</v>
      </c>
      <c r="AL25">
        <f t="shared" si="41"/>
        <v>0</v>
      </c>
      <c r="AM25">
        <f t="shared" si="42"/>
        <v>0</v>
      </c>
      <c r="AN25">
        <f t="shared" si="43"/>
        <v>0</v>
      </c>
      <c r="AP25">
        <f t="shared" si="46"/>
        <v>0</v>
      </c>
      <c r="AQ25" s="4">
        <f t="shared" si="47"/>
        <v>0</v>
      </c>
      <c r="AR25" s="4">
        <f t="shared" si="44"/>
        <v>0</v>
      </c>
      <c r="AS25" s="4">
        <f t="shared" si="44"/>
        <v>0</v>
      </c>
      <c r="AT25" s="4">
        <f t="shared" si="44"/>
        <v>0</v>
      </c>
      <c r="AU25" s="4">
        <f t="shared" si="44"/>
        <v>0</v>
      </c>
      <c r="AV25" s="4">
        <f t="shared" si="44"/>
        <v>0</v>
      </c>
      <c r="AW25" s="4">
        <f t="shared" si="44"/>
        <v>0</v>
      </c>
      <c r="AX25" s="4">
        <f t="shared" si="44"/>
        <v>0</v>
      </c>
      <c r="AY25" s="4">
        <f t="shared" si="44"/>
        <v>0</v>
      </c>
      <c r="AZ25" s="4">
        <f t="shared" si="44"/>
        <v>0</v>
      </c>
      <c r="BA25" s="4">
        <f t="shared" si="44"/>
        <v>0</v>
      </c>
      <c r="BB25" s="4">
        <f t="shared" si="44"/>
        <v>0</v>
      </c>
      <c r="BC25" s="4">
        <f t="shared" si="44"/>
        <v>0</v>
      </c>
      <c r="BD25" s="4">
        <f t="shared" si="44"/>
        <v>0</v>
      </c>
      <c r="BE25" s="4">
        <f t="shared" si="44"/>
        <v>0</v>
      </c>
      <c r="BF25" s="4">
        <f t="shared" si="44"/>
        <v>0</v>
      </c>
      <c r="BG25" s="4">
        <f t="shared" si="44"/>
        <v>0</v>
      </c>
      <c r="BH25" s="4">
        <f t="shared" si="45"/>
        <v>0</v>
      </c>
      <c r="BI25" s="4">
        <f t="shared" si="45"/>
        <v>0</v>
      </c>
      <c r="BJ25" s="4">
        <f t="shared" si="45"/>
        <v>0</v>
      </c>
      <c r="BK25" s="4">
        <f t="shared" si="45"/>
        <v>0</v>
      </c>
      <c r="BL25" s="4">
        <f t="shared" si="45"/>
        <v>0</v>
      </c>
      <c r="BM25" s="4">
        <f t="shared" si="45"/>
        <v>0</v>
      </c>
      <c r="BN25" s="4">
        <f t="shared" si="45"/>
        <v>0</v>
      </c>
    </row>
    <row r="26" spans="1:66" x14ac:dyDescent="0.2">
      <c r="A26" t="s">
        <v>44</v>
      </c>
      <c r="D26" t="s">
        <v>51</v>
      </c>
      <c r="G26" t="e">
        <f>AN28/AP28</f>
        <v>#DIV/0!</v>
      </c>
      <c r="K26" t="s">
        <v>62</v>
      </c>
      <c r="P26" t="s">
        <v>19</v>
      </c>
      <c r="Z26">
        <f t="shared" si="35"/>
        <v>0</v>
      </c>
      <c r="AA26">
        <f t="shared" si="36"/>
        <v>0</v>
      </c>
      <c r="AE26">
        <f t="shared" si="37"/>
        <v>0</v>
      </c>
      <c r="AF26">
        <f t="shared" si="38"/>
        <v>0</v>
      </c>
      <c r="AG26">
        <f t="shared" si="39"/>
        <v>0</v>
      </c>
      <c r="AK26">
        <f t="shared" si="40"/>
        <v>0</v>
      </c>
      <c r="AL26">
        <f t="shared" si="41"/>
        <v>0</v>
      </c>
      <c r="AM26">
        <f t="shared" si="42"/>
        <v>0</v>
      </c>
      <c r="AN26">
        <f t="shared" si="43"/>
        <v>0</v>
      </c>
      <c r="AP26">
        <f t="shared" si="46"/>
        <v>0</v>
      </c>
      <c r="AQ26" s="4">
        <f t="shared" si="47"/>
        <v>0</v>
      </c>
      <c r="AR26" s="4">
        <f t="shared" si="44"/>
        <v>0</v>
      </c>
      <c r="AS26" s="4">
        <f t="shared" si="44"/>
        <v>0</v>
      </c>
      <c r="AT26" s="4">
        <f t="shared" si="44"/>
        <v>0</v>
      </c>
      <c r="AU26" s="4">
        <f t="shared" si="44"/>
        <v>0</v>
      </c>
      <c r="AV26" s="4">
        <f t="shared" si="44"/>
        <v>0</v>
      </c>
      <c r="AW26" s="4">
        <f t="shared" si="44"/>
        <v>0</v>
      </c>
      <c r="AX26" s="4">
        <f t="shared" si="44"/>
        <v>0</v>
      </c>
      <c r="AY26" s="4">
        <f t="shared" si="44"/>
        <v>0</v>
      </c>
      <c r="AZ26" s="4">
        <f t="shared" si="44"/>
        <v>0</v>
      </c>
      <c r="BA26" s="4">
        <f t="shared" si="44"/>
        <v>0</v>
      </c>
      <c r="BB26" s="4">
        <f t="shared" si="44"/>
        <v>0</v>
      </c>
      <c r="BC26" s="4">
        <f t="shared" si="44"/>
        <v>0</v>
      </c>
      <c r="BD26" s="4">
        <f t="shared" si="44"/>
        <v>0</v>
      </c>
      <c r="BE26" s="4">
        <f t="shared" si="44"/>
        <v>0</v>
      </c>
      <c r="BF26" s="4">
        <f t="shared" si="44"/>
        <v>0</v>
      </c>
      <c r="BG26" s="4">
        <f t="shared" si="44"/>
        <v>0</v>
      </c>
      <c r="BH26" s="4">
        <f t="shared" si="45"/>
        <v>0</v>
      </c>
      <c r="BI26" s="4">
        <f t="shared" si="45"/>
        <v>0</v>
      </c>
      <c r="BJ26" s="4">
        <f t="shared" si="45"/>
        <v>0</v>
      </c>
      <c r="BK26" s="4">
        <f t="shared" si="45"/>
        <v>0</v>
      </c>
      <c r="BL26" s="4">
        <f t="shared" si="45"/>
        <v>0</v>
      </c>
      <c r="BM26" s="4">
        <f t="shared" si="45"/>
        <v>0</v>
      </c>
      <c r="BN26" s="4">
        <f t="shared" si="45"/>
        <v>0</v>
      </c>
    </row>
    <row r="27" spans="1:66" x14ac:dyDescent="0.2">
      <c r="A27" t="s">
        <v>45</v>
      </c>
      <c r="D27">
        <f>AA28/A31</f>
        <v>0</v>
      </c>
      <c r="G27" t="s">
        <v>56</v>
      </c>
      <c r="K27" t="s">
        <v>57</v>
      </c>
      <c r="L27" t="s">
        <v>58</v>
      </c>
      <c r="M27" t="s">
        <v>59</v>
      </c>
      <c r="N27" t="s">
        <v>60</v>
      </c>
      <c r="P27" t="s">
        <v>57</v>
      </c>
      <c r="Q27" t="s">
        <v>58</v>
      </c>
      <c r="R27" t="s">
        <v>59</v>
      </c>
      <c r="S27" t="s">
        <v>60</v>
      </c>
      <c r="Z27">
        <f t="shared" si="35"/>
        <v>0</v>
      </c>
      <c r="AA27">
        <f t="shared" si="36"/>
        <v>0</v>
      </c>
      <c r="AE27">
        <f t="shared" si="37"/>
        <v>0</v>
      </c>
      <c r="AF27">
        <f t="shared" si="38"/>
        <v>0</v>
      </c>
      <c r="AG27">
        <f t="shared" si="39"/>
        <v>0</v>
      </c>
      <c r="AK27">
        <f t="shared" si="40"/>
        <v>0</v>
      </c>
      <c r="AL27">
        <f t="shared" si="41"/>
        <v>0</v>
      </c>
      <c r="AM27">
        <f t="shared" si="42"/>
        <v>0</v>
      </c>
      <c r="AN27">
        <f t="shared" si="43"/>
        <v>0</v>
      </c>
      <c r="AP27">
        <f t="shared" si="46"/>
        <v>0</v>
      </c>
      <c r="AQ27" s="4">
        <f t="shared" si="47"/>
        <v>0</v>
      </c>
      <c r="AR27" s="4">
        <f t="shared" si="44"/>
        <v>0</v>
      </c>
      <c r="AS27" s="4">
        <f t="shared" si="44"/>
        <v>0</v>
      </c>
      <c r="AT27" s="4">
        <f t="shared" si="44"/>
        <v>0</v>
      </c>
      <c r="AU27" s="4">
        <f t="shared" si="44"/>
        <v>0</v>
      </c>
      <c r="AV27" s="4">
        <f t="shared" si="44"/>
        <v>0</v>
      </c>
      <c r="AW27" s="4">
        <f t="shared" si="44"/>
        <v>0</v>
      </c>
      <c r="AX27" s="4">
        <f t="shared" si="44"/>
        <v>0</v>
      </c>
      <c r="AY27" s="4">
        <f t="shared" si="44"/>
        <v>0</v>
      </c>
      <c r="AZ27" s="4">
        <f t="shared" si="44"/>
        <v>0</v>
      </c>
      <c r="BA27" s="4">
        <f t="shared" si="44"/>
        <v>0</v>
      </c>
      <c r="BB27" s="4">
        <f t="shared" si="44"/>
        <v>0</v>
      </c>
      <c r="BC27" s="4">
        <f t="shared" si="44"/>
        <v>0</v>
      </c>
      <c r="BD27" s="4">
        <f t="shared" si="44"/>
        <v>0</v>
      </c>
      <c r="BE27" s="4">
        <f t="shared" si="44"/>
        <v>0</v>
      </c>
      <c r="BF27" s="4">
        <f t="shared" si="44"/>
        <v>0</v>
      </c>
      <c r="BG27" s="4">
        <f t="shared" si="44"/>
        <v>0</v>
      </c>
      <c r="BH27" s="4">
        <f t="shared" si="45"/>
        <v>0</v>
      </c>
      <c r="BI27" s="4">
        <f t="shared" si="45"/>
        <v>0</v>
      </c>
      <c r="BJ27" s="4">
        <f t="shared" si="45"/>
        <v>0</v>
      </c>
      <c r="BK27" s="4">
        <f t="shared" si="45"/>
        <v>0</v>
      </c>
      <c r="BL27" s="4">
        <f t="shared" si="45"/>
        <v>0</v>
      </c>
      <c r="BM27" s="4">
        <f t="shared" si="45"/>
        <v>0</v>
      </c>
      <c r="BN27" s="4">
        <f t="shared" si="45"/>
        <v>0</v>
      </c>
    </row>
    <row r="28" spans="1:66" x14ac:dyDescent="0.2">
      <c r="A28" t="s">
        <v>46</v>
      </c>
      <c r="D28" t="s">
        <v>202</v>
      </c>
      <c r="G28" t="s">
        <v>57</v>
      </c>
      <c r="H28" t="s">
        <v>58</v>
      </c>
      <c r="I28" t="s">
        <v>59</v>
      </c>
      <c r="J28" t="s">
        <v>60</v>
      </c>
      <c r="K28">
        <f>AVERAGE(G39:G50)</f>
        <v>0</v>
      </c>
      <c r="L28">
        <f>MEDIAN(G39:G50)</f>
        <v>0</v>
      </c>
      <c r="M28">
        <f>MAX(G39:G50)</f>
        <v>0</v>
      </c>
      <c r="N28">
        <f>_xlfn.STDEV.S(G39:G50)</f>
        <v>0</v>
      </c>
      <c r="P28">
        <f>AVERAGE(N39:N50)</f>
        <v>2.0909090909090908</v>
      </c>
      <c r="Q28">
        <f>MEDIAN(N39:N50)</f>
        <v>0</v>
      </c>
      <c r="R28">
        <f>MAX(N39:N50)</f>
        <v>11</v>
      </c>
      <c r="S28">
        <f>_xlfn.STDEV.S(N39:N50)</f>
        <v>3.5903912169719181</v>
      </c>
      <c r="Y28" t="s">
        <v>33</v>
      </c>
      <c r="Z28">
        <f>SUM(Z16:Z27)</f>
        <v>0</v>
      </c>
      <c r="AA28">
        <f>SUM(AA16:AA27)</f>
        <v>0</v>
      </c>
      <c r="AE28">
        <f>SUM(AE16:AE27)</f>
        <v>0</v>
      </c>
      <c r="AF28">
        <f>SUM(AF16:AF27)</f>
        <v>0</v>
      </c>
      <c r="AG28">
        <f>SUM(AG16:AG27)</f>
        <v>0</v>
      </c>
      <c r="AK28">
        <f>SUM(AK16:AK27)</f>
        <v>0</v>
      </c>
      <c r="AL28">
        <f>SUM(AL16:AL27)</f>
        <v>0</v>
      </c>
      <c r="AM28">
        <f>SUM(AM16:AM27)</f>
        <v>0</v>
      </c>
      <c r="AN28">
        <f>SUM(AN16:AN27)</f>
        <v>0</v>
      </c>
      <c r="AP28">
        <f>SUM(AP16:AP27)</f>
        <v>0</v>
      </c>
    </row>
    <row r="29" spans="1:66" x14ac:dyDescent="0.2">
      <c r="D29">
        <f>SUM(O39:O50)/F16</f>
        <v>0.77777777777777779</v>
      </c>
      <c r="G29">
        <f>AVERAGE(A39:A50)</f>
        <v>0</v>
      </c>
      <c r="H29">
        <f>MEDIAN(A39:A50)</f>
        <v>0</v>
      </c>
      <c r="I29">
        <f>MAX(A39:A50)</f>
        <v>0</v>
      </c>
      <c r="J29">
        <f>_xlfn.STDEV.S(A39:A50)</f>
        <v>0</v>
      </c>
      <c r="K29" t="s">
        <v>63</v>
      </c>
      <c r="P29" t="s">
        <v>148</v>
      </c>
    </row>
    <row r="30" spans="1:66" x14ac:dyDescent="0.2">
      <c r="A30" t="s">
        <v>147</v>
      </c>
      <c r="D30" t="s">
        <v>203</v>
      </c>
      <c r="G30" t="s">
        <v>50</v>
      </c>
      <c r="H30" t="s">
        <v>51</v>
      </c>
      <c r="I30" t="s">
        <v>89</v>
      </c>
      <c r="K30" t="s">
        <v>57</v>
      </c>
      <c r="L30" t="s">
        <v>58</v>
      </c>
      <c r="M30" t="s">
        <v>59</v>
      </c>
      <c r="N30" t="s">
        <v>60</v>
      </c>
      <c r="P30" t="s">
        <v>57</v>
      </c>
      <c r="Q30" t="s">
        <v>58</v>
      </c>
      <c r="R30" t="s">
        <v>59</v>
      </c>
      <c r="S30" t="s">
        <v>60</v>
      </c>
      <c r="W30" t="s">
        <v>148</v>
      </c>
      <c r="Y30" t="s">
        <v>149</v>
      </c>
      <c r="AH30" t="s">
        <v>79</v>
      </c>
    </row>
    <row r="31" spans="1:66" x14ac:dyDescent="0.2">
      <c r="A31">
        <f>COUNT(B4:B15)</f>
        <v>11</v>
      </c>
      <c r="D31" s="2">
        <f>SUM(S39:S50)/SUM(Q39:Q50)</f>
        <v>0</v>
      </c>
      <c r="G31">
        <f>AE28/A31</f>
        <v>0</v>
      </c>
      <c r="H31">
        <f>AF28/A31</f>
        <v>0</v>
      </c>
      <c r="I31">
        <f>AG28/A31</f>
        <v>0</v>
      </c>
      <c r="K31" t="e">
        <f>AVERAGE(I39:I50)</f>
        <v>#DIV/0!</v>
      </c>
      <c r="L31" t="e">
        <f>MEDIAN(I39:I50)</f>
        <v>#NUM!</v>
      </c>
      <c r="M31">
        <f>MAX(I39:I50)</f>
        <v>0</v>
      </c>
      <c r="N31" t="e">
        <f>_xlfn.STDEV.S(I39:I50)</f>
        <v>#DIV/0!</v>
      </c>
      <c r="P31" t="e">
        <f>AVERAGE(W31:W42)</f>
        <v>#DIV/0!</v>
      </c>
      <c r="Q31" t="e">
        <f>MEDIAN(W31:W42)</f>
        <v>#NUM!</v>
      </c>
      <c r="R31">
        <f>MAX(W31:W42)</f>
        <v>0</v>
      </c>
      <c r="S31" t="e">
        <f>_xlfn.STDEV.S(W31:W42)</f>
        <v>#DIV/0!</v>
      </c>
      <c r="W31" t="str">
        <f t="shared" ref="W31:W33" si="48">IF(AND(ISBLANK(Q4), ISBLANK(R4), ISBLANK(G4), ISBLANK(H4)), "", U4)</f>
        <v/>
      </c>
      <c r="Y31" t="str">
        <f t="shared" ref="Y31:Y42" si="49">IF(ISBLANK(Y4), IF(X4 = 0, "", (G4 + H4/3 + V4/9 + W4/3)), U4)</f>
        <v/>
      </c>
      <c r="AH31" t="s">
        <v>80</v>
      </c>
    </row>
    <row r="32" spans="1:66" x14ac:dyDescent="0.2">
      <c r="A32" t="s">
        <v>238</v>
      </c>
      <c r="D32" s="3"/>
      <c r="K32" t="s">
        <v>64</v>
      </c>
      <c r="P32" t="s">
        <v>149</v>
      </c>
      <c r="W32" t="str">
        <f t="shared" si="48"/>
        <v/>
      </c>
      <c r="Y32" t="str">
        <f t="shared" si="49"/>
        <v/>
      </c>
      <c r="AH32" t="s">
        <v>81</v>
      </c>
    </row>
    <row r="33" spans="1:34" x14ac:dyDescent="0.2">
      <c r="A33" t="s">
        <v>243</v>
      </c>
      <c r="D33" s="3"/>
      <c r="K33" t="s">
        <v>57</v>
      </c>
      <c r="L33" t="s">
        <v>58</v>
      </c>
      <c r="M33" t="s">
        <v>59</v>
      </c>
      <c r="N33" t="s">
        <v>60</v>
      </c>
      <c r="P33" t="s">
        <v>57</v>
      </c>
      <c r="Q33" t="s">
        <v>58</v>
      </c>
      <c r="R33" t="s">
        <v>59</v>
      </c>
      <c r="S33" t="s">
        <v>60</v>
      </c>
      <c r="W33" t="str">
        <f t="shared" si="48"/>
        <v/>
      </c>
      <c r="Y33" t="str">
        <f t="shared" si="49"/>
        <v/>
      </c>
      <c r="AH33" t="s">
        <v>82</v>
      </c>
    </row>
    <row r="34" spans="1:34" x14ac:dyDescent="0.2">
      <c r="D34" s="3"/>
      <c r="K34">
        <f>AVERAGE(K39:K50)</f>
        <v>0</v>
      </c>
      <c r="L34">
        <f>MEDIAN(K39:K50)</f>
        <v>0</v>
      </c>
      <c r="M34">
        <f>MAX(K39:K50)</f>
        <v>0</v>
      </c>
      <c r="N34">
        <f>_xlfn.STDEV.S(K39:K50)</f>
        <v>0</v>
      </c>
      <c r="P34" t="e">
        <f>AVERAGE(Y31:Y42)</f>
        <v>#DIV/0!</v>
      </c>
      <c r="Q34" t="e">
        <f>MEDIAN(Y31:Y42)</f>
        <v>#NUM!</v>
      </c>
      <c r="R34">
        <f>MAX(Y31:Y42)</f>
        <v>0</v>
      </c>
      <c r="S34" t="e">
        <f>_xlfn.STDEV.S(Y31:Y42)</f>
        <v>#DIV/0!</v>
      </c>
      <c r="W34" t="str">
        <f>IF(AND(ISBLANK(Q7), ISBLANK(R7), ISBLANK(G7), ISBLANK(H7)), "", U7)</f>
        <v/>
      </c>
      <c r="Y34" t="str">
        <f t="shared" si="49"/>
        <v/>
      </c>
      <c r="AH34" t="s">
        <v>83</v>
      </c>
    </row>
    <row r="35" spans="1:34" x14ac:dyDescent="0.2">
      <c r="P35" t="s">
        <v>95</v>
      </c>
      <c r="R35" t="s">
        <v>197</v>
      </c>
      <c r="W35" t="str">
        <f t="shared" ref="W35:W42" si="50">IF(AND(ISBLANK(Q8), ISBLANK(R8), ISBLANK(G8), ISBLANK(H8)), "", U8)</f>
        <v/>
      </c>
      <c r="Y35" t="str">
        <f t="shared" si="49"/>
        <v/>
      </c>
    </row>
    <row r="36" spans="1:34" x14ac:dyDescent="0.2">
      <c r="P36" t="e">
        <f>Q16/(Q16+R16)</f>
        <v>#DIV/0!</v>
      </c>
      <c r="R36" t="e">
        <f>R16/(Q16+R16)</f>
        <v>#DIV/0!</v>
      </c>
      <c r="W36" t="str">
        <f t="shared" si="50"/>
        <v/>
      </c>
      <c r="Y36" t="str">
        <f t="shared" si="49"/>
        <v/>
      </c>
    </row>
    <row r="37" spans="1:34" x14ac:dyDescent="0.2">
      <c r="W37" t="str">
        <f t="shared" si="50"/>
        <v/>
      </c>
      <c r="Y37" t="str">
        <f t="shared" si="49"/>
        <v/>
      </c>
    </row>
    <row r="38" spans="1:34" x14ac:dyDescent="0.2">
      <c r="A38" t="s">
        <v>68</v>
      </c>
      <c r="C38" t="s">
        <v>69</v>
      </c>
      <c r="E38" t="s">
        <v>72</v>
      </c>
      <c r="G38" t="s">
        <v>250</v>
      </c>
      <c r="K38" t="s">
        <v>73</v>
      </c>
      <c r="M38" t="s">
        <v>70</v>
      </c>
      <c r="N38" t="s">
        <v>71</v>
      </c>
      <c r="O38" t="s">
        <v>199</v>
      </c>
      <c r="Q38" t="s">
        <v>200</v>
      </c>
      <c r="S38" t="s">
        <v>201</v>
      </c>
      <c r="W38" t="str">
        <f t="shared" si="50"/>
        <v/>
      </c>
      <c r="Y38" t="str">
        <f t="shared" si="49"/>
        <v/>
      </c>
    </row>
    <row r="39" spans="1:34" x14ac:dyDescent="0.2">
      <c r="A39">
        <f t="shared" ref="A39:A50" si="51">IF(ISBLANK(B4), "", SUM(AE16+AF16+AG16))</f>
        <v>0</v>
      </c>
      <c r="C39">
        <f t="shared" ref="C39:C50" si="52">IF(ISBLANK(B4), "", O4)</f>
        <v>3</v>
      </c>
      <c r="E39">
        <f t="shared" ref="E39:E50" si="53">IF(ISBLANK(B4), "", Q4)</f>
        <v>0</v>
      </c>
      <c r="G39">
        <f t="shared" ref="G39:G50" si="54">IF(ISBLANK(B4), "", R4)</f>
        <v>0</v>
      </c>
      <c r="K39">
        <f t="shared" ref="K39:K50" si="55">IF(ISBLANK(B4), "", SUM(Q4 + R4))</f>
        <v>0</v>
      </c>
      <c r="M39">
        <f t="shared" ref="M39:M50" si="56">IF(ISBLANK(B4), "", SUM(K4+M4) - O4)</f>
        <v>1</v>
      </c>
      <c r="N39">
        <f t="shared" ref="N39:N50" si="57">IF(ISBLANK(B4), "", U4)</f>
        <v>2</v>
      </c>
      <c r="O39">
        <f t="shared" ref="O39:O50" si="58">COUNTIF(E4, "1")*COUNTIF(F4, "1")</f>
        <v>1</v>
      </c>
      <c r="Q39">
        <f t="shared" ref="Q39:Q50" si="59">COUNTIF(D4, "1")*COUNTIF(F4, "")</f>
        <v>0</v>
      </c>
      <c r="S39">
        <f t="shared" ref="S39:S50" si="60">COUNTIF(E4, "1")*COUNTIF(F4, "")</f>
        <v>0</v>
      </c>
      <c r="W39" t="str">
        <f t="shared" si="50"/>
        <v/>
      </c>
      <c r="Y39" t="str">
        <f t="shared" si="49"/>
        <v/>
      </c>
    </row>
    <row r="40" spans="1:34" x14ac:dyDescent="0.2">
      <c r="A40">
        <f t="shared" si="51"/>
        <v>0</v>
      </c>
      <c r="C40">
        <f t="shared" si="52"/>
        <v>4</v>
      </c>
      <c r="E40">
        <f t="shared" si="53"/>
        <v>0</v>
      </c>
      <c r="G40">
        <f t="shared" si="54"/>
        <v>0</v>
      </c>
      <c r="K40">
        <f t="shared" si="55"/>
        <v>0</v>
      </c>
      <c r="M40">
        <f t="shared" si="56"/>
        <v>1</v>
      </c>
      <c r="N40">
        <f t="shared" si="57"/>
        <v>0</v>
      </c>
      <c r="O40">
        <f t="shared" si="58"/>
        <v>0</v>
      </c>
      <c r="Q40">
        <f t="shared" si="59"/>
        <v>0</v>
      </c>
      <c r="S40">
        <f t="shared" si="60"/>
        <v>0</v>
      </c>
      <c r="W40" t="str">
        <f t="shared" si="50"/>
        <v/>
      </c>
      <c r="Y40" t="str">
        <f t="shared" si="49"/>
        <v/>
      </c>
    </row>
    <row r="41" spans="1:34" x14ac:dyDescent="0.2">
      <c r="A41">
        <f t="shared" si="51"/>
        <v>0</v>
      </c>
      <c r="C41">
        <f t="shared" si="52"/>
        <v>0</v>
      </c>
      <c r="E41">
        <f t="shared" si="53"/>
        <v>0</v>
      </c>
      <c r="G41">
        <f t="shared" si="54"/>
        <v>0</v>
      </c>
      <c r="K41">
        <f t="shared" si="55"/>
        <v>0</v>
      </c>
      <c r="M41">
        <f t="shared" si="56"/>
        <v>0</v>
      </c>
      <c r="N41">
        <f t="shared" si="57"/>
        <v>0</v>
      </c>
      <c r="O41">
        <f t="shared" si="58"/>
        <v>1</v>
      </c>
      <c r="Q41">
        <f t="shared" si="59"/>
        <v>0</v>
      </c>
      <c r="S41">
        <f t="shared" si="60"/>
        <v>0</v>
      </c>
      <c r="W41" t="str">
        <f t="shared" si="50"/>
        <v/>
      </c>
      <c r="Y41" t="str">
        <f t="shared" si="49"/>
        <v/>
      </c>
    </row>
    <row r="42" spans="1:34" x14ac:dyDescent="0.2">
      <c r="A42">
        <f t="shared" si="51"/>
        <v>0</v>
      </c>
      <c r="C42">
        <f t="shared" si="52"/>
        <v>3</v>
      </c>
      <c r="E42">
        <f t="shared" si="53"/>
        <v>0</v>
      </c>
      <c r="G42">
        <f t="shared" si="54"/>
        <v>0</v>
      </c>
      <c r="K42">
        <f t="shared" si="55"/>
        <v>0</v>
      </c>
      <c r="M42">
        <f t="shared" si="56"/>
        <v>0</v>
      </c>
      <c r="N42">
        <f t="shared" si="57"/>
        <v>0</v>
      </c>
      <c r="O42">
        <f t="shared" si="58"/>
        <v>1</v>
      </c>
      <c r="Q42">
        <f t="shared" si="59"/>
        <v>0</v>
      </c>
      <c r="S42">
        <f t="shared" si="60"/>
        <v>0</v>
      </c>
      <c r="W42" t="str">
        <f t="shared" si="50"/>
        <v/>
      </c>
      <c r="Y42" t="str">
        <f t="shared" si="49"/>
        <v/>
      </c>
    </row>
    <row r="43" spans="1:34" x14ac:dyDescent="0.2">
      <c r="A43">
        <f t="shared" si="51"/>
        <v>0</v>
      </c>
      <c r="C43">
        <f t="shared" si="52"/>
        <v>4</v>
      </c>
      <c r="E43">
        <f t="shared" si="53"/>
        <v>0</v>
      </c>
      <c r="G43">
        <f t="shared" si="54"/>
        <v>0</v>
      </c>
      <c r="K43">
        <f t="shared" si="55"/>
        <v>0</v>
      </c>
      <c r="M43">
        <f t="shared" si="56"/>
        <v>-1</v>
      </c>
      <c r="N43">
        <f t="shared" si="57"/>
        <v>0</v>
      </c>
      <c r="O43">
        <f t="shared" si="58"/>
        <v>0</v>
      </c>
      <c r="Q43">
        <f t="shared" si="59"/>
        <v>0</v>
      </c>
      <c r="S43">
        <f t="shared" si="60"/>
        <v>0</v>
      </c>
    </row>
    <row r="44" spans="1:34" x14ac:dyDescent="0.2">
      <c r="A44">
        <f t="shared" si="51"/>
        <v>0</v>
      </c>
      <c r="C44">
        <f t="shared" si="52"/>
        <v>4</v>
      </c>
      <c r="E44">
        <f t="shared" si="53"/>
        <v>0</v>
      </c>
      <c r="G44">
        <f t="shared" si="54"/>
        <v>0</v>
      </c>
      <c r="K44">
        <f t="shared" si="55"/>
        <v>0</v>
      </c>
      <c r="M44">
        <f t="shared" si="56"/>
        <v>0</v>
      </c>
      <c r="N44">
        <f t="shared" si="57"/>
        <v>0</v>
      </c>
      <c r="O44">
        <f t="shared" si="58"/>
        <v>0</v>
      </c>
      <c r="Q44">
        <f t="shared" si="59"/>
        <v>0</v>
      </c>
      <c r="S44">
        <f t="shared" si="60"/>
        <v>0</v>
      </c>
    </row>
    <row r="45" spans="1:34" x14ac:dyDescent="0.2">
      <c r="A45">
        <f t="shared" si="51"/>
        <v>0</v>
      </c>
      <c r="C45">
        <f t="shared" si="52"/>
        <v>4</v>
      </c>
      <c r="E45">
        <f t="shared" si="53"/>
        <v>0</v>
      </c>
      <c r="G45">
        <f t="shared" si="54"/>
        <v>0</v>
      </c>
      <c r="K45">
        <f t="shared" si="55"/>
        <v>0</v>
      </c>
      <c r="M45">
        <f t="shared" si="56"/>
        <v>1</v>
      </c>
      <c r="N45">
        <f t="shared" si="57"/>
        <v>0</v>
      </c>
      <c r="O45">
        <f t="shared" si="58"/>
        <v>0</v>
      </c>
      <c r="Q45">
        <f t="shared" si="59"/>
        <v>1</v>
      </c>
      <c r="S45">
        <f t="shared" si="60"/>
        <v>0</v>
      </c>
    </row>
    <row r="46" spans="1:34" x14ac:dyDescent="0.2">
      <c r="A46">
        <f t="shared" si="51"/>
        <v>0</v>
      </c>
      <c r="C46">
        <f t="shared" si="52"/>
        <v>4</v>
      </c>
      <c r="E46">
        <f t="shared" si="53"/>
        <v>0</v>
      </c>
      <c r="G46">
        <f t="shared" si="54"/>
        <v>0</v>
      </c>
      <c r="K46">
        <f t="shared" si="55"/>
        <v>0</v>
      </c>
      <c r="M46">
        <f t="shared" si="56"/>
        <v>0</v>
      </c>
      <c r="N46">
        <f t="shared" si="57"/>
        <v>0</v>
      </c>
      <c r="O46">
        <f t="shared" si="58"/>
        <v>1</v>
      </c>
      <c r="Q46">
        <f t="shared" si="59"/>
        <v>0</v>
      </c>
      <c r="S46">
        <f t="shared" si="60"/>
        <v>0</v>
      </c>
    </row>
    <row r="47" spans="1:34" x14ac:dyDescent="0.2">
      <c r="A47">
        <f t="shared" si="51"/>
        <v>0</v>
      </c>
      <c r="C47">
        <f t="shared" si="52"/>
        <v>4</v>
      </c>
      <c r="E47">
        <f t="shared" si="53"/>
        <v>0</v>
      </c>
      <c r="G47">
        <f t="shared" si="54"/>
        <v>0</v>
      </c>
      <c r="K47">
        <f t="shared" si="55"/>
        <v>0</v>
      </c>
      <c r="M47">
        <f t="shared" si="56"/>
        <v>0</v>
      </c>
      <c r="N47">
        <f t="shared" si="57"/>
        <v>11</v>
      </c>
      <c r="O47">
        <f t="shared" si="58"/>
        <v>1</v>
      </c>
      <c r="Q47">
        <f t="shared" si="59"/>
        <v>0</v>
      </c>
      <c r="S47">
        <f t="shared" si="60"/>
        <v>0</v>
      </c>
    </row>
    <row r="48" spans="1:34" x14ac:dyDescent="0.2">
      <c r="A48">
        <f t="shared" si="51"/>
        <v>0</v>
      </c>
      <c r="C48">
        <f t="shared" si="52"/>
        <v>4</v>
      </c>
      <c r="E48">
        <f t="shared" si="53"/>
        <v>0</v>
      </c>
      <c r="G48">
        <f t="shared" si="54"/>
        <v>0</v>
      </c>
      <c r="K48">
        <f t="shared" si="55"/>
        <v>0</v>
      </c>
      <c r="M48">
        <f t="shared" si="56"/>
        <v>1</v>
      </c>
      <c r="N48">
        <f t="shared" si="57"/>
        <v>6</v>
      </c>
      <c r="O48">
        <f t="shared" si="58"/>
        <v>1</v>
      </c>
      <c r="Q48">
        <f t="shared" si="59"/>
        <v>0</v>
      </c>
      <c r="S48">
        <f t="shared" si="60"/>
        <v>0</v>
      </c>
    </row>
    <row r="49" spans="1:19" x14ac:dyDescent="0.2">
      <c r="A49">
        <f t="shared" si="51"/>
        <v>0</v>
      </c>
      <c r="C49">
        <f t="shared" si="52"/>
        <v>3</v>
      </c>
      <c r="E49">
        <f t="shared" si="53"/>
        <v>0</v>
      </c>
      <c r="G49">
        <f t="shared" si="54"/>
        <v>0</v>
      </c>
      <c r="K49">
        <f t="shared" si="55"/>
        <v>0</v>
      </c>
      <c r="M49">
        <f t="shared" si="56"/>
        <v>0</v>
      </c>
      <c r="N49">
        <f t="shared" si="57"/>
        <v>4</v>
      </c>
      <c r="O49">
        <f t="shared" si="58"/>
        <v>1</v>
      </c>
      <c r="Q49">
        <f t="shared" si="59"/>
        <v>0</v>
      </c>
      <c r="S49">
        <f t="shared" si="60"/>
        <v>0</v>
      </c>
    </row>
    <row r="50" spans="1:19" x14ac:dyDescent="0.2">
      <c r="A50" t="str">
        <f t="shared" si="51"/>
        <v/>
      </c>
      <c r="C50" t="str">
        <f t="shared" si="52"/>
        <v/>
      </c>
      <c r="E50" t="str">
        <f t="shared" si="53"/>
        <v/>
      </c>
      <c r="G50" t="str">
        <f t="shared" si="54"/>
        <v/>
      </c>
      <c r="K50" t="str">
        <f t="shared" si="55"/>
        <v/>
      </c>
      <c r="M50" t="str">
        <f t="shared" si="56"/>
        <v/>
      </c>
      <c r="N50" t="str">
        <f t="shared" si="57"/>
        <v/>
      </c>
      <c r="O50">
        <f t="shared" si="58"/>
        <v>0</v>
      </c>
      <c r="Q50">
        <f t="shared" si="59"/>
        <v>0</v>
      </c>
      <c r="S50">
        <f t="shared" si="60"/>
        <v>0</v>
      </c>
    </row>
  </sheetData>
  <pageMargins left="0.7" right="0.7" top="0.75" bottom="0.75" header="0.3" footer="0.3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 enableFormatConditionsCalculation="0"/>
  <dimension ref="A1:BN50"/>
  <sheetViews>
    <sheetView workbookViewId="0">
      <selection activeCell="U15" sqref="U15"/>
    </sheetView>
  </sheetViews>
  <sheetFormatPr baseColWidth="10" defaultColWidth="11.5" defaultRowHeight="15" x14ac:dyDescent="0.2"/>
  <sheetData>
    <row r="1" spans="1:66" x14ac:dyDescent="0.2">
      <c r="A1" s="1" t="s">
        <v>0</v>
      </c>
      <c r="D1" t="s">
        <v>3</v>
      </c>
      <c r="K1" t="s">
        <v>11</v>
      </c>
      <c r="N1" t="s">
        <v>12</v>
      </c>
      <c r="P1" t="s">
        <v>14</v>
      </c>
      <c r="Q1" t="s">
        <v>17</v>
      </c>
      <c r="S1" t="s">
        <v>18</v>
      </c>
      <c r="Z1" t="s">
        <v>29</v>
      </c>
      <c r="AE1" t="s">
        <v>30</v>
      </c>
      <c r="AK1" t="s">
        <v>42</v>
      </c>
    </row>
    <row r="2" spans="1:66" x14ac:dyDescent="0.2">
      <c r="A2" t="s">
        <v>1</v>
      </c>
      <c r="B2" t="s">
        <v>1</v>
      </c>
      <c r="C2" t="s">
        <v>87</v>
      </c>
      <c r="D2" t="s">
        <v>54</v>
      </c>
      <c r="E2" t="s">
        <v>13</v>
      </c>
      <c r="F2" t="s">
        <v>198</v>
      </c>
      <c r="G2" t="s">
        <v>7</v>
      </c>
      <c r="H2" t="s">
        <v>8</v>
      </c>
      <c r="I2" t="s">
        <v>179</v>
      </c>
      <c r="J2" t="s">
        <v>178</v>
      </c>
      <c r="K2" t="s">
        <v>9</v>
      </c>
      <c r="L2" t="s">
        <v>196</v>
      </c>
      <c r="M2" t="s">
        <v>10</v>
      </c>
      <c r="N2" t="s">
        <v>54</v>
      </c>
      <c r="O2" t="s">
        <v>13</v>
      </c>
      <c r="P2" t="s">
        <v>15</v>
      </c>
      <c r="Q2" t="s">
        <v>8</v>
      </c>
      <c r="R2" t="s">
        <v>7</v>
      </c>
      <c r="S2" t="s">
        <v>181</v>
      </c>
      <c r="T2" t="s">
        <v>182</v>
      </c>
      <c r="U2" t="s">
        <v>19</v>
      </c>
      <c r="V2" t="s">
        <v>191</v>
      </c>
      <c r="W2" t="s">
        <v>192</v>
      </c>
      <c r="X2" t="s">
        <v>175</v>
      </c>
      <c r="Y2" t="s">
        <v>173</v>
      </c>
      <c r="Z2" t="str">
        <f>LEFT(I4, 1)</f>
        <v/>
      </c>
      <c r="AA2" t="str">
        <f>MID(I4, 4, 1)</f>
        <v/>
      </c>
      <c r="AB2" t="str">
        <f>MID(I4, 7, 1)</f>
        <v/>
      </c>
      <c r="AC2" t="str">
        <f>MID(I4, 10, 1)</f>
        <v/>
      </c>
      <c r="AE2" t="str">
        <f>LEFT(J4, 1)</f>
        <v/>
      </c>
      <c r="AF2" t="str">
        <f>MID(J4, 4, 1)</f>
        <v/>
      </c>
      <c r="AG2" t="str">
        <f>MID(J4, 7, 1)</f>
        <v/>
      </c>
      <c r="AH2" t="str">
        <f>MID(J4, 10, 1)</f>
        <v/>
      </c>
      <c r="AI2" t="str">
        <f>MID(J4, 13, 1)</f>
        <v/>
      </c>
      <c r="AK2" t="str">
        <f>LEFT(P4, 2)</f>
        <v/>
      </c>
      <c r="AL2" t="str">
        <f>MID($P4, 5, 2)</f>
        <v/>
      </c>
      <c r="AM2" t="str">
        <f>MID($P4, 9, 2)</f>
        <v/>
      </c>
      <c r="AN2" t="str">
        <f>MID($P4, 13, 2)</f>
        <v/>
      </c>
      <c r="AO2" t="str">
        <f>MID($P4, 17, 2)</f>
        <v/>
      </c>
      <c r="AP2" t="str">
        <f>MID($P4, 21, 2)</f>
        <v/>
      </c>
      <c r="AQ2" t="str">
        <f>MID($P4, 25, 2)</f>
        <v/>
      </c>
      <c r="AR2" t="str">
        <f>MID($P4, 29, 2)</f>
        <v/>
      </c>
      <c r="AS2" t="str">
        <f>MID($P4, 33, 2)</f>
        <v/>
      </c>
      <c r="AT2" t="str">
        <f>MID($P4, 37, 2)</f>
        <v/>
      </c>
      <c r="AU2" t="str">
        <f>MID($P4, 41, 2)</f>
        <v/>
      </c>
      <c r="AV2" t="str">
        <f>MID($P4, 45, 2)</f>
        <v/>
      </c>
      <c r="AW2" t="str">
        <f>MID($P4, 49, 2)</f>
        <v/>
      </c>
      <c r="AX2" t="str">
        <f>MID($P4, 53, 2)</f>
        <v/>
      </c>
      <c r="AY2" t="str">
        <f>MID($P4, 57, 2)</f>
        <v/>
      </c>
      <c r="AZ2" t="str">
        <f>MID($P4, 61, 2)</f>
        <v/>
      </c>
      <c r="BA2" t="str">
        <f>MID($P4, 65, 2)</f>
        <v/>
      </c>
      <c r="BB2" t="str">
        <f>MID($P4, 69, 2)</f>
        <v/>
      </c>
      <c r="BC2" t="str">
        <f>MID($P4, 73, 2)</f>
        <v/>
      </c>
      <c r="BD2" t="str">
        <f>MID($P4, 77, 2)</f>
        <v/>
      </c>
      <c r="BE2" t="str">
        <f>MID($P4, 81, 2)</f>
        <v/>
      </c>
      <c r="BF2" t="str">
        <f>MID($P4, 85, 2)</f>
        <v/>
      </c>
      <c r="BG2" t="str">
        <f>MID($P4, 89, 2)</f>
        <v/>
      </c>
      <c r="BH2" t="str">
        <f>MID($P4, 93, 2)</f>
        <v/>
      </c>
    </row>
    <row r="3" spans="1:66" x14ac:dyDescent="0.2">
      <c r="A3" t="s">
        <v>2</v>
      </c>
      <c r="B3" t="s">
        <v>6</v>
      </c>
      <c r="C3" t="s">
        <v>88</v>
      </c>
      <c r="D3" t="s">
        <v>6</v>
      </c>
      <c r="E3" t="s">
        <v>6</v>
      </c>
      <c r="F3" t="s">
        <v>4</v>
      </c>
      <c r="G3" t="s">
        <v>6</v>
      </c>
      <c r="H3" t="s">
        <v>6</v>
      </c>
      <c r="I3" t="s">
        <v>86</v>
      </c>
      <c r="J3" t="s">
        <v>86</v>
      </c>
      <c r="K3" t="s">
        <v>6</v>
      </c>
      <c r="L3" t="s">
        <v>6</v>
      </c>
      <c r="M3" t="s">
        <v>6</v>
      </c>
      <c r="N3" t="s">
        <v>6</v>
      </c>
      <c r="O3" t="s">
        <v>6</v>
      </c>
      <c r="P3" t="s">
        <v>16</v>
      </c>
      <c r="Q3" t="s">
        <v>6</v>
      </c>
      <c r="R3" t="s">
        <v>6</v>
      </c>
      <c r="S3" t="s">
        <v>4</v>
      </c>
      <c r="T3" t="s">
        <v>4</v>
      </c>
      <c r="U3" t="s">
        <v>6</v>
      </c>
      <c r="V3" t="s">
        <v>6</v>
      </c>
      <c r="W3" t="s">
        <v>6</v>
      </c>
      <c r="X3" t="s">
        <v>6</v>
      </c>
      <c r="Y3" t="s">
        <v>174</v>
      </c>
      <c r="Z3" t="str">
        <f>LEFT(I5, 1)</f>
        <v/>
      </c>
      <c r="AA3" t="str">
        <f>MID(I5, 4, 1)</f>
        <v/>
      </c>
      <c r="AB3" t="str">
        <f>MID(I5, 7, 1)</f>
        <v/>
      </c>
      <c r="AC3" t="str">
        <f>MID(I5, 10, 1)</f>
        <v/>
      </c>
      <c r="AE3" t="str">
        <f>LEFT(J5, 1)</f>
        <v/>
      </c>
      <c r="AF3" t="str">
        <f>MID(J5, 4, 1)</f>
        <v/>
      </c>
      <c r="AG3" t="str">
        <f>MID(J5, 7, 1)</f>
        <v/>
      </c>
      <c r="AH3" t="str">
        <f>MID(J5, 10, 1)</f>
        <v/>
      </c>
      <c r="AI3" t="str">
        <f>MID(J5, 13, 1)</f>
        <v/>
      </c>
      <c r="AK3" t="str">
        <f>LEFT(P5, 2)</f>
        <v/>
      </c>
      <c r="AL3" t="str">
        <f>MID(P5, 5, 2)</f>
        <v/>
      </c>
      <c r="AM3" t="str">
        <f>MID($P5, 9, 2)</f>
        <v/>
      </c>
      <c r="AN3" t="str">
        <f>MID($P5, 13, 2)</f>
        <v/>
      </c>
      <c r="AO3" t="str">
        <f>MID($P5, 17, 2)</f>
        <v/>
      </c>
      <c r="AP3" t="str">
        <f>MID($P5, 21, 2)</f>
        <v/>
      </c>
      <c r="AQ3" t="str">
        <f>MID($P5, 25, 2)</f>
        <v/>
      </c>
      <c r="AR3" t="str">
        <f>MID($P5, 29, 2)</f>
        <v/>
      </c>
      <c r="AS3" t="str">
        <f>MID($P5, 33, 2)</f>
        <v/>
      </c>
      <c r="AT3" t="str">
        <f>MID($P5, 37, 2)</f>
        <v/>
      </c>
      <c r="AU3" t="str">
        <f>MID($P5, 41, 2)</f>
        <v/>
      </c>
      <c r="AV3" t="str">
        <f>MID($P5, 45, 2)</f>
        <v/>
      </c>
      <c r="AW3" t="str">
        <f>MID($P5, 49, 2)</f>
        <v/>
      </c>
      <c r="AX3" t="str">
        <f>MID($P5, 53, 2)</f>
        <v/>
      </c>
      <c r="AY3" t="str">
        <f>MID($P5, 57, 2)</f>
        <v/>
      </c>
      <c r="AZ3" t="str">
        <f>MID($P5, 61, 2)</f>
        <v/>
      </c>
      <c r="BA3" t="str">
        <f>MID($P5, 65, 2)</f>
        <v/>
      </c>
      <c r="BB3" t="str">
        <f>MID($P5, 69, 2)</f>
        <v/>
      </c>
      <c r="BC3" t="str">
        <f>MID($P5, 73, 2)</f>
        <v/>
      </c>
      <c r="BD3" t="str">
        <f>MID($P5, 77, 2)</f>
        <v/>
      </c>
      <c r="BE3" t="str">
        <f>MID($P5, 81, 2)</f>
        <v/>
      </c>
      <c r="BF3" t="str">
        <f>MID($P5, 85, 2)</f>
        <v/>
      </c>
      <c r="BG3" t="str">
        <f>MID($P5, 89, 2)</f>
        <v/>
      </c>
      <c r="BH3" t="str">
        <f>MID($P5, 93, 2)</f>
        <v/>
      </c>
    </row>
    <row r="4" spans="1:66" x14ac:dyDescent="0.2">
      <c r="A4">
        <v>1</v>
      </c>
      <c r="B4">
        <v>7</v>
      </c>
      <c r="C4" t="s">
        <v>207</v>
      </c>
      <c r="D4">
        <v>1</v>
      </c>
      <c r="K4">
        <v>2</v>
      </c>
      <c r="L4">
        <v>1</v>
      </c>
      <c r="N4">
        <v>3</v>
      </c>
      <c r="O4">
        <v>2</v>
      </c>
      <c r="S4">
        <v>1</v>
      </c>
      <c r="T4">
        <v>1</v>
      </c>
      <c r="U4">
        <v>1</v>
      </c>
      <c r="X4">
        <f>G4+H4+Q4+R4</f>
        <v>0</v>
      </c>
      <c r="Z4" t="str">
        <f>LEFT(I6, 1)</f>
        <v/>
      </c>
      <c r="AA4" t="str">
        <f>MID(I6, 4, 1)</f>
        <v/>
      </c>
      <c r="AB4" t="str">
        <f>MID(I6, 7, 1)</f>
        <v/>
      </c>
      <c r="AC4" t="str">
        <f>MID(I6, 10, 1)</f>
        <v/>
      </c>
      <c r="AE4" t="str">
        <f>LEFT(J6, 1)</f>
        <v/>
      </c>
      <c r="AF4" t="str">
        <f>MID(J6, 4, 1)</f>
        <v/>
      </c>
      <c r="AG4" t="str">
        <f>MID(J6, 7, 1)</f>
        <v/>
      </c>
      <c r="AH4" t="str">
        <f>MID(J6, 10, 1)</f>
        <v/>
      </c>
      <c r="AI4" t="str">
        <f>MID(J6, 13, 1)</f>
        <v/>
      </c>
      <c r="AK4" t="str">
        <f>LEFT(P6, 2)</f>
        <v/>
      </c>
      <c r="AL4" t="str">
        <f>MID(P6, 5, 2)</f>
        <v/>
      </c>
      <c r="AM4" t="str">
        <f>MID($P6, 9, 2)</f>
        <v/>
      </c>
      <c r="AN4" t="str">
        <f>MID($P6, 13, 2)</f>
        <v/>
      </c>
      <c r="AO4" t="str">
        <f>MID($P6, 17, 2)</f>
        <v/>
      </c>
      <c r="AP4" t="str">
        <f>MID($P6, 21, 2)</f>
        <v/>
      </c>
      <c r="AQ4" t="str">
        <f>MID($P6, 25, 2)</f>
        <v/>
      </c>
      <c r="AR4" t="str">
        <f>MID($P6, 29, 2)</f>
        <v/>
      </c>
      <c r="AS4" t="str">
        <f>MID($P6, 33, 2)</f>
        <v/>
      </c>
      <c r="AT4" t="str">
        <f>MID($P6, 37, 2)</f>
        <v/>
      </c>
      <c r="AU4" t="str">
        <f>MID($P6, 41, 2)</f>
        <v/>
      </c>
      <c r="AV4" t="str">
        <f>MID($P6, 45, 2)</f>
        <v/>
      </c>
      <c r="AW4" t="str">
        <f>MID($P6, 49, 2)</f>
        <v/>
      </c>
      <c r="AX4" t="str">
        <f>MID($P6, 53, 2)</f>
        <v/>
      </c>
      <c r="AY4" t="str">
        <f>MID($P6, 57, 2)</f>
        <v/>
      </c>
      <c r="AZ4" t="str">
        <f>MID($P6, 61, 2)</f>
        <v/>
      </c>
      <c r="BA4" t="str">
        <f>MID($P6, 65, 2)</f>
        <v/>
      </c>
      <c r="BB4" t="str">
        <f>MID($P6, 69, 2)</f>
        <v/>
      </c>
      <c r="BC4" t="str">
        <f>MID($P6, 73, 2)</f>
        <v/>
      </c>
      <c r="BD4" t="str">
        <f>MID($P6, 77, 2)</f>
        <v/>
      </c>
      <c r="BE4" t="str">
        <f>MID($P6, 81, 2)</f>
        <v/>
      </c>
      <c r="BF4" t="str">
        <f>MID($P6, 85, 2)</f>
        <v/>
      </c>
      <c r="BG4" t="str">
        <f>MID($P6, 89, 2)</f>
        <v/>
      </c>
      <c r="BH4" t="str">
        <f>MID($P6, 93, 2)</f>
        <v/>
      </c>
    </row>
    <row r="5" spans="1:66" x14ac:dyDescent="0.2">
      <c r="A5">
        <v>2</v>
      </c>
      <c r="B5">
        <v>18</v>
      </c>
      <c r="C5" t="s">
        <v>207</v>
      </c>
      <c r="D5">
        <v>1</v>
      </c>
      <c r="E5">
        <v>1</v>
      </c>
      <c r="K5">
        <v>1</v>
      </c>
      <c r="L5">
        <v>1</v>
      </c>
      <c r="N5">
        <v>1</v>
      </c>
      <c r="O5">
        <v>1</v>
      </c>
      <c r="S5">
        <v>1</v>
      </c>
      <c r="X5">
        <f>G5+H5+Q5+R5</f>
        <v>0</v>
      </c>
      <c r="Z5" t="str">
        <f>LEFT(I7, 1)</f>
        <v/>
      </c>
      <c r="AA5" t="str">
        <f>MID(I7, 4, 1)</f>
        <v/>
      </c>
      <c r="AB5" t="str">
        <f>MID(I7, 7, 1)</f>
        <v/>
      </c>
      <c r="AC5" t="str">
        <f>MID(I7, 10, 1)</f>
        <v/>
      </c>
      <c r="AE5" t="str">
        <f>LEFT(J7, 1)</f>
        <v/>
      </c>
      <c r="AF5" t="str">
        <f>MID(J7, 4, 1)</f>
        <v/>
      </c>
      <c r="AG5" t="str">
        <f>MID(J7, 7, 1)</f>
        <v/>
      </c>
      <c r="AH5" t="str">
        <f>MID(J7, 10, 1)</f>
        <v/>
      </c>
      <c r="AI5" t="str">
        <f>MID(J7, 13, 1)</f>
        <v/>
      </c>
      <c r="AK5" t="str">
        <f>LEFT(P7, 2)</f>
        <v/>
      </c>
      <c r="AL5" t="str">
        <f>MID(P7, 5, 2)</f>
        <v/>
      </c>
      <c r="AM5" t="str">
        <f>MID($P7, 9, 2)</f>
        <v/>
      </c>
      <c r="AN5" t="str">
        <f>MID($P7, 13, 2)</f>
        <v/>
      </c>
      <c r="AO5" t="str">
        <f>MID($P7, 17, 2)</f>
        <v/>
      </c>
      <c r="AP5" t="str">
        <f>MID($P7, 21, 2)</f>
        <v/>
      </c>
      <c r="AQ5" t="str">
        <f>MID($P7, 25, 2)</f>
        <v/>
      </c>
      <c r="AR5" t="str">
        <f>MID($P7, 29, 2)</f>
        <v/>
      </c>
      <c r="AS5" t="str">
        <f>MID($P7, 33, 2)</f>
        <v/>
      </c>
      <c r="AT5" t="str">
        <f>MID($P7, 37, 2)</f>
        <v/>
      </c>
      <c r="AU5" t="str">
        <f>MID($P7, 41, 2)</f>
        <v/>
      </c>
      <c r="AV5" t="str">
        <f>MID($P7, 45, 2)</f>
        <v/>
      </c>
      <c r="AW5" t="str">
        <f>MID($P7, 49, 2)</f>
        <v/>
      </c>
      <c r="AX5" t="str">
        <f>MID($P7, 53, 2)</f>
        <v/>
      </c>
      <c r="AY5" t="str">
        <f>MID($P7, 57, 2)</f>
        <v/>
      </c>
      <c r="AZ5" t="str">
        <f>MID($P7, 61, 2)</f>
        <v/>
      </c>
      <c r="BA5" t="str">
        <f>MID($P7, 65, 2)</f>
        <v/>
      </c>
      <c r="BB5" t="str">
        <f>MID($P7, 69, 2)</f>
        <v/>
      </c>
      <c r="BC5" t="str">
        <f>MID($P7, 73, 2)</f>
        <v/>
      </c>
      <c r="BD5" t="str">
        <f>MID($P7, 77, 2)</f>
        <v/>
      </c>
      <c r="BE5" t="str">
        <f>MID($P7, 81, 2)</f>
        <v/>
      </c>
      <c r="BF5" t="str">
        <f>MID($P7, 85, 2)</f>
        <v/>
      </c>
      <c r="BG5" t="str">
        <f>MID($P7, 89, 2)</f>
        <v/>
      </c>
      <c r="BH5" t="str">
        <f>MID($P7, 93, 2)</f>
        <v/>
      </c>
    </row>
    <row r="6" spans="1:66" x14ac:dyDescent="0.2">
      <c r="A6">
        <v>3</v>
      </c>
      <c r="B6">
        <v>25</v>
      </c>
      <c r="C6" t="s">
        <v>207</v>
      </c>
      <c r="D6">
        <v>1</v>
      </c>
      <c r="K6">
        <v>2</v>
      </c>
      <c r="L6">
        <v>2</v>
      </c>
      <c r="N6">
        <v>3</v>
      </c>
      <c r="O6">
        <v>3</v>
      </c>
      <c r="S6">
        <v>1</v>
      </c>
      <c r="T6">
        <v>1</v>
      </c>
      <c r="U6">
        <v>2</v>
      </c>
      <c r="X6">
        <f>G6+H6+Q6+R6</f>
        <v>0</v>
      </c>
      <c r="Z6" t="str">
        <f>LEFT('2729'!I7, 1)</f>
        <v/>
      </c>
      <c r="AA6" t="str">
        <f>MID('2729'!I7, 4, 1)</f>
        <v/>
      </c>
      <c r="AB6" t="str">
        <f>MID('2729'!I7, 7, 1)</f>
        <v/>
      </c>
      <c r="AC6" t="str">
        <f>MID('2729'!I7, 10, 1)</f>
        <v/>
      </c>
      <c r="AE6" t="str">
        <f>LEFT('2729'!J7, 1)</f>
        <v/>
      </c>
      <c r="AF6" t="str">
        <f>MID('2729'!J7, 4, 1)</f>
        <v/>
      </c>
      <c r="AG6" t="str">
        <f>MID('2729'!J7, 7, 1)</f>
        <v/>
      </c>
      <c r="AH6" t="str">
        <f>MID('2729'!J7, 10, 1)</f>
        <v/>
      </c>
      <c r="AI6" t="str">
        <f>MID('2729'!J7, 13, 1)</f>
        <v/>
      </c>
      <c r="AK6" t="str">
        <f>LEFT('2729'!P7, 2)</f>
        <v/>
      </c>
      <c r="AL6" t="str">
        <f>MID('2729'!P7, 5, 2)</f>
        <v/>
      </c>
      <c r="AM6" t="str">
        <f>MID('2729'!$P7, 9, 2)</f>
        <v/>
      </c>
      <c r="AN6" t="str">
        <f>MID('2729'!$P7, 13, 2)</f>
        <v/>
      </c>
      <c r="AO6" t="str">
        <f>MID('2729'!$P7, 17, 2)</f>
        <v/>
      </c>
      <c r="AP6" t="str">
        <f>MID('2729'!$P7, 21, 2)</f>
        <v/>
      </c>
      <c r="AQ6" t="str">
        <f>MID('2729'!$P7, 25, 2)</f>
        <v/>
      </c>
      <c r="AR6" t="str">
        <f>MID('2729'!$P7, 29, 2)</f>
        <v/>
      </c>
      <c r="AS6" t="str">
        <f>MID('2729'!$P7, 33, 2)</f>
        <v/>
      </c>
      <c r="AT6" t="str">
        <f>MID('2729'!$P7, 37, 2)</f>
        <v/>
      </c>
      <c r="AU6" t="str">
        <f>MID('2729'!$P7, 41, 2)</f>
        <v/>
      </c>
      <c r="AV6" t="str">
        <f>MID('2729'!$P7, 45, 2)</f>
        <v/>
      </c>
      <c r="AW6" t="str">
        <f>MID('2729'!$P7, 49, 2)</f>
        <v/>
      </c>
      <c r="AX6" t="str">
        <f>MID('2729'!$P7, 53, 2)</f>
        <v/>
      </c>
      <c r="AY6" t="str">
        <f>MID('2729'!$P7, 57, 2)</f>
        <v/>
      </c>
      <c r="AZ6" t="str">
        <f>MID('2729'!$P7, 61, 2)</f>
        <v/>
      </c>
      <c r="BA6" t="str">
        <f>MID('2729'!$P7, 65, 2)</f>
        <v/>
      </c>
      <c r="BB6" t="str">
        <f>MID('2729'!$P7, 69, 2)</f>
        <v/>
      </c>
      <c r="BC6" t="str">
        <f>MID('2729'!$P7, 73, 2)</f>
        <v/>
      </c>
      <c r="BD6" t="str">
        <f>MID('2729'!$P7, 77, 2)</f>
        <v/>
      </c>
      <c r="BE6" t="str">
        <f>MID('2729'!$P7, 81, 2)</f>
        <v/>
      </c>
      <c r="BF6" t="str">
        <f>MID('2729'!$P7, 85, 2)</f>
        <v/>
      </c>
      <c r="BG6" t="str">
        <f>MID('2729'!$P7, 89, 2)</f>
        <v/>
      </c>
      <c r="BH6" t="str">
        <f>MID('2729'!$P7, 93, 2)</f>
        <v/>
      </c>
    </row>
    <row r="7" spans="1:66" x14ac:dyDescent="0.2">
      <c r="A7">
        <v>4</v>
      </c>
      <c r="B7">
        <v>32</v>
      </c>
      <c r="C7" t="s">
        <v>39</v>
      </c>
      <c r="K7">
        <v>3</v>
      </c>
      <c r="N7">
        <v>4</v>
      </c>
      <c r="O7">
        <v>4</v>
      </c>
      <c r="S7">
        <v>1</v>
      </c>
      <c r="T7">
        <v>1</v>
      </c>
      <c r="X7">
        <f>G7+H7+Q7+R7</f>
        <v>0</v>
      </c>
      <c r="Z7" t="str">
        <f t="shared" ref="Z7:Z13" si="0">LEFT(I8, 1)</f>
        <v/>
      </c>
      <c r="AA7" t="str">
        <f t="shared" ref="AA7:AA13" si="1">MID(I8, 4, 1)</f>
        <v/>
      </c>
      <c r="AB7" t="str">
        <f t="shared" ref="AB7:AB13" si="2">MID(I8, 7, 1)</f>
        <v/>
      </c>
      <c r="AC7" t="str">
        <f t="shared" ref="AC7:AC13" si="3">MID(I8, 10, 1)</f>
        <v/>
      </c>
      <c r="AE7" t="str">
        <f t="shared" ref="AE7:AE13" si="4">LEFT(J8, 1)</f>
        <v/>
      </c>
      <c r="AF7" t="str">
        <f t="shared" ref="AF7:AF13" si="5">MID(J8, 4, 1)</f>
        <v/>
      </c>
      <c r="AG7" t="str">
        <f t="shared" ref="AG7:AG13" si="6">MID(J8, 7, 1)</f>
        <v/>
      </c>
      <c r="AH7" t="str">
        <f t="shared" ref="AH7:AH13" si="7">MID(J8, 10, 1)</f>
        <v/>
      </c>
      <c r="AI7" t="str">
        <f t="shared" ref="AI7:AI13" si="8">MID(J8, 13, 1)</f>
        <v/>
      </c>
      <c r="AK7" t="str">
        <f t="shared" ref="AK7:AK13" si="9">LEFT(P8, 2)</f>
        <v/>
      </c>
      <c r="AL7" t="str">
        <f t="shared" ref="AL7:AL13" si="10">MID(P8, 5, 2)</f>
        <v/>
      </c>
      <c r="AM7" t="str">
        <f t="shared" ref="AM7:AM13" si="11">MID($P8, 9, 2)</f>
        <v/>
      </c>
      <c r="AN7" t="str">
        <f t="shared" ref="AN7:AN13" si="12">MID($P8, 13, 2)</f>
        <v/>
      </c>
      <c r="AO7" t="str">
        <f t="shared" ref="AO7:AO13" si="13">MID($P8, 17, 2)</f>
        <v/>
      </c>
      <c r="AP7" t="str">
        <f t="shared" ref="AP7:AP13" si="14">MID($P8, 21, 2)</f>
        <v/>
      </c>
      <c r="AQ7" t="str">
        <f t="shared" ref="AQ7:AQ13" si="15">MID($P8, 25, 2)</f>
        <v/>
      </c>
      <c r="AR7" t="str">
        <f t="shared" ref="AR7:AR13" si="16">MID($P8, 29, 2)</f>
        <v/>
      </c>
      <c r="AS7" t="str">
        <f t="shared" ref="AS7:AS13" si="17">MID($P8, 33, 2)</f>
        <v/>
      </c>
      <c r="AT7" t="str">
        <f t="shared" ref="AT7:AT13" si="18">MID($P8, 37, 2)</f>
        <v/>
      </c>
      <c r="AU7" t="str">
        <f t="shared" ref="AU7:AU13" si="19">MID($P8, 41, 2)</f>
        <v/>
      </c>
      <c r="AV7" t="str">
        <f t="shared" ref="AV7:AV13" si="20">MID($P8, 45, 2)</f>
        <v/>
      </c>
      <c r="AW7" t="str">
        <f t="shared" ref="AW7:AW13" si="21">MID($P8, 49, 2)</f>
        <v/>
      </c>
      <c r="AX7" t="str">
        <f t="shared" ref="AX7:AX13" si="22">MID($P8, 53, 2)</f>
        <v/>
      </c>
      <c r="AY7" t="str">
        <f t="shared" ref="AY7:AY13" si="23">MID($P8, 57, 2)</f>
        <v/>
      </c>
      <c r="AZ7" t="str">
        <f t="shared" ref="AZ7:AZ13" si="24">MID($P8, 61, 2)</f>
        <v/>
      </c>
      <c r="BA7" t="str">
        <f t="shared" ref="BA7:BA13" si="25">MID($P8, 65, 2)</f>
        <v/>
      </c>
      <c r="BB7" t="str">
        <f t="shared" ref="BB7:BB13" si="26">MID($P8, 69, 2)</f>
        <v/>
      </c>
      <c r="BC7" t="str">
        <f t="shared" ref="BC7:BC13" si="27">MID($P8, 73, 2)</f>
        <v/>
      </c>
      <c r="BD7" t="str">
        <f t="shared" ref="BD7:BD13" si="28">MID($P8, 77, 2)</f>
        <v/>
      </c>
      <c r="BE7" t="str">
        <f t="shared" ref="BE7:BE13" si="29">MID($P8, 81, 2)</f>
        <v/>
      </c>
      <c r="BF7" t="str">
        <f t="shared" ref="BF7:BF13" si="30">MID($P8, 85, 2)</f>
        <v/>
      </c>
      <c r="BG7" t="str">
        <f t="shared" ref="BG7:BG13" si="31">MID($P8, 89, 2)</f>
        <v/>
      </c>
      <c r="BH7" t="str">
        <f t="shared" ref="BH7:BH13" si="32">MID($P8, 93, 2)</f>
        <v/>
      </c>
    </row>
    <row r="8" spans="1:66" x14ac:dyDescent="0.2">
      <c r="A8">
        <v>5</v>
      </c>
      <c r="B8">
        <v>43</v>
      </c>
      <c r="C8" t="s">
        <v>39</v>
      </c>
      <c r="D8">
        <v>1</v>
      </c>
      <c r="F8">
        <v>1</v>
      </c>
      <c r="K8">
        <v>1</v>
      </c>
      <c r="L8">
        <v>3</v>
      </c>
      <c r="N8">
        <v>2</v>
      </c>
      <c r="O8">
        <v>2</v>
      </c>
      <c r="S8">
        <v>1</v>
      </c>
      <c r="T8">
        <v>1</v>
      </c>
      <c r="U8">
        <v>42</v>
      </c>
      <c r="X8">
        <f>'2729'!G7+'2729'!H7+'2729'!Q7+'2729'!R7</f>
        <v>0</v>
      </c>
      <c r="Z8" t="str">
        <f t="shared" si="0"/>
        <v/>
      </c>
      <c r="AA8" t="str">
        <f t="shared" si="1"/>
        <v/>
      </c>
      <c r="AB8" t="str">
        <f t="shared" si="2"/>
        <v/>
      </c>
      <c r="AC8" t="str">
        <f t="shared" si="3"/>
        <v/>
      </c>
      <c r="AE8" t="str">
        <f t="shared" si="4"/>
        <v/>
      </c>
      <c r="AF8" t="str">
        <f t="shared" si="5"/>
        <v/>
      </c>
      <c r="AG8" t="str">
        <f t="shared" si="6"/>
        <v/>
      </c>
      <c r="AH8" t="str">
        <f t="shared" si="7"/>
        <v/>
      </c>
      <c r="AI8" t="str">
        <f t="shared" si="8"/>
        <v/>
      </c>
      <c r="AK8" t="str">
        <f t="shared" si="9"/>
        <v/>
      </c>
      <c r="AL8" t="str">
        <f t="shared" si="10"/>
        <v/>
      </c>
      <c r="AM8" t="str">
        <f t="shared" si="11"/>
        <v/>
      </c>
      <c r="AN8" t="str">
        <f t="shared" si="12"/>
        <v/>
      </c>
      <c r="AO8" t="str">
        <f t="shared" si="13"/>
        <v/>
      </c>
      <c r="AP8" t="str">
        <f t="shared" si="14"/>
        <v/>
      </c>
      <c r="AQ8" t="str">
        <f t="shared" si="15"/>
        <v/>
      </c>
      <c r="AR8" t="str">
        <f t="shared" si="16"/>
        <v/>
      </c>
      <c r="AS8" t="str">
        <f t="shared" si="17"/>
        <v/>
      </c>
      <c r="AT8" t="str">
        <f t="shared" si="18"/>
        <v/>
      </c>
      <c r="AU8" t="str">
        <f t="shared" si="19"/>
        <v/>
      </c>
      <c r="AV8" t="str">
        <f t="shared" si="20"/>
        <v/>
      </c>
      <c r="AW8" t="str">
        <f t="shared" si="21"/>
        <v/>
      </c>
      <c r="AX8" t="str">
        <f t="shared" si="22"/>
        <v/>
      </c>
      <c r="AY8" t="str">
        <f t="shared" si="23"/>
        <v/>
      </c>
      <c r="AZ8" t="str">
        <f t="shared" si="24"/>
        <v/>
      </c>
      <c r="BA8" t="str">
        <f t="shared" si="25"/>
        <v/>
      </c>
      <c r="BB8" t="str">
        <f t="shared" si="26"/>
        <v/>
      </c>
      <c r="BC8" t="str">
        <f t="shared" si="27"/>
        <v/>
      </c>
      <c r="BD8" t="str">
        <f t="shared" si="28"/>
        <v/>
      </c>
      <c r="BE8" t="str">
        <f t="shared" si="29"/>
        <v/>
      </c>
      <c r="BF8" t="str">
        <f t="shared" si="30"/>
        <v/>
      </c>
      <c r="BG8" t="str">
        <f t="shared" si="31"/>
        <v/>
      </c>
      <c r="BH8" t="str">
        <f t="shared" si="32"/>
        <v/>
      </c>
    </row>
    <row r="9" spans="1:66" x14ac:dyDescent="0.2">
      <c r="A9">
        <v>6</v>
      </c>
      <c r="B9">
        <v>57</v>
      </c>
      <c r="C9" t="s">
        <v>39</v>
      </c>
      <c r="D9">
        <v>1</v>
      </c>
      <c r="E9">
        <v>1</v>
      </c>
      <c r="F9">
        <v>1</v>
      </c>
      <c r="K9">
        <v>4</v>
      </c>
      <c r="L9">
        <v>2</v>
      </c>
      <c r="N9">
        <v>3</v>
      </c>
      <c r="O9">
        <v>3</v>
      </c>
      <c r="S9">
        <v>1</v>
      </c>
      <c r="X9">
        <f t="shared" ref="X9:X15" si="33">G8+H8+Q8+R8</f>
        <v>0</v>
      </c>
      <c r="Z9" t="str">
        <f t="shared" si="0"/>
        <v/>
      </c>
      <c r="AA9" t="str">
        <f t="shared" si="1"/>
        <v/>
      </c>
      <c r="AB9" t="str">
        <f t="shared" si="2"/>
        <v/>
      </c>
      <c r="AC9" t="str">
        <f t="shared" si="3"/>
        <v/>
      </c>
      <c r="AE9" t="str">
        <f t="shared" si="4"/>
        <v/>
      </c>
      <c r="AF9" t="str">
        <f t="shared" si="5"/>
        <v/>
      </c>
      <c r="AG9" t="str">
        <f t="shared" si="6"/>
        <v/>
      </c>
      <c r="AH9" t="str">
        <f t="shared" si="7"/>
        <v/>
      </c>
      <c r="AI9" t="str">
        <f t="shared" si="8"/>
        <v/>
      </c>
      <c r="AK9" t="str">
        <f t="shared" si="9"/>
        <v/>
      </c>
      <c r="AL9" t="str">
        <f t="shared" si="10"/>
        <v/>
      </c>
      <c r="AM9" t="str">
        <f t="shared" si="11"/>
        <v/>
      </c>
      <c r="AN9" t="str">
        <f t="shared" si="12"/>
        <v/>
      </c>
      <c r="AO9" t="str">
        <f t="shared" si="13"/>
        <v/>
      </c>
      <c r="AP9" t="str">
        <f t="shared" si="14"/>
        <v/>
      </c>
      <c r="AQ9" t="str">
        <f t="shared" si="15"/>
        <v/>
      </c>
      <c r="AR9" t="str">
        <f t="shared" si="16"/>
        <v/>
      </c>
      <c r="AS9" t="str">
        <f t="shared" si="17"/>
        <v/>
      </c>
      <c r="AT9" t="str">
        <f t="shared" si="18"/>
        <v/>
      </c>
      <c r="AU9" t="str">
        <f t="shared" si="19"/>
        <v/>
      </c>
      <c r="AV9" t="str">
        <f t="shared" si="20"/>
        <v/>
      </c>
      <c r="AW9" t="str">
        <f t="shared" si="21"/>
        <v/>
      </c>
      <c r="AX9" t="str">
        <f t="shared" si="22"/>
        <v/>
      </c>
      <c r="AY9" t="str">
        <f t="shared" si="23"/>
        <v/>
      </c>
      <c r="AZ9" t="str">
        <f t="shared" si="24"/>
        <v/>
      </c>
      <c r="BA9" t="str">
        <f t="shared" si="25"/>
        <v/>
      </c>
      <c r="BB9" t="str">
        <f t="shared" si="26"/>
        <v/>
      </c>
      <c r="BC9" t="str">
        <f t="shared" si="27"/>
        <v/>
      </c>
      <c r="BD9" t="str">
        <f t="shared" si="28"/>
        <v/>
      </c>
      <c r="BE9" t="str">
        <f t="shared" si="29"/>
        <v/>
      </c>
      <c r="BF9" t="str">
        <f t="shared" si="30"/>
        <v/>
      </c>
      <c r="BG9" t="str">
        <f t="shared" si="31"/>
        <v/>
      </c>
      <c r="BH9" t="str">
        <f t="shared" si="32"/>
        <v/>
      </c>
    </row>
    <row r="10" spans="1:66" x14ac:dyDescent="0.2">
      <c r="A10">
        <v>7</v>
      </c>
      <c r="B10">
        <v>67</v>
      </c>
      <c r="C10" t="s">
        <v>207</v>
      </c>
      <c r="D10">
        <v>1</v>
      </c>
      <c r="E10">
        <v>1</v>
      </c>
      <c r="K10">
        <v>3</v>
      </c>
      <c r="L10">
        <v>1</v>
      </c>
      <c r="N10">
        <v>3</v>
      </c>
      <c r="O10">
        <v>3</v>
      </c>
      <c r="S10">
        <v>1</v>
      </c>
      <c r="T10">
        <v>1</v>
      </c>
      <c r="X10">
        <f t="shared" si="33"/>
        <v>0</v>
      </c>
      <c r="Z10" t="str">
        <f t="shared" si="0"/>
        <v/>
      </c>
      <c r="AA10" t="str">
        <f t="shared" si="1"/>
        <v/>
      </c>
      <c r="AB10" t="str">
        <f t="shared" si="2"/>
        <v/>
      </c>
      <c r="AC10" t="str">
        <f t="shared" si="3"/>
        <v/>
      </c>
      <c r="AE10" t="str">
        <f t="shared" si="4"/>
        <v/>
      </c>
      <c r="AF10" t="str">
        <f t="shared" si="5"/>
        <v/>
      </c>
      <c r="AG10" t="str">
        <f t="shared" si="6"/>
        <v/>
      </c>
      <c r="AH10" t="str">
        <f t="shared" si="7"/>
        <v/>
      </c>
      <c r="AI10" t="str">
        <f t="shared" si="8"/>
        <v/>
      </c>
      <c r="AK10" t="str">
        <f t="shared" si="9"/>
        <v/>
      </c>
      <c r="AL10" t="str">
        <f t="shared" si="10"/>
        <v/>
      </c>
      <c r="AM10" t="str">
        <f t="shared" si="11"/>
        <v/>
      </c>
      <c r="AN10" t="str">
        <f t="shared" si="12"/>
        <v/>
      </c>
      <c r="AO10" t="str">
        <f t="shared" si="13"/>
        <v/>
      </c>
      <c r="AP10" t="str">
        <f t="shared" si="14"/>
        <v/>
      </c>
      <c r="AQ10" t="str">
        <f t="shared" si="15"/>
        <v/>
      </c>
      <c r="AR10" t="str">
        <f t="shared" si="16"/>
        <v/>
      </c>
      <c r="AS10" t="str">
        <f t="shared" si="17"/>
        <v/>
      </c>
      <c r="AT10" t="str">
        <f t="shared" si="18"/>
        <v/>
      </c>
      <c r="AU10" t="str">
        <f t="shared" si="19"/>
        <v/>
      </c>
      <c r="AV10" t="str">
        <f t="shared" si="20"/>
        <v/>
      </c>
      <c r="AW10" t="str">
        <f t="shared" si="21"/>
        <v/>
      </c>
      <c r="AX10" t="str">
        <f t="shared" si="22"/>
        <v/>
      </c>
      <c r="AY10" t="str">
        <f t="shared" si="23"/>
        <v/>
      </c>
      <c r="AZ10" t="str">
        <f t="shared" si="24"/>
        <v/>
      </c>
      <c r="BA10" t="str">
        <f t="shared" si="25"/>
        <v/>
      </c>
      <c r="BB10" t="str">
        <f t="shared" si="26"/>
        <v/>
      </c>
      <c r="BC10" t="str">
        <f t="shared" si="27"/>
        <v/>
      </c>
      <c r="BD10" t="str">
        <f t="shared" si="28"/>
        <v/>
      </c>
      <c r="BE10" t="str">
        <f t="shared" si="29"/>
        <v/>
      </c>
      <c r="BF10" t="str">
        <f t="shared" si="30"/>
        <v/>
      </c>
      <c r="BG10" t="str">
        <f t="shared" si="31"/>
        <v/>
      </c>
      <c r="BH10" t="str">
        <f t="shared" si="32"/>
        <v/>
      </c>
    </row>
    <row r="11" spans="1:66" x14ac:dyDescent="0.2">
      <c r="A11">
        <v>8</v>
      </c>
      <c r="B11">
        <v>78</v>
      </c>
      <c r="C11" t="s">
        <v>39</v>
      </c>
      <c r="D11">
        <v>1</v>
      </c>
      <c r="K11">
        <v>4</v>
      </c>
      <c r="L11">
        <v>1</v>
      </c>
      <c r="N11">
        <v>4</v>
      </c>
      <c r="O11">
        <v>4</v>
      </c>
      <c r="S11">
        <v>1</v>
      </c>
      <c r="T11">
        <v>1</v>
      </c>
      <c r="X11">
        <f t="shared" si="33"/>
        <v>0</v>
      </c>
      <c r="Z11" t="str">
        <f t="shared" si="0"/>
        <v/>
      </c>
      <c r="AA11" t="str">
        <f t="shared" si="1"/>
        <v/>
      </c>
      <c r="AB11" t="str">
        <f t="shared" si="2"/>
        <v/>
      </c>
      <c r="AC11" t="str">
        <f t="shared" si="3"/>
        <v/>
      </c>
      <c r="AE11" t="str">
        <f t="shared" si="4"/>
        <v/>
      </c>
      <c r="AF11" t="str">
        <f t="shared" si="5"/>
        <v/>
      </c>
      <c r="AG11" t="str">
        <f t="shared" si="6"/>
        <v/>
      </c>
      <c r="AH11" t="str">
        <f t="shared" si="7"/>
        <v/>
      </c>
      <c r="AI11" t="str">
        <f t="shared" si="8"/>
        <v/>
      </c>
      <c r="AK11" t="str">
        <f t="shared" si="9"/>
        <v/>
      </c>
      <c r="AL11" t="str">
        <f t="shared" si="10"/>
        <v/>
      </c>
      <c r="AM11" t="str">
        <f t="shared" si="11"/>
        <v/>
      </c>
      <c r="AN11" t="str">
        <f t="shared" si="12"/>
        <v/>
      </c>
      <c r="AO11" t="str">
        <f t="shared" si="13"/>
        <v/>
      </c>
      <c r="AP11" t="str">
        <f t="shared" si="14"/>
        <v/>
      </c>
      <c r="AQ11" t="str">
        <f t="shared" si="15"/>
        <v/>
      </c>
      <c r="AR11" t="str">
        <f t="shared" si="16"/>
        <v/>
      </c>
      <c r="AS11" t="str">
        <f t="shared" si="17"/>
        <v/>
      </c>
      <c r="AT11" t="str">
        <f t="shared" si="18"/>
        <v/>
      </c>
      <c r="AU11" t="str">
        <f t="shared" si="19"/>
        <v/>
      </c>
      <c r="AV11" t="str">
        <f t="shared" si="20"/>
        <v/>
      </c>
      <c r="AW11" t="str">
        <f t="shared" si="21"/>
        <v/>
      </c>
      <c r="AX11" t="str">
        <f t="shared" si="22"/>
        <v/>
      </c>
      <c r="AY11" t="str">
        <f t="shared" si="23"/>
        <v/>
      </c>
      <c r="AZ11" t="str">
        <f t="shared" si="24"/>
        <v/>
      </c>
      <c r="BA11" t="str">
        <f t="shared" si="25"/>
        <v/>
      </c>
      <c r="BB11" t="str">
        <f t="shared" si="26"/>
        <v/>
      </c>
      <c r="BC11" t="str">
        <f t="shared" si="27"/>
        <v/>
      </c>
      <c r="BD11" t="str">
        <f t="shared" si="28"/>
        <v/>
      </c>
      <c r="BE11" t="str">
        <f t="shared" si="29"/>
        <v/>
      </c>
      <c r="BF11" t="str">
        <f t="shared" si="30"/>
        <v/>
      </c>
      <c r="BG11" t="str">
        <f t="shared" si="31"/>
        <v/>
      </c>
      <c r="BH11" t="str">
        <f t="shared" si="32"/>
        <v/>
      </c>
    </row>
    <row r="12" spans="1:66" x14ac:dyDescent="0.2">
      <c r="A12">
        <v>9</v>
      </c>
      <c r="B12">
        <v>87</v>
      </c>
      <c r="C12" t="s">
        <v>39</v>
      </c>
      <c r="D12">
        <v>1</v>
      </c>
      <c r="K12">
        <v>2</v>
      </c>
      <c r="L12">
        <v>1</v>
      </c>
      <c r="N12">
        <v>3</v>
      </c>
      <c r="O12">
        <v>3</v>
      </c>
      <c r="S12">
        <v>1</v>
      </c>
      <c r="T12">
        <v>1</v>
      </c>
      <c r="X12">
        <f t="shared" si="33"/>
        <v>0</v>
      </c>
      <c r="Z12" t="str">
        <f t="shared" si="0"/>
        <v/>
      </c>
      <c r="AA12" t="str">
        <f t="shared" si="1"/>
        <v/>
      </c>
      <c r="AB12" t="str">
        <f t="shared" si="2"/>
        <v/>
      </c>
      <c r="AC12" t="str">
        <f t="shared" si="3"/>
        <v/>
      </c>
      <c r="AE12" t="str">
        <f t="shared" si="4"/>
        <v/>
      </c>
      <c r="AF12" t="str">
        <f t="shared" si="5"/>
        <v/>
      </c>
      <c r="AG12" t="str">
        <f t="shared" si="6"/>
        <v/>
      </c>
      <c r="AH12" t="str">
        <f t="shared" si="7"/>
        <v/>
      </c>
      <c r="AI12" t="str">
        <f t="shared" si="8"/>
        <v/>
      </c>
      <c r="AK12" t="str">
        <f t="shared" si="9"/>
        <v/>
      </c>
      <c r="AL12" t="str">
        <f t="shared" si="10"/>
        <v/>
      </c>
      <c r="AM12" t="str">
        <f t="shared" si="11"/>
        <v/>
      </c>
      <c r="AN12" t="str">
        <f t="shared" si="12"/>
        <v/>
      </c>
      <c r="AO12" t="str">
        <f t="shared" si="13"/>
        <v/>
      </c>
      <c r="AP12" t="str">
        <f t="shared" si="14"/>
        <v/>
      </c>
      <c r="AQ12" t="str">
        <f t="shared" si="15"/>
        <v/>
      </c>
      <c r="AR12" t="str">
        <f t="shared" si="16"/>
        <v/>
      </c>
      <c r="AS12" t="str">
        <f t="shared" si="17"/>
        <v/>
      </c>
      <c r="AT12" t="str">
        <f t="shared" si="18"/>
        <v/>
      </c>
      <c r="AU12" t="str">
        <f t="shared" si="19"/>
        <v/>
      </c>
      <c r="AV12" t="str">
        <f t="shared" si="20"/>
        <v/>
      </c>
      <c r="AW12" t="str">
        <f t="shared" si="21"/>
        <v/>
      </c>
      <c r="AX12" t="str">
        <f t="shared" si="22"/>
        <v/>
      </c>
      <c r="AY12" t="str">
        <f t="shared" si="23"/>
        <v/>
      </c>
      <c r="AZ12" t="str">
        <f t="shared" si="24"/>
        <v/>
      </c>
      <c r="BA12" t="str">
        <f t="shared" si="25"/>
        <v/>
      </c>
      <c r="BB12" t="str">
        <f t="shared" si="26"/>
        <v/>
      </c>
      <c r="BC12" t="str">
        <f t="shared" si="27"/>
        <v/>
      </c>
      <c r="BD12" t="str">
        <f t="shared" si="28"/>
        <v/>
      </c>
      <c r="BE12" t="str">
        <f t="shared" si="29"/>
        <v/>
      </c>
      <c r="BF12" t="str">
        <f t="shared" si="30"/>
        <v/>
      </c>
      <c r="BG12" t="str">
        <f t="shared" si="31"/>
        <v/>
      </c>
      <c r="BH12" t="str">
        <f t="shared" si="32"/>
        <v/>
      </c>
    </row>
    <row r="13" spans="1:66" x14ac:dyDescent="0.2">
      <c r="A13">
        <v>10</v>
      </c>
      <c r="B13">
        <v>100</v>
      </c>
      <c r="C13" t="s">
        <v>39</v>
      </c>
      <c r="D13">
        <v>1</v>
      </c>
      <c r="F13">
        <v>1</v>
      </c>
      <c r="K13">
        <v>3</v>
      </c>
      <c r="N13">
        <v>4</v>
      </c>
      <c r="O13">
        <v>4</v>
      </c>
      <c r="S13">
        <v>1</v>
      </c>
      <c r="T13">
        <v>1</v>
      </c>
      <c r="U13">
        <v>3</v>
      </c>
      <c r="X13">
        <f t="shared" si="33"/>
        <v>0</v>
      </c>
      <c r="Z13" t="str">
        <f t="shared" si="0"/>
        <v/>
      </c>
      <c r="AA13" t="str">
        <f t="shared" si="1"/>
        <v/>
      </c>
      <c r="AB13" t="str">
        <f t="shared" si="2"/>
        <v/>
      </c>
      <c r="AC13" t="str">
        <f t="shared" si="3"/>
        <v/>
      </c>
      <c r="AE13" t="str">
        <f t="shared" si="4"/>
        <v/>
      </c>
      <c r="AF13" t="str">
        <f t="shared" si="5"/>
        <v/>
      </c>
      <c r="AG13" t="str">
        <f t="shared" si="6"/>
        <v/>
      </c>
      <c r="AH13" t="str">
        <f t="shared" si="7"/>
        <v/>
      </c>
      <c r="AI13" t="str">
        <f t="shared" si="8"/>
        <v/>
      </c>
      <c r="AK13" t="str">
        <f t="shared" si="9"/>
        <v/>
      </c>
      <c r="AL13" t="str">
        <f t="shared" si="10"/>
        <v/>
      </c>
      <c r="AM13" t="str">
        <f t="shared" si="11"/>
        <v/>
      </c>
      <c r="AN13" t="str">
        <f t="shared" si="12"/>
        <v/>
      </c>
      <c r="AO13" t="str">
        <f t="shared" si="13"/>
        <v/>
      </c>
      <c r="AP13" t="str">
        <f t="shared" si="14"/>
        <v/>
      </c>
      <c r="AQ13" t="str">
        <f t="shared" si="15"/>
        <v/>
      </c>
      <c r="AR13" t="str">
        <f t="shared" si="16"/>
        <v/>
      </c>
      <c r="AS13" t="str">
        <f t="shared" si="17"/>
        <v/>
      </c>
      <c r="AT13" t="str">
        <f t="shared" si="18"/>
        <v/>
      </c>
      <c r="AU13" t="str">
        <f t="shared" si="19"/>
        <v/>
      </c>
      <c r="AV13" t="str">
        <f t="shared" si="20"/>
        <v/>
      </c>
      <c r="AW13" t="str">
        <f t="shared" si="21"/>
        <v/>
      </c>
      <c r="AX13" t="str">
        <f t="shared" si="22"/>
        <v/>
      </c>
      <c r="AY13" t="str">
        <f t="shared" si="23"/>
        <v/>
      </c>
      <c r="AZ13" t="str">
        <f t="shared" si="24"/>
        <v/>
      </c>
      <c r="BA13" t="str">
        <f t="shared" si="25"/>
        <v/>
      </c>
      <c r="BB13" t="str">
        <f t="shared" si="26"/>
        <v/>
      </c>
      <c r="BC13" t="str">
        <f t="shared" si="27"/>
        <v/>
      </c>
      <c r="BD13" t="str">
        <f t="shared" si="28"/>
        <v/>
      </c>
      <c r="BE13" t="str">
        <f t="shared" si="29"/>
        <v/>
      </c>
      <c r="BF13" t="str">
        <f t="shared" si="30"/>
        <v/>
      </c>
      <c r="BG13" t="str">
        <f t="shared" si="31"/>
        <v/>
      </c>
      <c r="BH13" t="str">
        <f t="shared" si="32"/>
        <v/>
      </c>
    </row>
    <row r="14" spans="1:66" x14ac:dyDescent="0.2">
      <c r="A14">
        <v>11</v>
      </c>
      <c r="B14">
        <v>105</v>
      </c>
      <c r="C14" t="s">
        <v>207</v>
      </c>
      <c r="D14">
        <v>1</v>
      </c>
      <c r="K14">
        <v>3</v>
      </c>
      <c r="L14">
        <v>1</v>
      </c>
      <c r="N14">
        <v>3</v>
      </c>
      <c r="O14">
        <v>3</v>
      </c>
      <c r="S14">
        <v>1</v>
      </c>
      <c r="X14">
        <f t="shared" si="33"/>
        <v>0</v>
      </c>
      <c r="Z14" t="s">
        <v>31</v>
      </c>
      <c r="AE14" t="s">
        <v>34</v>
      </c>
      <c r="AK14" t="s">
        <v>43</v>
      </c>
      <c r="AP14" t="s">
        <v>84</v>
      </c>
    </row>
    <row r="15" spans="1:66" x14ac:dyDescent="0.2">
      <c r="A15">
        <v>12</v>
      </c>
      <c r="B15">
        <v>113</v>
      </c>
      <c r="C15" t="s">
        <v>207</v>
      </c>
      <c r="D15">
        <v>1</v>
      </c>
      <c r="E15">
        <v>1</v>
      </c>
      <c r="F15">
        <v>1</v>
      </c>
      <c r="K15">
        <v>4</v>
      </c>
      <c r="N15">
        <v>4</v>
      </c>
      <c r="O15">
        <v>4</v>
      </c>
      <c r="S15">
        <v>1</v>
      </c>
      <c r="T15">
        <v>1</v>
      </c>
      <c r="X15">
        <f t="shared" si="33"/>
        <v>0</v>
      </c>
      <c r="Z15" t="s">
        <v>21</v>
      </c>
      <c r="AA15" t="s">
        <v>22</v>
      </c>
      <c r="AE15" t="s">
        <v>21</v>
      </c>
      <c r="AF15" t="s">
        <v>22</v>
      </c>
      <c r="AG15" t="s">
        <v>35</v>
      </c>
      <c r="AK15" t="s">
        <v>10</v>
      </c>
      <c r="AL15" t="s">
        <v>25</v>
      </c>
      <c r="AM15" t="s">
        <v>26</v>
      </c>
      <c r="AN15" t="s">
        <v>27</v>
      </c>
      <c r="AP15" t="s">
        <v>15</v>
      </c>
      <c r="AQ15" t="s">
        <v>85</v>
      </c>
    </row>
    <row r="16" spans="1:66" x14ac:dyDescent="0.2">
      <c r="A16" t="s">
        <v>28</v>
      </c>
      <c r="D16">
        <f>SUM(D4:D15)</f>
        <v>11</v>
      </c>
      <c r="E16">
        <f>SUM(E4:E14)</f>
        <v>3</v>
      </c>
      <c r="F16">
        <f>SUM(F4:F14)</f>
        <v>3</v>
      </c>
      <c r="G16">
        <f>SUM(G4:G14)</f>
        <v>0</v>
      </c>
      <c r="H16">
        <f>SUM(H4:H14)</f>
        <v>0</v>
      </c>
      <c r="K16">
        <f>SUM(K4:K15)</f>
        <v>32</v>
      </c>
      <c r="L16">
        <f>SUM(L4:L14)</f>
        <v>13</v>
      </c>
      <c r="M16">
        <f>SUM(M4:M14)</f>
        <v>0</v>
      </c>
      <c r="N16">
        <f>SUM(N4:N15)</f>
        <v>37</v>
      </c>
      <c r="O16">
        <f>SUM(O4:O15)</f>
        <v>36</v>
      </c>
      <c r="Q16">
        <f t="shared" ref="Q16:W16" si="34">SUM(Q4:Q14)</f>
        <v>0</v>
      </c>
      <c r="R16">
        <f t="shared" si="34"/>
        <v>0</v>
      </c>
      <c r="S16">
        <f>SUM(S4:S15)</f>
        <v>12</v>
      </c>
      <c r="T16">
        <f>SUM(T4:T15)</f>
        <v>9</v>
      </c>
      <c r="U16">
        <f t="shared" si="34"/>
        <v>48</v>
      </c>
      <c r="V16">
        <f t="shared" si="34"/>
        <v>0</v>
      </c>
      <c r="W16">
        <f t="shared" si="34"/>
        <v>0</v>
      </c>
      <c r="Z16">
        <f>COUNTIF(Z2:AC2, "3")*COUNTIF(C4, "r")+COUNTIF(Z2:AC2, "5")*COUNTIF(C4, "b")</f>
        <v>0</v>
      </c>
      <c r="AA16">
        <f t="shared" ref="AA16:AA27" si="35">COUNTIF(Z2:AC2, "1")+COUNTIF(Z2:AC2, "2")+COUNTIF(Z2:AC2, "4")</f>
        <v>0</v>
      </c>
      <c r="AE16">
        <f>COUNTIF(AE2:AI2, "3")*COUNTIF(C4, "r") + COUNTIF(AE2:AI2, "5")*COUNTIF(C4, "b")</f>
        <v>0</v>
      </c>
      <c r="AF16">
        <f t="shared" ref="AF16:AF27" si="36">COUNTIF(AE2:AI2, "1")+COUNTIF(AE2:AI2, "2")+COUNTIF(AE2:AI2, "4")</f>
        <v>0</v>
      </c>
      <c r="AG16">
        <f t="shared" ref="AG16:AG27" si="37">COUNTIF(AE2:AI2, "3")*COUNTIF(AE2:AI2, "b")+COUNTIF(AE2:AI2, "5")*COUNTIF(AE2:AI2, "r")</f>
        <v>0</v>
      </c>
      <c r="AK16">
        <f t="shared" ref="AK16:AK27" si="38">SUMPRODUCT(LEN($AK2:$BH2) - LEN(SUBSTITUTE($AK2:$BH2, "g", "")))</f>
        <v>0</v>
      </c>
      <c r="AL16">
        <f t="shared" ref="AL16:AL27" si="39">SUMPRODUCT(LEN($AK2:$BH2) - LEN(SUBSTITUTE($AK2:$BH2, "h", "")))</f>
        <v>0</v>
      </c>
      <c r="AM16">
        <f t="shared" ref="AM16:AM27" si="40">SUMPRODUCT(LEN($AK2:$BH2) - LEN(SUBSTITUTE($AK2:$BH2, "v", "")))</f>
        <v>0</v>
      </c>
      <c r="AN16">
        <f t="shared" ref="AN16:AN27" si="41">SUMPRODUCT(LEN($AK2:$BH2) - LEN(SUBSTITUTE($AK2:$BH2, "r", "")))</f>
        <v>0</v>
      </c>
      <c r="AP16">
        <f>MAX(AQ16:BN16)</f>
        <v>0</v>
      </c>
      <c r="AQ16" s="4">
        <f>_xlfn.NUMBERVALUE(RIGHT(AK2,1))</f>
        <v>0</v>
      </c>
      <c r="AR16" s="4">
        <f t="shared" ref="AR16:BG27" si="42">_xlfn.NUMBERVALUE(RIGHT(AL2,1))</f>
        <v>0</v>
      </c>
      <c r="AS16" s="4">
        <f t="shared" si="42"/>
        <v>0</v>
      </c>
      <c r="AT16" s="4">
        <f t="shared" si="42"/>
        <v>0</v>
      </c>
      <c r="AU16" s="4">
        <f t="shared" si="42"/>
        <v>0</v>
      </c>
      <c r="AV16" s="4">
        <f t="shared" si="42"/>
        <v>0</v>
      </c>
      <c r="AW16" s="4">
        <f t="shared" si="42"/>
        <v>0</v>
      </c>
      <c r="AX16" s="4">
        <f t="shared" si="42"/>
        <v>0</v>
      </c>
      <c r="AY16" s="4">
        <f t="shared" si="42"/>
        <v>0</v>
      </c>
      <c r="AZ16" s="4">
        <f t="shared" si="42"/>
        <v>0</v>
      </c>
      <c r="BA16" s="4">
        <f t="shared" si="42"/>
        <v>0</v>
      </c>
      <c r="BB16" s="4">
        <f t="shared" si="42"/>
        <v>0</v>
      </c>
      <c r="BC16" s="4">
        <f t="shared" si="42"/>
        <v>0</v>
      </c>
      <c r="BD16" s="4">
        <f t="shared" si="42"/>
        <v>0</v>
      </c>
      <c r="BE16" s="4">
        <f t="shared" si="42"/>
        <v>0</v>
      </c>
      <c r="BF16" s="4">
        <f t="shared" si="42"/>
        <v>0</v>
      </c>
      <c r="BG16" s="4">
        <f t="shared" si="42"/>
        <v>0</v>
      </c>
      <c r="BH16" s="4">
        <f t="shared" ref="BH16:BN27" si="43">_xlfn.NUMBERVALUE(RIGHT(BB2,1))</f>
        <v>0</v>
      </c>
      <c r="BI16" s="4">
        <f t="shared" si="43"/>
        <v>0</v>
      </c>
      <c r="BJ16" s="4">
        <f t="shared" si="43"/>
        <v>0</v>
      </c>
      <c r="BK16" s="4">
        <f t="shared" si="43"/>
        <v>0</v>
      </c>
      <c r="BL16" s="4">
        <f t="shared" si="43"/>
        <v>0</v>
      </c>
      <c r="BM16" s="4">
        <f t="shared" si="43"/>
        <v>0</v>
      </c>
      <c r="BN16" s="4">
        <f t="shared" si="43"/>
        <v>0</v>
      </c>
    </row>
    <row r="17" spans="1:66" x14ac:dyDescent="0.2">
      <c r="A17" s="1" t="s">
        <v>20</v>
      </c>
      <c r="D17" s="1" t="s">
        <v>49</v>
      </c>
      <c r="G17" s="1" t="s">
        <v>52</v>
      </c>
      <c r="K17" s="3" t="s">
        <v>74</v>
      </c>
      <c r="P17" s="1" t="s">
        <v>66</v>
      </c>
      <c r="Z17">
        <f>COUNTIF(Z3:AC3, "3")*COUNTIF(C5, "r")+COUNTIF(Z3:AC3, "5")*COUNTIF(C5, "b")</f>
        <v>0</v>
      </c>
      <c r="AA17">
        <f t="shared" si="35"/>
        <v>0</v>
      </c>
      <c r="AE17">
        <f>COUNTIF(AE3:AI3, "3")*COUNTIF(C5, "r") + COUNTIF(AE3:AI3, "5")*COUNTIF(C5, "b")</f>
        <v>0</v>
      </c>
      <c r="AF17">
        <f t="shared" si="36"/>
        <v>0</v>
      </c>
      <c r="AG17">
        <f t="shared" si="37"/>
        <v>0</v>
      </c>
      <c r="AK17">
        <f t="shared" si="38"/>
        <v>0</v>
      </c>
      <c r="AL17">
        <f t="shared" si="39"/>
        <v>0</v>
      </c>
      <c r="AM17">
        <f t="shared" si="40"/>
        <v>0</v>
      </c>
      <c r="AN17">
        <f t="shared" si="41"/>
        <v>0</v>
      </c>
      <c r="AP17">
        <f t="shared" ref="AP17:AP27" si="44">MAX(AQ17:BN17)</f>
        <v>0</v>
      </c>
      <c r="AQ17" s="4">
        <f t="shared" ref="AQ17:AQ27" si="45">_xlfn.NUMBERVALUE(RIGHT(AK3,1))</f>
        <v>0</v>
      </c>
      <c r="AR17" s="4">
        <f t="shared" si="42"/>
        <v>0</v>
      </c>
      <c r="AS17" s="4">
        <f t="shared" si="42"/>
        <v>0</v>
      </c>
      <c r="AT17" s="4">
        <f t="shared" si="42"/>
        <v>0</v>
      </c>
      <c r="AU17" s="4">
        <f t="shared" si="42"/>
        <v>0</v>
      </c>
      <c r="AV17" s="4">
        <f t="shared" si="42"/>
        <v>0</v>
      </c>
      <c r="AW17" s="4">
        <f t="shared" si="42"/>
        <v>0</v>
      </c>
      <c r="AX17" s="4">
        <f t="shared" si="42"/>
        <v>0</v>
      </c>
      <c r="AY17" s="4">
        <f t="shared" si="42"/>
        <v>0</v>
      </c>
      <c r="AZ17" s="4">
        <f t="shared" si="42"/>
        <v>0</v>
      </c>
      <c r="BA17" s="4">
        <f t="shared" si="42"/>
        <v>0</v>
      </c>
      <c r="BB17" s="4">
        <f t="shared" si="42"/>
        <v>0</v>
      </c>
      <c r="BC17" s="4">
        <f t="shared" si="42"/>
        <v>0</v>
      </c>
      <c r="BD17" s="4">
        <f t="shared" si="42"/>
        <v>0</v>
      </c>
      <c r="BE17" s="4">
        <f t="shared" si="42"/>
        <v>0</v>
      </c>
      <c r="BF17" s="4">
        <f t="shared" si="42"/>
        <v>0</v>
      </c>
      <c r="BG17" s="4">
        <f t="shared" si="42"/>
        <v>0</v>
      </c>
      <c r="BH17" s="4">
        <f t="shared" si="43"/>
        <v>0</v>
      </c>
      <c r="BI17" s="4">
        <f t="shared" si="43"/>
        <v>0</v>
      </c>
      <c r="BJ17" s="4">
        <f t="shared" si="43"/>
        <v>0</v>
      </c>
      <c r="BK17" s="4">
        <f t="shared" si="43"/>
        <v>0</v>
      </c>
      <c r="BL17" s="4">
        <f t="shared" si="43"/>
        <v>0</v>
      </c>
      <c r="BM17" s="4">
        <f t="shared" si="43"/>
        <v>0</v>
      </c>
      <c r="BN17" s="4">
        <f t="shared" si="43"/>
        <v>0</v>
      </c>
    </row>
    <row r="18" spans="1:66" x14ac:dyDescent="0.2">
      <c r="A18" t="s">
        <v>32</v>
      </c>
      <c r="B18" t="s">
        <v>21</v>
      </c>
      <c r="D18" t="s">
        <v>180</v>
      </c>
      <c r="G18" s="3" t="s">
        <v>53</v>
      </c>
      <c r="K18" t="s">
        <v>55</v>
      </c>
      <c r="M18" t="s">
        <v>65</v>
      </c>
      <c r="P18" t="s">
        <v>67</v>
      </c>
      <c r="Z18">
        <f>COUNTIF(Z4:AC4, "3")*COUNTIF(C6, "r")+COUNTIF(Z4:AC4, "5")*COUNTIF(C6, "b")</f>
        <v>0</v>
      </c>
      <c r="AA18">
        <f t="shared" si="35"/>
        <v>0</v>
      </c>
      <c r="AE18">
        <f>COUNTIF(AE4:AI4, "3")*COUNTIF(C6, "r") + COUNTIF(AE4:AI4, "5")*COUNTIF(C6, "b")</f>
        <v>0</v>
      </c>
      <c r="AF18">
        <f t="shared" si="36"/>
        <v>0</v>
      </c>
      <c r="AG18">
        <f t="shared" si="37"/>
        <v>0</v>
      </c>
      <c r="AK18">
        <f t="shared" si="38"/>
        <v>0</v>
      </c>
      <c r="AL18">
        <f t="shared" si="39"/>
        <v>0</v>
      </c>
      <c r="AM18">
        <f t="shared" si="40"/>
        <v>0</v>
      </c>
      <c r="AN18">
        <f t="shared" si="41"/>
        <v>0</v>
      </c>
      <c r="AP18">
        <f t="shared" si="44"/>
        <v>0</v>
      </c>
      <c r="AQ18" s="4">
        <f t="shared" si="45"/>
        <v>0</v>
      </c>
      <c r="AR18" s="4">
        <f t="shared" si="42"/>
        <v>0</v>
      </c>
      <c r="AS18" s="4">
        <f t="shared" si="42"/>
        <v>0</v>
      </c>
      <c r="AT18" s="4">
        <f t="shared" si="42"/>
        <v>0</v>
      </c>
      <c r="AU18" s="4">
        <f t="shared" si="42"/>
        <v>0</v>
      </c>
      <c r="AV18" s="4">
        <f t="shared" si="42"/>
        <v>0</v>
      </c>
      <c r="AW18" s="4">
        <f t="shared" si="42"/>
        <v>0</v>
      </c>
      <c r="AX18" s="4">
        <f t="shared" si="42"/>
        <v>0</v>
      </c>
      <c r="AY18" s="4">
        <f t="shared" si="42"/>
        <v>0</v>
      </c>
      <c r="AZ18" s="4">
        <f t="shared" si="42"/>
        <v>0</v>
      </c>
      <c r="BA18" s="4">
        <f t="shared" si="42"/>
        <v>0</v>
      </c>
      <c r="BB18" s="4">
        <f t="shared" si="42"/>
        <v>0</v>
      </c>
      <c r="BC18" s="4">
        <f t="shared" si="42"/>
        <v>0</v>
      </c>
      <c r="BD18" s="4">
        <f t="shared" si="42"/>
        <v>0</v>
      </c>
      <c r="BE18" s="4">
        <f t="shared" si="42"/>
        <v>0</v>
      </c>
      <c r="BF18" s="4">
        <f t="shared" si="42"/>
        <v>0</v>
      </c>
      <c r="BG18" s="4">
        <f t="shared" si="42"/>
        <v>0</v>
      </c>
      <c r="BH18" s="4">
        <f t="shared" si="43"/>
        <v>0</v>
      </c>
      <c r="BI18" s="4">
        <f t="shared" si="43"/>
        <v>0</v>
      </c>
      <c r="BJ18" s="4">
        <f t="shared" si="43"/>
        <v>0</v>
      </c>
      <c r="BK18" s="4">
        <f t="shared" si="43"/>
        <v>0</v>
      </c>
      <c r="BL18" s="4">
        <f t="shared" si="43"/>
        <v>0</v>
      </c>
      <c r="BM18" s="4">
        <f t="shared" si="43"/>
        <v>0</v>
      </c>
      <c r="BN18" s="4">
        <f t="shared" si="43"/>
        <v>0</v>
      </c>
    </row>
    <row r="19" spans="1:66" x14ac:dyDescent="0.2">
      <c r="A19" t="s">
        <v>40</v>
      </c>
      <c r="B19" t="s">
        <v>22</v>
      </c>
      <c r="D19">
        <f>E16/D16</f>
        <v>0.27272727272727271</v>
      </c>
      <c r="G19" t="s">
        <v>75</v>
      </c>
      <c r="K19">
        <f>O16/N16</f>
        <v>0.97297297297297303</v>
      </c>
      <c r="M19">
        <f>SUM(M39:M50)</f>
        <v>-4</v>
      </c>
      <c r="P19">
        <f>T16/S16</f>
        <v>0.75</v>
      </c>
      <c r="Z19">
        <f>COUNTIF(Z5:AC5, "3")*COUNTIF(C7, "r")+COUNTIF(Z5:AC5, "5")*COUNTIF(C7, "b")</f>
        <v>0</v>
      </c>
      <c r="AA19">
        <f t="shared" si="35"/>
        <v>0</v>
      </c>
      <c r="AE19">
        <f>COUNTIF(AE5:AI5, "3")*COUNTIF(C7, "r") + COUNTIF(AE5:AI5, "5")*COUNTIF(C7, "b")</f>
        <v>0</v>
      </c>
      <c r="AF19">
        <f t="shared" si="36"/>
        <v>0</v>
      </c>
      <c r="AG19">
        <f t="shared" si="37"/>
        <v>0</v>
      </c>
      <c r="AK19">
        <f t="shared" si="38"/>
        <v>0</v>
      </c>
      <c r="AL19">
        <f t="shared" si="39"/>
        <v>0</v>
      </c>
      <c r="AM19">
        <f t="shared" si="40"/>
        <v>0</v>
      </c>
      <c r="AN19">
        <f t="shared" si="41"/>
        <v>0</v>
      </c>
      <c r="AP19">
        <f t="shared" si="44"/>
        <v>0</v>
      </c>
      <c r="AQ19" s="4">
        <f t="shared" si="45"/>
        <v>0</v>
      </c>
      <c r="AR19" s="4">
        <f t="shared" si="42"/>
        <v>0</v>
      </c>
      <c r="AS19" s="4">
        <f t="shared" si="42"/>
        <v>0</v>
      </c>
      <c r="AT19" s="4">
        <f t="shared" si="42"/>
        <v>0</v>
      </c>
      <c r="AU19" s="4">
        <f t="shared" si="42"/>
        <v>0</v>
      </c>
      <c r="AV19" s="4">
        <f t="shared" si="42"/>
        <v>0</v>
      </c>
      <c r="AW19" s="4">
        <f t="shared" si="42"/>
        <v>0</v>
      </c>
      <c r="AX19" s="4">
        <f t="shared" si="42"/>
        <v>0</v>
      </c>
      <c r="AY19" s="4">
        <f t="shared" si="42"/>
        <v>0</v>
      </c>
      <c r="AZ19" s="4">
        <f t="shared" si="42"/>
        <v>0</v>
      </c>
      <c r="BA19" s="4">
        <f t="shared" si="42"/>
        <v>0</v>
      </c>
      <c r="BB19" s="4">
        <f t="shared" si="42"/>
        <v>0</v>
      </c>
      <c r="BC19" s="4">
        <f t="shared" si="42"/>
        <v>0</v>
      </c>
      <c r="BD19" s="4">
        <f t="shared" si="42"/>
        <v>0</v>
      </c>
      <c r="BE19" s="4">
        <f t="shared" si="42"/>
        <v>0</v>
      </c>
      <c r="BF19" s="4">
        <f t="shared" si="42"/>
        <v>0</v>
      </c>
      <c r="BG19" s="4">
        <f t="shared" si="42"/>
        <v>0</v>
      </c>
      <c r="BH19" s="4">
        <f t="shared" si="43"/>
        <v>0</v>
      </c>
      <c r="BI19" s="4">
        <f t="shared" si="43"/>
        <v>0</v>
      </c>
      <c r="BJ19" s="4">
        <f t="shared" si="43"/>
        <v>0</v>
      </c>
      <c r="BK19" s="4">
        <f t="shared" si="43"/>
        <v>0</v>
      </c>
      <c r="BL19" s="4">
        <f t="shared" si="43"/>
        <v>0</v>
      </c>
      <c r="BM19" s="4">
        <f t="shared" si="43"/>
        <v>0</v>
      </c>
      <c r="BN19" s="4">
        <f t="shared" si="43"/>
        <v>0</v>
      </c>
    </row>
    <row r="20" spans="1:66" x14ac:dyDescent="0.2">
      <c r="A20" t="s">
        <v>41</v>
      </c>
      <c r="B20" t="s">
        <v>23</v>
      </c>
      <c r="D20" t="s">
        <v>47</v>
      </c>
      <c r="G20" t="e">
        <f>AK28/AP28</f>
        <v>#DIV/0!</v>
      </c>
      <c r="K20" t="s">
        <v>13</v>
      </c>
      <c r="Z20">
        <f>COUNTIF(Z6:AC6, "3")*COUNTIF('2729'!C7, "r")+COUNTIF(Z6:AC6, "5")*COUNTIF('2729'!C7, "b")</f>
        <v>0</v>
      </c>
      <c r="AA20">
        <f t="shared" si="35"/>
        <v>0</v>
      </c>
      <c r="AE20">
        <f>COUNTIF(AE6:AI6, "3")*COUNTIF('2729'!C7, "r") + COUNTIF(AE6:AI6, "5")*COUNTIF('2729'!C7, "b")</f>
        <v>0</v>
      </c>
      <c r="AF20">
        <f t="shared" si="36"/>
        <v>0</v>
      </c>
      <c r="AG20">
        <f t="shared" si="37"/>
        <v>0</v>
      </c>
      <c r="AK20">
        <f t="shared" si="38"/>
        <v>0</v>
      </c>
      <c r="AL20">
        <f t="shared" si="39"/>
        <v>0</v>
      </c>
      <c r="AM20">
        <f t="shared" si="40"/>
        <v>0</v>
      </c>
      <c r="AN20">
        <f t="shared" si="41"/>
        <v>0</v>
      </c>
      <c r="AP20">
        <f t="shared" si="44"/>
        <v>0</v>
      </c>
      <c r="AQ20" s="4">
        <f t="shared" si="45"/>
        <v>0</v>
      </c>
      <c r="AR20" s="4">
        <f t="shared" si="42"/>
        <v>0</v>
      </c>
      <c r="AS20" s="4">
        <f t="shared" si="42"/>
        <v>0</v>
      </c>
      <c r="AT20" s="4">
        <f t="shared" si="42"/>
        <v>0</v>
      </c>
      <c r="AU20" s="4">
        <f t="shared" si="42"/>
        <v>0</v>
      </c>
      <c r="AV20" s="4">
        <f t="shared" si="42"/>
        <v>0</v>
      </c>
      <c r="AW20" s="4">
        <f t="shared" si="42"/>
        <v>0</v>
      </c>
      <c r="AX20" s="4">
        <f t="shared" si="42"/>
        <v>0</v>
      </c>
      <c r="AY20" s="4">
        <f t="shared" si="42"/>
        <v>0</v>
      </c>
      <c r="AZ20" s="4">
        <f t="shared" si="42"/>
        <v>0</v>
      </c>
      <c r="BA20" s="4">
        <f t="shared" si="42"/>
        <v>0</v>
      </c>
      <c r="BB20" s="4">
        <f t="shared" si="42"/>
        <v>0</v>
      </c>
      <c r="BC20" s="4">
        <f t="shared" si="42"/>
        <v>0</v>
      </c>
      <c r="BD20" s="4">
        <f t="shared" si="42"/>
        <v>0</v>
      </c>
      <c r="BE20" s="4">
        <f t="shared" si="42"/>
        <v>0</v>
      </c>
      <c r="BF20" s="4">
        <f t="shared" si="42"/>
        <v>0</v>
      </c>
      <c r="BG20" s="4">
        <f t="shared" si="42"/>
        <v>0</v>
      </c>
      <c r="BH20" s="4">
        <f t="shared" si="43"/>
        <v>0</v>
      </c>
      <c r="BI20" s="4">
        <f t="shared" si="43"/>
        <v>0</v>
      </c>
      <c r="BJ20" s="4">
        <f t="shared" si="43"/>
        <v>0</v>
      </c>
      <c r="BK20" s="4">
        <f t="shared" si="43"/>
        <v>0</v>
      </c>
      <c r="BL20" s="4">
        <f t="shared" si="43"/>
        <v>0</v>
      </c>
      <c r="BM20" s="4">
        <f t="shared" si="43"/>
        <v>0</v>
      </c>
      <c r="BN20" s="4">
        <f t="shared" si="43"/>
        <v>0</v>
      </c>
    </row>
    <row r="21" spans="1:66" x14ac:dyDescent="0.2">
      <c r="A21" s="1" t="s">
        <v>24</v>
      </c>
      <c r="D21">
        <f>G16/A31</f>
        <v>0</v>
      </c>
      <c r="G21" t="s">
        <v>76</v>
      </c>
      <c r="K21" t="s">
        <v>57</v>
      </c>
      <c r="L21" t="s">
        <v>58</v>
      </c>
      <c r="M21" t="s">
        <v>59</v>
      </c>
      <c r="N21" t="s">
        <v>60</v>
      </c>
      <c r="Z21">
        <f t="shared" ref="Z21:Z27" si="46">COUNTIF(Z7:AC7, "3")*COUNTIF(C8, "r")+COUNTIF(Z7:AC7, "5")*COUNTIF(C8, "b")</f>
        <v>0</v>
      </c>
      <c r="AA21">
        <f t="shared" si="35"/>
        <v>0</v>
      </c>
      <c r="AE21">
        <f t="shared" ref="AE21:AE27" si="47">COUNTIF(AE7:AI7, "3")*COUNTIF(C8, "r") + COUNTIF(AE7:AI7, "5")*COUNTIF(C8, "b")</f>
        <v>0</v>
      </c>
      <c r="AF21">
        <f t="shared" si="36"/>
        <v>0</v>
      </c>
      <c r="AG21">
        <f t="shared" si="37"/>
        <v>0</v>
      </c>
      <c r="AK21">
        <f t="shared" si="38"/>
        <v>0</v>
      </c>
      <c r="AL21">
        <f t="shared" si="39"/>
        <v>0</v>
      </c>
      <c r="AM21">
        <f t="shared" si="40"/>
        <v>0</v>
      </c>
      <c r="AN21">
        <f t="shared" si="41"/>
        <v>0</v>
      </c>
      <c r="AP21">
        <f t="shared" si="44"/>
        <v>0</v>
      </c>
      <c r="AQ21" s="4">
        <f t="shared" si="45"/>
        <v>0</v>
      </c>
      <c r="AR21" s="4">
        <f t="shared" si="42"/>
        <v>0</v>
      </c>
      <c r="AS21" s="4">
        <f t="shared" si="42"/>
        <v>0</v>
      </c>
      <c r="AT21" s="4">
        <f t="shared" si="42"/>
        <v>0</v>
      </c>
      <c r="AU21" s="4">
        <f t="shared" si="42"/>
        <v>0</v>
      </c>
      <c r="AV21" s="4">
        <f t="shared" si="42"/>
        <v>0</v>
      </c>
      <c r="AW21" s="4">
        <f t="shared" si="42"/>
        <v>0</v>
      </c>
      <c r="AX21" s="4">
        <f t="shared" si="42"/>
        <v>0</v>
      </c>
      <c r="AY21" s="4">
        <f t="shared" si="42"/>
        <v>0</v>
      </c>
      <c r="AZ21" s="4">
        <f t="shared" si="42"/>
        <v>0</v>
      </c>
      <c r="BA21" s="4">
        <f t="shared" si="42"/>
        <v>0</v>
      </c>
      <c r="BB21" s="4">
        <f t="shared" si="42"/>
        <v>0</v>
      </c>
      <c r="BC21" s="4">
        <f t="shared" si="42"/>
        <v>0</v>
      </c>
      <c r="BD21" s="4">
        <f t="shared" si="42"/>
        <v>0</v>
      </c>
      <c r="BE21" s="4">
        <f t="shared" si="42"/>
        <v>0</v>
      </c>
      <c r="BF21" s="4">
        <f t="shared" si="42"/>
        <v>0</v>
      </c>
      <c r="BG21" s="4">
        <f t="shared" si="42"/>
        <v>0</v>
      </c>
      <c r="BH21" s="4">
        <f t="shared" si="43"/>
        <v>0</v>
      </c>
      <c r="BI21" s="4">
        <f t="shared" si="43"/>
        <v>0</v>
      </c>
      <c r="BJ21" s="4">
        <f t="shared" si="43"/>
        <v>0</v>
      </c>
      <c r="BK21" s="4">
        <f t="shared" si="43"/>
        <v>0</v>
      </c>
      <c r="BL21" s="4">
        <f t="shared" si="43"/>
        <v>0</v>
      </c>
      <c r="BM21" s="4">
        <f t="shared" si="43"/>
        <v>0</v>
      </c>
      <c r="BN21" s="4">
        <f t="shared" si="43"/>
        <v>0</v>
      </c>
    </row>
    <row r="22" spans="1:66" x14ac:dyDescent="0.2">
      <c r="A22" t="s">
        <v>36</v>
      </c>
      <c r="B22" t="s">
        <v>10</v>
      </c>
      <c r="D22" t="s">
        <v>48</v>
      </c>
      <c r="G22" t="e">
        <f>AL28/AP28</f>
        <v>#DIV/0!</v>
      </c>
      <c r="K22">
        <f>AVERAGE(C39:C50)</f>
        <v>3</v>
      </c>
      <c r="L22">
        <f>MEDIAN(C39:C50)</f>
        <v>3</v>
      </c>
      <c r="M22">
        <f>MAX(C39:C50)</f>
        <v>4</v>
      </c>
      <c r="N22">
        <f>_xlfn.STDEV.S(C39:C50)</f>
        <v>0.95346258924559235</v>
      </c>
      <c r="Z22">
        <f t="shared" si="46"/>
        <v>0</v>
      </c>
      <c r="AA22">
        <f t="shared" si="35"/>
        <v>0</v>
      </c>
      <c r="AE22">
        <f t="shared" si="47"/>
        <v>0</v>
      </c>
      <c r="AF22">
        <f t="shared" si="36"/>
        <v>0</v>
      </c>
      <c r="AG22">
        <f t="shared" si="37"/>
        <v>0</v>
      </c>
      <c r="AK22">
        <f t="shared" si="38"/>
        <v>0</v>
      </c>
      <c r="AL22">
        <f t="shared" si="39"/>
        <v>0</v>
      </c>
      <c r="AM22">
        <f t="shared" si="40"/>
        <v>0</v>
      </c>
      <c r="AN22">
        <f t="shared" si="41"/>
        <v>0</v>
      </c>
      <c r="AP22">
        <f t="shared" si="44"/>
        <v>0</v>
      </c>
      <c r="AQ22" s="4">
        <f t="shared" si="45"/>
        <v>0</v>
      </c>
      <c r="AR22" s="4">
        <f t="shared" si="42"/>
        <v>0</v>
      </c>
      <c r="AS22" s="4">
        <f t="shared" si="42"/>
        <v>0</v>
      </c>
      <c r="AT22" s="4">
        <f t="shared" si="42"/>
        <v>0</v>
      </c>
      <c r="AU22" s="4">
        <f t="shared" si="42"/>
        <v>0</v>
      </c>
      <c r="AV22" s="4">
        <f t="shared" si="42"/>
        <v>0</v>
      </c>
      <c r="AW22" s="4">
        <f t="shared" si="42"/>
        <v>0</v>
      </c>
      <c r="AX22" s="4">
        <f t="shared" si="42"/>
        <v>0</v>
      </c>
      <c r="AY22" s="4">
        <f t="shared" si="42"/>
        <v>0</v>
      </c>
      <c r="AZ22" s="4">
        <f t="shared" si="42"/>
        <v>0</v>
      </c>
      <c r="BA22" s="4">
        <f t="shared" si="42"/>
        <v>0</v>
      </c>
      <c r="BB22" s="4">
        <f t="shared" si="42"/>
        <v>0</v>
      </c>
      <c r="BC22" s="4">
        <f t="shared" si="42"/>
        <v>0</v>
      </c>
      <c r="BD22" s="4">
        <f t="shared" si="42"/>
        <v>0</v>
      </c>
      <c r="BE22" s="4">
        <f t="shared" si="42"/>
        <v>0</v>
      </c>
      <c r="BF22" s="4">
        <f t="shared" si="42"/>
        <v>0</v>
      </c>
      <c r="BG22" s="4">
        <f t="shared" si="42"/>
        <v>0</v>
      </c>
      <c r="BH22" s="4">
        <f t="shared" si="43"/>
        <v>0</v>
      </c>
      <c r="BI22" s="4">
        <f t="shared" si="43"/>
        <v>0</v>
      </c>
      <c r="BJ22" s="4">
        <f t="shared" si="43"/>
        <v>0</v>
      </c>
      <c r="BK22" s="4">
        <f t="shared" si="43"/>
        <v>0</v>
      </c>
      <c r="BL22" s="4">
        <f t="shared" si="43"/>
        <v>0</v>
      </c>
      <c r="BM22" s="4">
        <f t="shared" si="43"/>
        <v>0</v>
      </c>
      <c r="BN22" s="4">
        <f t="shared" si="43"/>
        <v>0</v>
      </c>
    </row>
    <row r="23" spans="1:66" x14ac:dyDescent="0.2">
      <c r="A23" t="s">
        <v>37</v>
      </c>
      <c r="B23" t="s">
        <v>25</v>
      </c>
      <c r="D23">
        <f>H16/A31</f>
        <v>0</v>
      </c>
      <c r="G23" t="s">
        <v>77</v>
      </c>
      <c r="K23" t="s">
        <v>8</v>
      </c>
      <c r="Z23">
        <f t="shared" si="46"/>
        <v>0</v>
      </c>
      <c r="AA23">
        <f t="shared" si="35"/>
        <v>0</v>
      </c>
      <c r="AE23">
        <f t="shared" si="47"/>
        <v>0</v>
      </c>
      <c r="AF23">
        <f t="shared" si="36"/>
        <v>0</v>
      </c>
      <c r="AG23">
        <f t="shared" si="37"/>
        <v>0</v>
      </c>
      <c r="AK23">
        <f t="shared" si="38"/>
        <v>0</v>
      </c>
      <c r="AL23">
        <f t="shared" si="39"/>
        <v>0</v>
      </c>
      <c r="AM23">
        <f t="shared" si="40"/>
        <v>0</v>
      </c>
      <c r="AN23">
        <f t="shared" si="41"/>
        <v>0</v>
      </c>
      <c r="AP23">
        <f t="shared" si="44"/>
        <v>0</v>
      </c>
      <c r="AQ23" s="4">
        <f t="shared" si="45"/>
        <v>0</v>
      </c>
      <c r="AR23" s="4">
        <f t="shared" si="42"/>
        <v>0</v>
      </c>
      <c r="AS23" s="4">
        <f t="shared" si="42"/>
        <v>0</v>
      </c>
      <c r="AT23" s="4">
        <f t="shared" si="42"/>
        <v>0</v>
      </c>
      <c r="AU23" s="4">
        <f t="shared" si="42"/>
        <v>0</v>
      </c>
      <c r="AV23" s="4">
        <f t="shared" si="42"/>
        <v>0</v>
      </c>
      <c r="AW23" s="4">
        <f t="shared" si="42"/>
        <v>0</v>
      </c>
      <c r="AX23" s="4">
        <f t="shared" si="42"/>
        <v>0</v>
      </c>
      <c r="AY23" s="4">
        <f t="shared" si="42"/>
        <v>0</v>
      </c>
      <c r="AZ23" s="4">
        <f t="shared" si="42"/>
        <v>0</v>
      </c>
      <c r="BA23" s="4">
        <f t="shared" si="42"/>
        <v>0</v>
      </c>
      <c r="BB23" s="4">
        <f t="shared" si="42"/>
        <v>0</v>
      </c>
      <c r="BC23" s="4">
        <f t="shared" si="42"/>
        <v>0</v>
      </c>
      <c r="BD23" s="4">
        <f t="shared" si="42"/>
        <v>0</v>
      </c>
      <c r="BE23" s="4">
        <f t="shared" si="42"/>
        <v>0</v>
      </c>
      <c r="BF23" s="4">
        <f t="shared" si="42"/>
        <v>0</v>
      </c>
      <c r="BG23" s="4">
        <f t="shared" si="42"/>
        <v>0</v>
      </c>
      <c r="BH23" s="4">
        <f t="shared" si="43"/>
        <v>0</v>
      </c>
      <c r="BI23" s="4">
        <f t="shared" si="43"/>
        <v>0</v>
      </c>
      <c r="BJ23" s="4">
        <f t="shared" si="43"/>
        <v>0</v>
      </c>
      <c r="BK23" s="4">
        <f t="shared" si="43"/>
        <v>0</v>
      </c>
      <c r="BL23" s="4">
        <f t="shared" si="43"/>
        <v>0</v>
      </c>
      <c r="BM23" s="4">
        <f t="shared" si="43"/>
        <v>0</v>
      </c>
      <c r="BN23" s="4">
        <f t="shared" si="43"/>
        <v>0</v>
      </c>
    </row>
    <row r="24" spans="1:66" x14ac:dyDescent="0.2">
      <c r="A24" t="s">
        <v>38</v>
      </c>
      <c r="B24" t="s">
        <v>26</v>
      </c>
      <c r="D24" t="s">
        <v>50</v>
      </c>
      <c r="G24" t="e">
        <f>AM28/AP28</f>
        <v>#DIV/0!</v>
      </c>
      <c r="K24" t="s">
        <v>57</v>
      </c>
      <c r="L24" t="s">
        <v>61</v>
      </c>
      <c r="M24" t="s">
        <v>59</v>
      </c>
      <c r="N24" t="s">
        <v>60</v>
      </c>
      <c r="Z24">
        <f t="shared" si="46"/>
        <v>0</v>
      </c>
      <c r="AA24">
        <f t="shared" si="35"/>
        <v>0</v>
      </c>
      <c r="AE24">
        <f t="shared" si="47"/>
        <v>0</v>
      </c>
      <c r="AF24">
        <f t="shared" si="36"/>
        <v>0</v>
      </c>
      <c r="AG24">
        <f t="shared" si="37"/>
        <v>0</v>
      </c>
      <c r="AK24">
        <f t="shared" si="38"/>
        <v>0</v>
      </c>
      <c r="AL24">
        <f t="shared" si="39"/>
        <v>0</v>
      </c>
      <c r="AM24">
        <f t="shared" si="40"/>
        <v>0</v>
      </c>
      <c r="AN24">
        <f t="shared" si="41"/>
        <v>0</v>
      </c>
      <c r="AP24">
        <f t="shared" si="44"/>
        <v>0</v>
      </c>
      <c r="AQ24" s="4">
        <f t="shared" si="45"/>
        <v>0</v>
      </c>
      <c r="AR24" s="4">
        <f t="shared" si="42"/>
        <v>0</v>
      </c>
      <c r="AS24" s="4">
        <f t="shared" si="42"/>
        <v>0</v>
      </c>
      <c r="AT24" s="4">
        <f t="shared" si="42"/>
        <v>0</v>
      </c>
      <c r="AU24" s="4">
        <f t="shared" si="42"/>
        <v>0</v>
      </c>
      <c r="AV24" s="4">
        <f t="shared" si="42"/>
        <v>0</v>
      </c>
      <c r="AW24" s="4">
        <f t="shared" si="42"/>
        <v>0</v>
      </c>
      <c r="AX24" s="4">
        <f t="shared" si="42"/>
        <v>0</v>
      </c>
      <c r="AY24" s="4">
        <f t="shared" si="42"/>
        <v>0</v>
      </c>
      <c r="AZ24" s="4">
        <f t="shared" si="42"/>
        <v>0</v>
      </c>
      <c r="BA24" s="4">
        <f t="shared" si="42"/>
        <v>0</v>
      </c>
      <c r="BB24" s="4">
        <f t="shared" si="42"/>
        <v>0</v>
      </c>
      <c r="BC24" s="4">
        <f t="shared" si="42"/>
        <v>0</v>
      </c>
      <c r="BD24" s="4">
        <f t="shared" si="42"/>
        <v>0</v>
      </c>
      <c r="BE24" s="4">
        <f t="shared" si="42"/>
        <v>0</v>
      </c>
      <c r="BF24" s="4">
        <f t="shared" si="42"/>
        <v>0</v>
      </c>
      <c r="BG24" s="4">
        <f t="shared" si="42"/>
        <v>0</v>
      </c>
      <c r="BH24" s="4">
        <f t="shared" si="43"/>
        <v>0</v>
      </c>
      <c r="BI24" s="4">
        <f t="shared" si="43"/>
        <v>0</v>
      </c>
      <c r="BJ24" s="4">
        <f t="shared" si="43"/>
        <v>0</v>
      </c>
      <c r="BK24" s="4">
        <f t="shared" si="43"/>
        <v>0</v>
      </c>
      <c r="BL24" s="4">
        <f t="shared" si="43"/>
        <v>0</v>
      </c>
      <c r="BM24" s="4">
        <f t="shared" si="43"/>
        <v>0</v>
      </c>
      <c r="BN24" s="4">
        <f t="shared" si="43"/>
        <v>0</v>
      </c>
    </row>
    <row r="25" spans="1:66" x14ac:dyDescent="0.2">
      <c r="A25" t="s">
        <v>39</v>
      </c>
      <c r="B25" t="s">
        <v>27</v>
      </c>
      <c r="D25">
        <f>Z28/A31</f>
        <v>0</v>
      </c>
      <c r="G25" t="s">
        <v>78</v>
      </c>
      <c r="K25">
        <f>AVERAGE(E39:E50)</f>
        <v>0</v>
      </c>
      <c r="L25">
        <f>MEDIAN(E39:E50)</f>
        <v>0</v>
      </c>
      <c r="M25">
        <f>MAX(E39:E50)</f>
        <v>0</v>
      </c>
      <c r="N25">
        <f>_xlfn.STDEV.S(E39:E50)</f>
        <v>0</v>
      </c>
      <c r="Z25">
        <f t="shared" si="46"/>
        <v>0</v>
      </c>
      <c r="AA25">
        <f t="shared" si="35"/>
        <v>0</v>
      </c>
      <c r="AE25">
        <f t="shared" si="47"/>
        <v>0</v>
      </c>
      <c r="AF25">
        <f t="shared" si="36"/>
        <v>0</v>
      </c>
      <c r="AG25">
        <f t="shared" si="37"/>
        <v>0</v>
      </c>
      <c r="AK25">
        <f t="shared" si="38"/>
        <v>0</v>
      </c>
      <c r="AL25">
        <f t="shared" si="39"/>
        <v>0</v>
      </c>
      <c r="AM25">
        <f t="shared" si="40"/>
        <v>0</v>
      </c>
      <c r="AN25">
        <f t="shared" si="41"/>
        <v>0</v>
      </c>
      <c r="AP25">
        <f t="shared" si="44"/>
        <v>0</v>
      </c>
      <c r="AQ25" s="4">
        <f t="shared" si="45"/>
        <v>0</v>
      </c>
      <c r="AR25" s="4">
        <f t="shared" si="42"/>
        <v>0</v>
      </c>
      <c r="AS25" s="4">
        <f t="shared" si="42"/>
        <v>0</v>
      </c>
      <c r="AT25" s="4">
        <f t="shared" si="42"/>
        <v>0</v>
      </c>
      <c r="AU25" s="4">
        <f t="shared" si="42"/>
        <v>0</v>
      </c>
      <c r="AV25" s="4">
        <f t="shared" si="42"/>
        <v>0</v>
      </c>
      <c r="AW25" s="4">
        <f t="shared" si="42"/>
        <v>0</v>
      </c>
      <c r="AX25" s="4">
        <f t="shared" si="42"/>
        <v>0</v>
      </c>
      <c r="AY25" s="4">
        <f t="shared" si="42"/>
        <v>0</v>
      </c>
      <c r="AZ25" s="4">
        <f t="shared" si="42"/>
        <v>0</v>
      </c>
      <c r="BA25" s="4">
        <f t="shared" si="42"/>
        <v>0</v>
      </c>
      <c r="BB25" s="4">
        <f t="shared" si="42"/>
        <v>0</v>
      </c>
      <c r="BC25" s="4">
        <f t="shared" si="42"/>
        <v>0</v>
      </c>
      <c r="BD25" s="4">
        <f t="shared" si="42"/>
        <v>0</v>
      </c>
      <c r="BE25" s="4">
        <f t="shared" si="42"/>
        <v>0</v>
      </c>
      <c r="BF25" s="4">
        <f t="shared" si="42"/>
        <v>0</v>
      </c>
      <c r="BG25" s="4">
        <f t="shared" si="42"/>
        <v>0</v>
      </c>
      <c r="BH25" s="4">
        <f t="shared" si="43"/>
        <v>0</v>
      </c>
      <c r="BI25" s="4">
        <f t="shared" si="43"/>
        <v>0</v>
      </c>
      <c r="BJ25" s="4">
        <f t="shared" si="43"/>
        <v>0</v>
      </c>
      <c r="BK25" s="4">
        <f t="shared" si="43"/>
        <v>0</v>
      </c>
      <c r="BL25" s="4">
        <f t="shared" si="43"/>
        <v>0</v>
      </c>
      <c r="BM25" s="4">
        <f t="shared" si="43"/>
        <v>0</v>
      </c>
      <c r="BN25" s="4">
        <f t="shared" si="43"/>
        <v>0</v>
      </c>
    </row>
    <row r="26" spans="1:66" x14ac:dyDescent="0.2">
      <c r="A26" t="s">
        <v>44</v>
      </c>
      <c r="D26" t="s">
        <v>51</v>
      </c>
      <c r="G26" t="e">
        <f>AN28/AP28</f>
        <v>#DIV/0!</v>
      </c>
      <c r="K26" t="s">
        <v>62</v>
      </c>
      <c r="P26" t="s">
        <v>19</v>
      </c>
      <c r="Z26">
        <f t="shared" si="46"/>
        <v>0</v>
      </c>
      <c r="AA26">
        <f t="shared" si="35"/>
        <v>0</v>
      </c>
      <c r="AE26">
        <f t="shared" si="47"/>
        <v>0</v>
      </c>
      <c r="AF26">
        <f t="shared" si="36"/>
        <v>0</v>
      </c>
      <c r="AG26">
        <f t="shared" si="37"/>
        <v>0</v>
      </c>
      <c r="AK26">
        <f t="shared" si="38"/>
        <v>0</v>
      </c>
      <c r="AL26">
        <f t="shared" si="39"/>
        <v>0</v>
      </c>
      <c r="AM26">
        <f t="shared" si="40"/>
        <v>0</v>
      </c>
      <c r="AN26">
        <f t="shared" si="41"/>
        <v>0</v>
      </c>
      <c r="AP26">
        <f t="shared" si="44"/>
        <v>0</v>
      </c>
      <c r="AQ26" s="4">
        <f t="shared" si="45"/>
        <v>0</v>
      </c>
      <c r="AR26" s="4">
        <f t="shared" si="42"/>
        <v>0</v>
      </c>
      <c r="AS26" s="4">
        <f t="shared" si="42"/>
        <v>0</v>
      </c>
      <c r="AT26" s="4">
        <f t="shared" si="42"/>
        <v>0</v>
      </c>
      <c r="AU26" s="4">
        <f t="shared" si="42"/>
        <v>0</v>
      </c>
      <c r="AV26" s="4">
        <f t="shared" si="42"/>
        <v>0</v>
      </c>
      <c r="AW26" s="4">
        <f t="shared" si="42"/>
        <v>0</v>
      </c>
      <c r="AX26" s="4">
        <f t="shared" si="42"/>
        <v>0</v>
      </c>
      <c r="AY26" s="4">
        <f t="shared" si="42"/>
        <v>0</v>
      </c>
      <c r="AZ26" s="4">
        <f t="shared" si="42"/>
        <v>0</v>
      </c>
      <c r="BA26" s="4">
        <f t="shared" si="42"/>
        <v>0</v>
      </c>
      <c r="BB26" s="4">
        <f t="shared" si="42"/>
        <v>0</v>
      </c>
      <c r="BC26" s="4">
        <f t="shared" si="42"/>
        <v>0</v>
      </c>
      <c r="BD26" s="4">
        <f t="shared" si="42"/>
        <v>0</v>
      </c>
      <c r="BE26" s="4">
        <f t="shared" si="42"/>
        <v>0</v>
      </c>
      <c r="BF26" s="4">
        <f t="shared" si="42"/>
        <v>0</v>
      </c>
      <c r="BG26" s="4">
        <f t="shared" si="42"/>
        <v>0</v>
      </c>
      <c r="BH26" s="4">
        <f t="shared" si="43"/>
        <v>0</v>
      </c>
      <c r="BI26" s="4">
        <f t="shared" si="43"/>
        <v>0</v>
      </c>
      <c r="BJ26" s="4">
        <f t="shared" si="43"/>
        <v>0</v>
      </c>
      <c r="BK26" s="4">
        <f t="shared" si="43"/>
        <v>0</v>
      </c>
      <c r="BL26" s="4">
        <f t="shared" si="43"/>
        <v>0</v>
      </c>
      <c r="BM26" s="4">
        <f t="shared" si="43"/>
        <v>0</v>
      </c>
      <c r="BN26" s="4">
        <f t="shared" si="43"/>
        <v>0</v>
      </c>
    </row>
    <row r="27" spans="1:66" x14ac:dyDescent="0.2">
      <c r="A27" t="s">
        <v>45</v>
      </c>
      <c r="D27">
        <f>AA28/A31</f>
        <v>0</v>
      </c>
      <c r="G27" t="s">
        <v>56</v>
      </c>
      <c r="K27" t="s">
        <v>57</v>
      </c>
      <c r="L27" t="s">
        <v>58</v>
      </c>
      <c r="M27" t="s">
        <v>59</v>
      </c>
      <c r="N27" t="s">
        <v>60</v>
      </c>
      <c r="P27" t="s">
        <v>57</v>
      </c>
      <c r="Q27" t="s">
        <v>58</v>
      </c>
      <c r="R27" t="s">
        <v>59</v>
      </c>
      <c r="S27" t="s">
        <v>60</v>
      </c>
      <c r="Z27">
        <f t="shared" si="46"/>
        <v>0</v>
      </c>
      <c r="AA27">
        <f t="shared" si="35"/>
        <v>0</v>
      </c>
      <c r="AE27">
        <f t="shared" si="47"/>
        <v>0</v>
      </c>
      <c r="AF27">
        <f t="shared" si="36"/>
        <v>0</v>
      </c>
      <c r="AG27">
        <f t="shared" si="37"/>
        <v>0</v>
      </c>
      <c r="AK27">
        <f t="shared" si="38"/>
        <v>0</v>
      </c>
      <c r="AL27">
        <f t="shared" si="39"/>
        <v>0</v>
      </c>
      <c r="AM27">
        <f t="shared" si="40"/>
        <v>0</v>
      </c>
      <c r="AN27">
        <f t="shared" si="41"/>
        <v>0</v>
      </c>
      <c r="AP27">
        <f t="shared" si="44"/>
        <v>0</v>
      </c>
      <c r="AQ27" s="4">
        <f t="shared" si="45"/>
        <v>0</v>
      </c>
      <c r="AR27" s="4">
        <f t="shared" si="42"/>
        <v>0</v>
      </c>
      <c r="AS27" s="4">
        <f t="shared" si="42"/>
        <v>0</v>
      </c>
      <c r="AT27" s="4">
        <f t="shared" si="42"/>
        <v>0</v>
      </c>
      <c r="AU27" s="4">
        <f t="shared" si="42"/>
        <v>0</v>
      </c>
      <c r="AV27" s="4">
        <f t="shared" si="42"/>
        <v>0</v>
      </c>
      <c r="AW27" s="4">
        <f t="shared" si="42"/>
        <v>0</v>
      </c>
      <c r="AX27" s="4">
        <f t="shared" si="42"/>
        <v>0</v>
      </c>
      <c r="AY27" s="4">
        <f t="shared" si="42"/>
        <v>0</v>
      </c>
      <c r="AZ27" s="4">
        <f t="shared" si="42"/>
        <v>0</v>
      </c>
      <c r="BA27" s="4">
        <f t="shared" si="42"/>
        <v>0</v>
      </c>
      <c r="BB27" s="4">
        <f t="shared" si="42"/>
        <v>0</v>
      </c>
      <c r="BC27" s="4">
        <f t="shared" si="42"/>
        <v>0</v>
      </c>
      <c r="BD27" s="4">
        <f t="shared" si="42"/>
        <v>0</v>
      </c>
      <c r="BE27" s="4">
        <f t="shared" si="42"/>
        <v>0</v>
      </c>
      <c r="BF27" s="4">
        <f t="shared" si="42"/>
        <v>0</v>
      </c>
      <c r="BG27" s="4">
        <f t="shared" si="42"/>
        <v>0</v>
      </c>
      <c r="BH27" s="4">
        <f t="shared" si="43"/>
        <v>0</v>
      </c>
      <c r="BI27" s="4">
        <f t="shared" si="43"/>
        <v>0</v>
      </c>
      <c r="BJ27" s="4">
        <f t="shared" si="43"/>
        <v>0</v>
      </c>
      <c r="BK27" s="4">
        <f t="shared" si="43"/>
        <v>0</v>
      </c>
      <c r="BL27" s="4">
        <f t="shared" si="43"/>
        <v>0</v>
      </c>
      <c r="BM27" s="4">
        <f t="shared" si="43"/>
        <v>0</v>
      </c>
      <c r="BN27" s="4">
        <f t="shared" si="43"/>
        <v>0</v>
      </c>
    </row>
    <row r="28" spans="1:66" x14ac:dyDescent="0.2">
      <c r="A28" t="s">
        <v>46</v>
      </c>
      <c r="D28" t="s">
        <v>202</v>
      </c>
      <c r="G28" t="s">
        <v>57</v>
      </c>
      <c r="H28" t="s">
        <v>58</v>
      </c>
      <c r="I28" t="s">
        <v>59</v>
      </c>
      <c r="J28" t="s">
        <v>60</v>
      </c>
      <c r="K28">
        <f>AVERAGE(G39:G50)</f>
        <v>0</v>
      </c>
      <c r="L28">
        <f>MEDIAN(G39:G50)</f>
        <v>0</v>
      </c>
      <c r="M28">
        <f>MAX(G39:G50)</f>
        <v>0</v>
      </c>
      <c r="N28">
        <f>_xlfn.STDEV.S(G39:G50)</f>
        <v>0</v>
      </c>
      <c r="P28">
        <f>AVERAGE(N39:N50)</f>
        <v>4.75</v>
      </c>
      <c r="Q28">
        <f>MEDIAN(N39:N50)</f>
        <v>0</v>
      </c>
      <c r="R28">
        <f>MAX(N39:N50)</f>
        <v>42</v>
      </c>
      <c r="S28">
        <f>_xlfn.STDEV.S(N39:N50)</f>
        <v>12.016087700926771</v>
      </c>
      <c r="Y28" t="s">
        <v>33</v>
      </c>
      <c r="Z28">
        <f>SUM(Z16:Z27)</f>
        <v>0</v>
      </c>
      <c r="AA28">
        <f>SUM(AA16:AA27)</f>
        <v>0</v>
      </c>
      <c r="AE28">
        <f>SUM(AE16:AE27)</f>
        <v>0</v>
      </c>
      <c r="AF28">
        <f>SUM(AF16:AF27)</f>
        <v>0</v>
      </c>
      <c r="AG28">
        <f>SUM(AG16:AG27)</f>
        <v>0</v>
      </c>
      <c r="AK28">
        <f>SUM(AK16:AK27)</f>
        <v>0</v>
      </c>
      <c r="AL28">
        <f>SUM(AL16:AL27)</f>
        <v>0</v>
      </c>
      <c r="AM28">
        <f>SUM(AM16:AM27)</f>
        <v>0</v>
      </c>
      <c r="AN28">
        <f>SUM(AN16:AN27)</f>
        <v>0</v>
      </c>
      <c r="AP28">
        <f>SUM(AP16:AP27)</f>
        <v>0</v>
      </c>
    </row>
    <row r="29" spans="1:66" x14ac:dyDescent="0.2">
      <c r="D29">
        <f>SUM(O39:O50)/F16</f>
        <v>0.33333333333333331</v>
      </c>
      <c r="G29">
        <f>AVERAGE(A39:A50)</f>
        <v>0</v>
      </c>
      <c r="H29">
        <f>MEDIAN(A39:A50)</f>
        <v>0</v>
      </c>
      <c r="I29">
        <f>MAX(A39:A50)</f>
        <v>0</v>
      </c>
      <c r="J29">
        <f>_xlfn.STDEV.S(A39:A50)</f>
        <v>0</v>
      </c>
      <c r="K29" t="s">
        <v>63</v>
      </c>
      <c r="P29" t="s">
        <v>148</v>
      </c>
    </row>
    <row r="30" spans="1:66" x14ac:dyDescent="0.2">
      <c r="A30" t="s">
        <v>147</v>
      </c>
      <c r="D30" t="s">
        <v>203</v>
      </c>
      <c r="G30" t="s">
        <v>50</v>
      </c>
      <c r="H30" t="s">
        <v>51</v>
      </c>
      <c r="I30" t="s">
        <v>89</v>
      </c>
      <c r="K30" t="s">
        <v>57</v>
      </c>
      <c r="L30" t="s">
        <v>58</v>
      </c>
      <c r="M30" t="s">
        <v>59</v>
      </c>
      <c r="N30" t="s">
        <v>60</v>
      </c>
      <c r="P30" t="s">
        <v>57</v>
      </c>
      <c r="Q30" t="s">
        <v>58</v>
      </c>
      <c r="R30" t="s">
        <v>59</v>
      </c>
      <c r="S30" t="s">
        <v>60</v>
      </c>
      <c r="W30" t="s">
        <v>148</v>
      </c>
      <c r="Y30" t="s">
        <v>149</v>
      </c>
      <c r="AH30" t="s">
        <v>79</v>
      </c>
    </row>
    <row r="31" spans="1:66" x14ac:dyDescent="0.2">
      <c r="A31">
        <f>COUNT(B4:B14)</f>
        <v>11</v>
      </c>
      <c r="D31" s="2">
        <f>SUM(S39:S50)/SUM(Q39:Q50)</f>
        <v>0.375</v>
      </c>
      <c r="G31">
        <f>AE28/A31</f>
        <v>0</v>
      </c>
      <c r="H31">
        <f>AF28/A31</f>
        <v>0</v>
      </c>
      <c r="I31">
        <f>AG28/A31</f>
        <v>0</v>
      </c>
      <c r="K31" t="e">
        <f>AVERAGE(I39:I50)</f>
        <v>#DIV/0!</v>
      </c>
      <c r="L31" t="e">
        <f>MEDIAN(I39:I50)</f>
        <v>#NUM!</v>
      </c>
      <c r="M31">
        <f>MAX(I39:I50)</f>
        <v>0</v>
      </c>
      <c r="N31" t="e">
        <f>_xlfn.STDEV.S(I39:I50)</f>
        <v>#DIV/0!</v>
      </c>
      <c r="P31" t="e">
        <f>AVERAGE(W31:W42)</f>
        <v>#DIV/0!</v>
      </c>
      <c r="Q31" t="e">
        <f>MEDIAN(W31:W42)</f>
        <v>#NUM!</v>
      </c>
      <c r="R31">
        <f>MAX(W31:W42)</f>
        <v>0</v>
      </c>
      <c r="S31" t="e">
        <f>_xlfn.STDEV.S(W31:W42)</f>
        <v>#DIV/0!</v>
      </c>
      <c r="W31" t="str">
        <f t="shared" ref="W31:W33" si="48">IF(AND(ISBLANK(Q4), ISBLANK(R4), ISBLANK(G4), ISBLANK(H4)), "", U4)</f>
        <v/>
      </c>
      <c r="Y31" t="str">
        <f>IF(ISBLANK(Y4), IF(X4 = 0, "", (G4 + H4/3 + V4/9 + W4/3)), U4)</f>
        <v/>
      </c>
      <c r="AH31" t="s">
        <v>80</v>
      </c>
    </row>
    <row r="32" spans="1:66" x14ac:dyDescent="0.2">
      <c r="D32" s="3"/>
      <c r="K32" t="s">
        <v>64</v>
      </c>
      <c r="P32" t="s">
        <v>149</v>
      </c>
      <c r="W32" t="str">
        <f t="shared" si="48"/>
        <v/>
      </c>
      <c r="Y32" t="str">
        <f>IF(ISBLANK(Y5), IF(X5 = 0, "", (G5 + H5/3 + V5/9 + W5/3)), U5)</f>
        <v/>
      </c>
      <c r="AH32" t="s">
        <v>81</v>
      </c>
    </row>
    <row r="33" spans="1:34" x14ac:dyDescent="0.2">
      <c r="D33" s="3"/>
      <c r="K33" t="s">
        <v>57</v>
      </c>
      <c r="L33" t="s">
        <v>58</v>
      </c>
      <c r="M33" t="s">
        <v>59</v>
      </c>
      <c r="N33" t="s">
        <v>60</v>
      </c>
      <c r="P33" t="s">
        <v>57</v>
      </c>
      <c r="Q33" t="s">
        <v>58</v>
      </c>
      <c r="R33" t="s">
        <v>59</v>
      </c>
      <c r="S33" t="s">
        <v>60</v>
      </c>
      <c r="W33" t="str">
        <f t="shared" si="48"/>
        <v/>
      </c>
      <c r="Y33" t="str">
        <f>IF(ISBLANK(Y6), IF(X6 = 0, "", (G6 + H6/3 + V6/9 + W6/3)), U6)</f>
        <v/>
      </c>
      <c r="AH33" t="s">
        <v>82</v>
      </c>
    </row>
    <row r="34" spans="1:34" x14ac:dyDescent="0.2">
      <c r="D34" s="3"/>
      <c r="K34">
        <f>AVERAGE(K39:K50)</f>
        <v>0</v>
      </c>
      <c r="L34">
        <f>MEDIAN(K39:K50)</f>
        <v>0</v>
      </c>
      <c r="M34">
        <f>MAX(K39:K50)</f>
        <v>0</v>
      </c>
      <c r="N34">
        <f>_xlfn.STDEV.S(K39:K50)</f>
        <v>0</v>
      </c>
      <c r="P34" t="e">
        <f>AVERAGE(Y31:Y42)</f>
        <v>#DIV/0!</v>
      </c>
      <c r="Q34" t="e">
        <f>MEDIAN(Y31:Y42)</f>
        <v>#NUM!</v>
      </c>
      <c r="R34">
        <f>MAX(Y31:Y42)</f>
        <v>0</v>
      </c>
      <c r="S34" t="e">
        <f>_xlfn.STDEV.S(Y31:Y42)</f>
        <v>#DIV/0!</v>
      </c>
      <c r="W34" t="str">
        <f>IF(AND(ISBLANK(Q7), ISBLANK(R7), ISBLANK(G7), ISBLANK(H7)), "", U7)</f>
        <v/>
      </c>
      <c r="Y34" t="str">
        <f>IF(ISBLANK(Y7), IF(X7 = 0, "", (G7 + H7/3 + V7/9 + W7/3)), U7)</f>
        <v/>
      </c>
      <c r="AH34" t="s">
        <v>83</v>
      </c>
    </row>
    <row r="35" spans="1:34" x14ac:dyDescent="0.2">
      <c r="P35" t="s">
        <v>95</v>
      </c>
      <c r="R35" t="s">
        <v>197</v>
      </c>
      <c r="W35" t="str">
        <f>IF(AND(ISBLANK('2729'!Q7), ISBLANK('2729'!R7), ISBLANK('2729'!G7), ISBLANK('2729'!H7)), "", '2729'!U7)</f>
        <v/>
      </c>
      <c r="Y35" t="str">
        <f>IF(ISBLANK(Y8), IF(X8 = 0, "", ('2729'!G7 + '2729'!H7/3 + '2729'!V7/9 +#REF!/ 3)), '2729'!U7)</f>
        <v/>
      </c>
    </row>
    <row r="36" spans="1:34" x14ac:dyDescent="0.2">
      <c r="P36" t="e">
        <f>Q16/(Q16+R16)</f>
        <v>#DIV/0!</v>
      </c>
      <c r="R36" t="e">
        <f>R16/(Q16+R16)</f>
        <v>#DIV/0!</v>
      </c>
      <c r="W36" t="str">
        <f t="shared" ref="W36:W42" si="49">IF(AND(ISBLANK(Q8), ISBLANK(R8), ISBLANK(G8), ISBLANK(H8)), "", U8)</f>
        <v/>
      </c>
      <c r="Y36" t="str">
        <f t="shared" ref="Y36:Y42" si="50">IF(ISBLANK(Y9), IF(X9 = 0, "", (G8 + H8/3 + V8/9 + W8/3)), U8)</f>
        <v/>
      </c>
    </row>
    <row r="37" spans="1:34" x14ac:dyDescent="0.2">
      <c r="W37" t="str">
        <f t="shared" si="49"/>
        <v/>
      </c>
      <c r="Y37" t="str">
        <f t="shared" si="50"/>
        <v/>
      </c>
    </row>
    <row r="38" spans="1:34" x14ac:dyDescent="0.2">
      <c r="A38" t="s">
        <v>68</v>
      </c>
      <c r="C38" t="s">
        <v>69</v>
      </c>
      <c r="E38" t="s">
        <v>72</v>
      </c>
      <c r="G38" t="s">
        <v>250</v>
      </c>
      <c r="K38" t="s">
        <v>73</v>
      </c>
      <c r="M38" t="s">
        <v>70</v>
      </c>
      <c r="N38" t="s">
        <v>71</v>
      </c>
      <c r="O38" t="s">
        <v>199</v>
      </c>
      <c r="Q38" t="s">
        <v>200</v>
      </c>
      <c r="S38" t="s">
        <v>201</v>
      </c>
      <c r="W38" t="str">
        <f t="shared" si="49"/>
        <v/>
      </c>
      <c r="Y38" t="str">
        <f t="shared" si="50"/>
        <v/>
      </c>
    </row>
    <row r="39" spans="1:34" x14ac:dyDescent="0.2">
      <c r="A39">
        <f>IF(ISBLANK(B4), "", SUM(AE16+AF16+AG16))</f>
        <v>0</v>
      </c>
      <c r="C39">
        <f>IF(ISBLANK(B4), "", O4)</f>
        <v>2</v>
      </c>
      <c r="E39">
        <f>IF(ISBLANK(B4), "", Q4)</f>
        <v>0</v>
      </c>
      <c r="G39">
        <f>IF(ISBLANK(B4), "", R4)</f>
        <v>0</v>
      </c>
      <c r="K39">
        <f>IF(ISBLANK(B4), "", SUM(Q4 + R4))</f>
        <v>0</v>
      </c>
      <c r="M39">
        <f>IF(ISBLANK(B4), "", SUM(K4+M4) - O4)</f>
        <v>0</v>
      </c>
      <c r="N39">
        <f>IF(ISBLANK(B4), "", U4)</f>
        <v>1</v>
      </c>
      <c r="O39">
        <f>COUNTIF(E4, "1")*COUNTIF(F4, "1")</f>
        <v>0</v>
      </c>
      <c r="Q39">
        <f>COUNTIF(D4, "1")*COUNTIF(F4, "")</f>
        <v>1</v>
      </c>
      <c r="S39">
        <f>COUNTIF(E4, "1")*COUNTIF(F4, "")</f>
        <v>0</v>
      </c>
      <c r="W39" t="str">
        <f t="shared" si="49"/>
        <v/>
      </c>
      <c r="Y39" t="str">
        <f t="shared" si="50"/>
        <v/>
      </c>
    </row>
    <row r="40" spans="1:34" x14ac:dyDescent="0.2">
      <c r="A40">
        <f>IF(ISBLANK(B5), "", SUM(AE17+AF17+AG17))</f>
        <v>0</v>
      </c>
      <c r="C40">
        <f>IF(ISBLANK(B5), "", O5)</f>
        <v>1</v>
      </c>
      <c r="E40">
        <f>IF(ISBLANK(B5), "", Q5)</f>
        <v>0</v>
      </c>
      <c r="G40">
        <f>IF(ISBLANK(B5), "", R5)</f>
        <v>0</v>
      </c>
      <c r="K40">
        <f>IF(ISBLANK(B5), "", SUM(Q5 + R5))</f>
        <v>0</v>
      </c>
      <c r="M40">
        <f>IF(ISBLANK(B5), "", SUM(K5+M5) - O5)</f>
        <v>0</v>
      </c>
      <c r="N40">
        <f>IF(ISBLANK(B5), "", U5)</f>
        <v>0</v>
      </c>
      <c r="O40">
        <f>COUNTIF(E5, "1")*COUNTIF(F5, "1")</f>
        <v>0</v>
      </c>
      <c r="Q40">
        <f>COUNTIF(D5, "1")*COUNTIF(F5, "")</f>
        <v>1</v>
      </c>
      <c r="S40">
        <f>COUNTIF(E5, "1")*COUNTIF(F5, "")</f>
        <v>1</v>
      </c>
      <c r="W40" t="str">
        <f t="shared" si="49"/>
        <v/>
      </c>
      <c r="Y40" t="str">
        <f t="shared" si="50"/>
        <v/>
      </c>
    </row>
    <row r="41" spans="1:34" x14ac:dyDescent="0.2">
      <c r="A41">
        <f>IF(ISBLANK(B6), "", SUM(AE18+AF18+AG18))</f>
        <v>0</v>
      </c>
      <c r="C41">
        <f>IF(ISBLANK(B6), "", O6)</f>
        <v>3</v>
      </c>
      <c r="E41">
        <f>IF(ISBLANK(B6), "", Q6)</f>
        <v>0</v>
      </c>
      <c r="G41">
        <f>IF(ISBLANK(B6), "", R6)</f>
        <v>0</v>
      </c>
      <c r="K41">
        <f>IF(ISBLANK(B6), "", SUM(Q6 + R6))</f>
        <v>0</v>
      </c>
      <c r="M41">
        <f>IF(ISBLANK(B6), "", SUM(K6+M6) - O6)</f>
        <v>-1</v>
      </c>
      <c r="N41">
        <f>IF(ISBLANK(B6), "", U6)</f>
        <v>2</v>
      </c>
      <c r="O41">
        <f>COUNTIF(E6, "1")*COUNTIF(F6, "1")</f>
        <v>0</v>
      </c>
      <c r="Q41">
        <f>COUNTIF(D6, "1")*COUNTIF(F6, "")</f>
        <v>1</v>
      </c>
      <c r="S41">
        <f>COUNTIF(E6, "1")*COUNTIF(F6, "")</f>
        <v>0</v>
      </c>
      <c r="W41" t="str">
        <f t="shared" si="49"/>
        <v/>
      </c>
      <c r="Y41" t="str">
        <f t="shared" si="50"/>
        <v/>
      </c>
    </row>
    <row r="42" spans="1:34" x14ac:dyDescent="0.2">
      <c r="A42">
        <f>IF(ISBLANK(B7), "", SUM(AE19+AF19+AG19))</f>
        <v>0</v>
      </c>
      <c r="C42">
        <f>IF(ISBLANK(B7), "", O7)</f>
        <v>4</v>
      </c>
      <c r="E42">
        <f>IF(ISBLANK(B7), "", Q7)</f>
        <v>0</v>
      </c>
      <c r="G42">
        <f>IF(ISBLANK(B7), "", R7)</f>
        <v>0</v>
      </c>
      <c r="K42">
        <f>IF(ISBLANK(B7), "", SUM(Q7 + R7))</f>
        <v>0</v>
      </c>
      <c r="M42">
        <f>IF(ISBLANK(B7), "", SUM(K7+M7) - O7)</f>
        <v>-1</v>
      </c>
      <c r="N42">
        <f>IF(ISBLANK(B7), "", U7)</f>
        <v>0</v>
      </c>
      <c r="O42">
        <f>COUNTIF(E7, "1")*COUNTIF(F7, "1")</f>
        <v>0</v>
      </c>
      <c r="Q42">
        <f>COUNTIF(D7, "1")*COUNTIF(F7, "")</f>
        <v>0</v>
      </c>
      <c r="S42">
        <f>COUNTIF(E7, "1")*COUNTIF(F7, "")</f>
        <v>0</v>
      </c>
      <c r="W42" t="str">
        <f t="shared" si="49"/>
        <v/>
      </c>
      <c r="Y42" t="str">
        <f t="shared" si="50"/>
        <v/>
      </c>
    </row>
    <row r="43" spans="1:34" x14ac:dyDescent="0.2">
      <c r="A43">
        <f>IF(ISBLANK('2729'!B7), "", SUM(AE20+AF20+AG20))</f>
        <v>0</v>
      </c>
      <c r="C43">
        <f>IF(ISBLANK('2729'!B7), "", '2729'!O7)</f>
        <v>4</v>
      </c>
      <c r="E43">
        <f>IF(ISBLANK('2729'!B7), "", '2729'!Q7)</f>
        <v>0</v>
      </c>
      <c r="G43">
        <f>IF(ISBLANK('2729'!B7), "", '2729'!R7)</f>
        <v>0</v>
      </c>
      <c r="K43">
        <f>IF(ISBLANK('2729'!B7), "", SUM('2729'!Q7 + '2729'!R7))</f>
        <v>0</v>
      </c>
      <c r="M43">
        <f>IF(ISBLANK('2729'!B7), "", SUM('2729'!K7+'2729'!M7) - '2729'!O7)</f>
        <v>0</v>
      </c>
      <c r="N43">
        <f>IF(ISBLANK('2729'!B7), "", '2729'!U7)</f>
        <v>9</v>
      </c>
      <c r="O43">
        <f>COUNTIF('2729'!E7, "1")*COUNTIF('2729'!F7, "1")</f>
        <v>0</v>
      </c>
      <c r="Q43">
        <f>COUNTIF('2729'!D7, "1")*COUNTIF('2729'!F7, "")</f>
        <v>1</v>
      </c>
      <c r="S43">
        <f>COUNTIF('2729'!E7, "1")*COUNTIF('2729'!F7, "")</f>
        <v>1</v>
      </c>
    </row>
    <row r="44" spans="1:34" x14ac:dyDescent="0.2">
      <c r="A44">
        <f t="shared" ref="A44:A50" si="51">IF(ISBLANK(B8), "", SUM(AE21+AF21+AG21))</f>
        <v>0</v>
      </c>
      <c r="C44">
        <f t="shared" ref="C44:C50" si="52">IF(ISBLANK(B8), "", O8)</f>
        <v>2</v>
      </c>
      <c r="E44">
        <f t="shared" ref="E44:E50" si="53">IF(ISBLANK(B8), "", Q8)</f>
        <v>0</v>
      </c>
      <c r="G44">
        <f t="shared" ref="G44:G50" si="54">IF(ISBLANK(B8), "", R8)</f>
        <v>0</v>
      </c>
      <c r="K44">
        <f t="shared" ref="K44:K50" si="55">IF(ISBLANK(B8), "", SUM(Q8 + R8))</f>
        <v>0</v>
      </c>
      <c r="M44">
        <f t="shared" ref="M44:M50" si="56">IF(ISBLANK(B8), "", SUM(K8+M8) - O8)</f>
        <v>-1</v>
      </c>
      <c r="N44">
        <f t="shared" ref="N44:N50" si="57">IF(ISBLANK(B8), "", U8)</f>
        <v>42</v>
      </c>
      <c r="O44">
        <f t="shared" ref="O44:O50" si="58">COUNTIF(E8, "1")*COUNTIF(F8, "1")</f>
        <v>0</v>
      </c>
      <c r="Q44">
        <f t="shared" ref="Q44:Q50" si="59">COUNTIF(D8, "1")*COUNTIF(F8, "")</f>
        <v>0</v>
      </c>
      <c r="S44">
        <f t="shared" ref="S44:S50" si="60">COUNTIF(E8, "1")*COUNTIF(F8, "")</f>
        <v>0</v>
      </c>
    </row>
    <row r="45" spans="1:34" x14ac:dyDescent="0.2">
      <c r="A45">
        <f t="shared" si="51"/>
        <v>0</v>
      </c>
      <c r="C45">
        <f t="shared" si="52"/>
        <v>3</v>
      </c>
      <c r="E45">
        <f t="shared" si="53"/>
        <v>0</v>
      </c>
      <c r="G45">
        <f t="shared" si="54"/>
        <v>0</v>
      </c>
      <c r="K45">
        <f t="shared" si="55"/>
        <v>0</v>
      </c>
      <c r="M45">
        <f t="shared" si="56"/>
        <v>1</v>
      </c>
      <c r="N45">
        <f t="shared" si="57"/>
        <v>0</v>
      </c>
      <c r="O45">
        <f t="shared" si="58"/>
        <v>1</v>
      </c>
      <c r="Q45">
        <f t="shared" si="59"/>
        <v>0</v>
      </c>
      <c r="S45">
        <f t="shared" si="60"/>
        <v>0</v>
      </c>
    </row>
    <row r="46" spans="1:34" x14ac:dyDescent="0.2">
      <c r="A46">
        <f t="shared" si="51"/>
        <v>0</v>
      </c>
      <c r="C46">
        <f t="shared" si="52"/>
        <v>3</v>
      </c>
      <c r="E46">
        <f t="shared" si="53"/>
        <v>0</v>
      </c>
      <c r="G46">
        <f t="shared" si="54"/>
        <v>0</v>
      </c>
      <c r="K46">
        <f t="shared" si="55"/>
        <v>0</v>
      </c>
      <c r="M46">
        <f t="shared" si="56"/>
        <v>0</v>
      </c>
      <c r="N46">
        <f t="shared" si="57"/>
        <v>0</v>
      </c>
      <c r="O46">
        <f t="shared" si="58"/>
        <v>0</v>
      </c>
      <c r="Q46">
        <f t="shared" si="59"/>
        <v>1</v>
      </c>
      <c r="S46">
        <f t="shared" si="60"/>
        <v>1</v>
      </c>
    </row>
    <row r="47" spans="1:34" x14ac:dyDescent="0.2">
      <c r="A47">
        <f t="shared" si="51"/>
        <v>0</v>
      </c>
      <c r="C47">
        <f t="shared" si="52"/>
        <v>4</v>
      </c>
      <c r="E47">
        <f t="shared" si="53"/>
        <v>0</v>
      </c>
      <c r="G47">
        <f t="shared" si="54"/>
        <v>0</v>
      </c>
      <c r="K47">
        <f t="shared" si="55"/>
        <v>0</v>
      </c>
      <c r="M47">
        <f t="shared" si="56"/>
        <v>0</v>
      </c>
      <c r="N47">
        <f t="shared" si="57"/>
        <v>0</v>
      </c>
      <c r="O47">
        <f t="shared" si="58"/>
        <v>0</v>
      </c>
      <c r="Q47">
        <f t="shared" si="59"/>
        <v>1</v>
      </c>
      <c r="S47">
        <f t="shared" si="60"/>
        <v>0</v>
      </c>
    </row>
    <row r="48" spans="1:34" x14ac:dyDescent="0.2">
      <c r="A48">
        <f t="shared" si="51"/>
        <v>0</v>
      </c>
      <c r="C48">
        <f t="shared" si="52"/>
        <v>3</v>
      </c>
      <c r="E48">
        <f t="shared" si="53"/>
        <v>0</v>
      </c>
      <c r="G48">
        <f t="shared" si="54"/>
        <v>0</v>
      </c>
      <c r="K48">
        <f t="shared" si="55"/>
        <v>0</v>
      </c>
      <c r="M48">
        <f t="shared" si="56"/>
        <v>-1</v>
      </c>
      <c r="N48">
        <f t="shared" si="57"/>
        <v>0</v>
      </c>
      <c r="O48">
        <f t="shared" si="58"/>
        <v>0</v>
      </c>
      <c r="Q48">
        <f t="shared" si="59"/>
        <v>1</v>
      </c>
      <c r="S48">
        <f t="shared" si="60"/>
        <v>0</v>
      </c>
    </row>
    <row r="49" spans="1:19" x14ac:dyDescent="0.2">
      <c r="A49">
        <f t="shared" si="51"/>
        <v>0</v>
      </c>
      <c r="C49">
        <f t="shared" si="52"/>
        <v>4</v>
      </c>
      <c r="E49">
        <f t="shared" si="53"/>
        <v>0</v>
      </c>
      <c r="G49">
        <f t="shared" si="54"/>
        <v>0</v>
      </c>
      <c r="K49">
        <f t="shared" si="55"/>
        <v>0</v>
      </c>
      <c r="M49">
        <f t="shared" si="56"/>
        <v>-1</v>
      </c>
      <c r="N49">
        <f t="shared" si="57"/>
        <v>3</v>
      </c>
      <c r="O49">
        <f t="shared" si="58"/>
        <v>0</v>
      </c>
      <c r="Q49">
        <f t="shared" si="59"/>
        <v>0</v>
      </c>
      <c r="S49">
        <f t="shared" si="60"/>
        <v>0</v>
      </c>
    </row>
    <row r="50" spans="1:19" x14ac:dyDescent="0.2">
      <c r="A50">
        <f t="shared" si="51"/>
        <v>0</v>
      </c>
      <c r="C50">
        <f t="shared" si="52"/>
        <v>3</v>
      </c>
      <c r="E50">
        <f t="shared" si="53"/>
        <v>0</v>
      </c>
      <c r="G50">
        <f t="shared" si="54"/>
        <v>0</v>
      </c>
      <c r="K50">
        <f t="shared" si="55"/>
        <v>0</v>
      </c>
      <c r="M50">
        <f t="shared" si="56"/>
        <v>0</v>
      </c>
      <c r="N50">
        <f t="shared" si="57"/>
        <v>0</v>
      </c>
      <c r="O50">
        <f t="shared" si="58"/>
        <v>0</v>
      </c>
      <c r="Q50">
        <f t="shared" si="59"/>
        <v>1</v>
      </c>
      <c r="S50">
        <f t="shared" si="60"/>
        <v>0</v>
      </c>
    </row>
  </sheetData>
  <pageMargins left="0.7" right="0.7" top="0.75" bottom="0.75" header="0.3" footer="0.3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 enableFormatConditionsCalculation="0"/>
  <dimension ref="A1:BN50"/>
  <sheetViews>
    <sheetView topLeftCell="C1" workbookViewId="0">
      <selection activeCell="U15" sqref="U15"/>
    </sheetView>
  </sheetViews>
  <sheetFormatPr baseColWidth="10" defaultColWidth="11.5" defaultRowHeight="15" x14ac:dyDescent="0.2"/>
  <sheetData>
    <row r="1" spans="1:66" x14ac:dyDescent="0.2">
      <c r="A1" s="1" t="s">
        <v>0</v>
      </c>
      <c r="D1" t="s">
        <v>3</v>
      </c>
      <c r="K1" t="s">
        <v>11</v>
      </c>
      <c r="N1" t="s">
        <v>12</v>
      </c>
      <c r="P1" t="s">
        <v>14</v>
      </c>
      <c r="Q1" t="s">
        <v>17</v>
      </c>
      <c r="S1" t="s">
        <v>18</v>
      </c>
      <c r="Z1" t="s">
        <v>29</v>
      </c>
      <c r="AE1" t="s">
        <v>30</v>
      </c>
      <c r="AK1" t="s">
        <v>42</v>
      </c>
    </row>
    <row r="2" spans="1:66" x14ac:dyDescent="0.2">
      <c r="A2" t="s">
        <v>1</v>
      </c>
      <c r="B2" t="s">
        <v>1</v>
      </c>
      <c r="C2" t="s">
        <v>87</v>
      </c>
      <c r="D2" t="s">
        <v>54</v>
      </c>
      <c r="E2" t="s">
        <v>13</v>
      </c>
      <c r="F2" t="s">
        <v>198</v>
      </c>
      <c r="G2" t="s">
        <v>7</v>
      </c>
      <c r="H2" t="s">
        <v>8</v>
      </c>
      <c r="I2" t="s">
        <v>179</v>
      </c>
      <c r="J2" t="s">
        <v>178</v>
      </c>
      <c r="K2" t="s">
        <v>9</v>
      </c>
      <c r="L2" t="s">
        <v>196</v>
      </c>
      <c r="M2" t="s">
        <v>10</v>
      </c>
      <c r="N2" t="s">
        <v>54</v>
      </c>
      <c r="O2" t="s">
        <v>13</v>
      </c>
      <c r="P2" t="s">
        <v>15</v>
      </c>
      <c r="Q2" t="s">
        <v>8</v>
      </c>
      <c r="R2" t="s">
        <v>7</v>
      </c>
      <c r="S2" t="s">
        <v>181</v>
      </c>
      <c r="T2" t="s">
        <v>182</v>
      </c>
      <c r="U2" t="s">
        <v>19</v>
      </c>
      <c r="V2" t="s">
        <v>191</v>
      </c>
      <c r="W2" t="s">
        <v>192</v>
      </c>
      <c r="X2" t="s">
        <v>175</v>
      </c>
      <c r="Y2" t="s">
        <v>173</v>
      </c>
      <c r="Z2" t="str">
        <f t="shared" ref="Z2:Z13" si="0">LEFT(I4, 1)</f>
        <v/>
      </c>
      <c r="AA2" t="str">
        <f t="shared" ref="AA2:AA13" si="1">MID(I4, 4, 1)</f>
        <v/>
      </c>
      <c r="AB2" t="str">
        <f t="shared" ref="AB2:AB13" si="2">MID(I4, 7, 1)</f>
        <v/>
      </c>
      <c r="AC2" t="str">
        <f t="shared" ref="AC2:AC13" si="3">MID(I4, 10, 1)</f>
        <v/>
      </c>
      <c r="AE2" t="str">
        <f t="shared" ref="AE2:AE13" si="4">LEFT(J4, 1)</f>
        <v/>
      </c>
      <c r="AF2" t="str">
        <f t="shared" ref="AF2:AF13" si="5">MID(J4, 4, 1)</f>
        <v/>
      </c>
      <c r="AG2" t="str">
        <f t="shared" ref="AG2:AG13" si="6">MID(J4, 7, 1)</f>
        <v/>
      </c>
      <c r="AH2" t="str">
        <f t="shared" ref="AH2:AH13" si="7">MID(J4, 10, 1)</f>
        <v/>
      </c>
      <c r="AI2" t="str">
        <f t="shared" ref="AI2:AI13" si="8">MID(J4, 13, 1)</f>
        <v/>
      </c>
      <c r="AK2" t="str">
        <f t="shared" ref="AK2:AK13" si="9">LEFT(P4, 2)</f>
        <v>r1</v>
      </c>
      <c r="AL2" t="str">
        <f>MID($P4, 5, 2)</f>
        <v/>
      </c>
      <c r="AM2" t="str">
        <f t="shared" ref="AM2:AM13" si="10">MID($P4, 9, 2)</f>
        <v/>
      </c>
      <c r="AN2" t="str">
        <f t="shared" ref="AN2:AN13" si="11">MID($P4, 13, 2)</f>
        <v/>
      </c>
      <c r="AO2" t="str">
        <f t="shared" ref="AO2:AO13" si="12">MID($P4, 17, 2)</f>
        <v/>
      </c>
      <c r="AP2" t="str">
        <f t="shared" ref="AP2:AP13" si="13">MID($P4, 21, 2)</f>
        <v/>
      </c>
      <c r="AQ2" t="str">
        <f t="shared" ref="AQ2:AQ13" si="14">MID($P4, 25, 2)</f>
        <v/>
      </c>
      <c r="AR2" t="str">
        <f t="shared" ref="AR2:AR13" si="15">MID($P4, 29, 2)</f>
        <v/>
      </c>
      <c r="AS2" t="str">
        <f t="shared" ref="AS2:AS13" si="16">MID($P4, 33, 2)</f>
        <v/>
      </c>
      <c r="AT2" t="str">
        <f t="shared" ref="AT2:AT13" si="17">MID($P4, 37, 2)</f>
        <v/>
      </c>
      <c r="AU2" t="str">
        <f t="shared" ref="AU2:AU13" si="18">MID($P4, 41, 2)</f>
        <v/>
      </c>
      <c r="AV2" t="str">
        <f t="shared" ref="AV2:AV13" si="19">MID($P4, 45, 2)</f>
        <v/>
      </c>
      <c r="AW2" t="str">
        <f t="shared" ref="AW2:AW13" si="20">MID($P4, 49, 2)</f>
        <v/>
      </c>
      <c r="AX2" t="str">
        <f t="shared" ref="AX2:AX13" si="21">MID($P4, 53, 2)</f>
        <v/>
      </c>
      <c r="AY2" t="str">
        <f t="shared" ref="AY2:AY13" si="22">MID($P4, 57, 2)</f>
        <v/>
      </c>
      <c r="AZ2" t="str">
        <f t="shared" ref="AZ2:AZ13" si="23">MID($P4, 61, 2)</f>
        <v/>
      </c>
      <c r="BA2" t="str">
        <f t="shared" ref="BA2:BA13" si="24">MID($P4, 65, 2)</f>
        <v/>
      </c>
      <c r="BB2" t="str">
        <f t="shared" ref="BB2:BB13" si="25">MID($P4, 69, 2)</f>
        <v/>
      </c>
      <c r="BC2" t="str">
        <f t="shared" ref="BC2:BC13" si="26">MID($P4, 73, 2)</f>
        <v/>
      </c>
      <c r="BD2" t="str">
        <f t="shared" ref="BD2:BD13" si="27">MID($P4, 77, 2)</f>
        <v/>
      </c>
      <c r="BE2" t="str">
        <f t="shared" ref="BE2:BE13" si="28">MID($P4, 81, 2)</f>
        <v/>
      </c>
      <c r="BF2" t="str">
        <f t="shared" ref="BF2:BF13" si="29">MID($P4, 85, 2)</f>
        <v/>
      </c>
      <c r="BG2" t="str">
        <f t="shared" ref="BG2:BG13" si="30">MID($P4, 89, 2)</f>
        <v/>
      </c>
      <c r="BH2" t="str">
        <f t="shared" ref="BH2:BH13" si="31">MID($P4, 93, 2)</f>
        <v/>
      </c>
    </row>
    <row r="3" spans="1:66" x14ac:dyDescent="0.2">
      <c r="A3" t="s">
        <v>2</v>
      </c>
      <c r="B3" t="s">
        <v>6</v>
      </c>
      <c r="C3" t="s">
        <v>88</v>
      </c>
      <c r="D3" t="s">
        <v>6</v>
      </c>
      <c r="E3" t="s">
        <v>6</v>
      </c>
      <c r="F3" t="s">
        <v>4</v>
      </c>
      <c r="G3" t="s">
        <v>6</v>
      </c>
      <c r="H3" t="s">
        <v>6</v>
      </c>
      <c r="I3" t="s">
        <v>86</v>
      </c>
      <c r="J3" t="s">
        <v>86</v>
      </c>
      <c r="K3" t="s">
        <v>6</v>
      </c>
      <c r="L3" t="s">
        <v>6</v>
      </c>
      <c r="M3" t="s">
        <v>6</v>
      </c>
      <c r="N3" t="s">
        <v>6</v>
      </c>
      <c r="O3" t="s">
        <v>6</v>
      </c>
      <c r="P3" t="s">
        <v>16</v>
      </c>
      <c r="Q3" t="s">
        <v>6</v>
      </c>
      <c r="R3" t="s">
        <v>6</v>
      </c>
      <c r="S3" t="s">
        <v>4</v>
      </c>
      <c r="T3" t="s">
        <v>4</v>
      </c>
      <c r="U3" t="s">
        <v>6</v>
      </c>
      <c r="V3" t="s">
        <v>6</v>
      </c>
      <c r="W3" t="s">
        <v>6</v>
      </c>
      <c r="X3" t="s">
        <v>6</v>
      </c>
      <c r="Y3" t="s">
        <v>174</v>
      </c>
      <c r="Z3" t="str">
        <f t="shared" si="0"/>
        <v/>
      </c>
      <c r="AA3" t="str">
        <f t="shared" si="1"/>
        <v/>
      </c>
      <c r="AB3" t="str">
        <f t="shared" si="2"/>
        <v/>
      </c>
      <c r="AC3" t="str">
        <f t="shared" si="3"/>
        <v/>
      </c>
      <c r="AE3" t="str">
        <f t="shared" si="4"/>
        <v/>
      </c>
      <c r="AF3" t="str">
        <f t="shared" si="5"/>
        <v/>
      </c>
      <c r="AG3" t="str">
        <f t="shared" si="6"/>
        <v/>
      </c>
      <c r="AH3" t="str">
        <f t="shared" si="7"/>
        <v/>
      </c>
      <c r="AI3" t="str">
        <f t="shared" si="8"/>
        <v/>
      </c>
      <c r="AK3" t="str">
        <f t="shared" si="9"/>
        <v/>
      </c>
      <c r="AL3" t="str">
        <f t="shared" ref="AL3:AL13" si="32">MID(P5, 5, 2)</f>
        <v/>
      </c>
      <c r="AM3" t="str">
        <f t="shared" si="10"/>
        <v/>
      </c>
      <c r="AN3" t="str">
        <f t="shared" si="11"/>
        <v/>
      </c>
      <c r="AO3" t="str">
        <f t="shared" si="12"/>
        <v/>
      </c>
      <c r="AP3" t="str">
        <f t="shared" si="13"/>
        <v/>
      </c>
      <c r="AQ3" t="str">
        <f t="shared" si="14"/>
        <v/>
      </c>
      <c r="AR3" t="str">
        <f t="shared" si="15"/>
        <v/>
      </c>
      <c r="AS3" t="str">
        <f t="shared" si="16"/>
        <v/>
      </c>
      <c r="AT3" t="str">
        <f t="shared" si="17"/>
        <v/>
      </c>
      <c r="AU3" t="str">
        <f t="shared" si="18"/>
        <v/>
      </c>
      <c r="AV3" t="str">
        <f t="shared" si="19"/>
        <v/>
      </c>
      <c r="AW3" t="str">
        <f t="shared" si="20"/>
        <v/>
      </c>
      <c r="AX3" t="str">
        <f t="shared" si="21"/>
        <v/>
      </c>
      <c r="AY3" t="str">
        <f t="shared" si="22"/>
        <v/>
      </c>
      <c r="AZ3" t="str">
        <f t="shared" si="23"/>
        <v/>
      </c>
      <c r="BA3" t="str">
        <f t="shared" si="24"/>
        <v/>
      </c>
      <c r="BB3" t="str">
        <f t="shared" si="25"/>
        <v/>
      </c>
      <c r="BC3" t="str">
        <f t="shared" si="26"/>
        <v/>
      </c>
      <c r="BD3" t="str">
        <f t="shared" si="27"/>
        <v/>
      </c>
      <c r="BE3" t="str">
        <f t="shared" si="28"/>
        <v/>
      </c>
      <c r="BF3" t="str">
        <f t="shared" si="29"/>
        <v/>
      </c>
      <c r="BG3" t="str">
        <f t="shared" si="30"/>
        <v/>
      </c>
      <c r="BH3" t="str">
        <f t="shared" si="31"/>
        <v/>
      </c>
    </row>
    <row r="4" spans="1:66" x14ac:dyDescent="0.2">
      <c r="A4">
        <v>1</v>
      </c>
      <c r="B4">
        <v>3</v>
      </c>
      <c r="C4" t="s">
        <v>39</v>
      </c>
      <c r="D4">
        <v>1</v>
      </c>
      <c r="K4">
        <v>1</v>
      </c>
      <c r="N4">
        <v>1</v>
      </c>
      <c r="O4">
        <v>1</v>
      </c>
      <c r="P4" t="s">
        <v>210</v>
      </c>
      <c r="S4">
        <v>1</v>
      </c>
      <c r="T4">
        <v>1</v>
      </c>
      <c r="U4">
        <v>6</v>
      </c>
      <c r="X4">
        <f t="shared" ref="X4:X15" si="33">G4+H4+Q4+R4</f>
        <v>0</v>
      </c>
      <c r="Z4" t="str">
        <f t="shared" si="0"/>
        <v/>
      </c>
      <c r="AA4" t="str">
        <f t="shared" si="1"/>
        <v/>
      </c>
      <c r="AB4" t="str">
        <f t="shared" si="2"/>
        <v/>
      </c>
      <c r="AC4" t="str">
        <f t="shared" si="3"/>
        <v/>
      </c>
      <c r="AE4" t="str">
        <f t="shared" si="4"/>
        <v/>
      </c>
      <c r="AF4" t="str">
        <f t="shared" si="5"/>
        <v/>
      </c>
      <c r="AG4" t="str">
        <f t="shared" si="6"/>
        <v/>
      </c>
      <c r="AH4" t="str">
        <f t="shared" si="7"/>
        <v/>
      </c>
      <c r="AI4" t="str">
        <f t="shared" si="8"/>
        <v/>
      </c>
      <c r="AK4" t="str">
        <f t="shared" si="9"/>
        <v/>
      </c>
      <c r="AL4" t="str">
        <f t="shared" si="32"/>
        <v/>
      </c>
      <c r="AM4" t="str">
        <f t="shared" si="10"/>
        <v/>
      </c>
      <c r="AN4" t="str">
        <f t="shared" si="11"/>
        <v/>
      </c>
      <c r="AO4" t="str">
        <f t="shared" si="12"/>
        <v/>
      </c>
      <c r="AP4" t="str">
        <f t="shared" si="13"/>
        <v/>
      </c>
      <c r="AQ4" t="str">
        <f t="shared" si="14"/>
        <v/>
      </c>
      <c r="AR4" t="str">
        <f t="shared" si="15"/>
        <v/>
      </c>
      <c r="AS4" t="str">
        <f t="shared" si="16"/>
        <v/>
      </c>
      <c r="AT4" t="str">
        <f t="shared" si="17"/>
        <v/>
      </c>
      <c r="AU4" t="str">
        <f t="shared" si="18"/>
        <v/>
      </c>
      <c r="AV4" t="str">
        <f t="shared" si="19"/>
        <v/>
      </c>
      <c r="AW4" t="str">
        <f t="shared" si="20"/>
        <v/>
      </c>
      <c r="AX4" t="str">
        <f t="shared" si="21"/>
        <v/>
      </c>
      <c r="AY4" t="str">
        <f t="shared" si="22"/>
        <v/>
      </c>
      <c r="AZ4" t="str">
        <f t="shared" si="23"/>
        <v/>
      </c>
      <c r="BA4" t="str">
        <f t="shared" si="24"/>
        <v/>
      </c>
      <c r="BB4" t="str">
        <f t="shared" si="25"/>
        <v/>
      </c>
      <c r="BC4" t="str">
        <f t="shared" si="26"/>
        <v/>
      </c>
      <c r="BD4" t="str">
        <f t="shared" si="27"/>
        <v/>
      </c>
      <c r="BE4" t="str">
        <f t="shared" si="28"/>
        <v/>
      </c>
      <c r="BF4" t="str">
        <f t="shared" si="29"/>
        <v/>
      </c>
      <c r="BG4" t="str">
        <f t="shared" si="30"/>
        <v/>
      </c>
      <c r="BH4" t="str">
        <f t="shared" si="31"/>
        <v/>
      </c>
    </row>
    <row r="5" spans="1:66" x14ac:dyDescent="0.2">
      <c r="A5">
        <v>2</v>
      </c>
      <c r="B5">
        <v>14</v>
      </c>
      <c r="C5" t="s">
        <v>207</v>
      </c>
      <c r="G5">
        <v>3</v>
      </c>
      <c r="K5">
        <v>1</v>
      </c>
      <c r="N5">
        <v>2</v>
      </c>
      <c r="O5">
        <v>2</v>
      </c>
      <c r="S5">
        <v>1</v>
      </c>
      <c r="T5">
        <v>1</v>
      </c>
      <c r="X5">
        <f t="shared" si="33"/>
        <v>3</v>
      </c>
      <c r="Y5" t="s">
        <v>174</v>
      </c>
      <c r="Z5" t="str">
        <f t="shared" si="0"/>
        <v/>
      </c>
      <c r="AA5" t="str">
        <f t="shared" si="1"/>
        <v/>
      </c>
      <c r="AB5" t="str">
        <f t="shared" si="2"/>
        <v/>
      </c>
      <c r="AC5" t="str">
        <f t="shared" si="3"/>
        <v/>
      </c>
      <c r="AE5" t="str">
        <f t="shared" si="4"/>
        <v/>
      </c>
      <c r="AF5" t="str">
        <f t="shared" si="5"/>
        <v/>
      </c>
      <c r="AG5" t="str">
        <f t="shared" si="6"/>
        <v/>
      </c>
      <c r="AH5" t="str">
        <f t="shared" si="7"/>
        <v/>
      </c>
      <c r="AI5" t="str">
        <f t="shared" si="8"/>
        <v/>
      </c>
      <c r="AK5" t="str">
        <f t="shared" si="9"/>
        <v/>
      </c>
      <c r="AL5" t="str">
        <f t="shared" si="32"/>
        <v/>
      </c>
      <c r="AM5" t="str">
        <f t="shared" si="10"/>
        <v/>
      </c>
      <c r="AN5" t="str">
        <f t="shared" si="11"/>
        <v/>
      </c>
      <c r="AO5" t="str">
        <f t="shared" si="12"/>
        <v/>
      </c>
      <c r="AP5" t="str">
        <f t="shared" si="13"/>
        <v/>
      </c>
      <c r="AQ5" t="str">
        <f t="shared" si="14"/>
        <v/>
      </c>
      <c r="AR5" t="str">
        <f t="shared" si="15"/>
        <v/>
      </c>
      <c r="AS5" t="str">
        <f t="shared" si="16"/>
        <v/>
      </c>
      <c r="AT5" t="str">
        <f t="shared" si="17"/>
        <v/>
      </c>
      <c r="AU5" t="str">
        <f t="shared" si="18"/>
        <v/>
      </c>
      <c r="AV5" t="str">
        <f t="shared" si="19"/>
        <v/>
      </c>
      <c r="AW5" t="str">
        <f t="shared" si="20"/>
        <v/>
      </c>
      <c r="AX5" t="str">
        <f t="shared" si="21"/>
        <v/>
      </c>
      <c r="AY5" t="str">
        <f t="shared" si="22"/>
        <v/>
      </c>
      <c r="AZ5" t="str">
        <f t="shared" si="23"/>
        <v/>
      </c>
      <c r="BA5" t="str">
        <f t="shared" si="24"/>
        <v/>
      </c>
      <c r="BB5" t="str">
        <f t="shared" si="25"/>
        <v/>
      </c>
      <c r="BC5" t="str">
        <f t="shared" si="26"/>
        <v/>
      </c>
      <c r="BD5" t="str">
        <f t="shared" si="27"/>
        <v/>
      </c>
      <c r="BE5" t="str">
        <f t="shared" si="28"/>
        <v/>
      </c>
      <c r="BF5" t="str">
        <f t="shared" si="29"/>
        <v/>
      </c>
      <c r="BG5" t="str">
        <f t="shared" si="30"/>
        <v/>
      </c>
      <c r="BH5" t="str">
        <f t="shared" si="31"/>
        <v/>
      </c>
    </row>
    <row r="6" spans="1:66" x14ac:dyDescent="0.2">
      <c r="A6">
        <v>3</v>
      </c>
      <c r="B6">
        <v>21</v>
      </c>
      <c r="C6" t="s">
        <v>39</v>
      </c>
      <c r="G6">
        <v>1</v>
      </c>
      <c r="K6">
        <v>1</v>
      </c>
      <c r="L6">
        <v>1</v>
      </c>
      <c r="N6">
        <v>1</v>
      </c>
      <c r="O6">
        <v>1</v>
      </c>
      <c r="S6">
        <v>1</v>
      </c>
      <c r="T6">
        <v>1</v>
      </c>
      <c r="U6">
        <v>1</v>
      </c>
      <c r="X6">
        <f t="shared" si="33"/>
        <v>1</v>
      </c>
      <c r="Y6" t="s">
        <v>174</v>
      </c>
      <c r="Z6" t="str">
        <f t="shared" si="0"/>
        <v/>
      </c>
      <c r="AA6" t="str">
        <f t="shared" si="1"/>
        <v/>
      </c>
      <c r="AB6" t="str">
        <f t="shared" si="2"/>
        <v/>
      </c>
      <c r="AC6" t="str">
        <f t="shared" si="3"/>
        <v/>
      </c>
      <c r="AE6" t="str">
        <f t="shared" si="4"/>
        <v>2</v>
      </c>
      <c r="AF6" t="str">
        <f t="shared" si="5"/>
        <v/>
      </c>
      <c r="AG6" t="str">
        <f t="shared" si="6"/>
        <v/>
      </c>
      <c r="AH6" t="str">
        <f t="shared" si="7"/>
        <v/>
      </c>
      <c r="AI6" t="str">
        <f t="shared" si="8"/>
        <v/>
      </c>
      <c r="AK6" t="str">
        <f t="shared" si="9"/>
        <v/>
      </c>
      <c r="AL6" t="str">
        <f t="shared" si="32"/>
        <v/>
      </c>
      <c r="AM6" t="str">
        <f t="shared" si="10"/>
        <v/>
      </c>
      <c r="AN6" t="str">
        <f t="shared" si="11"/>
        <v/>
      </c>
      <c r="AO6" t="str">
        <f t="shared" si="12"/>
        <v/>
      </c>
      <c r="AP6" t="str">
        <f t="shared" si="13"/>
        <v/>
      </c>
      <c r="AQ6" t="str">
        <f t="shared" si="14"/>
        <v/>
      </c>
      <c r="AR6" t="str">
        <f t="shared" si="15"/>
        <v/>
      </c>
      <c r="AS6" t="str">
        <f t="shared" si="16"/>
        <v/>
      </c>
      <c r="AT6" t="str">
        <f t="shared" si="17"/>
        <v/>
      </c>
      <c r="AU6" t="str">
        <f t="shared" si="18"/>
        <v/>
      </c>
      <c r="AV6" t="str">
        <f t="shared" si="19"/>
        <v/>
      </c>
      <c r="AW6" t="str">
        <f t="shared" si="20"/>
        <v/>
      </c>
      <c r="AX6" t="str">
        <f t="shared" si="21"/>
        <v/>
      </c>
      <c r="AY6" t="str">
        <f t="shared" si="22"/>
        <v/>
      </c>
      <c r="AZ6" t="str">
        <f t="shared" si="23"/>
        <v/>
      </c>
      <c r="BA6" t="str">
        <f t="shared" si="24"/>
        <v/>
      </c>
      <c r="BB6" t="str">
        <f t="shared" si="25"/>
        <v/>
      </c>
      <c r="BC6" t="str">
        <f t="shared" si="26"/>
        <v/>
      </c>
      <c r="BD6" t="str">
        <f t="shared" si="27"/>
        <v/>
      </c>
      <c r="BE6" t="str">
        <f t="shared" si="28"/>
        <v/>
      </c>
      <c r="BF6" t="str">
        <f t="shared" si="29"/>
        <v/>
      </c>
      <c r="BG6" t="str">
        <f t="shared" si="30"/>
        <v/>
      </c>
      <c r="BH6" t="str">
        <f t="shared" si="31"/>
        <v/>
      </c>
    </row>
    <row r="7" spans="1:66" x14ac:dyDescent="0.2">
      <c r="A7">
        <v>4</v>
      </c>
      <c r="B7">
        <v>35</v>
      </c>
      <c r="C7" t="s">
        <v>39</v>
      </c>
      <c r="G7">
        <v>4</v>
      </c>
      <c r="K7">
        <v>2</v>
      </c>
      <c r="N7">
        <v>3</v>
      </c>
      <c r="O7">
        <v>3</v>
      </c>
      <c r="S7">
        <v>1</v>
      </c>
      <c r="T7">
        <v>1</v>
      </c>
      <c r="U7">
        <v>4</v>
      </c>
      <c r="X7">
        <f t="shared" si="33"/>
        <v>4</v>
      </c>
      <c r="Y7" t="s">
        <v>174</v>
      </c>
      <c r="Z7" t="str">
        <f t="shared" si="0"/>
        <v/>
      </c>
      <c r="AA7" t="str">
        <f t="shared" si="1"/>
        <v/>
      </c>
      <c r="AB7" t="str">
        <f t="shared" si="2"/>
        <v/>
      </c>
      <c r="AC7" t="str">
        <f t="shared" si="3"/>
        <v/>
      </c>
      <c r="AE7" t="str">
        <f t="shared" si="4"/>
        <v/>
      </c>
      <c r="AF7" t="str">
        <f t="shared" si="5"/>
        <v/>
      </c>
      <c r="AG7" t="str">
        <f t="shared" si="6"/>
        <v/>
      </c>
      <c r="AH7" t="str">
        <f t="shared" si="7"/>
        <v/>
      </c>
      <c r="AI7" t="str">
        <f t="shared" si="8"/>
        <v/>
      </c>
      <c r="AK7" t="str">
        <f t="shared" si="9"/>
        <v/>
      </c>
      <c r="AL7" t="str">
        <f t="shared" si="32"/>
        <v/>
      </c>
      <c r="AM7" t="str">
        <f t="shared" si="10"/>
        <v/>
      </c>
      <c r="AN7" t="str">
        <f t="shared" si="11"/>
        <v/>
      </c>
      <c r="AO7" t="str">
        <f t="shared" si="12"/>
        <v/>
      </c>
      <c r="AP7" t="str">
        <f t="shared" si="13"/>
        <v/>
      </c>
      <c r="AQ7" t="str">
        <f t="shared" si="14"/>
        <v/>
      </c>
      <c r="AR7" t="str">
        <f t="shared" si="15"/>
        <v/>
      </c>
      <c r="AS7" t="str">
        <f t="shared" si="16"/>
        <v/>
      </c>
      <c r="AT7" t="str">
        <f t="shared" si="17"/>
        <v/>
      </c>
      <c r="AU7" t="str">
        <f t="shared" si="18"/>
        <v/>
      </c>
      <c r="AV7" t="str">
        <f t="shared" si="19"/>
        <v/>
      </c>
      <c r="AW7" t="str">
        <f t="shared" si="20"/>
        <v/>
      </c>
      <c r="AX7" t="str">
        <f t="shared" si="21"/>
        <v/>
      </c>
      <c r="AY7" t="str">
        <f t="shared" si="22"/>
        <v/>
      </c>
      <c r="AZ7" t="str">
        <f t="shared" si="23"/>
        <v/>
      </c>
      <c r="BA7" t="str">
        <f t="shared" si="24"/>
        <v/>
      </c>
      <c r="BB7" t="str">
        <f t="shared" si="25"/>
        <v/>
      </c>
      <c r="BC7" t="str">
        <f t="shared" si="26"/>
        <v/>
      </c>
      <c r="BD7" t="str">
        <f t="shared" si="27"/>
        <v/>
      </c>
      <c r="BE7" t="str">
        <f t="shared" si="28"/>
        <v/>
      </c>
      <c r="BF7" t="str">
        <f t="shared" si="29"/>
        <v/>
      </c>
      <c r="BG7" t="str">
        <f t="shared" si="30"/>
        <v/>
      </c>
      <c r="BH7" t="str">
        <f t="shared" si="31"/>
        <v/>
      </c>
    </row>
    <row r="8" spans="1:66" x14ac:dyDescent="0.2">
      <c r="A8">
        <v>5</v>
      </c>
      <c r="B8">
        <v>50</v>
      </c>
      <c r="C8" t="s">
        <v>207</v>
      </c>
      <c r="J8">
        <v>2</v>
      </c>
      <c r="S8">
        <v>1</v>
      </c>
      <c r="T8">
        <v>1</v>
      </c>
      <c r="X8">
        <f t="shared" si="33"/>
        <v>0</v>
      </c>
      <c r="Z8" t="str">
        <f t="shared" si="0"/>
        <v/>
      </c>
      <c r="AA8" t="str">
        <f t="shared" si="1"/>
        <v/>
      </c>
      <c r="AB8" t="str">
        <f t="shared" si="2"/>
        <v/>
      </c>
      <c r="AC8" t="str">
        <f t="shared" si="3"/>
        <v/>
      </c>
      <c r="AE8" t="str">
        <f t="shared" si="4"/>
        <v/>
      </c>
      <c r="AF8" t="str">
        <f t="shared" si="5"/>
        <v/>
      </c>
      <c r="AG8" t="str">
        <f t="shared" si="6"/>
        <v/>
      </c>
      <c r="AH8" t="str">
        <f t="shared" si="7"/>
        <v/>
      </c>
      <c r="AI8" t="str">
        <f t="shared" si="8"/>
        <v/>
      </c>
      <c r="AK8" t="str">
        <f t="shared" si="9"/>
        <v/>
      </c>
      <c r="AL8" t="str">
        <f t="shared" si="32"/>
        <v/>
      </c>
      <c r="AM8" t="str">
        <f t="shared" si="10"/>
        <v/>
      </c>
      <c r="AN8" t="str">
        <f t="shared" si="11"/>
        <v/>
      </c>
      <c r="AO8" t="str">
        <f t="shared" si="12"/>
        <v/>
      </c>
      <c r="AP8" t="str">
        <f t="shared" si="13"/>
        <v/>
      </c>
      <c r="AQ8" t="str">
        <f t="shared" si="14"/>
        <v/>
      </c>
      <c r="AR8" t="str">
        <f t="shared" si="15"/>
        <v/>
      </c>
      <c r="AS8" t="str">
        <f t="shared" si="16"/>
        <v/>
      </c>
      <c r="AT8" t="str">
        <f t="shared" si="17"/>
        <v/>
      </c>
      <c r="AU8" t="str">
        <f t="shared" si="18"/>
        <v/>
      </c>
      <c r="AV8" t="str">
        <f t="shared" si="19"/>
        <v/>
      </c>
      <c r="AW8" t="str">
        <f t="shared" si="20"/>
        <v/>
      </c>
      <c r="AX8" t="str">
        <f t="shared" si="21"/>
        <v/>
      </c>
      <c r="AY8" t="str">
        <f t="shared" si="22"/>
        <v/>
      </c>
      <c r="AZ8" t="str">
        <f t="shared" si="23"/>
        <v/>
      </c>
      <c r="BA8" t="str">
        <f t="shared" si="24"/>
        <v/>
      </c>
      <c r="BB8" t="str">
        <f t="shared" si="25"/>
        <v/>
      </c>
      <c r="BC8" t="str">
        <f t="shared" si="26"/>
        <v/>
      </c>
      <c r="BD8" t="str">
        <f t="shared" si="27"/>
        <v/>
      </c>
      <c r="BE8" t="str">
        <f t="shared" si="28"/>
        <v/>
      </c>
      <c r="BF8" t="str">
        <f t="shared" si="29"/>
        <v/>
      </c>
      <c r="BG8" t="str">
        <f t="shared" si="30"/>
        <v/>
      </c>
      <c r="BH8" t="str">
        <f t="shared" si="31"/>
        <v/>
      </c>
    </row>
    <row r="9" spans="1:66" x14ac:dyDescent="0.2">
      <c r="A9">
        <v>6</v>
      </c>
      <c r="B9">
        <v>58</v>
      </c>
      <c r="C9" t="s">
        <v>39</v>
      </c>
      <c r="D9">
        <v>1</v>
      </c>
      <c r="K9">
        <v>1</v>
      </c>
      <c r="L9">
        <v>1</v>
      </c>
      <c r="N9">
        <v>2</v>
      </c>
      <c r="O9">
        <v>2</v>
      </c>
      <c r="U9">
        <v>4</v>
      </c>
      <c r="X9">
        <f t="shared" si="33"/>
        <v>0</v>
      </c>
      <c r="Z9" t="str">
        <f t="shared" si="0"/>
        <v/>
      </c>
      <c r="AA9" t="str">
        <f t="shared" si="1"/>
        <v/>
      </c>
      <c r="AB9" t="str">
        <f t="shared" si="2"/>
        <v/>
      </c>
      <c r="AC9" t="str">
        <f t="shared" si="3"/>
        <v/>
      </c>
      <c r="AE9" t="str">
        <f t="shared" si="4"/>
        <v/>
      </c>
      <c r="AF9" t="str">
        <f t="shared" si="5"/>
        <v/>
      </c>
      <c r="AG9" t="str">
        <f t="shared" si="6"/>
        <v/>
      </c>
      <c r="AH9" t="str">
        <f t="shared" si="7"/>
        <v/>
      </c>
      <c r="AI9" t="str">
        <f t="shared" si="8"/>
        <v/>
      </c>
      <c r="AK9" t="str">
        <f t="shared" si="9"/>
        <v/>
      </c>
      <c r="AL9" t="str">
        <f t="shared" si="32"/>
        <v/>
      </c>
      <c r="AM9" t="str">
        <f t="shared" si="10"/>
        <v/>
      </c>
      <c r="AN9" t="str">
        <f t="shared" si="11"/>
        <v/>
      </c>
      <c r="AO9" t="str">
        <f t="shared" si="12"/>
        <v/>
      </c>
      <c r="AP9" t="str">
        <f t="shared" si="13"/>
        <v/>
      </c>
      <c r="AQ9" t="str">
        <f t="shared" si="14"/>
        <v/>
      </c>
      <c r="AR9" t="str">
        <f t="shared" si="15"/>
        <v/>
      </c>
      <c r="AS9" t="str">
        <f t="shared" si="16"/>
        <v/>
      </c>
      <c r="AT9" t="str">
        <f t="shared" si="17"/>
        <v/>
      </c>
      <c r="AU9" t="str">
        <f t="shared" si="18"/>
        <v/>
      </c>
      <c r="AV9" t="str">
        <f t="shared" si="19"/>
        <v/>
      </c>
      <c r="AW9" t="str">
        <f t="shared" si="20"/>
        <v/>
      </c>
      <c r="AX9" t="str">
        <f t="shared" si="21"/>
        <v/>
      </c>
      <c r="AY9" t="str">
        <f t="shared" si="22"/>
        <v/>
      </c>
      <c r="AZ9" t="str">
        <f t="shared" si="23"/>
        <v/>
      </c>
      <c r="BA9" t="str">
        <f t="shared" si="24"/>
        <v/>
      </c>
      <c r="BB9" t="str">
        <f t="shared" si="25"/>
        <v/>
      </c>
      <c r="BC9" t="str">
        <f t="shared" si="26"/>
        <v/>
      </c>
      <c r="BD9" t="str">
        <f t="shared" si="27"/>
        <v/>
      </c>
      <c r="BE9" t="str">
        <f t="shared" si="28"/>
        <v/>
      </c>
      <c r="BF9" t="str">
        <f t="shared" si="29"/>
        <v/>
      </c>
      <c r="BG9" t="str">
        <f t="shared" si="30"/>
        <v/>
      </c>
      <c r="BH9" t="str">
        <f t="shared" si="31"/>
        <v/>
      </c>
    </row>
    <row r="10" spans="1:66" x14ac:dyDescent="0.2">
      <c r="A10">
        <v>7</v>
      </c>
      <c r="B10">
        <v>68</v>
      </c>
      <c r="C10" t="s">
        <v>207</v>
      </c>
      <c r="K10">
        <v>2</v>
      </c>
      <c r="N10">
        <v>3</v>
      </c>
      <c r="O10">
        <v>3</v>
      </c>
      <c r="S10">
        <v>1</v>
      </c>
      <c r="T10">
        <v>1</v>
      </c>
      <c r="U10">
        <v>1</v>
      </c>
      <c r="X10">
        <f t="shared" si="33"/>
        <v>0</v>
      </c>
      <c r="Z10" t="str">
        <f t="shared" si="0"/>
        <v/>
      </c>
      <c r="AA10" t="str">
        <f t="shared" si="1"/>
        <v/>
      </c>
      <c r="AB10" t="str">
        <f t="shared" si="2"/>
        <v/>
      </c>
      <c r="AC10" t="str">
        <f t="shared" si="3"/>
        <v/>
      </c>
      <c r="AE10" t="str">
        <f t="shared" si="4"/>
        <v/>
      </c>
      <c r="AF10" t="str">
        <f t="shared" si="5"/>
        <v/>
      </c>
      <c r="AG10" t="str">
        <f t="shared" si="6"/>
        <v/>
      </c>
      <c r="AH10" t="str">
        <f t="shared" si="7"/>
        <v/>
      </c>
      <c r="AI10" t="str">
        <f t="shared" si="8"/>
        <v/>
      </c>
      <c r="AK10" t="str">
        <f t="shared" si="9"/>
        <v/>
      </c>
      <c r="AL10" t="str">
        <f t="shared" si="32"/>
        <v/>
      </c>
      <c r="AM10" t="str">
        <f t="shared" si="10"/>
        <v/>
      </c>
      <c r="AN10" t="str">
        <f t="shared" si="11"/>
        <v/>
      </c>
      <c r="AO10" t="str">
        <f t="shared" si="12"/>
        <v/>
      </c>
      <c r="AP10" t="str">
        <f t="shared" si="13"/>
        <v/>
      </c>
      <c r="AQ10" t="str">
        <f t="shared" si="14"/>
        <v/>
      </c>
      <c r="AR10" t="str">
        <f t="shared" si="15"/>
        <v/>
      </c>
      <c r="AS10" t="str">
        <f t="shared" si="16"/>
        <v/>
      </c>
      <c r="AT10" t="str">
        <f t="shared" si="17"/>
        <v/>
      </c>
      <c r="AU10" t="str">
        <f t="shared" si="18"/>
        <v/>
      </c>
      <c r="AV10" t="str">
        <f t="shared" si="19"/>
        <v/>
      </c>
      <c r="AW10" t="str">
        <f t="shared" si="20"/>
        <v/>
      </c>
      <c r="AX10" t="str">
        <f t="shared" si="21"/>
        <v/>
      </c>
      <c r="AY10" t="str">
        <f t="shared" si="22"/>
        <v/>
      </c>
      <c r="AZ10" t="str">
        <f t="shared" si="23"/>
        <v/>
      </c>
      <c r="BA10" t="str">
        <f t="shared" si="24"/>
        <v/>
      </c>
      <c r="BB10" t="str">
        <f t="shared" si="25"/>
        <v/>
      </c>
      <c r="BC10" t="str">
        <f t="shared" si="26"/>
        <v/>
      </c>
      <c r="BD10" t="str">
        <f t="shared" si="27"/>
        <v/>
      </c>
      <c r="BE10" t="str">
        <f t="shared" si="28"/>
        <v/>
      </c>
      <c r="BF10" t="str">
        <f t="shared" si="29"/>
        <v/>
      </c>
      <c r="BG10" t="str">
        <f t="shared" si="30"/>
        <v/>
      </c>
      <c r="BH10" t="str">
        <f t="shared" si="31"/>
        <v/>
      </c>
    </row>
    <row r="11" spans="1:66" x14ac:dyDescent="0.2">
      <c r="A11">
        <v>8</v>
      </c>
      <c r="B11">
        <v>78</v>
      </c>
      <c r="C11" t="s">
        <v>207</v>
      </c>
      <c r="K11">
        <v>1</v>
      </c>
      <c r="N11">
        <v>2</v>
      </c>
      <c r="O11">
        <v>1</v>
      </c>
      <c r="R11">
        <v>1</v>
      </c>
      <c r="S11">
        <v>1</v>
      </c>
      <c r="T11">
        <v>1</v>
      </c>
      <c r="U11">
        <v>5</v>
      </c>
      <c r="W11">
        <v>2</v>
      </c>
      <c r="X11">
        <f t="shared" si="33"/>
        <v>1</v>
      </c>
      <c r="Y11" t="s">
        <v>174</v>
      </c>
      <c r="Z11" t="str">
        <f t="shared" si="0"/>
        <v/>
      </c>
      <c r="AA11" t="str">
        <f t="shared" si="1"/>
        <v/>
      </c>
      <c r="AB11" t="str">
        <f t="shared" si="2"/>
        <v/>
      </c>
      <c r="AC11" t="str">
        <f t="shared" si="3"/>
        <v/>
      </c>
      <c r="AE11" t="str">
        <f t="shared" si="4"/>
        <v/>
      </c>
      <c r="AF11" t="str">
        <f t="shared" si="5"/>
        <v/>
      </c>
      <c r="AG11" t="str">
        <f t="shared" si="6"/>
        <v/>
      </c>
      <c r="AH11" t="str">
        <f t="shared" si="7"/>
        <v/>
      </c>
      <c r="AI11" t="str">
        <f t="shared" si="8"/>
        <v/>
      </c>
      <c r="AK11" t="str">
        <f t="shared" si="9"/>
        <v/>
      </c>
      <c r="AL11" t="str">
        <f t="shared" si="32"/>
        <v/>
      </c>
      <c r="AM11" t="str">
        <f t="shared" si="10"/>
        <v/>
      </c>
      <c r="AN11" t="str">
        <f t="shared" si="11"/>
        <v/>
      </c>
      <c r="AO11" t="str">
        <f t="shared" si="12"/>
        <v/>
      </c>
      <c r="AP11" t="str">
        <f t="shared" si="13"/>
        <v/>
      </c>
      <c r="AQ11" t="str">
        <f t="shared" si="14"/>
        <v/>
      </c>
      <c r="AR11" t="str">
        <f t="shared" si="15"/>
        <v/>
      </c>
      <c r="AS11" t="str">
        <f t="shared" si="16"/>
        <v/>
      </c>
      <c r="AT11" t="str">
        <f t="shared" si="17"/>
        <v/>
      </c>
      <c r="AU11" t="str">
        <f t="shared" si="18"/>
        <v/>
      </c>
      <c r="AV11" t="str">
        <f t="shared" si="19"/>
        <v/>
      </c>
      <c r="AW11" t="str">
        <f t="shared" si="20"/>
        <v/>
      </c>
      <c r="AX11" t="str">
        <f t="shared" si="21"/>
        <v/>
      </c>
      <c r="AY11" t="str">
        <f t="shared" si="22"/>
        <v/>
      </c>
      <c r="AZ11" t="str">
        <f t="shared" si="23"/>
        <v/>
      </c>
      <c r="BA11" t="str">
        <f t="shared" si="24"/>
        <v/>
      </c>
      <c r="BB11" t="str">
        <f t="shared" si="25"/>
        <v/>
      </c>
      <c r="BC11" t="str">
        <f t="shared" si="26"/>
        <v/>
      </c>
      <c r="BD11" t="str">
        <f t="shared" si="27"/>
        <v/>
      </c>
      <c r="BE11" t="str">
        <f t="shared" si="28"/>
        <v/>
      </c>
      <c r="BF11" t="str">
        <f t="shared" si="29"/>
        <v/>
      </c>
      <c r="BG11" t="str">
        <f t="shared" si="30"/>
        <v/>
      </c>
      <c r="BH11" t="str">
        <f t="shared" si="31"/>
        <v/>
      </c>
    </row>
    <row r="12" spans="1:66" x14ac:dyDescent="0.2">
      <c r="A12">
        <v>9</v>
      </c>
      <c r="B12">
        <v>83</v>
      </c>
      <c r="C12" t="s">
        <v>207</v>
      </c>
      <c r="D12">
        <v>1</v>
      </c>
      <c r="F12">
        <v>1</v>
      </c>
      <c r="L12">
        <v>1</v>
      </c>
      <c r="N12">
        <v>1</v>
      </c>
      <c r="O12">
        <v>1</v>
      </c>
      <c r="S12">
        <v>1</v>
      </c>
      <c r="T12">
        <v>1</v>
      </c>
      <c r="X12">
        <f t="shared" si="33"/>
        <v>0</v>
      </c>
      <c r="Z12" t="str">
        <f t="shared" si="0"/>
        <v/>
      </c>
      <c r="AA12" t="str">
        <f t="shared" si="1"/>
        <v/>
      </c>
      <c r="AB12" t="str">
        <f t="shared" si="2"/>
        <v/>
      </c>
      <c r="AC12" t="str">
        <f t="shared" si="3"/>
        <v/>
      </c>
      <c r="AE12" t="str">
        <f t="shared" si="4"/>
        <v/>
      </c>
      <c r="AF12" t="str">
        <f t="shared" si="5"/>
        <v/>
      </c>
      <c r="AG12" t="str">
        <f t="shared" si="6"/>
        <v/>
      </c>
      <c r="AH12" t="str">
        <f t="shared" si="7"/>
        <v/>
      </c>
      <c r="AI12" t="str">
        <f t="shared" si="8"/>
        <v/>
      </c>
      <c r="AK12" t="str">
        <f t="shared" si="9"/>
        <v/>
      </c>
      <c r="AL12" t="str">
        <f t="shared" si="32"/>
        <v/>
      </c>
      <c r="AM12" t="str">
        <f t="shared" si="10"/>
        <v/>
      </c>
      <c r="AN12" t="str">
        <f t="shared" si="11"/>
        <v/>
      </c>
      <c r="AO12" t="str">
        <f t="shared" si="12"/>
        <v/>
      </c>
      <c r="AP12" t="str">
        <f t="shared" si="13"/>
        <v/>
      </c>
      <c r="AQ12" t="str">
        <f t="shared" si="14"/>
        <v/>
      </c>
      <c r="AR12" t="str">
        <f t="shared" si="15"/>
        <v/>
      </c>
      <c r="AS12" t="str">
        <f t="shared" si="16"/>
        <v/>
      </c>
      <c r="AT12" t="str">
        <f t="shared" si="17"/>
        <v/>
      </c>
      <c r="AU12" t="str">
        <f t="shared" si="18"/>
        <v/>
      </c>
      <c r="AV12" t="str">
        <f t="shared" si="19"/>
        <v/>
      </c>
      <c r="AW12" t="str">
        <f t="shared" si="20"/>
        <v/>
      </c>
      <c r="AX12" t="str">
        <f t="shared" si="21"/>
        <v/>
      </c>
      <c r="AY12" t="str">
        <f t="shared" si="22"/>
        <v/>
      </c>
      <c r="AZ12" t="str">
        <f t="shared" si="23"/>
        <v/>
      </c>
      <c r="BA12" t="str">
        <f t="shared" si="24"/>
        <v/>
      </c>
      <c r="BB12" t="str">
        <f t="shared" si="25"/>
        <v/>
      </c>
      <c r="BC12" t="str">
        <f t="shared" si="26"/>
        <v/>
      </c>
      <c r="BD12" t="str">
        <f t="shared" si="27"/>
        <v/>
      </c>
      <c r="BE12" t="str">
        <f t="shared" si="28"/>
        <v/>
      </c>
      <c r="BF12" t="str">
        <f t="shared" si="29"/>
        <v/>
      </c>
      <c r="BG12" t="str">
        <f t="shared" si="30"/>
        <v/>
      </c>
      <c r="BH12" t="str">
        <f t="shared" si="31"/>
        <v/>
      </c>
    </row>
    <row r="13" spans="1:66" x14ac:dyDescent="0.2">
      <c r="A13">
        <v>10</v>
      </c>
      <c r="B13">
        <v>97</v>
      </c>
      <c r="C13" t="s">
        <v>207</v>
      </c>
      <c r="D13">
        <v>1</v>
      </c>
      <c r="K13">
        <v>2</v>
      </c>
      <c r="N13">
        <v>3</v>
      </c>
      <c r="O13">
        <v>3</v>
      </c>
      <c r="R13">
        <v>1</v>
      </c>
      <c r="S13">
        <v>1</v>
      </c>
      <c r="T13">
        <v>1</v>
      </c>
      <c r="X13">
        <f t="shared" si="33"/>
        <v>1</v>
      </c>
      <c r="Y13" t="s">
        <v>174</v>
      </c>
      <c r="Z13" t="str">
        <f t="shared" si="0"/>
        <v/>
      </c>
      <c r="AA13" t="str">
        <f t="shared" si="1"/>
        <v/>
      </c>
      <c r="AB13" t="str">
        <f t="shared" si="2"/>
        <v/>
      </c>
      <c r="AC13" t="str">
        <f t="shared" si="3"/>
        <v/>
      </c>
      <c r="AE13" t="str">
        <f t="shared" si="4"/>
        <v/>
      </c>
      <c r="AF13" t="str">
        <f t="shared" si="5"/>
        <v/>
      </c>
      <c r="AG13" t="str">
        <f t="shared" si="6"/>
        <v/>
      </c>
      <c r="AH13" t="str">
        <f t="shared" si="7"/>
        <v/>
      </c>
      <c r="AI13" t="str">
        <f t="shared" si="8"/>
        <v/>
      </c>
      <c r="AK13" t="str">
        <f t="shared" si="9"/>
        <v/>
      </c>
      <c r="AL13" t="str">
        <f t="shared" si="32"/>
        <v/>
      </c>
      <c r="AM13" t="str">
        <f t="shared" si="10"/>
        <v/>
      </c>
      <c r="AN13" t="str">
        <f t="shared" si="11"/>
        <v/>
      </c>
      <c r="AO13" t="str">
        <f t="shared" si="12"/>
        <v/>
      </c>
      <c r="AP13" t="str">
        <f t="shared" si="13"/>
        <v/>
      </c>
      <c r="AQ13" t="str">
        <f t="shared" si="14"/>
        <v/>
      </c>
      <c r="AR13" t="str">
        <f t="shared" si="15"/>
        <v/>
      </c>
      <c r="AS13" t="str">
        <f t="shared" si="16"/>
        <v/>
      </c>
      <c r="AT13" t="str">
        <f t="shared" si="17"/>
        <v/>
      </c>
      <c r="AU13" t="str">
        <f t="shared" si="18"/>
        <v/>
      </c>
      <c r="AV13" t="str">
        <f t="shared" si="19"/>
        <v/>
      </c>
      <c r="AW13" t="str">
        <f t="shared" si="20"/>
        <v/>
      </c>
      <c r="AX13" t="str">
        <f t="shared" si="21"/>
        <v/>
      </c>
      <c r="AY13" t="str">
        <f t="shared" si="22"/>
        <v/>
      </c>
      <c r="AZ13" t="str">
        <f t="shared" si="23"/>
        <v/>
      </c>
      <c r="BA13" t="str">
        <f t="shared" si="24"/>
        <v/>
      </c>
      <c r="BB13" t="str">
        <f t="shared" si="25"/>
        <v/>
      </c>
      <c r="BC13" t="str">
        <f t="shared" si="26"/>
        <v/>
      </c>
      <c r="BD13" t="str">
        <f t="shared" si="27"/>
        <v/>
      </c>
      <c r="BE13" t="str">
        <f t="shared" si="28"/>
        <v/>
      </c>
      <c r="BF13" t="str">
        <f t="shared" si="29"/>
        <v/>
      </c>
      <c r="BG13" t="str">
        <f t="shared" si="30"/>
        <v/>
      </c>
      <c r="BH13" t="str">
        <f t="shared" si="31"/>
        <v/>
      </c>
    </row>
    <row r="14" spans="1:66" x14ac:dyDescent="0.2">
      <c r="A14">
        <v>11</v>
      </c>
      <c r="B14">
        <v>104</v>
      </c>
      <c r="C14" t="s">
        <v>39</v>
      </c>
      <c r="D14">
        <v>1</v>
      </c>
      <c r="F14">
        <v>1</v>
      </c>
      <c r="N14">
        <v>1</v>
      </c>
      <c r="O14">
        <v>1</v>
      </c>
      <c r="S14">
        <v>1</v>
      </c>
      <c r="T14">
        <v>1</v>
      </c>
      <c r="U14">
        <v>44</v>
      </c>
      <c r="X14">
        <f t="shared" si="33"/>
        <v>0</v>
      </c>
      <c r="Z14" t="s">
        <v>31</v>
      </c>
      <c r="AE14" t="s">
        <v>34</v>
      </c>
      <c r="AK14" t="s">
        <v>43</v>
      </c>
      <c r="AP14" t="s">
        <v>84</v>
      </c>
    </row>
    <row r="15" spans="1:66" x14ac:dyDescent="0.2">
      <c r="A15">
        <v>12</v>
      </c>
      <c r="B15">
        <v>116</v>
      </c>
      <c r="C15" t="s">
        <v>39</v>
      </c>
      <c r="K15">
        <v>1</v>
      </c>
      <c r="N15">
        <v>2</v>
      </c>
      <c r="O15">
        <v>2</v>
      </c>
      <c r="S15">
        <v>1</v>
      </c>
      <c r="T15">
        <v>1</v>
      </c>
      <c r="X15">
        <f t="shared" si="33"/>
        <v>0</v>
      </c>
      <c r="Z15" t="s">
        <v>21</v>
      </c>
      <c r="AA15" t="s">
        <v>22</v>
      </c>
      <c r="AE15" t="s">
        <v>21</v>
      </c>
      <c r="AF15" t="s">
        <v>22</v>
      </c>
      <c r="AG15" t="s">
        <v>35</v>
      </c>
      <c r="AK15" t="s">
        <v>10</v>
      </c>
      <c r="AL15" t="s">
        <v>25</v>
      </c>
      <c r="AM15" t="s">
        <v>26</v>
      </c>
      <c r="AN15" t="s">
        <v>27</v>
      </c>
      <c r="AP15" t="s">
        <v>15</v>
      </c>
      <c r="AQ15" t="s">
        <v>85</v>
      </c>
    </row>
    <row r="16" spans="1:66" x14ac:dyDescent="0.2">
      <c r="A16" t="s">
        <v>28</v>
      </c>
      <c r="D16">
        <f>SUM(D4:D15)</f>
        <v>5</v>
      </c>
      <c r="E16">
        <f>SUM(E4:E15)</f>
        <v>0</v>
      </c>
      <c r="F16">
        <f>SUM(F4:F15)</f>
        <v>2</v>
      </c>
      <c r="G16">
        <f>SUM(G4:G15)</f>
        <v>8</v>
      </c>
      <c r="H16">
        <f>SUM(H4:H15)</f>
        <v>0</v>
      </c>
      <c r="K16">
        <f>SUM(K4:K15)</f>
        <v>12</v>
      </c>
      <c r="L16">
        <f>SUM(L4:L15)</f>
        <v>3</v>
      </c>
      <c r="M16">
        <f>SUM(M4:M15)</f>
        <v>0</v>
      </c>
      <c r="N16">
        <f>SUM(N4:N15)</f>
        <v>21</v>
      </c>
      <c r="O16">
        <f>SUM(O4:O15)</f>
        <v>20</v>
      </c>
      <c r="Q16">
        <f t="shared" ref="Q16:R16" si="34">SUM(Q4:Q15)</f>
        <v>0</v>
      </c>
      <c r="R16">
        <f t="shared" si="34"/>
        <v>2</v>
      </c>
      <c r="S16">
        <f>SUM(S4:S15)</f>
        <v>11</v>
      </c>
      <c r="T16">
        <f>SUM(T4:T15)</f>
        <v>11</v>
      </c>
      <c r="U16">
        <f>SUM(U4:U15)</f>
        <v>65</v>
      </c>
      <c r="V16">
        <f>SUM(V4:V15)</f>
        <v>0</v>
      </c>
      <c r="W16">
        <f>SUM(W4:W15)</f>
        <v>2</v>
      </c>
      <c r="Z16">
        <f t="shared" ref="Z16:Z27" si="35">COUNTIF(Z2:AC2, "3")*COUNTIF(C4, "r")+COUNTIF(Z2:AC2, "5")*COUNTIF(C4, "b")</f>
        <v>0</v>
      </c>
      <c r="AA16">
        <f t="shared" ref="AA16:AA27" si="36">COUNTIF(Z2:AC2, "1")+COUNTIF(Z2:AC2, "2")+COUNTIF(Z2:AC2, "4")</f>
        <v>0</v>
      </c>
      <c r="AE16">
        <f t="shared" ref="AE16:AE27" si="37">COUNTIF(AE2:AI2, "3")*COUNTIF(C4, "r") + COUNTIF(AE2:AI2, "5")*COUNTIF(C4, "b")</f>
        <v>0</v>
      </c>
      <c r="AF16">
        <f t="shared" ref="AF16:AF27" si="38">COUNTIF(AE2:AI2, "1")+COUNTIF(AE2:AI2, "2")+COUNTIF(AE2:AI2, "4")</f>
        <v>0</v>
      </c>
      <c r="AG16">
        <f t="shared" ref="AG16:AG27" si="39">COUNTIF(AE2:AI2, "3")*COUNTIF(AE2:AI2, "b")+COUNTIF(AE2:AI2, "5")*COUNTIF(AE2:AI2, "r")</f>
        <v>0</v>
      </c>
      <c r="AK16">
        <f t="shared" ref="AK16:AK27" si="40">SUMPRODUCT(LEN($AK2:$BH2) - LEN(SUBSTITUTE($AK2:$BH2, "g", "")))</f>
        <v>0</v>
      </c>
      <c r="AL16">
        <f t="shared" ref="AL16:AL27" si="41">SUMPRODUCT(LEN($AK2:$BH2) - LEN(SUBSTITUTE($AK2:$BH2, "h", "")))</f>
        <v>0</v>
      </c>
      <c r="AM16">
        <f t="shared" ref="AM16:AM27" si="42">SUMPRODUCT(LEN($AK2:$BH2) - LEN(SUBSTITUTE($AK2:$BH2, "v", "")))</f>
        <v>0</v>
      </c>
      <c r="AN16">
        <f t="shared" ref="AN16:AN27" si="43">SUMPRODUCT(LEN($AK2:$BH2) - LEN(SUBSTITUTE($AK2:$BH2, "r", "")))</f>
        <v>1</v>
      </c>
      <c r="AP16">
        <f>MAX(AQ16:BN16)</f>
        <v>1</v>
      </c>
      <c r="AQ16" s="4">
        <f>_xlfn.NUMBERVALUE(RIGHT(AK2,1))</f>
        <v>1</v>
      </c>
      <c r="AR16" s="4">
        <f t="shared" ref="AR16:BG27" si="44">_xlfn.NUMBERVALUE(RIGHT(AL2,1))</f>
        <v>0</v>
      </c>
      <c r="AS16" s="4">
        <f t="shared" si="44"/>
        <v>0</v>
      </c>
      <c r="AT16" s="4">
        <f t="shared" si="44"/>
        <v>0</v>
      </c>
      <c r="AU16" s="4">
        <f t="shared" si="44"/>
        <v>0</v>
      </c>
      <c r="AV16" s="4">
        <f t="shared" si="44"/>
        <v>0</v>
      </c>
      <c r="AW16" s="4">
        <f t="shared" si="44"/>
        <v>0</v>
      </c>
      <c r="AX16" s="4">
        <f t="shared" si="44"/>
        <v>0</v>
      </c>
      <c r="AY16" s="4">
        <f t="shared" si="44"/>
        <v>0</v>
      </c>
      <c r="AZ16" s="4">
        <f t="shared" si="44"/>
        <v>0</v>
      </c>
      <c r="BA16" s="4">
        <f t="shared" si="44"/>
        <v>0</v>
      </c>
      <c r="BB16" s="4">
        <f t="shared" si="44"/>
        <v>0</v>
      </c>
      <c r="BC16" s="4">
        <f t="shared" si="44"/>
        <v>0</v>
      </c>
      <c r="BD16" s="4">
        <f t="shared" si="44"/>
        <v>0</v>
      </c>
      <c r="BE16" s="4">
        <f t="shared" si="44"/>
        <v>0</v>
      </c>
      <c r="BF16" s="4">
        <f t="shared" si="44"/>
        <v>0</v>
      </c>
      <c r="BG16" s="4">
        <f t="shared" si="44"/>
        <v>0</v>
      </c>
      <c r="BH16" s="4">
        <f t="shared" ref="BH16:BN27" si="45">_xlfn.NUMBERVALUE(RIGHT(BB2,1))</f>
        <v>0</v>
      </c>
      <c r="BI16" s="4">
        <f t="shared" si="45"/>
        <v>0</v>
      </c>
      <c r="BJ16" s="4">
        <f t="shared" si="45"/>
        <v>0</v>
      </c>
      <c r="BK16" s="4">
        <f t="shared" si="45"/>
        <v>0</v>
      </c>
      <c r="BL16" s="4">
        <f t="shared" si="45"/>
        <v>0</v>
      </c>
      <c r="BM16" s="4">
        <f t="shared" si="45"/>
        <v>0</v>
      </c>
      <c r="BN16" s="4">
        <f t="shared" si="45"/>
        <v>0</v>
      </c>
    </row>
    <row r="17" spans="1:66" x14ac:dyDescent="0.2">
      <c r="A17" s="1" t="s">
        <v>20</v>
      </c>
      <c r="D17" s="1" t="s">
        <v>49</v>
      </c>
      <c r="G17" s="1" t="s">
        <v>52</v>
      </c>
      <c r="K17" s="3" t="s">
        <v>74</v>
      </c>
      <c r="P17" s="1" t="s">
        <v>66</v>
      </c>
      <c r="Z17">
        <f t="shared" si="35"/>
        <v>0</v>
      </c>
      <c r="AA17">
        <f t="shared" si="36"/>
        <v>0</v>
      </c>
      <c r="AE17">
        <f t="shared" si="37"/>
        <v>0</v>
      </c>
      <c r="AF17">
        <f t="shared" si="38"/>
        <v>0</v>
      </c>
      <c r="AG17">
        <f t="shared" si="39"/>
        <v>0</v>
      </c>
      <c r="AK17">
        <f t="shared" si="40"/>
        <v>0</v>
      </c>
      <c r="AL17">
        <f t="shared" si="41"/>
        <v>0</v>
      </c>
      <c r="AM17">
        <f t="shared" si="42"/>
        <v>0</v>
      </c>
      <c r="AN17">
        <f t="shared" si="43"/>
        <v>0</v>
      </c>
      <c r="AP17">
        <f t="shared" ref="AP17:AP27" si="46">MAX(AQ17:BN17)</f>
        <v>0</v>
      </c>
      <c r="AQ17" s="4">
        <f t="shared" ref="AQ17:AQ27" si="47">_xlfn.NUMBERVALUE(RIGHT(AK3,1))</f>
        <v>0</v>
      </c>
      <c r="AR17" s="4">
        <f t="shared" si="44"/>
        <v>0</v>
      </c>
      <c r="AS17" s="4">
        <f t="shared" si="44"/>
        <v>0</v>
      </c>
      <c r="AT17" s="4">
        <f t="shared" si="44"/>
        <v>0</v>
      </c>
      <c r="AU17" s="4">
        <f t="shared" si="44"/>
        <v>0</v>
      </c>
      <c r="AV17" s="4">
        <f t="shared" si="44"/>
        <v>0</v>
      </c>
      <c r="AW17" s="4">
        <f t="shared" si="44"/>
        <v>0</v>
      </c>
      <c r="AX17" s="4">
        <f t="shared" si="44"/>
        <v>0</v>
      </c>
      <c r="AY17" s="4">
        <f t="shared" si="44"/>
        <v>0</v>
      </c>
      <c r="AZ17" s="4">
        <f t="shared" si="44"/>
        <v>0</v>
      </c>
      <c r="BA17" s="4">
        <f t="shared" si="44"/>
        <v>0</v>
      </c>
      <c r="BB17" s="4">
        <f t="shared" si="44"/>
        <v>0</v>
      </c>
      <c r="BC17" s="4">
        <f t="shared" si="44"/>
        <v>0</v>
      </c>
      <c r="BD17" s="4">
        <f t="shared" si="44"/>
        <v>0</v>
      </c>
      <c r="BE17" s="4">
        <f t="shared" si="44"/>
        <v>0</v>
      </c>
      <c r="BF17" s="4">
        <f t="shared" si="44"/>
        <v>0</v>
      </c>
      <c r="BG17" s="4">
        <f t="shared" si="44"/>
        <v>0</v>
      </c>
      <c r="BH17" s="4">
        <f t="shared" si="45"/>
        <v>0</v>
      </c>
      <c r="BI17" s="4">
        <f t="shared" si="45"/>
        <v>0</v>
      </c>
      <c r="BJ17" s="4">
        <f t="shared" si="45"/>
        <v>0</v>
      </c>
      <c r="BK17" s="4">
        <f t="shared" si="45"/>
        <v>0</v>
      </c>
      <c r="BL17" s="4">
        <f t="shared" si="45"/>
        <v>0</v>
      </c>
      <c r="BM17" s="4">
        <f t="shared" si="45"/>
        <v>0</v>
      </c>
      <c r="BN17" s="4">
        <f t="shared" si="45"/>
        <v>0</v>
      </c>
    </row>
    <row r="18" spans="1:66" x14ac:dyDescent="0.2">
      <c r="A18" t="s">
        <v>32</v>
      </c>
      <c r="B18" t="s">
        <v>21</v>
      </c>
      <c r="D18" t="s">
        <v>180</v>
      </c>
      <c r="G18" s="3" t="s">
        <v>53</v>
      </c>
      <c r="K18" t="s">
        <v>55</v>
      </c>
      <c r="M18" t="s">
        <v>65</v>
      </c>
      <c r="P18" t="s">
        <v>67</v>
      </c>
      <c r="Z18">
        <f t="shared" si="35"/>
        <v>0</v>
      </c>
      <c r="AA18">
        <f t="shared" si="36"/>
        <v>0</v>
      </c>
      <c r="AE18">
        <f t="shared" si="37"/>
        <v>0</v>
      </c>
      <c r="AF18">
        <f t="shared" si="38"/>
        <v>0</v>
      </c>
      <c r="AG18">
        <f t="shared" si="39"/>
        <v>0</v>
      </c>
      <c r="AK18">
        <f t="shared" si="40"/>
        <v>0</v>
      </c>
      <c r="AL18">
        <f t="shared" si="41"/>
        <v>0</v>
      </c>
      <c r="AM18">
        <f t="shared" si="42"/>
        <v>0</v>
      </c>
      <c r="AN18">
        <f t="shared" si="43"/>
        <v>0</v>
      </c>
      <c r="AP18">
        <f t="shared" si="46"/>
        <v>0</v>
      </c>
      <c r="AQ18" s="4">
        <f t="shared" si="47"/>
        <v>0</v>
      </c>
      <c r="AR18" s="4">
        <f t="shared" si="44"/>
        <v>0</v>
      </c>
      <c r="AS18" s="4">
        <f t="shared" si="44"/>
        <v>0</v>
      </c>
      <c r="AT18" s="4">
        <f t="shared" si="44"/>
        <v>0</v>
      </c>
      <c r="AU18" s="4">
        <f t="shared" si="44"/>
        <v>0</v>
      </c>
      <c r="AV18" s="4">
        <f t="shared" si="44"/>
        <v>0</v>
      </c>
      <c r="AW18" s="4">
        <f t="shared" si="44"/>
        <v>0</v>
      </c>
      <c r="AX18" s="4">
        <f t="shared" si="44"/>
        <v>0</v>
      </c>
      <c r="AY18" s="4">
        <f t="shared" si="44"/>
        <v>0</v>
      </c>
      <c r="AZ18" s="4">
        <f t="shared" si="44"/>
        <v>0</v>
      </c>
      <c r="BA18" s="4">
        <f t="shared" si="44"/>
        <v>0</v>
      </c>
      <c r="BB18" s="4">
        <f t="shared" si="44"/>
        <v>0</v>
      </c>
      <c r="BC18" s="4">
        <f t="shared" si="44"/>
        <v>0</v>
      </c>
      <c r="BD18" s="4">
        <f t="shared" si="44"/>
        <v>0</v>
      </c>
      <c r="BE18" s="4">
        <f t="shared" si="44"/>
        <v>0</v>
      </c>
      <c r="BF18" s="4">
        <f t="shared" si="44"/>
        <v>0</v>
      </c>
      <c r="BG18" s="4">
        <f t="shared" si="44"/>
        <v>0</v>
      </c>
      <c r="BH18" s="4">
        <f t="shared" si="45"/>
        <v>0</v>
      </c>
      <c r="BI18" s="4">
        <f t="shared" si="45"/>
        <v>0</v>
      </c>
      <c r="BJ18" s="4">
        <f t="shared" si="45"/>
        <v>0</v>
      </c>
      <c r="BK18" s="4">
        <f t="shared" si="45"/>
        <v>0</v>
      </c>
      <c r="BL18" s="4">
        <f t="shared" si="45"/>
        <v>0</v>
      </c>
      <c r="BM18" s="4">
        <f t="shared" si="45"/>
        <v>0</v>
      </c>
      <c r="BN18" s="4">
        <f t="shared" si="45"/>
        <v>0</v>
      </c>
    </row>
    <row r="19" spans="1:66" x14ac:dyDescent="0.2">
      <c r="A19" t="s">
        <v>40</v>
      </c>
      <c r="B19" t="s">
        <v>22</v>
      </c>
      <c r="D19">
        <f>E16/D16</f>
        <v>0</v>
      </c>
      <c r="G19" t="s">
        <v>75</v>
      </c>
      <c r="K19">
        <f>O16/N16</f>
        <v>0.95238095238095233</v>
      </c>
      <c r="M19">
        <f>SUM(M39:M50)</f>
        <v>-8</v>
      </c>
      <c r="P19">
        <f>T16/S16</f>
        <v>1</v>
      </c>
      <c r="Z19">
        <f t="shared" si="35"/>
        <v>0</v>
      </c>
      <c r="AA19">
        <f t="shared" si="36"/>
        <v>0</v>
      </c>
      <c r="AE19">
        <f t="shared" si="37"/>
        <v>0</v>
      </c>
      <c r="AF19">
        <f t="shared" si="38"/>
        <v>0</v>
      </c>
      <c r="AG19">
        <f t="shared" si="39"/>
        <v>0</v>
      </c>
      <c r="AK19">
        <f t="shared" si="40"/>
        <v>0</v>
      </c>
      <c r="AL19">
        <f t="shared" si="41"/>
        <v>0</v>
      </c>
      <c r="AM19">
        <f t="shared" si="42"/>
        <v>0</v>
      </c>
      <c r="AN19">
        <f t="shared" si="43"/>
        <v>0</v>
      </c>
      <c r="AP19">
        <f t="shared" si="46"/>
        <v>0</v>
      </c>
      <c r="AQ19" s="4">
        <f t="shared" si="47"/>
        <v>0</v>
      </c>
      <c r="AR19" s="4">
        <f t="shared" si="44"/>
        <v>0</v>
      </c>
      <c r="AS19" s="4">
        <f t="shared" si="44"/>
        <v>0</v>
      </c>
      <c r="AT19" s="4">
        <f t="shared" si="44"/>
        <v>0</v>
      </c>
      <c r="AU19" s="4">
        <f t="shared" si="44"/>
        <v>0</v>
      </c>
      <c r="AV19" s="4">
        <f t="shared" si="44"/>
        <v>0</v>
      </c>
      <c r="AW19" s="4">
        <f t="shared" si="44"/>
        <v>0</v>
      </c>
      <c r="AX19" s="4">
        <f t="shared" si="44"/>
        <v>0</v>
      </c>
      <c r="AY19" s="4">
        <f t="shared" si="44"/>
        <v>0</v>
      </c>
      <c r="AZ19" s="4">
        <f t="shared" si="44"/>
        <v>0</v>
      </c>
      <c r="BA19" s="4">
        <f t="shared" si="44"/>
        <v>0</v>
      </c>
      <c r="BB19" s="4">
        <f t="shared" si="44"/>
        <v>0</v>
      </c>
      <c r="BC19" s="4">
        <f t="shared" si="44"/>
        <v>0</v>
      </c>
      <c r="BD19" s="4">
        <f t="shared" si="44"/>
        <v>0</v>
      </c>
      <c r="BE19" s="4">
        <f t="shared" si="44"/>
        <v>0</v>
      </c>
      <c r="BF19" s="4">
        <f t="shared" si="44"/>
        <v>0</v>
      </c>
      <c r="BG19" s="4">
        <f t="shared" si="44"/>
        <v>0</v>
      </c>
      <c r="BH19" s="4">
        <f t="shared" si="45"/>
        <v>0</v>
      </c>
      <c r="BI19" s="4">
        <f t="shared" si="45"/>
        <v>0</v>
      </c>
      <c r="BJ19" s="4">
        <f t="shared" si="45"/>
        <v>0</v>
      </c>
      <c r="BK19" s="4">
        <f t="shared" si="45"/>
        <v>0</v>
      </c>
      <c r="BL19" s="4">
        <f t="shared" si="45"/>
        <v>0</v>
      </c>
      <c r="BM19" s="4">
        <f t="shared" si="45"/>
        <v>0</v>
      </c>
      <c r="BN19" s="4">
        <f t="shared" si="45"/>
        <v>0</v>
      </c>
    </row>
    <row r="20" spans="1:66" x14ac:dyDescent="0.2">
      <c r="A20" t="s">
        <v>41</v>
      </c>
      <c r="B20" t="s">
        <v>23</v>
      </c>
      <c r="D20" t="s">
        <v>47</v>
      </c>
      <c r="G20">
        <f>AK28/AP28</f>
        <v>0</v>
      </c>
      <c r="K20" t="s">
        <v>13</v>
      </c>
      <c r="Z20">
        <f t="shared" si="35"/>
        <v>0</v>
      </c>
      <c r="AA20">
        <f t="shared" si="36"/>
        <v>0</v>
      </c>
      <c r="AE20">
        <f t="shared" si="37"/>
        <v>0</v>
      </c>
      <c r="AF20">
        <f t="shared" si="38"/>
        <v>1</v>
      </c>
      <c r="AG20">
        <f t="shared" si="39"/>
        <v>0</v>
      </c>
      <c r="AK20">
        <f t="shared" si="40"/>
        <v>0</v>
      </c>
      <c r="AL20">
        <f t="shared" si="41"/>
        <v>0</v>
      </c>
      <c r="AM20">
        <f t="shared" si="42"/>
        <v>0</v>
      </c>
      <c r="AN20">
        <f t="shared" si="43"/>
        <v>0</v>
      </c>
      <c r="AP20">
        <f t="shared" si="46"/>
        <v>0</v>
      </c>
      <c r="AQ20" s="4">
        <f t="shared" si="47"/>
        <v>0</v>
      </c>
      <c r="AR20" s="4">
        <f t="shared" si="44"/>
        <v>0</v>
      </c>
      <c r="AS20" s="4">
        <f t="shared" si="44"/>
        <v>0</v>
      </c>
      <c r="AT20" s="4">
        <f t="shared" si="44"/>
        <v>0</v>
      </c>
      <c r="AU20" s="4">
        <f t="shared" si="44"/>
        <v>0</v>
      </c>
      <c r="AV20" s="4">
        <f t="shared" si="44"/>
        <v>0</v>
      </c>
      <c r="AW20" s="4">
        <f t="shared" si="44"/>
        <v>0</v>
      </c>
      <c r="AX20" s="4">
        <f t="shared" si="44"/>
        <v>0</v>
      </c>
      <c r="AY20" s="4">
        <f t="shared" si="44"/>
        <v>0</v>
      </c>
      <c r="AZ20" s="4">
        <f t="shared" si="44"/>
        <v>0</v>
      </c>
      <c r="BA20" s="4">
        <f t="shared" si="44"/>
        <v>0</v>
      </c>
      <c r="BB20" s="4">
        <f t="shared" si="44"/>
        <v>0</v>
      </c>
      <c r="BC20" s="4">
        <f t="shared" si="44"/>
        <v>0</v>
      </c>
      <c r="BD20" s="4">
        <f t="shared" si="44"/>
        <v>0</v>
      </c>
      <c r="BE20" s="4">
        <f t="shared" si="44"/>
        <v>0</v>
      </c>
      <c r="BF20" s="4">
        <f t="shared" si="44"/>
        <v>0</v>
      </c>
      <c r="BG20" s="4">
        <f t="shared" si="44"/>
        <v>0</v>
      </c>
      <c r="BH20" s="4">
        <f t="shared" si="45"/>
        <v>0</v>
      </c>
      <c r="BI20" s="4">
        <f t="shared" si="45"/>
        <v>0</v>
      </c>
      <c r="BJ20" s="4">
        <f t="shared" si="45"/>
        <v>0</v>
      </c>
      <c r="BK20" s="4">
        <f t="shared" si="45"/>
        <v>0</v>
      </c>
      <c r="BL20" s="4">
        <f t="shared" si="45"/>
        <v>0</v>
      </c>
      <c r="BM20" s="4">
        <f t="shared" si="45"/>
        <v>0</v>
      </c>
      <c r="BN20" s="4">
        <f t="shared" si="45"/>
        <v>0</v>
      </c>
    </row>
    <row r="21" spans="1:66" x14ac:dyDescent="0.2">
      <c r="A21" s="1" t="s">
        <v>24</v>
      </c>
      <c r="D21">
        <f>G16/A31</f>
        <v>0.66666666666666663</v>
      </c>
      <c r="G21" t="s">
        <v>76</v>
      </c>
      <c r="K21" t="s">
        <v>57</v>
      </c>
      <c r="L21" t="s">
        <v>58</v>
      </c>
      <c r="M21" t="s">
        <v>59</v>
      </c>
      <c r="N21" t="s">
        <v>60</v>
      </c>
      <c r="Z21">
        <f t="shared" si="35"/>
        <v>0</v>
      </c>
      <c r="AA21">
        <f t="shared" si="36"/>
        <v>0</v>
      </c>
      <c r="AE21">
        <f t="shared" si="37"/>
        <v>0</v>
      </c>
      <c r="AF21">
        <f t="shared" si="38"/>
        <v>0</v>
      </c>
      <c r="AG21">
        <f t="shared" si="39"/>
        <v>0</v>
      </c>
      <c r="AK21">
        <f t="shared" si="40"/>
        <v>0</v>
      </c>
      <c r="AL21">
        <f t="shared" si="41"/>
        <v>0</v>
      </c>
      <c r="AM21">
        <f t="shared" si="42"/>
        <v>0</v>
      </c>
      <c r="AN21">
        <f t="shared" si="43"/>
        <v>0</v>
      </c>
      <c r="AP21">
        <f t="shared" si="46"/>
        <v>0</v>
      </c>
      <c r="AQ21" s="4">
        <f t="shared" si="47"/>
        <v>0</v>
      </c>
      <c r="AR21" s="4">
        <f t="shared" si="44"/>
        <v>0</v>
      </c>
      <c r="AS21" s="4">
        <f t="shared" si="44"/>
        <v>0</v>
      </c>
      <c r="AT21" s="4">
        <f t="shared" si="44"/>
        <v>0</v>
      </c>
      <c r="AU21" s="4">
        <f t="shared" si="44"/>
        <v>0</v>
      </c>
      <c r="AV21" s="4">
        <f t="shared" si="44"/>
        <v>0</v>
      </c>
      <c r="AW21" s="4">
        <f t="shared" si="44"/>
        <v>0</v>
      </c>
      <c r="AX21" s="4">
        <f t="shared" si="44"/>
        <v>0</v>
      </c>
      <c r="AY21" s="4">
        <f t="shared" si="44"/>
        <v>0</v>
      </c>
      <c r="AZ21" s="4">
        <f t="shared" si="44"/>
        <v>0</v>
      </c>
      <c r="BA21" s="4">
        <f t="shared" si="44"/>
        <v>0</v>
      </c>
      <c r="BB21" s="4">
        <f t="shared" si="44"/>
        <v>0</v>
      </c>
      <c r="BC21" s="4">
        <f t="shared" si="44"/>
        <v>0</v>
      </c>
      <c r="BD21" s="4">
        <f t="shared" si="44"/>
        <v>0</v>
      </c>
      <c r="BE21" s="4">
        <f t="shared" si="44"/>
        <v>0</v>
      </c>
      <c r="BF21" s="4">
        <f t="shared" si="44"/>
        <v>0</v>
      </c>
      <c r="BG21" s="4">
        <f t="shared" si="44"/>
        <v>0</v>
      </c>
      <c r="BH21" s="4">
        <f t="shared" si="45"/>
        <v>0</v>
      </c>
      <c r="BI21" s="4">
        <f t="shared" si="45"/>
        <v>0</v>
      </c>
      <c r="BJ21" s="4">
        <f t="shared" si="45"/>
        <v>0</v>
      </c>
      <c r="BK21" s="4">
        <f t="shared" si="45"/>
        <v>0</v>
      </c>
      <c r="BL21" s="4">
        <f t="shared" si="45"/>
        <v>0</v>
      </c>
      <c r="BM21" s="4">
        <f t="shared" si="45"/>
        <v>0</v>
      </c>
      <c r="BN21" s="4">
        <f t="shared" si="45"/>
        <v>0</v>
      </c>
    </row>
    <row r="22" spans="1:66" x14ac:dyDescent="0.2">
      <c r="A22" t="s">
        <v>36</v>
      </c>
      <c r="B22" t="s">
        <v>10</v>
      </c>
      <c r="D22" t="s">
        <v>48</v>
      </c>
      <c r="G22">
        <f>AL28/AP28</f>
        <v>0</v>
      </c>
      <c r="K22">
        <f>AVERAGE(C39:C50)</f>
        <v>1.6666666666666667</v>
      </c>
      <c r="L22">
        <f>MEDIAN(C39:C50)</f>
        <v>1.5</v>
      </c>
      <c r="M22">
        <f>MAX(C39:C50)</f>
        <v>3</v>
      </c>
      <c r="N22">
        <f>_xlfn.STDEV.S(C39:C50)</f>
        <v>0.98473192783466179</v>
      </c>
      <c r="Z22">
        <f t="shared" si="35"/>
        <v>0</v>
      </c>
      <c r="AA22">
        <f t="shared" si="36"/>
        <v>0</v>
      </c>
      <c r="AE22">
        <f t="shared" si="37"/>
        <v>0</v>
      </c>
      <c r="AF22">
        <f t="shared" si="38"/>
        <v>0</v>
      </c>
      <c r="AG22">
        <f t="shared" si="39"/>
        <v>0</v>
      </c>
      <c r="AK22">
        <f t="shared" si="40"/>
        <v>0</v>
      </c>
      <c r="AL22">
        <f t="shared" si="41"/>
        <v>0</v>
      </c>
      <c r="AM22">
        <f t="shared" si="42"/>
        <v>0</v>
      </c>
      <c r="AN22">
        <f t="shared" si="43"/>
        <v>0</v>
      </c>
      <c r="AP22">
        <f t="shared" si="46"/>
        <v>0</v>
      </c>
      <c r="AQ22" s="4">
        <f t="shared" si="47"/>
        <v>0</v>
      </c>
      <c r="AR22" s="4">
        <f t="shared" si="44"/>
        <v>0</v>
      </c>
      <c r="AS22" s="4">
        <f t="shared" si="44"/>
        <v>0</v>
      </c>
      <c r="AT22" s="4">
        <f t="shared" si="44"/>
        <v>0</v>
      </c>
      <c r="AU22" s="4">
        <f t="shared" si="44"/>
        <v>0</v>
      </c>
      <c r="AV22" s="4">
        <f t="shared" si="44"/>
        <v>0</v>
      </c>
      <c r="AW22" s="4">
        <f t="shared" si="44"/>
        <v>0</v>
      </c>
      <c r="AX22" s="4">
        <f t="shared" si="44"/>
        <v>0</v>
      </c>
      <c r="AY22" s="4">
        <f t="shared" si="44"/>
        <v>0</v>
      </c>
      <c r="AZ22" s="4">
        <f t="shared" si="44"/>
        <v>0</v>
      </c>
      <c r="BA22" s="4">
        <f t="shared" si="44"/>
        <v>0</v>
      </c>
      <c r="BB22" s="4">
        <f t="shared" si="44"/>
        <v>0</v>
      </c>
      <c r="BC22" s="4">
        <f t="shared" si="44"/>
        <v>0</v>
      </c>
      <c r="BD22" s="4">
        <f t="shared" si="44"/>
        <v>0</v>
      </c>
      <c r="BE22" s="4">
        <f t="shared" si="44"/>
        <v>0</v>
      </c>
      <c r="BF22" s="4">
        <f t="shared" si="44"/>
        <v>0</v>
      </c>
      <c r="BG22" s="4">
        <f t="shared" si="44"/>
        <v>0</v>
      </c>
      <c r="BH22" s="4">
        <f t="shared" si="45"/>
        <v>0</v>
      </c>
      <c r="BI22" s="4">
        <f t="shared" si="45"/>
        <v>0</v>
      </c>
      <c r="BJ22" s="4">
        <f t="shared" si="45"/>
        <v>0</v>
      </c>
      <c r="BK22" s="4">
        <f t="shared" si="45"/>
        <v>0</v>
      </c>
      <c r="BL22" s="4">
        <f t="shared" si="45"/>
        <v>0</v>
      </c>
      <c r="BM22" s="4">
        <f t="shared" si="45"/>
        <v>0</v>
      </c>
      <c r="BN22" s="4">
        <f t="shared" si="45"/>
        <v>0</v>
      </c>
    </row>
    <row r="23" spans="1:66" x14ac:dyDescent="0.2">
      <c r="A23" t="s">
        <v>37</v>
      </c>
      <c r="B23" t="s">
        <v>25</v>
      </c>
      <c r="D23">
        <f>H16/A31</f>
        <v>0</v>
      </c>
      <c r="G23" t="s">
        <v>77</v>
      </c>
      <c r="K23" t="s">
        <v>8</v>
      </c>
      <c r="Z23">
        <f t="shared" si="35"/>
        <v>0</v>
      </c>
      <c r="AA23">
        <f t="shared" si="36"/>
        <v>0</v>
      </c>
      <c r="AE23">
        <f t="shared" si="37"/>
        <v>0</v>
      </c>
      <c r="AF23">
        <f t="shared" si="38"/>
        <v>0</v>
      </c>
      <c r="AG23">
        <f t="shared" si="39"/>
        <v>0</v>
      </c>
      <c r="AK23">
        <f t="shared" si="40"/>
        <v>0</v>
      </c>
      <c r="AL23">
        <f t="shared" si="41"/>
        <v>0</v>
      </c>
      <c r="AM23">
        <f t="shared" si="42"/>
        <v>0</v>
      </c>
      <c r="AN23">
        <f t="shared" si="43"/>
        <v>0</v>
      </c>
      <c r="AP23">
        <f t="shared" si="46"/>
        <v>0</v>
      </c>
      <c r="AQ23" s="4">
        <f t="shared" si="47"/>
        <v>0</v>
      </c>
      <c r="AR23" s="4">
        <f t="shared" si="44"/>
        <v>0</v>
      </c>
      <c r="AS23" s="4">
        <f t="shared" si="44"/>
        <v>0</v>
      </c>
      <c r="AT23" s="4">
        <f t="shared" si="44"/>
        <v>0</v>
      </c>
      <c r="AU23" s="4">
        <f t="shared" si="44"/>
        <v>0</v>
      </c>
      <c r="AV23" s="4">
        <f t="shared" si="44"/>
        <v>0</v>
      </c>
      <c r="AW23" s="4">
        <f t="shared" si="44"/>
        <v>0</v>
      </c>
      <c r="AX23" s="4">
        <f t="shared" si="44"/>
        <v>0</v>
      </c>
      <c r="AY23" s="4">
        <f t="shared" si="44"/>
        <v>0</v>
      </c>
      <c r="AZ23" s="4">
        <f t="shared" si="44"/>
        <v>0</v>
      </c>
      <c r="BA23" s="4">
        <f t="shared" si="44"/>
        <v>0</v>
      </c>
      <c r="BB23" s="4">
        <f t="shared" si="44"/>
        <v>0</v>
      </c>
      <c r="BC23" s="4">
        <f t="shared" si="44"/>
        <v>0</v>
      </c>
      <c r="BD23" s="4">
        <f t="shared" si="44"/>
        <v>0</v>
      </c>
      <c r="BE23" s="4">
        <f t="shared" si="44"/>
        <v>0</v>
      </c>
      <c r="BF23" s="4">
        <f t="shared" si="44"/>
        <v>0</v>
      </c>
      <c r="BG23" s="4">
        <f t="shared" si="44"/>
        <v>0</v>
      </c>
      <c r="BH23" s="4">
        <f t="shared" si="45"/>
        <v>0</v>
      </c>
      <c r="BI23" s="4">
        <f t="shared" si="45"/>
        <v>0</v>
      </c>
      <c r="BJ23" s="4">
        <f t="shared" si="45"/>
        <v>0</v>
      </c>
      <c r="BK23" s="4">
        <f t="shared" si="45"/>
        <v>0</v>
      </c>
      <c r="BL23" s="4">
        <f t="shared" si="45"/>
        <v>0</v>
      </c>
      <c r="BM23" s="4">
        <f t="shared" si="45"/>
        <v>0</v>
      </c>
      <c r="BN23" s="4">
        <f t="shared" si="45"/>
        <v>0</v>
      </c>
    </row>
    <row r="24" spans="1:66" x14ac:dyDescent="0.2">
      <c r="A24" t="s">
        <v>38</v>
      </c>
      <c r="B24" t="s">
        <v>26</v>
      </c>
      <c r="D24" t="s">
        <v>50</v>
      </c>
      <c r="G24">
        <f>AM28/AP28</f>
        <v>0</v>
      </c>
      <c r="K24" t="s">
        <v>57</v>
      </c>
      <c r="L24" t="s">
        <v>61</v>
      </c>
      <c r="M24" t="s">
        <v>59</v>
      </c>
      <c r="N24" t="s">
        <v>60</v>
      </c>
      <c r="Z24">
        <f t="shared" si="35"/>
        <v>0</v>
      </c>
      <c r="AA24">
        <f t="shared" si="36"/>
        <v>0</v>
      </c>
      <c r="AE24">
        <f t="shared" si="37"/>
        <v>0</v>
      </c>
      <c r="AF24">
        <f t="shared" si="38"/>
        <v>0</v>
      </c>
      <c r="AG24">
        <f t="shared" si="39"/>
        <v>0</v>
      </c>
      <c r="AK24">
        <f t="shared" si="40"/>
        <v>0</v>
      </c>
      <c r="AL24">
        <f t="shared" si="41"/>
        <v>0</v>
      </c>
      <c r="AM24">
        <f t="shared" si="42"/>
        <v>0</v>
      </c>
      <c r="AN24">
        <f t="shared" si="43"/>
        <v>0</v>
      </c>
      <c r="AP24">
        <f t="shared" si="46"/>
        <v>0</v>
      </c>
      <c r="AQ24" s="4">
        <f t="shared" si="47"/>
        <v>0</v>
      </c>
      <c r="AR24" s="4">
        <f t="shared" si="44"/>
        <v>0</v>
      </c>
      <c r="AS24" s="4">
        <f t="shared" si="44"/>
        <v>0</v>
      </c>
      <c r="AT24" s="4">
        <f t="shared" si="44"/>
        <v>0</v>
      </c>
      <c r="AU24" s="4">
        <f t="shared" si="44"/>
        <v>0</v>
      </c>
      <c r="AV24" s="4">
        <f t="shared" si="44"/>
        <v>0</v>
      </c>
      <c r="AW24" s="4">
        <f t="shared" si="44"/>
        <v>0</v>
      </c>
      <c r="AX24" s="4">
        <f t="shared" si="44"/>
        <v>0</v>
      </c>
      <c r="AY24" s="4">
        <f t="shared" si="44"/>
        <v>0</v>
      </c>
      <c r="AZ24" s="4">
        <f t="shared" si="44"/>
        <v>0</v>
      </c>
      <c r="BA24" s="4">
        <f t="shared" si="44"/>
        <v>0</v>
      </c>
      <c r="BB24" s="4">
        <f t="shared" si="44"/>
        <v>0</v>
      </c>
      <c r="BC24" s="4">
        <f t="shared" si="44"/>
        <v>0</v>
      </c>
      <c r="BD24" s="4">
        <f t="shared" si="44"/>
        <v>0</v>
      </c>
      <c r="BE24" s="4">
        <f t="shared" si="44"/>
        <v>0</v>
      </c>
      <c r="BF24" s="4">
        <f t="shared" si="44"/>
        <v>0</v>
      </c>
      <c r="BG24" s="4">
        <f t="shared" si="44"/>
        <v>0</v>
      </c>
      <c r="BH24" s="4">
        <f t="shared" si="45"/>
        <v>0</v>
      </c>
      <c r="BI24" s="4">
        <f t="shared" si="45"/>
        <v>0</v>
      </c>
      <c r="BJ24" s="4">
        <f t="shared" si="45"/>
        <v>0</v>
      </c>
      <c r="BK24" s="4">
        <f t="shared" si="45"/>
        <v>0</v>
      </c>
      <c r="BL24" s="4">
        <f t="shared" si="45"/>
        <v>0</v>
      </c>
      <c r="BM24" s="4">
        <f t="shared" si="45"/>
        <v>0</v>
      </c>
      <c r="BN24" s="4">
        <f t="shared" si="45"/>
        <v>0</v>
      </c>
    </row>
    <row r="25" spans="1:66" x14ac:dyDescent="0.2">
      <c r="A25" t="s">
        <v>39</v>
      </c>
      <c r="B25" t="s">
        <v>27</v>
      </c>
      <c r="D25">
        <f>Z28/A31</f>
        <v>0</v>
      </c>
      <c r="G25" t="s">
        <v>78</v>
      </c>
      <c r="K25">
        <f>AVERAGE(E39:E50)</f>
        <v>0</v>
      </c>
      <c r="L25">
        <f>MEDIAN(E39:E50)</f>
        <v>0</v>
      </c>
      <c r="M25">
        <f>MAX(E39:E50)</f>
        <v>0</v>
      </c>
      <c r="N25">
        <f>_xlfn.STDEV.S(E39:E50)</f>
        <v>0</v>
      </c>
      <c r="Z25">
        <f t="shared" si="35"/>
        <v>0</v>
      </c>
      <c r="AA25">
        <f t="shared" si="36"/>
        <v>0</v>
      </c>
      <c r="AE25">
        <f t="shared" si="37"/>
        <v>0</v>
      </c>
      <c r="AF25">
        <f t="shared" si="38"/>
        <v>0</v>
      </c>
      <c r="AG25">
        <f t="shared" si="39"/>
        <v>0</v>
      </c>
      <c r="AK25">
        <f t="shared" si="40"/>
        <v>0</v>
      </c>
      <c r="AL25">
        <f t="shared" si="41"/>
        <v>0</v>
      </c>
      <c r="AM25">
        <f t="shared" si="42"/>
        <v>0</v>
      </c>
      <c r="AN25">
        <f t="shared" si="43"/>
        <v>0</v>
      </c>
      <c r="AP25">
        <f t="shared" si="46"/>
        <v>0</v>
      </c>
      <c r="AQ25" s="4">
        <f t="shared" si="47"/>
        <v>0</v>
      </c>
      <c r="AR25" s="4">
        <f t="shared" si="44"/>
        <v>0</v>
      </c>
      <c r="AS25" s="4">
        <f t="shared" si="44"/>
        <v>0</v>
      </c>
      <c r="AT25" s="4">
        <f t="shared" si="44"/>
        <v>0</v>
      </c>
      <c r="AU25" s="4">
        <f t="shared" si="44"/>
        <v>0</v>
      </c>
      <c r="AV25" s="4">
        <f t="shared" si="44"/>
        <v>0</v>
      </c>
      <c r="AW25" s="4">
        <f t="shared" si="44"/>
        <v>0</v>
      </c>
      <c r="AX25" s="4">
        <f t="shared" si="44"/>
        <v>0</v>
      </c>
      <c r="AY25" s="4">
        <f t="shared" si="44"/>
        <v>0</v>
      </c>
      <c r="AZ25" s="4">
        <f t="shared" si="44"/>
        <v>0</v>
      </c>
      <c r="BA25" s="4">
        <f t="shared" si="44"/>
        <v>0</v>
      </c>
      <c r="BB25" s="4">
        <f t="shared" si="44"/>
        <v>0</v>
      </c>
      <c r="BC25" s="4">
        <f t="shared" si="44"/>
        <v>0</v>
      </c>
      <c r="BD25" s="4">
        <f t="shared" si="44"/>
        <v>0</v>
      </c>
      <c r="BE25" s="4">
        <f t="shared" si="44"/>
        <v>0</v>
      </c>
      <c r="BF25" s="4">
        <f t="shared" si="44"/>
        <v>0</v>
      </c>
      <c r="BG25" s="4">
        <f t="shared" si="44"/>
        <v>0</v>
      </c>
      <c r="BH25" s="4">
        <f t="shared" si="45"/>
        <v>0</v>
      </c>
      <c r="BI25" s="4">
        <f t="shared" si="45"/>
        <v>0</v>
      </c>
      <c r="BJ25" s="4">
        <f t="shared" si="45"/>
        <v>0</v>
      </c>
      <c r="BK25" s="4">
        <f t="shared" si="45"/>
        <v>0</v>
      </c>
      <c r="BL25" s="4">
        <f t="shared" si="45"/>
        <v>0</v>
      </c>
      <c r="BM25" s="4">
        <f t="shared" si="45"/>
        <v>0</v>
      </c>
      <c r="BN25" s="4">
        <f t="shared" si="45"/>
        <v>0</v>
      </c>
    </row>
    <row r="26" spans="1:66" x14ac:dyDescent="0.2">
      <c r="A26" t="s">
        <v>44</v>
      </c>
      <c r="D26" t="s">
        <v>51</v>
      </c>
      <c r="G26">
        <f>AN28/AP28</f>
        <v>1</v>
      </c>
      <c r="K26" t="s">
        <v>62</v>
      </c>
      <c r="P26" t="s">
        <v>19</v>
      </c>
      <c r="Z26">
        <f t="shared" si="35"/>
        <v>0</v>
      </c>
      <c r="AA26">
        <f t="shared" si="36"/>
        <v>0</v>
      </c>
      <c r="AE26">
        <f t="shared" si="37"/>
        <v>0</v>
      </c>
      <c r="AF26">
        <f t="shared" si="38"/>
        <v>0</v>
      </c>
      <c r="AG26">
        <f t="shared" si="39"/>
        <v>0</v>
      </c>
      <c r="AK26">
        <f t="shared" si="40"/>
        <v>0</v>
      </c>
      <c r="AL26">
        <f t="shared" si="41"/>
        <v>0</v>
      </c>
      <c r="AM26">
        <f t="shared" si="42"/>
        <v>0</v>
      </c>
      <c r="AN26">
        <f t="shared" si="43"/>
        <v>0</v>
      </c>
      <c r="AP26">
        <f t="shared" si="46"/>
        <v>0</v>
      </c>
      <c r="AQ26" s="4">
        <f t="shared" si="47"/>
        <v>0</v>
      </c>
      <c r="AR26" s="4">
        <f t="shared" si="44"/>
        <v>0</v>
      </c>
      <c r="AS26" s="4">
        <f t="shared" si="44"/>
        <v>0</v>
      </c>
      <c r="AT26" s="4">
        <f t="shared" si="44"/>
        <v>0</v>
      </c>
      <c r="AU26" s="4">
        <f t="shared" si="44"/>
        <v>0</v>
      </c>
      <c r="AV26" s="4">
        <f t="shared" si="44"/>
        <v>0</v>
      </c>
      <c r="AW26" s="4">
        <f t="shared" si="44"/>
        <v>0</v>
      </c>
      <c r="AX26" s="4">
        <f t="shared" si="44"/>
        <v>0</v>
      </c>
      <c r="AY26" s="4">
        <f t="shared" si="44"/>
        <v>0</v>
      </c>
      <c r="AZ26" s="4">
        <f t="shared" si="44"/>
        <v>0</v>
      </c>
      <c r="BA26" s="4">
        <f t="shared" si="44"/>
        <v>0</v>
      </c>
      <c r="BB26" s="4">
        <f t="shared" si="44"/>
        <v>0</v>
      </c>
      <c r="BC26" s="4">
        <f t="shared" si="44"/>
        <v>0</v>
      </c>
      <c r="BD26" s="4">
        <f t="shared" si="44"/>
        <v>0</v>
      </c>
      <c r="BE26" s="4">
        <f t="shared" si="44"/>
        <v>0</v>
      </c>
      <c r="BF26" s="4">
        <f t="shared" si="44"/>
        <v>0</v>
      </c>
      <c r="BG26" s="4">
        <f t="shared" si="44"/>
        <v>0</v>
      </c>
      <c r="BH26" s="4">
        <f t="shared" si="45"/>
        <v>0</v>
      </c>
      <c r="BI26" s="4">
        <f t="shared" si="45"/>
        <v>0</v>
      </c>
      <c r="BJ26" s="4">
        <f t="shared" si="45"/>
        <v>0</v>
      </c>
      <c r="BK26" s="4">
        <f t="shared" si="45"/>
        <v>0</v>
      </c>
      <c r="BL26" s="4">
        <f t="shared" si="45"/>
        <v>0</v>
      </c>
      <c r="BM26" s="4">
        <f t="shared" si="45"/>
        <v>0</v>
      </c>
      <c r="BN26" s="4">
        <f t="shared" si="45"/>
        <v>0</v>
      </c>
    </row>
    <row r="27" spans="1:66" x14ac:dyDescent="0.2">
      <c r="A27" t="s">
        <v>45</v>
      </c>
      <c r="D27">
        <f>AA28/A31</f>
        <v>0</v>
      </c>
      <c r="G27" t="s">
        <v>56</v>
      </c>
      <c r="K27" t="s">
        <v>57</v>
      </c>
      <c r="L27" t="s">
        <v>58</v>
      </c>
      <c r="M27" t="s">
        <v>59</v>
      </c>
      <c r="N27" t="s">
        <v>60</v>
      </c>
      <c r="P27" t="s">
        <v>57</v>
      </c>
      <c r="Q27" t="s">
        <v>58</v>
      </c>
      <c r="R27" t="s">
        <v>59</v>
      </c>
      <c r="S27" t="s">
        <v>60</v>
      </c>
      <c r="Z27">
        <f t="shared" si="35"/>
        <v>0</v>
      </c>
      <c r="AA27">
        <f t="shared" si="36"/>
        <v>0</v>
      </c>
      <c r="AE27">
        <f t="shared" si="37"/>
        <v>0</v>
      </c>
      <c r="AF27">
        <f t="shared" si="38"/>
        <v>0</v>
      </c>
      <c r="AG27">
        <f t="shared" si="39"/>
        <v>0</v>
      </c>
      <c r="AK27">
        <f t="shared" si="40"/>
        <v>0</v>
      </c>
      <c r="AL27">
        <f t="shared" si="41"/>
        <v>0</v>
      </c>
      <c r="AM27">
        <f t="shared" si="42"/>
        <v>0</v>
      </c>
      <c r="AN27">
        <f t="shared" si="43"/>
        <v>0</v>
      </c>
      <c r="AP27">
        <f t="shared" si="46"/>
        <v>0</v>
      </c>
      <c r="AQ27" s="4">
        <f t="shared" si="47"/>
        <v>0</v>
      </c>
      <c r="AR27" s="4">
        <f t="shared" si="44"/>
        <v>0</v>
      </c>
      <c r="AS27" s="4">
        <f t="shared" si="44"/>
        <v>0</v>
      </c>
      <c r="AT27" s="4">
        <f t="shared" si="44"/>
        <v>0</v>
      </c>
      <c r="AU27" s="4">
        <f t="shared" si="44"/>
        <v>0</v>
      </c>
      <c r="AV27" s="4">
        <f t="shared" si="44"/>
        <v>0</v>
      </c>
      <c r="AW27" s="4">
        <f t="shared" si="44"/>
        <v>0</v>
      </c>
      <c r="AX27" s="4">
        <f t="shared" si="44"/>
        <v>0</v>
      </c>
      <c r="AY27" s="4">
        <f t="shared" si="44"/>
        <v>0</v>
      </c>
      <c r="AZ27" s="4">
        <f t="shared" si="44"/>
        <v>0</v>
      </c>
      <c r="BA27" s="4">
        <f t="shared" si="44"/>
        <v>0</v>
      </c>
      <c r="BB27" s="4">
        <f t="shared" si="44"/>
        <v>0</v>
      </c>
      <c r="BC27" s="4">
        <f t="shared" si="44"/>
        <v>0</v>
      </c>
      <c r="BD27" s="4">
        <f t="shared" si="44"/>
        <v>0</v>
      </c>
      <c r="BE27" s="4">
        <f t="shared" si="44"/>
        <v>0</v>
      </c>
      <c r="BF27" s="4">
        <f t="shared" si="44"/>
        <v>0</v>
      </c>
      <c r="BG27" s="4">
        <f t="shared" si="44"/>
        <v>0</v>
      </c>
      <c r="BH27" s="4">
        <f t="shared" si="45"/>
        <v>0</v>
      </c>
      <c r="BI27" s="4">
        <f t="shared" si="45"/>
        <v>0</v>
      </c>
      <c r="BJ27" s="4">
        <f t="shared" si="45"/>
        <v>0</v>
      </c>
      <c r="BK27" s="4">
        <f t="shared" si="45"/>
        <v>0</v>
      </c>
      <c r="BL27" s="4">
        <f t="shared" si="45"/>
        <v>0</v>
      </c>
      <c r="BM27" s="4">
        <f t="shared" si="45"/>
        <v>0</v>
      </c>
      <c r="BN27" s="4">
        <f t="shared" si="45"/>
        <v>0</v>
      </c>
    </row>
    <row r="28" spans="1:66" x14ac:dyDescent="0.2">
      <c r="A28" t="s">
        <v>46</v>
      </c>
      <c r="D28" t="s">
        <v>202</v>
      </c>
      <c r="G28" t="s">
        <v>57</v>
      </c>
      <c r="H28" t="s">
        <v>58</v>
      </c>
      <c r="I28" t="s">
        <v>59</v>
      </c>
      <c r="J28" t="s">
        <v>60</v>
      </c>
      <c r="K28">
        <f>AVERAGE(G39:G50)</f>
        <v>0.16666666666666666</v>
      </c>
      <c r="L28">
        <f>MEDIAN(G39:G50)</f>
        <v>0</v>
      </c>
      <c r="M28">
        <f>MAX(G39:G50)</f>
        <v>1</v>
      </c>
      <c r="N28">
        <f>_xlfn.STDEV.S(G39:G50)</f>
        <v>0.38924947208076149</v>
      </c>
      <c r="P28">
        <f>AVERAGE(N39:N50)</f>
        <v>5.416666666666667</v>
      </c>
      <c r="Q28">
        <f>MEDIAN(N39:N50)</f>
        <v>1</v>
      </c>
      <c r="R28">
        <f>MAX(N39:N50)</f>
        <v>44</v>
      </c>
      <c r="S28">
        <f>_xlfn.STDEV.S(N39:N50)</f>
        <v>12.354302403567264</v>
      </c>
      <c r="Y28" t="s">
        <v>33</v>
      </c>
      <c r="Z28">
        <f>SUM(Z16:Z27)</f>
        <v>0</v>
      </c>
      <c r="AA28">
        <f>SUM(AA16:AA27)</f>
        <v>0</v>
      </c>
      <c r="AE28">
        <f>SUM(AE16:AE27)</f>
        <v>0</v>
      </c>
      <c r="AF28">
        <f>SUM(AF16:AF27)</f>
        <v>1</v>
      </c>
      <c r="AG28">
        <f>SUM(AG16:AG27)</f>
        <v>0</v>
      </c>
      <c r="AK28">
        <f>SUM(AK16:AK27)</f>
        <v>0</v>
      </c>
      <c r="AL28">
        <f>SUM(AL16:AL27)</f>
        <v>0</v>
      </c>
      <c r="AM28">
        <f>SUM(AM16:AM27)</f>
        <v>0</v>
      </c>
      <c r="AN28">
        <f>SUM(AN16:AN27)</f>
        <v>1</v>
      </c>
      <c r="AP28">
        <f>SUM(AP16:AP27)</f>
        <v>1</v>
      </c>
    </row>
    <row r="29" spans="1:66" x14ac:dyDescent="0.2">
      <c r="D29">
        <f>SUM(O39:O50)/F16</f>
        <v>0</v>
      </c>
      <c r="G29">
        <f>AVERAGE(A39:A50)</f>
        <v>8.3333333333333329E-2</v>
      </c>
      <c r="H29">
        <f>MEDIAN(A39:A50)</f>
        <v>0</v>
      </c>
      <c r="I29">
        <f>MAX(A39:A50)</f>
        <v>1</v>
      </c>
      <c r="J29">
        <f>_xlfn.STDEV.S(A39:A50)</f>
        <v>0.28867513459481287</v>
      </c>
      <c r="K29" t="s">
        <v>63</v>
      </c>
      <c r="P29" t="s">
        <v>148</v>
      </c>
    </row>
    <row r="30" spans="1:66" x14ac:dyDescent="0.2">
      <c r="A30" t="s">
        <v>147</v>
      </c>
      <c r="D30" t="s">
        <v>203</v>
      </c>
      <c r="G30" t="s">
        <v>50</v>
      </c>
      <c r="H30" t="s">
        <v>51</v>
      </c>
      <c r="I30" t="s">
        <v>89</v>
      </c>
      <c r="K30" t="s">
        <v>57</v>
      </c>
      <c r="L30" t="s">
        <v>58</v>
      </c>
      <c r="M30" t="s">
        <v>59</v>
      </c>
      <c r="N30" t="s">
        <v>60</v>
      </c>
      <c r="P30" t="s">
        <v>57</v>
      </c>
      <c r="Q30" t="s">
        <v>58</v>
      </c>
      <c r="R30" t="s">
        <v>59</v>
      </c>
      <c r="S30" t="s">
        <v>60</v>
      </c>
      <c r="W30" t="s">
        <v>148</v>
      </c>
      <c r="Y30" t="s">
        <v>149</v>
      </c>
      <c r="AH30" t="s">
        <v>79</v>
      </c>
    </row>
    <row r="31" spans="1:66" x14ac:dyDescent="0.2">
      <c r="A31">
        <f>COUNT(B4:B15)</f>
        <v>12</v>
      </c>
      <c r="D31" s="2">
        <f>SUM(S39:S50)/SUM(Q39:Q50)</f>
        <v>0</v>
      </c>
      <c r="G31">
        <f>AE28/A31</f>
        <v>0</v>
      </c>
      <c r="H31">
        <f>AF28/A31</f>
        <v>8.3333333333333329E-2</v>
      </c>
      <c r="I31">
        <f>AG28/A31</f>
        <v>0</v>
      </c>
      <c r="K31" t="e">
        <f>AVERAGE(I39:I50)</f>
        <v>#DIV/0!</v>
      </c>
      <c r="L31" t="e">
        <f>MEDIAN(I39:I50)</f>
        <v>#NUM!</v>
      </c>
      <c r="M31">
        <f>MAX(I39:I50)</f>
        <v>0</v>
      </c>
      <c r="N31" t="e">
        <f>_xlfn.STDEV.S(I39:I50)</f>
        <v>#DIV/0!</v>
      </c>
      <c r="P31">
        <f>AVERAGE(W31:W42)</f>
        <v>2</v>
      </c>
      <c r="Q31">
        <f>MEDIAN(W31:W42)</f>
        <v>1</v>
      </c>
      <c r="R31">
        <f>MAX(W31:W42)</f>
        <v>5</v>
      </c>
      <c r="S31">
        <f>_xlfn.STDEV.S(W31:W42)</f>
        <v>2.3452078799117149</v>
      </c>
      <c r="W31" t="str">
        <f t="shared" ref="W31:W33" si="48">IF(AND(ISBLANK(Q4), ISBLANK(R4), ISBLANK(G4), ISBLANK(H4)), "", U4)</f>
        <v/>
      </c>
      <c r="Y31" t="str">
        <f t="shared" ref="Y31:Y42" si="49">IF(ISBLANK(Y4), IF(X4 = 0, "", (G4 + H4/3 + V4/9 + W4/3)), U4)</f>
        <v/>
      </c>
      <c r="AH31" t="s">
        <v>80</v>
      </c>
    </row>
    <row r="32" spans="1:66" x14ac:dyDescent="0.2">
      <c r="D32" s="3"/>
      <c r="K32" t="s">
        <v>64</v>
      </c>
      <c r="P32" t="s">
        <v>149</v>
      </c>
      <c r="W32">
        <f t="shared" si="48"/>
        <v>0</v>
      </c>
      <c r="Y32">
        <f t="shared" si="49"/>
        <v>0</v>
      </c>
      <c r="AH32" t="s">
        <v>81</v>
      </c>
    </row>
    <row r="33" spans="1:34" x14ac:dyDescent="0.2">
      <c r="A33" t="s">
        <v>308</v>
      </c>
      <c r="D33" s="3"/>
      <c r="K33" t="s">
        <v>57</v>
      </c>
      <c r="L33" t="s">
        <v>58</v>
      </c>
      <c r="M33" t="s">
        <v>59</v>
      </c>
      <c r="N33" t="s">
        <v>60</v>
      </c>
      <c r="P33" t="s">
        <v>57</v>
      </c>
      <c r="Q33" t="s">
        <v>58</v>
      </c>
      <c r="R33" t="s">
        <v>59</v>
      </c>
      <c r="S33" t="s">
        <v>60</v>
      </c>
      <c r="W33">
        <f t="shared" si="48"/>
        <v>1</v>
      </c>
      <c r="Y33">
        <f t="shared" si="49"/>
        <v>1</v>
      </c>
      <c r="AH33" t="s">
        <v>82</v>
      </c>
    </row>
    <row r="34" spans="1:34" x14ac:dyDescent="0.2">
      <c r="A34" t="s">
        <v>331</v>
      </c>
      <c r="D34" s="3"/>
      <c r="K34">
        <f>AVERAGE(K39:K50)</f>
        <v>0.16666666666666666</v>
      </c>
      <c r="L34">
        <f>MEDIAN(K39:K50)</f>
        <v>0</v>
      </c>
      <c r="M34">
        <f>MAX(K39:K50)</f>
        <v>1</v>
      </c>
      <c r="N34">
        <f>_xlfn.STDEV.S(K39:K50)</f>
        <v>0.38924947208076149</v>
      </c>
      <c r="P34">
        <f>AVERAGE(Y31:Y42)</f>
        <v>2</v>
      </c>
      <c r="Q34">
        <f>MEDIAN(Y31:Y42)</f>
        <v>1</v>
      </c>
      <c r="R34">
        <f>MAX(Y31:Y42)</f>
        <v>5</v>
      </c>
      <c r="S34">
        <f>_xlfn.STDEV.S(Y31:Y42)</f>
        <v>2.3452078799117149</v>
      </c>
      <c r="W34">
        <f>IF(AND(ISBLANK(Q7), ISBLANK(R7), ISBLANK(G7), ISBLANK(H7)), "", U7)</f>
        <v>4</v>
      </c>
      <c r="Y34">
        <f t="shared" si="49"/>
        <v>4</v>
      </c>
      <c r="AH34" t="s">
        <v>83</v>
      </c>
    </row>
    <row r="35" spans="1:34" x14ac:dyDescent="0.2">
      <c r="P35" t="s">
        <v>95</v>
      </c>
      <c r="R35" t="s">
        <v>197</v>
      </c>
      <c r="W35" t="str">
        <f t="shared" ref="W35:W42" si="50">IF(AND(ISBLANK(Q8), ISBLANK(R8), ISBLANK(G8), ISBLANK(H8)), "", U8)</f>
        <v/>
      </c>
      <c r="Y35" t="str">
        <f t="shared" si="49"/>
        <v/>
      </c>
    </row>
    <row r="36" spans="1:34" x14ac:dyDescent="0.2">
      <c r="P36">
        <f>Q16/(Q16+R16)</f>
        <v>0</v>
      </c>
      <c r="R36">
        <f>R16/(Q16+R16)</f>
        <v>1</v>
      </c>
      <c r="W36" t="str">
        <f t="shared" si="50"/>
        <v/>
      </c>
      <c r="Y36" t="str">
        <f t="shared" si="49"/>
        <v/>
      </c>
    </row>
    <row r="37" spans="1:34" x14ac:dyDescent="0.2">
      <c r="W37" t="str">
        <f t="shared" si="50"/>
        <v/>
      </c>
      <c r="Y37" t="str">
        <f t="shared" si="49"/>
        <v/>
      </c>
    </row>
    <row r="38" spans="1:34" x14ac:dyDescent="0.2">
      <c r="A38" t="s">
        <v>68</v>
      </c>
      <c r="C38" t="s">
        <v>69</v>
      </c>
      <c r="E38" t="s">
        <v>72</v>
      </c>
      <c r="G38" t="s">
        <v>250</v>
      </c>
      <c r="K38" t="s">
        <v>73</v>
      </c>
      <c r="M38" t="s">
        <v>70</v>
      </c>
      <c r="N38" t="s">
        <v>71</v>
      </c>
      <c r="O38" t="s">
        <v>199</v>
      </c>
      <c r="Q38" t="s">
        <v>200</v>
      </c>
      <c r="S38" t="s">
        <v>201</v>
      </c>
      <c r="W38">
        <f t="shared" si="50"/>
        <v>5</v>
      </c>
      <c r="Y38">
        <f t="shared" si="49"/>
        <v>5</v>
      </c>
    </row>
    <row r="39" spans="1:34" x14ac:dyDescent="0.2">
      <c r="A39">
        <f t="shared" ref="A39:A50" si="51">IF(ISBLANK(B4), "", SUM(AE16+AF16+AG16))</f>
        <v>0</v>
      </c>
      <c r="C39">
        <f t="shared" ref="C39:C50" si="52">IF(ISBLANK(B4), "", O4)</f>
        <v>1</v>
      </c>
      <c r="E39">
        <f t="shared" ref="E39:E50" si="53">IF(ISBLANK(B4), "", Q4)</f>
        <v>0</v>
      </c>
      <c r="G39">
        <f t="shared" ref="G39:G50" si="54">IF(ISBLANK(B4), "", R4)</f>
        <v>0</v>
      </c>
      <c r="K39">
        <f t="shared" ref="K39:K50" si="55">IF(ISBLANK(B4), "", SUM(Q4 + R4))</f>
        <v>0</v>
      </c>
      <c r="M39">
        <f t="shared" ref="M39:M50" si="56">IF(ISBLANK(B4), "", SUM(K4+M4) - O4)</f>
        <v>0</v>
      </c>
      <c r="N39">
        <f t="shared" ref="N39:N50" si="57">IF(ISBLANK(B4), "", U4)</f>
        <v>6</v>
      </c>
      <c r="O39">
        <f t="shared" ref="O39:O50" si="58">COUNTIF(E4, "1")*COUNTIF(F4, "1")</f>
        <v>0</v>
      </c>
      <c r="Q39">
        <f t="shared" ref="Q39:Q50" si="59">COUNTIF(D4, "1")*COUNTIF(F4, "")</f>
        <v>1</v>
      </c>
      <c r="S39">
        <f t="shared" ref="S39:S50" si="60">COUNTIF(E4, "1")*COUNTIF(F4, "")</f>
        <v>0</v>
      </c>
      <c r="W39" t="str">
        <f t="shared" si="50"/>
        <v/>
      </c>
      <c r="Y39" t="str">
        <f t="shared" si="49"/>
        <v/>
      </c>
    </row>
    <row r="40" spans="1:34" x14ac:dyDescent="0.2">
      <c r="A40">
        <f t="shared" si="51"/>
        <v>0</v>
      </c>
      <c r="C40">
        <f t="shared" si="52"/>
        <v>2</v>
      </c>
      <c r="E40">
        <f t="shared" si="53"/>
        <v>0</v>
      </c>
      <c r="G40">
        <f t="shared" si="54"/>
        <v>0</v>
      </c>
      <c r="K40">
        <f t="shared" si="55"/>
        <v>0</v>
      </c>
      <c r="M40">
        <f t="shared" si="56"/>
        <v>-1</v>
      </c>
      <c r="N40">
        <f t="shared" si="57"/>
        <v>0</v>
      </c>
      <c r="O40">
        <f t="shared" si="58"/>
        <v>0</v>
      </c>
      <c r="Q40">
        <f t="shared" si="59"/>
        <v>0</v>
      </c>
      <c r="S40">
        <f t="shared" si="60"/>
        <v>0</v>
      </c>
      <c r="W40">
        <f t="shared" si="50"/>
        <v>0</v>
      </c>
      <c r="Y40">
        <f t="shared" si="49"/>
        <v>0</v>
      </c>
    </row>
    <row r="41" spans="1:34" x14ac:dyDescent="0.2">
      <c r="A41">
        <f t="shared" si="51"/>
        <v>0</v>
      </c>
      <c r="C41">
        <f t="shared" si="52"/>
        <v>1</v>
      </c>
      <c r="E41">
        <f t="shared" si="53"/>
        <v>0</v>
      </c>
      <c r="G41">
        <f t="shared" si="54"/>
        <v>0</v>
      </c>
      <c r="K41">
        <f t="shared" si="55"/>
        <v>0</v>
      </c>
      <c r="M41">
        <f t="shared" si="56"/>
        <v>0</v>
      </c>
      <c r="N41">
        <f t="shared" si="57"/>
        <v>1</v>
      </c>
      <c r="O41">
        <f t="shared" si="58"/>
        <v>0</v>
      </c>
      <c r="Q41">
        <f t="shared" si="59"/>
        <v>0</v>
      </c>
      <c r="S41">
        <f t="shared" si="60"/>
        <v>0</v>
      </c>
      <c r="W41" t="str">
        <f t="shared" si="50"/>
        <v/>
      </c>
      <c r="Y41" t="str">
        <f t="shared" si="49"/>
        <v/>
      </c>
    </row>
    <row r="42" spans="1:34" x14ac:dyDescent="0.2">
      <c r="A42">
        <f t="shared" si="51"/>
        <v>0</v>
      </c>
      <c r="C42">
        <f t="shared" si="52"/>
        <v>3</v>
      </c>
      <c r="E42">
        <f t="shared" si="53"/>
        <v>0</v>
      </c>
      <c r="G42">
        <f t="shared" si="54"/>
        <v>0</v>
      </c>
      <c r="K42">
        <f t="shared" si="55"/>
        <v>0</v>
      </c>
      <c r="M42">
        <f t="shared" si="56"/>
        <v>-1</v>
      </c>
      <c r="N42">
        <f t="shared" si="57"/>
        <v>4</v>
      </c>
      <c r="O42">
        <f t="shared" si="58"/>
        <v>0</v>
      </c>
      <c r="Q42">
        <f t="shared" si="59"/>
        <v>0</v>
      </c>
      <c r="S42">
        <f t="shared" si="60"/>
        <v>0</v>
      </c>
      <c r="W42" t="str">
        <f t="shared" si="50"/>
        <v/>
      </c>
      <c r="Y42" t="str">
        <f t="shared" si="49"/>
        <v/>
      </c>
    </row>
    <row r="43" spans="1:34" x14ac:dyDescent="0.2">
      <c r="A43">
        <f t="shared" si="51"/>
        <v>1</v>
      </c>
      <c r="C43">
        <f t="shared" si="52"/>
        <v>0</v>
      </c>
      <c r="E43">
        <f t="shared" si="53"/>
        <v>0</v>
      </c>
      <c r="G43">
        <f t="shared" si="54"/>
        <v>0</v>
      </c>
      <c r="K43">
        <f t="shared" si="55"/>
        <v>0</v>
      </c>
      <c r="M43">
        <f t="shared" si="56"/>
        <v>0</v>
      </c>
      <c r="N43">
        <f t="shared" si="57"/>
        <v>0</v>
      </c>
      <c r="O43">
        <f t="shared" si="58"/>
        <v>0</v>
      </c>
      <c r="Q43">
        <f t="shared" si="59"/>
        <v>0</v>
      </c>
      <c r="S43">
        <f t="shared" si="60"/>
        <v>0</v>
      </c>
    </row>
    <row r="44" spans="1:34" x14ac:dyDescent="0.2">
      <c r="A44">
        <f t="shared" si="51"/>
        <v>0</v>
      </c>
      <c r="C44">
        <f t="shared" si="52"/>
        <v>2</v>
      </c>
      <c r="E44">
        <f t="shared" si="53"/>
        <v>0</v>
      </c>
      <c r="G44">
        <f t="shared" si="54"/>
        <v>0</v>
      </c>
      <c r="K44">
        <f t="shared" si="55"/>
        <v>0</v>
      </c>
      <c r="M44">
        <f t="shared" si="56"/>
        <v>-1</v>
      </c>
      <c r="N44">
        <f t="shared" si="57"/>
        <v>4</v>
      </c>
      <c r="O44">
        <f t="shared" si="58"/>
        <v>0</v>
      </c>
      <c r="Q44">
        <f t="shared" si="59"/>
        <v>1</v>
      </c>
      <c r="S44">
        <f t="shared" si="60"/>
        <v>0</v>
      </c>
    </row>
    <row r="45" spans="1:34" x14ac:dyDescent="0.2">
      <c r="A45">
        <f t="shared" si="51"/>
        <v>0</v>
      </c>
      <c r="C45">
        <f t="shared" si="52"/>
        <v>3</v>
      </c>
      <c r="E45">
        <f t="shared" si="53"/>
        <v>0</v>
      </c>
      <c r="G45">
        <f t="shared" si="54"/>
        <v>0</v>
      </c>
      <c r="K45">
        <f t="shared" si="55"/>
        <v>0</v>
      </c>
      <c r="M45">
        <f t="shared" si="56"/>
        <v>-1</v>
      </c>
      <c r="N45">
        <f t="shared" si="57"/>
        <v>1</v>
      </c>
      <c r="O45">
        <f t="shared" si="58"/>
        <v>0</v>
      </c>
      <c r="Q45">
        <f t="shared" si="59"/>
        <v>0</v>
      </c>
      <c r="S45">
        <f t="shared" si="60"/>
        <v>0</v>
      </c>
    </row>
    <row r="46" spans="1:34" x14ac:dyDescent="0.2">
      <c r="A46">
        <f t="shared" si="51"/>
        <v>0</v>
      </c>
      <c r="C46">
        <f t="shared" si="52"/>
        <v>1</v>
      </c>
      <c r="E46">
        <f t="shared" si="53"/>
        <v>0</v>
      </c>
      <c r="G46">
        <f t="shared" si="54"/>
        <v>1</v>
      </c>
      <c r="K46">
        <f t="shared" si="55"/>
        <v>1</v>
      </c>
      <c r="M46">
        <f t="shared" si="56"/>
        <v>0</v>
      </c>
      <c r="N46">
        <f t="shared" si="57"/>
        <v>5</v>
      </c>
      <c r="O46">
        <f t="shared" si="58"/>
        <v>0</v>
      </c>
      <c r="Q46">
        <f t="shared" si="59"/>
        <v>0</v>
      </c>
      <c r="S46">
        <f t="shared" si="60"/>
        <v>0</v>
      </c>
    </row>
    <row r="47" spans="1:34" x14ac:dyDescent="0.2">
      <c r="A47">
        <f t="shared" si="51"/>
        <v>0</v>
      </c>
      <c r="C47">
        <f t="shared" si="52"/>
        <v>1</v>
      </c>
      <c r="E47">
        <f t="shared" si="53"/>
        <v>0</v>
      </c>
      <c r="G47">
        <f t="shared" si="54"/>
        <v>0</v>
      </c>
      <c r="K47">
        <f t="shared" si="55"/>
        <v>0</v>
      </c>
      <c r="M47">
        <f t="shared" si="56"/>
        <v>-1</v>
      </c>
      <c r="N47">
        <f t="shared" si="57"/>
        <v>0</v>
      </c>
      <c r="O47">
        <f t="shared" si="58"/>
        <v>0</v>
      </c>
      <c r="Q47">
        <f t="shared" si="59"/>
        <v>0</v>
      </c>
      <c r="S47">
        <f t="shared" si="60"/>
        <v>0</v>
      </c>
    </row>
    <row r="48" spans="1:34" x14ac:dyDescent="0.2">
      <c r="A48">
        <f t="shared" si="51"/>
        <v>0</v>
      </c>
      <c r="C48">
        <f t="shared" si="52"/>
        <v>3</v>
      </c>
      <c r="E48">
        <f t="shared" si="53"/>
        <v>0</v>
      </c>
      <c r="G48">
        <f t="shared" si="54"/>
        <v>1</v>
      </c>
      <c r="K48">
        <f t="shared" si="55"/>
        <v>1</v>
      </c>
      <c r="M48">
        <f t="shared" si="56"/>
        <v>-1</v>
      </c>
      <c r="N48">
        <f t="shared" si="57"/>
        <v>0</v>
      </c>
      <c r="O48">
        <f t="shared" si="58"/>
        <v>0</v>
      </c>
      <c r="Q48">
        <f t="shared" si="59"/>
        <v>1</v>
      </c>
      <c r="S48">
        <f t="shared" si="60"/>
        <v>0</v>
      </c>
    </row>
    <row r="49" spans="1:19" x14ac:dyDescent="0.2">
      <c r="A49">
        <f t="shared" si="51"/>
        <v>0</v>
      </c>
      <c r="C49">
        <f t="shared" si="52"/>
        <v>1</v>
      </c>
      <c r="E49">
        <f t="shared" si="53"/>
        <v>0</v>
      </c>
      <c r="G49">
        <f t="shared" si="54"/>
        <v>0</v>
      </c>
      <c r="K49">
        <f t="shared" si="55"/>
        <v>0</v>
      </c>
      <c r="M49">
        <f t="shared" si="56"/>
        <v>-1</v>
      </c>
      <c r="N49">
        <f t="shared" si="57"/>
        <v>44</v>
      </c>
      <c r="O49">
        <f t="shared" si="58"/>
        <v>0</v>
      </c>
      <c r="Q49">
        <f t="shared" si="59"/>
        <v>0</v>
      </c>
      <c r="S49">
        <f t="shared" si="60"/>
        <v>0</v>
      </c>
    </row>
    <row r="50" spans="1:19" x14ac:dyDescent="0.2">
      <c r="A50">
        <f t="shared" si="51"/>
        <v>0</v>
      </c>
      <c r="C50">
        <f t="shared" si="52"/>
        <v>2</v>
      </c>
      <c r="E50">
        <f t="shared" si="53"/>
        <v>0</v>
      </c>
      <c r="G50">
        <f t="shared" si="54"/>
        <v>0</v>
      </c>
      <c r="K50">
        <f t="shared" si="55"/>
        <v>0</v>
      </c>
      <c r="M50">
        <f t="shared" si="56"/>
        <v>-1</v>
      </c>
      <c r="N50">
        <f t="shared" si="57"/>
        <v>0</v>
      </c>
      <c r="O50">
        <f t="shared" si="58"/>
        <v>0</v>
      </c>
      <c r="Q50">
        <f t="shared" si="59"/>
        <v>0</v>
      </c>
      <c r="S50">
        <f t="shared" si="60"/>
        <v>0</v>
      </c>
    </row>
  </sheetData>
  <pageMargins left="0.7" right="0.7" top="0.75" bottom="0.75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 enableFormatConditionsCalculation="0"/>
  <dimension ref="A1:BN50"/>
  <sheetViews>
    <sheetView topLeftCell="B1" workbookViewId="0">
      <selection activeCell="V15" sqref="V15"/>
    </sheetView>
  </sheetViews>
  <sheetFormatPr baseColWidth="10" defaultColWidth="11.5" defaultRowHeight="15" x14ac:dyDescent="0.2"/>
  <sheetData>
    <row r="1" spans="1:66" x14ac:dyDescent="0.2">
      <c r="A1" s="1" t="s">
        <v>0</v>
      </c>
      <c r="D1" t="s">
        <v>3</v>
      </c>
      <c r="K1" t="s">
        <v>11</v>
      </c>
      <c r="N1" t="s">
        <v>12</v>
      </c>
      <c r="P1" t="s">
        <v>14</v>
      </c>
      <c r="Q1" t="s">
        <v>17</v>
      </c>
      <c r="S1" t="s">
        <v>18</v>
      </c>
      <c r="Z1" t="s">
        <v>29</v>
      </c>
      <c r="AE1" t="s">
        <v>30</v>
      </c>
      <c r="AK1" t="s">
        <v>42</v>
      </c>
    </row>
    <row r="2" spans="1:66" x14ac:dyDescent="0.2">
      <c r="A2" t="s">
        <v>1</v>
      </c>
      <c r="B2" t="s">
        <v>1</v>
      </c>
      <c r="C2" t="s">
        <v>87</v>
      </c>
      <c r="D2" t="s">
        <v>54</v>
      </c>
      <c r="E2" t="s">
        <v>13</v>
      </c>
      <c r="F2" t="s">
        <v>198</v>
      </c>
      <c r="G2" t="s">
        <v>7</v>
      </c>
      <c r="H2" t="s">
        <v>8</v>
      </c>
      <c r="I2" t="s">
        <v>179</v>
      </c>
      <c r="J2" t="s">
        <v>178</v>
      </c>
      <c r="K2" t="s">
        <v>9</v>
      </c>
      <c r="L2" t="s">
        <v>196</v>
      </c>
      <c r="M2" t="s">
        <v>10</v>
      </c>
      <c r="N2" t="s">
        <v>54</v>
      </c>
      <c r="O2" t="s">
        <v>13</v>
      </c>
      <c r="P2" t="s">
        <v>15</v>
      </c>
      <c r="Q2" t="s">
        <v>8</v>
      </c>
      <c r="R2" t="s">
        <v>7</v>
      </c>
      <c r="S2" t="s">
        <v>181</v>
      </c>
      <c r="T2" t="s">
        <v>182</v>
      </c>
      <c r="U2" t="s">
        <v>19</v>
      </c>
      <c r="V2" t="s">
        <v>191</v>
      </c>
      <c r="W2" t="s">
        <v>192</v>
      </c>
      <c r="X2" t="s">
        <v>175</v>
      </c>
      <c r="Y2" t="s">
        <v>173</v>
      </c>
      <c r="Z2" t="str">
        <f t="shared" ref="Z2:Z13" si="0">LEFT(I4, 1)</f>
        <v/>
      </c>
      <c r="AA2" t="str">
        <f t="shared" ref="AA2:AA13" si="1">MID(I4, 4, 1)</f>
        <v/>
      </c>
      <c r="AB2" t="str">
        <f t="shared" ref="AB2:AB13" si="2">MID(I4, 7, 1)</f>
        <v/>
      </c>
      <c r="AC2" t="str">
        <f t="shared" ref="AC2:AC13" si="3">MID(I4, 10, 1)</f>
        <v/>
      </c>
      <c r="AE2" t="str">
        <f t="shared" ref="AE2:AE13" si="4">LEFT(J4, 1)</f>
        <v/>
      </c>
      <c r="AF2" t="str">
        <f t="shared" ref="AF2:AF13" si="5">MID(J4, 4, 1)</f>
        <v/>
      </c>
      <c r="AG2" t="str">
        <f t="shared" ref="AG2:AG13" si="6">MID(J4, 7, 1)</f>
        <v/>
      </c>
      <c r="AH2" t="str">
        <f t="shared" ref="AH2:AH13" si="7">MID(J4, 10, 1)</f>
        <v/>
      </c>
      <c r="AI2" t="str">
        <f t="shared" ref="AI2:AI13" si="8">MID(J4, 13, 1)</f>
        <v/>
      </c>
      <c r="AK2" t="str">
        <f t="shared" ref="AK2:AK13" si="9">LEFT(P4, 2)</f>
        <v/>
      </c>
      <c r="AL2" t="str">
        <f>MID($P4, 5, 2)</f>
        <v/>
      </c>
      <c r="AM2" t="str">
        <f t="shared" ref="AM2:AM13" si="10">MID($P4, 9, 2)</f>
        <v/>
      </c>
      <c r="AN2" t="str">
        <f t="shared" ref="AN2:AN13" si="11">MID($P4, 13, 2)</f>
        <v/>
      </c>
      <c r="AO2" t="str">
        <f t="shared" ref="AO2:AO13" si="12">MID($P4, 17, 2)</f>
        <v/>
      </c>
      <c r="AP2" t="str">
        <f t="shared" ref="AP2:AP13" si="13">MID($P4, 21, 2)</f>
        <v/>
      </c>
      <c r="AQ2" t="str">
        <f t="shared" ref="AQ2:AQ13" si="14">MID($P4, 25, 2)</f>
        <v/>
      </c>
      <c r="AR2" t="str">
        <f t="shared" ref="AR2:AR13" si="15">MID($P4, 29, 2)</f>
        <v/>
      </c>
      <c r="AS2" t="str">
        <f t="shared" ref="AS2:AS13" si="16">MID($P4, 33, 2)</f>
        <v/>
      </c>
      <c r="AT2" t="str">
        <f t="shared" ref="AT2:AT13" si="17">MID($P4, 37, 2)</f>
        <v/>
      </c>
      <c r="AU2" t="str">
        <f t="shared" ref="AU2:AU13" si="18">MID($P4, 41, 2)</f>
        <v/>
      </c>
      <c r="AV2" t="str">
        <f t="shared" ref="AV2:AV13" si="19">MID($P4, 45, 2)</f>
        <v/>
      </c>
      <c r="AW2" t="str">
        <f t="shared" ref="AW2:AW13" si="20">MID($P4, 49, 2)</f>
        <v/>
      </c>
      <c r="AX2" t="str">
        <f t="shared" ref="AX2:AX13" si="21">MID($P4, 53, 2)</f>
        <v/>
      </c>
      <c r="AY2" t="str">
        <f t="shared" ref="AY2:AY13" si="22">MID($P4, 57, 2)</f>
        <v/>
      </c>
      <c r="AZ2" t="str">
        <f t="shared" ref="AZ2:AZ13" si="23">MID($P4, 61, 2)</f>
        <v/>
      </c>
      <c r="BA2" t="str">
        <f t="shared" ref="BA2:BA13" si="24">MID($P4, 65, 2)</f>
        <v/>
      </c>
      <c r="BB2" t="str">
        <f t="shared" ref="BB2:BB13" si="25">MID($P4, 69, 2)</f>
        <v/>
      </c>
      <c r="BC2" t="str">
        <f t="shared" ref="BC2:BC13" si="26">MID($P4, 73, 2)</f>
        <v/>
      </c>
      <c r="BD2" t="str">
        <f t="shared" ref="BD2:BD13" si="27">MID($P4, 77, 2)</f>
        <v/>
      </c>
      <c r="BE2" t="str">
        <f t="shared" ref="BE2:BE13" si="28">MID($P4, 81, 2)</f>
        <v/>
      </c>
      <c r="BF2" t="str">
        <f t="shared" ref="BF2:BF13" si="29">MID($P4, 85, 2)</f>
        <v/>
      </c>
      <c r="BG2" t="str">
        <f t="shared" ref="BG2:BG13" si="30">MID($P4, 89, 2)</f>
        <v/>
      </c>
      <c r="BH2" t="str">
        <f t="shared" ref="BH2:BH13" si="31">MID($P4, 93, 2)</f>
        <v/>
      </c>
    </row>
    <row r="3" spans="1:66" x14ac:dyDescent="0.2">
      <c r="A3" t="s">
        <v>2</v>
      </c>
      <c r="B3" t="s">
        <v>6</v>
      </c>
      <c r="C3" t="s">
        <v>88</v>
      </c>
      <c r="D3" t="s">
        <v>6</v>
      </c>
      <c r="E3" t="s">
        <v>6</v>
      </c>
      <c r="F3" t="s">
        <v>4</v>
      </c>
      <c r="G3" t="s">
        <v>6</v>
      </c>
      <c r="H3" t="s">
        <v>6</v>
      </c>
      <c r="I3" t="s">
        <v>86</v>
      </c>
      <c r="J3" t="s">
        <v>86</v>
      </c>
      <c r="K3" t="s">
        <v>6</v>
      </c>
      <c r="L3" t="s">
        <v>6</v>
      </c>
      <c r="M3" t="s">
        <v>6</v>
      </c>
      <c r="N3" t="s">
        <v>6</v>
      </c>
      <c r="O3" t="s">
        <v>6</v>
      </c>
      <c r="P3" t="s">
        <v>16</v>
      </c>
      <c r="Q3" t="s">
        <v>6</v>
      </c>
      <c r="R3" t="s">
        <v>6</v>
      </c>
      <c r="S3" t="s">
        <v>4</v>
      </c>
      <c r="T3" t="s">
        <v>4</v>
      </c>
      <c r="U3" t="s">
        <v>6</v>
      </c>
      <c r="V3" t="s">
        <v>6</v>
      </c>
      <c r="W3" t="s">
        <v>6</v>
      </c>
      <c r="X3" t="s">
        <v>6</v>
      </c>
      <c r="Y3" t="s">
        <v>174</v>
      </c>
      <c r="Z3" t="str">
        <f t="shared" si="0"/>
        <v/>
      </c>
      <c r="AA3" t="str">
        <f t="shared" si="1"/>
        <v/>
      </c>
      <c r="AB3" t="str">
        <f t="shared" si="2"/>
        <v/>
      </c>
      <c r="AC3" t="str">
        <f t="shared" si="3"/>
        <v/>
      </c>
      <c r="AE3" t="str">
        <f t="shared" si="4"/>
        <v/>
      </c>
      <c r="AF3" t="str">
        <f t="shared" si="5"/>
        <v/>
      </c>
      <c r="AG3" t="str">
        <f t="shared" si="6"/>
        <v/>
      </c>
      <c r="AH3" t="str">
        <f t="shared" si="7"/>
        <v/>
      </c>
      <c r="AI3" t="str">
        <f t="shared" si="8"/>
        <v/>
      </c>
      <c r="AK3" t="str">
        <f t="shared" si="9"/>
        <v/>
      </c>
      <c r="AL3" t="str">
        <f t="shared" ref="AL3:AL13" si="32">MID(P5, 5, 2)</f>
        <v/>
      </c>
      <c r="AM3" t="str">
        <f t="shared" si="10"/>
        <v/>
      </c>
      <c r="AN3" t="str">
        <f t="shared" si="11"/>
        <v/>
      </c>
      <c r="AO3" t="str">
        <f t="shared" si="12"/>
        <v/>
      </c>
      <c r="AP3" t="str">
        <f t="shared" si="13"/>
        <v/>
      </c>
      <c r="AQ3" t="str">
        <f t="shared" si="14"/>
        <v/>
      </c>
      <c r="AR3" t="str">
        <f t="shared" si="15"/>
        <v/>
      </c>
      <c r="AS3" t="str">
        <f t="shared" si="16"/>
        <v/>
      </c>
      <c r="AT3" t="str">
        <f t="shared" si="17"/>
        <v/>
      </c>
      <c r="AU3" t="str">
        <f t="shared" si="18"/>
        <v/>
      </c>
      <c r="AV3" t="str">
        <f t="shared" si="19"/>
        <v/>
      </c>
      <c r="AW3" t="str">
        <f t="shared" si="20"/>
        <v/>
      </c>
      <c r="AX3" t="str">
        <f t="shared" si="21"/>
        <v/>
      </c>
      <c r="AY3" t="str">
        <f t="shared" si="22"/>
        <v/>
      </c>
      <c r="AZ3" t="str">
        <f t="shared" si="23"/>
        <v/>
      </c>
      <c r="BA3" t="str">
        <f t="shared" si="24"/>
        <v/>
      </c>
      <c r="BB3" t="str">
        <f t="shared" si="25"/>
        <v/>
      </c>
      <c r="BC3" t="str">
        <f t="shared" si="26"/>
        <v/>
      </c>
      <c r="BD3" t="str">
        <f t="shared" si="27"/>
        <v/>
      </c>
      <c r="BE3" t="str">
        <f t="shared" si="28"/>
        <v/>
      </c>
      <c r="BF3" t="str">
        <f t="shared" si="29"/>
        <v/>
      </c>
      <c r="BG3" t="str">
        <f t="shared" si="30"/>
        <v/>
      </c>
      <c r="BH3" t="str">
        <f t="shared" si="31"/>
        <v/>
      </c>
    </row>
    <row r="4" spans="1:66" x14ac:dyDescent="0.2">
      <c r="A4">
        <v>1</v>
      </c>
      <c r="B4">
        <v>10</v>
      </c>
      <c r="C4" t="s">
        <v>207</v>
      </c>
      <c r="D4">
        <v>1</v>
      </c>
      <c r="U4">
        <v>3</v>
      </c>
      <c r="X4">
        <f t="shared" ref="X4:X15" si="33">G4+H4+Q4+R4</f>
        <v>0</v>
      </c>
      <c r="Z4" t="str">
        <f t="shared" si="0"/>
        <v>2</v>
      </c>
      <c r="AA4" t="str">
        <f t="shared" si="1"/>
        <v/>
      </c>
      <c r="AB4" t="str">
        <f t="shared" si="2"/>
        <v/>
      </c>
      <c r="AC4" t="str">
        <f t="shared" si="3"/>
        <v/>
      </c>
      <c r="AE4" t="str">
        <f t="shared" si="4"/>
        <v/>
      </c>
      <c r="AF4" t="str">
        <f t="shared" si="5"/>
        <v/>
      </c>
      <c r="AG4" t="str">
        <f t="shared" si="6"/>
        <v/>
      </c>
      <c r="AH4" t="str">
        <f t="shared" si="7"/>
        <v/>
      </c>
      <c r="AI4" t="str">
        <f t="shared" si="8"/>
        <v/>
      </c>
      <c r="AK4" t="str">
        <f t="shared" si="9"/>
        <v/>
      </c>
      <c r="AL4" t="str">
        <f t="shared" si="32"/>
        <v/>
      </c>
      <c r="AM4" t="str">
        <f t="shared" si="10"/>
        <v/>
      </c>
      <c r="AN4" t="str">
        <f t="shared" si="11"/>
        <v/>
      </c>
      <c r="AO4" t="str">
        <f t="shared" si="12"/>
        <v/>
      </c>
      <c r="AP4" t="str">
        <f t="shared" si="13"/>
        <v/>
      </c>
      <c r="AQ4" t="str">
        <f t="shared" si="14"/>
        <v/>
      </c>
      <c r="AR4" t="str">
        <f t="shared" si="15"/>
        <v/>
      </c>
      <c r="AS4" t="str">
        <f t="shared" si="16"/>
        <v/>
      </c>
      <c r="AT4" t="str">
        <f t="shared" si="17"/>
        <v/>
      </c>
      <c r="AU4" t="str">
        <f t="shared" si="18"/>
        <v/>
      </c>
      <c r="AV4" t="str">
        <f t="shared" si="19"/>
        <v/>
      </c>
      <c r="AW4" t="str">
        <f t="shared" si="20"/>
        <v/>
      </c>
      <c r="AX4" t="str">
        <f t="shared" si="21"/>
        <v/>
      </c>
      <c r="AY4" t="str">
        <f t="shared" si="22"/>
        <v/>
      </c>
      <c r="AZ4" t="str">
        <f t="shared" si="23"/>
        <v/>
      </c>
      <c r="BA4" t="str">
        <f t="shared" si="24"/>
        <v/>
      </c>
      <c r="BB4" t="str">
        <f t="shared" si="25"/>
        <v/>
      </c>
      <c r="BC4" t="str">
        <f t="shared" si="26"/>
        <v/>
      </c>
      <c r="BD4" t="str">
        <f t="shared" si="27"/>
        <v/>
      </c>
      <c r="BE4" t="str">
        <f t="shared" si="28"/>
        <v/>
      </c>
      <c r="BF4" t="str">
        <f t="shared" si="29"/>
        <v/>
      </c>
      <c r="BG4" t="str">
        <f t="shared" si="30"/>
        <v/>
      </c>
      <c r="BH4" t="str">
        <f t="shared" si="31"/>
        <v/>
      </c>
    </row>
    <row r="5" spans="1:66" x14ac:dyDescent="0.2">
      <c r="A5">
        <v>2</v>
      </c>
      <c r="B5">
        <v>17</v>
      </c>
      <c r="C5" t="s">
        <v>207</v>
      </c>
      <c r="D5">
        <v>1</v>
      </c>
      <c r="E5">
        <v>1</v>
      </c>
      <c r="G5">
        <v>1</v>
      </c>
      <c r="K5">
        <v>1</v>
      </c>
      <c r="M5">
        <v>1</v>
      </c>
      <c r="N5">
        <v>3</v>
      </c>
      <c r="O5">
        <v>2</v>
      </c>
      <c r="S5">
        <v>1</v>
      </c>
      <c r="T5">
        <v>1</v>
      </c>
      <c r="U5">
        <v>3</v>
      </c>
      <c r="X5">
        <f t="shared" si="33"/>
        <v>1</v>
      </c>
      <c r="Y5" t="s">
        <v>174</v>
      </c>
      <c r="Z5" t="str">
        <f t="shared" si="0"/>
        <v/>
      </c>
      <c r="AA5" t="str">
        <f t="shared" si="1"/>
        <v/>
      </c>
      <c r="AB5" t="str">
        <f t="shared" si="2"/>
        <v/>
      </c>
      <c r="AC5" t="str">
        <f t="shared" si="3"/>
        <v/>
      </c>
      <c r="AE5" t="str">
        <f t="shared" si="4"/>
        <v/>
      </c>
      <c r="AF5" t="str">
        <f t="shared" si="5"/>
        <v/>
      </c>
      <c r="AG5" t="str">
        <f t="shared" si="6"/>
        <v/>
      </c>
      <c r="AH5" t="str">
        <f t="shared" si="7"/>
        <v/>
      </c>
      <c r="AI5" t="str">
        <f t="shared" si="8"/>
        <v/>
      </c>
      <c r="AK5" t="str">
        <f t="shared" si="9"/>
        <v/>
      </c>
      <c r="AL5" t="str">
        <f t="shared" si="32"/>
        <v/>
      </c>
      <c r="AM5" t="str">
        <f t="shared" si="10"/>
        <v/>
      </c>
      <c r="AN5" t="str">
        <f t="shared" si="11"/>
        <v/>
      </c>
      <c r="AO5" t="str">
        <f t="shared" si="12"/>
        <v/>
      </c>
      <c r="AP5" t="str">
        <f t="shared" si="13"/>
        <v/>
      </c>
      <c r="AQ5" t="str">
        <f t="shared" si="14"/>
        <v/>
      </c>
      <c r="AR5" t="str">
        <f t="shared" si="15"/>
        <v/>
      </c>
      <c r="AS5" t="str">
        <f t="shared" si="16"/>
        <v/>
      </c>
      <c r="AT5" t="str">
        <f t="shared" si="17"/>
        <v/>
      </c>
      <c r="AU5" t="str">
        <f t="shared" si="18"/>
        <v/>
      </c>
      <c r="AV5" t="str">
        <f t="shared" si="19"/>
        <v/>
      </c>
      <c r="AW5" t="str">
        <f t="shared" si="20"/>
        <v/>
      </c>
      <c r="AX5" t="str">
        <f t="shared" si="21"/>
        <v/>
      </c>
      <c r="AY5" t="str">
        <f t="shared" si="22"/>
        <v/>
      </c>
      <c r="AZ5" t="str">
        <f t="shared" si="23"/>
        <v/>
      </c>
      <c r="BA5" t="str">
        <f t="shared" si="24"/>
        <v/>
      </c>
      <c r="BB5" t="str">
        <f t="shared" si="25"/>
        <v/>
      </c>
      <c r="BC5" t="str">
        <f t="shared" si="26"/>
        <v/>
      </c>
      <c r="BD5" t="str">
        <f t="shared" si="27"/>
        <v/>
      </c>
      <c r="BE5" t="str">
        <f t="shared" si="28"/>
        <v/>
      </c>
      <c r="BF5" t="str">
        <f t="shared" si="29"/>
        <v/>
      </c>
      <c r="BG5" t="str">
        <f t="shared" si="30"/>
        <v/>
      </c>
      <c r="BH5" t="str">
        <f t="shared" si="31"/>
        <v/>
      </c>
    </row>
    <row r="6" spans="1:66" x14ac:dyDescent="0.2">
      <c r="A6">
        <v>3</v>
      </c>
      <c r="B6">
        <v>26</v>
      </c>
      <c r="C6" t="s">
        <v>207</v>
      </c>
      <c r="D6">
        <v>1</v>
      </c>
      <c r="G6">
        <v>2</v>
      </c>
      <c r="I6">
        <v>2</v>
      </c>
      <c r="U6">
        <v>2</v>
      </c>
      <c r="X6">
        <f t="shared" si="33"/>
        <v>2</v>
      </c>
      <c r="Y6" t="s">
        <v>174</v>
      </c>
      <c r="Z6" t="str">
        <f t="shared" si="0"/>
        <v>3</v>
      </c>
      <c r="AA6" t="str">
        <f t="shared" si="1"/>
        <v/>
      </c>
      <c r="AB6" t="str">
        <f t="shared" si="2"/>
        <v/>
      </c>
      <c r="AC6" t="str">
        <f t="shared" si="3"/>
        <v/>
      </c>
      <c r="AE6" t="str">
        <f t="shared" si="4"/>
        <v/>
      </c>
      <c r="AF6" t="str">
        <f t="shared" si="5"/>
        <v/>
      </c>
      <c r="AG6" t="str">
        <f t="shared" si="6"/>
        <v/>
      </c>
      <c r="AH6" t="str">
        <f t="shared" si="7"/>
        <v/>
      </c>
      <c r="AI6" t="str">
        <f t="shared" si="8"/>
        <v/>
      </c>
      <c r="AK6" t="str">
        <f t="shared" si="9"/>
        <v/>
      </c>
      <c r="AL6" t="str">
        <f t="shared" si="32"/>
        <v/>
      </c>
      <c r="AM6" t="str">
        <f t="shared" si="10"/>
        <v/>
      </c>
      <c r="AN6" t="str">
        <f t="shared" si="11"/>
        <v/>
      </c>
      <c r="AO6" t="str">
        <f t="shared" si="12"/>
        <v/>
      </c>
      <c r="AP6" t="str">
        <f t="shared" si="13"/>
        <v/>
      </c>
      <c r="AQ6" t="str">
        <f t="shared" si="14"/>
        <v/>
      </c>
      <c r="AR6" t="str">
        <f t="shared" si="15"/>
        <v/>
      </c>
      <c r="AS6" t="str">
        <f t="shared" si="16"/>
        <v/>
      </c>
      <c r="AT6" t="str">
        <f t="shared" si="17"/>
        <v/>
      </c>
      <c r="AU6" t="str">
        <f t="shared" si="18"/>
        <v/>
      </c>
      <c r="AV6" t="str">
        <f t="shared" si="19"/>
        <v/>
      </c>
      <c r="AW6" t="str">
        <f t="shared" si="20"/>
        <v/>
      </c>
      <c r="AX6" t="str">
        <f t="shared" si="21"/>
        <v/>
      </c>
      <c r="AY6" t="str">
        <f t="shared" si="22"/>
        <v/>
      </c>
      <c r="AZ6" t="str">
        <f t="shared" si="23"/>
        <v/>
      </c>
      <c r="BA6" t="str">
        <f t="shared" si="24"/>
        <v/>
      </c>
      <c r="BB6" t="str">
        <f t="shared" si="25"/>
        <v/>
      </c>
      <c r="BC6" t="str">
        <f t="shared" si="26"/>
        <v/>
      </c>
      <c r="BD6" t="str">
        <f t="shared" si="27"/>
        <v/>
      </c>
      <c r="BE6" t="str">
        <f t="shared" si="28"/>
        <v/>
      </c>
      <c r="BF6" t="str">
        <f t="shared" si="29"/>
        <v/>
      </c>
      <c r="BG6" t="str">
        <f t="shared" si="30"/>
        <v/>
      </c>
      <c r="BH6" t="str">
        <f t="shared" si="31"/>
        <v/>
      </c>
    </row>
    <row r="7" spans="1:66" x14ac:dyDescent="0.2">
      <c r="A7">
        <v>4</v>
      </c>
      <c r="B7">
        <v>38</v>
      </c>
      <c r="C7" t="s">
        <v>39</v>
      </c>
      <c r="D7">
        <v>1</v>
      </c>
      <c r="E7">
        <v>1</v>
      </c>
      <c r="K7">
        <v>3</v>
      </c>
      <c r="N7">
        <v>3</v>
      </c>
      <c r="O7">
        <v>3</v>
      </c>
      <c r="S7">
        <v>1</v>
      </c>
      <c r="T7">
        <v>1</v>
      </c>
      <c r="U7">
        <v>9</v>
      </c>
      <c r="X7">
        <f t="shared" si="33"/>
        <v>0</v>
      </c>
      <c r="Z7" t="str">
        <f t="shared" si="0"/>
        <v/>
      </c>
      <c r="AA7" t="str">
        <f t="shared" si="1"/>
        <v/>
      </c>
      <c r="AB7" t="str">
        <f t="shared" si="2"/>
        <v/>
      </c>
      <c r="AC7" t="str">
        <f t="shared" si="3"/>
        <v/>
      </c>
      <c r="AE7" t="str">
        <f t="shared" si="4"/>
        <v/>
      </c>
      <c r="AF7" t="str">
        <f t="shared" si="5"/>
        <v/>
      </c>
      <c r="AG7" t="str">
        <f t="shared" si="6"/>
        <v/>
      </c>
      <c r="AH7" t="str">
        <f t="shared" si="7"/>
        <v/>
      </c>
      <c r="AI7" t="str">
        <f t="shared" si="8"/>
        <v/>
      </c>
      <c r="AK7" t="str">
        <f t="shared" si="9"/>
        <v/>
      </c>
      <c r="AL7" t="str">
        <f t="shared" si="32"/>
        <v/>
      </c>
      <c r="AM7" t="str">
        <f t="shared" si="10"/>
        <v/>
      </c>
      <c r="AN7" t="str">
        <f t="shared" si="11"/>
        <v/>
      </c>
      <c r="AO7" t="str">
        <f t="shared" si="12"/>
        <v/>
      </c>
      <c r="AP7" t="str">
        <f t="shared" si="13"/>
        <v/>
      </c>
      <c r="AQ7" t="str">
        <f t="shared" si="14"/>
        <v/>
      </c>
      <c r="AR7" t="str">
        <f t="shared" si="15"/>
        <v/>
      </c>
      <c r="AS7" t="str">
        <f t="shared" si="16"/>
        <v/>
      </c>
      <c r="AT7" t="str">
        <f t="shared" si="17"/>
        <v/>
      </c>
      <c r="AU7" t="str">
        <f t="shared" si="18"/>
        <v/>
      </c>
      <c r="AV7" t="str">
        <f t="shared" si="19"/>
        <v/>
      </c>
      <c r="AW7" t="str">
        <f t="shared" si="20"/>
        <v/>
      </c>
      <c r="AX7" t="str">
        <f t="shared" si="21"/>
        <v/>
      </c>
      <c r="AY7" t="str">
        <f t="shared" si="22"/>
        <v/>
      </c>
      <c r="AZ7" t="str">
        <f t="shared" si="23"/>
        <v/>
      </c>
      <c r="BA7" t="str">
        <f t="shared" si="24"/>
        <v/>
      </c>
      <c r="BB7" t="str">
        <f t="shared" si="25"/>
        <v/>
      </c>
      <c r="BC7" t="str">
        <f t="shared" si="26"/>
        <v/>
      </c>
      <c r="BD7" t="str">
        <f t="shared" si="27"/>
        <v/>
      </c>
      <c r="BE7" t="str">
        <f t="shared" si="28"/>
        <v/>
      </c>
      <c r="BF7" t="str">
        <f t="shared" si="29"/>
        <v/>
      </c>
      <c r="BG7" t="str">
        <f t="shared" si="30"/>
        <v/>
      </c>
      <c r="BH7" t="str">
        <f t="shared" si="31"/>
        <v/>
      </c>
    </row>
    <row r="8" spans="1:66" x14ac:dyDescent="0.2">
      <c r="A8">
        <v>5</v>
      </c>
      <c r="B8">
        <v>47</v>
      </c>
      <c r="C8" t="s">
        <v>39</v>
      </c>
      <c r="D8">
        <v>1</v>
      </c>
      <c r="I8">
        <v>3</v>
      </c>
      <c r="K8">
        <v>3</v>
      </c>
      <c r="L8">
        <v>1</v>
      </c>
      <c r="N8">
        <v>4</v>
      </c>
      <c r="O8">
        <v>4</v>
      </c>
      <c r="S8">
        <v>1</v>
      </c>
      <c r="T8">
        <v>1</v>
      </c>
      <c r="U8">
        <v>1</v>
      </c>
      <c r="X8">
        <f t="shared" si="33"/>
        <v>0</v>
      </c>
      <c r="Z8" t="str">
        <f t="shared" si="0"/>
        <v/>
      </c>
      <c r="AA8" t="str">
        <f t="shared" si="1"/>
        <v/>
      </c>
      <c r="AB8" t="str">
        <f t="shared" si="2"/>
        <v/>
      </c>
      <c r="AC8" t="str">
        <f t="shared" si="3"/>
        <v/>
      </c>
      <c r="AE8" t="str">
        <f t="shared" si="4"/>
        <v>4</v>
      </c>
      <c r="AF8" t="str">
        <f t="shared" si="5"/>
        <v/>
      </c>
      <c r="AG8" t="str">
        <f t="shared" si="6"/>
        <v/>
      </c>
      <c r="AH8" t="str">
        <f t="shared" si="7"/>
        <v/>
      </c>
      <c r="AI8" t="str">
        <f t="shared" si="8"/>
        <v/>
      </c>
      <c r="AK8" t="str">
        <f t="shared" si="9"/>
        <v/>
      </c>
      <c r="AL8" t="str">
        <f t="shared" si="32"/>
        <v/>
      </c>
      <c r="AM8" t="str">
        <f t="shared" si="10"/>
        <v/>
      </c>
      <c r="AN8" t="str">
        <f t="shared" si="11"/>
        <v/>
      </c>
      <c r="AO8" t="str">
        <f t="shared" si="12"/>
        <v/>
      </c>
      <c r="AP8" t="str">
        <f t="shared" si="13"/>
        <v/>
      </c>
      <c r="AQ8" t="str">
        <f t="shared" si="14"/>
        <v/>
      </c>
      <c r="AR8" t="str">
        <f t="shared" si="15"/>
        <v/>
      </c>
      <c r="AS8" t="str">
        <f t="shared" si="16"/>
        <v/>
      </c>
      <c r="AT8" t="str">
        <f t="shared" si="17"/>
        <v/>
      </c>
      <c r="AU8" t="str">
        <f t="shared" si="18"/>
        <v/>
      </c>
      <c r="AV8" t="str">
        <f t="shared" si="19"/>
        <v/>
      </c>
      <c r="AW8" t="str">
        <f t="shared" si="20"/>
        <v/>
      </c>
      <c r="AX8" t="str">
        <f t="shared" si="21"/>
        <v/>
      </c>
      <c r="AY8" t="str">
        <f t="shared" si="22"/>
        <v/>
      </c>
      <c r="AZ8" t="str">
        <f t="shared" si="23"/>
        <v/>
      </c>
      <c r="BA8" t="str">
        <f t="shared" si="24"/>
        <v/>
      </c>
      <c r="BB8" t="str">
        <f t="shared" si="25"/>
        <v/>
      </c>
      <c r="BC8" t="str">
        <f t="shared" si="26"/>
        <v/>
      </c>
      <c r="BD8" t="str">
        <f t="shared" si="27"/>
        <v/>
      </c>
      <c r="BE8" t="str">
        <f t="shared" si="28"/>
        <v/>
      </c>
      <c r="BF8" t="str">
        <f t="shared" si="29"/>
        <v/>
      </c>
      <c r="BG8" t="str">
        <f t="shared" si="30"/>
        <v/>
      </c>
      <c r="BH8" t="str">
        <f t="shared" si="31"/>
        <v/>
      </c>
    </row>
    <row r="9" spans="1:66" x14ac:dyDescent="0.2">
      <c r="A9">
        <v>6</v>
      </c>
      <c r="B9">
        <v>52</v>
      </c>
      <c r="C9" t="s">
        <v>39</v>
      </c>
      <c r="D9">
        <v>1</v>
      </c>
      <c r="F9">
        <v>1</v>
      </c>
      <c r="K9">
        <v>2</v>
      </c>
      <c r="M9">
        <v>1</v>
      </c>
      <c r="N9">
        <v>4</v>
      </c>
      <c r="O9">
        <v>4</v>
      </c>
      <c r="S9">
        <v>1</v>
      </c>
      <c r="T9">
        <v>1</v>
      </c>
      <c r="X9">
        <f t="shared" si="33"/>
        <v>0</v>
      </c>
      <c r="Z9" t="str">
        <f t="shared" si="0"/>
        <v/>
      </c>
      <c r="AA9" t="str">
        <f t="shared" si="1"/>
        <v/>
      </c>
      <c r="AB9" t="str">
        <f t="shared" si="2"/>
        <v/>
      </c>
      <c r="AC9" t="str">
        <f t="shared" si="3"/>
        <v/>
      </c>
      <c r="AE9" t="str">
        <f t="shared" si="4"/>
        <v/>
      </c>
      <c r="AF9" t="str">
        <f t="shared" si="5"/>
        <v/>
      </c>
      <c r="AG9" t="str">
        <f t="shared" si="6"/>
        <v/>
      </c>
      <c r="AH9" t="str">
        <f t="shared" si="7"/>
        <v/>
      </c>
      <c r="AI9" t="str">
        <f t="shared" si="8"/>
        <v/>
      </c>
      <c r="AK9" t="str">
        <f t="shared" si="9"/>
        <v/>
      </c>
      <c r="AL9" t="str">
        <f t="shared" si="32"/>
        <v/>
      </c>
      <c r="AM9" t="str">
        <f t="shared" si="10"/>
        <v/>
      </c>
      <c r="AN9" t="str">
        <f t="shared" si="11"/>
        <v/>
      </c>
      <c r="AO9" t="str">
        <f t="shared" si="12"/>
        <v/>
      </c>
      <c r="AP9" t="str">
        <f t="shared" si="13"/>
        <v/>
      </c>
      <c r="AQ9" t="str">
        <f t="shared" si="14"/>
        <v/>
      </c>
      <c r="AR9" t="str">
        <f t="shared" si="15"/>
        <v/>
      </c>
      <c r="AS9" t="str">
        <f t="shared" si="16"/>
        <v/>
      </c>
      <c r="AT9" t="str">
        <f t="shared" si="17"/>
        <v/>
      </c>
      <c r="AU9" t="str">
        <f t="shared" si="18"/>
        <v/>
      </c>
      <c r="AV9" t="str">
        <f t="shared" si="19"/>
        <v/>
      </c>
      <c r="AW9" t="str">
        <f t="shared" si="20"/>
        <v/>
      </c>
      <c r="AX9" t="str">
        <f t="shared" si="21"/>
        <v/>
      </c>
      <c r="AY9" t="str">
        <f t="shared" si="22"/>
        <v/>
      </c>
      <c r="AZ9" t="str">
        <f t="shared" si="23"/>
        <v/>
      </c>
      <c r="BA9" t="str">
        <f t="shared" si="24"/>
        <v/>
      </c>
      <c r="BB9" t="str">
        <f t="shared" si="25"/>
        <v/>
      </c>
      <c r="BC9" t="str">
        <f t="shared" si="26"/>
        <v/>
      </c>
      <c r="BD9" t="str">
        <f t="shared" si="27"/>
        <v/>
      </c>
      <c r="BE9" t="str">
        <f t="shared" si="28"/>
        <v/>
      </c>
      <c r="BF9" t="str">
        <f t="shared" si="29"/>
        <v/>
      </c>
      <c r="BG9" t="str">
        <f t="shared" si="30"/>
        <v/>
      </c>
      <c r="BH9" t="str">
        <f t="shared" si="31"/>
        <v/>
      </c>
    </row>
    <row r="10" spans="1:66" x14ac:dyDescent="0.2">
      <c r="A10">
        <v>7</v>
      </c>
      <c r="B10">
        <v>63</v>
      </c>
      <c r="C10" t="s">
        <v>207</v>
      </c>
      <c r="D10">
        <v>1</v>
      </c>
      <c r="E10">
        <v>1</v>
      </c>
      <c r="F10">
        <v>1</v>
      </c>
      <c r="J10">
        <v>4</v>
      </c>
      <c r="K10">
        <v>3</v>
      </c>
      <c r="L10">
        <v>1</v>
      </c>
      <c r="N10">
        <v>4</v>
      </c>
      <c r="O10">
        <v>4</v>
      </c>
      <c r="S10">
        <v>1</v>
      </c>
      <c r="T10">
        <v>1</v>
      </c>
      <c r="X10">
        <f t="shared" si="33"/>
        <v>0</v>
      </c>
      <c r="Z10" t="str">
        <f t="shared" si="0"/>
        <v/>
      </c>
      <c r="AA10" t="str">
        <f t="shared" si="1"/>
        <v/>
      </c>
      <c r="AB10" t="str">
        <f t="shared" si="2"/>
        <v/>
      </c>
      <c r="AC10" t="str">
        <f t="shared" si="3"/>
        <v/>
      </c>
      <c r="AE10" t="str">
        <f t="shared" si="4"/>
        <v/>
      </c>
      <c r="AF10" t="str">
        <f t="shared" si="5"/>
        <v/>
      </c>
      <c r="AG10" t="str">
        <f t="shared" si="6"/>
        <v/>
      </c>
      <c r="AH10" t="str">
        <f t="shared" si="7"/>
        <v/>
      </c>
      <c r="AI10" t="str">
        <f t="shared" si="8"/>
        <v/>
      </c>
      <c r="AK10" t="str">
        <f t="shared" si="9"/>
        <v/>
      </c>
      <c r="AL10" t="str">
        <f t="shared" si="32"/>
        <v/>
      </c>
      <c r="AM10" t="str">
        <f t="shared" si="10"/>
        <v/>
      </c>
      <c r="AN10" t="str">
        <f t="shared" si="11"/>
        <v/>
      </c>
      <c r="AO10" t="str">
        <f t="shared" si="12"/>
        <v/>
      </c>
      <c r="AP10" t="str">
        <f t="shared" si="13"/>
        <v/>
      </c>
      <c r="AQ10" t="str">
        <f t="shared" si="14"/>
        <v/>
      </c>
      <c r="AR10" t="str">
        <f t="shared" si="15"/>
        <v/>
      </c>
      <c r="AS10" t="str">
        <f t="shared" si="16"/>
        <v/>
      </c>
      <c r="AT10" t="str">
        <f t="shared" si="17"/>
        <v/>
      </c>
      <c r="AU10" t="str">
        <f t="shared" si="18"/>
        <v/>
      </c>
      <c r="AV10" t="str">
        <f t="shared" si="19"/>
        <v/>
      </c>
      <c r="AW10" t="str">
        <f t="shared" si="20"/>
        <v/>
      </c>
      <c r="AX10" t="str">
        <f t="shared" si="21"/>
        <v/>
      </c>
      <c r="AY10" t="str">
        <f t="shared" si="22"/>
        <v/>
      </c>
      <c r="AZ10" t="str">
        <f t="shared" si="23"/>
        <v/>
      </c>
      <c r="BA10" t="str">
        <f t="shared" si="24"/>
        <v/>
      </c>
      <c r="BB10" t="str">
        <f t="shared" si="25"/>
        <v/>
      </c>
      <c r="BC10" t="str">
        <f t="shared" si="26"/>
        <v/>
      </c>
      <c r="BD10" t="str">
        <f t="shared" si="27"/>
        <v/>
      </c>
      <c r="BE10" t="str">
        <f t="shared" si="28"/>
        <v/>
      </c>
      <c r="BF10" t="str">
        <f t="shared" si="29"/>
        <v/>
      </c>
      <c r="BG10" t="str">
        <f t="shared" si="30"/>
        <v/>
      </c>
      <c r="BH10" t="str">
        <f t="shared" si="31"/>
        <v/>
      </c>
    </row>
    <row r="11" spans="1:66" x14ac:dyDescent="0.2">
      <c r="A11">
        <v>8</v>
      </c>
      <c r="B11">
        <v>78</v>
      </c>
      <c r="C11" t="s">
        <v>207</v>
      </c>
      <c r="D11">
        <v>1</v>
      </c>
      <c r="E11">
        <v>1</v>
      </c>
      <c r="G11">
        <v>5</v>
      </c>
      <c r="K11">
        <v>2</v>
      </c>
      <c r="M11">
        <v>5</v>
      </c>
      <c r="N11">
        <v>5</v>
      </c>
      <c r="O11">
        <v>4</v>
      </c>
      <c r="S11">
        <v>1</v>
      </c>
      <c r="X11">
        <f t="shared" si="33"/>
        <v>5</v>
      </c>
      <c r="Y11" t="s">
        <v>174</v>
      </c>
      <c r="Z11" t="str">
        <f t="shared" si="0"/>
        <v/>
      </c>
      <c r="AA11" t="str">
        <f t="shared" si="1"/>
        <v/>
      </c>
      <c r="AB11" t="str">
        <f t="shared" si="2"/>
        <v/>
      </c>
      <c r="AC11" t="str">
        <f t="shared" si="3"/>
        <v/>
      </c>
      <c r="AE11" t="str">
        <f t="shared" si="4"/>
        <v/>
      </c>
      <c r="AF11" t="str">
        <f t="shared" si="5"/>
        <v/>
      </c>
      <c r="AG11" t="str">
        <f t="shared" si="6"/>
        <v/>
      </c>
      <c r="AH11" t="str">
        <f t="shared" si="7"/>
        <v/>
      </c>
      <c r="AI11" t="str">
        <f t="shared" si="8"/>
        <v/>
      </c>
      <c r="AK11" t="str">
        <f t="shared" si="9"/>
        <v/>
      </c>
      <c r="AL11" t="str">
        <f t="shared" si="32"/>
        <v/>
      </c>
      <c r="AM11" t="str">
        <f t="shared" si="10"/>
        <v/>
      </c>
      <c r="AN11" t="str">
        <f t="shared" si="11"/>
        <v/>
      </c>
      <c r="AO11" t="str">
        <f t="shared" si="12"/>
        <v/>
      </c>
      <c r="AP11" t="str">
        <f t="shared" si="13"/>
        <v/>
      </c>
      <c r="AQ11" t="str">
        <f t="shared" si="14"/>
        <v/>
      </c>
      <c r="AR11" t="str">
        <f t="shared" si="15"/>
        <v/>
      </c>
      <c r="AS11" t="str">
        <f t="shared" si="16"/>
        <v/>
      </c>
      <c r="AT11" t="str">
        <f t="shared" si="17"/>
        <v/>
      </c>
      <c r="AU11" t="str">
        <f t="shared" si="18"/>
        <v/>
      </c>
      <c r="AV11" t="str">
        <f t="shared" si="19"/>
        <v/>
      </c>
      <c r="AW11" t="str">
        <f t="shared" si="20"/>
        <v/>
      </c>
      <c r="AX11" t="str">
        <f t="shared" si="21"/>
        <v/>
      </c>
      <c r="AY11" t="str">
        <f t="shared" si="22"/>
        <v/>
      </c>
      <c r="AZ11" t="str">
        <f t="shared" si="23"/>
        <v/>
      </c>
      <c r="BA11" t="str">
        <f t="shared" si="24"/>
        <v/>
      </c>
      <c r="BB11" t="str">
        <f t="shared" si="25"/>
        <v/>
      </c>
      <c r="BC11" t="str">
        <f t="shared" si="26"/>
        <v/>
      </c>
      <c r="BD11" t="str">
        <f t="shared" si="27"/>
        <v/>
      </c>
      <c r="BE11" t="str">
        <f t="shared" si="28"/>
        <v/>
      </c>
      <c r="BF11" t="str">
        <f t="shared" si="29"/>
        <v/>
      </c>
      <c r="BG11" t="str">
        <f t="shared" si="30"/>
        <v/>
      </c>
      <c r="BH11" t="str">
        <f t="shared" si="31"/>
        <v/>
      </c>
    </row>
    <row r="12" spans="1:66" x14ac:dyDescent="0.2">
      <c r="A12">
        <v>9</v>
      </c>
      <c r="B12">
        <v>89</v>
      </c>
      <c r="C12" t="s">
        <v>39</v>
      </c>
      <c r="D12">
        <v>1</v>
      </c>
      <c r="K12">
        <v>3</v>
      </c>
      <c r="M12">
        <v>1</v>
      </c>
      <c r="N12">
        <v>3</v>
      </c>
      <c r="O12">
        <v>3</v>
      </c>
      <c r="S12">
        <v>1</v>
      </c>
      <c r="T12">
        <v>1</v>
      </c>
      <c r="U12">
        <v>7</v>
      </c>
      <c r="X12">
        <f t="shared" si="33"/>
        <v>0</v>
      </c>
      <c r="Z12" t="str">
        <f t="shared" si="0"/>
        <v/>
      </c>
      <c r="AA12" t="str">
        <f t="shared" si="1"/>
        <v/>
      </c>
      <c r="AB12" t="str">
        <f t="shared" si="2"/>
        <v/>
      </c>
      <c r="AC12" t="str">
        <f t="shared" si="3"/>
        <v/>
      </c>
      <c r="AE12" t="str">
        <f t="shared" si="4"/>
        <v/>
      </c>
      <c r="AF12" t="str">
        <f t="shared" si="5"/>
        <v/>
      </c>
      <c r="AG12" t="str">
        <f t="shared" si="6"/>
        <v/>
      </c>
      <c r="AH12" t="str">
        <f t="shared" si="7"/>
        <v/>
      </c>
      <c r="AI12" t="str">
        <f t="shared" si="8"/>
        <v/>
      </c>
      <c r="AK12" t="str">
        <f t="shared" si="9"/>
        <v/>
      </c>
      <c r="AL12" t="str">
        <f t="shared" si="32"/>
        <v/>
      </c>
      <c r="AM12" t="str">
        <f t="shared" si="10"/>
        <v/>
      </c>
      <c r="AN12" t="str">
        <f t="shared" si="11"/>
        <v/>
      </c>
      <c r="AO12" t="str">
        <f t="shared" si="12"/>
        <v/>
      </c>
      <c r="AP12" t="str">
        <f t="shared" si="13"/>
        <v/>
      </c>
      <c r="AQ12" t="str">
        <f t="shared" si="14"/>
        <v/>
      </c>
      <c r="AR12" t="str">
        <f t="shared" si="15"/>
        <v/>
      </c>
      <c r="AS12" t="str">
        <f t="shared" si="16"/>
        <v/>
      </c>
      <c r="AT12" t="str">
        <f t="shared" si="17"/>
        <v/>
      </c>
      <c r="AU12" t="str">
        <f t="shared" si="18"/>
        <v/>
      </c>
      <c r="AV12" t="str">
        <f t="shared" si="19"/>
        <v/>
      </c>
      <c r="AW12" t="str">
        <f t="shared" si="20"/>
        <v/>
      </c>
      <c r="AX12" t="str">
        <f t="shared" si="21"/>
        <v/>
      </c>
      <c r="AY12" t="str">
        <f t="shared" si="22"/>
        <v/>
      </c>
      <c r="AZ12" t="str">
        <f t="shared" si="23"/>
        <v/>
      </c>
      <c r="BA12" t="str">
        <f t="shared" si="24"/>
        <v/>
      </c>
      <c r="BB12" t="str">
        <f t="shared" si="25"/>
        <v/>
      </c>
      <c r="BC12" t="str">
        <f t="shared" si="26"/>
        <v/>
      </c>
      <c r="BD12" t="str">
        <f t="shared" si="27"/>
        <v/>
      </c>
      <c r="BE12" t="str">
        <f t="shared" si="28"/>
        <v/>
      </c>
      <c r="BF12" t="str">
        <f t="shared" si="29"/>
        <v/>
      </c>
      <c r="BG12" t="str">
        <f t="shared" si="30"/>
        <v/>
      </c>
      <c r="BH12" t="str">
        <f t="shared" si="31"/>
        <v/>
      </c>
    </row>
    <row r="13" spans="1:66" x14ac:dyDescent="0.2">
      <c r="A13">
        <v>10</v>
      </c>
      <c r="B13">
        <v>98</v>
      </c>
      <c r="C13" t="s">
        <v>207</v>
      </c>
      <c r="D13">
        <v>1</v>
      </c>
      <c r="K13">
        <v>1</v>
      </c>
      <c r="M13">
        <v>3</v>
      </c>
      <c r="N13">
        <v>4</v>
      </c>
      <c r="O13">
        <v>4</v>
      </c>
      <c r="S13">
        <v>1</v>
      </c>
      <c r="T13">
        <v>1</v>
      </c>
      <c r="U13">
        <v>4</v>
      </c>
      <c r="X13">
        <f t="shared" si="33"/>
        <v>0</v>
      </c>
      <c r="Z13" t="str">
        <f t="shared" si="0"/>
        <v/>
      </c>
      <c r="AA13" t="str">
        <f t="shared" si="1"/>
        <v/>
      </c>
      <c r="AB13" t="str">
        <f t="shared" si="2"/>
        <v/>
      </c>
      <c r="AC13" t="str">
        <f t="shared" si="3"/>
        <v/>
      </c>
      <c r="AE13" t="str">
        <f t="shared" si="4"/>
        <v/>
      </c>
      <c r="AF13" t="str">
        <f t="shared" si="5"/>
        <v/>
      </c>
      <c r="AG13" t="str">
        <f t="shared" si="6"/>
        <v/>
      </c>
      <c r="AH13" t="str">
        <f t="shared" si="7"/>
        <v/>
      </c>
      <c r="AI13" t="str">
        <f t="shared" si="8"/>
        <v/>
      </c>
      <c r="AK13" t="str">
        <f t="shared" si="9"/>
        <v/>
      </c>
      <c r="AL13" t="str">
        <f t="shared" si="32"/>
        <v/>
      </c>
      <c r="AM13" t="str">
        <f t="shared" si="10"/>
        <v/>
      </c>
      <c r="AN13" t="str">
        <f t="shared" si="11"/>
        <v/>
      </c>
      <c r="AO13" t="str">
        <f t="shared" si="12"/>
        <v/>
      </c>
      <c r="AP13" t="str">
        <f t="shared" si="13"/>
        <v/>
      </c>
      <c r="AQ13" t="str">
        <f t="shared" si="14"/>
        <v/>
      </c>
      <c r="AR13" t="str">
        <f t="shared" si="15"/>
        <v/>
      </c>
      <c r="AS13" t="str">
        <f t="shared" si="16"/>
        <v/>
      </c>
      <c r="AT13" t="str">
        <f t="shared" si="17"/>
        <v/>
      </c>
      <c r="AU13" t="str">
        <f t="shared" si="18"/>
        <v/>
      </c>
      <c r="AV13" t="str">
        <f t="shared" si="19"/>
        <v/>
      </c>
      <c r="AW13" t="str">
        <f t="shared" si="20"/>
        <v/>
      </c>
      <c r="AX13" t="str">
        <f t="shared" si="21"/>
        <v/>
      </c>
      <c r="AY13" t="str">
        <f t="shared" si="22"/>
        <v/>
      </c>
      <c r="AZ13" t="str">
        <f t="shared" si="23"/>
        <v/>
      </c>
      <c r="BA13" t="str">
        <f t="shared" si="24"/>
        <v/>
      </c>
      <c r="BB13" t="str">
        <f t="shared" si="25"/>
        <v/>
      </c>
      <c r="BC13" t="str">
        <f t="shared" si="26"/>
        <v/>
      </c>
      <c r="BD13" t="str">
        <f t="shared" si="27"/>
        <v/>
      </c>
      <c r="BE13" t="str">
        <f t="shared" si="28"/>
        <v/>
      </c>
      <c r="BF13" t="str">
        <f t="shared" si="29"/>
        <v/>
      </c>
      <c r="BG13" t="str">
        <f t="shared" si="30"/>
        <v/>
      </c>
      <c r="BH13" t="str">
        <f t="shared" si="31"/>
        <v/>
      </c>
    </row>
    <row r="14" spans="1:66" x14ac:dyDescent="0.2">
      <c r="A14">
        <v>11</v>
      </c>
      <c r="B14">
        <v>106</v>
      </c>
      <c r="C14" t="s">
        <v>207</v>
      </c>
      <c r="D14">
        <v>1</v>
      </c>
      <c r="E14">
        <v>1</v>
      </c>
      <c r="G14">
        <v>9</v>
      </c>
      <c r="K14">
        <v>4</v>
      </c>
      <c r="M14">
        <v>1</v>
      </c>
      <c r="N14">
        <v>5</v>
      </c>
      <c r="O14">
        <v>5</v>
      </c>
      <c r="S14">
        <v>1</v>
      </c>
      <c r="T14">
        <v>1</v>
      </c>
      <c r="U14">
        <v>3</v>
      </c>
      <c r="X14">
        <f t="shared" si="33"/>
        <v>9</v>
      </c>
      <c r="Z14" t="s">
        <v>31</v>
      </c>
      <c r="AE14" t="s">
        <v>34</v>
      </c>
      <c r="AK14" t="s">
        <v>43</v>
      </c>
      <c r="AP14" t="s">
        <v>84</v>
      </c>
    </row>
    <row r="15" spans="1:66" x14ac:dyDescent="0.2">
      <c r="A15">
        <v>12</v>
      </c>
      <c r="B15">
        <v>112</v>
      </c>
      <c r="C15" t="s">
        <v>39</v>
      </c>
      <c r="D15">
        <v>1</v>
      </c>
      <c r="E15">
        <v>1</v>
      </c>
      <c r="G15">
        <v>1</v>
      </c>
      <c r="K15">
        <v>1</v>
      </c>
      <c r="M15">
        <v>2</v>
      </c>
      <c r="N15">
        <v>2</v>
      </c>
      <c r="O15">
        <v>2</v>
      </c>
      <c r="S15">
        <v>1</v>
      </c>
      <c r="T15">
        <v>1</v>
      </c>
      <c r="U15">
        <v>1</v>
      </c>
      <c r="X15">
        <f t="shared" si="33"/>
        <v>1</v>
      </c>
      <c r="Z15" t="s">
        <v>21</v>
      </c>
      <c r="AA15" t="s">
        <v>22</v>
      </c>
      <c r="AE15" t="s">
        <v>21</v>
      </c>
      <c r="AF15" t="s">
        <v>22</v>
      </c>
      <c r="AG15" t="s">
        <v>35</v>
      </c>
      <c r="AK15" t="s">
        <v>10</v>
      </c>
      <c r="AL15" t="s">
        <v>25</v>
      </c>
      <c r="AM15" t="s">
        <v>26</v>
      </c>
      <c r="AN15" t="s">
        <v>27</v>
      </c>
      <c r="AP15" t="s">
        <v>15</v>
      </c>
      <c r="AQ15" t="s">
        <v>85</v>
      </c>
    </row>
    <row r="16" spans="1:66" x14ac:dyDescent="0.2">
      <c r="A16" t="s">
        <v>28</v>
      </c>
      <c r="D16">
        <f>SUM(D4:D15)</f>
        <v>12</v>
      </c>
      <c r="E16">
        <f>SUM(E4:E15)</f>
        <v>6</v>
      </c>
      <c r="F16">
        <f>SUM(F4:F15)</f>
        <v>2</v>
      </c>
      <c r="G16">
        <f>SUM(G4:G15)</f>
        <v>18</v>
      </c>
      <c r="H16">
        <f>SUM(H4:H15)</f>
        <v>0</v>
      </c>
      <c r="K16">
        <f>SUM(K4:K15)</f>
        <v>23</v>
      </c>
      <c r="L16">
        <f>SUM(L4:L15)</f>
        <v>2</v>
      </c>
      <c r="M16">
        <f>SUM(M4:M15)</f>
        <v>14</v>
      </c>
      <c r="N16">
        <f>SUM(N4:N15)</f>
        <v>37</v>
      </c>
      <c r="O16">
        <f>SUM(O4:O15)</f>
        <v>35</v>
      </c>
      <c r="Q16">
        <f t="shared" ref="Q16:R16" si="34">SUM(Q4:Q15)</f>
        <v>0</v>
      </c>
      <c r="R16">
        <f t="shared" si="34"/>
        <v>0</v>
      </c>
      <c r="S16">
        <f>SUM(S4:S15)</f>
        <v>10</v>
      </c>
      <c r="T16">
        <f>SUM(T4:T15)</f>
        <v>9</v>
      </c>
      <c r="U16">
        <f>SUM(U4:U15)</f>
        <v>33</v>
      </c>
      <c r="V16">
        <f>SUM(V4:V15)</f>
        <v>0</v>
      </c>
      <c r="W16">
        <f>SUM(W4:W15)</f>
        <v>0</v>
      </c>
      <c r="Z16">
        <f t="shared" ref="Z16:Z27" si="35">COUNTIF(Z2:AC2, "3")*COUNTIF(C4, "r")+COUNTIF(Z2:AC2, "5")*COUNTIF(C4, "b")</f>
        <v>0</v>
      </c>
      <c r="AA16">
        <f t="shared" ref="AA16:AA27" si="36">COUNTIF(Z2:AC2, "1")+COUNTIF(Z2:AC2, "2")+COUNTIF(Z2:AC2, "4")</f>
        <v>0</v>
      </c>
      <c r="AE16">
        <f t="shared" ref="AE16:AE27" si="37">COUNTIF(AE2:AI2, "3")*COUNTIF(C4, "r") + COUNTIF(AE2:AI2, "5")*COUNTIF(C4, "b")</f>
        <v>0</v>
      </c>
      <c r="AF16">
        <f t="shared" ref="AF16:AF27" si="38">COUNTIF(AE2:AI2, "1")+COUNTIF(AE2:AI2, "2")+COUNTIF(AE2:AI2, "4")</f>
        <v>0</v>
      </c>
      <c r="AG16">
        <f t="shared" ref="AG16:AG27" si="39">COUNTIF(AE2:AI2, "3")*COUNTIF(AE2:AI2, "b")+COUNTIF(AE2:AI2, "5")*COUNTIF(AE2:AI2, "r")</f>
        <v>0</v>
      </c>
      <c r="AK16">
        <f t="shared" ref="AK16:AK27" si="40">SUMPRODUCT(LEN($AK2:$BH2) - LEN(SUBSTITUTE($AK2:$BH2, "g", "")))</f>
        <v>0</v>
      </c>
      <c r="AL16">
        <f t="shared" ref="AL16:AL27" si="41">SUMPRODUCT(LEN($AK2:$BH2) - LEN(SUBSTITUTE($AK2:$BH2, "h", "")))</f>
        <v>0</v>
      </c>
      <c r="AM16">
        <f t="shared" ref="AM16:AM27" si="42">SUMPRODUCT(LEN($AK2:$BH2) - LEN(SUBSTITUTE($AK2:$BH2, "v", "")))</f>
        <v>0</v>
      </c>
      <c r="AN16">
        <f t="shared" ref="AN16:AN27" si="43">SUMPRODUCT(LEN($AK2:$BH2) - LEN(SUBSTITUTE($AK2:$BH2, "r", "")))</f>
        <v>0</v>
      </c>
      <c r="AP16">
        <f>MAX(AQ16:BN16)</f>
        <v>0</v>
      </c>
      <c r="AQ16" s="4">
        <f>_xlfn.NUMBERVALUE(RIGHT(AK2,1))</f>
        <v>0</v>
      </c>
      <c r="AR16" s="4">
        <f t="shared" ref="AR16:BG27" si="44">_xlfn.NUMBERVALUE(RIGHT(AL2,1))</f>
        <v>0</v>
      </c>
      <c r="AS16" s="4">
        <f t="shared" si="44"/>
        <v>0</v>
      </c>
      <c r="AT16" s="4">
        <f t="shared" si="44"/>
        <v>0</v>
      </c>
      <c r="AU16" s="4">
        <f t="shared" si="44"/>
        <v>0</v>
      </c>
      <c r="AV16" s="4">
        <f t="shared" si="44"/>
        <v>0</v>
      </c>
      <c r="AW16" s="4">
        <f t="shared" si="44"/>
        <v>0</v>
      </c>
      <c r="AX16" s="4">
        <f t="shared" si="44"/>
        <v>0</v>
      </c>
      <c r="AY16" s="4">
        <f t="shared" si="44"/>
        <v>0</v>
      </c>
      <c r="AZ16" s="4">
        <f t="shared" si="44"/>
        <v>0</v>
      </c>
      <c r="BA16" s="4">
        <f t="shared" si="44"/>
        <v>0</v>
      </c>
      <c r="BB16" s="4">
        <f t="shared" si="44"/>
        <v>0</v>
      </c>
      <c r="BC16" s="4">
        <f t="shared" si="44"/>
        <v>0</v>
      </c>
      <c r="BD16" s="4">
        <f t="shared" si="44"/>
        <v>0</v>
      </c>
      <c r="BE16" s="4">
        <f t="shared" si="44"/>
        <v>0</v>
      </c>
      <c r="BF16" s="4">
        <f t="shared" si="44"/>
        <v>0</v>
      </c>
      <c r="BG16" s="4">
        <f t="shared" si="44"/>
        <v>0</v>
      </c>
      <c r="BH16" s="4">
        <f t="shared" ref="BH16:BN27" si="45">_xlfn.NUMBERVALUE(RIGHT(BB2,1))</f>
        <v>0</v>
      </c>
      <c r="BI16" s="4">
        <f t="shared" si="45"/>
        <v>0</v>
      </c>
      <c r="BJ16" s="4">
        <f t="shared" si="45"/>
        <v>0</v>
      </c>
      <c r="BK16" s="4">
        <f t="shared" si="45"/>
        <v>0</v>
      </c>
      <c r="BL16" s="4">
        <f t="shared" si="45"/>
        <v>0</v>
      </c>
      <c r="BM16" s="4">
        <f t="shared" si="45"/>
        <v>0</v>
      </c>
      <c r="BN16" s="4">
        <f t="shared" si="45"/>
        <v>0</v>
      </c>
    </row>
    <row r="17" spans="1:66" x14ac:dyDescent="0.2">
      <c r="A17" s="1" t="s">
        <v>20</v>
      </c>
      <c r="D17" s="1" t="s">
        <v>49</v>
      </c>
      <c r="G17" s="1" t="s">
        <v>52</v>
      </c>
      <c r="K17" s="3" t="s">
        <v>74</v>
      </c>
      <c r="P17" s="1" t="s">
        <v>66</v>
      </c>
      <c r="Z17">
        <f t="shared" si="35"/>
        <v>0</v>
      </c>
      <c r="AA17">
        <f t="shared" si="36"/>
        <v>0</v>
      </c>
      <c r="AE17">
        <f t="shared" si="37"/>
        <v>0</v>
      </c>
      <c r="AF17">
        <f t="shared" si="38"/>
        <v>0</v>
      </c>
      <c r="AG17">
        <f t="shared" si="39"/>
        <v>0</v>
      </c>
      <c r="AK17">
        <f t="shared" si="40"/>
        <v>0</v>
      </c>
      <c r="AL17">
        <f t="shared" si="41"/>
        <v>0</v>
      </c>
      <c r="AM17">
        <f t="shared" si="42"/>
        <v>0</v>
      </c>
      <c r="AN17">
        <f t="shared" si="43"/>
        <v>0</v>
      </c>
      <c r="AP17">
        <f t="shared" ref="AP17:AP27" si="46">MAX(AQ17:BN17)</f>
        <v>0</v>
      </c>
      <c r="AQ17" s="4">
        <f t="shared" ref="AQ17:AQ27" si="47">_xlfn.NUMBERVALUE(RIGHT(AK3,1))</f>
        <v>0</v>
      </c>
      <c r="AR17" s="4">
        <f t="shared" si="44"/>
        <v>0</v>
      </c>
      <c r="AS17" s="4">
        <f t="shared" si="44"/>
        <v>0</v>
      </c>
      <c r="AT17" s="4">
        <f t="shared" si="44"/>
        <v>0</v>
      </c>
      <c r="AU17" s="4">
        <f t="shared" si="44"/>
        <v>0</v>
      </c>
      <c r="AV17" s="4">
        <f t="shared" si="44"/>
        <v>0</v>
      </c>
      <c r="AW17" s="4">
        <f t="shared" si="44"/>
        <v>0</v>
      </c>
      <c r="AX17" s="4">
        <f t="shared" si="44"/>
        <v>0</v>
      </c>
      <c r="AY17" s="4">
        <f t="shared" si="44"/>
        <v>0</v>
      </c>
      <c r="AZ17" s="4">
        <f t="shared" si="44"/>
        <v>0</v>
      </c>
      <c r="BA17" s="4">
        <f t="shared" si="44"/>
        <v>0</v>
      </c>
      <c r="BB17" s="4">
        <f t="shared" si="44"/>
        <v>0</v>
      </c>
      <c r="BC17" s="4">
        <f t="shared" si="44"/>
        <v>0</v>
      </c>
      <c r="BD17" s="4">
        <f t="shared" si="44"/>
        <v>0</v>
      </c>
      <c r="BE17" s="4">
        <f t="shared" si="44"/>
        <v>0</v>
      </c>
      <c r="BF17" s="4">
        <f t="shared" si="44"/>
        <v>0</v>
      </c>
      <c r="BG17" s="4">
        <f t="shared" si="44"/>
        <v>0</v>
      </c>
      <c r="BH17" s="4">
        <f t="shared" si="45"/>
        <v>0</v>
      </c>
      <c r="BI17" s="4">
        <f t="shared" si="45"/>
        <v>0</v>
      </c>
      <c r="BJ17" s="4">
        <f t="shared" si="45"/>
        <v>0</v>
      </c>
      <c r="BK17" s="4">
        <f t="shared" si="45"/>
        <v>0</v>
      </c>
      <c r="BL17" s="4">
        <f t="shared" si="45"/>
        <v>0</v>
      </c>
      <c r="BM17" s="4">
        <f t="shared" si="45"/>
        <v>0</v>
      </c>
      <c r="BN17" s="4">
        <f t="shared" si="45"/>
        <v>0</v>
      </c>
    </row>
    <row r="18" spans="1:66" x14ac:dyDescent="0.2">
      <c r="A18" t="s">
        <v>32</v>
      </c>
      <c r="B18" t="s">
        <v>21</v>
      </c>
      <c r="D18" t="s">
        <v>180</v>
      </c>
      <c r="G18" s="3" t="s">
        <v>53</v>
      </c>
      <c r="K18" t="s">
        <v>55</v>
      </c>
      <c r="M18" t="s">
        <v>65</v>
      </c>
      <c r="P18" t="s">
        <v>67</v>
      </c>
      <c r="Z18">
        <f t="shared" si="35"/>
        <v>0</v>
      </c>
      <c r="AA18">
        <f t="shared" si="36"/>
        <v>1</v>
      </c>
      <c r="AE18">
        <f t="shared" si="37"/>
        <v>0</v>
      </c>
      <c r="AF18">
        <f t="shared" si="38"/>
        <v>0</v>
      </c>
      <c r="AG18">
        <f t="shared" si="39"/>
        <v>0</v>
      </c>
      <c r="AK18">
        <f t="shared" si="40"/>
        <v>0</v>
      </c>
      <c r="AL18">
        <f t="shared" si="41"/>
        <v>0</v>
      </c>
      <c r="AM18">
        <f t="shared" si="42"/>
        <v>0</v>
      </c>
      <c r="AN18">
        <f t="shared" si="43"/>
        <v>0</v>
      </c>
      <c r="AP18">
        <f t="shared" si="46"/>
        <v>0</v>
      </c>
      <c r="AQ18" s="4">
        <f t="shared" si="47"/>
        <v>0</v>
      </c>
      <c r="AR18" s="4">
        <f t="shared" si="44"/>
        <v>0</v>
      </c>
      <c r="AS18" s="4">
        <f t="shared" si="44"/>
        <v>0</v>
      </c>
      <c r="AT18" s="4">
        <f t="shared" si="44"/>
        <v>0</v>
      </c>
      <c r="AU18" s="4">
        <f t="shared" si="44"/>
        <v>0</v>
      </c>
      <c r="AV18" s="4">
        <f t="shared" si="44"/>
        <v>0</v>
      </c>
      <c r="AW18" s="4">
        <f t="shared" si="44"/>
        <v>0</v>
      </c>
      <c r="AX18" s="4">
        <f t="shared" si="44"/>
        <v>0</v>
      </c>
      <c r="AY18" s="4">
        <f t="shared" si="44"/>
        <v>0</v>
      </c>
      <c r="AZ18" s="4">
        <f t="shared" si="44"/>
        <v>0</v>
      </c>
      <c r="BA18" s="4">
        <f t="shared" si="44"/>
        <v>0</v>
      </c>
      <c r="BB18" s="4">
        <f t="shared" si="44"/>
        <v>0</v>
      </c>
      <c r="BC18" s="4">
        <f t="shared" si="44"/>
        <v>0</v>
      </c>
      <c r="BD18" s="4">
        <f t="shared" si="44"/>
        <v>0</v>
      </c>
      <c r="BE18" s="4">
        <f t="shared" si="44"/>
        <v>0</v>
      </c>
      <c r="BF18" s="4">
        <f t="shared" si="44"/>
        <v>0</v>
      </c>
      <c r="BG18" s="4">
        <f t="shared" si="44"/>
        <v>0</v>
      </c>
      <c r="BH18" s="4">
        <f t="shared" si="45"/>
        <v>0</v>
      </c>
      <c r="BI18" s="4">
        <f t="shared" si="45"/>
        <v>0</v>
      </c>
      <c r="BJ18" s="4">
        <f t="shared" si="45"/>
        <v>0</v>
      </c>
      <c r="BK18" s="4">
        <f t="shared" si="45"/>
        <v>0</v>
      </c>
      <c r="BL18" s="4">
        <f t="shared" si="45"/>
        <v>0</v>
      </c>
      <c r="BM18" s="4">
        <f t="shared" si="45"/>
        <v>0</v>
      </c>
      <c r="BN18" s="4">
        <f t="shared" si="45"/>
        <v>0</v>
      </c>
    </row>
    <row r="19" spans="1:66" x14ac:dyDescent="0.2">
      <c r="A19" t="s">
        <v>40</v>
      </c>
      <c r="B19" t="s">
        <v>22</v>
      </c>
      <c r="D19">
        <f>E16/D16</f>
        <v>0.5</v>
      </c>
      <c r="G19" t="s">
        <v>75</v>
      </c>
      <c r="K19">
        <f>O16/N16</f>
        <v>0.94594594594594594</v>
      </c>
      <c r="M19">
        <f>SUM(M39:M50)</f>
        <v>2</v>
      </c>
      <c r="P19">
        <f>T16/S16</f>
        <v>0.9</v>
      </c>
      <c r="Z19">
        <f t="shared" si="35"/>
        <v>0</v>
      </c>
      <c r="AA19">
        <f t="shared" si="36"/>
        <v>0</v>
      </c>
      <c r="AE19">
        <f t="shared" si="37"/>
        <v>0</v>
      </c>
      <c r="AF19">
        <f t="shared" si="38"/>
        <v>0</v>
      </c>
      <c r="AG19">
        <f t="shared" si="39"/>
        <v>0</v>
      </c>
      <c r="AK19">
        <f t="shared" si="40"/>
        <v>0</v>
      </c>
      <c r="AL19">
        <f t="shared" si="41"/>
        <v>0</v>
      </c>
      <c r="AM19">
        <f t="shared" si="42"/>
        <v>0</v>
      </c>
      <c r="AN19">
        <f t="shared" si="43"/>
        <v>0</v>
      </c>
      <c r="AP19">
        <f t="shared" si="46"/>
        <v>0</v>
      </c>
      <c r="AQ19" s="4">
        <f t="shared" si="47"/>
        <v>0</v>
      </c>
      <c r="AR19" s="4">
        <f t="shared" si="44"/>
        <v>0</v>
      </c>
      <c r="AS19" s="4">
        <f t="shared" si="44"/>
        <v>0</v>
      </c>
      <c r="AT19" s="4">
        <f t="shared" si="44"/>
        <v>0</v>
      </c>
      <c r="AU19" s="4">
        <f t="shared" si="44"/>
        <v>0</v>
      </c>
      <c r="AV19" s="4">
        <f t="shared" si="44"/>
        <v>0</v>
      </c>
      <c r="AW19" s="4">
        <f t="shared" si="44"/>
        <v>0</v>
      </c>
      <c r="AX19" s="4">
        <f t="shared" si="44"/>
        <v>0</v>
      </c>
      <c r="AY19" s="4">
        <f t="shared" si="44"/>
        <v>0</v>
      </c>
      <c r="AZ19" s="4">
        <f t="shared" si="44"/>
        <v>0</v>
      </c>
      <c r="BA19" s="4">
        <f t="shared" si="44"/>
        <v>0</v>
      </c>
      <c r="BB19" s="4">
        <f t="shared" si="44"/>
        <v>0</v>
      </c>
      <c r="BC19" s="4">
        <f t="shared" si="44"/>
        <v>0</v>
      </c>
      <c r="BD19" s="4">
        <f t="shared" si="44"/>
        <v>0</v>
      </c>
      <c r="BE19" s="4">
        <f t="shared" si="44"/>
        <v>0</v>
      </c>
      <c r="BF19" s="4">
        <f t="shared" si="44"/>
        <v>0</v>
      </c>
      <c r="BG19" s="4">
        <f t="shared" si="44"/>
        <v>0</v>
      </c>
      <c r="BH19" s="4">
        <f t="shared" si="45"/>
        <v>0</v>
      </c>
      <c r="BI19" s="4">
        <f t="shared" si="45"/>
        <v>0</v>
      </c>
      <c r="BJ19" s="4">
        <f t="shared" si="45"/>
        <v>0</v>
      </c>
      <c r="BK19" s="4">
        <f t="shared" si="45"/>
        <v>0</v>
      </c>
      <c r="BL19" s="4">
        <f t="shared" si="45"/>
        <v>0</v>
      </c>
      <c r="BM19" s="4">
        <f t="shared" si="45"/>
        <v>0</v>
      </c>
      <c r="BN19" s="4">
        <f t="shared" si="45"/>
        <v>0</v>
      </c>
    </row>
    <row r="20" spans="1:66" x14ac:dyDescent="0.2">
      <c r="A20" t="s">
        <v>41</v>
      </c>
      <c r="B20" t="s">
        <v>23</v>
      </c>
      <c r="D20" t="s">
        <v>47</v>
      </c>
      <c r="G20" t="e">
        <f>AK28/AP28</f>
        <v>#DIV/0!</v>
      </c>
      <c r="K20" t="s">
        <v>13</v>
      </c>
      <c r="Z20">
        <f t="shared" si="35"/>
        <v>1</v>
      </c>
      <c r="AA20">
        <f t="shared" si="36"/>
        <v>0</v>
      </c>
      <c r="AE20">
        <f t="shared" si="37"/>
        <v>0</v>
      </c>
      <c r="AF20">
        <f t="shared" si="38"/>
        <v>0</v>
      </c>
      <c r="AG20">
        <f t="shared" si="39"/>
        <v>0</v>
      </c>
      <c r="AK20">
        <f t="shared" si="40"/>
        <v>0</v>
      </c>
      <c r="AL20">
        <f t="shared" si="41"/>
        <v>0</v>
      </c>
      <c r="AM20">
        <f t="shared" si="42"/>
        <v>0</v>
      </c>
      <c r="AN20">
        <f t="shared" si="43"/>
        <v>0</v>
      </c>
      <c r="AP20">
        <f t="shared" si="46"/>
        <v>0</v>
      </c>
      <c r="AQ20" s="4">
        <f t="shared" si="47"/>
        <v>0</v>
      </c>
      <c r="AR20" s="4">
        <f t="shared" si="44"/>
        <v>0</v>
      </c>
      <c r="AS20" s="4">
        <f t="shared" si="44"/>
        <v>0</v>
      </c>
      <c r="AT20" s="4">
        <f t="shared" si="44"/>
        <v>0</v>
      </c>
      <c r="AU20" s="4">
        <f t="shared" si="44"/>
        <v>0</v>
      </c>
      <c r="AV20" s="4">
        <f t="shared" si="44"/>
        <v>0</v>
      </c>
      <c r="AW20" s="4">
        <f t="shared" si="44"/>
        <v>0</v>
      </c>
      <c r="AX20" s="4">
        <f t="shared" si="44"/>
        <v>0</v>
      </c>
      <c r="AY20" s="4">
        <f t="shared" si="44"/>
        <v>0</v>
      </c>
      <c r="AZ20" s="4">
        <f t="shared" si="44"/>
        <v>0</v>
      </c>
      <c r="BA20" s="4">
        <f t="shared" si="44"/>
        <v>0</v>
      </c>
      <c r="BB20" s="4">
        <f t="shared" si="44"/>
        <v>0</v>
      </c>
      <c r="BC20" s="4">
        <f t="shared" si="44"/>
        <v>0</v>
      </c>
      <c r="BD20" s="4">
        <f t="shared" si="44"/>
        <v>0</v>
      </c>
      <c r="BE20" s="4">
        <f t="shared" si="44"/>
        <v>0</v>
      </c>
      <c r="BF20" s="4">
        <f t="shared" si="44"/>
        <v>0</v>
      </c>
      <c r="BG20" s="4">
        <f t="shared" si="44"/>
        <v>0</v>
      </c>
      <c r="BH20" s="4">
        <f t="shared" si="45"/>
        <v>0</v>
      </c>
      <c r="BI20" s="4">
        <f t="shared" si="45"/>
        <v>0</v>
      </c>
      <c r="BJ20" s="4">
        <f t="shared" si="45"/>
        <v>0</v>
      </c>
      <c r="BK20" s="4">
        <f t="shared" si="45"/>
        <v>0</v>
      </c>
      <c r="BL20" s="4">
        <f t="shared" si="45"/>
        <v>0</v>
      </c>
      <c r="BM20" s="4">
        <f t="shared" si="45"/>
        <v>0</v>
      </c>
      <c r="BN20" s="4">
        <f t="shared" si="45"/>
        <v>0</v>
      </c>
    </row>
    <row r="21" spans="1:66" x14ac:dyDescent="0.2">
      <c r="A21" s="1" t="s">
        <v>24</v>
      </c>
      <c r="D21">
        <f>G16/A31</f>
        <v>1.5</v>
      </c>
      <c r="G21" t="s">
        <v>76</v>
      </c>
      <c r="K21" t="s">
        <v>57</v>
      </c>
      <c r="L21" t="s">
        <v>58</v>
      </c>
      <c r="M21" t="s">
        <v>59</v>
      </c>
      <c r="N21" t="s">
        <v>60</v>
      </c>
      <c r="Z21">
        <f t="shared" si="35"/>
        <v>0</v>
      </c>
      <c r="AA21">
        <f t="shared" si="36"/>
        <v>0</v>
      </c>
      <c r="AE21">
        <f t="shared" si="37"/>
        <v>0</v>
      </c>
      <c r="AF21">
        <f t="shared" si="38"/>
        <v>0</v>
      </c>
      <c r="AG21">
        <f t="shared" si="39"/>
        <v>0</v>
      </c>
      <c r="AK21">
        <f t="shared" si="40"/>
        <v>0</v>
      </c>
      <c r="AL21">
        <f t="shared" si="41"/>
        <v>0</v>
      </c>
      <c r="AM21">
        <f t="shared" si="42"/>
        <v>0</v>
      </c>
      <c r="AN21">
        <f t="shared" si="43"/>
        <v>0</v>
      </c>
      <c r="AP21">
        <f t="shared" si="46"/>
        <v>0</v>
      </c>
      <c r="AQ21" s="4">
        <f t="shared" si="47"/>
        <v>0</v>
      </c>
      <c r="AR21" s="4">
        <f t="shared" si="44"/>
        <v>0</v>
      </c>
      <c r="AS21" s="4">
        <f t="shared" si="44"/>
        <v>0</v>
      </c>
      <c r="AT21" s="4">
        <f t="shared" si="44"/>
        <v>0</v>
      </c>
      <c r="AU21" s="4">
        <f t="shared" si="44"/>
        <v>0</v>
      </c>
      <c r="AV21" s="4">
        <f t="shared" si="44"/>
        <v>0</v>
      </c>
      <c r="AW21" s="4">
        <f t="shared" si="44"/>
        <v>0</v>
      </c>
      <c r="AX21" s="4">
        <f t="shared" si="44"/>
        <v>0</v>
      </c>
      <c r="AY21" s="4">
        <f t="shared" si="44"/>
        <v>0</v>
      </c>
      <c r="AZ21" s="4">
        <f t="shared" si="44"/>
        <v>0</v>
      </c>
      <c r="BA21" s="4">
        <f t="shared" si="44"/>
        <v>0</v>
      </c>
      <c r="BB21" s="4">
        <f t="shared" si="44"/>
        <v>0</v>
      </c>
      <c r="BC21" s="4">
        <f t="shared" si="44"/>
        <v>0</v>
      </c>
      <c r="BD21" s="4">
        <f t="shared" si="44"/>
        <v>0</v>
      </c>
      <c r="BE21" s="4">
        <f t="shared" si="44"/>
        <v>0</v>
      </c>
      <c r="BF21" s="4">
        <f t="shared" si="44"/>
        <v>0</v>
      </c>
      <c r="BG21" s="4">
        <f t="shared" si="44"/>
        <v>0</v>
      </c>
      <c r="BH21" s="4">
        <f t="shared" si="45"/>
        <v>0</v>
      </c>
      <c r="BI21" s="4">
        <f t="shared" si="45"/>
        <v>0</v>
      </c>
      <c r="BJ21" s="4">
        <f t="shared" si="45"/>
        <v>0</v>
      </c>
      <c r="BK21" s="4">
        <f t="shared" si="45"/>
        <v>0</v>
      </c>
      <c r="BL21" s="4">
        <f t="shared" si="45"/>
        <v>0</v>
      </c>
      <c r="BM21" s="4">
        <f t="shared" si="45"/>
        <v>0</v>
      </c>
      <c r="BN21" s="4">
        <f t="shared" si="45"/>
        <v>0</v>
      </c>
    </row>
    <row r="22" spans="1:66" x14ac:dyDescent="0.2">
      <c r="A22" t="s">
        <v>36</v>
      </c>
      <c r="B22" t="s">
        <v>10</v>
      </c>
      <c r="D22" t="s">
        <v>48</v>
      </c>
      <c r="G22" t="e">
        <f>AL28/AP28</f>
        <v>#DIV/0!</v>
      </c>
      <c r="K22">
        <f>AVERAGE(C39:C50)</f>
        <v>2.9166666666666665</v>
      </c>
      <c r="L22">
        <f>MEDIAN(C39:C50)</f>
        <v>3.5</v>
      </c>
      <c r="M22">
        <f>MAX(C39:C50)</f>
        <v>5</v>
      </c>
      <c r="N22">
        <f>_xlfn.STDEV.S(C39:C50)</f>
        <v>1.6213537179739279</v>
      </c>
      <c r="Z22">
        <f t="shared" si="35"/>
        <v>0</v>
      </c>
      <c r="AA22">
        <f t="shared" si="36"/>
        <v>0</v>
      </c>
      <c r="AE22">
        <f t="shared" si="37"/>
        <v>0</v>
      </c>
      <c r="AF22">
        <f t="shared" si="38"/>
        <v>1</v>
      </c>
      <c r="AG22">
        <f t="shared" si="39"/>
        <v>0</v>
      </c>
      <c r="AK22">
        <f t="shared" si="40"/>
        <v>0</v>
      </c>
      <c r="AL22">
        <f t="shared" si="41"/>
        <v>0</v>
      </c>
      <c r="AM22">
        <f t="shared" si="42"/>
        <v>0</v>
      </c>
      <c r="AN22">
        <f t="shared" si="43"/>
        <v>0</v>
      </c>
      <c r="AP22">
        <f t="shared" si="46"/>
        <v>0</v>
      </c>
      <c r="AQ22" s="4">
        <f t="shared" si="47"/>
        <v>0</v>
      </c>
      <c r="AR22" s="4">
        <f t="shared" si="44"/>
        <v>0</v>
      </c>
      <c r="AS22" s="4">
        <f t="shared" si="44"/>
        <v>0</v>
      </c>
      <c r="AT22" s="4">
        <f t="shared" si="44"/>
        <v>0</v>
      </c>
      <c r="AU22" s="4">
        <f t="shared" si="44"/>
        <v>0</v>
      </c>
      <c r="AV22" s="4">
        <f t="shared" si="44"/>
        <v>0</v>
      </c>
      <c r="AW22" s="4">
        <f t="shared" si="44"/>
        <v>0</v>
      </c>
      <c r="AX22" s="4">
        <f t="shared" si="44"/>
        <v>0</v>
      </c>
      <c r="AY22" s="4">
        <f t="shared" si="44"/>
        <v>0</v>
      </c>
      <c r="AZ22" s="4">
        <f t="shared" si="44"/>
        <v>0</v>
      </c>
      <c r="BA22" s="4">
        <f t="shared" si="44"/>
        <v>0</v>
      </c>
      <c r="BB22" s="4">
        <f t="shared" si="44"/>
        <v>0</v>
      </c>
      <c r="BC22" s="4">
        <f t="shared" si="44"/>
        <v>0</v>
      </c>
      <c r="BD22" s="4">
        <f t="shared" si="44"/>
        <v>0</v>
      </c>
      <c r="BE22" s="4">
        <f t="shared" si="44"/>
        <v>0</v>
      </c>
      <c r="BF22" s="4">
        <f t="shared" si="44"/>
        <v>0</v>
      </c>
      <c r="BG22" s="4">
        <f t="shared" si="44"/>
        <v>0</v>
      </c>
      <c r="BH22" s="4">
        <f t="shared" si="45"/>
        <v>0</v>
      </c>
      <c r="BI22" s="4">
        <f t="shared" si="45"/>
        <v>0</v>
      </c>
      <c r="BJ22" s="4">
        <f t="shared" si="45"/>
        <v>0</v>
      </c>
      <c r="BK22" s="4">
        <f t="shared" si="45"/>
        <v>0</v>
      </c>
      <c r="BL22" s="4">
        <f t="shared" si="45"/>
        <v>0</v>
      </c>
      <c r="BM22" s="4">
        <f t="shared" si="45"/>
        <v>0</v>
      </c>
      <c r="BN22" s="4">
        <f t="shared" si="45"/>
        <v>0</v>
      </c>
    </row>
    <row r="23" spans="1:66" x14ac:dyDescent="0.2">
      <c r="A23" t="s">
        <v>37</v>
      </c>
      <c r="B23" t="s">
        <v>25</v>
      </c>
      <c r="D23">
        <f>H16/A31</f>
        <v>0</v>
      </c>
      <c r="G23" t="s">
        <v>77</v>
      </c>
      <c r="K23" t="s">
        <v>8</v>
      </c>
      <c r="Z23">
        <f t="shared" si="35"/>
        <v>0</v>
      </c>
      <c r="AA23">
        <f t="shared" si="36"/>
        <v>0</v>
      </c>
      <c r="AE23">
        <f t="shared" si="37"/>
        <v>0</v>
      </c>
      <c r="AF23">
        <f t="shared" si="38"/>
        <v>0</v>
      </c>
      <c r="AG23">
        <f t="shared" si="39"/>
        <v>0</v>
      </c>
      <c r="AK23">
        <f t="shared" si="40"/>
        <v>0</v>
      </c>
      <c r="AL23">
        <f t="shared" si="41"/>
        <v>0</v>
      </c>
      <c r="AM23">
        <f t="shared" si="42"/>
        <v>0</v>
      </c>
      <c r="AN23">
        <f t="shared" si="43"/>
        <v>0</v>
      </c>
      <c r="AP23">
        <f t="shared" si="46"/>
        <v>0</v>
      </c>
      <c r="AQ23" s="4">
        <f t="shared" si="47"/>
        <v>0</v>
      </c>
      <c r="AR23" s="4">
        <f t="shared" si="44"/>
        <v>0</v>
      </c>
      <c r="AS23" s="4">
        <f t="shared" si="44"/>
        <v>0</v>
      </c>
      <c r="AT23" s="4">
        <f t="shared" si="44"/>
        <v>0</v>
      </c>
      <c r="AU23" s="4">
        <f t="shared" si="44"/>
        <v>0</v>
      </c>
      <c r="AV23" s="4">
        <f t="shared" si="44"/>
        <v>0</v>
      </c>
      <c r="AW23" s="4">
        <f t="shared" si="44"/>
        <v>0</v>
      </c>
      <c r="AX23" s="4">
        <f t="shared" si="44"/>
        <v>0</v>
      </c>
      <c r="AY23" s="4">
        <f t="shared" si="44"/>
        <v>0</v>
      </c>
      <c r="AZ23" s="4">
        <f t="shared" si="44"/>
        <v>0</v>
      </c>
      <c r="BA23" s="4">
        <f t="shared" si="44"/>
        <v>0</v>
      </c>
      <c r="BB23" s="4">
        <f t="shared" si="44"/>
        <v>0</v>
      </c>
      <c r="BC23" s="4">
        <f t="shared" si="44"/>
        <v>0</v>
      </c>
      <c r="BD23" s="4">
        <f t="shared" si="44"/>
        <v>0</v>
      </c>
      <c r="BE23" s="4">
        <f t="shared" si="44"/>
        <v>0</v>
      </c>
      <c r="BF23" s="4">
        <f t="shared" si="44"/>
        <v>0</v>
      </c>
      <c r="BG23" s="4">
        <f t="shared" si="44"/>
        <v>0</v>
      </c>
      <c r="BH23" s="4">
        <f t="shared" si="45"/>
        <v>0</v>
      </c>
      <c r="BI23" s="4">
        <f t="shared" si="45"/>
        <v>0</v>
      </c>
      <c r="BJ23" s="4">
        <f t="shared" si="45"/>
        <v>0</v>
      </c>
      <c r="BK23" s="4">
        <f t="shared" si="45"/>
        <v>0</v>
      </c>
      <c r="BL23" s="4">
        <f t="shared" si="45"/>
        <v>0</v>
      </c>
      <c r="BM23" s="4">
        <f t="shared" si="45"/>
        <v>0</v>
      </c>
      <c r="BN23" s="4">
        <f t="shared" si="45"/>
        <v>0</v>
      </c>
    </row>
    <row r="24" spans="1:66" x14ac:dyDescent="0.2">
      <c r="A24" t="s">
        <v>38</v>
      </c>
      <c r="B24" t="s">
        <v>26</v>
      </c>
      <c r="D24" t="s">
        <v>50</v>
      </c>
      <c r="G24" t="e">
        <f>AM28/AP28</f>
        <v>#DIV/0!</v>
      </c>
      <c r="K24" t="s">
        <v>57</v>
      </c>
      <c r="L24" t="s">
        <v>61</v>
      </c>
      <c r="M24" t="s">
        <v>59</v>
      </c>
      <c r="N24" t="s">
        <v>60</v>
      </c>
      <c r="Z24">
        <f t="shared" si="35"/>
        <v>0</v>
      </c>
      <c r="AA24">
        <f t="shared" si="36"/>
        <v>0</v>
      </c>
      <c r="AE24">
        <f t="shared" si="37"/>
        <v>0</v>
      </c>
      <c r="AF24">
        <f t="shared" si="38"/>
        <v>0</v>
      </c>
      <c r="AG24">
        <f t="shared" si="39"/>
        <v>0</v>
      </c>
      <c r="AK24">
        <f t="shared" si="40"/>
        <v>0</v>
      </c>
      <c r="AL24">
        <f t="shared" si="41"/>
        <v>0</v>
      </c>
      <c r="AM24">
        <f t="shared" si="42"/>
        <v>0</v>
      </c>
      <c r="AN24">
        <f t="shared" si="43"/>
        <v>0</v>
      </c>
      <c r="AP24">
        <f t="shared" si="46"/>
        <v>0</v>
      </c>
      <c r="AQ24" s="4">
        <f t="shared" si="47"/>
        <v>0</v>
      </c>
      <c r="AR24" s="4">
        <f t="shared" si="44"/>
        <v>0</v>
      </c>
      <c r="AS24" s="4">
        <f t="shared" si="44"/>
        <v>0</v>
      </c>
      <c r="AT24" s="4">
        <f t="shared" si="44"/>
        <v>0</v>
      </c>
      <c r="AU24" s="4">
        <f t="shared" si="44"/>
        <v>0</v>
      </c>
      <c r="AV24" s="4">
        <f t="shared" si="44"/>
        <v>0</v>
      </c>
      <c r="AW24" s="4">
        <f t="shared" si="44"/>
        <v>0</v>
      </c>
      <c r="AX24" s="4">
        <f t="shared" si="44"/>
        <v>0</v>
      </c>
      <c r="AY24" s="4">
        <f t="shared" si="44"/>
        <v>0</v>
      </c>
      <c r="AZ24" s="4">
        <f t="shared" si="44"/>
        <v>0</v>
      </c>
      <c r="BA24" s="4">
        <f t="shared" si="44"/>
        <v>0</v>
      </c>
      <c r="BB24" s="4">
        <f t="shared" si="44"/>
        <v>0</v>
      </c>
      <c r="BC24" s="4">
        <f t="shared" si="44"/>
        <v>0</v>
      </c>
      <c r="BD24" s="4">
        <f t="shared" si="44"/>
        <v>0</v>
      </c>
      <c r="BE24" s="4">
        <f t="shared" si="44"/>
        <v>0</v>
      </c>
      <c r="BF24" s="4">
        <f t="shared" si="44"/>
        <v>0</v>
      </c>
      <c r="BG24" s="4">
        <f t="shared" si="44"/>
        <v>0</v>
      </c>
      <c r="BH24" s="4">
        <f t="shared" si="45"/>
        <v>0</v>
      </c>
      <c r="BI24" s="4">
        <f t="shared" si="45"/>
        <v>0</v>
      </c>
      <c r="BJ24" s="4">
        <f t="shared" si="45"/>
        <v>0</v>
      </c>
      <c r="BK24" s="4">
        <f t="shared" si="45"/>
        <v>0</v>
      </c>
      <c r="BL24" s="4">
        <f t="shared" si="45"/>
        <v>0</v>
      </c>
      <c r="BM24" s="4">
        <f t="shared" si="45"/>
        <v>0</v>
      </c>
      <c r="BN24" s="4">
        <f t="shared" si="45"/>
        <v>0</v>
      </c>
    </row>
    <row r="25" spans="1:66" x14ac:dyDescent="0.2">
      <c r="A25" t="s">
        <v>39</v>
      </c>
      <c r="B25" t="s">
        <v>27</v>
      </c>
      <c r="D25">
        <f>Z28/A31</f>
        <v>8.3333333333333329E-2</v>
      </c>
      <c r="G25" t="s">
        <v>78</v>
      </c>
      <c r="K25">
        <f>AVERAGE(E39:E50)</f>
        <v>0</v>
      </c>
      <c r="L25">
        <f>MEDIAN(E39:E50)</f>
        <v>0</v>
      </c>
      <c r="M25">
        <f>MAX(E39:E50)</f>
        <v>0</v>
      </c>
      <c r="N25">
        <f>_xlfn.STDEV.S(E39:E50)</f>
        <v>0</v>
      </c>
      <c r="Z25">
        <f t="shared" si="35"/>
        <v>0</v>
      </c>
      <c r="AA25">
        <f t="shared" si="36"/>
        <v>0</v>
      </c>
      <c r="AE25">
        <f t="shared" si="37"/>
        <v>0</v>
      </c>
      <c r="AF25">
        <f t="shared" si="38"/>
        <v>0</v>
      </c>
      <c r="AG25">
        <f t="shared" si="39"/>
        <v>0</v>
      </c>
      <c r="AK25">
        <f t="shared" si="40"/>
        <v>0</v>
      </c>
      <c r="AL25">
        <f t="shared" si="41"/>
        <v>0</v>
      </c>
      <c r="AM25">
        <f t="shared" si="42"/>
        <v>0</v>
      </c>
      <c r="AN25">
        <f t="shared" si="43"/>
        <v>0</v>
      </c>
      <c r="AP25">
        <f t="shared" si="46"/>
        <v>0</v>
      </c>
      <c r="AQ25" s="4">
        <f t="shared" si="47"/>
        <v>0</v>
      </c>
      <c r="AR25" s="4">
        <f t="shared" si="44"/>
        <v>0</v>
      </c>
      <c r="AS25" s="4">
        <f t="shared" si="44"/>
        <v>0</v>
      </c>
      <c r="AT25" s="4">
        <f t="shared" si="44"/>
        <v>0</v>
      </c>
      <c r="AU25" s="4">
        <f t="shared" si="44"/>
        <v>0</v>
      </c>
      <c r="AV25" s="4">
        <f t="shared" si="44"/>
        <v>0</v>
      </c>
      <c r="AW25" s="4">
        <f t="shared" si="44"/>
        <v>0</v>
      </c>
      <c r="AX25" s="4">
        <f t="shared" si="44"/>
        <v>0</v>
      </c>
      <c r="AY25" s="4">
        <f t="shared" si="44"/>
        <v>0</v>
      </c>
      <c r="AZ25" s="4">
        <f t="shared" si="44"/>
        <v>0</v>
      </c>
      <c r="BA25" s="4">
        <f t="shared" si="44"/>
        <v>0</v>
      </c>
      <c r="BB25" s="4">
        <f t="shared" si="44"/>
        <v>0</v>
      </c>
      <c r="BC25" s="4">
        <f t="shared" si="44"/>
        <v>0</v>
      </c>
      <c r="BD25" s="4">
        <f t="shared" si="44"/>
        <v>0</v>
      </c>
      <c r="BE25" s="4">
        <f t="shared" si="44"/>
        <v>0</v>
      </c>
      <c r="BF25" s="4">
        <f t="shared" si="44"/>
        <v>0</v>
      </c>
      <c r="BG25" s="4">
        <f t="shared" si="44"/>
        <v>0</v>
      </c>
      <c r="BH25" s="4">
        <f t="shared" si="45"/>
        <v>0</v>
      </c>
      <c r="BI25" s="4">
        <f t="shared" si="45"/>
        <v>0</v>
      </c>
      <c r="BJ25" s="4">
        <f t="shared" si="45"/>
        <v>0</v>
      </c>
      <c r="BK25" s="4">
        <f t="shared" si="45"/>
        <v>0</v>
      </c>
      <c r="BL25" s="4">
        <f t="shared" si="45"/>
        <v>0</v>
      </c>
      <c r="BM25" s="4">
        <f t="shared" si="45"/>
        <v>0</v>
      </c>
      <c r="BN25" s="4">
        <f t="shared" si="45"/>
        <v>0</v>
      </c>
    </row>
    <row r="26" spans="1:66" x14ac:dyDescent="0.2">
      <c r="A26" t="s">
        <v>44</v>
      </c>
      <c r="D26" t="s">
        <v>51</v>
      </c>
      <c r="G26" t="e">
        <f>AN28/AP28</f>
        <v>#DIV/0!</v>
      </c>
      <c r="K26" t="s">
        <v>62</v>
      </c>
      <c r="P26" t="s">
        <v>19</v>
      </c>
      <c r="Z26">
        <f t="shared" si="35"/>
        <v>0</v>
      </c>
      <c r="AA26">
        <f t="shared" si="36"/>
        <v>0</v>
      </c>
      <c r="AE26">
        <f t="shared" si="37"/>
        <v>0</v>
      </c>
      <c r="AF26">
        <f t="shared" si="38"/>
        <v>0</v>
      </c>
      <c r="AG26">
        <f t="shared" si="39"/>
        <v>0</v>
      </c>
      <c r="AK26">
        <f t="shared" si="40"/>
        <v>0</v>
      </c>
      <c r="AL26">
        <f t="shared" si="41"/>
        <v>0</v>
      </c>
      <c r="AM26">
        <f t="shared" si="42"/>
        <v>0</v>
      </c>
      <c r="AN26">
        <f t="shared" si="43"/>
        <v>0</v>
      </c>
      <c r="AP26">
        <f t="shared" si="46"/>
        <v>0</v>
      </c>
      <c r="AQ26" s="4">
        <f t="shared" si="47"/>
        <v>0</v>
      </c>
      <c r="AR26" s="4">
        <f t="shared" si="44"/>
        <v>0</v>
      </c>
      <c r="AS26" s="4">
        <f t="shared" si="44"/>
        <v>0</v>
      </c>
      <c r="AT26" s="4">
        <f t="shared" si="44"/>
        <v>0</v>
      </c>
      <c r="AU26" s="4">
        <f t="shared" si="44"/>
        <v>0</v>
      </c>
      <c r="AV26" s="4">
        <f t="shared" si="44"/>
        <v>0</v>
      </c>
      <c r="AW26" s="4">
        <f t="shared" si="44"/>
        <v>0</v>
      </c>
      <c r="AX26" s="4">
        <f t="shared" si="44"/>
        <v>0</v>
      </c>
      <c r="AY26" s="4">
        <f t="shared" si="44"/>
        <v>0</v>
      </c>
      <c r="AZ26" s="4">
        <f t="shared" si="44"/>
        <v>0</v>
      </c>
      <c r="BA26" s="4">
        <f t="shared" si="44"/>
        <v>0</v>
      </c>
      <c r="BB26" s="4">
        <f t="shared" si="44"/>
        <v>0</v>
      </c>
      <c r="BC26" s="4">
        <f t="shared" si="44"/>
        <v>0</v>
      </c>
      <c r="BD26" s="4">
        <f t="shared" si="44"/>
        <v>0</v>
      </c>
      <c r="BE26" s="4">
        <f t="shared" si="44"/>
        <v>0</v>
      </c>
      <c r="BF26" s="4">
        <f t="shared" si="44"/>
        <v>0</v>
      </c>
      <c r="BG26" s="4">
        <f t="shared" si="44"/>
        <v>0</v>
      </c>
      <c r="BH26" s="4">
        <f t="shared" si="45"/>
        <v>0</v>
      </c>
      <c r="BI26" s="4">
        <f t="shared" si="45"/>
        <v>0</v>
      </c>
      <c r="BJ26" s="4">
        <f t="shared" si="45"/>
        <v>0</v>
      </c>
      <c r="BK26" s="4">
        <f t="shared" si="45"/>
        <v>0</v>
      </c>
      <c r="BL26" s="4">
        <f t="shared" si="45"/>
        <v>0</v>
      </c>
      <c r="BM26" s="4">
        <f t="shared" si="45"/>
        <v>0</v>
      </c>
      <c r="BN26" s="4">
        <f t="shared" si="45"/>
        <v>0</v>
      </c>
    </row>
    <row r="27" spans="1:66" x14ac:dyDescent="0.2">
      <c r="A27" t="s">
        <v>45</v>
      </c>
      <c r="D27">
        <f>AA28/A31</f>
        <v>8.3333333333333329E-2</v>
      </c>
      <c r="G27" t="s">
        <v>56</v>
      </c>
      <c r="K27" t="s">
        <v>57</v>
      </c>
      <c r="L27" t="s">
        <v>58</v>
      </c>
      <c r="M27" t="s">
        <v>59</v>
      </c>
      <c r="N27" t="s">
        <v>60</v>
      </c>
      <c r="P27" t="s">
        <v>57</v>
      </c>
      <c r="Q27" t="s">
        <v>58</v>
      </c>
      <c r="R27" t="s">
        <v>59</v>
      </c>
      <c r="S27" t="s">
        <v>60</v>
      </c>
      <c r="Z27">
        <f t="shared" si="35"/>
        <v>0</v>
      </c>
      <c r="AA27">
        <f t="shared" si="36"/>
        <v>0</v>
      </c>
      <c r="AE27">
        <f t="shared" si="37"/>
        <v>0</v>
      </c>
      <c r="AF27">
        <f t="shared" si="38"/>
        <v>0</v>
      </c>
      <c r="AG27">
        <f t="shared" si="39"/>
        <v>0</v>
      </c>
      <c r="AK27">
        <f t="shared" si="40"/>
        <v>0</v>
      </c>
      <c r="AL27">
        <f t="shared" si="41"/>
        <v>0</v>
      </c>
      <c r="AM27">
        <f t="shared" si="42"/>
        <v>0</v>
      </c>
      <c r="AN27">
        <f t="shared" si="43"/>
        <v>0</v>
      </c>
      <c r="AP27">
        <f t="shared" si="46"/>
        <v>0</v>
      </c>
      <c r="AQ27" s="4">
        <f t="shared" si="47"/>
        <v>0</v>
      </c>
      <c r="AR27" s="4">
        <f t="shared" si="44"/>
        <v>0</v>
      </c>
      <c r="AS27" s="4">
        <f t="shared" si="44"/>
        <v>0</v>
      </c>
      <c r="AT27" s="4">
        <f t="shared" si="44"/>
        <v>0</v>
      </c>
      <c r="AU27" s="4">
        <f t="shared" si="44"/>
        <v>0</v>
      </c>
      <c r="AV27" s="4">
        <f t="shared" si="44"/>
        <v>0</v>
      </c>
      <c r="AW27" s="4">
        <f t="shared" si="44"/>
        <v>0</v>
      </c>
      <c r="AX27" s="4">
        <f t="shared" si="44"/>
        <v>0</v>
      </c>
      <c r="AY27" s="4">
        <f t="shared" si="44"/>
        <v>0</v>
      </c>
      <c r="AZ27" s="4">
        <f t="shared" si="44"/>
        <v>0</v>
      </c>
      <c r="BA27" s="4">
        <f t="shared" si="44"/>
        <v>0</v>
      </c>
      <c r="BB27" s="4">
        <f t="shared" si="44"/>
        <v>0</v>
      </c>
      <c r="BC27" s="4">
        <f t="shared" si="44"/>
        <v>0</v>
      </c>
      <c r="BD27" s="4">
        <f t="shared" si="44"/>
        <v>0</v>
      </c>
      <c r="BE27" s="4">
        <f t="shared" si="44"/>
        <v>0</v>
      </c>
      <c r="BF27" s="4">
        <f t="shared" si="44"/>
        <v>0</v>
      </c>
      <c r="BG27" s="4">
        <f t="shared" si="44"/>
        <v>0</v>
      </c>
      <c r="BH27" s="4">
        <f t="shared" si="45"/>
        <v>0</v>
      </c>
      <c r="BI27" s="4">
        <f t="shared" si="45"/>
        <v>0</v>
      </c>
      <c r="BJ27" s="4">
        <f t="shared" si="45"/>
        <v>0</v>
      </c>
      <c r="BK27" s="4">
        <f t="shared" si="45"/>
        <v>0</v>
      </c>
      <c r="BL27" s="4">
        <f t="shared" si="45"/>
        <v>0</v>
      </c>
      <c r="BM27" s="4">
        <f t="shared" si="45"/>
        <v>0</v>
      </c>
      <c r="BN27" s="4">
        <f t="shared" si="45"/>
        <v>0</v>
      </c>
    </row>
    <row r="28" spans="1:66" x14ac:dyDescent="0.2">
      <c r="A28" t="s">
        <v>46</v>
      </c>
      <c r="D28" t="s">
        <v>202</v>
      </c>
      <c r="G28" t="s">
        <v>57</v>
      </c>
      <c r="H28" t="s">
        <v>58</v>
      </c>
      <c r="I28" t="s">
        <v>59</v>
      </c>
      <c r="J28" t="s">
        <v>60</v>
      </c>
      <c r="K28">
        <f>AVERAGE(G39:G50)</f>
        <v>0</v>
      </c>
      <c r="L28">
        <f>MEDIAN(G39:G50)</f>
        <v>0</v>
      </c>
      <c r="M28">
        <f>MAX(G39:G50)</f>
        <v>0</v>
      </c>
      <c r="N28">
        <f>_xlfn.STDEV.S(G39:G50)</f>
        <v>0</v>
      </c>
      <c r="P28">
        <f>AVERAGE(N39:N50)</f>
        <v>2.75</v>
      </c>
      <c r="Q28">
        <f>MEDIAN(N39:N50)</f>
        <v>2.5</v>
      </c>
      <c r="R28">
        <f>MAX(N39:N50)</f>
        <v>9</v>
      </c>
      <c r="S28">
        <f>_xlfn.STDEV.S(N39:N50)</f>
        <v>2.8324419275118906</v>
      </c>
      <c r="Y28" t="s">
        <v>33</v>
      </c>
      <c r="Z28">
        <f>SUM(Z16:Z27)</f>
        <v>1</v>
      </c>
      <c r="AA28">
        <f>SUM(AA16:AA27)</f>
        <v>1</v>
      </c>
      <c r="AE28">
        <f>SUM(AE16:AE27)</f>
        <v>0</v>
      </c>
      <c r="AF28">
        <f>SUM(AF16:AF27)</f>
        <v>1</v>
      </c>
      <c r="AG28">
        <f>SUM(AG16:AG27)</f>
        <v>0</v>
      </c>
      <c r="AK28">
        <f>SUM(AK16:AK27)</f>
        <v>0</v>
      </c>
      <c r="AL28">
        <f>SUM(AL16:AL27)</f>
        <v>0</v>
      </c>
      <c r="AM28">
        <f>SUM(AM16:AM27)</f>
        <v>0</v>
      </c>
      <c r="AN28">
        <f>SUM(AN16:AN27)</f>
        <v>0</v>
      </c>
      <c r="AP28">
        <f>SUM(AP16:AP27)</f>
        <v>0</v>
      </c>
    </row>
    <row r="29" spans="1:66" x14ac:dyDescent="0.2">
      <c r="D29">
        <f>SUM(O39:O50)/F16</f>
        <v>0.5</v>
      </c>
      <c r="G29">
        <f>AVERAGE(A39:A50)</f>
        <v>8.3333333333333329E-2</v>
      </c>
      <c r="H29">
        <f>MEDIAN(A39:A50)</f>
        <v>0</v>
      </c>
      <c r="I29">
        <f>MAX(A39:A50)</f>
        <v>1</v>
      </c>
      <c r="J29">
        <f>_xlfn.STDEV.S(A39:A50)</f>
        <v>0.28867513459481287</v>
      </c>
      <c r="K29" t="s">
        <v>63</v>
      </c>
      <c r="P29" t="s">
        <v>148</v>
      </c>
    </row>
    <row r="30" spans="1:66" x14ac:dyDescent="0.2">
      <c r="A30" t="s">
        <v>147</v>
      </c>
      <c r="D30" t="s">
        <v>203</v>
      </c>
      <c r="G30" t="s">
        <v>50</v>
      </c>
      <c r="H30" t="s">
        <v>51</v>
      </c>
      <c r="I30" t="s">
        <v>89</v>
      </c>
      <c r="K30" t="s">
        <v>57</v>
      </c>
      <c r="L30" t="s">
        <v>58</v>
      </c>
      <c r="M30" t="s">
        <v>59</v>
      </c>
      <c r="N30" t="s">
        <v>60</v>
      </c>
      <c r="P30" t="s">
        <v>57</v>
      </c>
      <c r="Q30" t="s">
        <v>58</v>
      </c>
      <c r="R30" t="s">
        <v>59</v>
      </c>
      <c r="S30" t="s">
        <v>60</v>
      </c>
      <c r="W30" t="s">
        <v>148</v>
      </c>
      <c r="Y30" t="s">
        <v>149</v>
      </c>
      <c r="AH30" t="s">
        <v>79</v>
      </c>
    </row>
    <row r="31" spans="1:66" x14ac:dyDescent="0.2">
      <c r="A31">
        <f>COUNT(B4:B15)</f>
        <v>12</v>
      </c>
      <c r="D31" s="2">
        <f>SUM(S39:S50)/SUM(Q39:Q50)</f>
        <v>0.5</v>
      </c>
      <c r="G31">
        <f>AE28/A31</f>
        <v>0</v>
      </c>
      <c r="H31">
        <f>AF28/A31</f>
        <v>8.3333333333333329E-2</v>
      </c>
      <c r="I31">
        <f>AG28/A31</f>
        <v>0</v>
      </c>
      <c r="K31" t="e">
        <f>AVERAGE(I39:I50)</f>
        <v>#DIV/0!</v>
      </c>
      <c r="L31" t="e">
        <f>MEDIAN(I39:I50)</f>
        <v>#NUM!</v>
      </c>
      <c r="M31">
        <f>MAX(I39:I50)</f>
        <v>0</v>
      </c>
      <c r="N31" t="e">
        <f>_xlfn.STDEV.S(I39:I50)</f>
        <v>#DIV/0!</v>
      </c>
      <c r="P31">
        <f>AVERAGE(W31:W42)</f>
        <v>1.8</v>
      </c>
      <c r="Q31">
        <f>MEDIAN(W31:W42)</f>
        <v>2</v>
      </c>
      <c r="R31">
        <f>MAX(W31:W42)</f>
        <v>3</v>
      </c>
      <c r="S31">
        <f>_xlfn.STDEV.S(W31:W42)</f>
        <v>1.3038404810405297</v>
      </c>
      <c r="W31" t="str">
        <f t="shared" ref="W31:W33" si="48">IF(AND(ISBLANK(Q4), ISBLANK(R4), ISBLANK(G4), ISBLANK(H4)), "", U4)</f>
        <v/>
      </c>
      <c r="Y31" t="str">
        <f t="shared" ref="Y31:Y42" si="49">IF(ISBLANK(Y4), IF(X4 = 0, "", (G4 + H4/3 + V4/9 + W4/3)), U4)</f>
        <v/>
      </c>
      <c r="AH31" t="s">
        <v>80</v>
      </c>
    </row>
    <row r="32" spans="1:66" x14ac:dyDescent="0.2">
      <c r="A32" t="s">
        <v>237</v>
      </c>
      <c r="D32" s="3"/>
      <c r="K32" t="s">
        <v>64</v>
      </c>
      <c r="P32" t="s">
        <v>149</v>
      </c>
      <c r="W32">
        <f t="shared" si="48"/>
        <v>3</v>
      </c>
      <c r="Y32">
        <f t="shared" si="49"/>
        <v>3</v>
      </c>
      <c r="AH32" t="s">
        <v>81</v>
      </c>
    </row>
    <row r="33" spans="1:34" x14ac:dyDescent="0.2">
      <c r="A33" t="s">
        <v>301</v>
      </c>
      <c r="D33" s="3"/>
      <c r="K33" t="s">
        <v>57</v>
      </c>
      <c r="L33" t="s">
        <v>58</v>
      </c>
      <c r="M33" t="s">
        <v>59</v>
      </c>
      <c r="N33" t="s">
        <v>60</v>
      </c>
      <c r="P33" t="s">
        <v>57</v>
      </c>
      <c r="Q33" t="s">
        <v>58</v>
      </c>
      <c r="R33" t="s">
        <v>59</v>
      </c>
      <c r="S33" t="s">
        <v>60</v>
      </c>
      <c r="W33">
        <f t="shared" si="48"/>
        <v>2</v>
      </c>
      <c r="Y33">
        <f t="shared" si="49"/>
        <v>2</v>
      </c>
      <c r="AH33" t="s">
        <v>82</v>
      </c>
    </row>
    <row r="34" spans="1:34" x14ac:dyDescent="0.2">
      <c r="D34" s="3"/>
      <c r="K34">
        <f>AVERAGE(K39:K50)</f>
        <v>0</v>
      </c>
      <c r="L34">
        <f>MEDIAN(K39:K50)</f>
        <v>0</v>
      </c>
      <c r="M34">
        <f>MAX(K39:K50)</f>
        <v>0</v>
      </c>
      <c r="N34">
        <f>_xlfn.STDEV.S(K39:K50)</f>
        <v>0</v>
      </c>
      <c r="P34">
        <f>AVERAGE(Y31:Y42)</f>
        <v>3</v>
      </c>
      <c r="Q34">
        <f>MEDIAN(Y31:Y42)</f>
        <v>2</v>
      </c>
      <c r="R34">
        <f>MAX(Y31:Y42)</f>
        <v>9</v>
      </c>
      <c r="S34">
        <f>_xlfn.STDEV.S(Y31:Y42)</f>
        <v>3.5355339059327378</v>
      </c>
      <c r="W34" t="str">
        <f>IF(AND(ISBLANK(Q7), ISBLANK(R7), ISBLANK(G7), ISBLANK(H7)), "", U7)</f>
        <v/>
      </c>
      <c r="Y34" t="str">
        <f t="shared" si="49"/>
        <v/>
      </c>
      <c r="AH34" t="s">
        <v>83</v>
      </c>
    </row>
    <row r="35" spans="1:34" x14ac:dyDescent="0.2">
      <c r="P35" t="s">
        <v>95</v>
      </c>
      <c r="R35" t="s">
        <v>197</v>
      </c>
      <c r="W35" t="str">
        <f t="shared" ref="W35:W42" si="50">IF(AND(ISBLANK(Q8), ISBLANK(R8), ISBLANK(G8), ISBLANK(H8)), "", U8)</f>
        <v/>
      </c>
      <c r="Y35" t="str">
        <f t="shared" si="49"/>
        <v/>
      </c>
    </row>
    <row r="36" spans="1:34" x14ac:dyDescent="0.2">
      <c r="P36" t="e">
        <f>Q16/(Q16+R16)</f>
        <v>#DIV/0!</v>
      </c>
      <c r="R36" t="e">
        <f>R16/(Q16+R16)</f>
        <v>#DIV/0!</v>
      </c>
      <c r="W36" t="str">
        <f t="shared" si="50"/>
        <v/>
      </c>
      <c r="Y36" t="str">
        <f t="shared" si="49"/>
        <v/>
      </c>
    </row>
    <row r="37" spans="1:34" x14ac:dyDescent="0.2">
      <c r="W37" t="str">
        <f t="shared" si="50"/>
        <v/>
      </c>
      <c r="Y37" t="str">
        <f t="shared" si="49"/>
        <v/>
      </c>
    </row>
    <row r="38" spans="1:34" x14ac:dyDescent="0.2">
      <c r="A38" t="s">
        <v>68</v>
      </c>
      <c r="C38" t="s">
        <v>69</v>
      </c>
      <c r="E38" t="s">
        <v>72</v>
      </c>
      <c r="G38" t="s">
        <v>250</v>
      </c>
      <c r="K38" t="s">
        <v>73</v>
      </c>
      <c r="M38" t="s">
        <v>70</v>
      </c>
      <c r="N38" t="s">
        <v>71</v>
      </c>
      <c r="O38" t="s">
        <v>199</v>
      </c>
      <c r="Q38" t="s">
        <v>200</v>
      </c>
      <c r="S38" t="s">
        <v>201</v>
      </c>
      <c r="W38">
        <f t="shared" si="50"/>
        <v>0</v>
      </c>
      <c r="Y38">
        <f t="shared" si="49"/>
        <v>0</v>
      </c>
    </row>
    <row r="39" spans="1:34" x14ac:dyDescent="0.2">
      <c r="A39">
        <f t="shared" ref="A39:A50" si="51">IF(ISBLANK(B4), "", SUM(AE16+AF16+AG16))</f>
        <v>0</v>
      </c>
      <c r="C39">
        <f t="shared" ref="C39:C50" si="52">IF(ISBLANK(B4), "", O4)</f>
        <v>0</v>
      </c>
      <c r="E39">
        <f t="shared" ref="E39:E50" si="53">IF(ISBLANK(B4), "", Q4)</f>
        <v>0</v>
      </c>
      <c r="G39">
        <f t="shared" ref="G39:G50" si="54">IF(ISBLANK(B4), "", R4)</f>
        <v>0</v>
      </c>
      <c r="K39">
        <f t="shared" ref="K39:K50" si="55">IF(ISBLANK(B4), "", SUM(Q4 + R4))</f>
        <v>0</v>
      </c>
      <c r="M39">
        <f t="shared" ref="M39:M50" si="56">IF(ISBLANK(B4), "", SUM(K4+M4) - O4)</f>
        <v>0</v>
      </c>
      <c r="N39">
        <f t="shared" ref="N39:N50" si="57">IF(ISBLANK(B4), "", U4)</f>
        <v>3</v>
      </c>
      <c r="O39">
        <f t="shared" ref="O39:O50" si="58">COUNTIF(E4, "1")*COUNTIF(F4, "1")</f>
        <v>0</v>
      </c>
      <c r="Q39">
        <f t="shared" ref="Q39:Q50" si="59">COUNTIF(D4, "1")*COUNTIF(F4, "")</f>
        <v>1</v>
      </c>
      <c r="S39">
        <f t="shared" ref="S39:S50" si="60">COUNTIF(E4, "1")*COUNTIF(F4, "")</f>
        <v>0</v>
      </c>
      <c r="W39" t="str">
        <f t="shared" si="50"/>
        <v/>
      </c>
      <c r="Y39" t="str">
        <f t="shared" si="49"/>
        <v/>
      </c>
    </row>
    <row r="40" spans="1:34" x14ac:dyDescent="0.2">
      <c r="A40">
        <f t="shared" si="51"/>
        <v>0</v>
      </c>
      <c r="C40">
        <f t="shared" si="52"/>
        <v>2</v>
      </c>
      <c r="E40">
        <f t="shared" si="53"/>
        <v>0</v>
      </c>
      <c r="G40">
        <f t="shared" si="54"/>
        <v>0</v>
      </c>
      <c r="K40">
        <f t="shared" si="55"/>
        <v>0</v>
      </c>
      <c r="M40">
        <f t="shared" si="56"/>
        <v>0</v>
      </c>
      <c r="N40">
        <f t="shared" si="57"/>
        <v>3</v>
      </c>
      <c r="O40">
        <f t="shared" si="58"/>
        <v>0</v>
      </c>
      <c r="Q40">
        <f t="shared" si="59"/>
        <v>1</v>
      </c>
      <c r="S40">
        <f t="shared" si="60"/>
        <v>1</v>
      </c>
      <c r="W40" t="str">
        <f t="shared" si="50"/>
        <v/>
      </c>
      <c r="Y40" t="str">
        <f t="shared" si="49"/>
        <v/>
      </c>
    </row>
    <row r="41" spans="1:34" x14ac:dyDescent="0.2">
      <c r="A41">
        <f t="shared" si="51"/>
        <v>0</v>
      </c>
      <c r="C41">
        <f t="shared" si="52"/>
        <v>0</v>
      </c>
      <c r="E41">
        <f t="shared" si="53"/>
        <v>0</v>
      </c>
      <c r="G41">
        <f t="shared" si="54"/>
        <v>0</v>
      </c>
      <c r="K41">
        <f t="shared" si="55"/>
        <v>0</v>
      </c>
      <c r="M41">
        <f t="shared" si="56"/>
        <v>0</v>
      </c>
      <c r="N41">
        <f t="shared" si="57"/>
        <v>2</v>
      </c>
      <c r="O41">
        <f t="shared" si="58"/>
        <v>0</v>
      </c>
      <c r="Q41">
        <f t="shared" si="59"/>
        <v>1</v>
      </c>
      <c r="S41">
        <f t="shared" si="60"/>
        <v>0</v>
      </c>
      <c r="W41">
        <f t="shared" si="50"/>
        <v>3</v>
      </c>
      <c r="Y41">
        <f t="shared" si="49"/>
        <v>9</v>
      </c>
    </row>
    <row r="42" spans="1:34" x14ac:dyDescent="0.2">
      <c r="A42">
        <f t="shared" si="51"/>
        <v>0</v>
      </c>
      <c r="C42">
        <f t="shared" si="52"/>
        <v>3</v>
      </c>
      <c r="E42">
        <f t="shared" si="53"/>
        <v>0</v>
      </c>
      <c r="G42">
        <f t="shared" si="54"/>
        <v>0</v>
      </c>
      <c r="K42">
        <f t="shared" si="55"/>
        <v>0</v>
      </c>
      <c r="M42">
        <f t="shared" si="56"/>
        <v>0</v>
      </c>
      <c r="N42">
        <f t="shared" si="57"/>
        <v>9</v>
      </c>
      <c r="O42">
        <f t="shared" si="58"/>
        <v>0</v>
      </c>
      <c r="Q42">
        <f t="shared" si="59"/>
        <v>1</v>
      </c>
      <c r="S42">
        <f t="shared" si="60"/>
        <v>1</v>
      </c>
      <c r="W42">
        <f t="shared" si="50"/>
        <v>1</v>
      </c>
      <c r="Y42">
        <f t="shared" si="49"/>
        <v>1</v>
      </c>
    </row>
    <row r="43" spans="1:34" x14ac:dyDescent="0.2">
      <c r="A43">
        <f t="shared" si="51"/>
        <v>0</v>
      </c>
      <c r="C43">
        <f t="shared" si="52"/>
        <v>4</v>
      </c>
      <c r="E43">
        <f t="shared" si="53"/>
        <v>0</v>
      </c>
      <c r="G43">
        <f t="shared" si="54"/>
        <v>0</v>
      </c>
      <c r="K43">
        <f t="shared" si="55"/>
        <v>0</v>
      </c>
      <c r="M43">
        <f t="shared" si="56"/>
        <v>-1</v>
      </c>
      <c r="N43">
        <f t="shared" si="57"/>
        <v>1</v>
      </c>
      <c r="O43">
        <f t="shared" si="58"/>
        <v>0</v>
      </c>
      <c r="Q43">
        <f t="shared" si="59"/>
        <v>1</v>
      </c>
      <c r="S43">
        <f t="shared" si="60"/>
        <v>0</v>
      </c>
    </row>
    <row r="44" spans="1:34" x14ac:dyDescent="0.2">
      <c r="A44">
        <f t="shared" si="51"/>
        <v>0</v>
      </c>
      <c r="C44">
        <f t="shared" si="52"/>
        <v>4</v>
      </c>
      <c r="E44">
        <f t="shared" si="53"/>
        <v>0</v>
      </c>
      <c r="G44">
        <f t="shared" si="54"/>
        <v>0</v>
      </c>
      <c r="K44">
        <f t="shared" si="55"/>
        <v>0</v>
      </c>
      <c r="M44">
        <f t="shared" si="56"/>
        <v>-1</v>
      </c>
      <c r="N44">
        <f t="shared" si="57"/>
        <v>0</v>
      </c>
      <c r="O44">
        <f t="shared" si="58"/>
        <v>0</v>
      </c>
      <c r="Q44">
        <f t="shared" si="59"/>
        <v>0</v>
      </c>
      <c r="S44">
        <f t="shared" si="60"/>
        <v>0</v>
      </c>
    </row>
    <row r="45" spans="1:34" x14ac:dyDescent="0.2">
      <c r="A45">
        <f t="shared" si="51"/>
        <v>1</v>
      </c>
      <c r="C45">
        <f t="shared" si="52"/>
        <v>4</v>
      </c>
      <c r="E45">
        <f t="shared" si="53"/>
        <v>0</v>
      </c>
      <c r="G45">
        <f t="shared" si="54"/>
        <v>0</v>
      </c>
      <c r="K45">
        <f t="shared" si="55"/>
        <v>0</v>
      </c>
      <c r="M45">
        <f t="shared" si="56"/>
        <v>-1</v>
      </c>
      <c r="N45">
        <f t="shared" si="57"/>
        <v>0</v>
      </c>
      <c r="O45">
        <f t="shared" si="58"/>
        <v>1</v>
      </c>
      <c r="Q45">
        <f t="shared" si="59"/>
        <v>0</v>
      </c>
      <c r="S45">
        <f t="shared" si="60"/>
        <v>0</v>
      </c>
    </row>
    <row r="46" spans="1:34" x14ac:dyDescent="0.2">
      <c r="A46">
        <f t="shared" si="51"/>
        <v>0</v>
      </c>
      <c r="C46">
        <f t="shared" si="52"/>
        <v>4</v>
      </c>
      <c r="E46">
        <f t="shared" si="53"/>
        <v>0</v>
      </c>
      <c r="G46">
        <f t="shared" si="54"/>
        <v>0</v>
      </c>
      <c r="K46">
        <f t="shared" si="55"/>
        <v>0</v>
      </c>
      <c r="M46">
        <f t="shared" si="56"/>
        <v>3</v>
      </c>
      <c r="N46">
        <f t="shared" si="57"/>
        <v>0</v>
      </c>
      <c r="O46">
        <f t="shared" si="58"/>
        <v>0</v>
      </c>
      <c r="Q46">
        <f t="shared" si="59"/>
        <v>1</v>
      </c>
      <c r="S46">
        <f t="shared" si="60"/>
        <v>1</v>
      </c>
    </row>
    <row r="47" spans="1:34" x14ac:dyDescent="0.2">
      <c r="A47">
        <f t="shared" si="51"/>
        <v>0</v>
      </c>
      <c r="C47">
        <f t="shared" si="52"/>
        <v>3</v>
      </c>
      <c r="E47">
        <f t="shared" si="53"/>
        <v>0</v>
      </c>
      <c r="G47">
        <f t="shared" si="54"/>
        <v>0</v>
      </c>
      <c r="K47">
        <f t="shared" si="55"/>
        <v>0</v>
      </c>
      <c r="M47">
        <f t="shared" si="56"/>
        <v>1</v>
      </c>
      <c r="N47">
        <f t="shared" si="57"/>
        <v>7</v>
      </c>
      <c r="O47">
        <f t="shared" si="58"/>
        <v>0</v>
      </c>
      <c r="Q47">
        <f t="shared" si="59"/>
        <v>1</v>
      </c>
      <c r="S47">
        <f t="shared" si="60"/>
        <v>0</v>
      </c>
    </row>
    <row r="48" spans="1:34" x14ac:dyDescent="0.2">
      <c r="A48">
        <f t="shared" si="51"/>
        <v>0</v>
      </c>
      <c r="C48">
        <f t="shared" si="52"/>
        <v>4</v>
      </c>
      <c r="E48">
        <f t="shared" si="53"/>
        <v>0</v>
      </c>
      <c r="G48">
        <f t="shared" si="54"/>
        <v>0</v>
      </c>
      <c r="K48">
        <f t="shared" si="55"/>
        <v>0</v>
      </c>
      <c r="M48">
        <f t="shared" si="56"/>
        <v>0</v>
      </c>
      <c r="N48">
        <f t="shared" si="57"/>
        <v>4</v>
      </c>
      <c r="O48">
        <f t="shared" si="58"/>
        <v>0</v>
      </c>
      <c r="Q48">
        <f t="shared" si="59"/>
        <v>1</v>
      </c>
      <c r="S48">
        <f t="shared" si="60"/>
        <v>0</v>
      </c>
    </row>
    <row r="49" spans="1:19" x14ac:dyDescent="0.2">
      <c r="A49">
        <f t="shared" si="51"/>
        <v>0</v>
      </c>
      <c r="C49">
        <f t="shared" si="52"/>
        <v>5</v>
      </c>
      <c r="E49">
        <f t="shared" si="53"/>
        <v>0</v>
      </c>
      <c r="G49">
        <f t="shared" si="54"/>
        <v>0</v>
      </c>
      <c r="K49">
        <f t="shared" si="55"/>
        <v>0</v>
      </c>
      <c r="M49">
        <f t="shared" si="56"/>
        <v>0</v>
      </c>
      <c r="N49">
        <f t="shared" si="57"/>
        <v>3</v>
      </c>
      <c r="O49">
        <f t="shared" si="58"/>
        <v>0</v>
      </c>
      <c r="Q49">
        <f t="shared" si="59"/>
        <v>1</v>
      </c>
      <c r="S49">
        <f t="shared" si="60"/>
        <v>1</v>
      </c>
    </row>
    <row r="50" spans="1:19" x14ac:dyDescent="0.2">
      <c r="A50">
        <f t="shared" si="51"/>
        <v>0</v>
      </c>
      <c r="C50">
        <f t="shared" si="52"/>
        <v>2</v>
      </c>
      <c r="E50">
        <f t="shared" si="53"/>
        <v>0</v>
      </c>
      <c r="G50">
        <f t="shared" si="54"/>
        <v>0</v>
      </c>
      <c r="K50">
        <f t="shared" si="55"/>
        <v>0</v>
      </c>
      <c r="M50">
        <f t="shared" si="56"/>
        <v>1</v>
      </c>
      <c r="N50">
        <f t="shared" si="57"/>
        <v>1</v>
      </c>
      <c r="O50">
        <f t="shared" si="58"/>
        <v>0</v>
      </c>
      <c r="Q50">
        <f t="shared" si="59"/>
        <v>1</v>
      </c>
      <c r="S50">
        <f t="shared" si="60"/>
        <v>1</v>
      </c>
    </row>
  </sheetData>
  <pageMargins left="0.7" right="0.7" top="0.75" bottom="0.75" header="0.3" footer="0.3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 enableFormatConditionsCalculation="0"/>
  <dimension ref="A1:BN50"/>
  <sheetViews>
    <sheetView tabSelected="1" workbookViewId="0">
      <selection activeCell="G14" sqref="G14"/>
    </sheetView>
  </sheetViews>
  <sheetFormatPr baseColWidth="10" defaultColWidth="11.5" defaultRowHeight="15" x14ac:dyDescent="0.2"/>
  <sheetData>
    <row r="1" spans="1:66" x14ac:dyDescent="0.2">
      <c r="A1" s="1" t="s">
        <v>0</v>
      </c>
      <c r="D1" t="s">
        <v>3</v>
      </c>
      <c r="K1" t="s">
        <v>11</v>
      </c>
      <c r="N1" t="s">
        <v>12</v>
      </c>
      <c r="P1" t="s">
        <v>14</v>
      </c>
      <c r="Q1" t="s">
        <v>17</v>
      </c>
      <c r="S1" t="s">
        <v>18</v>
      </c>
      <c r="Z1" t="s">
        <v>29</v>
      </c>
      <c r="AE1" t="s">
        <v>30</v>
      </c>
      <c r="AK1" t="s">
        <v>42</v>
      </c>
    </row>
    <row r="2" spans="1:66" x14ac:dyDescent="0.2">
      <c r="A2" t="s">
        <v>1</v>
      </c>
      <c r="B2" t="s">
        <v>1</v>
      </c>
      <c r="C2" t="s">
        <v>87</v>
      </c>
      <c r="D2" t="s">
        <v>54</v>
      </c>
      <c r="E2" t="s">
        <v>13</v>
      </c>
      <c r="F2" t="s">
        <v>198</v>
      </c>
      <c r="G2" t="s">
        <v>7</v>
      </c>
      <c r="H2" t="s">
        <v>8</v>
      </c>
      <c r="I2" t="s">
        <v>179</v>
      </c>
      <c r="J2" t="s">
        <v>178</v>
      </c>
      <c r="K2" t="s">
        <v>9</v>
      </c>
      <c r="L2" t="s">
        <v>196</v>
      </c>
      <c r="M2" t="s">
        <v>10</v>
      </c>
      <c r="N2" t="s">
        <v>54</v>
      </c>
      <c r="O2" t="s">
        <v>13</v>
      </c>
      <c r="P2" t="s">
        <v>15</v>
      </c>
      <c r="Q2" t="s">
        <v>8</v>
      </c>
      <c r="R2" t="s">
        <v>7</v>
      </c>
      <c r="S2" t="s">
        <v>181</v>
      </c>
      <c r="T2" t="s">
        <v>182</v>
      </c>
      <c r="U2" t="s">
        <v>19</v>
      </c>
      <c r="V2" t="s">
        <v>191</v>
      </c>
      <c r="W2" t="s">
        <v>192</v>
      </c>
      <c r="X2" t="s">
        <v>175</v>
      </c>
      <c r="Y2" t="s">
        <v>173</v>
      </c>
      <c r="Z2" t="str">
        <f t="shared" ref="Z2:Z13" si="0">LEFT(I4, 1)</f>
        <v/>
      </c>
      <c r="AA2" t="str">
        <f t="shared" ref="AA2:AA13" si="1">MID(I4, 4, 1)</f>
        <v/>
      </c>
      <c r="AB2" t="str">
        <f t="shared" ref="AB2:AB13" si="2">MID(I4, 7, 1)</f>
        <v/>
      </c>
      <c r="AC2" t="str">
        <f t="shared" ref="AC2:AC13" si="3">MID(I4, 10, 1)</f>
        <v/>
      </c>
      <c r="AE2" t="str">
        <f t="shared" ref="AE2:AE13" si="4">LEFT(J4, 1)</f>
        <v/>
      </c>
      <c r="AF2" t="str">
        <f t="shared" ref="AF2:AF13" si="5">MID(J4, 4, 1)</f>
        <v/>
      </c>
      <c r="AG2" t="str">
        <f t="shared" ref="AG2:AG13" si="6">MID(J4, 7, 1)</f>
        <v/>
      </c>
      <c r="AH2" t="str">
        <f t="shared" ref="AH2:AH13" si="7">MID(J4, 10, 1)</f>
        <v/>
      </c>
      <c r="AI2" t="str">
        <f t="shared" ref="AI2:AI13" si="8">MID(J4, 13, 1)</f>
        <v/>
      </c>
      <c r="AK2" t="str">
        <f t="shared" ref="AK2:AK13" si="9">LEFT(P4, 2)</f>
        <v/>
      </c>
      <c r="AL2" t="str">
        <f>MID($P4, 5, 2)</f>
        <v/>
      </c>
      <c r="AM2" t="str">
        <f t="shared" ref="AM2:AM13" si="10">MID($P4, 9, 2)</f>
        <v/>
      </c>
      <c r="AN2" t="str">
        <f t="shared" ref="AN2:AN13" si="11">MID($P4, 13, 2)</f>
        <v/>
      </c>
      <c r="AO2" t="str">
        <f t="shared" ref="AO2:AO13" si="12">MID($P4, 17, 2)</f>
        <v/>
      </c>
      <c r="AP2" t="str">
        <f t="shared" ref="AP2:AP13" si="13">MID($P4, 21, 2)</f>
        <v/>
      </c>
      <c r="AQ2" t="str">
        <f t="shared" ref="AQ2:AQ13" si="14">MID($P4, 25, 2)</f>
        <v/>
      </c>
      <c r="AR2" t="str">
        <f t="shared" ref="AR2:AR13" si="15">MID($P4, 29, 2)</f>
        <v/>
      </c>
      <c r="AS2" t="str">
        <f t="shared" ref="AS2:AS13" si="16">MID($P4, 33, 2)</f>
        <v/>
      </c>
      <c r="AT2" t="str">
        <f t="shared" ref="AT2:AT13" si="17">MID($P4, 37, 2)</f>
        <v/>
      </c>
      <c r="AU2" t="str">
        <f t="shared" ref="AU2:AU13" si="18">MID($P4, 41, 2)</f>
        <v/>
      </c>
      <c r="AV2" t="str">
        <f t="shared" ref="AV2:AV13" si="19">MID($P4, 45, 2)</f>
        <v/>
      </c>
      <c r="AW2" t="str">
        <f t="shared" ref="AW2:AW13" si="20">MID($P4, 49, 2)</f>
        <v/>
      </c>
      <c r="AX2" t="str">
        <f t="shared" ref="AX2:AX13" si="21">MID($P4, 53, 2)</f>
        <v/>
      </c>
      <c r="AY2" t="str">
        <f t="shared" ref="AY2:AY13" si="22">MID($P4, 57, 2)</f>
        <v/>
      </c>
      <c r="AZ2" t="str">
        <f t="shared" ref="AZ2:AZ13" si="23">MID($P4, 61, 2)</f>
        <v/>
      </c>
      <c r="BA2" t="str">
        <f t="shared" ref="BA2:BA13" si="24">MID($P4, 65, 2)</f>
        <v/>
      </c>
      <c r="BB2" t="str">
        <f t="shared" ref="BB2:BB13" si="25">MID($P4, 69, 2)</f>
        <v/>
      </c>
      <c r="BC2" t="str">
        <f t="shared" ref="BC2:BC13" si="26">MID($P4, 73, 2)</f>
        <v/>
      </c>
      <c r="BD2" t="str">
        <f t="shared" ref="BD2:BD13" si="27">MID($P4, 77, 2)</f>
        <v/>
      </c>
      <c r="BE2" t="str">
        <f t="shared" ref="BE2:BE13" si="28">MID($P4, 81, 2)</f>
        <v/>
      </c>
      <c r="BF2" t="str">
        <f t="shared" ref="BF2:BF13" si="29">MID($P4, 85, 2)</f>
        <v/>
      </c>
      <c r="BG2" t="str">
        <f t="shared" ref="BG2:BG13" si="30">MID($P4, 89, 2)</f>
        <v/>
      </c>
      <c r="BH2" t="str">
        <f t="shared" ref="BH2:BH13" si="31">MID($P4, 93, 2)</f>
        <v/>
      </c>
    </row>
    <row r="3" spans="1:66" x14ac:dyDescent="0.2">
      <c r="A3" t="s">
        <v>2</v>
      </c>
      <c r="B3" t="s">
        <v>6</v>
      </c>
      <c r="C3" t="s">
        <v>88</v>
      </c>
      <c r="D3" t="s">
        <v>6</v>
      </c>
      <c r="E3" t="s">
        <v>6</v>
      </c>
      <c r="F3" t="s">
        <v>4</v>
      </c>
      <c r="G3" t="s">
        <v>6</v>
      </c>
      <c r="H3" t="s">
        <v>6</v>
      </c>
      <c r="I3" t="s">
        <v>86</v>
      </c>
      <c r="J3" t="s">
        <v>86</v>
      </c>
      <c r="K3" t="s">
        <v>6</v>
      </c>
      <c r="L3" t="s">
        <v>6</v>
      </c>
      <c r="M3" t="s">
        <v>6</v>
      </c>
      <c r="N3" t="s">
        <v>6</v>
      </c>
      <c r="O3" t="s">
        <v>6</v>
      </c>
      <c r="P3" t="s">
        <v>16</v>
      </c>
      <c r="Q3" t="s">
        <v>6</v>
      </c>
      <c r="R3" t="s">
        <v>6</v>
      </c>
      <c r="S3" t="s">
        <v>4</v>
      </c>
      <c r="T3" t="s">
        <v>4</v>
      </c>
      <c r="U3" t="s">
        <v>6</v>
      </c>
      <c r="V3" t="s">
        <v>6</v>
      </c>
      <c r="W3" t="s">
        <v>6</v>
      </c>
      <c r="X3" t="s">
        <v>6</v>
      </c>
      <c r="Y3" t="s">
        <v>174</v>
      </c>
      <c r="Z3" t="str">
        <f t="shared" si="0"/>
        <v/>
      </c>
      <c r="AA3" t="str">
        <f t="shared" si="1"/>
        <v/>
      </c>
      <c r="AB3" t="str">
        <f t="shared" si="2"/>
        <v/>
      </c>
      <c r="AC3" t="str">
        <f t="shared" si="3"/>
        <v/>
      </c>
      <c r="AE3" t="str">
        <f t="shared" si="4"/>
        <v/>
      </c>
      <c r="AF3" t="str">
        <f t="shared" si="5"/>
        <v/>
      </c>
      <c r="AG3" t="str">
        <f t="shared" si="6"/>
        <v/>
      </c>
      <c r="AH3" t="str">
        <f t="shared" si="7"/>
        <v/>
      </c>
      <c r="AI3" t="str">
        <f t="shared" si="8"/>
        <v/>
      </c>
      <c r="AK3" t="str">
        <f t="shared" si="9"/>
        <v/>
      </c>
      <c r="AL3" t="str">
        <f t="shared" ref="AL3:AL13" si="32">MID(P5, 5, 2)</f>
        <v/>
      </c>
      <c r="AM3" t="str">
        <f t="shared" si="10"/>
        <v/>
      </c>
      <c r="AN3" t="str">
        <f t="shared" si="11"/>
        <v/>
      </c>
      <c r="AO3" t="str">
        <f t="shared" si="12"/>
        <v/>
      </c>
      <c r="AP3" t="str">
        <f t="shared" si="13"/>
        <v/>
      </c>
      <c r="AQ3" t="str">
        <f t="shared" si="14"/>
        <v/>
      </c>
      <c r="AR3" t="str">
        <f t="shared" si="15"/>
        <v/>
      </c>
      <c r="AS3" t="str">
        <f t="shared" si="16"/>
        <v/>
      </c>
      <c r="AT3" t="str">
        <f t="shared" si="17"/>
        <v/>
      </c>
      <c r="AU3" t="str">
        <f t="shared" si="18"/>
        <v/>
      </c>
      <c r="AV3" t="str">
        <f t="shared" si="19"/>
        <v/>
      </c>
      <c r="AW3" t="str">
        <f t="shared" si="20"/>
        <v/>
      </c>
      <c r="AX3" t="str">
        <f t="shared" si="21"/>
        <v/>
      </c>
      <c r="AY3" t="str">
        <f t="shared" si="22"/>
        <v/>
      </c>
      <c r="AZ3" t="str">
        <f t="shared" si="23"/>
        <v/>
      </c>
      <c r="BA3" t="str">
        <f t="shared" si="24"/>
        <v/>
      </c>
      <c r="BB3" t="str">
        <f t="shared" si="25"/>
        <v/>
      </c>
      <c r="BC3" t="str">
        <f t="shared" si="26"/>
        <v/>
      </c>
      <c r="BD3" t="str">
        <f t="shared" si="27"/>
        <v/>
      </c>
      <c r="BE3" t="str">
        <f t="shared" si="28"/>
        <v/>
      </c>
      <c r="BF3" t="str">
        <f t="shared" si="29"/>
        <v/>
      </c>
      <c r="BG3" t="str">
        <f t="shared" si="30"/>
        <v/>
      </c>
      <c r="BH3" t="str">
        <f t="shared" si="31"/>
        <v/>
      </c>
    </row>
    <row r="4" spans="1:66" x14ac:dyDescent="0.2">
      <c r="A4">
        <v>1</v>
      </c>
      <c r="B4">
        <v>2</v>
      </c>
      <c r="C4" t="s">
        <v>207</v>
      </c>
      <c r="D4">
        <v>1</v>
      </c>
      <c r="F4">
        <v>1</v>
      </c>
      <c r="K4">
        <v>3</v>
      </c>
      <c r="L4">
        <v>1</v>
      </c>
      <c r="N4">
        <v>3</v>
      </c>
      <c r="O4">
        <v>3</v>
      </c>
      <c r="S4">
        <v>1</v>
      </c>
      <c r="T4">
        <v>1</v>
      </c>
      <c r="X4">
        <f t="shared" ref="X4:X15" si="33">G4+H4+Q4+R4</f>
        <v>0</v>
      </c>
      <c r="Z4" t="str">
        <f t="shared" si="0"/>
        <v/>
      </c>
      <c r="AA4" t="str">
        <f t="shared" si="1"/>
        <v/>
      </c>
      <c r="AB4" t="str">
        <f t="shared" si="2"/>
        <v/>
      </c>
      <c r="AC4" t="str">
        <f t="shared" si="3"/>
        <v/>
      </c>
      <c r="AE4" t="str">
        <f t="shared" si="4"/>
        <v/>
      </c>
      <c r="AF4" t="str">
        <f t="shared" si="5"/>
        <v/>
      </c>
      <c r="AG4" t="str">
        <f t="shared" si="6"/>
        <v/>
      </c>
      <c r="AH4" t="str">
        <f t="shared" si="7"/>
        <v/>
      </c>
      <c r="AI4" t="str">
        <f t="shared" si="8"/>
        <v/>
      </c>
      <c r="AK4" t="str">
        <f t="shared" si="9"/>
        <v/>
      </c>
      <c r="AL4" t="str">
        <f t="shared" si="32"/>
        <v/>
      </c>
      <c r="AM4" t="str">
        <f t="shared" si="10"/>
        <v/>
      </c>
      <c r="AN4" t="str">
        <f t="shared" si="11"/>
        <v/>
      </c>
      <c r="AO4" t="str">
        <f t="shared" si="12"/>
        <v/>
      </c>
      <c r="AP4" t="str">
        <f t="shared" si="13"/>
        <v/>
      </c>
      <c r="AQ4" t="str">
        <f t="shared" si="14"/>
        <v/>
      </c>
      <c r="AR4" t="str">
        <f t="shared" si="15"/>
        <v/>
      </c>
      <c r="AS4" t="str">
        <f t="shared" si="16"/>
        <v/>
      </c>
      <c r="AT4" t="str">
        <f t="shared" si="17"/>
        <v/>
      </c>
      <c r="AU4" t="str">
        <f t="shared" si="18"/>
        <v/>
      </c>
      <c r="AV4" t="str">
        <f t="shared" si="19"/>
        <v/>
      </c>
      <c r="AW4" t="str">
        <f t="shared" si="20"/>
        <v/>
      </c>
      <c r="AX4" t="str">
        <f t="shared" si="21"/>
        <v/>
      </c>
      <c r="AY4" t="str">
        <f t="shared" si="22"/>
        <v/>
      </c>
      <c r="AZ4" t="str">
        <f t="shared" si="23"/>
        <v/>
      </c>
      <c r="BA4" t="str">
        <f t="shared" si="24"/>
        <v/>
      </c>
      <c r="BB4" t="str">
        <f t="shared" si="25"/>
        <v/>
      </c>
      <c r="BC4" t="str">
        <f t="shared" si="26"/>
        <v/>
      </c>
      <c r="BD4" t="str">
        <f t="shared" si="27"/>
        <v/>
      </c>
      <c r="BE4" t="str">
        <f t="shared" si="28"/>
        <v/>
      </c>
      <c r="BF4" t="str">
        <f t="shared" si="29"/>
        <v/>
      </c>
      <c r="BG4" t="str">
        <f t="shared" si="30"/>
        <v/>
      </c>
      <c r="BH4" t="str">
        <f t="shared" si="31"/>
        <v/>
      </c>
    </row>
    <row r="5" spans="1:66" x14ac:dyDescent="0.2">
      <c r="A5">
        <v>2</v>
      </c>
      <c r="B5">
        <v>11</v>
      </c>
      <c r="C5" t="s">
        <v>207</v>
      </c>
      <c r="K5">
        <v>3</v>
      </c>
      <c r="L5">
        <v>1</v>
      </c>
      <c r="N5">
        <v>3</v>
      </c>
      <c r="O5">
        <v>3</v>
      </c>
      <c r="S5">
        <v>1</v>
      </c>
      <c r="T5">
        <v>1</v>
      </c>
      <c r="U5">
        <v>3</v>
      </c>
      <c r="X5">
        <f t="shared" si="33"/>
        <v>0</v>
      </c>
      <c r="Z5" t="str">
        <f t="shared" si="0"/>
        <v/>
      </c>
      <c r="AA5" t="str">
        <f t="shared" si="1"/>
        <v/>
      </c>
      <c r="AB5" t="str">
        <f t="shared" si="2"/>
        <v/>
      </c>
      <c r="AC5" t="str">
        <f t="shared" si="3"/>
        <v/>
      </c>
      <c r="AE5" t="str">
        <f t="shared" si="4"/>
        <v/>
      </c>
      <c r="AF5" t="str">
        <f t="shared" si="5"/>
        <v/>
      </c>
      <c r="AG5" t="str">
        <f t="shared" si="6"/>
        <v/>
      </c>
      <c r="AH5" t="str">
        <f t="shared" si="7"/>
        <v/>
      </c>
      <c r="AI5" t="str">
        <f t="shared" si="8"/>
        <v/>
      </c>
      <c r="AK5" t="str">
        <f t="shared" si="9"/>
        <v/>
      </c>
      <c r="AL5" t="str">
        <f t="shared" si="32"/>
        <v/>
      </c>
      <c r="AM5" t="str">
        <f t="shared" si="10"/>
        <v/>
      </c>
      <c r="AN5" t="str">
        <f t="shared" si="11"/>
        <v/>
      </c>
      <c r="AO5" t="str">
        <f t="shared" si="12"/>
        <v/>
      </c>
      <c r="AP5" t="str">
        <f t="shared" si="13"/>
        <v/>
      </c>
      <c r="AQ5" t="str">
        <f t="shared" si="14"/>
        <v/>
      </c>
      <c r="AR5" t="str">
        <f t="shared" si="15"/>
        <v/>
      </c>
      <c r="AS5" t="str">
        <f t="shared" si="16"/>
        <v/>
      </c>
      <c r="AT5" t="str">
        <f t="shared" si="17"/>
        <v/>
      </c>
      <c r="AU5" t="str">
        <f t="shared" si="18"/>
        <v/>
      </c>
      <c r="AV5" t="str">
        <f t="shared" si="19"/>
        <v/>
      </c>
      <c r="AW5" t="str">
        <f t="shared" si="20"/>
        <v/>
      </c>
      <c r="AX5" t="str">
        <f t="shared" si="21"/>
        <v/>
      </c>
      <c r="AY5" t="str">
        <f t="shared" si="22"/>
        <v/>
      </c>
      <c r="AZ5" t="str">
        <f t="shared" si="23"/>
        <v/>
      </c>
      <c r="BA5" t="str">
        <f t="shared" si="24"/>
        <v/>
      </c>
      <c r="BB5" t="str">
        <f t="shared" si="25"/>
        <v/>
      </c>
      <c r="BC5" t="str">
        <f t="shared" si="26"/>
        <v/>
      </c>
      <c r="BD5" t="str">
        <f t="shared" si="27"/>
        <v/>
      </c>
      <c r="BE5" t="str">
        <f t="shared" si="28"/>
        <v/>
      </c>
      <c r="BF5" t="str">
        <f t="shared" si="29"/>
        <v/>
      </c>
      <c r="BG5" t="str">
        <f t="shared" si="30"/>
        <v/>
      </c>
      <c r="BH5" t="str">
        <f t="shared" si="31"/>
        <v/>
      </c>
    </row>
    <row r="6" spans="1:66" x14ac:dyDescent="0.2">
      <c r="A6">
        <v>3</v>
      </c>
      <c r="B6">
        <v>22</v>
      </c>
      <c r="C6" t="s">
        <v>39</v>
      </c>
      <c r="K6">
        <v>3</v>
      </c>
      <c r="N6">
        <v>4</v>
      </c>
      <c r="O6">
        <v>3</v>
      </c>
      <c r="S6">
        <v>1</v>
      </c>
      <c r="T6">
        <v>1</v>
      </c>
      <c r="U6">
        <v>9</v>
      </c>
      <c r="X6">
        <f t="shared" si="33"/>
        <v>0</v>
      </c>
      <c r="Z6" t="str">
        <f t="shared" si="0"/>
        <v/>
      </c>
      <c r="AA6" t="str">
        <f t="shared" si="1"/>
        <v/>
      </c>
      <c r="AB6" t="str">
        <f t="shared" si="2"/>
        <v/>
      </c>
      <c r="AC6" t="str">
        <f t="shared" si="3"/>
        <v/>
      </c>
      <c r="AE6" t="str">
        <f t="shared" si="4"/>
        <v/>
      </c>
      <c r="AF6" t="str">
        <f t="shared" si="5"/>
        <v/>
      </c>
      <c r="AG6" t="str">
        <f t="shared" si="6"/>
        <v/>
      </c>
      <c r="AH6" t="str">
        <f t="shared" si="7"/>
        <v/>
      </c>
      <c r="AI6" t="str">
        <f t="shared" si="8"/>
        <v/>
      </c>
      <c r="AK6" t="str">
        <f t="shared" si="9"/>
        <v/>
      </c>
      <c r="AL6" t="str">
        <f t="shared" si="32"/>
        <v/>
      </c>
      <c r="AM6" t="str">
        <f t="shared" si="10"/>
        <v/>
      </c>
      <c r="AN6" t="str">
        <f t="shared" si="11"/>
        <v/>
      </c>
      <c r="AO6" t="str">
        <f t="shared" si="12"/>
        <v/>
      </c>
      <c r="AP6" t="str">
        <f t="shared" si="13"/>
        <v/>
      </c>
      <c r="AQ6" t="str">
        <f t="shared" si="14"/>
        <v/>
      </c>
      <c r="AR6" t="str">
        <f t="shared" si="15"/>
        <v/>
      </c>
      <c r="AS6" t="str">
        <f t="shared" si="16"/>
        <v/>
      </c>
      <c r="AT6" t="str">
        <f t="shared" si="17"/>
        <v/>
      </c>
      <c r="AU6" t="str">
        <f t="shared" si="18"/>
        <v/>
      </c>
      <c r="AV6" t="str">
        <f t="shared" si="19"/>
        <v/>
      </c>
      <c r="AW6" t="str">
        <f t="shared" si="20"/>
        <v/>
      </c>
      <c r="AX6" t="str">
        <f t="shared" si="21"/>
        <v/>
      </c>
      <c r="AY6" t="str">
        <f t="shared" si="22"/>
        <v/>
      </c>
      <c r="AZ6" t="str">
        <f t="shared" si="23"/>
        <v/>
      </c>
      <c r="BA6" t="str">
        <f t="shared" si="24"/>
        <v/>
      </c>
      <c r="BB6" t="str">
        <f t="shared" si="25"/>
        <v/>
      </c>
      <c r="BC6" t="str">
        <f t="shared" si="26"/>
        <v/>
      </c>
      <c r="BD6" t="str">
        <f t="shared" si="27"/>
        <v/>
      </c>
      <c r="BE6" t="str">
        <f t="shared" si="28"/>
        <v/>
      </c>
      <c r="BF6" t="str">
        <f t="shared" si="29"/>
        <v/>
      </c>
      <c r="BG6" t="str">
        <f t="shared" si="30"/>
        <v/>
      </c>
      <c r="BH6" t="str">
        <f t="shared" si="31"/>
        <v/>
      </c>
    </row>
    <row r="7" spans="1:66" x14ac:dyDescent="0.2">
      <c r="A7">
        <v>4</v>
      </c>
      <c r="B7">
        <v>38</v>
      </c>
      <c r="C7" t="s">
        <v>39</v>
      </c>
      <c r="D7">
        <v>1</v>
      </c>
      <c r="E7">
        <v>1</v>
      </c>
      <c r="K7">
        <v>3</v>
      </c>
      <c r="N7">
        <v>3</v>
      </c>
      <c r="O7">
        <v>3</v>
      </c>
      <c r="S7">
        <v>1</v>
      </c>
      <c r="T7">
        <v>1</v>
      </c>
      <c r="U7">
        <v>9</v>
      </c>
      <c r="X7">
        <f t="shared" si="33"/>
        <v>0</v>
      </c>
      <c r="Z7" t="str">
        <f t="shared" si="0"/>
        <v/>
      </c>
      <c r="AA7" t="str">
        <f t="shared" si="1"/>
        <v/>
      </c>
      <c r="AB7" t="str">
        <f t="shared" si="2"/>
        <v/>
      </c>
      <c r="AC7" t="str">
        <f t="shared" si="3"/>
        <v/>
      </c>
      <c r="AE7" t="str">
        <f t="shared" si="4"/>
        <v/>
      </c>
      <c r="AF7" t="str">
        <f t="shared" si="5"/>
        <v/>
      </c>
      <c r="AG7" t="str">
        <f t="shared" si="6"/>
        <v/>
      </c>
      <c r="AH7" t="str">
        <f t="shared" si="7"/>
        <v/>
      </c>
      <c r="AI7" t="str">
        <f t="shared" si="8"/>
        <v/>
      </c>
      <c r="AK7" t="str">
        <f t="shared" si="9"/>
        <v/>
      </c>
      <c r="AL7" t="str">
        <f t="shared" si="32"/>
        <v/>
      </c>
      <c r="AM7" t="str">
        <f t="shared" si="10"/>
        <v/>
      </c>
      <c r="AN7" t="str">
        <f t="shared" si="11"/>
        <v/>
      </c>
      <c r="AO7" t="str">
        <f t="shared" si="12"/>
        <v/>
      </c>
      <c r="AP7" t="str">
        <f t="shared" si="13"/>
        <v/>
      </c>
      <c r="AQ7" t="str">
        <f t="shared" si="14"/>
        <v/>
      </c>
      <c r="AR7" t="str">
        <f t="shared" si="15"/>
        <v/>
      </c>
      <c r="AS7" t="str">
        <f t="shared" si="16"/>
        <v/>
      </c>
      <c r="AT7" t="str">
        <f t="shared" si="17"/>
        <v/>
      </c>
      <c r="AU7" t="str">
        <f t="shared" si="18"/>
        <v/>
      </c>
      <c r="AV7" t="str">
        <f t="shared" si="19"/>
        <v/>
      </c>
      <c r="AW7" t="str">
        <f t="shared" si="20"/>
        <v/>
      </c>
      <c r="AX7" t="str">
        <f t="shared" si="21"/>
        <v/>
      </c>
      <c r="AY7" t="str">
        <f t="shared" si="22"/>
        <v/>
      </c>
      <c r="AZ7" t="str">
        <f t="shared" si="23"/>
        <v/>
      </c>
      <c r="BA7" t="str">
        <f t="shared" si="24"/>
        <v/>
      </c>
      <c r="BB7" t="str">
        <f t="shared" si="25"/>
        <v/>
      </c>
      <c r="BC7" t="str">
        <f t="shared" si="26"/>
        <v/>
      </c>
      <c r="BD7" t="str">
        <f t="shared" si="27"/>
        <v/>
      </c>
      <c r="BE7" t="str">
        <f t="shared" si="28"/>
        <v/>
      </c>
      <c r="BF7" t="str">
        <f t="shared" si="29"/>
        <v/>
      </c>
      <c r="BG7" t="str">
        <f t="shared" si="30"/>
        <v/>
      </c>
      <c r="BH7" t="str">
        <f t="shared" si="31"/>
        <v/>
      </c>
    </row>
    <row r="8" spans="1:66" x14ac:dyDescent="0.2">
      <c r="A8">
        <v>5</v>
      </c>
      <c r="B8">
        <v>50</v>
      </c>
      <c r="C8" t="s">
        <v>39</v>
      </c>
      <c r="D8">
        <v>1</v>
      </c>
      <c r="F8">
        <v>1</v>
      </c>
      <c r="K8">
        <v>3</v>
      </c>
      <c r="N8">
        <v>2</v>
      </c>
      <c r="O8">
        <v>2</v>
      </c>
      <c r="S8">
        <v>1</v>
      </c>
      <c r="T8">
        <v>1</v>
      </c>
      <c r="U8">
        <v>14</v>
      </c>
      <c r="X8">
        <f t="shared" si="33"/>
        <v>0</v>
      </c>
      <c r="Z8" t="str">
        <f t="shared" si="0"/>
        <v/>
      </c>
      <c r="AA8" t="str">
        <f t="shared" si="1"/>
        <v/>
      </c>
      <c r="AB8" t="str">
        <f t="shared" si="2"/>
        <v/>
      </c>
      <c r="AC8" t="str">
        <f t="shared" si="3"/>
        <v/>
      </c>
      <c r="AE8" t="str">
        <f t="shared" si="4"/>
        <v/>
      </c>
      <c r="AF8" t="str">
        <f t="shared" si="5"/>
        <v/>
      </c>
      <c r="AG8" t="str">
        <f t="shared" si="6"/>
        <v/>
      </c>
      <c r="AH8" t="str">
        <f t="shared" si="7"/>
        <v/>
      </c>
      <c r="AI8" t="str">
        <f t="shared" si="8"/>
        <v/>
      </c>
      <c r="AK8" t="str">
        <f t="shared" si="9"/>
        <v/>
      </c>
      <c r="AL8" t="str">
        <f t="shared" si="32"/>
        <v/>
      </c>
      <c r="AM8" t="str">
        <f t="shared" si="10"/>
        <v/>
      </c>
      <c r="AN8" t="str">
        <f t="shared" si="11"/>
        <v/>
      </c>
      <c r="AO8" t="str">
        <f t="shared" si="12"/>
        <v/>
      </c>
      <c r="AP8" t="str">
        <f t="shared" si="13"/>
        <v/>
      </c>
      <c r="AQ8" t="str">
        <f t="shared" si="14"/>
        <v/>
      </c>
      <c r="AR8" t="str">
        <f t="shared" si="15"/>
        <v/>
      </c>
      <c r="AS8" t="str">
        <f t="shared" si="16"/>
        <v/>
      </c>
      <c r="AT8" t="str">
        <f t="shared" si="17"/>
        <v/>
      </c>
      <c r="AU8" t="str">
        <f t="shared" si="18"/>
        <v/>
      </c>
      <c r="AV8" t="str">
        <f t="shared" si="19"/>
        <v/>
      </c>
      <c r="AW8" t="str">
        <f t="shared" si="20"/>
        <v/>
      </c>
      <c r="AX8" t="str">
        <f t="shared" si="21"/>
        <v/>
      </c>
      <c r="AY8" t="str">
        <f t="shared" si="22"/>
        <v/>
      </c>
      <c r="AZ8" t="str">
        <f t="shared" si="23"/>
        <v/>
      </c>
      <c r="BA8" t="str">
        <f t="shared" si="24"/>
        <v/>
      </c>
      <c r="BB8" t="str">
        <f t="shared" si="25"/>
        <v/>
      </c>
      <c r="BC8" t="str">
        <f t="shared" si="26"/>
        <v/>
      </c>
      <c r="BD8" t="str">
        <f t="shared" si="27"/>
        <v/>
      </c>
      <c r="BE8" t="str">
        <f t="shared" si="28"/>
        <v/>
      </c>
      <c r="BF8" t="str">
        <f t="shared" si="29"/>
        <v/>
      </c>
      <c r="BG8" t="str">
        <f t="shared" si="30"/>
        <v/>
      </c>
      <c r="BH8" t="str">
        <f t="shared" si="31"/>
        <v/>
      </c>
    </row>
    <row r="9" spans="1:66" x14ac:dyDescent="0.2">
      <c r="A9">
        <v>6</v>
      </c>
      <c r="B9">
        <v>57</v>
      </c>
      <c r="C9" t="s">
        <v>207</v>
      </c>
      <c r="D9">
        <v>1</v>
      </c>
      <c r="K9">
        <v>3</v>
      </c>
      <c r="N9">
        <v>4</v>
      </c>
      <c r="O9">
        <v>4</v>
      </c>
      <c r="S9">
        <v>1</v>
      </c>
      <c r="T9">
        <v>1</v>
      </c>
      <c r="U9">
        <v>9</v>
      </c>
      <c r="X9">
        <f t="shared" si="33"/>
        <v>0</v>
      </c>
      <c r="Z9" t="str">
        <f t="shared" si="0"/>
        <v/>
      </c>
      <c r="AA9" t="str">
        <f t="shared" si="1"/>
        <v/>
      </c>
      <c r="AB9" t="str">
        <f t="shared" si="2"/>
        <v/>
      </c>
      <c r="AC9" t="str">
        <f t="shared" si="3"/>
        <v/>
      </c>
      <c r="AE9" t="str">
        <f t="shared" si="4"/>
        <v/>
      </c>
      <c r="AF9" t="str">
        <f t="shared" si="5"/>
        <v/>
      </c>
      <c r="AG9" t="str">
        <f t="shared" si="6"/>
        <v/>
      </c>
      <c r="AH9" t="str">
        <f t="shared" si="7"/>
        <v/>
      </c>
      <c r="AI9" t="str">
        <f t="shared" si="8"/>
        <v/>
      </c>
      <c r="AK9" t="str">
        <f t="shared" si="9"/>
        <v/>
      </c>
      <c r="AL9" t="str">
        <f t="shared" si="32"/>
        <v/>
      </c>
      <c r="AM9" t="str">
        <f t="shared" si="10"/>
        <v/>
      </c>
      <c r="AN9" t="str">
        <f t="shared" si="11"/>
        <v/>
      </c>
      <c r="AO9" t="str">
        <f t="shared" si="12"/>
        <v/>
      </c>
      <c r="AP9" t="str">
        <f t="shared" si="13"/>
        <v/>
      </c>
      <c r="AQ9" t="str">
        <f t="shared" si="14"/>
        <v/>
      </c>
      <c r="AR9" t="str">
        <f t="shared" si="15"/>
        <v/>
      </c>
      <c r="AS9" t="str">
        <f t="shared" si="16"/>
        <v/>
      </c>
      <c r="AT9" t="str">
        <f t="shared" si="17"/>
        <v/>
      </c>
      <c r="AU9" t="str">
        <f t="shared" si="18"/>
        <v/>
      </c>
      <c r="AV9" t="str">
        <f t="shared" si="19"/>
        <v/>
      </c>
      <c r="AW9" t="str">
        <f t="shared" si="20"/>
        <v/>
      </c>
      <c r="AX9" t="str">
        <f t="shared" si="21"/>
        <v/>
      </c>
      <c r="AY9" t="str">
        <f t="shared" si="22"/>
        <v/>
      </c>
      <c r="AZ9" t="str">
        <f t="shared" si="23"/>
        <v/>
      </c>
      <c r="BA9" t="str">
        <f t="shared" si="24"/>
        <v/>
      </c>
      <c r="BB9" t="str">
        <f t="shared" si="25"/>
        <v/>
      </c>
      <c r="BC9" t="str">
        <f t="shared" si="26"/>
        <v/>
      </c>
      <c r="BD9" t="str">
        <f t="shared" si="27"/>
        <v/>
      </c>
      <c r="BE9" t="str">
        <f t="shared" si="28"/>
        <v/>
      </c>
      <c r="BF9" t="str">
        <f t="shared" si="29"/>
        <v/>
      </c>
      <c r="BG9" t="str">
        <f t="shared" si="30"/>
        <v/>
      </c>
      <c r="BH9" t="str">
        <f t="shared" si="31"/>
        <v/>
      </c>
    </row>
    <row r="10" spans="1:66" x14ac:dyDescent="0.2">
      <c r="A10">
        <v>7</v>
      </c>
      <c r="B10">
        <v>69</v>
      </c>
      <c r="C10" t="s">
        <v>207</v>
      </c>
      <c r="K10">
        <v>2</v>
      </c>
      <c r="L10">
        <v>1</v>
      </c>
      <c r="N10">
        <v>2</v>
      </c>
      <c r="O10">
        <v>2</v>
      </c>
      <c r="S10">
        <v>1</v>
      </c>
      <c r="T10">
        <v>1</v>
      </c>
      <c r="X10">
        <f t="shared" si="33"/>
        <v>0</v>
      </c>
      <c r="Z10" t="str">
        <f t="shared" si="0"/>
        <v/>
      </c>
      <c r="AA10" t="str">
        <f t="shared" si="1"/>
        <v/>
      </c>
      <c r="AB10" t="str">
        <f t="shared" si="2"/>
        <v/>
      </c>
      <c r="AC10" t="str">
        <f t="shared" si="3"/>
        <v/>
      </c>
      <c r="AE10" t="str">
        <f t="shared" si="4"/>
        <v/>
      </c>
      <c r="AF10" t="str">
        <f t="shared" si="5"/>
        <v/>
      </c>
      <c r="AG10" t="str">
        <f t="shared" si="6"/>
        <v/>
      </c>
      <c r="AH10" t="str">
        <f t="shared" si="7"/>
        <v/>
      </c>
      <c r="AI10" t="str">
        <f t="shared" si="8"/>
        <v/>
      </c>
      <c r="AK10" t="str">
        <f t="shared" si="9"/>
        <v/>
      </c>
      <c r="AL10" t="str">
        <f t="shared" si="32"/>
        <v/>
      </c>
      <c r="AM10" t="str">
        <f t="shared" si="10"/>
        <v/>
      </c>
      <c r="AN10" t="str">
        <f t="shared" si="11"/>
        <v/>
      </c>
      <c r="AO10" t="str">
        <f t="shared" si="12"/>
        <v/>
      </c>
      <c r="AP10" t="str">
        <f t="shared" si="13"/>
        <v/>
      </c>
      <c r="AQ10" t="str">
        <f t="shared" si="14"/>
        <v/>
      </c>
      <c r="AR10" t="str">
        <f t="shared" si="15"/>
        <v/>
      </c>
      <c r="AS10" t="str">
        <f t="shared" si="16"/>
        <v/>
      </c>
      <c r="AT10" t="str">
        <f t="shared" si="17"/>
        <v/>
      </c>
      <c r="AU10" t="str">
        <f t="shared" si="18"/>
        <v/>
      </c>
      <c r="AV10" t="str">
        <f t="shared" si="19"/>
        <v/>
      </c>
      <c r="AW10" t="str">
        <f t="shared" si="20"/>
        <v/>
      </c>
      <c r="AX10" t="str">
        <f t="shared" si="21"/>
        <v/>
      </c>
      <c r="AY10" t="str">
        <f t="shared" si="22"/>
        <v/>
      </c>
      <c r="AZ10" t="str">
        <f t="shared" si="23"/>
        <v/>
      </c>
      <c r="BA10" t="str">
        <f t="shared" si="24"/>
        <v/>
      </c>
      <c r="BB10" t="str">
        <f t="shared" si="25"/>
        <v/>
      </c>
      <c r="BC10" t="str">
        <f t="shared" si="26"/>
        <v/>
      </c>
      <c r="BD10" t="str">
        <f t="shared" si="27"/>
        <v/>
      </c>
      <c r="BE10" t="str">
        <f t="shared" si="28"/>
        <v/>
      </c>
      <c r="BF10" t="str">
        <f t="shared" si="29"/>
        <v/>
      </c>
      <c r="BG10" t="str">
        <f t="shared" si="30"/>
        <v/>
      </c>
      <c r="BH10" t="str">
        <f t="shared" si="31"/>
        <v/>
      </c>
    </row>
    <row r="11" spans="1:66" x14ac:dyDescent="0.2">
      <c r="A11">
        <v>8</v>
      </c>
      <c r="B11">
        <v>76</v>
      </c>
      <c r="C11" t="s">
        <v>39</v>
      </c>
      <c r="K11">
        <v>3</v>
      </c>
      <c r="N11">
        <v>3</v>
      </c>
      <c r="O11">
        <v>1</v>
      </c>
      <c r="S11">
        <v>1</v>
      </c>
      <c r="T11">
        <v>1</v>
      </c>
      <c r="U11">
        <v>5</v>
      </c>
      <c r="X11">
        <f t="shared" si="33"/>
        <v>0</v>
      </c>
      <c r="Z11" t="str">
        <f t="shared" si="0"/>
        <v/>
      </c>
      <c r="AA11" t="str">
        <f t="shared" si="1"/>
        <v/>
      </c>
      <c r="AB11" t="str">
        <f t="shared" si="2"/>
        <v/>
      </c>
      <c r="AC11" t="str">
        <f t="shared" si="3"/>
        <v/>
      </c>
      <c r="AE11" t="str">
        <f t="shared" si="4"/>
        <v/>
      </c>
      <c r="AF11" t="str">
        <f t="shared" si="5"/>
        <v/>
      </c>
      <c r="AG11" t="str">
        <f t="shared" si="6"/>
        <v/>
      </c>
      <c r="AH11" t="str">
        <f t="shared" si="7"/>
        <v/>
      </c>
      <c r="AI11" t="str">
        <f t="shared" si="8"/>
        <v/>
      </c>
      <c r="AK11" t="str">
        <f t="shared" si="9"/>
        <v/>
      </c>
      <c r="AL11" t="str">
        <f t="shared" si="32"/>
        <v/>
      </c>
      <c r="AM11" t="str">
        <f t="shared" si="10"/>
        <v/>
      </c>
      <c r="AN11" t="str">
        <f t="shared" si="11"/>
        <v/>
      </c>
      <c r="AO11" t="str">
        <f t="shared" si="12"/>
        <v/>
      </c>
      <c r="AP11" t="str">
        <f t="shared" si="13"/>
        <v/>
      </c>
      <c r="AQ11" t="str">
        <f t="shared" si="14"/>
        <v/>
      </c>
      <c r="AR11" t="str">
        <f t="shared" si="15"/>
        <v/>
      </c>
      <c r="AS11" t="str">
        <f t="shared" si="16"/>
        <v/>
      </c>
      <c r="AT11" t="str">
        <f t="shared" si="17"/>
        <v/>
      </c>
      <c r="AU11" t="str">
        <f t="shared" si="18"/>
        <v/>
      </c>
      <c r="AV11" t="str">
        <f t="shared" si="19"/>
        <v/>
      </c>
      <c r="AW11" t="str">
        <f t="shared" si="20"/>
        <v/>
      </c>
      <c r="AX11" t="str">
        <f t="shared" si="21"/>
        <v/>
      </c>
      <c r="AY11" t="str">
        <f t="shared" si="22"/>
        <v/>
      </c>
      <c r="AZ11" t="str">
        <f t="shared" si="23"/>
        <v/>
      </c>
      <c r="BA11" t="str">
        <f t="shared" si="24"/>
        <v/>
      </c>
      <c r="BB11" t="str">
        <f t="shared" si="25"/>
        <v/>
      </c>
      <c r="BC11" t="str">
        <f t="shared" si="26"/>
        <v/>
      </c>
      <c r="BD11" t="str">
        <f t="shared" si="27"/>
        <v/>
      </c>
      <c r="BE11" t="str">
        <f t="shared" si="28"/>
        <v/>
      </c>
      <c r="BF11" t="str">
        <f t="shared" si="29"/>
        <v/>
      </c>
      <c r="BG11" t="str">
        <f t="shared" si="30"/>
        <v/>
      </c>
      <c r="BH11" t="str">
        <f t="shared" si="31"/>
        <v/>
      </c>
    </row>
    <row r="12" spans="1:66" x14ac:dyDescent="0.2">
      <c r="A12">
        <v>9</v>
      </c>
      <c r="B12">
        <v>82</v>
      </c>
      <c r="C12" t="s">
        <v>207</v>
      </c>
      <c r="D12">
        <v>1</v>
      </c>
      <c r="E12">
        <v>1</v>
      </c>
      <c r="S12">
        <v>1</v>
      </c>
      <c r="T12">
        <v>1</v>
      </c>
      <c r="X12">
        <f t="shared" si="33"/>
        <v>0</v>
      </c>
      <c r="Z12" t="str">
        <f t="shared" si="0"/>
        <v/>
      </c>
      <c r="AA12" t="str">
        <f t="shared" si="1"/>
        <v/>
      </c>
      <c r="AB12" t="str">
        <f t="shared" si="2"/>
        <v/>
      </c>
      <c r="AC12" t="str">
        <f t="shared" si="3"/>
        <v/>
      </c>
      <c r="AE12" t="str">
        <f t="shared" si="4"/>
        <v/>
      </c>
      <c r="AF12" t="str">
        <f t="shared" si="5"/>
        <v/>
      </c>
      <c r="AG12" t="str">
        <f t="shared" si="6"/>
        <v/>
      </c>
      <c r="AH12" t="str">
        <f t="shared" si="7"/>
        <v/>
      </c>
      <c r="AI12" t="str">
        <f t="shared" si="8"/>
        <v/>
      </c>
      <c r="AK12" t="str">
        <f t="shared" si="9"/>
        <v/>
      </c>
      <c r="AL12" t="str">
        <f t="shared" si="32"/>
        <v/>
      </c>
      <c r="AM12" t="str">
        <f t="shared" si="10"/>
        <v/>
      </c>
      <c r="AN12" t="str">
        <f t="shared" si="11"/>
        <v/>
      </c>
      <c r="AO12" t="str">
        <f t="shared" si="12"/>
        <v/>
      </c>
      <c r="AP12" t="str">
        <f t="shared" si="13"/>
        <v/>
      </c>
      <c r="AQ12" t="str">
        <f t="shared" si="14"/>
        <v/>
      </c>
      <c r="AR12" t="str">
        <f t="shared" si="15"/>
        <v/>
      </c>
      <c r="AS12" t="str">
        <f t="shared" si="16"/>
        <v/>
      </c>
      <c r="AT12" t="str">
        <f t="shared" si="17"/>
        <v/>
      </c>
      <c r="AU12" t="str">
        <f t="shared" si="18"/>
        <v/>
      </c>
      <c r="AV12" t="str">
        <f t="shared" si="19"/>
        <v/>
      </c>
      <c r="AW12" t="str">
        <f t="shared" si="20"/>
        <v/>
      </c>
      <c r="AX12" t="str">
        <f t="shared" si="21"/>
        <v/>
      </c>
      <c r="AY12" t="str">
        <f t="shared" si="22"/>
        <v/>
      </c>
      <c r="AZ12" t="str">
        <f t="shared" si="23"/>
        <v/>
      </c>
      <c r="BA12" t="str">
        <f t="shared" si="24"/>
        <v/>
      </c>
      <c r="BB12" t="str">
        <f t="shared" si="25"/>
        <v/>
      </c>
      <c r="BC12" t="str">
        <f t="shared" si="26"/>
        <v/>
      </c>
      <c r="BD12" t="str">
        <f t="shared" si="27"/>
        <v/>
      </c>
      <c r="BE12" t="str">
        <f t="shared" si="28"/>
        <v/>
      </c>
      <c r="BF12" t="str">
        <f t="shared" si="29"/>
        <v/>
      </c>
      <c r="BG12" t="str">
        <f t="shared" si="30"/>
        <v/>
      </c>
      <c r="BH12" t="str">
        <f t="shared" si="31"/>
        <v/>
      </c>
    </row>
    <row r="13" spans="1:66" x14ac:dyDescent="0.2">
      <c r="A13">
        <v>10</v>
      </c>
      <c r="B13">
        <v>98</v>
      </c>
      <c r="C13" t="s">
        <v>39</v>
      </c>
      <c r="K13">
        <v>1</v>
      </c>
      <c r="N13">
        <v>1</v>
      </c>
      <c r="O13">
        <v>1</v>
      </c>
      <c r="U13">
        <v>1</v>
      </c>
      <c r="X13">
        <f t="shared" si="33"/>
        <v>0</v>
      </c>
      <c r="Z13" t="str">
        <f t="shared" si="0"/>
        <v/>
      </c>
      <c r="AA13" t="str">
        <f t="shared" si="1"/>
        <v/>
      </c>
      <c r="AB13" t="str">
        <f t="shared" si="2"/>
        <v/>
      </c>
      <c r="AC13" t="str">
        <f t="shared" si="3"/>
        <v/>
      </c>
      <c r="AE13" t="str">
        <f t="shared" si="4"/>
        <v/>
      </c>
      <c r="AF13" t="str">
        <f t="shared" si="5"/>
        <v/>
      </c>
      <c r="AG13" t="str">
        <f t="shared" si="6"/>
        <v/>
      </c>
      <c r="AH13" t="str">
        <f t="shared" si="7"/>
        <v/>
      </c>
      <c r="AI13" t="str">
        <f t="shared" si="8"/>
        <v/>
      </c>
      <c r="AK13" t="str">
        <f t="shared" si="9"/>
        <v/>
      </c>
      <c r="AL13" t="str">
        <f t="shared" si="32"/>
        <v/>
      </c>
      <c r="AM13" t="str">
        <f t="shared" si="10"/>
        <v/>
      </c>
      <c r="AN13" t="str">
        <f t="shared" si="11"/>
        <v/>
      </c>
      <c r="AO13" t="str">
        <f t="shared" si="12"/>
        <v/>
      </c>
      <c r="AP13" t="str">
        <f t="shared" si="13"/>
        <v/>
      </c>
      <c r="AQ13" t="str">
        <f t="shared" si="14"/>
        <v/>
      </c>
      <c r="AR13" t="str">
        <f t="shared" si="15"/>
        <v/>
      </c>
      <c r="AS13" t="str">
        <f t="shared" si="16"/>
        <v/>
      </c>
      <c r="AT13" t="str">
        <f t="shared" si="17"/>
        <v/>
      </c>
      <c r="AU13" t="str">
        <f t="shared" si="18"/>
        <v/>
      </c>
      <c r="AV13" t="str">
        <f t="shared" si="19"/>
        <v/>
      </c>
      <c r="AW13" t="str">
        <f t="shared" si="20"/>
        <v/>
      </c>
      <c r="AX13" t="str">
        <f t="shared" si="21"/>
        <v/>
      </c>
      <c r="AY13" t="str">
        <f t="shared" si="22"/>
        <v/>
      </c>
      <c r="AZ13" t="str">
        <f t="shared" si="23"/>
        <v/>
      </c>
      <c r="BA13" t="str">
        <f t="shared" si="24"/>
        <v/>
      </c>
      <c r="BB13" t="str">
        <f t="shared" si="25"/>
        <v/>
      </c>
      <c r="BC13" t="str">
        <f t="shared" si="26"/>
        <v/>
      </c>
      <c r="BD13" t="str">
        <f t="shared" si="27"/>
        <v/>
      </c>
      <c r="BE13" t="str">
        <f t="shared" si="28"/>
        <v/>
      </c>
      <c r="BF13" t="str">
        <f t="shared" si="29"/>
        <v/>
      </c>
      <c r="BG13" t="str">
        <f t="shared" si="30"/>
        <v/>
      </c>
      <c r="BH13" t="str">
        <f t="shared" si="31"/>
        <v/>
      </c>
    </row>
    <row r="14" spans="1:66" x14ac:dyDescent="0.2">
      <c r="A14">
        <v>11</v>
      </c>
      <c r="B14">
        <v>108</v>
      </c>
      <c r="C14" t="s">
        <v>39</v>
      </c>
      <c r="K14">
        <v>3</v>
      </c>
      <c r="L14">
        <v>1</v>
      </c>
      <c r="N14">
        <v>4</v>
      </c>
      <c r="O14">
        <v>4</v>
      </c>
      <c r="S14">
        <v>1</v>
      </c>
      <c r="T14">
        <v>1</v>
      </c>
      <c r="U14">
        <v>5</v>
      </c>
      <c r="X14">
        <f t="shared" si="33"/>
        <v>0</v>
      </c>
      <c r="Z14" t="s">
        <v>31</v>
      </c>
      <c r="AE14" t="s">
        <v>34</v>
      </c>
      <c r="AK14" t="s">
        <v>43</v>
      </c>
      <c r="AP14" t="s">
        <v>84</v>
      </c>
    </row>
    <row r="15" spans="1:66" x14ac:dyDescent="0.2">
      <c r="A15">
        <v>12</v>
      </c>
      <c r="B15">
        <v>115</v>
      </c>
      <c r="C15" t="s">
        <v>207</v>
      </c>
      <c r="D15">
        <v>1</v>
      </c>
      <c r="E15">
        <v>1</v>
      </c>
      <c r="F15">
        <v>1</v>
      </c>
      <c r="K15">
        <v>3</v>
      </c>
      <c r="L15">
        <v>1</v>
      </c>
      <c r="N15">
        <v>2</v>
      </c>
      <c r="O15">
        <v>2</v>
      </c>
      <c r="S15">
        <v>1</v>
      </c>
      <c r="T15">
        <v>1</v>
      </c>
      <c r="X15">
        <f t="shared" si="33"/>
        <v>0</v>
      </c>
      <c r="Z15" t="s">
        <v>21</v>
      </c>
      <c r="AA15" t="s">
        <v>22</v>
      </c>
      <c r="AE15" t="s">
        <v>21</v>
      </c>
      <c r="AF15" t="s">
        <v>22</v>
      </c>
      <c r="AG15" t="s">
        <v>35</v>
      </c>
      <c r="AK15" t="s">
        <v>10</v>
      </c>
      <c r="AL15" t="s">
        <v>25</v>
      </c>
      <c r="AM15" t="s">
        <v>26</v>
      </c>
      <c r="AN15" t="s">
        <v>27</v>
      </c>
      <c r="AP15" t="s">
        <v>15</v>
      </c>
      <c r="AQ15" t="s">
        <v>85</v>
      </c>
    </row>
    <row r="16" spans="1:66" x14ac:dyDescent="0.2">
      <c r="A16" t="s">
        <v>28</v>
      </c>
      <c r="D16">
        <f>SUM(D4:D15)</f>
        <v>6</v>
      </c>
      <c r="E16">
        <f>SUM(E4:E15)</f>
        <v>3</v>
      </c>
      <c r="F16">
        <f>SUM(F4:F15)</f>
        <v>3</v>
      </c>
      <c r="G16">
        <f>SUM(G4:G15)</f>
        <v>0</v>
      </c>
      <c r="H16">
        <f>SUM(H4:H15)</f>
        <v>0</v>
      </c>
      <c r="K16">
        <f>SUM(K4:K15)</f>
        <v>30</v>
      </c>
      <c r="L16">
        <f>SUM(L4:L15)</f>
        <v>5</v>
      </c>
      <c r="M16">
        <f>SUM(M4:M15)</f>
        <v>0</v>
      </c>
      <c r="N16">
        <f>SUM(N4:N15)</f>
        <v>31</v>
      </c>
      <c r="O16">
        <f>SUM(O4:O15)</f>
        <v>28</v>
      </c>
      <c r="Q16">
        <f t="shared" ref="Q16:R16" si="34">SUM(Q4:Q15)</f>
        <v>0</v>
      </c>
      <c r="R16">
        <f t="shared" si="34"/>
        <v>0</v>
      </c>
      <c r="S16">
        <f>SUM(S4:S15)</f>
        <v>11</v>
      </c>
      <c r="T16">
        <f>SUM(T4:T15)</f>
        <v>11</v>
      </c>
      <c r="U16">
        <f>SUM(U4:U15)</f>
        <v>55</v>
      </c>
      <c r="V16">
        <f>SUM(V4:V15)</f>
        <v>0</v>
      </c>
      <c r="W16">
        <f>SUM(W4:W15)</f>
        <v>0</v>
      </c>
      <c r="Z16">
        <f t="shared" ref="Z16:Z27" si="35">COUNTIF(Z2:AC2, "3")*COUNTIF(C4, "r")+COUNTIF(Z2:AC2, "5")*COUNTIF(C4, "b")</f>
        <v>0</v>
      </c>
      <c r="AA16">
        <f t="shared" ref="AA16:AA27" si="36">COUNTIF(Z2:AC2, "1")+COUNTIF(Z2:AC2, "2")+COUNTIF(Z2:AC2, "4")</f>
        <v>0</v>
      </c>
      <c r="AE16">
        <f t="shared" ref="AE16:AE27" si="37">COUNTIF(AE2:AI2, "3")*COUNTIF(C4, "r") + COUNTIF(AE2:AI2, "5")*COUNTIF(C4, "b")</f>
        <v>0</v>
      </c>
      <c r="AF16">
        <f t="shared" ref="AF16:AF27" si="38">COUNTIF(AE2:AI2, "1")+COUNTIF(AE2:AI2, "2")+COUNTIF(AE2:AI2, "4")</f>
        <v>0</v>
      </c>
      <c r="AG16">
        <f t="shared" ref="AG16:AG27" si="39">COUNTIF(AE2:AI2, "3")*COUNTIF(AE2:AI2, "b")+COUNTIF(AE2:AI2, "5")*COUNTIF(AE2:AI2, "r")</f>
        <v>0</v>
      </c>
      <c r="AK16">
        <f t="shared" ref="AK16:AK27" si="40">SUMPRODUCT(LEN($AK2:$BH2) - LEN(SUBSTITUTE($AK2:$BH2, "g", "")))</f>
        <v>0</v>
      </c>
      <c r="AL16">
        <f t="shared" ref="AL16:AL27" si="41">SUMPRODUCT(LEN($AK2:$BH2) - LEN(SUBSTITUTE($AK2:$BH2, "h", "")))</f>
        <v>0</v>
      </c>
      <c r="AM16">
        <f t="shared" ref="AM16:AM27" si="42">SUMPRODUCT(LEN($AK2:$BH2) - LEN(SUBSTITUTE($AK2:$BH2, "v", "")))</f>
        <v>0</v>
      </c>
      <c r="AN16">
        <f t="shared" ref="AN16:AN27" si="43">SUMPRODUCT(LEN($AK2:$BH2) - LEN(SUBSTITUTE($AK2:$BH2, "r", "")))</f>
        <v>0</v>
      </c>
      <c r="AP16">
        <f>MAX(AQ16:BN16)</f>
        <v>0</v>
      </c>
      <c r="AQ16" s="4">
        <f>_xlfn.NUMBERVALUE(RIGHT(AK2,1))</f>
        <v>0</v>
      </c>
      <c r="AR16" s="4">
        <f t="shared" ref="AR16:BG27" si="44">_xlfn.NUMBERVALUE(RIGHT(AL2,1))</f>
        <v>0</v>
      </c>
      <c r="AS16" s="4">
        <f t="shared" si="44"/>
        <v>0</v>
      </c>
      <c r="AT16" s="4">
        <f t="shared" si="44"/>
        <v>0</v>
      </c>
      <c r="AU16" s="4">
        <f t="shared" si="44"/>
        <v>0</v>
      </c>
      <c r="AV16" s="4">
        <f t="shared" si="44"/>
        <v>0</v>
      </c>
      <c r="AW16" s="4">
        <f t="shared" si="44"/>
        <v>0</v>
      </c>
      <c r="AX16" s="4">
        <f t="shared" si="44"/>
        <v>0</v>
      </c>
      <c r="AY16" s="4">
        <f t="shared" si="44"/>
        <v>0</v>
      </c>
      <c r="AZ16" s="4">
        <f t="shared" si="44"/>
        <v>0</v>
      </c>
      <c r="BA16" s="4">
        <f t="shared" si="44"/>
        <v>0</v>
      </c>
      <c r="BB16" s="4">
        <f t="shared" si="44"/>
        <v>0</v>
      </c>
      <c r="BC16" s="4">
        <f t="shared" si="44"/>
        <v>0</v>
      </c>
      <c r="BD16" s="4">
        <f t="shared" si="44"/>
        <v>0</v>
      </c>
      <c r="BE16" s="4">
        <f t="shared" si="44"/>
        <v>0</v>
      </c>
      <c r="BF16" s="4">
        <f t="shared" si="44"/>
        <v>0</v>
      </c>
      <c r="BG16" s="4">
        <f t="shared" si="44"/>
        <v>0</v>
      </c>
      <c r="BH16" s="4">
        <f t="shared" ref="BH16:BN27" si="45">_xlfn.NUMBERVALUE(RIGHT(BB2,1))</f>
        <v>0</v>
      </c>
      <c r="BI16" s="4">
        <f t="shared" si="45"/>
        <v>0</v>
      </c>
      <c r="BJ16" s="4">
        <f t="shared" si="45"/>
        <v>0</v>
      </c>
      <c r="BK16" s="4">
        <f t="shared" si="45"/>
        <v>0</v>
      </c>
      <c r="BL16" s="4">
        <f t="shared" si="45"/>
        <v>0</v>
      </c>
      <c r="BM16" s="4">
        <f t="shared" si="45"/>
        <v>0</v>
      </c>
      <c r="BN16" s="4">
        <f t="shared" si="45"/>
        <v>0</v>
      </c>
    </row>
    <row r="17" spans="1:66" x14ac:dyDescent="0.2">
      <c r="A17" s="1" t="s">
        <v>20</v>
      </c>
      <c r="D17" s="1" t="s">
        <v>49</v>
      </c>
      <c r="G17" s="1" t="s">
        <v>52</v>
      </c>
      <c r="K17" s="3" t="s">
        <v>74</v>
      </c>
      <c r="P17" s="1" t="s">
        <v>66</v>
      </c>
      <c r="Z17">
        <f t="shared" si="35"/>
        <v>0</v>
      </c>
      <c r="AA17">
        <f t="shared" si="36"/>
        <v>0</v>
      </c>
      <c r="AE17">
        <f t="shared" si="37"/>
        <v>0</v>
      </c>
      <c r="AF17">
        <f t="shared" si="38"/>
        <v>0</v>
      </c>
      <c r="AG17">
        <f t="shared" si="39"/>
        <v>0</v>
      </c>
      <c r="AK17">
        <f t="shared" si="40"/>
        <v>0</v>
      </c>
      <c r="AL17">
        <f t="shared" si="41"/>
        <v>0</v>
      </c>
      <c r="AM17">
        <f t="shared" si="42"/>
        <v>0</v>
      </c>
      <c r="AN17">
        <f t="shared" si="43"/>
        <v>0</v>
      </c>
      <c r="AP17">
        <f t="shared" ref="AP17:AP27" si="46">MAX(AQ17:BN17)</f>
        <v>0</v>
      </c>
      <c r="AQ17" s="4">
        <f t="shared" ref="AQ17:AQ27" si="47">_xlfn.NUMBERVALUE(RIGHT(AK3,1))</f>
        <v>0</v>
      </c>
      <c r="AR17" s="4">
        <f t="shared" si="44"/>
        <v>0</v>
      </c>
      <c r="AS17" s="4">
        <f t="shared" si="44"/>
        <v>0</v>
      </c>
      <c r="AT17" s="4">
        <f t="shared" si="44"/>
        <v>0</v>
      </c>
      <c r="AU17" s="4">
        <f t="shared" si="44"/>
        <v>0</v>
      </c>
      <c r="AV17" s="4">
        <f t="shared" si="44"/>
        <v>0</v>
      </c>
      <c r="AW17" s="4">
        <f t="shared" si="44"/>
        <v>0</v>
      </c>
      <c r="AX17" s="4">
        <f t="shared" si="44"/>
        <v>0</v>
      </c>
      <c r="AY17" s="4">
        <f t="shared" si="44"/>
        <v>0</v>
      </c>
      <c r="AZ17" s="4">
        <f t="shared" si="44"/>
        <v>0</v>
      </c>
      <c r="BA17" s="4">
        <f t="shared" si="44"/>
        <v>0</v>
      </c>
      <c r="BB17" s="4">
        <f t="shared" si="44"/>
        <v>0</v>
      </c>
      <c r="BC17" s="4">
        <f t="shared" si="44"/>
        <v>0</v>
      </c>
      <c r="BD17" s="4">
        <f t="shared" si="44"/>
        <v>0</v>
      </c>
      <c r="BE17" s="4">
        <f t="shared" si="44"/>
        <v>0</v>
      </c>
      <c r="BF17" s="4">
        <f t="shared" si="44"/>
        <v>0</v>
      </c>
      <c r="BG17" s="4">
        <f t="shared" si="44"/>
        <v>0</v>
      </c>
      <c r="BH17" s="4">
        <f t="shared" si="45"/>
        <v>0</v>
      </c>
      <c r="BI17" s="4">
        <f t="shared" si="45"/>
        <v>0</v>
      </c>
      <c r="BJ17" s="4">
        <f t="shared" si="45"/>
        <v>0</v>
      </c>
      <c r="BK17" s="4">
        <f t="shared" si="45"/>
        <v>0</v>
      </c>
      <c r="BL17" s="4">
        <f t="shared" si="45"/>
        <v>0</v>
      </c>
      <c r="BM17" s="4">
        <f t="shared" si="45"/>
        <v>0</v>
      </c>
      <c r="BN17" s="4">
        <f t="shared" si="45"/>
        <v>0</v>
      </c>
    </row>
    <row r="18" spans="1:66" x14ac:dyDescent="0.2">
      <c r="A18" t="s">
        <v>32</v>
      </c>
      <c r="B18" t="s">
        <v>21</v>
      </c>
      <c r="D18" t="s">
        <v>180</v>
      </c>
      <c r="G18" s="3" t="s">
        <v>53</v>
      </c>
      <c r="K18" t="s">
        <v>55</v>
      </c>
      <c r="M18" t="s">
        <v>65</v>
      </c>
      <c r="P18" t="s">
        <v>67</v>
      </c>
      <c r="Z18">
        <f t="shared" si="35"/>
        <v>0</v>
      </c>
      <c r="AA18">
        <f t="shared" si="36"/>
        <v>0</v>
      </c>
      <c r="AE18">
        <f t="shared" si="37"/>
        <v>0</v>
      </c>
      <c r="AF18">
        <f t="shared" si="38"/>
        <v>0</v>
      </c>
      <c r="AG18">
        <f t="shared" si="39"/>
        <v>0</v>
      </c>
      <c r="AK18">
        <f t="shared" si="40"/>
        <v>0</v>
      </c>
      <c r="AL18">
        <f t="shared" si="41"/>
        <v>0</v>
      </c>
      <c r="AM18">
        <f t="shared" si="42"/>
        <v>0</v>
      </c>
      <c r="AN18">
        <f t="shared" si="43"/>
        <v>0</v>
      </c>
      <c r="AP18">
        <f t="shared" si="46"/>
        <v>0</v>
      </c>
      <c r="AQ18" s="4">
        <f t="shared" si="47"/>
        <v>0</v>
      </c>
      <c r="AR18" s="4">
        <f t="shared" si="44"/>
        <v>0</v>
      </c>
      <c r="AS18" s="4">
        <f t="shared" si="44"/>
        <v>0</v>
      </c>
      <c r="AT18" s="4">
        <f t="shared" si="44"/>
        <v>0</v>
      </c>
      <c r="AU18" s="4">
        <f t="shared" si="44"/>
        <v>0</v>
      </c>
      <c r="AV18" s="4">
        <f t="shared" si="44"/>
        <v>0</v>
      </c>
      <c r="AW18" s="4">
        <f t="shared" si="44"/>
        <v>0</v>
      </c>
      <c r="AX18" s="4">
        <f t="shared" si="44"/>
        <v>0</v>
      </c>
      <c r="AY18" s="4">
        <f t="shared" si="44"/>
        <v>0</v>
      </c>
      <c r="AZ18" s="4">
        <f t="shared" si="44"/>
        <v>0</v>
      </c>
      <c r="BA18" s="4">
        <f t="shared" si="44"/>
        <v>0</v>
      </c>
      <c r="BB18" s="4">
        <f t="shared" si="44"/>
        <v>0</v>
      </c>
      <c r="BC18" s="4">
        <f t="shared" si="44"/>
        <v>0</v>
      </c>
      <c r="BD18" s="4">
        <f t="shared" si="44"/>
        <v>0</v>
      </c>
      <c r="BE18" s="4">
        <f t="shared" si="44"/>
        <v>0</v>
      </c>
      <c r="BF18" s="4">
        <f t="shared" si="44"/>
        <v>0</v>
      </c>
      <c r="BG18" s="4">
        <f t="shared" si="44"/>
        <v>0</v>
      </c>
      <c r="BH18" s="4">
        <f t="shared" si="45"/>
        <v>0</v>
      </c>
      <c r="BI18" s="4">
        <f t="shared" si="45"/>
        <v>0</v>
      </c>
      <c r="BJ18" s="4">
        <f t="shared" si="45"/>
        <v>0</v>
      </c>
      <c r="BK18" s="4">
        <f t="shared" si="45"/>
        <v>0</v>
      </c>
      <c r="BL18" s="4">
        <f t="shared" si="45"/>
        <v>0</v>
      </c>
      <c r="BM18" s="4">
        <f t="shared" si="45"/>
        <v>0</v>
      </c>
      <c r="BN18" s="4">
        <f t="shared" si="45"/>
        <v>0</v>
      </c>
    </row>
    <row r="19" spans="1:66" x14ac:dyDescent="0.2">
      <c r="A19" t="s">
        <v>40</v>
      </c>
      <c r="B19" t="s">
        <v>22</v>
      </c>
      <c r="D19">
        <f>E16/D16</f>
        <v>0.5</v>
      </c>
      <c r="G19" t="s">
        <v>75</v>
      </c>
      <c r="K19">
        <f>O16/N16</f>
        <v>0.90322580645161288</v>
      </c>
      <c r="M19">
        <f>SUM(M39:M50)</f>
        <v>2</v>
      </c>
      <c r="P19">
        <f>T16/S16</f>
        <v>1</v>
      </c>
      <c r="Z19">
        <f t="shared" si="35"/>
        <v>0</v>
      </c>
      <c r="AA19">
        <f t="shared" si="36"/>
        <v>0</v>
      </c>
      <c r="AE19">
        <f t="shared" si="37"/>
        <v>0</v>
      </c>
      <c r="AF19">
        <f t="shared" si="38"/>
        <v>0</v>
      </c>
      <c r="AG19">
        <f t="shared" si="39"/>
        <v>0</v>
      </c>
      <c r="AK19">
        <f t="shared" si="40"/>
        <v>0</v>
      </c>
      <c r="AL19">
        <f t="shared" si="41"/>
        <v>0</v>
      </c>
      <c r="AM19">
        <f t="shared" si="42"/>
        <v>0</v>
      </c>
      <c r="AN19">
        <f t="shared" si="43"/>
        <v>0</v>
      </c>
      <c r="AP19">
        <f t="shared" si="46"/>
        <v>0</v>
      </c>
      <c r="AQ19" s="4">
        <f t="shared" si="47"/>
        <v>0</v>
      </c>
      <c r="AR19" s="4">
        <f t="shared" si="44"/>
        <v>0</v>
      </c>
      <c r="AS19" s="4">
        <f t="shared" si="44"/>
        <v>0</v>
      </c>
      <c r="AT19" s="4">
        <f t="shared" si="44"/>
        <v>0</v>
      </c>
      <c r="AU19" s="4">
        <f t="shared" si="44"/>
        <v>0</v>
      </c>
      <c r="AV19" s="4">
        <f t="shared" si="44"/>
        <v>0</v>
      </c>
      <c r="AW19" s="4">
        <f t="shared" si="44"/>
        <v>0</v>
      </c>
      <c r="AX19" s="4">
        <f t="shared" si="44"/>
        <v>0</v>
      </c>
      <c r="AY19" s="4">
        <f t="shared" si="44"/>
        <v>0</v>
      </c>
      <c r="AZ19" s="4">
        <f t="shared" si="44"/>
        <v>0</v>
      </c>
      <c r="BA19" s="4">
        <f t="shared" si="44"/>
        <v>0</v>
      </c>
      <c r="BB19" s="4">
        <f t="shared" si="44"/>
        <v>0</v>
      </c>
      <c r="BC19" s="4">
        <f t="shared" si="44"/>
        <v>0</v>
      </c>
      <c r="BD19" s="4">
        <f t="shared" si="44"/>
        <v>0</v>
      </c>
      <c r="BE19" s="4">
        <f t="shared" si="44"/>
        <v>0</v>
      </c>
      <c r="BF19" s="4">
        <f t="shared" si="44"/>
        <v>0</v>
      </c>
      <c r="BG19" s="4">
        <f t="shared" si="44"/>
        <v>0</v>
      </c>
      <c r="BH19" s="4">
        <f t="shared" si="45"/>
        <v>0</v>
      </c>
      <c r="BI19" s="4">
        <f t="shared" si="45"/>
        <v>0</v>
      </c>
      <c r="BJ19" s="4">
        <f t="shared" si="45"/>
        <v>0</v>
      </c>
      <c r="BK19" s="4">
        <f t="shared" si="45"/>
        <v>0</v>
      </c>
      <c r="BL19" s="4">
        <f t="shared" si="45"/>
        <v>0</v>
      </c>
      <c r="BM19" s="4">
        <f t="shared" si="45"/>
        <v>0</v>
      </c>
      <c r="BN19" s="4">
        <f t="shared" si="45"/>
        <v>0</v>
      </c>
    </row>
    <row r="20" spans="1:66" x14ac:dyDescent="0.2">
      <c r="A20" t="s">
        <v>41</v>
      </c>
      <c r="B20" t="s">
        <v>23</v>
      </c>
      <c r="D20" t="s">
        <v>47</v>
      </c>
      <c r="G20" t="e">
        <f>AK28/AP28</f>
        <v>#DIV/0!</v>
      </c>
      <c r="K20" t="s">
        <v>13</v>
      </c>
      <c r="Z20">
        <f t="shared" si="35"/>
        <v>0</v>
      </c>
      <c r="AA20">
        <f t="shared" si="36"/>
        <v>0</v>
      </c>
      <c r="AE20">
        <f t="shared" si="37"/>
        <v>0</v>
      </c>
      <c r="AF20">
        <f t="shared" si="38"/>
        <v>0</v>
      </c>
      <c r="AG20">
        <f t="shared" si="39"/>
        <v>0</v>
      </c>
      <c r="AK20">
        <f t="shared" si="40"/>
        <v>0</v>
      </c>
      <c r="AL20">
        <f t="shared" si="41"/>
        <v>0</v>
      </c>
      <c r="AM20">
        <f t="shared" si="42"/>
        <v>0</v>
      </c>
      <c r="AN20">
        <f t="shared" si="43"/>
        <v>0</v>
      </c>
      <c r="AP20">
        <f t="shared" si="46"/>
        <v>0</v>
      </c>
      <c r="AQ20" s="4">
        <f t="shared" si="47"/>
        <v>0</v>
      </c>
      <c r="AR20" s="4">
        <f t="shared" si="44"/>
        <v>0</v>
      </c>
      <c r="AS20" s="4">
        <f t="shared" si="44"/>
        <v>0</v>
      </c>
      <c r="AT20" s="4">
        <f t="shared" si="44"/>
        <v>0</v>
      </c>
      <c r="AU20" s="4">
        <f t="shared" si="44"/>
        <v>0</v>
      </c>
      <c r="AV20" s="4">
        <f t="shared" si="44"/>
        <v>0</v>
      </c>
      <c r="AW20" s="4">
        <f t="shared" si="44"/>
        <v>0</v>
      </c>
      <c r="AX20" s="4">
        <f t="shared" si="44"/>
        <v>0</v>
      </c>
      <c r="AY20" s="4">
        <f t="shared" si="44"/>
        <v>0</v>
      </c>
      <c r="AZ20" s="4">
        <f t="shared" si="44"/>
        <v>0</v>
      </c>
      <c r="BA20" s="4">
        <f t="shared" si="44"/>
        <v>0</v>
      </c>
      <c r="BB20" s="4">
        <f t="shared" si="44"/>
        <v>0</v>
      </c>
      <c r="BC20" s="4">
        <f t="shared" si="44"/>
        <v>0</v>
      </c>
      <c r="BD20" s="4">
        <f t="shared" si="44"/>
        <v>0</v>
      </c>
      <c r="BE20" s="4">
        <f t="shared" si="44"/>
        <v>0</v>
      </c>
      <c r="BF20" s="4">
        <f t="shared" si="44"/>
        <v>0</v>
      </c>
      <c r="BG20" s="4">
        <f t="shared" si="44"/>
        <v>0</v>
      </c>
      <c r="BH20" s="4">
        <f t="shared" si="45"/>
        <v>0</v>
      </c>
      <c r="BI20" s="4">
        <f t="shared" si="45"/>
        <v>0</v>
      </c>
      <c r="BJ20" s="4">
        <f t="shared" si="45"/>
        <v>0</v>
      </c>
      <c r="BK20" s="4">
        <f t="shared" si="45"/>
        <v>0</v>
      </c>
      <c r="BL20" s="4">
        <f t="shared" si="45"/>
        <v>0</v>
      </c>
      <c r="BM20" s="4">
        <f t="shared" si="45"/>
        <v>0</v>
      </c>
      <c r="BN20" s="4">
        <f t="shared" si="45"/>
        <v>0</v>
      </c>
    </row>
    <row r="21" spans="1:66" x14ac:dyDescent="0.2">
      <c r="A21" s="1" t="s">
        <v>24</v>
      </c>
      <c r="D21">
        <f>G16/A31</f>
        <v>0</v>
      </c>
      <c r="G21" t="s">
        <v>76</v>
      </c>
      <c r="K21" t="s">
        <v>57</v>
      </c>
      <c r="L21" t="s">
        <v>58</v>
      </c>
      <c r="M21" t="s">
        <v>59</v>
      </c>
      <c r="N21" t="s">
        <v>60</v>
      </c>
      <c r="Z21">
        <f t="shared" si="35"/>
        <v>0</v>
      </c>
      <c r="AA21">
        <f t="shared" si="36"/>
        <v>0</v>
      </c>
      <c r="AE21">
        <f t="shared" si="37"/>
        <v>0</v>
      </c>
      <c r="AF21">
        <f t="shared" si="38"/>
        <v>0</v>
      </c>
      <c r="AG21">
        <f t="shared" si="39"/>
        <v>0</v>
      </c>
      <c r="AK21">
        <f t="shared" si="40"/>
        <v>0</v>
      </c>
      <c r="AL21">
        <f t="shared" si="41"/>
        <v>0</v>
      </c>
      <c r="AM21">
        <f t="shared" si="42"/>
        <v>0</v>
      </c>
      <c r="AN21">
        <f t="shared" si="43"/>
        <v>0</v>
      </c>
      <c r="AP21">
        <f t="shared" si="46"/>
        <v>0</v>
      </c>
      <c r="AQ21" s="4">
        <f t="shared" si="47"/>
        <v>0</v>
      </c>
      <c r="AR21" s="4">
        <f t="shared" si="44"/>
        <v>0</v>
      </c>
      <c r="AS21" s="4">
        <f t="shared" si="44"/>
        <v>0</v>
      </c>
      <c r="AT21" s="4">
        <f t="shared" si="44"/>
        <v>0</v>
      </c>
      <c r="AU21" s="4">
        <f t="shared" si="44"/>
        <v>0</v>
      </c>
      <c r="AV21" s="4">
        <f t="shared" si="44"/>
        <v>0</v>
      </c>
      <c r="AW21" s="4">
        <f t="shared" si="44"/>
        <v>0</v>
      </c>
      <c r="AX21" s="4">
        <f t="shared" si="44"/>
        <v>0</v>
      </c>
      <c r="AY21" s="4">
        <f t="shared" si="44"/>
        <v>0</v>
      </c>
      <c r="AZ21" s="4">
        <f t="shared" si="44"/>
        <v>0</v>
      </c>
      <c r="BA21" s="4">
        <f t="shared" si="44"/>
        <v>0</v>
      </c>
      <c r="BB21" s="4">
        <f t="shared" si="44"/>
        <v>0</v>
      </c>
      <c r="BC21" s="4">
        <f t="shared" si="44"/>
        <v>0</v>
      </c>
      <c r="BD21" s="4">
        <f t="shared" si="44"/>
        <v>0</v>
      </c>
      <c r="BE21" s="4">
        <f t="shared" si="44"/>
        <v>0</v>
      </c>
      <c r="BF21" s="4">
        <f t="shared" si="44"/>
        <v>0</v>
      </c>
      <c r="BG21" s="4">
        <f t="shared" si="44"/>
        <v>0</v>
      </c>
      <c r="BH21" s="4">
        <f t="shared" si="45"/>
        <v>0</v>
      </c>
      <c r="BI21" s="4">
        <f t="shared" si="45"/>
        <v>0</v>
      </c>
      <c r="BJ21" s="4">
        <f t="shared" si="45"/>
        <v>0</v>
      </c>
      <c r="BK21" s="4">
        <f t="shared" si="45"/>
        <v>0</v>
      </c>
      <c r="BL21" s="4">
        <f t="shared" si="45"/>
        <v>0</v>
      </c>
      <c r="BM21" s="4">
        <f t="shared" si="45"/>
        <v>0</v>
      </c>
      <c r="BN21" s="4">
        <f t="shared" si="45"/>
        <v>0</v>
      </c>
    </row>
    <row r="22" spans="1:66" x14ac:dyDescent="0.2">
      <c r="A22" t="s">
        <v>36</v>
      </c>
      <c r="B22" t="s">
        <v>10</v>
      </c>
      <c r="D22" t="s">
        <v>48</v>
      </c>
      <c r="G22" t="e">
        <f>AL28/AP28</f>
        <v>#DIV/0!</v>
      </c>
      <c r="K22">
        <f>AVERAGE(C39:C50)</f>
        <v>2.3333333333333335</v>
      </c>
      <c r="L22">
        <f>MEDIAN(C39:C50)</f>
        <v>2.5</v>
      </c>
      <c r="M22">
        <f>MAX(C39:C50)</f>
        <v>4</v>
      </c>
      <c r="N22">
        <f>_xlfn.STDEV.S(C39:C50)</f>
        <v>1.2309149097933274</v>
      </c>
      <c r="Z22">
        <f t="shared" si="35"/>
        <v>0</v>
      </c>
      <c r="AA22">
        <f t="shared" si="36"/>
        <v>0</v>
      </c>
      <c r="AE22">
        <f t="shared" si="37"/>
        <v>0</v>
      </c>
      <c r="AF22">
        <f t="shared" si="38"/>
        <v>0</v>
      </c>
      <c r="AG22">
        <f t="shared" si="39"/>
        <v>0</v>
      </c>
      <c r="AK22">
        <f t="shared" si="40"/>
        <v>0</v>
      </c>
      <c r="AL22">
        <f t="shared" si="41"/>
        <v>0</v>
      </c>
      <c r="AM22">
        <f t="shared" si="42"/>
        <v>0</v>
      </c>
      <c r="AN22">
        <f t="shared" si="43"/>
        <v>0</v>
      </c>
      <c r="AP22">
        <f t="shared" si="46"/>
        <v>0</v>
      </c>
      <c r="AQ22" s="4">
        <f t="shared" si="47"/>
        <v>0</v>
      </c>
      <c r="AR22" s="4">
        <f t="shared" si="44"/>
        <v>0</v>
      </c>
      <c r="AS22" s="4">
        <f t="shared" si="44"/>
        <v>0</v>
      </c>
      <c r="AT22" s="4">
        <f t="shared" si="44"/>
        <v>0</v>
      </c>
      <c r="AU22" s="4">
        <f t="shared" si="44"/>
        <v>0</v>
      </c>
      <c r="AV22" s="4">
        <f t="shared" si="44"/>
        <v>0</v>
      </c>
      <c r="AW22" s="4">
        <f t="shared" si="44"/>
        <v>0</v>
      </c>
      <c r="AX22" s="4">
        <f t="shared" si="44"/>
        <v>0</v>
      </c>
      <c r="AY22" s="4">
        <f t="shared" si="44"/>
        <v>0</v>
      </c>
      <c r="AZ22" s="4">
        <f t="shared" si="44"/>
        <v>0</v>
      </c>
      <c r="BA22" s="4">
        <f t="shared" si="44"/>
        <v>0</v>
      </c>
      <c r="BB22" s="4">
        <f t="shared" si="44"/>
        <v>0</v>
      </c>
      <c r="BC22" s="4">
        <f t="shared" si="44"/>
        <v>0</v>
      </c>
      <c r="BD22" s="4">
        <f t="shared" si="44"/>
        <v>0</v>
      </c>
      <c r="BE22" s="4">
        <f t="shared" si="44"/>
        <v>0</v>
      </c>
      <c r="BF22" s="4">
        <f t="shared" si="44"/>
        <v>0</v>
      </c>
      <c r="BG22" s="4">
        <f t="shared" si="44"/>
        <v>0</v>
      </c>
      <c r="BH22" s="4">
        <f t="shared" si="45"/>
        <v>0</v>
      </c>
      <c r="BI22" s="4">
        <f t="shared" si="45"/>
        <v>0</v>
      </c>
      <c r="BJ22" s="4">
        <f t="shared" si="45"/>
        <v>0</v>
      </c>
      <c r="BK22" s="4">
        <f t="shared" si="45"/>
        <v>0</v>
      </c>
      <c r="BL22" s="4">
        <f t="shared" si="45"/>
        <v>0</v>
      </c>
      <c r="BM22" s="4">
        <f t="shared" si="45"/>
        <v>0</v>
      </c>
      <c r="BN22" s="4">
        <f t="shared" si="45"/>
        <v>0</v>
      </c>
    </row>
    <row r="23" spans="1:66" x14ac:dyDescent="0.2">
      <c r="A23" t="s">
        <v>37</v>
      </c>
      <c r="B23" t="s">
        <v>25</v>
      </c>
      <c r="D23">
        <f>H16/A31</f>
        <v>0</v>
      </c>
      <c r="G23" t="s">
        <v>77</v>
      </c>
      <c r="K23" t="s">
        <v>8</v>
      </c>
      <c r="Z23">
        <f t="shared" si="35"/>
        <v>0</v>
      </c>
      <c r="AA23">
        <f t="shared" si="36"/>
        <v>0</v>
      </c>
      <c r="AE23">
        <f t="shared" si="37"/>
        <v>0</v>
      </c>
      <c r="AF23">
        <f t="shared" si="38"/>
        <v>0</v>
      </c>
      <c r="AG23">
        <f t="shared" si="39"/>
        <v>0</v>
      </c>
      <c r="AK23">
        <f t="shared" si="40"/>
        <v>0</v>
      </c>
      <c r="AL23">
        <f t="shared" si="41"/>
        <v>0</v>
      </c>
      <c r="AM23">
        <f t="shared" si="42"/>
        <v>0</v>
      </c>
      <c r="AN23">
        <f t="shared" si="43"/>
        <v>0</v>
      </c>
      <c r="AP23">
        <f t="shared" si="46"/>
        <v>0</v>
      </c>
      <c r="AQ23" s="4">
        <f t="shared" si="47"/>
        <v>0</v>
      </c>
      <c r="AR23" s="4">
        <f t="shared" si="44"/>
        <v>0</v>
      </c>
      <c r="AS23" s="4">
        <f t="shared" si="44"/>
        <v>0</v>
      </c>
      <c r="AT23" s="4">
        <f t="shared" si="44"/>
        <v>0</v>
      </c>
      <c r="AU23" s="4">
        <f t="shared" si="44"/>
        <v>0</v>
      </c>
      <c r="AV23" s="4">
        <f t="shared" si="44"/>
        <v>0</v>
      </c>
      <c r="AW23" s="4">
        <f t="shared" si="44"/>
        <v>0</v>
      </c>
      <c r="AX23" s="4">
        <f t="shared" si="44"/>
        <v>0</v>
      </c>
      <c r="AY23" s="4">
        <f t="shared" si="44"/>
        <v>0</v>
      </c>
      <c r="AZ23" s="4">
        <f t="shared" si="44"/>
        <v>0</v>
      </c>
      <c r="BA23" s="4">
        <f t="shared" si="44"/>
        <v>0</v>
      </c>
      <c r="BB23" s="4">
        <f t="shared" si="44"/>
        <v>0</v>
      </c>
      <c r="BC23" s="4">
        <f t="shared" si="44"/>
        <v>0</v>
      </c>
      <c r="BD23" s="4">
        <f t="shared" si="44"/>
        <v>0</v>
      </c>
      <c r="BE23" s="4">
        <f t="shared" si="44"/>
        <v>0</v>
      </c>
      <c r="BF23" s="4">
        <f t="shared" si="44"/>
        <v>0</v>
      </c>
      <c r="BG23" s="4">
        <f t="shared" si="44"/>
        <v>0</v>
      </c>
      <c r="BH23" s="4">
        <f t="shared" si="45"/>
        <v>0</v>
      </c>
      <c r="BI23" s="4">
        <f t="shared" si="45"/>
        <v>0</v>
      </c>
      <c r="BJ23" s="4">
        <f t="shared" si="45"/>
        <v>0</v>
      </c>
      <c r="BK23" s="4">
        <f t="shared" si="45"/>
        <v>0</v>
      </c>
      <c r="BL23" s="4">
        <f t="shared" si="45"/>
        <v>0</v>
      </c>
      <c r="BM23" s="4">
        <f t="shared" si="45"/>
        <v>0</v>
      </c>
      <c r="BN23" s="4">
        <f t="shared" si="45"/>
        <v>0</v>
      </c>
    </row>
    <row r="24" spans="1:66" x14ac:dyDescent="0.2">
      <c r="A24" t="s">
        <v>38</v>
      </c>
      <c r="B24" t="s">
        <v>26</v>
      </c>
      <c r="D24" t="s">
        <v>50</v>
      </c>
      <c r="G24" t="e">
        <f>AM28/AP28</f>
        <v>#DIV/0!</v>
      </c>
      <c r="K24" t="s">
        <v>57</v>
      </c>
      <c r="L24" t="s">
        <v>61</v>
      </c>
      <c r="M24" t="s">
        <v>59</v>
      </c>
      <c r="N24" t="s">
        <v>60</v>
      </c>
      <c r="Z24">
        <f t="shared" si="35"/>
        <v>0</v>
      </c>
      <c r="AA24">
        <f t="shared" si="36"/>
        <v>0</v>
      </c>
      <c r="AE24">
        <f t="shared" si="37"/>
        <v>0</v>
      </c>
      <c r="AF24">
        <f t="shared" si="38"/>
        <v>0</v>
      </c>
      <c r="AG24">
        <f t="shared" si="39"/>
        <v>0</v>
      </c>
      <c r="AK24">
        <f t="shared" si="40"/>
        <v>0</v>
      </c>
      <c r="AL24">
        <f t="shared" si="41"/>
        <v>0</v>
      </c>
      <c r="AM24">
        <f t="shared" si="42"/>
        <v>0</v>
      </c>
      <c r="AN24">
        <f t="shared" si="43"/>
        <v>0</v>
      </c>
      <c r="AP24">
        <f t="shared" si="46"/>
        <v>0</v>
      </c>
      <c r="AQ24" s="4">
        <f t="shared" si="47"/>
        <v>0</v>
      </c>
      <c r="AR24" s="4">
        <f t="shared" si="44"/>
        <v>0</v>
      </c>
      <c r="AS24" s="4">
        <f t="shared" si="44"/>
        <v>0</v>
      </c>
      <c r="AT24" s="4">
        <f t="shared" si="44"/>
        <v>0</v>
      </c>
      <c r="AU24" s="4">
        <f t="shared" si="44"/>
        <v>0</v>
      </c>
      <c r="AV24" s="4">
        <f t="shared" si="44"/>
        <v>0</v>
      </c>
      <c r="AW24" s="4">
        <f t="shared" si="44"/>
        <v>0</v>
      </c>
      <c r="AX24" s="4">
        <f t="shared" si="44"/>
        <v>0</v>
      </c>
      <c r="AY24" s="4">
        <f t="shared" si="44"/>
        <v>0</v>
      </c>
      <c r="AZ24" s="4">
        <f t="shared" si="44"/>
        <v>0</v>
      </c>
      <c r="BA24" s="4">
        <f t="shared" si="44"/>
        <v>0</v>
      </c>
      <c r="BB24" s="4">
        <f t="shared" si="44"/>
        <v>0</v>
      </c>
      <c r="BC24" s="4">
        <f t="shared" si="44"/>
        <v>0</v>
      </c>
      <c r="BD24" s="4">
        <f t="shared" si="44"/>
        <v>0</v>
      </c>
      <c r="BE24" s="4">
        <f t="shared" si="44"/>
        <v>0</v>
      </c>
      <c r="BF24" s="4">
        <f t="shared" si="44"/>
        <v>0</v>
      </c>
      <c r="BG24" s="4">
        <f t="shared" si="44"/>
        <v>0</v>
      </c>
      <c r="BH24" s="4">
        <f t="shared" si="45"/>
        <v>0</v>
      </c>
      <c r="BI24" s="4">
        <f t="shared" si="45"/>
        <v>0</v>
      </c>
      <c r="BJ24" s="4">
        <f t="shared" si="45"/>
        <v>0</v>
      </c>
      <c r="BK24" s="4">
        <f t="shared" si="45"/>
        <v>0</v>
      </c>
      <c r="BL24" s="4">
        <f t="shared" si="45"/>
        <v>0</v>
      </c>
      <c r="BM24" s="4">
        <f t="shared" si="45"/>
        <v>0</v>
      </c>
      <c r="BN24" s="4">
        <f t="shared" si="45"/>
        <v>0</v>
      </c>
    </row>
    <row r="25" spans="1:66" x14ac:dyDescent="0.2">
      <c r="A25" t="s">
        <v>39</v>
      </c>
      <c r="B25" t="s">
        <v>27</v>
      </c>
      <c r="D25">
        <f>Z28/A31</f>
        <v>0</v>
      </c>
      <c r="G25" t="s">
        <v>78</v>
      </c>
      <c r="K25">
        <f>AVERAGE(E39:E50)</f>
        <v>0</v>
      </c>
      <c r="L25">
        <f>MEDIAN(E39:E50)</f>
        <v>0</v>
      </c>
      <c r="M25">
        <f>MAX(E39:E50)</f>
        <v>0</v>
      </c>
      <c r="N25">
        <f>_xlfn.STDEV.S(E39:E50)</f>
        <v>0</v>
      </c>
      <c r="Z25">
        <f t="shared" si="35"/>
        <v>0</v>
      </c>
      <c r="AA25">
        <f t="shared" si="36"/>
        <v>0</v>
      </c>
      <c r="AE25">
        <f t="shared" si="37"/>
        <v>0</v>
      </c>
      <c r="AF25">
        <f t="shared" si="38"/>
        <v>0</v>
      </c>
      <c r="AG25">
        <f t="shared" si="39"/>
        <v>0</v>
      </c>
      <c r="AK25">
        <f t="shared" si="40"/>
        <v>0</v>
      </c>
      <c r="AL25">
        <f t="shared" si="41"/>
        <v>0</v>
      </c>
      <c r="AM25">
        <f t="shared" si="42"/>
        <v>0</v>
      </c>
      <c r="AN25">
        <f t="shared" si="43"/>
        <v>0</v>
      </c>
      <c r="AP25">
        <f t="shared" si="46"/>
        <v>0</v>
      </c>
      <c r="AQ25" s="4">
        <f t="shared" si="47"/>
        <v>0</v>
      </c>
      <c r="AR25" s="4">
        <f t="shared" si="44"/>
        <v>0</v>
      </c>
      <c r="AS25" s="4">
        <f t="shared" si="44"/>
        <v>0</v>
      </c>
      <c r="AT25" s="4">
        <f t="shared" si="44"/>
        <v>0</v>
      </c>
      <c r="AU25" s="4">
        <f t="shared" si="44"/>
        <v>0</v>
      </c>
      <c r="AV25" s="4">
        <f t="shared" si="44"/>
        <v>0</v>
      </c>
      <c r="AW25" s="4">
        <f t="shared" si="44"/>
        <v>0</v>
      </c>
      <c r="AX25" s="4">
        <f t="shared" si="44"/>
        <v>0</v>
      </c>
      <c r="AY25" s="4">
        <f t="shared" si="44"/>
        <v>0</v>
      </c>
      <c r="AZ25" s="4">
        <f t="shared" si="44"/>
        <v>0</v>
      </c>
      <c r="BA25" s="4">
        <f t="shared" si="44"/>
        <v>0</v>
      </c>
      <c r="BB25" s="4">
        <f t="shared" si="44"/>
        <v>0</v>
      </c>
      <c r="BC25" s="4">
        <f t="shared" si="44"/>
        <v>0</v>
      </c>
      <c r="BD25" s="4">
        <f t="shared" si="44"/>
        <v>0</v>
      </c>
      <c r="BE25" s="4">
        <f t="shared" si="44"/>
        <v>0</v>
      </c>
      <c r="BF25" s="4">
        <f t="shared" si="44"/>
        <v>0</v>
      </c>
      <c r="BG25" s="4">
        <f t="shared" si="44"/>
        <v>0</v>
      </c>
      <c r="BH25" s="4">
        <f t="shared" si="45"/>
        <v>0</v>
      </c>
      <c r="BI25" s="4">
        <f t="shared" si="45"/>
        <v>0</v>
      </c>
      <c r="BJ25" s="4">
        <f t="shared" si="45"/>
        <v>0</v>
      </c>
      <c r="BK25" s="4">
        <f t="shared" si="45"/>
        <v>0</v>
      </c>
      <c r="BL25" s="4">
        <f t="shared" si="45"/>
        <v>0</v>
      </c>
      <c r="BM25" s="4">
        <f t="shared" si="45"/>
        <v>0</v>
      </c>
      <c r="BN25" s="4">
        <f t="shared" si="45"/>
        <v>0</v>
      </c>
    </row>
    <row r="26" spans="1:66" x14ac:dyDescent="0.2">
      <c r="A26" t="s">
        <v>44</v>
      </c>
      <c r="D26" t="s">
        <v>51</v>
      </c>
      <c r="G26" t="e">
        <f>AN28/AP28</f>
        <v>#DIV/0!</v>
      </c>
      <c r="K26" t="s">
        <v>62</v>
      </c>
      <c r="P26" t="s">
        <v>19</v>
      </c>
      <c r="Z26">
        <f t="shared" si="35"/>
        <v>0</v>
      </c>
      <c r="AA26">
        <f t="shared" si="36"/>
        <v>0</v>
      </c>
      <c r="AE26">
        <f t="shared" si="37"/>
        <v>0</v>
      </c>
      <c r="AF26">
        <f t="shared" si="38"/>
        <v>0</v>
      </c>
      <c r="AG26">
        <f t="shared" si="39"/>
        <v>0</v>
      </c>
      <c r="AK26">
        <f t="shared" si="40"/>
        <v>0</v>
      </c>
      <c r="AL26">
        <f t="shared" si="41"/>
        <v>0</v>
      </c>
      <c r="AM26">
        <f t="shared" si="42"/>
        <v>0</v>
      </c>
      <c r="AN26">
        <f t="shared" si="43"/>
        <v>0</v>
      </c>
      <c r="AP26">
        <f t="shared" si="46"/>
        <v>0</v>
      </c>
      <c r="AQ26" s="4">
        <f t="shared" si="47"/>
        <v>0</v>
      </c>
      <c r="AR26" s="4">
        <f t="shared" si="44"/>
        <v>0</v>
      </c>
      <c r="AS26" s="4">
        <f t="shared" si="44"/>
        <v>0</v>
      </c>
      <c r="AT26" s="4">
        <f t="shared" si="44"/>
        <v>0</v>
      </c>
      <c r="AU26" s="4">
        <f t="shared" si="44"/>
        <v>0</v>
      </c>
      <c r="AV26" s="4">
        <f t="shared" si="44"/>
        <v>0</v>
      </c>
      <c r="AW26" s="4">
        <f t="shared" si="44"/>
        <v>0</v>
      </c>
      <c r="AX26" s="4">
        <f t="shared" si="44"/>
        <v>0</v>
      </c>
      <c r="AY26" s="4">
        <f t="shared" si="44"/>
        <v>0</v>
      </c>
      <c r="AZ26" s="4">
        <f t="shared" si="44"/>
        <v>0</v>
      </c>
      <c r="BA26" s="4">
        <f t="shared" si="44"/>
        <v>0</v>
      </c>
      <c r="BB26" s="4">
        <f t="shared" si="44"/>
        <v>0</v>
      </c>
      <c r="BC26" s="4">
        <f t="shared" si="44"/>
        <v>0</v>
      </c>
      <c r="BD26" s="4">
        <f t="shared" si="44"/>
        <v>0</v>
      </c>
      <c r="BE26" s="4">
        <f t="shared" si="44"/>
        <v>0</v>
      </c>
      <c r="BF26" s="4">
        <f t="shared" si="44"/>
        <v>0</v>
      </c>
      <c r="BG26" s="4">
        <f t="shared" si="44"/>
        <v>0</v>
      </c>
      <c r="BH26" s="4">
        <f t="shared" si="45"/>
        <v>0</v>
      </c>
      <c r="BI26" s="4">
        <f t="shared" si="45"/>
        <v>0</v>
      </c>
      <c r="BJ26" s="4">
        <f t="shared" si="45"/>
        <v>0</v>
      </c>
      <c r="BK26" s="4">
        <f t="shared" si="45"/>
        <v>0</v>
      </c>
      <c r="BL26" s="4">
        <f t="shared" si="45"/>
        <v>0</v>
      </c>
      <c r="BM26" s="4">
        <f t="shared" si="45"/>
        <v>0</v>
      </c>
      <c r="BN26" s="4">
        <f t="shared" si="45"/>
        <v>0</v>
      </c>
    </row>
    <row r="27" spans="1:66" x14ac:dyDescent="0.2">
      <c r="A27" t="s">
        <v>45</v>
      </c>
      <c r="D27">
        <f>AA28/A31</f>
        <v>0</v>
      </c>
      <c r="G27" t="s">
        <v>56</v>
      </c>
      <c r="K27" t="s">
        <v>57</v>
      </c>
      <c r="L27" t="s">
        <v>58</v>
      </c>
      <c r="M27" t="s">
        <v>59</v>
      </c>
      <c r="N27" t="s">
        <v>60</v>
      </c>
      <c r="P27" t="s">
        <v>57</v>
      </c>
      <c r="Q27" t="s">
        <v>58</v>
      </c>
      <c r="R27" t="s">
        <v>59</v>
      </c>
      <c r="S27" t="s">
        <v>60</v>
      </c>
      <c r="Z27">
        <f t="shared" si="35"/>
        <v>0</v>
      </c>
      <c r="AA27">
        <f t="shared" si="36"/>
        <v>0</v>
      </c>
      <c r="AE27">
        <f t="shared" si="37"/>
        <v>0</v>
      </c>
      <c r="AF27">
        <f t="shared" si="38"/>
        <v>0</v>
      </c>
      <c r="AG27">
        <f t="shared" si="39"/>
        <v>0</v>
      </c>
      <c r="AK27">
        <f t="shared" si="40"/>
        <v>0</v>
      </c>
      <c r="AL27">
        <f t="shared" si="41"/>
        <v>0</v>
      </c>
      <c r="AM27">
        <f t="shared" si="42"/>
        <v>0</v>
      </c>
      <c r="AN27">
        <f t="shared" si="43"/>
        <v>0</v>
      </c>
      <c r="AP27">
        <f t="shared" si="46"/>
        <v>0</v>
      </c>
      <c r="AQ27" s="4">
        <f t="shared" si="47"/>
        <v>0</v>
      </c>
      <c r="AR27" s="4">
        <f t="shared" si="44"/>
        <v>0</v>
      </c>
      <c r="AS27" s="4">
        <f t="shared" si="44"/>
        <v>0</v>
      </c>
      <c r="AT27" s="4">
        <f t="shared" si="44"/>
        <v>0</v>
      </c>
      <c r="AU27" s="4">
        <f t="shared" si="44"/>
        <v>0</v>
      </c>
      <c r="AV27" s="4">
        <f t="shared" si="44"/>
        <v>0</v>
      </c>
      <c r="AW27" s="4">
        <f t="shared" si="44"/>
        <v>0</v>
      </c>
      <c r="AX27" s="4">
        <f t="shared" si="44"/>
        <v>0</v>
      </c>
      <c r="AY27" s="4">
        <f t="shared" si="44"/>
        <v>0</v>
      </c>
      <c r="AZ27" s="4">
        <f t="shared" si="44"/>
        <v>0</v>
      </c>
      <c r="BA27" s="4">
        <f t="shared" si="44"/>
        <v>0</v>
      </c>
      <c r="BB27" s="4">
        <f t="shared" si="44"/>
        <v>0</v>
      </c>
      <c r="BC27" s="4">
        <f t="shared" si="44"/>
        <v>0</v>
      </c>
      <c r="BD27" s="4">
        <f t="shared" si="44"/>
        <v>0</v>
      </c>
      <c r="BE27" s="4">
        <f t="shared" si="44"/>
        <v>0</v>
      </c>
      <c r="BF27" s="4">
        <f t="shared" si="44"/>
        <v>0</v>
      </c>
      <c r="BG27" s="4">
        <f t="shared" si="44"/>
        <v>0</v>
      </c>
      <c r="BH27" s="4">
        <f t="shared" si="45"/>
        <v>0</v>
      </c>
      <c r="BI27" s="4">
        <f t="shared" si="45"/>
        <v>0</v>
      </c>
      <c r="BJ27" s="4">
        <f t="shared" si="45"/>
        <v>0</v>
      </c>
      <c r="BK27" s="4">
        <f t="shared" si="45"/>
        <v>0</v>
      </c>
      <c r="BL27" s="4">
        <f t="shared" si="45"/>
        <v>0</v>
      </c>
      <c r="BM27" s="4">
        <f t="shared" si="45"/>
        <v>0</v>
      </c>
      <c r="BN27" s="4">
        <f t="shared" si="45"/>
        <v>0</v>
      </c>
    </row>
    <row r="28" spans="1:66" x14ac:dyDescent="0.2">
      <c r="A28" t="s">
        <v>46</v>
      </c>
      <c r="D28" t="s">
        <v>202</v>
      </c>
      <c r="G28" t="s">
        <v>57</v>
      </c>
      <c r="H28" t="s">
        <v>58</v>
      </c>
      <c r="I28" t="s">
        <v>59</v>
      </c>
      <c r="J28" t="s">
        <v>60</v>
      </c>
      <c r="K28">
        <f>AVERAGE(G39:G50)</f>
        <v>0</v>
      </c>
      <c r="L28">
        <f>MEDIAN(G39:G50)</f>
        <v>0</v>
      </c>
      <c r="M28">
        <f>MAX(G39:G50)</f>
        <v>0</v>
      </c>
      <c r="N28">
        <f>_xlfn.STDEV.S(G39:G50)</f>
        <v>0</v>
      </c>
      <c r="P28">
        <f>AVERAGE(N39:N50)</f>
        <v>4.583333333333333</v>
      </c>
      <c r="Q28">
        <f>MEDIAN(N39:N50)</f>
        <v>4</v>
      </c>
      <c r="R28">
        <f>MAX(N39:N50)</f>
        <v>14</v>
      </c>
      <c r="S28">
        <f>_xlfn.STDEV.S(N39:N50)</f>
        <v>4.7378233079094132</v>
      </c>
      <c r="Y28" t="s">
        <v>33</v>
      </c>
      <c r="Z28">
        <f>SUM(Z16:Z27)</f>
        <v>0</v>
      </c>
      <c r="AA28">
        <f>SUM(AA16:AA27)</f>
        <v>0</v>
      </c>
      <c r="AE28">
        <f>SUM(AE16:AE27)</f>
        <v>0</v>
      </c>
      <c r="AF28">
        <f>SUM(AF16:AF27)</f>
        <v>0</v>
      </c>
      <c r="AG28">
        <f>SUM(AG16:AG27)</f>
        <v>0</v>
      </c>
      <c r="AK28">
        <f>SUM(AK16:AK27)</f>
        <v>0</v>
      </c>
      <c r="AL28">
        <f>SUM(AL16:AL27)</f>
        <v>0</v>
      </c>
      <c r="AM28">
        <f>SUM(AM16:AM27)</f>
        <v>0</v>
      </c>
      <c r="AN28">
        <f>SUM(AN16:AN27)</f>
        <v>0</v>
      </c>
      <c r="AP28">
        <f>SUM(AP16:AP27)</f>
        <v>0</v>
      </c>
    </row>
    <row r="29" spans="1:66" x14ac:dyDescent="0.2">
      <c r="D29">
        <f>SUM(O39:O50)/F16</f>
        <v>0.33333333333333331</v>
      </c>
      <c r="G29">
        <f>AVERAGE(A39:A50)</f>
        <v>0</v>
      </c>
      <c r="H29">
        <f>MEDIAN(A39:A50)</f>
        <v>0</v>
      </c>
      <c r="I29">
        <f>MAX(A39:A50)</f>
        <v>0</v>
      </c>
      <c r="J29">
        <f>_xlfn.STDEV.S(A39:A50)</f>
        <v>0</v>
      </c>
      <c r="K29" t="s">
        <v>63</v>
      </c>
      <c r="P29" t="s">
        <v>148</v>
      </c>
    </row>
    <row r="30" spans="1:66" x14ac:dyDescent="0.2">
      <c r="A30" t="s">
        <v>147</v>
      </c>
      <c r="D30" t="s">
        <v>203</v>
      </c>
      <c r="G30" t="s">
        <v>50</v>
      </c>
      <c r="H30" t="s">
        <v>51</v>
      </c>
      <c r="I30" t="s">
        <v>89</v>
      </c>
      <c r="K30" t="s">
        <v>57</v>
      </c>
      <c r="L30" t="s">
        <v>58</v>
      </c>
      <c r="M30" t="s">
        <v>59</v>
      </c>
      <c r="N30" t="s">
        <v>60</v>
      </c>
      <c r="P30" t="s">
        <v>57</v>
      </c>
      <c r="Q30" t="s">
        <v>58</v>
      </c>
      <c r="R30" t="s">
        <v>59</v>
      </c>
      <c r="S30" t="s">
        <v>60</v>
      </c>
      <c r="W30" t="s">
        <v>148</v>
      </c>
      <c r="Y30" t="s">
        <v>149</v>
      </c>
      <c r="AH30" t="s">
        <v>79</v>
      </c>
    </row>
    <row r="31" spans="1:66" x14ac:dyDescent="0.2">
      <c r="A31">
        <f>COUNT(B4:B15)</f>
        <v>12</v>
      </c>
      <c r="D31" s="2">
        <f>SUM(S39:S50)/SUM(Q39:Q50)</f>
        <v>0.66666666666666663</v>
      </c>
      <c r="G31">
        <f>AE28/A31</f>
        <v>0</v>
      </c>
      <c r="H31">
        <f>AF28/A31</f>
        <v>0</v>
      </c>
      <c r="I31">
        <f>AG28/A31</f>
        <v>0</v>
      </c>
      <c r="K31" t="e">
        <f>AVERAGE(I39:I50)</f>
        <v>#DIV/0!</v>
      </c>
      <c r="L31" t="e">
        <f>MEDIAN(I39:I50)</f>
        <v>#NUM!</v>
      </c>
      <c r="M31">
        <f>MAX(I39:I50)</f>
        <v>0</v>
      </c>
      <c r="N31" t="e">
        <f>_xlfn.STDEV.S(I39:I50)</f>
        <v>#DIV/0!</v>
      </c>
      <c r="P31" t="e">
        <f>AVERAGE(W31:W42)</f>
        <v>#DIV/0!</v>
      </c>
      <c r="Q31" t="e">
        <f>MEDIAN(W31:W42)</f>
        <v>#NUM!</v>
      </c>
      <c r="R31">
        <f>MAX(W31:W42)</f>
        <v>0</v>
      </c>
      <c r="S31" t="e">
        <f>_xlfn.STDEV.S(W31:W42)</f>
        <v>#DIV/0!</v>
      </c>
      <c r="W31" t="str">
        <f t="shared" ref="W31:W33" si="48">IF(AND(ISBLANK(Q4), ISBLANK(R4), ISBLANK(G4), ISBLANK(H4)), "", U4)</f>
        <v/>
      </c>
      <c r="Y31" t="str">
        <f t="shared" ref="Y31:Y42" si="49">IF(ISBLANK(Y4), IF(X4 = 0, "", (G4 + H4/3 + V4/9 + W4/3)), U4)</f>
        <v/>
      </c>
      <c r="AH31" t="s">
        <v>80</v>
      </c>
    </row>
    <row r="32" spans="1:66" x14ac:dyDescent="0.2">
      <c r="D32" s="3"/>
      <c r="K32" t="s">
        <v>64</v>
      </c>
      <c r="P32" t="s">
        <v>149</v>
      </c>
      <c r="W32" t="str">
        <f t="shared" si="48"/>
        <v/>
      </c>
      <c r="Y32" t="str">
        <f t="shared" si="49"/>
        <v/>
      </c>
      <c r="AH32" t="s">
        <v>81</v>
      </c>
    </row>
    <row r="33" spans="1:34" x14ac:dyDescent="0.2">
      <c r="A33" t="s">
        <v>283</v>
      </c>
      <c r="D33" s="3"/>
      <c r="K33" t="s">
        <v>57</v>
      </c>
      <c r="L33" t="s">
        <v>58</v>
      </c>
      <c r="M33" t="s">
        <v>59</v>
      </c>
      <c r="N33" t="s">
        <v>60</v>
      </c>
      <c r="P33" t="s">
        <v>57</v>
      </c>
      <c r="Q33" t="s">
        <v>58</v>
      </c>
      <c r="R33" t="s">
        <v>59</v>
      </c>
      <c r="S33" t="s">
        <v>60</v>
      </c>
      <c r="W33" t="str">
        <f t="shared" si="48"/>
        <v/>
      </c>
      <c r="Y33" t="str">
        <f t="shared" si="49"/>
        <v/>
      </c>
      <c r="AH33" t="s">
        <v>82</v>
      </c>
    </row>
    <row r="34" spans="1:34" x14ac:dyDescent="0.2">
      <c r="A34" t="s">
        <v>296</v>
      </c>
      <c r="D34" s="3"/>
      <c r="K34">
        <f>AVERAGE(K39:K50)</f>
        <v>0</v>
      </c>
      <c r="L34">
        <f>MEDIAN(K39:K50)</f>
        <v>0</v>
      </c>
      <c r="M34">
        <f>MAX(K39:K50)</f>
        <v>0</v>
      </c>
      <c r="N34">
        <f>_xlfn.STDEV.S(K39:K50)</f>
        <v>0</v>
      </c>
      <c r="P34" t="e">
        <f>AVERAGE(Y31:Y42)</f>
        <v>#DIV/0!</v>
      </c>
      <c r="Q34" t="e">
        <f>MEDIAN(Y31:Y42)</f>
        <v>#NUM!</v>
      </c>
      <c r="R34">
        <f>MAX(Y31:Y42)</f>
        <v>0</v>
      </c>
      <c r="S34" t="e">
        <f>_xlfn.STDEV.S(Y31:Y42)</f>
        <v>#DIV/0!</v>
      </c>
      <c r="W34" t="str">
        <f>IF(AND(ISBLANK(Q7), ISBLANK(R7), ISBLANK(G7), ISBLANK(H7)), "", U7)</f>
        <v/>
      </c>
      <c r="Y34" t="str">
        <f t="shared" si="49"/>
        <v/>
      </c>
      <c r="AH34" t="s">
        <v>83</v>
      </c>
    </row>
    <row r="35" spans="1:34" x14ac:dyDescent="0.2">
      <c r="A35" t="s">
        <v>306</v>
      </c>
      <c r="P35" t="s">
        <v>95</v>
      </c>
      <c r="R35" t="s">
        <v>197</v>
      </c>
      <c r="W35" t="str">
        <f t="shared" ref="W35:W42" si="50">IF(AND(ISBLANK(Q8), ISBLANK(R8), ISBLANK(G8), ISBLANK(H8)), "", U8)</f>
        <v/>
      </c>
      <c r="Y35" t="str">
        <f t="shared" si="49"/>
        <v/>
      </c>
    </row>
    <row r="36" spans="1:34" x14ac:dyDescent="0.2">
      <c r="A36" t="s">
        <v>320</v>
      </c>
      <c r="P36" t="e">
        <f>Q16/(Q16+R16)</f>
        <v>#DIV/0!</v>
      </c>
      <c r="R36" t="e">
        <f>R16/(Q16+R16)</f>
        <v>#DIV/0!</v>
      </c>
      <c r="W36" t="str">
        <f t="shared" si="50"/>
        <v/>
      </c>
      <c r="Y36" t="str">
        <f t="shared" si="49"/>
        <v/>
      </c>
    </row>
    <row r="37" spans="1:34" x14ac:dyDescent="0.2">
      <c r="A37" t="s">
        <v>339</v>
      </c>
      <c r="W37" t="str">
        <f t="shared" si="50"/>
        <v/>
      </c>
      <c r="Y37" t="str">
        <f t="shared" si="49"/>
        <v/>
      </c>
    </row>
    <row r="38" spans="1:34" x14ac:dyDescent="0.2">
      <c r="A38" t="s">
        <v>68</v>
      </c>
      <c r="C38" t="s">
        <v>69</v>
      </c>
      <c r="E38" t="s">
        <v>72</v>
      </c>
      <c r="G38" t="s">
        <v>250</v>
      </c>
      <c r="K38" t="s">
        <v>73</v>
      </c>
      <c r="M38" t="s">
        <v>70</v>
      </c>
      <c r="N38" t="s">
        <v>71</v>
      </c>
      <c r="O38" t="s">
        <v>199</v>
      </c>
      <c r="Q38" t="s">
        <v>200</v>
      </c>
      <c r="S38" t="s">
        <v>201</v>
      </c>
      <c r="W38" t="str">
        <f t="shared" si="50"/>
        <v/>
      </c>
      <c r="Y38" t="str">
        <f t="shared" si="49"/>
        <v/>
      </c>
    </row>
    <row r="39" spans="1:34" x14ac:dyDescent="0.2">
      <c r="A39">
        <f t="shared" ref="A39:A50" si="51">IF(ISBLANK(B4), "", SUM(AE16+AF16+AG16))</f>
        <v>0</v>
      </c>
      <c r="C39">
        <f t="shared" ref="C39:C50" si="52">IF(ISBLANK(B4), "", O4)</f>
        <v>3</v>
      </c>
      <c r="E39">
        <f t="shared" ref="E39:E50" si="53">IF(ISBLANK(B4), "", Q4)</f>
        <v>0</v>
      </c>
      <c r="G39">
        <f t="shared" ref="G39:G50" si="54">IF(ISBLANK(B4), "", R4)</f>
        <v>0</v>
      </c>
      <c r="K39">
        <f t="shared" ref="K39:K50" si="55">IF(ISBLANK(B4), "", SUM(Q4 + R4))</f>
        <v>0</v>
      </c>
      <c r="M39">
        <f t="shared" ref="M39:M50" si="56">IF(ISBLANK(B4), "", SUM(K4+M4) - O4)</f>
        <v>0</v>
      </c>
      <c r="N39">
        <f t="shared" ref="N39:N50" si="57">IF(ISBLANK(B4), "", U4)</f>
        <v>0</v>
      </c>
      <c r="O39">
        <f t="shared" ref="O39:O50" si="58">COUNTIF(E4, "1")*COUNTIF(F4, "1")</f>
        <v>0</v>
      </c>
      <c r="Q39">
        <f t="shared" ref="Q39:Q50" si="59">COUNTIF(D4, "1")*COUNTIF(F4, "")</f>
        <v>0</v>
      </c>
      <c r="S39">
        <f t="shared" ref="S39:S50" si="60">COUNTIF(E4, "1")*COUNTIF(F4, "")</f>
        <v>0</v>
      </c>
      <c r="W39" t="str">
        <f t="shared" si="50"/>
        <v/>
      </c>
      <c r="Y39" t="str">
        <f t="shared" si="49"/>
        <v/>
      </c>
    </row>
    <row r="40" spans="1:34" x14ac:dyDescent="0.2">
      <c r="A40">
        <f t="shared" si="51"/>
        <v>0</v>
      </c>
      <c r="C40">
        <f t="shared" si="52"/>
        <v>3</v>
      </c>
      <c r="E40">
        <f t="shared" si="53"/>
        <v>0</v>
      </c>
      <c r="G40">
        <f t="shared" si="54"/>
        <v>0</v>
      </c>
      <c r="K40">
        <f t="shared" si="55"/>
        <v>0</v>
      </c>
      <c r="M40">
        <f t="shared" si="56"/>
        <v>0</v>
      </c>
      <c r="N40">
        <f t="shared" si="57"/>
        <v>3</v>
      </c>
      <c r="O40">
        <f t="shared" si="58"/>
        <v>0</v>
      </c>
      <c r="Q40">
        <f t="shared" si="59"/>
        <v>0</v>
      </c>
      <c r="S40">
        <f t="shared" si="60"/>
        <v>0</v>
      </c>
      <c r="W40" t="str">
        <f t="shared" si="50"/>
        <v/>
      </c>
      <c r="Y40" t="str">
        <f t="shared" si="49"/>
        <v/>
      </c>
    </row>
    <row r="41" spans="1:34" x14ac:dyDescent="0.2">
      <c r="A41">
        <f t="shared" si="51"/>
        <v>0</v>
      </c>
      <c r="C41">
        <f t="shared" si="52"/>
        <v>3</v>
      </c>
      <c r="E41">
        <f t="shared" si="53"/>
        <v>0</v>
      </c>
      <c r="G41">
        <f t="shared" si="54"/>
        <v>0</v>
      </c>
      <c r="K41">
        <f t="shared" si="55"/>
        <v>0</v>
      </c>
      <c r="M41">
        <f t="shared" si="56"/>
        <v>0</v>
      </c>
      <c r="N41">
        <f t="shared" si="57"/>
        <v>9</v>
      </c>
      <c r="O41">
        <f t="shared" si="58"/>
        <v>0</v>
      </c>
      <c r="Q41">
        <f t="shared" si="59"/>
        <v>0</v>
      </c>
      <c r="S41">
        <f t="shared" si="60"/>
        <v>0</v>
      </c>
      <c r="W41" t="str">
        <f t="shared" si="50"/>
        <v/>
      </c>
      <c r="Y41" t="str">
        <f t="shared" si="49"/>
        <v/>
      </c>
    </row>
    <row r="42" spans="1:34" x14ac:dyDescent="0.2">
      <c r="A42">
        <f t="shared" si="51"/>
        <v>0</v>
      </c>
      <c r="C42">
        <f t="shared" si="52"/>
        <v>3</v>
      </c>
      <c r="E42">
        <f t="shared" si="53"/>
        <v>0</v>
      </c>
      <c r="G42">
        <f t="shared" si="54"/>
        <v>0</v>
      </c>
      <c r="K42">
        <f t="shared" si="55"/>
        <v>0</v>
      </c>
      <c r="M42">
        <f t="shared" si="56"/>
        <v>0</v>
      </c>
      <c r="N42">
        <f t="shared" si="57"/>
        <v>9</v>
      </c>
      <c r="O42">
        <f t="shared" si="58"/>
        <v>0</v>
      </c>
      <c r="Q42">
        <f t="shared" si="59"/>
        <v>1</v>
      </c>
      <c r="S42">
        <f t="shared" si="60"/>
        <v>1</v>
      </c>
      <c r="W42" t="str">
        <f t="shared" si="50"/>
        <v/>
      </c>
      <c r="Y42" t="str">
        <f t="shared" si="49"/>
        <v/>
      </c>
    </row>
    <row r="43" spans="1:34" x14ac:dyDescent="0.2">
      <c r="A43">
        <f t="shared" si="51"/>
        <v>0</v>
      </c>
      <c r="C43">
        <f t="shared" si="52"/>
        <v>2</v>
      </c>
      <c r="E43">
        <f t="shared" si="53"/>
        <v>0</v>
      </c>
      <c r="G43">
        <f t="shared" si="54"/>
        <v>0</v>
      </c>
      <c r="K43">
        <f t="shared" si="55"/>
        <v>0</v>
      </c>
      <c r="M43">
        <f t="shared" si="56"/>
        <v>1</v>
      </c>
      <c r="N43">
        <f t="shared" si="57"/>
        <v>14</v>
      </c>
      <c r="O43">
        <f t="shared" si="58"/>
        <v>0</v>
      </c>
      <c r="Q43">
        <f t="shared" si="59"/>
        <v>0</v>
      </c>
      <c r="S43">
        <f t="shared" si="60"/>
        <v>0</v>
      </c>
    </row>
    <row r="44" spans="1:34" x14ac:dyDescent="0.2">
      <c r="A44">
        <f t="shared" si="51"/>
        <v>0</v>
      </c>
      <c r="C44">
        <f t="shared" si="52"/>
        <v>4</v>
      </c>
      <c r="E44">
        <f t="shared" si="53"/>
        <v>0</v>
      </c>
      <c r="G44">
        <f t="shared" si="54"/>
        <v>0</v>
      </c>
      <c r="K44">
        <f t="shared" si="55"/>
        <v>0</v>
      </c>
      <c r="M44">
        <f t="shared" si="56"/>
        <v>-1</v>
      </c>
      <c r="N44">
        <f t="shared" si="57"/>
        <v>9</v>
      </c>
      <c r="O44">
        <f t="shared" si="58"/>
        <v>0</v>
      </c>
      <c r="Q44">
        <f t="shared" si="59"/>
        <v>1</v>
      </c>
      <c r="S44">
        <f t="shared" si="60"/>
        <v>0</v>
      </c>
    </row>
    <row r="45" spans="1:34" x14ac:dyDescent="0.2">
      <c r="A45">
        <f t="shared" si="51"/>
        <v>0</v>
      </c>
      <c r="C45">
        <f t="shared" si="52"/>
        <v>2</v>
      </c>
      <c r="E45">
        <f t="shared" si="53"/>
        <v>0</v>
      </c>
      <c r="G45">
        <f t="shared" si="54"/>
        <v>0</v>
      </c>
      <c r="K45">
        <f t="shared" si="55"/>
        <v>0</v>
      </c>
      <c r="M45">
        <f t="shared" si="56"/>
        <v>0</v>
      </c>
      <c r="N45">
        <f t="shared" si="57"/>
        <v>0</v>
      </c>
      <c r="O45">
        <f t="shared" si="58"/>
        <v>0</v>
      </c>
      <c r="Q45">
        <f t="shared" si="59"/>
        <v>0</v>
      </c>
      <c r="S45">
        <f t="shared" si="60"/>
        <v>0</v>
      </c>
    </row>
    <row r="46" spans="1:34" x14ac:dyDescent="0.2">
      <c r="A46">
        <f t="shared" si="51"/>
        <v>0</v>
      </c>
      <c r="C46">
        <f t="shared" si="52"/>
        <v>1</v>
      </c>
      <c r="E46">
        <f t="shared" si="53"/>
        <v>0</v>
      </c>
      <c r="G46">
        <f t="shared" si="54"/>
        <v>0</v>
      </c>
      <c r="K46">
        <f t="shared" si="55"/>
        <v>0</v>
      </c>
      <c r="M46">
        <f t="shared" si="56"/>
        <v>2</v>
      </c>
      <c r="N46">
        <f t="shared" si="57"/>
        <v>5</v>
      </c>
      <c r="O46">
        <f t="shared" si="58"/>
        <v>0</v>
      </c>
      <c r="Q46">
        <f t="shared" si="59"/>
        <v>0</v>
      </c>
      <c r="S46">
        <f t="shared" si="60"/>
        <v>0</v>
      </c>
    </row>
    <row r="47" spans="1:34" x14ac:dyDescent="0.2">
      <c r="A47">
        <f t="shared" si="51"/>
        <v>0</v>
      </c>
      <c r="C47">
        <f t="shared" si="52"/>
        <v>0</v>
      </c>
      <c r="E47">
        <f t="shared" si="53"/>
        <v>0</v>
      </c>
      <c r="G47">
        <f t="shared" si="54"/>
        <v>0</v>
      </c>
      <c r="K47">
        <f t="shared" si="55"/>
        <v>0</v>
      </c>
      <c r="M47">
        <f t="shared" si="56"/>
        <v>0</v>
      </c>
      <c r="N47">
        <f t="shared" si="57"/>
        <v>0</v>
      </c>
      <c r="O47">
        <f t="shared" si="58"/>
        <v>0</v>
      </c>
      <c r="Q47">
        <f t="shared" si="59"/>
        <v>1</v>
      </c>
      <c r="S47">
        <f t="shared" si="60"/>
        <v>1</v>
      </c>
    </row>
    <row r="48" spans="1:34" x14ac:dyDescent="0.2">
      <c r="A48">
        <f t="shared" si="51"/>
        <v>0</v>
      </c>
      <c r="C48">
        <f t="shared" si="52"/>
        <v>1</v>
      </c>
      <c r="E48">
        <f t="shared" si="53"/>
        <v>0</v>
      </c>
      <c r="G48">
        <f t="shared" si="54"/>
        <v>0</v>
      </c>
      <c r="K48">
        <f t="shared" si="55"/>
        <v>0</v>
      </c>
      <c r="M48">
        <f t="shared" si="56"/>
        <v>0</v>
      </c>
      <c r="N48">
        <f t="shared" si="57"/>
        <v>1</v>
      </c>
      <c r="O48">
        <f t="shared" si="58"/>
        <v>0</v>
      </c>
      <c r="Q48">
        <f t="shared" si="59"/>
        <v>0</v>
      </c>
      <c r="S48">
        <f t="shared" si="60"/>
        <v>0</v>
      </c>
    </row>
    <row r="49" spans="1:19" x14ac:dyDescent="0.2">
      <c r="A49">
        <f t="shared" si="51"/>
        <v>0</v>
      </c>
      <c r="C49">
        <f t="shared" si="52"/>
        <v>4</v>
      </c>
      <c r="E49">
        <f t="shared" si="53"/>
        <v>0</v>
      </c>
      <c r="G49">
        <f t="shared" si="54"/>
        <v>0</v>
      </c>
      <c r="K49">
        <f t="shared" si="55"/>
        <v>0</v>
      </c>
      <c r="M49">
        <f t="shared" si="56"/>
        <v>-1</v>
      </c>
      <c r="N49">
        <f t="shared" si="57"/>
        <v>5</v>
      </c>
      <c r="O49">
        <f t="shared" si="58"/>
        <v>0</v>
      </c>
      <c r="Q49">
        <f t="shared" si="59"/>
        <v>0</v>
      </c>
      <c r="S49">
        <f t="shared" si="60"/>
        <v>0</v>
      </c>
    </row>
    <row r="50" spans="1:19" x14ac:dyDescent="0.2">
      <c r="A50">
        <f t="shared" si="51"/>
        <v>0</v>
      </c>
      <c r="C50">
        <f t="shared" si="52"/>
        <v>2</v>
      </c>
      <c r="E50">
        <f t="shared" si="53"/>
        <v>0</v>
      </c>
      <c r="G50">
        <f t="shared" si="54"/>
        <v>0</v>
      </c>
      <c r="K50">
        <f t="shared" si="55"/>
        <v>0</v>
      </c>
      <c r="M50">
        <f t="shared" si="56"/>
        <v>1</v>
      </c>
      <c r="N50">
        <f t="shared" si="57"/>
        <v>0</v>
      </c>
      <c r="O50">
        <f t="shared" si="58"/>
        <v>1</v>
      </c>
      <c r="Q50">
        <f t="shared" si="59"/>
        <v>0</v>
      </c>
      <c r="S50">
        <f t="shared" si="60"/>
        <v>0</v>
      </c>
    </row>
  </sheetData>
  <pageMargins left="0.7" right="0.7" top="0.75" bottom="0.75" header="0.3" footer="0.3"/>
  <legacy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 enableFormatConditionsCalculation="0"/>
  <dimension ref="A1:BN50"/>
  <sheetViews>
    <sheetView topLeftCell="B1" workbookViewId="0">
      <selection activeCell="U15" sqref="U15"/>
    </sheetView>
  </sheetViews>
  <sheetFormatPr baseColWidth="10" defaultRowHeight="15" x14ac:dyDescent="0.2"/>
  <sheetData>
    <row r="1" spans="1:66" x14ac:dyDescent="0.2">
      <c r="A1" s="1" t="s">
        <v>0</v>
      </c>
      <c r="D1" t="s">
        <v>3</v>
      </c>
      <c r="K1" t="s">
        <v>11</v>
      </c>
      <c r="N1" t="s">
        <v>12</v>
      </c>
      <c r="P1" t="s">
        <v>14</v>
      </c>
      <c r="Q1" t="s">
        <v>17</v>
      </c>
      <c r="S1" t="s">
        <v>18</v>
      </c>
      <c r="Z1" t="s">
        <v>29</v>
      </c>
      <c r="AE1" t="s">
        <v>30</v>
      </c>
      <c r="AK1" t="s">
        <v>42</v>
      </c>
    </row>
    <row r="2" spans="1:66" x14ac:dyDescent="0.2">
      <c r="A2" t="s">
        <v>1</v>
      </c>
      <c r="B2" t="s">
        <v>1</v>
      </c>
      <c r="C2" t="s">
        <v>87</v>
      </c>
      <c r="D2" t="s">
        <v>54</v>
      </c>
      <c r="E2" t="s">
        <v>13</v>
      </c>
      <c r="F2" t="s">
        <v>198</v>
      </c>
      <c r="G2" t="s">
        <v>7</v>
      </c>
      <c r="H2" t="s">
        <v>8</v>
      </c>
      <c r="I2" t="s">
        <v>179</v>
      </c>
      <c r="J2" t="s">
        <v>178</v>
      </c>
      <c r="K2" t="s">
        <v>9</v>
      </c>
      <c r="L2" t="s">
        <v>196</v>
      </c>
      <c r="M2" t="s">
        <v>10</v>
      </c>
      <c r="N2" t="s">
        <v>54</v>
      </c>
      <c r="O2" t="s">
        <v>13</v>
      </c>
      <c r="P2" t="s">
        <v>15</v>
      </c>
      <c r="Q2" t="s">
        <v>8</v>
      </c>
      <c r="R2" t="s">
        <v>7</v>
      </c>
      <c r="S2" t="s">
        <v>181</v>
      </c>
      <c r="T2" t="s">
        <v>182</v>
      </c>
      <c r="U2" t="s">
        <v>19</v>
      </c>
      <c r="V2" t="s">
        <v>191</v>
      </c>
      <c r="W2" t="s">
        <v>192</v>
      </c>
      <c r="X2" t="s">
        <v>175</v>
      </c>
      <c r="Y2" t="s">
        <v>173</v>
      </c>
      <c r="Z2" t="str">
        <f t="shared" ref="Z2:Z13" si="0">LEFT(I4, 1)</f>
        <v/>
      </c>
      <c r="AA2" t="str">
        <f t="shared" ref="AA2:AA13" si="1">MID(I4, 4, 1)</f>
        <v/>
      </c>
      <c r="AB2" t="str">
        <f t="shared" ref="AB2:AB13" si="2">MID(I4, 7, 1)</f>
        <v/>
      </c>
      <c r="AC2" t="str">
        <f t="shared" ref="AC2:AC13" si="3">MID(I4, 10, 1)</f>
        <v/>
      </c>
      <c r="AE2" t="str">
        <f t="shared" ref="AE2:AE13" si="4">LEFT(J4, 1)</f>
        <v/>
      </c>
      <c r="AF2" t="str">
        <f t="shared" ref="AF2:AF13" si="5">MID(J4, 4, 1)</f>
        <v/>
      </c>
      <c r="AG2" t="str">
        <f t="shared" ref="AG2:AG13" si="6">MID(J4, 7, 1)</f>
        <v/>
      </c>
      <c r="AH2" t="str">
        <f t="shared" ref="AH2:AH13" si="7">MID(J4, 10, 1)</f>
        <v/>
      </c>
      <c r="AI2" t="str">
        <f t="shared" ref="AI2:AI13" si="8">MID(J4, 13, 1)</f>
        <v/>
      </c>
      <c r="AK2" t="str">
        <f t="shared" ref="AK2:AK13" si="9">LEFT(P4, 2)</f>
        <v/>
      </c>
      <c r="AL2" t="str">
        <f>MID($P4, 5, 2)</f>
        <v/>
      </c>
      <c r="AM2" t="str">
        <f t="shared" ref="AM2:AM13" si="10">MID($P4, 9, 2)</f>
        <v/>
      </c>
      <c r="AN2" t="str">
        <f t="shared" ref="AN2:AN13" si="11">MID($P4, 13, 2)</f>
        <v/>
      </c>
      <c r="AO2" t="str">
        <f t="shared" ref="AO2:AO13" si="12">MID($P4, 17, 2)</f>
        <v/>
      </c>
      <c r="AP2" t="str">
        <f t="shared" ref="AP2:AP13" si="13">MID($P4, 21, 2)</f>
        <v/>
      </c>
      <c r="AQ2" t="str">
        <f t="shared" ref="AQ2:AQ13" si="14">MID($P4, 25, 2)</f>
        <v/>
      </c>
      <c r="AR2" t="str">
        <f t="shared" ref="AR2:AR13" si="15">MID($P4, 29, 2)</f>
        <v/>
      </c>
      <c r="AS2" t="str">
        <f t="shared" ref="AS2:AS13" si="16">MID($P4, 33, 2)</f>
        <v/>
      </c>
      <c r="AT2" t="str">
        <f t="shared" ref="AT2:AT13" si="17">MID($P4, 37, 2)</f>
        <v/>
      </c>
      <c r="AU2" t="str">
        <f t="shared" ref="AU2:AU13" si="18">MID($P4, 41, 2)</f>
        <v/>
      </c>
      <c r="AV2" t="str">
        <f t="shared" ref="AV2:AV13" si="19">MID($P4, 45, 2)</f>
        <v/>
      </c>
      <c r="AW2" t="str">
        <f t="shared" ref="AW2:AW13" si="20">MID($P4, 49, 2)</f>
        <v/>
      </c>
      <c r="AX2" t="str">
        <f t="shared" ref="AX2:AX13" si="21">MID($P4, 53, 2)</f>
        <v/>
      </c>
      <c r="AY2" t="str">
        <f t="shared" ref="AY2:AY13" si="22">MID($P4, 57, 2)</f>
        <v/>
      </c>
      <c r="AZ2" t="str">
        <f t="shared" ref="AZ2:AZ13" si="23">MID($P4, 61, 2)</f>
        <v/>
      </c>
      <c r="BA2" t="str">
        <f t="shared" ref="BA2:BA13" si="24">MID($P4, 65, 2)</f>
        <v/>
      </c>
      <c r="BB2" t="str">
        <f t="shared" ref="BB2:BB13" si="25">MID($P4, 69, 2)</f>
        <v/>
      </c>
      <c r="BC2" t="str">
        <f t="shared" ref="BC2:BC13" si="26">MID($P4, 73, 2)</f>
        <v/>
      </c>
      <c r="BD2" t="str">
        <f t="shared" ref="BD2:BD13" si="27">MID($P4, 77, 2)</f>
        <v/>
      </c>
      <c r="BE2" t="str">
        <f t="shared" ref="BE2:BE13" si="28">MID($P4, 81, 2)</f>
        <v/>
      </c>
      <c r="BF2" t="str">
        <f t="shared" ref="BF2:BF13" si="29">MID($P4, 85, 2)</f>
        <v/>
      </c>
      <c r="BG2" t="str">
        <f t="shared" ref="BG2:BG13" si="30">MID($P4, 89, 2)</f>
        <v/>
      </c>
      <c r="BH2" t="str">
        <f t="shared" ref="BH2:BH13" si="31">MID($P4, 93, 2)</f>
        <v/>
      </c>
    </row>
    <row r="3" spans="1:66" x14ac:dyDescent="0.2">
      <c r="A3" t="s">
        <v>2</v>
      </c>
      <c r="B3" t="s">
        <v>6</v>
      </c>
      <c r="C3" t="s">
        <v>88</v>
      </c>
      <c r="D3" t="s">
        <v>6</v>
      </c>
      <c r="E3" t="s">
        <v>6</v>
      </c>
      <c r="F3" t="s">
        <v>4</v>
      </c>
      <c r="G3" t="s">
        <v>6</v>
      </c>
      <c r="H3" t="s">
        <v>6</v>
      </c>
      <c r="I3" t="s">
        <v>86</v>
      </c>
      <c r="J3" t="s">
        <v>86</v>
      </c>
      <c r="K3" t="s">
        <v>6</v>
      </c>
      <c r="L3" t="s">
        <v>6</v>
      </c>
      <c r="M3" t="s">
        <v>6</v>
      </c>
      <c r="N3" t="s">
        <v>6</v>
      </c>
      <c r="O3" t="s">
        <v>6</v>
      </c>
      <c r="P3" t="s">
        <v>16</v>
      </c>
      <c r="Q3" t="s">
        <v>6</v>
      </c>
      <c r="R3" t="s">
        <v>6</v>
      </c>
      <c r="S3" t="s">
        <v>4</v>
      </c>
      <c r="T3" t="s">
        <v>4</v>
      </c>
      <c r="U3" t="s">
        <v>6</v>
      </c>
      <c r="V3" t="s">
        <v>6</v>
      </c>
      <c r="W3" t="s">
        <v>6</v>
      </c>
      <c r="X3" t="s">
        <v>6</v>
      </c>
      <c r="Y3" t="s">
        <v>174</v>
      </c>
      <c r="Z3" t="str">
        <f t="shared" si="0"/>
        <v/>
      </c>
      <c r="AA3" t="str">
        <f t="shared" si="1"/>
        <v/>
      </c>
      <c r="AB3" t="str">
        <f t="shared" si="2"/>
        <v/>
      </c>
      <c r="AC3" t="str">
        <f t="shared" si="3"/>
        <v/>
      </c>
      <c r="AE3" t="str">
        <f t="shared" si="4"/>
        <v/>
      </c>
      <c r="AF3" t="str">
        <f t="shared" si="5"/>
        <v/>
      </c>
      <c r="AG3" t="str">
        <f t="shared" si="6"/>
        <v/>
      </c>
      <c r="AH3" t="str">
        <f t="shared" si="7"/>
        <v/>
      </c>
      <c r="AI3" t="str">
        <f t="shared" si="8"/>
        <v/>
      </c>
      <c r="AK3" t="str">
        <f t="shared" si="9"/>
        <v/>
      </c>
      <c r="AL3" t="str">
        <f t="shared" ref="AL3:AL13" si="32">MID(P5, 5, 2)</f>
        <v/>
      </c>
      <c r="AM3" t="str">
        <f t="shared" si="10"/>
        <v/>
      </c>
      <c r="AN3" t="str">
        <f t="shared" si="11"/>
        <v/>
      </c>
      <c r="AO3" t="str">
        <f t="shared" si="12"/>
        <v/>
      </c>
      <c r="AP3" t="str">
        <f t="shared" si="13"/>
        <v/>
      </c>
      <c r="AQ3" t="str">
        <f t="shared" si="14"/>
        <v/>
      </c>
      <c r="AR3" t="str">
        <f t="shared" si="15"/>
        <v/>
      </c>
      <c r="AS3" t="str">
        <f t="shared" si="16"/>
        <v/>
      </c>
      <c r="AT3" t="str">
        <f t="shared" si="17"/>
        <v/>
      </c>
      <c r="AU3" t="str">
        <f t="shared" si="18"/>
        <v/>
      </c>
      <c r="AV3" t="str">
        <f t="shared" si="19"/>
        <v/>
      </c>
      <c r="AW3" t="str">
        <f t="shared" si="20"/>
        <v/>
      </c>
      <c r="AX3" t="str">
        <f t="shared" si="21"/>
        <v/>
      </c>
      <c r="AY3" t="str">
        <f t="shared" si="22"/>
        <v/>
      </c>
      <c r="AZ3" t="str">
        <f t="shared" si="23"/>
        <v/>
      </c>
      <c r="BA3" t="str">
        <f t="shared" si="24"/>
        <v/>
      </c>
      <c r="BB3" t="str">
        <f t="shared" si="25"/>
        <v/>
      </c>
      <c r="BC3" t="str">
        <f t="shared" si="26"/>
        <v/>
      </c>
      <c r="BD3" t="str">
        <f t="shared" si="27"/>
        <v/>
      </c>
      <c r="BE3" t="str">
        <f t="shared" si="28"/>
        <v/>
      </c>
      <c r="BF3" t="str">
        <f t="shared" si="29"/>
        <v/>
      </c>
      <c r="BG3" t="str">
        <f t="shared" si="30"/>
        <v/>
      </c>
      <c r="BH3" t="str">
        <f t="shared" si="31"/>
        <v/>
      </c>
    </row>
    <row r="4" spans="1:66" x14ac:dyDescent="0.2">
      <c r="A4">
        <v>1</v>
      </c>
      <c r="B4">
        <v>2</v>
      </c>
      <c r="C4" t="s">
        <v>207</v>
      </c>
      <c r="K4">
        <v>1</v>
      </c>
      <c r="L4">
        <v>4</v>
      </c>
      <c r="N4">
        <v>2</v>
      </c>
      <c r="O4">
        <v>2</v>
      </c>
      <c r="S4">
        <v>1</v>
      </c>
      <c r="T4">
        <v>1</v>
      </c>
      <c r="X4">
        <f t="shared" ref="X4:X15" si="33">G4+H4+Q4+R4</f>
        <v>0</v>
      </c>
      <c r="Z4" t="str">
        <f t="shared" si="0"/>
        <v/>
      </c>
      <c r="AA4" t="str">
        <f t="shared" si="1"/>
        <v/>
      </c>
      <c r="AB4" t="str">
        <f t="shared" si="2"/>
        <v/>
      </c>
      <c r="AC4" t="str">
        <f t="shared" si="3"/>
        <v/>
      </c>
      <c r="AE4" t="str">
        <f t="shared" si="4"/>
        <v/>
      </c>
      <c r="AF4" t="str">
        <f t="shared" si="5"/>
        <v/>
      </c>
      <c r="AG4" t="str">
        <f t="shared" si="6"/>
        <v/>
      </c>
      <c r="AH4" t="str">
        <f t="shared" si="7"/>
        <v/>
      </c>
      <c r="AI4" t="str">
        <f t="shared" si="8"/>
        <v/>
      </c>
      <c r="AK4" t="str">
        <f t="shared" si="9"/>
        <v/>
      </c>
      <c r="AL4" t="str">
        <f t="shared" si="32"/>
        <v/>
      </c>
      <c r="AM4" t="str">
        <f t="shared" si="10"/>
        <v/>
      </c>
      <c r="AN4" t="str">
        <f t="shared" si="11"/>
        <v/>
      </c>
      <c r="AO4" t="str">
        <f t="shared" si="12"/>
        <v/>
      </c>
      <c r="AP4" t="str">
        <f t="shared" si="13"/>
        <v/>
      </c>
      <c r="AQ4" t="str">
        <f t="shared" si="14"/>
        <v/>
      </c>
      <c r="AR4" t="str">
        <f t="shared" si="15"/>
        <v/>
      </c>
      <c r="AS4" t="str">
        <f t="shared" si="16"/>
        <v/>
      </c>
      <c r="AT4" t="str">
        <f t="shared" si="17"/>
        <v/>
      </c>
      <c r="AU4" t="str">
        <f t="shared" si="18"/>
        <v/>
      </c>
      <c r="AV4" t="str">
        <f t="shared" si="19"/>
        <v/>
      </c>
      <c r="AW4" t="str">
        <f t="shared" si="20"/>
        <v/>
      </c>
      <c r="AX4" t="str">
        <f t="shared" si="21"/>
        <v/>
      </c>
      <c r="AY4" t="str">
        <f t="shared" si="22"/>
        <v/>
      </c>
      <c r="AZ4" t="str">
        <f t="shared" si="23"/>
        <v/>
      </c>
      <c r="BA4" t="str">
        <f t="shared" si="24"/>
        <v/>
      </c>
      <c r="BB4" t="str">
        <f t="shared" si="25"/>
        <v/>
      </c>
      <c r="BC4" t="str">
        <f t="shared" si="26"/>
        <v/>
      </c>
      <c r="BD4" t="str">
        <f t="shared" si="27"/>
        <v/>
      </c>
      <c r="BE4" t="str">
        <f t="shared" si="28"/>
        <v/>
      </c>
      <c r="BF4" t="str">
        <f t="shared" si="29"/>
        <v/>
      </c>
      <c r="BG4" t="str">
        <f t="shared" si="30"/>
        <v/>
      </c>
      <c r="BH4" t="str">
        <f t="shared" si="31"/>
        <v/>
      </c>
    </row>
    <row r="5" spans="1:66" x14ac:dyDescent="0.2">
      <c r="A5">
        <v>2</v>
      </c>
      <c r="B5">
        <v>12</v>
      </c>
      <c r="C5" t="s">
        <v>39</v>
      </c>
      <c r="D5">
        <v>1</v>
      </c>
      <c r="F5">
        <v>1</v>
      </c>
      <c r="K5">
        <v>2</v>
      </c>
      <c r="N5">
        <v>3</v>
      </c>
      <c r="O5">
        <v>3</v>
      </c>
      <c r="S5">
        <v>1</v>
      </c>
      <c r="X5">
        <f t="shared" si="33"/>
        <v>0</v>
      </c>
      <c r="Z5" t="str">
        <f t="shared" si="0"/>
        <v/>
      </c>
      <c r="AA5" t="str">
        <f t="shared" si="1"/>
        <v/>
      </c>
      <c r="AB5" t="str">
        <f t="shared" si="2"/>
        <v/>
      </c>
      <c r="AC5" t="str">
        <f t="shared" si="3"/>
        <v/>
      </c>
      <c r="AE5" t="str">
        <f t="shared" si="4"/>
        <v/>
      </c>
      <c r="AF5" t="str">
        <f t="shared" si="5"/>
        <v/>
      </c>
      <c r="AG5" t="str">
        <f t="shared" si="6"/>
        <v/>
      </c>
      <c r="AH5" t="str">
        <f t="shared" si="7"/>
        <v/>
      </c>
      <c r="AI5" t="str">
        <f t="shared" si="8"/>
        <v/>
      </c>
      <c r="AK5" t="str">
        <f t="shared" si="9"/>
        <v/>
      </c>
      <c r="AL5" t="str">
        <f t="shared" si="32"/>
        <v/>
      </c>
      <c r="AM5" t="str">
        <f t="shared" si="10"/>
        <v/>
      </c>
      <c r="AN5" t="str">
        <f t="shared" si="11"/>
        <v/>
      </c>
      <c r="AO5" t="str">
        <f t="shared" si="12"/>
        <v/>
      </c>
      <c r="AP5" t="str">
        <f t="shared" si="13"/>
        <v/>
      </c>
      <c r="AQ5" t="str">
        <f t="shared" si="14"/>
        <v/>
      </c>
      <c r="AR5" t="str">
        <f t="shared" si="15"/>
        <v/>
      </c>
      <c r="AS5" t="str">
        <f t="shared" si="16"/>
        <v/>
      </c>
      <c r="AT5" t="str">
        <f t="shared" si="17"/>
        <v/>
      </c>
      <c r="AU5" t="str">
        <f t="shared" si="18"/>
        <v/>
      </c>
      <c r="AV5" t="str">
        <f t="shared" si="19"/>
        <v/>
      </c>
      <c r="AW5" t="str">
        <f t="shared" si="20"/>
        <v/>
      </c>
      <c r="AX5" t="str">
        <f t="shared" si="21"/>
        <v/>
      </c>
      <c r="AY5" t="str">
        <f t="shared" si="22"/>
        <v/>
      </c>
      <c r="AZ5" t="str">
        <f t="shared" si="23"/>
        <v/>
      </c>
      <c r="BA5" t="str">
        <f t="shared" si="24"/>
        <v/>
      </c>
      <c r="BB5" t="str">
        <f t="shared" si="25"/>
        <v/>
      </c>
      <c r="BC5" t="str">
        <f t="shared" si="26"/>
        <v/>
      </c>
      <c r="BD5" t="str">
        <f t="shared" si="27"/>
        <v/>
      </c>
      <c r="BE5" t="str">
        <f t="shared" si="28"/>
        <v/>
      </c>
      <c r="BF5" t="str">
        <f t="shared" si="29"/>
        <v/>
      </c>
      <c r="BG5" t="str">
        <f t="shared" si="30"/>
        <v/>
      </c>
      <c r="BH5" t="str">
        <f t="shared" si="31"/>
        <v/>
      </c>
    </row>
    <row r="6" spans="1:66" x14ac:dyDescent="0.2">
      <c r="A6">
        <v>3</v>
      </c>
      <c r="B6">
        <v>27</v>
      </c>
      <c r="C6" t="s">
        <v>207</v>
      </c>
      <c r="D6">
        <v>1</v>
      </c>
      <c r="F6">
        <v>1</v>
      </c>
      <c r="K6">
        <v>2</v>
      </c>
      <c r="L6">
        <v>1</v>
      </c>
      <c r="N6">
        <v>3</v>
      </c>
      <c r="O6">
        <v>3</v>
      </c>
      <c r="S6">
        <v>1</v>
      </c>
      <c r="U6">
        <v>1</v>
      </c>
      <c r="X6">
        <f t="shared" si="33"/>
        <v>0</v>
      </c>
      <c r="Z6" t="str">
        <f t="shared" si="0"/>
        <v/>
      </c>
      <c r="AA6" t="str">
        <f t="shared" si="1"/>
        <v/>
      </c>
      <c r="AB6" t="str">
        <f t="shared" si="2"/>
        <v/>
      </c>
      <c r="AC6" t="str">
        <f t="shared" si="3"/>
        <v/>
      </c>
      <c r="AE6" t="str">
        <f t="shared" si="4"/>
        <v/>
      </c>
      <c r="AF6" t="str">
        <f t="shared" si="5"/>
        <v/>
      </c>
      <c r="AG6" t="str">
        <f t="shared" si="6"/>
        <v/>
      </c>
      <c r="AH6" t="str">
        <f t="shared" si="7"/>
        <v/>
      </c>
      <c r="AI6" t="str">
        <f t="shared" si="8"/>
        <v/>
      </c>
      <c r="AK6" t="str">
        <f t="shared" si="9"/>
        <v/>
      </c>
      <c r="AL6" t="str">
        <f t="shared" si="32"/>
        <v/>
      </c>
      <c r="AM6" t="str">
        <f t="shared" si="10"/>
        <v/>
      </c>
      <c r="AN6" t="str">
        <f t="shared" si="11"/>
        <v/>
      </c>
      <c r="AO6" t="str">
        <f t="shared" si="12"/>
        <v/>
      </c>
      <c r="AP6" t="str">
        <f t="shared" si="13"/>
        <v/>
      </c>
      <c r="AQ6" t="str">
        <f t="shared" si="14"/>
        <v/>
      </c>
      <c r="AR6" t="str">
        <f t="shared" si="15"/>
        <v/>
      </c>
      <c r="AS6" t="str">
        <f t="shared" si="16"/>
        <v/>
      </c>
      <c r="AT6" t="str">
        <f t="shared" si="17"/>
        <v/>
      </c>
      <c r="AU6" t="str">
        <f t="shared" si="18"/>
        <v/>
      </c>
      <c r="AV6" t="str">
        <f t="shared" si="19"/>
        <v/>
      </c>
      <c r="AW6" t="str">
        <f t="shared" si="20"/>
        <v/>
      </c>
      <c r="AX6" t="str">
        <f t="shared" si="21"/>
        <v/>
      </c>
      <c r="AY6" t="str">
        <f t="shared" si="22"/>
        <v/>
      </c>
      <c r="AZ6" t="str">
        <f t="shared" si="23"/>
        <v/>
      </c>
      <c r="BA6" t="str">
        <f t="shared" si="24"/>
        <v/>
      </c>
      <c r="BB6" t="str">
        <f t="shared" si="25"/>
        <v/>
      </c>
      <c r="BC6" t="str">
        <f t="shared" si="26"/>
        <v/>
      </c>
      <c r="BD6" t="str">
        <f t="shared" si="27"/>
        <v/>
      </c>
      <c r="BE6" t="str">
        <f t="shared" si="28"/>
        <v/>
      </c>
      <c r="BF6" t="str">
        <f t="shared" si="29"/>
        <v/>
      </c>
      <c r="BG6" t="str">
        <f t="shared" si="30"/>
        <v/>
      </c>
      <c r="BH6" t="str">
        <f t="shared" si="31"/>
        <v/>
      </c>
    </row>
    <row r="7" spans="1:66" x14ac:dyDescent="0.2">
      <c r="A7">
        <v>4</v>
      </c>
      <c r="B7">
        <v>39</v>
      </c>
      <c r="C7" t="s">
        <v>39</v>
      </c>
      <c r="D7">
        <v>1</v>
      </c>
      <c r="F7">
        <v>1</v>
      </c>
      <c r="K7">
        <v>3</v>
      </c>
      <c r="L7">
        <v>1</v>
      </c>
      <c r="N7">
        <v>4</v>
      </c>
      <c r="O7">
        <v>4</v>
      </c>
      <c r="S7">
        <v>1</v>
      </c>
      <c r="T7">
        <v>1</v>
      </c>
      <c r="U7">
        <v>3</v>
      </c>
      <c r="X7">
        <f t="shared" si="33"/>
        <v>0</v>
      </c>
      <c r="Z7" t="str">
        <f t="shared" si="0"/>
        <v/>
      </c>
      <c r="AA7" t="str">
        <f t="shared" si="1"/>
        <v/>
      </c>
      <c r="AB7" t="str">
        <f t="shared" si="2"/>
        <v/>
      </c>
      <c r="AC7" t="str">
        <f t="shared" si="3"/>
        <v/>
      </c>
      <c r="AE7" t="str">
        <f t="shared" si="4"/>
        <v/>
      </c>
      <c r="AF7" t="str">
        <f t="shared" si="5"/>
        <v/>
      </c>
      <c r="AG7" t="str">
        <f t="shared" si="6"/>
        <v/>
      </c>
      <c r="AH7" t="str">
        <f t="shared" si="7"/>
        <v/>
      </c>
      <c r="AI7" t="str">
        <f t="shared" si="8"/>
        <v/>
      </c>
      <c r="AK7" t="str">
        <f t="shared" si="9"/>
        <v/>
      </c>
      <c r="AL7" t="str">
        <f t="shared" si="32"/>
        <v/>
      </c>
      <c r="AM7" t="str">
        <f t="shared" si="10"/>
        <v/>
      </c>
      <c r="AN7" t="str">
        <f t="shared" si="11"/>
        <v/>
      </c>
      <c r="AO7" t="str">
        <f t="shared" si="12"/>
        <v/>
      </c>
      <c r="AP7" t="str">
        <f t="shared" si="13"/>
        <v/>
      </c>
      <c r="AQ7" t="str">
        <f t="shared" si="14"/>
        <v/>
      </c>
      <c r="AR7" t="str">
        <f t="shared" si="15"/>
        <v/>
      </c>
      <c r="AS7" t="str">
        <f t="shared" si="16"/>
        <v/>
      </c>
      <c r="AT7" t="str">
        <f t="shared" si="17"/>
        <v/>
      </c>
      <c r="AU7" t="str">
        <f t="shared" si="18"/>
        <v/>
      </c>
      <c r="AV7" t="str">
        <f t="shared" si="19"/>
        <v/>
      </c>
      <c r="AW7" t="str">
        <f t="shared" si="20"/>
        <v/>
      </c>
      <c r="AX7" t="str">
        <f t="shared" si="21"/>
        <v/>
      </c>
      <c r="AY7" t="str">
        <f t="shared" si="22"/>
        <v/>
      </c>
      <c r="AZ7" t="str">
        <f t="shared" si="23"/>
        <v/>
      </c>
      <c r="BA7" t="str">
        <f t="shared" si="24"/>
        <v/>
      </c>
      <c r="BB7" t="str">
        <f t="shared" si="25"/>
        <v/>
      </c>
      <c r="BC7" t="str">
        <f t="shared" si="26"/>
        <v/>
      </c>
      <c r="BD7" t="str">
        <f t="shared" si="27"/>
        <v/>
      </c>
      <c r="BE7" t="str">
        <f t="shared" si="28"/>
        <v/>
      </c>
      <c r="BF7" t="str">
        <f t="shared" si="29"/>
        <v/>
      </c>
      <c r="BG7" t="str">
        <f t="shared" si="30"/>
        <v/>
      </c>
      <c r="BH7" t="str">
        <f t="shared" si="31"/>
        <v/>
      </c>
    </row>
    <row r="8" spans="1:66" x14ac:dyDescent="0.2">
      <c r="A8">
        <v>5</v>
      </c>
      <c r="B8">
        <v>45</v>
      </c>
      <c r="C8" t="s">
        <v>207</v>
      </c>
      <c r="D8">
        <v>1</v>
      </c>
      <c r="E8">
        <v>1</v>
      </c>
      <c r="F8">
        <v>1</v>
      </c>
      <c r="K8">
        <v>3</v>
      </c>
      <c r="N8">
        <v>3</v>
      </c>
      <c r="O8">
        <v>3</v>
      </c>
      <c r="S8">
        <v>1</v>
      </c>
      <c r="T8">
        <v>1</v>
      </c>
      <c r="U8">
        <v>7</v>
      </c>
      <c r="X8">
        <f t="shared" si="33"/>
        <v>0</v>
      </c>
      <c r="Z8" t="str">
        <f t="shared" si="0"/>
        <v/>
      </c>
      <c r="AA8" t="str">
        <f t="shared" si="1"/>
        <v/>
      </c>
      <c r="AB8" t="str">
        <f t="shared" si="2"/>
        <v/>
      </c>
      <c r="AC8" t="str">
        <f t="shared" si="3"/>
        <v/>
      </c>
      <c r="AE8" t="str">
        <f t="shared" si="4"/>
        <v/>
      </c>
      <c r="AF8" t="str">
        <f t="shared" si="5"/>
        <v/>
      </c>
      <c r="AG8" t="str">
        <f t="shared" si="6"/>
        <v/>
      </c>
      <c r="AH8" t="str">
        <f t="shared" si="7"/>
        <v/>
      </c>
      <c r="AI8" t="str">
        <f t="shared" si="8"/>
        <v/>
      </c>
      <c r="AK8" t="str">
        <f t="shared" si="9"/>
        <v/>
      </c>
      <c r="AL8" t="str">
        <f t="shared" si="32"/>
        <v/>
      </c>
      <c r="AM8" t="str">
        <f t="shared" si="10"/>
        <v/>
      </c>
      <c r="AN8" t="str">
        <f t="shared" si="11"/>
        <v/>
      </c>
      <c r="AO8" t="str">
        <f t="shared" si="12"/>
        <v/>
      </c>
      <c r="AP8" t="str">
        <f t="shared" si="13"/>
        <v/>
      </c>
      <c r="AQ8" t="str">
        <f t="shared" si="14"/>
        <v/>
      </c>
      <c r="AR8" t="str">
        <f t="shared" si="15"/>
        <v/>
      </c>
      <c r="AS8" t="str">
        <f t="shared" si="16"/>
        <v/>
      </c>
      <c r="AT8" t="str">
        <f t="shared" si="17"/>
        <v/>
      </c>
      <c r="AU8" t="str">
        <f t="shared" si="18"/>
        <v/>
      </c>
      <c r="AV8" t="str">
        <f t="shared" si="19"/>
        <v/>
      </c>
      <c r="AW8" t="str">
        <f t="shared" si="20"/>
        <v/>
      </c>
      <c r="AX8" t="str">
        <f t="shared" si="21"/>
        <v/>
      </c>
      <c r="AY8" t="str">
        <f t="shared" si="22"/>
        <v/>
      </c>
      <c r="AZ8" t="str">
        <f t="shared" si="23"/>
        <v/>
      </c>
      <c r="BA8" t="str">
        <f t="shared" si="24"/>
        <v/>
      </c>
      <c r="BB8" t="str">
        <f t="shared" si="25"/>
        <v/>
      </c>
      <c r="BC8" t="str">
        <f t="shared" si="26"/>
        <v/>
      </c>
      <c r="BD8" t="str">
        <f t="shared" si="27"/>
        <v/>
      </c>
      <c r="BE8" t="str">
        <f t="shared" si="28"/>
        <v/>
      </c>
      <c r="BF8" t="str">
        <f t="shared" si="29"/>
        <v/>
      </c>
      <c r="BG8" t="str">
        <f t="shared" si="30"/>
        <v/>
      </c>
      <c r="BH8" t="str">
        <f t="shared" si="31"/>
        <v/>
      </c>
    </row>
    <row r="9" spans="1:66" x14ac:dyDescent="0.2">
      <c r="A9">
        <v>6</v>
      </c>
      <c r="B9">
        <v>51</v>
      </c>
      <c r="C9" t="s">
        <v>39</v>
      </c>
      <c r="D9">
        <v>1</v>
      </c>
      <c r="K9">
        <v>3</v>
      </c>
      <c r="N9">
        <v>3</v>
      </c>
      <c r="O9">
        <v>3</v>
      </c>
      <c r="S9">
        <v>1</v>
      </c>
      <c r="T9">
        <v>1</v>
      </c>
      <c r="U9">
        <v>2</v>
      </c>
      <c r="X9">
        <f t="shared" si="33"/>
        <v>0</v>
      </c>
      <c r="Z9" t="str">
        <f t="shared" si="0"/>
        <v/>
      </c>
      <c r="AA9" t="str">
        <f t="shared" si="1"/>
        <v/>
      </c>
      <c r="AB9" t="str">
        <f t="shared" si="2"/>
        <v/>
      </c>
      <c r="AC9" t="str">
        <f t="shared" si="3"/>
        <v/>
      </c>
      <c r="AE9" t="str">
        <f t="shared" si="4"/>
        <v>1</v>
      </c>
      <c r="AF9" t="str">
        <f t="shared" si="5"/>
        <v/>
      </c>
      <c r="AG9" t="str">
        <f t="shared" si="6"/>
        <v/>
      </c>
      <c r="AH9" t="str">
        <f t="shared" si="7"/>
        <v/>
      </c>
      <c r="AI9" t="str">
        <f t="shared" si="8"/>
        <v/>
      </c>
      <c r="AK9" t="str">
        <f t="shared" si="9"/>
        <v/>
      </c>
      <c r="AL9" t="str">
        <f t="shared" si="32"/>
        <v/>
      </c>
      <c r="AM9" t="str">
        <f t="shared" si="10"/>
        <v/>
      </c>
      <c r="AN9" t="str">
        <f t="shared" si="11"/>
        <v/>
      </c>
      <c r="AO9" t="str">
        <f t="shared" si="12"/>
        <v/>
      </c>
      <c r="AP9" t="str">
        <f t="shared" si="13"/>
        <v/>
      </c>
      <c r="AQ9" t="str">
        <f t="shared" si="14"/>
        <v/>
      </c>
      <c r="AR9" t="str">
        <f t="shared" si="15"/>
        <v/>
      </c>
      <c r="AS9" t="str">
        <f t="shared" si="16"/>
        <v/>
      </c>
      <c r="AT9" t="str">
        <f t="shared" si="17"/>
        <v/>
      </c>
      <c r="AU9" t="str">
        <f t="shared" si="18"/>
        <v/>
      </c>
      <c r="AV9" t="str">
        <f t="shared" si="19"/>
        <v/>
      </c>
      <c r="AW9" t="str">
        <f t="shared" si="20"/>
        <v/>
      </c>
      <c r="AX9" t="str">
        <f t="shared" si="21"/>
        <v/>
      </c>
      <c r="AY9" t="str">
        <f t="shared" si="22"/>
        <v/>
      </c>
      <c r="AZ9" t="str">
        <f t="shared" si="23"/>
        <v/>
      </c>
      <c r="BA9" t="str">
        <f t="shared" si="24"/>
        <v/>
      </c>
      <c r="BB9" t="str">
        <f t="shared" si="25"/>
        <v/>
      </c>
      <c r="BC9" t="str">
        <f t="shared" si="26"/>
        <v/>
      </c>
      <c r="BD9" t="str">
        <f t="shared" si="27"/>
        <v/>
      </c>
      <c r="BE9" t="str">
        <f t="shared" si="28"/>
        <v/>
      </c>
      <c r="BF9" t="str">
        <f t="shared" si="29"/>
        <v/>
      </c>
      <c r="BG9" t="str">
        <f t="shared" si="30"/>
        <v/>
      </c>
      <c r="BH9" t="str">
        <f t="shared" si="31"/>
        <v/>
      </c>
    </row>
    <row r="10" spans="1:66" x14ac:dyDescent="0.2">
      <c r="A10">
        <v>7</v>
      </c>
      <c r="B10">
        <v>61</v>
      </c>
      <c r="C10" t="s">
        <v>39</v>
      </c>
      <c r="D10">
        <v>1</v>
      </c>
      <c r="K10">
        <v>2</v>
      </c>
      <c r="N10">
        <v>3</v>
      </c>
      <c r="O10">
        <v>2</v>
      </c>
      <c r="S10">
        <v>1</v>
      </c>
      <c r="X10">
        <f t="shared" si="33"/>
        <v>0</v>
      </c>
      <c r="Z10" t="str">
        <f t="shared" si="0"/>
        <v/>
      </c>
      <c r="AA10" t="str">
        <f t="shared" si="1"/>
        <v/>
      </c>
      <c r="AB10" t="str">
        <f t="shared" si="2"/>
        <v/>
      </c>
      <c r="AC10" t="str">
        <f t="shared" si="3"/>
        <v/>
      </c>
      <c r="AE10" t="str">
        <f t="shared" si="4"/>
        <v/>
      </c>
      <c r="AF10" t="str">
        <f t="shared" si="5"/>
        <v/>
      </c>
      <c r="AG10" t="str">
        <f t="shared" si="6"/>
        <v/>
      </c>
      <c r="AH10" t="str">
        <f t="shared" si="7"/>
        <v/>
      </c>
      <c r="AI10" t="str">
        <f t="shared" si="8"/>
        <v/>
      </c>
      <c r="AK10" t="str">
        <f t="shared" si="9"/>
        <v/>
      </c>
      <c r="AL10" t="str">
        <f t="shared" si="32"/>
        <v/>
      </c>
      <c r="AM10" t="str">
        <f t="shared" si="10"/>
        <v/>
      </c>
      <c r="AN10" t="str">
        <f t="shared" si="11"/>
        <v/>
      </c>
      <c r="AO10" t="str">
        <f t="shared" si="12"/>
        <v/>
      </c>
      <c r="AP10" t="str">
        <f t="shared" si="13"/>
        <v/>
      </c>
      <c r="AQ10" t="str">
        <f t="shared" si="14"/>
        <v/>
      </c>
      <c r="AR10" t="str">
        <f t="shared" si="15"/>
        <v/>
      </c>
      <c r="AS10" t="str">
        <f t="shared" si="16"/>
        <v/>
      </c>
      <c r="AT10" t="str">
        <f t="shared" si="17"/>
        <v/>
      </c>
      <c r="AU10" t="str">
        <f t="shared" si="18"/>
        <v/>
      </c>
      <c r="AV10" t="str">
        <f t="shared" si="19"/>
        <v/>
      </c>
      <c r="AW10" t="str">
        <f t="shared" si="20"/>
        <v/>
      </c>
      <c r="AX10" t="str">
        <f t="shared" si="21"/>
        <v/>
      </c>
      <c r="AY10" t="str">
        <f t="shared" si="22"/>
        <v/>
      </c>
      <c r="AZ10" t="str">
        <f t="shared" si="23"/>
        <v/>
      </c>
      <c r="BA10" t="str">
        <f t="shared" si="24"/>
        <v/>
      </c>
      <c r="BB10" t="str">
        <f t="shared" si="25"/>
        <v/>
      </c>
      <c r="BC10" t="str">
        <f t="shared" si="26"/>
        <v/>
      </c>
      <c r="BD10" t="str">
        <f t="shared" si="27"/>
        <v/>
      </c>
      <c r="BE10" t="str">
        <f t="shared" si="28"/>
        <v/>
      </c>
      <c r="BF10" t="str">
        <f t="shared" si="29"/>
        <v/>
      </c>
      <c r="BG10" t="str">
        <f t="shared" si="30"/>
        <v/>
      </c>
      <c r="BH10" t="str">
        <f t="shared" si="31"/>
        <v/>
      </c>
    </row>
    <row r="11" spans="1:66" x14ac:dyDescent="0.2">
      <c r="A11">
        <v>8</v>
      </c>
      <c r="B11">
        <v>78</v>
      </c>
      <c r="C11" t="s">
        <v>207</v>
      </c>
      <c r="D11">
        <v>1</v>
      </c>
      <c r="E11">
        <v>1</v>
      </c>
      <c r="F11">
        <v>1</v>
      </c>
      <c r="J11">
        <v>1</v>
      </c>
      <c r="K11">
        <v>2</v>
      </c>
      <c r="N11">
        <v>2</v>
      </c>
      <c r="O11">
        <v>1</v>
      </c>
      <c r="S11">
        <v>1</v>
      </c>
      <c r="T11">
        <v>1</v>
      </c>
      <c r="U11">
        <v>5</v>
      </c>
      <c r="X11">
        <f t="shared" si="33"/>
        <v>0</v>
      </c>
      <c r="Z11" t="str">
        <f t="shared" si="0"/>
        <v/>
      </c>
      <c r="AA11" t="str">
        <f t="shared" si="1"/>
        <v/>
      </c>
      <c r="AB11" t="str">
        <f t="shared" si="2"/>
        <v/>
      </c>
      <c r="AC11" t="str">
        <f t="shared" si="3"/>
        <v/>
      </c>
      <c r="AE11" t="str">
        <f t="shared" si="4"/>
        <v/>
      </c>
      <c r="AF11" t="str">
        <f t="shared" si="5"/>
        <v/>
      </c>
      <c r="AG11" t="str">
        <f t="shared" si="6"/>
        <v/>
      </c>
      <c r="AH11" t="str">
        <f t="shared" si="7"/>
        <v/>
      </c>
      <c r="AI11" t="str">
        <f t="shared" si="8"/>
        <v/>
      </c>
      <c r="AK11" t="str">
        <f t="shared" si="9"/>
        <v/>
      </c>
      <c r="AL11" t="str">
        <f t="shared" si="32"/>
        <v/>
      </c>
      <c r="AM11" t="str">
        <f t="shared" si="10"/>
        <v/>
      </c>
      <c r="AN11" t="str">
        <f t="shared" si="11"/>
        <v/>
      </c>
      <c r="AO11" t="str">
        <f t="shared" si="12"/>
        <v/>
      </c>
      <c r="AP11" t="str">
        <f t="shared" si="13"/>
        <v/>
      </c>
      <c r="AQ11" t="str">
        <f t="shared" si="14"/>
        <v/>
      </c>
      <c r="AR11" t="str">
        <f t="shared" si="15"/>
        <v/>
      </c>
      <c r="AS11" t="str">
        <f t="shared" si="16"/>
        <v/>
      </c>
      <c r="AT11" t="str">
        <f t="shared" si="17"/>
        <v/>
      </c>
      <c r="AU11" t="str">
        <f t="shared" si="18"/>
        <v/>
      </c>
      <c r="AV11" t="str">
        <f t="shared" si="19"/>
        <v/>
      </c>
      <c r="AW11" t="str">
        <f t="shared" si="20"/>
        <v/>
      </c>
      <c r="AX11" t="str">
        <f t="shared" si="21"/>
        <v/>
      </c>
      <c r="AY11" t="str">
        <f t="shared" si="22"/>
        <v/>
      </c>
      <c r="AZ11" t="str">
        <f t="shared" si="23"/>
        <v/>
      </c>
      <c r="BA11" t="str">
        <f t="shared" si="24"/>
        <v/>
      </c>
      <c r="BB11" t="str">
        <f t="shared" si="25"/>
        <v/>
      </c>
      <c r="BC11" t="str">
        <f t="shared" si="26"/>
        <v/>
      </c>
      <c r="BD11" t="str">
        <f t="shared" si="27"/>
        <v/>
      </c>
      <c r="BE11" t="str">
        <f t="shared" si="28"/>
        <v/>
      </c>
      <c r="BF11" t="str">
        <f t="shared" si="29"/>
        <v/>
      </c>
      <c r="BG11" t="str">
        <f t="shared" si="30"/>
        <v/>
      </c>
      <c r="BH11" t="str">
        <f t="shared" si="31"/>
        <v/>
      </c>
    </row>
    <row r="12" spans="1:66" x14ac:dyDescent="0.2">
      <c r="A12">
        <v>9</v>
      </c>
      <c r="B12">
        <v>83</v>
      </c>
      <c r="C12" t="s">
        <v>207</v>
      </c>
      <c r="D12">
        <v>1</v>
      </c>
      <c r="K12">
        <v>3</v>
      </c>
      <c r="N12">
        <v>4</v>
      </c>
      <c r="O12">
        <v>4</v>
      </c>
      <c r="S12">
        <v>1</v>
      </c>
      <c r="T12">
        <v>1</v>
      </c>
      <c r="U12">
        <v>5</v>
      </c>
      <c r="X12">
        <f t="shared" si="33"/>
        <v>0</v>
      </c>
      <c r="Z12" t="str">
        <f t="shared" si="0"/>
        <v/>
      </c>
      <c r="AA12" t="str">
        <f t="shared" si="1"/>
        <v/>
      </c>
      <c r="AB12" t="str">
        <f t="shared" si="2"/>
        <v/>
      </c>
      <c r="AC12" t="str">
        <f t="shared" si="3"/>
        <v/>
      </c>
      <c r="AE12" t="str">
        <f t="shared" si="4"/>
        <v/>
      </c>
      <c r="AF12" t="str">
        <f t="shared" si="5"/>
        <v/>
      </c>
      <c r="AG12" t="str">
        <f t="shared" si="6"/>
        <v/>
      </c>
      <c r="AH12" t="str">
        <f t="shared" si="7"/>
        <v/>
      </c>
      <c r="AI12" t="str">
        <f t="shared" si="8"/>
        <v/>
      </c>
      <c r="AK12" t="str">
        <f t="shared" si="9"/>
        <v/>
      </c>
      <c r="AL12" t="str">
        <f t="shared" si="32"/>
        <v/>
      </c>
      <c r="AM12" t="str">
        <f t="shared" si="10"/>
        <v/>
      </c>
      <c r="AN12" t="str">
        <f t="shared" si="11"/>
        <v/>
      </c>
      <c r="AO12" t="str">
        <f t="shared" si="12"/>
        <v/>
      </c>
      <c r="AP12" t="str">
        <f t="shared" si="13"/>
        <v/>
      </c>
      <c r="AQ12" t="str">
        <f t="shared" si="14"/>
        <v/>
      </c>
      <c r="AR12" t="str">
        <f t="shared" si="15"/>
        <v/>
      </c>
      <c r="AS12" t="str">
        <f t="shared" si="16"/>
        <v/>
      </c>
      <c r="AT12" t="str">
        <f t="shared" si="17"/>
        <v/>
      </c>
      <c r="AU12" t="str">
        <f t="shared" si="18"/>
        <v/>
      </c>
      <c r="AV12" t="str">
        <f t="shared" si="19"/>
        <v/>
      </c>
      <c r="AW12" t="str">
        <f t="shared" si="20"/>
        <v/>
      </c>
      <c r="AX12" t="str">
        <f t="shared" si="21"/>
        <v/>
      </c>
      <c r="AY12" t="str">
        <f t="shared" si="22"/>
        <v/>
      </c>
      <c r="AZ12" t="str">
        <f t="shared" si="23"/>
        <v/>
      </c>
      <c r="BA12" t="str">
        <f t="shared" si="24"/>
        <v/>
      </c>
      <c r="BB12" t="str">
        <f t="shared" si="25"/>
        <v/>
      </c>
      <c r="BC12" t="str">
        <f t="shared" si="26"/>
        <v/>
      </c>
      <c r="BD12" t="str">
        <f t="shared" si="27"/>
        <v/>
      </c>
      <c r="BE12" t="str">
        <f t="shared" si="28"/>
        <v/>
      </c>
      <c r="BF12" t="str">
        <f t="shared" si="29"/>
        <v/>
      </c>
      <c r="BG12" t="str">
        <f t="shared" si="30"/>
        <v/>
      </c>
      <c r="BH12" t="str">
        <f t="shared" si="31"/>
        <v/>
      </c>
    </row>
    <row r="13" spans="1:66" x14ac:dyDescent="0.2">
      <c r="A13">
        <v>10</v>
      </c>
      <c r="B13">
        <v>92</v>
      </c>
      <c r="C13" t="s">
        <v>39</v>
      </c>
      <c r="D13">
        <v>1</v>
      </c>
      <c r="K13">
        <v>3</v>
      </c>
      <c r="N13">
        <v>4</v>
      </c>
      <c r="O13">
        <v>2</v>
      </c>
      <c r="S13">
        <v>1</v>
      </c>
      <c r="U13">
        <v>3</v>
      </c>
      <c r="X13">
        <f t="shared" si="33"/>
        <v>0</v>
      </c>
      <c r="Z13" t="str">
        <f t="shared" si="0"/>
        <v/>
      </c>
      <c r="AA13" t="str">
        <f t="shared" si="1"/>
        <v/>
      </c>
      <c r="AB13" t="str">
        <f t="shared" si="2"/>
        <v/>
      </c>
      <c r="AC13" t="str">
        <f t="shared" si="3"/>
        <v/>
      </c>
      <c r="AE13" t="str">
        <f t="shared" si="4"/>
        <v/>
      </c>
      <c r="AF13" t="str">
        <f t="shared" si="5"/>
        <v/>
      </c>
      <c r="AG13" t="str">
        <f t="shared" si="6"/>
        <v/>
      </c>
      <c r="AH13" t="str">
        <f t="shared" si="7"/>
        <v/>
      </c>
      <c r="AI13" t="str">
        <f t="shared" si="8"/>
        <v/>
      </c>
      <c r="AK13" t="str">
        <f t="shared" si="9"/>
        <v/>
      </c>
      <c r="AL13" t="str">
        <f t="shared" si="32"/>
        <v/>
      </c>
      <c r="AM13" t="str">
        <f t="shared" si="10"/>
        <v/>
      </c>
      <c r="AN13" t="str">
        <f t="shared" si="11"/>
        <v/>
      </c>
      <c r="AO13" t="str">
        <f t="shared" si="12"/>
        <v/>
      </c>
      <c r="AP13" t="str">
        <f t="shared" si="13"/>
        <v/>
      </c>
      <c r="AQ13" t="str">
        <f t="shared" si="14"/>
        <v/>
      </c>
      <c r="AR13" t="str">
        <f t="shared" si="15"/>
        <v/>
      </c>
      <c r="AS13" t="str">
        <f t="shared" si="16"/>
        <v/>
      </c>
      <c r="AT13" t="str">
        <f t="shared" si="17"/>
        <v/>
      </c>
      <c r="AU13" t="str">
        <f t="shared" si="18"/>
        <v/>
      </c>
      <c r="AV13" t="str">
        <f t="shared" si="19"/>
        <v/>
      </c>
      <c r="AW13" t="str">
        <f t="shared" si="20"/>
        <v/>
      </c>
      <c r="AX13" t="str">
        <f t="shared" si="21"/>
        <v/>
      </c>
      <c r="AY13" t="str">
        <f t="shared" si="22"/>
        <v/>
      </c>
      <c r="AZ13" t="str">
        <f t="shared" si="23"/>
        <v/>
      </c>
      <c r="BA13" t="str">
        <f t="shared" si="24"/>
        <v/>
      </c>
      <c r="BB13" t="str">
        <f t="shared" si="25"/>
        <v/>
      </c>
      <c r="BC13" t="str">
        <f t="shared" si="26"/>
        <v/>
      </c>
      <c r="BD13" t="str">
        <f t="shared" si="27"/>
        <v/>
      </c>
      <c r="BE13" t="str">
        <f t="shared" si="28"/>
        <v/>
      </c>
      <c r="BF13" t="str">
        <f t="shared" si="29"/>
        <v/>
      </c>
      <c r="BG13" t="str">
        <f t="shared" si="30"/>
        <v/>
      </c>
      <c r="BH13" t="str">
        <f t="shared" si="31"/>
        <v/>
      </c>
    </row>
    <row r="14" spans="1:66" x14ac:dyDescent="0.2">
      <c r="A14">
        <v>11</v>
      </c>
      <c r="B14">
        <v>109</v>
      </c>
      <c r="C14" t="s">
        <v>39</v>
      </c>
      <c r="D14">
        <v>1</v>
      </c>
      <c r="K14">
        <v>1</v>
      </c>
      <c r="N14">
        <v>2</v>
      </c>
      <c r="O14">
        <v>2</v>
      </c>
      <c r="S14">
        <v>1</v>
      </c>
      <c r="T14">
        <v>1</v>
      </c>
      <c r="X14">
        <f t="shared" si="33"/>
        <v>0</v>
      </c>
      <c r="Z14" t="s">
        <v>31</v>
      </c>
      <c r="AE14" t="s">
        <v>34</v>
      </c>
      <c r="AK14" t="s">
        <v>43</v>
      </c>
      <c r="AP14" t="s">
        <v>84</v>
      </c>
    </row>
    <row r="15" spans="1:66" x14ac:dyDescent="0.2">
      <c r="A15">
        <v>12</v>
      </c>
      <c r="B15">
        <v>117</v>
      </c>
      <c r="C15" t="s">
        <v>207</v>
      </c>
      <c r="D15">
        <v>1</v>
      </c>
      <c r="E15">
        <v>1</v>
      </c>
      <c r="K15">
        <v>3</v>
      </c>
      <c r="L15">
        <v>1</v>
      </c>
      <c r="N15">
        <v>2</v>
      </c>
      <c r="O15">
        <v>2</v>
      </c>
      <c r="S15">
        <v>1</v>
      </c>
      <c r="T15">
        <v>1</v>
      </c>
      <c r="X15">
        <f t="shared" si="33"/>
        <v>0</v>
      </c>
      <c r="Z15" t="s">
        <v>21</v>
      </c>
      <c r="AA15" t="s">
        <v>22</v>
      </c>
      <c r="AE15" t="s">
        <v>21</v>
      </c>
      <c r="AF15" t="s">
        <v>22</v>
      </c>
      <c r="AG15" t="s">
        <v>35</v>
      </c>
      <c r="AK15" t="s">
        <v>10</v>
      </c>
      <c r="AL15" t="s">
        <v>25</v>
      </c>
      <c r="AM15" t="s">
        <v>26</v>
      </c>
      <c r="AN15" t="s">
        <v>27</v>
      </c>
      <c r="AP15" t="s">
        <v>15</v>
      </c>
      <c r="AQ15" t="s">
        <v>85</v>
      </c>
    </row>
    <row r="16" spans="1:66" x14ac:dyDescent="0.2">
      <c r="A16" t="s">
        <v>28</v>
      </c>
      <c r="D16">
        <f>SUM(D4:D15)</f>
        <v>11</v>
      </c>
      <c r="E16">
        <f>SUM(E4:E15)</f>
        <v>3</v>
      </c>
      <c r="F16">
        <f>SUM(F4:F15)</f>
        <v>5</v>
      </c>
      <c r="G16">
        <f>SUM(G4:G15)</f>
        <v>0</v>
      </c>
      <c r="H16">
        <f>SUM(H4:H15)</f>
        <v>0</v>
      </c>
      <c r="K16">
        <f>SUM(K4:K15)</f>
        <v>28</v>
      </c>
      <c r="L16">
        <f>SUM(L4:L15)</f>
        <v>7</v>
      </c>
      <c r="M16">
        <f>SUM(M4:M15)</f>
        <v>0</v>
      </c>
      <c r="N16">
        <f>SUM(N4:N15)</f>
        <v>35</v>
      </c>
      <c r="O16">
        <f>SUM(O4:O15)</f>
        <v>31</v>
      </c>
      <c r="Q16">
        <f t="shared" ref="Q16:R16" si="34">SUM(Q4:Q15)</f>
        <v>0</v>
      </c>
      <c r="R16">
        <f t="shared" si="34"/>
        <v>0</v>
      </c>
      <c r="S16">
        <f>SUM(S4:S15)</f>
        <v>12</v>
      </c>
      <c r="T16">
        <f>SUM(T4:T15)</f>
        <v>8</v>
      </c>
      <c r="U16">
        <f>SUM(U4:U15)</f>
        <v>26</v>
      </c>
      <c r="V16">
        <f>SUM(V4:V15)</f>
        <v>0</v>
      </c>
      <c r="W16">
        <f>SUM(W4:W15)</f>
        <v>0</v>
      </c>
      <c r="Z16">
        <f t="shared" ref="Z16:Z27" si="35">COUNTIF(Z2:AC2, "3")*COUNTIF(C4, "r")+COUNTIF(Z2:AC2, "5")*COUNTIF(C4, "b")</f>
        <v>0</v>
      </c>
      <c r="AA16">
        <f t="shared" ref="AA16:AA27" si="36">COUNTIF(Z2:AC2, "1")+COUNTIF(Z2:AC2, "2")+COUNTIF(Z2:AC2, "4")</f>
        <v>0</v>
      </c>
      <c r="AE16">
        <f t="shared" ref="AE16:AE27" si="37">COUNTIF(AE2:AI2, "3")*COUNTIF(C4, "r") + COUNTIF(AE2:AI2, "5")*COUNTIF(C4, "b")</f>
        <v>0</v>
      </c>
      <c r="AF16">
        <f t="shared" ref="AF16:AF27" si="38">COUNTIF(AE2:AI2, "1")+COUNTIF(AE2:AI2, "2")+COUNTIF(AE2:AI2, "4")</f>
        <v>0</v>
      </c>
      <c r="AG16">
        <f t="shared" ref="AG16:AG27" si="39">COUNTIF(AE2:AI2, "3")*COUNTIF(AE2:AI2, "b")+COUNTIF(AE2:AI2, "5")*COUNTIF(AE2:AI2, "r")</f>
        <v>0</v>
      </c>
      <c r="AK16">
        <f t="shared" ref="AK16:AK27" si="40">SUMPRODUCT(LEN($AK2:$BH2) - LEN(SUBSTITUTE($AK2:$BH2, "g", "")))</f>
        <v>0</v>
      </c>
      <c r="AL16">
        <f t="shared" ref="AL16:AL27" si="41">SUMPRODUCT(LEN($AK2:$BH2) - LEN(SUBSTITUTE($AK2:$BH2, "h", "")))</f>
        <v>0</v>
      </c>
      <c r="AM16">
        <f t="shared" ref="AM16:AM27" si="42">SUMPRODUCT(LEN($AK2:$BH2) - LEN(SUBSTITUTE($AK2:$BH2, "v", "")))</f>
        <v>0</v>
      </c>
      <c r="AN16">
        <f t="shared" ref="AN16:AN27" si="43">SUMPRODUCT(LEN($AK2:$BH2) - LEN(SUBSTITUTE($AK2:$BH2, "r", "")))</f>
        <v>0</v>
      </c>
      <c r="AP16">
        <f>MAX(AQ16:BN16)</f>
        <v>0</v>
      </c>
      <c r="AQ16" s="4">
        <f>_xlfn.NUMBERVALUE(RIGHT(AK2,1))</f>
        <v>0</v>
      </c>
      <c r="AR16" s="4">
        <f t="shared" ref="AR16:BG27" si="44">_xlfn.NUMBERVALUE(RIGHT(AL2,1))</f>
        <v>0</v>
      </c>
      <c r="AS16" s="4">
        <f t="shared" si="44"/>
        <v>0</v>
      </c>
      <c r="AT16" s="4">
        <f t="shared" si="44"/>
        <v>0</v>
      </c>
      <c r="AU16" s="4">
        <f t="shared" si="44"/>
        <v>0</v>
      </c>
      <c r="AV16" s="4">
        <f t="shared" si="44"/>
        <v>0</v>
      </c>
      <c r="AW16" s="4">
        <f t="shared" si="44"/>
        <v>0</v>
      </c>
      <c r="AX16" s="4">
        <f t="shared" si="44"/>
        <v>0</v>
      </c>
      <c r="AY16" s="4">
        <f t="shared" si="44"/>
        <v>0</v>
      </c>
      <c r="AZ16" s="4">
        <f t="shared" si="44"/>
        <v>0</v>
      </c>
      <c r="BA16" s="4">
        <f t="shared" si="44"/>
        <v>0</v>
      </c>
      <c r="BB16" s="4">
        <f t="shared" si="44"/>
        <v>0</v>
      </c>
      <c r="BC16" s="4">
        <f t="shared" si="44"/>
        <v>0</v>
      </c>
      <c r="BD16" s="4">
        <f t="shared" si="44"/>
        <v>0</v>
      </c>
      <c r="BE16" s="4">
        <f t="shared" si="44"/>
        <v>0</v>
      </c>
      <c r="BF16" s="4">
        <f t="shared" si="44"/>
        <v>0</v>
      </c>
      <c r="BG16" s="4">
        <f t="shared" si="44"/>
        <v>0</v>
      </c>
      <c r="BH16" s="4">
        <f t="shared" ref="BH16:BN27" si="45">_xlfn.NUMBERVALUE(RIGHT(BB2,1))</f>
        <v>0</v>
      </c>
      <c r="BI16" s="4">
        <f t="shared" si="45"/>
        <v>0</v>
      </c>
      <c r="BJ16" s="4">
        <f t="shared" si="45"/>
        <v>0</v>
      </c>
      <c r="BK16" s="4">
        <f t="shared" si="45"/>
        <v>0</v>
      </c>
      <c r="BL16" s="4">
        <f t="shared" si="45"/>
        <v>0</v>
      </c>
      <c r="BM16" s="4">
        <f t="shared" si="45"/>
        <v>0</v>
      </c>
      <c r="BN16" s="4">
        <f t="shared" si="45"/>
        <v>0</v>
      </c>
    </row>
    <row r="17" spans="1:66" x14ac:dyDescent="0.2">
      <c r="A17" s="1" t="s">
        <v>20</v>
      </c>
      <c r="D17" s="1" t="s">
        <v>49</v>
      </c>
      <c r="G17" s="1" t="s">
        <v>52</v>
      </c>
      <c r="K17" s="3" t="s">
        <v>74</v>
      </c>
      <c r="P17" s="1" t="s">
        <v>66</v>
      </c>
      <c r="Z17">
        <f t="shared" si="35"/>
        <v>0</v>
      </c>
      <c r="AA17">
        <f t="shared" si="36"/>
        <v>0</v>
      </c>
      <c r="AE17">
        <f t="shared" si="37"/>
        <v>0</v>
      </c>
      <c r="AF17">
        <f t="shared" si="38"/>
        <v>0</v>
      </c>
      <c r="AG17">
        <f t="shared" si="39"/>
        <v>0</v>
      </c>
      <c r="AK17">
        <f t="shared" si="40"/>
        <v>0</v>
      </c>
      <c r="AL17">
        <f t="shared" si="41"/>
        <v>0</v>
      </c>
      <c r="AM17">
        <f t="shared" si="42"/>
        <v>0</v>
      </c>
      <c r="AN17">
        <f t="shared" si="43"/>
        <v>0</v>
      </c>
      <c r="AP17">
        <f t="shared" ref="AP17:AP27" si="46">MAX(AQ17:BN17)</f>
        <v>0</v>
      </c>
      <c r="AQ17" s="4">
        <f t="shared" ref="AQ17:AQ27" si="47">_xlfn.NUMBERVALUE(RIGHT(AK3,1))</f>
        <v>0</v>
      </c>
      <c r="AR17" s="4">
        <f t="shared" si="44"/>
        <v>0</v>
      </c>
      <c r="AS17" s="4">
        <f t="shared" si="44"/>
        <v>0</v>
      </c>
      <c r="AT17" s="4">
        <f t="shared" si="44"/>
        <v>0</v>
      </c>
      <c r="AU17" s="4">
        <f t="shared" si="44"/>
        <v>0</v>
      </c>
      <c r="AV17" s="4">
        <f t="shared" si="44"/>
        <v>0</v>
      </c>
      <c r="AW17" s="4">
        <f t="shared" si="44"/>
        <v>0</v>
      </c>
      <c r="AX17" s="4">
        <f t="shared" si="44"/>
        <v>0</v>
      </c>
      <c r="AY17" s="4">
        <f t="shared" si="44"/>
        <v>0</v>
      </c>
      <c r="AZ17" s="4">
        <f t="shared" si="44"/>
        <v>0</v>
      </c>
      <c r="BA17" s="4">
        <f t="shared" si="44"/>
        <v>0</v>
      </c>
      <c r="BB17" s="4">
        <f t="shared" si="44"/>
        <v>0</v>
      </c>
      <c r="BC17" s="4">
        <f t="shared" si="44"/>
        <v>0</v>
      </c>
      <c r="BD17" s="4">
        <f t="shared" si="44"/>
        <v>0</v>
      </c>
      <c r="BE17" s="4">
        <f t="shared" si="44"/>
        <v>0</v>
      </c>
      <c r="BF17" s="4">
        <f t="shared" si="44"/>
        <v>0</v>
      </c>
      <c r="BG17" s="4">
        <f t="shared" si="44"/>
        <v>0</v>
      </c>
      <c r="BH17" s="4">
        <f t="shared" si="45"/>
        <v>0</v>
      </c>
      <c r="BI17" s="4">
        <f t="shared" si="45"/>
        <v>0</v>
      </c>
      <c r="BJ17" s="4">
        <f t="shared" si="45"/>
        <v>0</v>
      </c>
      <c r="BK17" s="4">
        <f t="shared" si="45"/>
        <v>0</v>
      </c>
      <c r="BL17" s="4">
        <f t="shared" si="45"/>
        <v>0</v>
      </c>
      <c r="BM17" s="4">
        <f t="shared" si="45"/>
        <v>0</v>
      </c>
      <c r="BN17" s="4">
        <f t="shared" si="45"/>
        <v>0</v>
      </c>
    </row>
    <row r="18" spans="1:66" x14ac:dyDescent="0.2">
      <c r="A18" t="s">
        <v>32</v>
      </c>
      <c r="B18" t="s">
        <v>21</v>
      </c>
      <c r="D18" t="s">
        <v>180</v>
      </c>
      <c r="G18" s="3" t="s">
        <v>53</v>
      </c>
      <c r="K18" t="s">
        <v>55</v>
      </c>
      <c r="M18" t="s">
        <v>65</v>
      </c>
      <c r="P18" t="s">
        <v>67</v>
      </c>
      <c r="Z18">
        <f t="shared" si="35"/>
        <v>0</v>
      </c>
      <c r="AA18">
        <f t="shared" si="36"/>
        <v>0</v>
      </c>
      <c r="AE18">
        <f t="shared" si="37"/>
        <v>0</v>
      </c>
      <c r="AF18">
        <f t="shared" si="38"/>
        <v>0</v>
      </c>
      <c r="AG18">
        <f t="shared" si="39"/>
        <v>0</v>
      </c>
      <c r="AK18">
        <f t="shared" si="40"/>
        <v>0</v>
      </c>
      <c r="AL18">
        <f t="shared" si="41"/>
        <v>0</v>
      </c>
      <c r="AM18">
        <f t="shared" si="42"/>
        <v>0</v>
      </c>
      <c r="AN18">
        <f t="shared" si="43"/>
        <v>0</v>
      </c>
      <c r="AP18">
        <f t="shared" si="46"/>
        <v>0</v>
      </c>
      <c r="AQ18" s="4">
        <f t="shared" si="47"/>
        <v>0</v>
      </c>
      <c r="AR18" s="4">
        <f t="shared" si="44"/>
        <v>0</v>
      </c>
      <c r="AS18" s="4">
        <f t="shared" si="44"/>
        <v>0</v>
      </c>
      <c r="AT18" s="4">
        <f t="shared" si="44"/>
        <v>0</v>
      </c>
      <c r="AU18" s="4">
        <f t="shared" si="44"/>
        <v>0</v>
      </c>
      <c r="AV18" s="4">
        <f t="shared" si="44"/>
        <v>0</v>
      </c>
      <c r="AW18" s="4">
        <f t="shared" si="44"/>
        <v>0</v>
      </c>
      <c r="AX18" s="4">
        <f t="shared" si="44"/>
        <v>0</v>
      </c>
      <c r="AY18" s="4">
        <f t="shared" si="44"/>
        <v>0</v>
      </c>
      <c r="AZ18" s="4">
        <f t="shared" si="44"/>
        <v>0</v>
      </c>
      <c r="BA18" s="4">
        <f t="shared" si="44"/>
        <v>0</v>
      </c>
      <c r="BB18" s="4">
        <f t="shared" si="44"/>
        <v>0</v>
      </c>
      <c r="BC18" s="4">
        <f t="shared" si="44"/>
        <v>0</v>
      </c>
      <c r="BD18" s="4">
        <f t="shared" si="44"/>
        <v>0</v>
      </c>
      <c r="BE18" s="4">
        <f t="shared" si="44"/>
        <v>0</v>
      </c>
      <c r="BF18" s="4">
        <f t="shared" si="44"/>
        <v>0</v>
      </c>
      <c r="BG18" s="4">
        <f t="shared" si="44"/>
        <v>0</v>
      </c>
      <c r="BH18" s="4">
        <f t="shared" si="45"/>
        <v>0</v>
      </c>
      <c r="BI18" s="4">
        <f t="shared" si="45"/>
        <v>0</v>
      </c>
      <c r="BJ18" s="4">
        <f t="shared" si="45"/>
        <v>0</v>
      </c>
      <c r="BK18" s="4">
        <f t="shared" si="45"/>
        <v>0</v>
      </c>
      <c r="BL18" s="4">
        <f t="shared" si="45"/>
        <v>0</v>
      </c>
      <c r="BM18" s="4">
        <f t="shared" si="45"/>
        <v>0</v>
      </c>
      <c r="BN18" s="4">
        <f t="shared" si="45"/>
        <v>0</v>
      </c>
    </row>
    <row r="19" spans="1:66" x14ac:dyDescent="0.2">
      <c r="A19" t="s">
        <v>40</v>
      </c>
      <c r="B19" t="s">
        <v>22</v>
      </c>
      <c r="D19">
        <f>E16/D16</f>
        <v>0.27272727272727271</v>
      </c>
      <c r="G19" t="s">
        <v>75</v>
      </c>
      <c r="K19">
        <f>O16/N16</f>
        <v>0.88571428571428568</v>
      </c>
      <c r="M19">
        <f>SUM(M39:M50)</f>
        <v>-3</v>
      </c>
      <c r="P19">
        <f>T16/S16</f>
        <v>0.66666666666666663</v>
      </c>
      <c r="Z19">
        <f t="shared" si="35"/>
        <v>0</v>
      </c>
      <c r="AA19">
        <f t="shared" si="36"/>
        <v>0</v>
      </c>
      <c r="AE19">
        <f t="shared" si="37"/>
        <v>0</v>
      </c>
      <c r="AF19">
        <f t="shared" si="38"/>
        <v>0</v>
      </c>
      <c r="AG19">
        <f t="shared" si="39"/>
        <v>0</v>
      </c>
      <c r="AK19">
        <f t="shared" si="40"/>
        <v>0</v>
      </c>
      <c r="AL19">
        <f t="shared" si="41"/>
        <v>0</v>
      </c>
      <c r="AM19">
        <f t="shared" si="42"/>
        <v>0</v>
      </c>
      <c r="AN19">
        <f t="shared" si="43"/>
        <v>0</v>
      </c>
      <c r="AP19">
        <f t="shared" si="46"/>
        <v>0</v>
      </c>
      <c r="AQ19" s="4">
        <f t="shared" si="47"/>
        <v>0</v>
      </c>
      <c r="AR19" s="4">
        <f t="shared" si="44"/>
        <v>0</v>
      </c>
      <c r="AS19" s="4">
        <f t="shared" si="44"/>
        <v>0</v>
      </c>
      <c r="AT19" s="4">
        <f t="shared" si="44"/>
        <v>0</v>
      </c>
      <c r="AU19" s="4">
        <f t="shared" si="44"/>
        <v>0</v>
      </c>
      <c r="AV19" s="4">
        <f t="shared" si="44"/>
        <v>0</v>
      </c>
      <c r="AW19" s="4">
        <f t="shared" si="44"/>
        <v>0</v>
      </c>
      <c r="AX19" s="4">
        <f t="shared" si="44"/>
        <v>0</v>
      </c>
      <c r="AY19" s="4">
        <f t="shared" si="44"/>
        <v>0</v>
      </c>
      <c r="AZ19" s="4">
        <f t="shared" si="44"/>
        <v>0</v>
      </c>
      <c r="BA19" s="4">
        <f t="shared" si="44"/>
        <v>0</v>
      </c>
      <c r="BB19" s="4">
        <f t="shared" si="44"/>
        <v>0</v>
      </c>
      <c r="BC19" s="4">
        <f t="shared" si="44"/>
        <v>0</v>
      </c>
      <c r="BD19" s="4">
        <f t="shared" si="44"/>
        <v>0</v>
      </c>
      <c r="BE19" s="4">
        <f t="shared" si="44"/>
        <v>0</v>
      </c>
      <c r="BF19" s="4">
        <f t="shared" si="44"/>
        <v>0</v>
      </c>
      <c r="BG19" s="4">
        <f t="shared" si="44"/>
        <v>0</v>
      </c>
      <c r="BH19" s="4">
        <f t="shared" si="45"/>
        <v>0</v>
      </c>
      <c r="BI19" s="4">
        <f t="shared" si="45"/>
        <v>0</v>
      </c>
      <c r="BJ19" s="4">
        <f t="shared" si="45"/>
        <v>0</v>
      </c>
      <c r="BK19" s="4">
        <f t="shared" si="45"/>
        <v>0</v>
      </c>
      <c r="BL19" s="4">
        <f t="shared" si="45"/>
        <v>0</v>
      </c>
      <c r="BM19" s="4">
        <f t="shared" si="45"/>
        <v>0</v>
      </c>
      <c r="BN19" s="4">
        <f t="shared" si="45"/>
        <v>0</v>
      </c>
    </row>
    <row r="20" spans="1:66" x14ac:dyDescent="0.2">
      <c r="A20" t="s">
        <v>41</v>
      </c>
      <c r="B20" t="s">
        <v>23</v>
      </c>
      <c r="D20" t="s">
        <v>47</v>
      </c>
      <c r="G20" t="e">
        <f>AK28/AP28</f>
        <v>#DIV/0!</v>
      </c>
      <c r="K20" t="s">
        <v>13</v>
      </c>
      <c r="Z20">
        <f t="shared" si="35"/>
        <v>0</v>
      </c>
      <c r="AA20">
        <f t="shared" si="36"/>
        <v>0</v>
      </c>
      <c r="AE20">
        <f t="shared" si="37"/>
        <v>0</v>
      </c>
      <c r="AF20">
        <f t="shared" si="38"/>
        <v>0</v>
      </c>
      <c r="AG20">
        <f t="shared" si="39"/>
        <v>0</v>
      </c>
      <c r="AK20">
        <f t="shared" si="40"/>
        <v>0</v>
      </c>
      <c r="AL20">
        <f t="shared" si="41"/>
        <v>0</v>
      </c>
      <c r="AM20">
        <f t="shared" si="42"/>
        <v>0</v>
      </c>
      <c r="AN20">
        <f t="shared" si="43"/>
        <v>0</v>
      </c>
      <c r="AP20">
        <f t="shared" si="46"/>
        <v>0</v>
      </c>
      <c r="AQ20" s="4">
        <f t="shared" si="47"/>
        <v>0</v>
      </c>
      <c r="AR20" s="4">
        <f t="shared" si="44"/>
        <v>0</v>
      </c>
      <c r="AS20" s="4">
        <f t="shared" si="44"/>
        <v>0</v>
      </c>
      <c r="AT20" s="4">
        <f t="shared" si="44"/>
        <v>0</v>
      </c>
      <c r="AU20" s="4">
        <f t="shared" si="44"/>
        <v>0</v>
      </c>
      <c r="AV20" s="4">
        <f t="shared" si="44"/>
        <v>0</v>
      </c>
      <c r="AW20" s="4">
        <f t="shared" si="44"/>
        <v>0</v>
      </c>
      <c r="AX20" s="4">
        <f t="shared" si="44"/>
        <v>0</v>
      </c>
      <c r="AY20" s="4">
        <f t="shared" si="44"/>
        <v>0</v>
      </c>
      <c r="AZ20" s="4">
        <f t="shared" si="44"/>
        <v>0</v>
      </c>
      <c r="BA20" s="4">
        <f t="shared" si="44"/>
        <v>0</v>
      </c>
      <c r="BB20" s="4">
        <f t="shared" si="44"/>
        <v>0</v>
      </c>
      <c r="BC20" s="4">
        <f t="shared" si="44"/>
        <v>0</v>
      </c>
      <c r="BD20" s="4">
        <f t="shared" si="44"/>
        <v>0</v>
      </c>
      <c r="BE20" s="4">
        <f t="shared" si="44"/>
        <v>0</v>
      </c>
      <c r="BF20" s="4">
        <f t="shared" si="44"/>
        <v>0</v>
      </c>
      <c r="BG20" s="4">
        <f t="shared" si="44"/>
        <v>0</v>
      </c>
      <c r="BH20" s="4">
        <f t="shared" si="45"/>
        <v>0</v>
      </c>
      <c r="BI20" s="4">
        <f t="shared" si="45"/>
        <v>0</v>
      </c>
      <c r="BJ20" s="4">
        <f t="shared" si="45"/>
        <v>0</v>
      </c>
      <c r="BK20" s="4">
        <f t="shared" si="45"/>
        <v>0</v>
      </c>
      <c r="BL20" s="4">
        <f t="shared" si="45"/>
        <v>0</v>
      </c>
      <c r="BM20" s="4">
        <f t="shared" si="45"/>
        <v>0</v>
      </c>
      <c r="BN20" s="4">
        <f t="shared" si="45"/>
        <v>0</v>
      </c>
    </row>
    <row r="21" spans="1:66" x14ac:dyDescent="0.2">
      <c r="A21" s="1" t="s">
        <v>24</v>
      </c>
      <c r="D21">
        <f>G16/A31</f>
        <v>0</v>
      </c>
      <c r="G21" t="s">
        <v>76</v>
      </c>
      <c r="K21" t="s">
        <v>57</v>
      </c>
      <c r="L21" t="s">
        <v>58</v>
      </c>
      <c r="M21" t="s">
        <v>59</v>
      </c>
      <c r="N21" t="s">
        <v>60</v>
      </c>
      <c r="Z21">
        <f t="shared" si="35"/>
        <v>0</v>
      </c>
      <c r="AA21">
        <f t="shared" si="36"/>
        <v>0</v>
      </c>
      <c r="AE21">
        <f t="shared" si="37"/>
        <v>0</v>
      </c>
      <c r="AF21">
        <f t="shared" si="38"/>
        <v>0</v>
      </c>
      <c r="AG21">
        <f t="shared" si="39"/>
        <v>0</v>
      </c>
      <c r="AK21">
        <f t="shared" si="40"/>
        <v>0</v>
      </c>
      <c r="AL21">
        <f t="shared" si="41"/>
        <v>0</v>
      </c>
      <c r="AM21">
        <f t="shared" si="42"/>
        <v>0</v>
      </c>
      <c r="AN21">
        <f t="shared" si="43"/>
        <v>0</v>
      </c>
      <c r="AP21">
        <f t="shared" si="46"/>
        <v>0</v>
      </c>
      <c r="AQ21" s="4">
        <f t="shared" si="47"/>
        <v>0</v>
      </c>
      <c r="AR21" s="4">
        <f t="shared" si="44"/>
        <v>0</v>
      </c>
      <c r="AS21" s="4">
        <f t="shared" si="44"/>
        <v>0</v>
      </c>
      <c r="AT21" s="4">
        <f t="shared" si="44"/>
        <v>0</v>
      </c>
      <c r="AU21" s="4">
        <f t="shared" si="44"/>
        <v>0</v>
      </c>
      <c r="AV21" s="4">
        <f t="shared" si="44"/>
        <v>0</v>
      </c>
      <c r="AW21" s="4">
        <f t="shared" si="44"/>
        <v>0</v>
      </c>
      <c r="AX21" s="4">
        <f t="shared" si="44"/>
        <v>0</v>
      </c>
      <c r="AY21" s="4">
        <f t="shared" si="44"/>
        <v>0</v>
      </c>
      <c r="AZ21" s="4">
        <f t="shared" si="44"/>
        <v>0</v>
      </c>
      <c r="BA21" s="4">
        <f t="shared" si="44"/>
        <v>0</v>
      </c>
      <c r="BB21" s="4">
        <f t="shared" si="44"/>
        <v>0</v>
      </c>
      <c r="BC21" s="4">
        <f t="shared" si="44"/>
        <v>0</v>
      </c>
      <c r="BD21" s="4">
        <f t="shared" si="44"/>
        <v>0</v>
      </c>
      <c r="BE21" s="4">
        <f t="shared" si="44"/>
        <v>0</v>
      </c>
      <c r="BF21" s="4">
        <f t="shared" si="44"/>
        <v>0</v>
      </c>
      <c r="BG21" s="4">
        <f t="shared" si="44"/>
        <v>0</v>
      </c>
      <c r="BH21" s="4">
        <f t="shared" si="45"/>
        <v>0</v>
      </c>
      <c r="BI21" s="4">
        <f t="shared" si="45"/>
        <v>0</v>
      </c>
      <c r="BJ21" s="4">
        <f t="shared" si="45"/>
        <v>0</v>
      </c>
      <c r="BK21" s="4">
        <f t="shared" si="45"/>
        <v>0</v>
      </c>
      <c r="BL21" s="4">
        <f t="shared" si="45"/>
        <v>0</v>
      </c>
      <c r="BM21" s="4">
        <f t="shared" si="45"/>
        <v>0</v>
      </c>
      <c r="BN21" s="4">
        <f t="shared" si="45"/>
        <v>0</v>
      </c>
    </row>
    <row r="22" spans="1:66" x14ac:dyDescent="0.2">
      <c r="A22" t="s">
        <v>36</v>
      </c>
      <c r="B22" t="s">
        <v>10</v>
      </c>
      <c r="D22" t="s">
        <v>48</v>
      </c>
      <c r="G22" t="e">
        <f>AL28/AP28</f>
        <v>#DIV/0!</v>
      </c>
      <c r="K22">
        <f>AVERAGE(C39:C50)</f>
        <v>2.5833333333333335</v>
      </c>
      <c r="L22">
        <f>MEDIAN(C39:C50)</f>
        <v>2.5</v>
      </c>
      <c r="M22">
        <f>MAX(C39:C50)</f>
        <v>4</v>
      </c>
      <c r="N22">
        <f>_xlfn.STDEV.S(C39:C50)</f>
        <v>0.90033663737852021</v>
      </c>
      <c r="Z22">
        <f t="shared" si="35"/>
        <v>0</v>
      </c>
      <c r="AA22">
        <f t="shared" si="36"/>
        <v>0</v>
      </c>
      <c r="AE22">
        <f t="shared" si="37"/>
        <v>0</v>
      </c>
      <c r="AF22">
        <f t="shared" si="38"/>
        <v>0</v>
      </c>
      <c r="AG22">
        <f t="shared" si="39"/>
        <v>0</v>
      </c>
      <c r="AK22">
        <f t="shared" si="40"/>
        <v>0</v>
      </c>
      <c r="AL22">
        <f t="shared" si="41"/>
        <v>0</v>
      </c>
      <c r="AM22">
        <f t="shared" si="42"/>
        <v>0</v>
      </c>
      <c r="AN22">
        <f t="shared" si="43"/>
        <v>0</v>
      </c>
      <c r="AP22">
        <f t="shared" si="46"/>
        <v>0</v>
      </c>
      <c r="AQ22" s="4">
        <f t="shared" si="47"/>
        <v>0</v>
      </c>
      <c r="AR22" s="4">
        <f t="shared" si="44"/>
        <v>0</v>
      </c>
      <c r="AS22" s="4">
        <f t="shared" si="44"/>
        <v>0</v>
      </c>
      <c r="AT22" s="4">
        <f t="shared" si="44"/>
        <v>0</v>
      </c>
      <c r="AU22" s="4">
        <f t="shared" si="44"/>
        <v>0</v>
      </c>
      <c r="AV22" s="4">
        <f t="shared" si="44"/>
        <v>0</v>
      </c>
      <c r="AW22" s="4">
        <f t="shared" si="44"/>
        <v>0</v>
      </c>
      <c r="AX22" s="4">
        <f t="shared" si="44"/>
        <v>0</v>
      </c>
      <c r="AY22" s="4">
        <f t="shared" si="44"/>
        <v>0</v>
      </c>
      <c r="AZ22" s="4">
        <f t="shared" si="44"/>
        <v>0</v>
      </c>
      <c r="BA22" s="4">
        <f t="shared" si="44"/>
        <v>0</v>
      </c>
      <c r="BB22" s="4">
        <f t="shared" si="44"/>
        <v>0</v>
      </c>
      <c r="BC22" s="4">
        <f t="shared" si="44"/>
        <v>0</v>
      </c>
      <c r="BD22" s="4">
        <f t="shared" si="44"/>
        <v>0</v>
      </c>
      <c r="BE22" s="4">
        <f t="shared" si="44"/>
        <v>0</v>
      </c>
      <c r="BF22" s="4">
        <f t="shared" si="44"/>
        <v>0</v>
      </c>
      <c r="BG22" s="4">
        <f t="shared" si="44"/>
        <v>0</v>
      </c>
      <c r="BH22" s="4">
        <f t="shared" si="45"/>
        <v>0</v>
      </c>
      <c r="BI22" s="4">
        <f t="shared" si="45"/>
        <v>0</v>
      </c>
      <c r="BJ22" s="4">
        <f t="shared" si="45"/>
        <v>0</v>
      </c>
      <c r="BK22" s="4">
        <f t="shared" si="45"/>
        <v>0</v>
      </c>
      <c r="BL22" s="4">
        <f t="shared" si="45"/>
        <v>0</v>
      </c>
      <c r="BM22" s="4">
        <f t="shared" si="45"/>
        <v>0</v>
      </c>
      <c r="BN22" s="4">
        <f t="shared" si="45"/>
        <v>0</v>
      </c>
    </row>
    <row r="23" spans="1:66" x14ac:dyDescent="0.2">
      <c r="A23" t="s">
        <v>37</v>
      </c>
      <c r="B23" t="s">
        <v>25</v>
      </c>
      <c r="D23">
        <f>H16/A31</f>
        <v>0</v>
      </c>
      <c r="G23" t="s">
        <v>77</v>
      </c>
      <c r="K23" t="s">
        <v>8</v>
      </c>
      <c r="Z23">
        <f t="shared" si="35"/>
        <v>0</v>
      </c>
      <c r="AA23">
        <f t="shared" si="36"/>
        <v>0</v>
      </c>
      <c r="AE23">
        <f t="shared" si="37"/>
        <v>0</v>
      </c>
      <c r="AF23">
        <f t="shared" si="38"/>
        <v>1</v>
      </c>
      <c r="AG23">
        <f t="shared" si="39"/>
        <v>0</v>
      </c>
      <c r="AK23">
        <f t="shared" si="40"/>
        <v>0</v>
      </c>
      <c r="AL23">
        <f t="shared" si="41"/>
        <v>0</v>
      </c>
      <c r="AM23">
        <f t="shared" si="42"/>
        <v>0</v>
      </c>
      <c r="AN23">
        <f t="shared" si="43"/>
        <v>0</v>
      </c>
      <c r="AP23">
        <f t="shared" si="46"/>
        <v>0</v>
      </c>
      <c r="AQ23" s="4">
        <f t="shared" si="47"/>
        <v>0</v>
      </c>
      <c r="AR23" s="4">
        <f t="shared" si="44"/>
        <v>0</v>
      </c>
      <c r="AS23" s="4">
        <f t="shared" si="44"/>
        <v>0</v>
      </c>
      <c r="AT23" s="4">
        <f t="shared" si="44"/>
        <v>0</v>
      </c>
      <c r="AU23" s="4">
        <f t="shared" si="44"/>
        <v>0</v>
      </c>
      <c r="AV23" s="4">
        <f t="shared" si="44"/>
        <v>0</v>
      </c>
      <c r="AW23" s="4">
        <f t="shared" si="44"/>
        <v>0</v>
      </c>
      <c r="AX23" s="4">
        <f t="shared" si="44"/>
        <v>0</v>
      </c>
      <c r="AY23" s="4">
        <f t="shared" si="44"/>
        <v>0</v>
      </c>
      <c r="AZ23" s="4">
        <f t="shared" si="44"/>
        <v>0</v>
      </c>
      <c r="BA23" s="4">
        <f t="shared" si="44"/>
        <v>0</v>
      </c>
      <c r="BB23" s="4">
        <f t="shared" si="44"/>
        <v>0</v>
      </c>
      <c r="BC23" s="4">
        <f t="shared" si="44"/>
        <v>0</v>
      </c>
      <c r="BD23" s="4">
        <f t="shared" si="44"/>
        <v>0</v>
      </c>
      <c r="BE23" s="4">
        <f t="shared" si="44"/>
        <v>0</v>
      </c>
      <c r="BF23" s="4">
        <f t="shared" si="44"/>
        <v>0</v>
      </c>
      <c r="BG23" s="4">
        <f t="shared" si="44"/>
        <v>0</v>
      </c>
      <c r="BH23" s="4">
        <f t="shared" si="45"/>
        <v>0</v>
      </c>
      <c r="BI23" s="4">
        <f t="shared" si="45"/>
        <v>0</v>
      </c>
      <c r="BJ23" s="4">
        <f t="shared" si="45"/>
        <v>0</v>
      </c>
      <c r="BK23" s="4">
        <f t="shared" si="45"/>
        <v>0</v>
      </c>
      <c r="BL23" s="4">
        <f t="shared" si="45"/>
        <v>0</v>
      </c>
      <c r="BM23" s="4">
        <f t="shared" si="45"/>
        <v>0</v>
      </c>
      <c r="BN23" s="4">
        <f t="shared" si="45"/>
        <v>0</v>
      </c>
    </row>
    <row r="24" spans="1:66" x14ac:dyDescent="0.2">
      <c r="A24" t="s">
        <v>38</v>
      </c>
      <c r="B24" t="s">
        <v>26</v>
      </c>
      <c r="D24" t="s">
        <v>50</v>
      </c>
      <c r="G24" t="e">
        <f>AM28/AP28</f>
        <v>#DIV/0!</v>
      </c>
      <c r="K24" t="s">
        <v>57</v>
      </c>
      <c r="L24" t="s">
        <v>61</v>
      </c>
      <c r="M24" t="s">
        <v>59</v>
      </c>
      <c r="N24" t="s">
        <v>60</v>
      </c>
      <c r="Z24">
        <f t="shared" si="35"/>
        <v>0</v>
      </c>
      <c r="AA24">
        <f t="shared" si="36"/>
        <v>0</v>
      </c>
      <c r="AE24">
        <f t="shared" si="37"/>
        <v>0</v>
      </c>
      <c r="AF24">
        <f t="shared" si="38"/>
        <v>0</v>
      </c>
      <c r="AG24">
        <f t="shared" si="39"/>
        <v>0</v>
      </c>
      <c r="AK24">
        <f t="shared" si="40"/>
        <v>0</v>
      </c>
      <c r="AL24">
        <f t="shared" si="41"/>
        <v>0</v>
      </c>
      <c r="AM24">
        <f t="shared" si="42"/>
        <v>0</v>
      </c>
      <c r="AN24">
        <f t="shared" si="43"/>
        <v>0</v>
      </c>
      <c r="AP24">
        <f t="shared" si="46"/>
        <v>0</v>
      </c>
      <c r="AQ24" s="4">
        <f t="shared" si="47"/>
        <v>0</v>
      </c>
      <c r="AR24" s="4">
        <f t="shared" si="44"/>
        <v>0</v>
      </c>
      <c r="AS24" s="4">
        <f t="shared" si="44"/>
        <v>0</v>
      </c>
      <c r="AT24" s="4">
        <f t="shared" si="44"/>
        <v>0</v>
      </c>
      <c r="AU24" s="4">
        <f t="shared" si="44"/>
        <v>0</v>
      </c>
      <c r="AV24" s="4">
        <f t="shared" si="44"/>
        <v>0</v>
      </c>
      <c r="AW24" s="4">
        <f t="shared" si="44"/>
        <v>0</v>
      </c>
      <c r="AX24" s="4">
        <f t="shared" si="44"/>
        <v>0</v>
      </c>
      <c r="AY24" s="4">
        <f t="shared" si="44"/>
        <v>0</v>
      </c>
      <c r="AZ24" s="4">
        <f t="shared" si="44"/>
        <v>0</v>
      </c>
      <c r="BA24" s="4">
        <f t="shared" si="44"/>
        <v>0</v>
      </c>
      <c r="BB24" s="4">
        <f t="shared" si="44"/>
        <v>0</v>
      </c>
      <c r="BC24" s="4">
        <f t="shared" si="44"/>
        <v>0</v>
      </c>
      <c r="BD24" s="4">
        <f t="shared" si="44"/>
        <v>0</v>
      </c>
      <c r="BE24" s="4">
        <f t="shared" si="44"/>
        <v>0</v>
      </c>
      <c r="BF24" s="4">
        <f t="shared" si="44"/>
        <v>0</v>
      </c>
      <c r="BG24" s="4">
        <f t="shared" si="44"/>
        <v>0</v>
      </c>
      <c r="BH24" s="4">
        <f t="shared" si="45"/>
        <v>0</v>
      </c>
      <c r="BI24" s="4">
        <f t="shared" si="45"/>
        <v>0</v>
      </c>
      <c r="BJ24" s="4">
        <f t="shared" si="45"/>
        <v>0</v>
      </c>
      <c r="BK24" s="4">
        <f t="shared" si="45"/>
        <v>0</v>
      </c>
      <c r="BL24" s="4">
        <f t="shared" si="45"/>
        <v>0</v>
      </c>
      <c r="BM24" s="4">
        <f t="shared" si="45"/>
        <v>0</v>
      </c>
      <c r="BN24" s="4">
        <f t="shared" si="45"/>
        <v>0</v>
      </c>
    </row>
    <row r="25" spans="1:66" x14ac:dyDescent="0.2">
      <c r="A25" t="s">
        <v>39</v>
      </c>
      <c r="B25" t="s">
        <v>27</v>
      </c>
      <c r="D25">
        <f>Z28/A31</f>
        <v>0</v>
      </c>
      <c r="G25" t="s">
        <v>78</v>
      </c>
      <c r="K25">
        <f>AVERAGE(E39:E50)</f>
        <v>0</v>
      </c>
      <c r="L25">
        <f>MEDIAN(E39:E50)</f>
        <v>0</v>
      </c>
      <c r="M25">
        <f>MAX(E39:E50)</f>
        <v>0</v>
      </c>
      <c r="N25">
        <f>_xlfn.STDEV.S(E39:E50)</f>
        <v>0</v>
      </c>
      <c r="Z25">
        <f t="shared" si="35"/>
        <v>0</v>
      </c>
      <c r="AA25">
        <f t="shared" si="36"/>
        <v>0</v>
      </c>
      <c r="AE25">
        <f t="shared" si="37"/>
        <v>0</v>
      </c>
      <c r="AF25">
        <f t="shared" si="38"/>
        <v>0</v>
      </c>
      <c r="AG25">
        <f t="shared" si="39"/>
        <v>0</v>
      </c>
      <c r="AK25">
        <f t="shared" si="40"/>
        <v>0</v>
      </c>
      <c r="AL25">
        <f t="shared" si="41"/>
        <v>0</v>
      </c>
      <c r="AM25">
        <f t="shared" si="42"/>
        <v>0</v>
      </c>
      <c r="AN25">
        <f t="shared" si="43"/>
        <v>0</v>
      </c>
      <c r="AP25">
        <f t="shared" si="46"/>
        <v>0</v>
      </c>
      <c r="AQ25" s="4">
        <f t="shared" si="47"/>
        <v>0</v>
      </c>
      <c r="AR25" s="4">
        <f t="shared" si="44"/>
        <v>0</v>
      </c>
      <c r="AS25" s="4">
        <f t="shared" si="44"/>
        <v>0</v>
      </c>
      <c r="AT25" s="4">
        <f t="shared" si="44"/>
        <v>0</v>
      </c>
      <c r="AU25" s="4">
        <f t="shared" si="44"/>
        <v>0</v>
      </c>
      <c r="AV25" s="4">
        <f t="shared" si="44"/>
        <v>0</v>
      </c>
      <c r="AW25" s="4">
        <f t="shared" si="44"/>
        <v>0</v>
      </c>
      <c r="AX25" s="4">
        <f t="shared" si="44"/>
        <v>0</v>
      </c>
      <c r="AY25" s="4">
        <f t="shared" si="44"/>
        <v>0</v>
      </c>
      <c r="AZ25" s="4">
        <f t="shared" si="44"/>
        <v>0</v>
      </c>
      <c r="BA25" s="4">
        <f t="shared" si="44"/>
        <v>0</v>
      </c>
      <c r="BB25" s="4">
        <f t="shared" si="44"/>
        <v>0</v>
      </c>
      <c r="BC25" s="4">
        <f t="shared" si="44"/>
        <v>0</v>
      </c>
      <c r="BD25" s="4">
        <f t="shared" si="44"/>
        <v>0</v>
      </c>
      <c r="BE25" s="4">
        <f t="shared" si="44"/>
        <v>0</v>
      </c>
      <c r="BF25" s="4">
        <f t="shared" si="44"/>
        <v>0</v>
      </c>
      <c r="BG25" s="4">
        <f t="shared" si="44"/>
        <v>0</v>
      </c>
      <c r="BH25" s="4">
        <f t="shared" si="45"/>
        <v>0</v>
      </c>
      <c r="BI25" s="4">
        <f t="shared" si="45"/>
        <v>0</v>
      </c>
      <c r="BJ25" s="4">
        <f t="shared" si="45"/>
        <v>0</v>
      </c>
      <c r="BK25" s="4">
        <f t="shared" si="45"/>
        <v>0</v>
      </c>
      <c r="BL25" s="4">
        <f t="shared" si="45"/>
        <v>0</v>
      </c>
      <c r="BM25" s="4">
        <f t="shared" si="45"/>
        <v>0</v>
      </c>
      <c r="BN25" s="4">
        <f t="shared" si="45"/>
        <v>0</v>
      </c>
    </row>
    <row r="26" spans="1:66" x14ac:dyDescent="0.2">
      <c r="A26" t="s">
        <v>44</v>
      </c>
      <c r="D26" t="s">
        <v>51</v>
      </c>
      <c r="G26" t="e">
        <f>AN28/AP28</f>
        <v>#DIV/0!</v>
      </c>
      <c r="K26" t="s">
        <v>62</v>
      </c>
      <c r="P26" t="s">
        <v>19</v>
      </c>
      <c r="Z26">
        <f t="shared" si="35"/>
        <v>0</v>
      </c>
      <c r="AA26">
        <f t="shared" si="36"/>
        <v>0</v>
      </c>
      <c r="AE26">
        <f t="shared" si="37"/>
        <v>0</v>
      </c>
      <c r="AF26">
        <f t="shared" si="38"/>
        <v>0</v>
      </c>
      <c r="AG26">
        <f t="shared" si="39"/>
        <v>0</v>
      </c>
      <c r="AK26">
        <f t="shared" si="40"/>
        <v>0</v>
      </c>
      <c r="AL26">
        <f t="shared" si="41"/>
        <v>0</v>
      </c>
      <c r="AM26">
        <f t="shared" si="42"/>
        <v>0</v>
      </c>
      <c r="AN26">
        <f t="shared" si="43"/>
        <v>0</v>
      </c>
      <c r="AP26">
        <f t="shared" si="46"/>
        <v>0</v>
      </c>
      <c r="AQ26" s="4">
        <f t="shared" si="47"/>
        <v>0</v>
      </c>
      <c r="AR26" s="4">
        <f t="shared" si="44"/>
        <v>0</v>
      </c>
      <c r="AS26" s="4">
        <f t="shared" si="44"/>
        <v>0</v>
      </c>
      <c r="AT26" s="4">
        <f t="shared" si="44"/>
        <v>0</v>
      </c>
      <c r="AU26" s="4">
        <f t="shared" si="44"/>
        <v>0</v>
      </c>
      <c r="AV26" s="4">
        <f t="shared" si="44"/>
        <v>0</v>
      </c>
      <c r="AW26" s="4">
        <f t="shared" si="44"/>
        <v>0</v>
      </c>
      <c r="AX26" s="4">
        <f t="shared" si="44"/>
        <v>0</v>
      </c>
      <c r="AY26" s="4">
        <f t="shared" si="44"/>
        <v>0</v>
      </c>
      <c r="AZ26" s="4">
        <f t="shared" si="44"/>
        <v>0</v>
      </c>
      <c r="BA26" s="4">
        <f t="shared" si="44"/>
        <v>0</v>
      </c>
      <c r="BB26" s="4">
        <f t="shared" si="44"/>
        <v>0</v>
      </c>
      <c r="BC26" s="4">
        <f t="shared" si="44"/>
        <v>0</v>
      </c>
      <c r="BD26" s="4">
        <f t="shared" si="44"/>
        <v>0</v>
      </c>
      <c r="BE26" s="4">
        <f t="shared" si="44"/>
        <v>0</v>
      </c>
      <c r="BF26" s="4">
        <f t="shared" si="44"/>
        <v>0</v>
      </c>
      <c r="BG26" s="4">
        <f t="shared" si="44"/>
        <v>0</v>
      </c>
      <c r="BH26" s="4">
        <f t="shared" si="45"/>
        <v>0</v>
      </c>
      <c r="BI26" s="4">
        <f t="shared" si="45"/>
        <v>0</v>
      </c>
      <c r="BJ26" s="4">
        <f t="shared" si="45"/>
        <v>0</v>
      </c>
      <c r="BK26" s="4">
        <f t="shared" si="45"/>
        <v>0</v>
      </c>
      <c r="BL26" s="4">
        <f t="shared" si="45"/>
        <v>0</v>
      </c>
      <c r="BM26" s="4">
        <f t="shared" si="45"/>
        <v>0</v>
      </c>
      <c r="BN26" s="4">
        <f t="shared" si="45"/>
        <v>0</v>
      </c>
    </row>
    <row r="27" spans="1:66" x14ac:dyDescent="0.2">
      <c r="A27" t="s">
        <v>45</v>
      </c>
      <c r="D27">
        <f>AA28/A31</f>
        <v>0</v>
      </c>
      <c r="G27" t="s">
        <v>56</v>
      </c>
      <c r="K27" t="s">
        <v>57</v>
      </c>
      <c r="L27" t="s">
        <v>58</v>
      </c>
      <c r="M27" t="s">
        <v>59</v>
      </c>
      <c r="N27" t="s">
        <v>60</v>
      </c>
      <c r="P27" t="s">
        <v>57</v>
      </c>
      <c r="Q27" t="s">
        <v>58</v>
      </c>
      <c r="R27" t="s">
        <v>59</v>
      </c>
      <c r="S27" t="s">
        <v>60</v>
      </c>
      <c r="Z27">
        <f t="shared" si="35"/>
        <v>0</v>
      </c>
      <c r="AA27">
        <f t="shared" si="36"/>
        <v>0</v>
      </c>
      <c r="AE27">
        <f t="shared" si="37"/>
        <v>0</v>
      </c>
      <c r="AF27">
        <f t="shared" si="38"/>
        <v>0</v>
      </c>
      <c r="AG27">
        <f t="shared" si="39"/>
        <v>0</v>
      </c>
      <c r="AK27">
        <f t="shared" si="40"/>
        <v>0</v>
      </c>
      <c r="AL27">
        <f t="shared" si="41"/>
        <v>0</v>
      </c>
      <c r="AM27">
        <f t="shared" si="42"/>
        <v>0</v>
      </c>
      <c r="AN27">
        <f t="shared" si="43"/>
        <v>0</v>
      </c>
      <c r="AP27">
        <f t="shared" si="46"/>
        <v>0</v>
      </c>
      <c r="AQ27" s="4">
        <f t="shared" si="47"/>
        <v>0</v>
      </c>
      <c r="AR27" s="4">
        <f t="shared" si="44"/>
        <v>0</v>
      </c>
      <c r="AS27" s="4">
        <f t="shared" si="44"/>
        <v>0</v>
      </c>
      <c r="AT27" s="4">
        <f t="shared" si="44"/>
        <v>0</v>
      </c>
      <c r="AU27" s="4">
        <f t="shared" si="44"/>
        <v>0</v>
      </c>
      <c r="AV27" s="4">
        <f t="shared" si="44"/>
        <v>0</v>
      </c>
      <c r="AW27" s="4">
        <f t="shared" si="44"/>
        <v>0</v>
      </c>
      <c r="AX27" s="4">
        <f t="shared" si="44"/>
        <v>0</v>
      </c>
      <c r="AY27" s="4">
        <f t="shared" si="44"/>
        <v>0</v>
      </c>
      <c r="AZ27" s="4">
        <f t="shared" si="44"/>
        <v>0</v>
      </c>
      <c r="BA27" s="4">
        <f t="shared" si="44"/>
        <v>0</v>
      </c>
      <c r="BB27" s="4">
        <f t="shared" si="44"/>
        <v>0</v>
      </c>
      <c r="BC27" s="4">
        <f t="shared" si="44"/>
        <v>0</v>
      </c>
      <c r="BD27" s="4">
        <f t="shared" si="44"/>
        <v>0</v>
      </c>
      <c r="BE27" s="4">
        <f t="shared" si="44"/>
        <v>0</v>
      </c>
      <c r="BF27" s="4">
        <f t="shared" si="44"/>
        <v>0</v>
      </c>
      <c r="BG27" s="4">
        <f t="shared" si="44"/>
        <v>0</v>
      </c>
      <c r="BH27" s="4">
        <f t="shared" si="45"/>
        <v>0</v>
      </c>
      <c r="BI27" s="4">
        <f t="shared" si="45"/>
        <v>0</v>
      </c>
      <c r="BJ27" s="4">
        <f t="shared" si="45"/>
        <v>0</v>
      </c>
      <c r="BK27" s="4">
        <f t="shared" si="45"/>
        <v>0</v>
      </c>
      <c r="BL27" s="4">
        <f t="shared" si="45"/>
        <v>0</v>
      </c>
      <c r="BM27" s="4">
        <f t="shared" si="45"/>
        <v>0</v>
      </c>
      <c r="BN27" s="4">
        <f t="shared" si="45"/>
        <v>0</v>
      </c>
    </row>
    <row r="28" spans="1:66" x14ac:dyDescent="0.2">
      <c r="A28" t="s">
        <v>46</v>
      </c>
      <c r="D28" t="s">
        <v>202</v>
      </c>
      <c r="G28" t="s">
        <v>57</v>
      </c>
      <c r="H28" t="s">
        <v>58</v>
      </c>
      <c r="I28" t="s">
        <v>59</v>
      </c>
      <c r="J28" t="s">
        <v>60</v>
      </c>
      <c r="K28">
        <f>AVERAGE(G39:G50)</f>
        <v>0</v>
      </c>
      <c r="L28">
        <f>MEDIAN(G39:G50)</f>
        <v>0</v>
      </c>
      <c r="M28">
        <f>MAX(G39:G50)</f>
        <v>0</v>
      </c>
      <c r="N28">
        <f>_xlfn.STDEV.S(G39:G50)</f>
        <v>0</v>
      </c>
      <c r="P28">
        <f>AVERAGE(N39:N50)</f>
        <v>2.1666666666666665</v>
      </c>
      <c r="Q28">
        <f>MEDIAN(N39:N50)</f>
        <v>1.5</v>
      </c>
      <c r="R28">
        <f>MAX(N39:N50)</f>
        <v>7</v>
      </c>
      <c r="S28">
        <f>_xlfn.STDEV.S(N39:N50)</f>
        <v>2.4432963327637869</v>
      </c>
      <c r="Y28" t="s">
        <v>33</v>
      </c>
      <c r="Z28">
        <f>SUM(Z16:Z27)</f>
        <v>0</v>
      </c>
      <c r="AA28">
        <f>SUM(AA16:AA27)</f>
        <v>0</v>
      </c>
      <c r="AE28">
        <f>SUM(AE16:AE27)</f>
        <v>0</v>
      </c>
      <c r="AF28">
        <f>SUM(AF16:AF27)</f>
        <v>1</v>
      </c>
      <c r="AG28">
        <f>SUM(AG16:AG27)</f>
        <v>0</v>
      </c>
      <c r="AK28">
        <f>SUM(AK16:AK27)</f>
        <v>0</v>
      </c>
      <c r="AL28">
        <f>SUM(AL16:AL27)</f>
        <v>0</v>
      </c>
      <c r="AM28">
        <f>SUM(AM16:AM27)</f>
        <v>0</v>
      </c>
      <c r="AN28">
        <f>SUM(AN16:AN27)</f>
        <v>0</v>
      </c>
      <c r="AP28">
        <f>SUM(AP16:AP27)</f>
        <v>0</v>
      </c>
    </row>
    <row r="29" spans="1:66" x14ac:dyDescent="0.2">
      <c r="D29">
        <f>SUM(O39:O50)/F16</f>
        <v>0.4</v>
      </c>
      <c r="G29">
        <f>AVERAGE(A39:A50)</f>
        <v>8.3333333333333329E-2</v>
      </c>
      <c r="H29">
        <f>MEDIAN(A39:A50)</f>
        <v>0</v>
      </c>
      <c r="I29">
        <f>MAX(A39:A50)</f>
        <v>1</v>
      </c>
      <c r="J29">
        <f>_xlfn.STDEV.S(A39:A50)</f>
        <v>0.28867513459481287</v>
      </c>
      <c r="K29" t="s">
        <v>63</v>
      </c>
      <c r="P29" t="s">
        <v>148</v>
      </c>
    </row>
    <row r="30" spans="1:66" x14ac:dyDescent="0.2">
      <c r="A30" t="s">
        <v>147</v>
      </c>
      <c r="D30" t="s">
        <v>203</v>
      </c>
      <c r="G30" t="s">
        <v>50</v>
      </c>
      <c r="H30" t="s">
        <v>51</v>
      </c>
      <c r="I30" t="s">
        <v>89</v>
      </c>
      <c r="K30" t="s">
        <v>57</v>
      </c>
      <c r="L30" t="s">
        <v>58</v>
      </c>
      <c r="M30" t="s">
        <v>59</v>
      </c>
      <c r="N30" t="s">
        <v>60</v>
      </c>
      <c r="P30" t="s">
        <v>57</v>
      </c>
      <c r="Q30" t="s">
        <v>58</v>
      </c>
      <c r="R30" t="s">
        <v>59</v>
      </c>
      <c r="S30" t="s">
        <v>60</v>
      </c>
      <c r="W30" t="s">
        <v>148</v>
      </c>
      <c r="Y30" t="s">
        <v>149</v>
      </c>
      <c r="AH30" t="s">
        <v>79</v>
      </c>
    </row>
    <row r="31" spans="1:66" x14ac:dyDescent="0.2">
      <c r="A31">
        <f>COUNT(B4:B15)</f>
        <v>12</v>
      </c>
      <c r="D31" s="2">
        <f>SUM(S39:S50)/SUM(Q39:Q50)</f>
        <v>0.16666666666666666</v>
      </c>
      <c r="G31">
        <f>AE28/A31</f>
        <v>0</v>
      </c>
      <c r="H31">
        <f>AF28/A31</f>
        <v>8.3333333333333329E-2</v>
      </c>
      <c r="I31">
        <f>AG28/A31</f>
        <v>0</v>
      </c>
      <c r="K31" t="e">
        <f>AVERAGE(I39:I50)</f>
        <v>#DIV/0!</v>
      </c>
      <c r="L31" t="e">
        <f>MEDIAN(I39:I50)</f>
        <v>#NUM!</v>
      </c>
      <c r="M31">
        <f>MAX(I39:I50)</f>
        <v>0</v>
      </c>
      <c r="N31" t="e">
        <f>_xlfn.STDEV.S(I39:I50)</f>
        <v>#DIV/0!</v>
      </c>
      <c r="P31" t="e">
        <f>AVERAGE(W31:W42)</f>
        <v>#DIV/0!</v>
      </c>
      <c r="Q31" t="e">
        <f>MEDIAN(W31:W42)</f>
        <v>#NUM!</v>
      </c>
      <c r="R31">
        <f>MAX(W31:W42)</f>
        <v>0</v>
      </c>
      <c r="S31" t="e">
        <f>_xlfn.STDEV.S(W31:W42)</f>
        <v>#DIV/0!</v>
      </c>
      <c r="W31" t="str">
        <f t="shared" ref="W31:W33" si="48">IF(AND(ISBLANK(Q4), ISBLANK(R4), ISBLANK(G4), ISBLANK(H4)), "", U4)</f>
        <v/>
      </c>
      <c r="Y31" t="str">
        <f t="shared" ref="Y31:Y42" si="49">IF(ISBLANK(Y4), IF(X4 = 0, "", (G4 + H4/3 + V4/9 + W4/3)), U4)</f>
        <v/>
      </c>
      <c r="AH31" t="s">
        <v>80</v>
      </c>
    </row>
    <row r="32" spans="1:66" x14ac:dyDescent="0.2">
      <c r="A32" t="s">
        <v>222</v>
      </c>
      <c r="D32" s="3"/>
      <c r="K32" t="s">
        <v>64</v>
      </c>
      <c r="P32" t="s">
        <v>149</v>
      </c>
      <c r="W32" t="str">
        <f t="shared" si="48"/>
        <v/>
      </c>
      <c r="Y32" t="str">
        <f t="shared" si="49"/>
        <v/>
      </c>
      <c r="AH32" t="s">
        <v>81</v>
      </c>
    </row>
    <row r="33" spans="1:34" x14ac:dyDescent="0.2">
      <c r="A33" t="s">
        <v>268</v>
      </c>
      <c r="D33" s="3"/>
      <c r="K33" t="s">
        <v>57</v>
      </c>
      <c r="L33" t="s">
        <v>58</v>
      </c>
      <c r="M33" t="s">
        <v>59</v>
      </c>
      <c r="N33" t="s">
        <v>60</v>
      </c>
      <c r="P33" t="s">
        <v>57</v>
      </c>
      <c r="Q33" t="s">
        <v>58</v>
      </c>
      <c r="R33" t="s">
        <v>59</v>
      </c>
      <c r="S33" t="s">
        <v>60</v>
      </c>
      <c r="W33" t="str">
        <f t="shared" si="48"/>
        <v/>
      </c>
      <c r="Y33" t="str">
        <f t="shared" si="49"/>
        <v/>
      </c>
      <c r="AH33" t="s">
        <v>82</v>
      </c>
    </row>
    <row r="34" spans="1:34" x14ac:dyDescent="0.2">
      <c r="D34" s="3"/>
      <c r="K34">
        <f>AVERAGE(K39:K50)</f>
        <v>0</v>
      </c>
      <c r="L34">
        <f>MEDIAN(K39:K50)</f>
        <v>0</v>
      </c>
      <c r="M34">
        <f>MAX(K39:K50)</f>
        <v>0</v>
      </c>
      <c r="N34">
        <f>_xlfn.STDEV.S(K39:K50)</f>
        <v>0</v>
      </c>
      <c r="P34" t="e">
        <f>AVERAGE(Y31:Y42)</f>
        <v>#DIV/0!</v>
      </c>
      <c r="Q34" t="e">
        <f>MEDIAN(Y31:Y42)</f>
        <v>#NUM!</v>
      </c>
      <c r="R34">
        <f>MAX(Y31:Y42)</f>
        <v>0</v>
      </c>
      <c r="S34" t="e">
        <f>_xlfn.STDEV.S(Y31:Y42)</f>
        <v>#DIV/0!</v>
      </c>
      <c r="W34" t="str">
        <f>IF(AND(ISBLANK(Q7), ISBLANK(R7), ISBLANK(G7), ISBLANK(H7)), "", U7)</f>
        <v/>
      </c>
      <c r="Y34" t="str">
        <f t="shared" si="49"/>
        <v/>
      </c>
      <c r="AH34" t="s">
        <v>83</v>
      </c>
    </row>
    <row r="35" spans="1:34" x14ac:dyDescent="0.2">
      <c r="P35" t="s">
        <v>95</v>
      </c>
      <c r="R35" t="s">
        <v>197</v>
      </c>
      <c r="W35" t="str">
        <f t="shared" ref="W35:W42" si="50">IF(AND(ISBLANK(Q8), ISBLANK(R8), ISBLANK(G8), ISBLANK(H8)), "", U8)</f>
        <v/>
      </c>
      <c r="Y35" t="str">
        <f t="shared" si="49"/>
        <v/>
      </c>
    </row>
    <row r="36" spans="1:34" x14ac:dyDescent="0.2">
      <c r="P36" t="e">
        <f>Q16/(Q16+R16)</f>
        <v>#DIV/0!</v>
      </c>
      <c r="R36" t="e">
        <f>R16/(Q16+R16)</f>
        <v>#DIV/0!</v>
      </c>
      <c r="W36" t="str">
        <f t="shared" si="50"/>
        <v/>
      </c>
      <c r="Y36" t="str">
        <f t="shared" si="49"/>
        <v/>
      </c>
    </row>
    <row r="37" spans="1:34" x14ac:dyDescent="0.2">
      <c r="W37" t="str">
        <f t="shared" si="50"/>
        <v/>
      </c>
      <c r="Y37" t="str">
        <f t="shared" si="49"/>
        <v/>
      </c>
    </row>
    <row r="38" spans="1:34" x14ac:dyDescent="0.2">
      <c r="A38" t="s">
        <v>68</v>
      </c>
      <c r="C38" t="s">
        <v>69</v>
      </c>
      <c r="E38" t="s">
        <v>72</v>
      </c>
      <c r="G38" t="s">
        <v>250</v>
      </c>
      <c r="K38" t="s">
        <v>73</v>
      </c>
      <c r="M38" t="s">
        <v>70</v>
      </c>
      <c r="N38" t="s">
        <v>71</v>
      </c>
      <c r="O38" t="s">
        <v>199</v>
      </c>
      <c r="Q38" t="s">
        <v>200</v>
      </c>
      <c r="S38" t="s">
        <v>201</v>
      </c>
      <c r="W38" t="str">
        <f t="shared" si="50"/>
        <v/>
      </c>
      <c r="Y38" t="str">
        <f t="shared" si="49"/>
        <v/>
      </c>
    </row>
    <row r="39" spans="1:34" x14ac:dyDescent="0.2">
      <c r="A39">
        <f t="shared" ref="A39:A50" si="51">IF(ISBLANK(B4), "", SUM(AE16+AF16+AG16))</f>
        <v>0</v>
      </c>
      <c r="C39">
        <f t="shared" ref="C39:C50" si="52">IF(ISBLANK(B4), "", O4)</f>
        <v>2</v>
      </c>
      <c r="E39">
        <f t="shared" ref="E39:E50" si="53">IF(ISBLANK(B4), "", Q4)</f>
        <v>0</v>
      </c>
      <c r="G39">
        <f t="shared" ref="G39:G50" si="54">IF(ISBLANK(B4), "", R4)</f>
        <v>0</v>
      </c>
      <c r="K39">
        <f t="shared" ref="K39:K50" si="55">IF(ISBLANK(B4), "", SUM(Q4 + R4))</f>
        <v>0</v>
      </c>
      <c r="M39">
        <f t="shared" ref="M39:M50" si="56">IF(ISBLANK(B4), "", SUM(K4+M4) - O4)</f>
        <v>-1</v>
      </c>
      <c r="N39">
        <f t="shared" ref="N39:N50" si="57">IF(ISBLANK(B4), "", U4)</f>
        <v>0</v>
      </c>
      <c r="O39">
        <f t="shared" ref="O39:O50" si="58">COUNTIF(E4, "1")*COUNTIF(F4, "1")</f>
        <v>0</v>
      </c>
      <c r="Q39">
        <f t="shared" ref="Q39:Q50" si="59">COUNTIF(D4, "1")*COUNTIF(F4, "")</f>
        <v>0</v>
      </c>
      <c r="S39">
        <f t="shared" ref="S39:S50" si="60">COUNTIF(E4, "1")*COUNTIF(F4, "")</f>
        <v>0</v>
      </c>
      <c r="W39" t="str">
        <f t="shared" si="50"/>
        <v/>
      </c>
      <c r="Y39" t="str">
        <f t="shared" si="49"/>
        <v/>
      </c>
    </row>
    <row r="40" spans="1:34" x14ac:dyDescent="0.2">
      <c r="A40">
        <f t="shared" si="51"/>
        <v>0</v>
      </c>
      <c r="C40">
        <f t="shared" si="52"/>
        <v>3</v>
      </c>
      <c r="E40">
        <f t="shared" si="53"/>
        <v>0</v>
      </c>
      <c r="G40">
        <f t="shared" si="54"/>
        <v>0</v>
      </c>
      <c r="K40">
        <f t="shared" si="55"/>
        <v>0</v>
      </c>
      <c r="M40">
        <f t="shared" si="56"/>
        <v>-1</v>
      </c>
      <c r="N40">
        <f t="shared" si="57"/>
        <v>0</v>
      </c>
      <c r="O40">
        <f t="shared" si="58"/>
        <v>0</v>
      </c>
      <c r="Q40">
        <f t="shared" si="59"/>
        <v>0</v>
      </c>
      <c r="S40">
        <f t="shared" si="60"/>
        <v>0</v>
      </c>
      <c r="W40" t="str">
        <f t="shared" si="50"/>
        <v/>
      </c>
      <c r="Y40" t="str">
        <f t="shared" si="49"/>
        <v/>
      </c>
    </row>
    <row r="41" spans="1:34" x14ac:dyDescent="0.2">
      <c r="A41">
        <f t="shared" si="51"/>
        <v>0</v>
      </c>
      <c r="C41">
        <f t="shared" si="52"/>
        <v>3</v>
      </c>
      <c r="E41">
        <f t="shared" si="53"/>
        <v>0</v>
      </c>
      <c r="G41">
        <f t="shared" si="54"/>
        <v>0</v>
      </c>
      <c r="K41">
        <f t="shared" si="55"/>
        <v>0</v>
      </c>
      <c r="M41">
        <f t="shared" si="56"/>
        <v>-1</v>
      </c>
      <c r="N41">
        <f t="shared" si="57"/>
        <v>1</v>
      </c>
      <c r="O41">
        <f t="shared" si="58"/>
        <v>0</v>
      </c>
      <c r="Q41">
        <f t="shared" si="59"/>
        <v>0</v>
      </c>
      <c r="S41">
        <f t="shared" si="60"/>
        <v>0</v>
      </c>
      <c r="W41" t="str">
        <f t="shared" si="50"/>
        <v/>
      </c>
      <c r="Y41" t="str">
        <f t="shared" si="49"/>
        <v/>
      </c>
    </row>
    <row r="42" spans="1:34" x14ac:dyDescent="0.2">
      <c r="A42">
        <f t="shared" si="51"/>
        <v>0</v>
      </c>
      <c r="C42">
        <f t="shared" si="52"/>
        <v>4</v>
      </c>
      <c r="E42">
        <f t="shared" si="53"/>
        <v>0</v>
      </c>
      <c r="G42">
        <f t="shared" si="54"/>
        <v>0</v>
      </c>
      <c r="K42">
        <f t="shared" si="55"/>
        <v>0</v>
      </c>
      <c r="M42">
        <f t="shared" si="56"/>
        <v>-1</v>
      </c>
      <c r="N42">
        <f t="shared" si="57"/>
        <v>3</v>
      </c>
      <c r="O42">
        <f t="shared" si="58"/>
        <v>0</v>
      </c>
      <c r="Q42">
        <f t="shared" si="59"/>
        <v>0</v>
      </c>
      <c r="S42">
        <f t="shared" si="60"/>
        <v>0</v>
      </c>
      <c r="W42" t="str">
        <f t="shared" si="50"/>
        <v/>
      </c>
      <c r="Y42" t="str">
        <f t="shared" si="49"/>
        <v/>
      </c>
    </row>
    <row r="43" spans="1:34" x14ac:dyDescent="0.2">
      <c r="A43">
        <f t="shared" si="51"/>
        <v>0</v>
      </c>
      <c r="C43">
        <f t="shared" si="52"/>
        <v>3</v>
      </c>
      <c r="E43">
        <f t="shared" si="53"/>
        <v>0</v>
      </c>
      <c r="G43">
        <f t="shared" si="54"/>
        <v>0</v>
      </c>
      <c r="K43">
        <f t="shared" si="55"/>
        <v>0</v>
      </c>
      <c r="M43">
        <f t="shared" si="56"/>
        <v>0</v>
      </c>
      <c r="N43">
        <f t="shared" si="57"/>
        <v>7</v>
      </c>
      <c r="O43">
        <f t="shared" si="58"/>
        <v>1</v>
      </c>
      <c r="Q43">
        <f t="shared" si="59"/>
        <v>0</v>
      </c>
      <c r="S43">
        <f t="shared" si="60"/>
        <v>0</v>
      </c>
    </row>
    <row r="44" spans="1:34" x14ac:dyDescent="0.2">
      <c r="A44">
        <f t="shared" si="51"/>
        <v>0</v>
      </c>
      <c r="C44">
        <f t="shared" si="52"/>
        <v>3</v>
      </c>
      <c r="E44">
        <f t="shared" si="53"/>
        <v>0</v>
      </c>
      <c r="G44">
        <f t="shared" si="54"/>
        <v>0</v>
      </c>
      <c r="K44">
        <f t="shared" si="55"/>
        <v>0</v>
      </c>
      <c r="M44">
        <f t="shared" si="56"/>
        <v>0</v>
      </c>
      <c r="N44">
        <f t="shared" si="57"/>
        <v>2</v>
      </c>
      <c r="O44">
        <f t="shared" si="58"/>
        <v>0</v>
      </c>
      <c r="Q44">
        <f t="shared" si="59"/>
        <v>1</v>
      </c>
      <c r="S44">
        <f t="shared" si="60"/>
        <v>0</v>
      </c>
    </row>
    <row r="45" spans="1:34" x14ac:dyDescent="0.2">
      <c r="A45">
        <f t="shared" si="51"/>
        <v>0</v>
      </c>
      <c r="C45">
        <f t="shared" si="52"/>
        <v>2</v>
      </c>
      <c r="E45">
        <f t="shared" si="53"/>
        <v>0</v>
      </c>
      <c r="G45">
        <f t="shared" si="54"/>
        <v>0</v>
      </c>
      <c r="K45">
        <f t="shared" si="55"/>
        <v>0</v>
      </c>
      <c r="M45">
        <f t="shared" si="56"/>
        <v>0</v>
      </c>
      <c r="N45">
        <f t="shared" si="57"/>
        <v>0</v>
      </c>
      <c r="O45">
        <f t="shared" si="58"/>
        <v>0</v>
      </c>
      <c r="Q45">
        <f t="shared" si="59"/>
        <v>1</v>
      </c>
      <c r="S45">
        <f t="shared" si="60"/>
        <v>0</v>
      </c>
    </row>
    <row r="46" spans="1:34" x14ac:dyDescent="0.2">
      <c r="A46">
        <f t="shared" si="51"/>
        <v>1</v>
      </c>
      <c r="C46">
        <f t="shared" si="52"/>
        <v>1</v>
      </c>
      <c r="E46">
        <f t="shared" si="53"/>
        <v>0</v>
      </c>
      <c r="G46">
        <f t="shared" si="54"/>
        <v>0</v>
      </c>
      <c r="K46">
        <f t="shared" si="55"/>
        <v>0</v>
      </c>
      <c r="M46">
        <f t="shared" si="56"/>
        <v>1</v>
      </c>
      <c r="N46">
        <f t="shared" si="57"/>
        <v>5</v>
      </c>
      <c r="O46">
        <f t="shared" si="58"/>
        <v>1</v>
      </c>
      <c r="Q46">
        <f t="shared" si="59"/>
        <v>0</v>
      </c>
      <c r="S46">
        <f t="shared" si="60"/>
        <v>0</v>
      </c>
    </row>
    <row r="47" spans="1:34" x14ac:dyDescent="0.2">
      <c r="A47">
        <f t="shared" si="51"/>
        <v>0</v>
      </c>
      <c r="C47">
        <f t="shared" si="52"/>
        <v>4</v>
      </c>
      <c r="E47">
        <f t="shared" si="53"/>
        <v>0</v>
      </c>
      <c r="G47">
        <f t="shared" si="54"/>
        <v>0</v>
      </c>
      <c r="K47">
        <f t="shared" si="55"/>
        <v>0</v>
      </c>
      <c r="M47">
        <f t="shared" si="56"/>
        <v>-1</v>
      </c>
      <c r="N47">
        <f t="shared" si="57"/>
        <v>5</v>
      </c>
      <c r="O47">
        <f t="shared" si="58"/>
        <v>0</v>
      </c>
      <c r="Q47">
        <f t="shared" si="59"/>
        <v>1</v>
      </c>
      <c r="S47">
        <f t="shared" si="60"/>
        <v>0</v>
      </c>
    </row>
    <row r="48" spans="1:34" x14ac:dyDescent="0.2">
      <c r="A48">
        <f t="shared" si="51"/>
        <v>0</v>
      </c>
      <c r="C48">
        <f t="shared" si="52"/>
        <v>2</v>
      </c>
      <c r="E48">
        <f t="shared" si="53"/>
        <v>0</v>
      </c>
      <c r="G48">
        <f t="shared" si="54"/>
        <v>0</v>
      </c>
      <c r="K48">
        <f t="shared" si="55"/>
        <v>0</v>
      </c>
      <c r="M48">
        <f t="shared" si="56"/>
        <v>1</v>
      </c>
      <c r="N48">
        <f t="shared" si="57"/>
        <v>3</v>
      </c>
      <c r="O48">
        <f t="shared" si="58"/>
        <v>0</v>
      </c>
      <c r="Q48">
        <f t="shared" si="59"/>
        <v>1</v>
      </c>
      <c r="S48">
        <f t="shared" si="60"/>
        <v>0</v>
      </c>
    </row>
    <row r="49" spans="1:19" x14ac:dyDescent="0.2">
      <c r="A49">
        <f t="shared" si="51"/>
        <v>0</v>
      </c>
      <c r="C49">
        <f t="shared" si="52"/>
        <v>2</v>
      </c>
      <c r="E49">
        <f t="shared" si="53"/>
        <v>0</v>
      </c>
      <c r="G49">
        <f t="shared" si="54"/>
        <v>0</v>
      </c>
      <c r="K49">
        <f t="shared" si="55"/>
        <v>0</v>
      </c>
      <c r="M49">
        <f t="shared" si="56"/>
        <v>-1</v>
      </c>
      <c r="N49">
        <f t="shared" si="57"/>
        <v>0</v>
      </c>
      <c r="O49">
        <f t="shared" si="58"/>
        <v>0</v>
      </c>
      <c r="Q49">
        <f t="shared" si="59"/>
        <v>1</v>
      </c>
      <c r="S49">
        <f t="shared" si="60"/>
        <v>0</v>
      </c>
    </row>
    <row r="50" spans="1:19" x14ac:dyDescent="0.2">
      <c r="A50">
        <f t="shared" si="51"/>
        <v>0</v>
      </c>
      <c r="C50">
        <f t="shared" si="52"/>
        <v>2</v>
      </c>
      <c r="E50">
        <f t="shared" si="53"/>
        <v>0</v>
      </c>
      <c r="G50">
        <f t="shared" si="54"/>
        <v>0</v>
      </c>
      <c r="K50">
        <f t="shared" si="55"/>
        <v>0</v>
      </c>
      <c r="M50">
        <f t="shared" si="56"/>
        <v>1</v>
      </c>
      <c r="N50">
        <f t="shared" si="57"/>
        <v>0</v>
      </c>
      <c r="O50">
        <f t="shared" si="58"/>
        <v>0</v>
      </c>
      <c r="Q50">
        <f t="shared" si="59"/>
        <v>1</v>
      </c>
      <c r="S50">
        <f t="shared" si="60"/>
        <v>1</v>
      </c>
    </row>
  </sheetData>
  <pageMargins left="0.7" right="0.7" top="0.75" bottom="0.75" header="0.3" footer="0.3"/>
  <legacy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 enableFormatConditionsCalculation="0"/>
  <dimension ref="A1:BN50"/>
  <sheetViews>
    <sheetView workbookViewId="0">
      <selection activeCell="V15" sqref="V15"/>
    </sheetView>
  </sheetViews>
  <sheetFormatPr baseColWidth="10" defaultRowHeight="15" x14ac:dyDescent="0.2"/>
  <sheetData>
    <row r="1" spans="1:66" x14ac:dyDescent="0.2">
      <c r="A1" s="1" t="s">
        <v>0</v>
      </c>
      <c r="D1" t="s">
        <v>3</v>
      </c>
      <c r="K1" t="s">
        <v>11</v>
      </c>
      <c r="N1" t="s">
        <v>12</v>
      </c>
      <c r="P1" t="s">
        <v>14</v>
      </c>
      <c r="Q1" t="s">
        <v>17</v>
      </c>
      <c r="S1" t="s">
        <v>18</v>
      </c>
      <c r="Z1" t="s">
        <v>29</v>
      </c>
      <c r="AE1" t="s">
        <v>30</v>
      </c>
      <c r="AK1" t="s">
        <v>42</v>
      </c>
    </row>
    <row r="2" spans="1:66" x14ac:dyDescent="0.2">
      <c r="A2" t="s">
        <v>1</v>
      </c>
      <c r="B2" t="s">
        <v>1</v>
      </c>
      <c r="C2" t="s">
        <v>87</v>
      </c>
      <c r="D2" t="s">
        <v>54</v>
      </c>
      <c r="E2" t="s">
        <v>13</v>
      </c>
      <c r="F2" t="s">
        <v>198</v>
      </c>
      <c r="G2" t="s">
        <v>7</v>
      </c>
      <c r="H2" t="s">
        <v>8</v>
      </c>
      <c r="I2" t="s">
        <v>179</v>
      </c>
      <c r="J2" t="s">
        <v>178</v>
      </c>
      <c r="K2" t="s">
        <v>9</v>
      </c>
      <c r="L2" t="s">
        <v>196</v>
      </c>
      <c r="M2" t="s">
        <v>10</v>
      </c>
      <c r="N2" t="s">
        <v>54</v>
      </c>
      <c r="O2" t="s">
        <v>13</v>
      </c>
      <c r="P2" t="s">
        <v>15</v>
      </c>
      <c r="Q2" t="s">
        <v>8</v>
      </c>
      <c r="R2" t="s">
        <v>7</v>
      </c>
      <c r="S2" t="s">
        <v>181</v>
      </c>
      <c r="T2" t="s">
        <v>182</v>
      </c>
      <c r="U2" t="s">
        <v>19</v>
      </c>
      <c r="V2" t="s">
        <v>191</v>
      </c>
      <c r="W2" t="s">
        <v>192</v>
      </c>
      <c r="X2" t="s">
        <v>175</v>
      </c>
      <c r="Y2" t="s">
        <v>173</v>
      </c>
      <c r="Z2" t="str">
        <f t="shared" ref="Z2:Z13" si="0">LEFT(I4, 1)</f>
        <v/>
      </c>
      <c r="AA2" t="str">
        <f t="shared" ref="AA2:AA13" si="1">MID(I4, 4, 1)</f>
        <v/>
      </c>
      <c r="AB2" t="str">
        <f t="shared" ref="AB2:AB13" si="2">MID(I4, 7, 1)</f>
        <v/>
      </c>
      <c r="AC2" t="str">
        <f t="shared" ref="AC2:AC13" si="3">MID(I4, 10, 1)</f>
        <v/>
      </c>
      <c r="AE2" t="str">
        <f t="shared" ref="AE2:AE13" si="4">LEFT(J4, 1)</f>
        <v/>
      </c>
      <c r="AF2" t="str">
        <f t="shared" ref="AF2:AF13" si="5">MID(J4, 4, 1)</f>
        <v/>
      </c>
      <c r="AG2" t="str">
        <f t="shared" ref="AG2:AG13" si="6">MID(J4, 7, 1)</f>
        <v/>
      </c>
      <c r="AH2" t="str">
        <f t="shared" ref="AH2:AH13" si="7">MID(J4, 10, 1)</f>
        <v/>
      </c>
      <c r="AI2" t="str">
        <f t="shared" ref="AI2:AI13" si="8">MID(J4, 13, 1)</f>
        <v/>
      </c>
      <c r="AK2" t="str">
        <f t="shared" ref="AK2:AK13" si="9">LEFT(P4, 2)</f>
        <v/>
      </c>
      <c r="AL2" t="str">
        <f>MID($P4, 5, 2)</f>
        <v/>
      </c>
      <c r="AM2" t="str">
        <f t="shared" ref="AM2:AM13" si="10">MID($P4, 9, 2)</f>
        <v/>
      </c>
      <c r="AN2" t="str">
        <f t="shared" ref="AN2:AN13" si="11">MID($P4, 13, 2)</f>
        <v/>
      </c>
      <c r="AO2" t="str">
        <f t="shared" ref="AO2:AO13" si="12">MID($P4, 17, 2)</f>
        <v/>
      </c>
      <c r="AP2" t="str">
        <f t="shared" ref="AP2:AP13" si="13">MID($P4, 21, 2)</f>
        <v/>
      </c>
      <c r="AQ2" t="str">
        <f t="shared" ref="AQ2:AQ13" si="14">MID($P4, 25, 2)</f>
        <v/>
      </c>
      <c r="AR2" t="str">
        <f t="shared" ref="AR2:AR13" si="15">MID($P4, 29, 2)</f>
        <v/>
      </c>
      <c r="AS2" t="str">
        <f t="shared" ref="AS2:AS13" si="16">MID($P4, 33, 2)</f>
        <v/>
      </c>
      <c r="AT2" t="str">
        <f t="shared" ref="AT2:AT13" si="17">MID($P4, 37, 2)</f>
        <v/>
      </c>
      <c r="AU2" t="str">
        <f t="shared" ref="AU2:AU13" si="18">MID($P4, 41, 2)</f>
        <v/>
      </c>
      <c r="AV2" t="str">
        <f t="shared" ref="AV2:AV13" si="19">MID($P4, 45, 2)</f>
        <v/>
      </c>
      <c r="AW2" t="str">
        <f t="shared" ref="AW2:AW13" si="20">MID($P4, 49, 2)</f>
        <v/>
      </c>
      <c r="AX2" t="str">
        <f t="shared" ref="AX2:AX13" si="21">MID($P4, 53, 2)</f>
        <v/>
      </c>
      <c r="AY2" t="str">
        <f t="shared" ref="AY2:AY13" si="22">MID($P4, 57, 2)</f>
        <v/>
      </c>
      <c r="AZ2" t="str">
        <f t="shared" ref="AZ2:AZ13" si="23">MID($P4, 61, 2)</f>
        <v/>
      </c>
      <c r="BA2" t="str">
        <f t="shared" ref="BA2:BA13" si="24">MID($P4, 65, 2)</f>
        <v/>
      </c>
      <c r="BB2" t="str">
        <f t="shared" ref="BB2:BB13" si="25">MID($P4, 69, 2)</f>
        <v/>
      </c>
      <c r="BC2" t="str">
        <f t="shared" ref="BC2:BC13" si="26">MID($P4, 73, 2)</f>
        <v/>
      </c>
      <c r="BD2" t="str">
        <f t="shared" ref="BD2:BD13" si="27">MID($P4, 77, 2)</f>
        <v/>
      </c>
      <c r="BE2" t="str">
        <f t="shared" ref="BE2:BE13" si="28">MID($P4, 81, 2)</f>
        <v/>
      </c>
      <c r="BF2" t="str">
        <f t="shared" ref="BF2:BF13" si="29">MID($P4, 85, 2)</f>
        <v/>
      </c>
      <c r="BG2" t="str">
        <f t="shared" ref="BG2:BG13" si="30">MID($P4, 89, 2)</f>
        <v/>
      </c>
      <c r="BH2" t="str">
        <f t="shared" ref="BH2:BH13" si="31">MID($P4, 93, 2)</f>
        <v/>
      </c>
    </row>
    <row r="3" spans="1:66" x14ac:dyDescent="0.2">
      <c r="A3" t="s">
        <v>2</v>
      </c>
      <c r="B3" t="s">
        <v>6</v>
      </c>
      <c r="C3" t="s">
        <v>88</v>
      </c>
      <c r="D3" t="s">
        <v>6</v>
      </c>
      <c r="E3" t="s">
        <v>6</v>
      </c>
      <c r="F3" t="s">
        <v>4</v>
      </c>
      <c r="G3" t="s">
        <v>6</v>
      </c>
      <c r="H3" t="s">
        <v>6</v>
      </c>
      <c r="I3" t="s">
        <v>86</v>
      </c>
      <c r="J3" t="s">
        <v>86</v>
      </c>
      <c r="K3" t="s">
        <v>6</v>
      </c>
      <c r="L3" t="s">
        <v>6</v>
      </c>
      <c r="M3" t="s">
        <v>6</v>
      </c>
      <c r="N3" t="s">
        <v>6</v>
      </c>
      <c r="O3" t="s">
        <v>6</v>
      </c>
      <c r="P3" t="s">
        <v>16</v>
      </c>
      <c r="Q3" t="s">
        <v>6</v>
      </c>
      <c r="R3" t="s">
        <v>6</v>
      </c>
      <c r="S3" t="s">
        <v>4</v>
      </c>
      <c r="T3" t="s">
        <v>4</v>
      </c>
      <c r="U3" t="s">
        <v>6</v>
      </c>
      <c r="V3" t="s">
        <v>6</v>
      </c>
      <c r="W3" t="s">
        <v>6</v>
      </c>
      <c r="X3" t="s">
        <v>6</v>
      </c>
      <c r="Y3" t="s">
        <v>174</v>
      </c>
      <c r="Z3" t="str">
        <f t="shared" si="0"/>
        <v/>
      </c>
      <c r="AA3" t="str">
        <f t="shared" si="1"/>
        <v/>
      </c>
      <c r="AB3" t="str">
        <f t="shared" si="2"/>
        <v/>
      </c>
      <c r="AC3" t="str">
        <f t="shared" si="3"/>
        <v/>
      </c>
      <c r="AE3" t="str">
        <f t="shared" si="4"/>
        <v>2</v>
      </c>
      <c r="AF3" t="str">
        <f t="shared" si="5"/>
        <v/>
      </c>
      <c r="AG3" t="str">
        <f t="shared" si="6"/>
        <v/>
      </c>
      <c r="AH3" t="str">
        <f t="shared" si="7"/>
        <v/>
      </c>
      <c r="AI3" t="str">
        <f t="shared" si="8"/>
        <v/>
      </c>
      <c r="AK3" t="str">
        <f t="shared" si="9"/>
        <v/>
      </c>
      <c r="AL3" t="str">
        <f t="shared" ref="AL3:AL13" si="32">MID(P5, 5, 2)</f>
        <v/>
      </c>
      <c r="AM3" t="str">
        <f t="shared" si="10"/>
        <v/>
      </c>
      <c r="AN3" t="str">
        <f t="shared" si="11"/>
        <v/>
      </c>
      <c r="AO3" t="str">
        <f t="shared" si="12"/>
        <v/>
      </c>
      <c r="AP3" t="str">
        <f t="shared" si="13"/>
        <v/>
      </c>
      <c r="AQ3" t="str">
        <f t="shared" si="14"/>
        <v/>
      </c>
      <c r="AR3" t="str">
        <f t="shared" si="15"/>
        <v/>
      </c>
      <c r="AS3" t="str">
        <f t="shared" si="16"/>
        <v/>
      </c>
      <c r="AT3" t="str">
        <f t="shared" si="17"/>
        <v/>
      </c>
      <c r="AU3" t="str">
        <f t="shared" si="18"/>
        <v/>
      </c>
      <c r="AV3" t="str">
        <f t="shared" si="19"/>
        <v/>
      </c>
      <c r="AW3" t="str">
        <f t="shared" si="20"/>
        <v/>
      </c>
      <c r="AX3" t="str">
        <f t="shared" si="21"/>
        <v/>
      </c>
      <c r="AY3" t="str">
        <f t="shared" si="22"/>
        <v/>
      </c>
      <c r="AZ3" t="str">
        <f t="shared" si="23"/>
        <v/>
      </c>
      <c r="BA3" t="str">
        <f t="shared" si="24"/>
        <v/>
      </c>
      <c r="BB3" t="str">
        <f t="shared" si="25"/>
        <v/>
      </c>
      <c r="BC3" t="str">
        <f t="shared" si="26"/>
        <v/>
      </c>
      <c r="BD3" t="str">
        <f t="shared" si="27"/>
        <v/>
      </c>
      <c r="BE3" t="str">
        <f t="shared" si="28"/>
        <v/>
      </c>
      <c r="BF3" t="str">
        <f t="shared" si="29"/>
        <v/>
      </c>
      <c r="BG3" t="str">
        <f t="shared" si="30"/>
        <v/>
      </c>
      <c r="BH3" t="str">
        <f t="shared" si="31"/>
        <v/>
      </c>
    </row>
    <row r="4" spans="1:66" x14ac:dyDescent="0.2">
      <c r="A4">
        <v>1</v>
      </c>
      <c r="B4">
        <v>4</v>
      </c>
      <c r="C4" t="s">
        <v>207</v>
      </c>
      <c r="D4">
        <v>1</v>
      </c>
      <c r="F4">
        <v>1</v>
      </c>
      <c r="K4">
        <v>4</v>
      </c>
      <c r="N4">
        <v>5</v>
      </c>
      <c r="O4">
        <v>5</v>
      </c>
      <c r="S4">
        <v>1</v>
      </c>
      <c r="T4">
        <v>1</v>
      </c>
      <c r="X4">
        <f t="shared" ref="X4:X15" si="33">G4+H4+Q4+R4</f>
        <v>0</v>
      </c>
      <c r="Z4" t="str">
        <f t="shared" si="0"/>
        <v/>
      </c>
      <c r="AA4" t="str">
        <f t="shared" si="1"/>
        <v/>
      </c>
      <c r="AB4" t="str">
        <f t="shared" si="2"/>
        <v/>
      </c>
      <c r="AC4" t="str">
        <f t="shared" si="3"/>
        <v/>
      </c>
      <c r="AE4" t="str">
        <f t="shared" si="4"/>
        <v/>
      </c>
      <c r="AF4" t="str">
        <f t="shared" si="5"/>
        <v/>
      </c>
      <c r="AG4" t="str">
        <f t="shared" si="6"/>
        <v/>
      </c>
      <c r="AH4" t="str">
        <f t="shared" si="7"/>
        <v/>
      </c>
      <c r="AI4" t="str">
        <f t="shared" si="8"/>
        <v/>
      </c>
      <c r="AK4" t="str">
        <f t="shared" si="9"/>
        <v/>
      </c>
      <c r="AL4" t="str">
        <f t="shared" si="32"/>
        <v/>
      </c>
      <c r="AM4" t="str">
        <f t="shared" si="10"/>
        <v/>
      </c>
      <c r="AN4" t="str">
        <f t="shared" si="11"/>
        <v/>
      </c>
      <c r="AO4" t="str">
        <f t="shared" si="12"/>
        <v/>
      </c>
      <c r="AP4" t="str">
        <f t="shared" si="13"/>
        <v/>
      </c>
      <c r="AQ4" t="str">
        <f t="shared" si="14"/>
        <v/>
      </c>
      <c r="AR4" t="str">
        <f t="shared" si="15"/>
        <v/>
      </c>
      <c r="AS4" t="str">
        <f t="shared" si="16"/>
        <v/>
      </c>
      <c r="AT4" t="str">
        <f t="shared" si="17"/>
        <v/>
      </c>
      <c r="AU4" t="str">
        <f t="shared" si="18"/>
        <v/>
      </c>
      <c r="AV4" t="str">
        <f t="shared" si="19"/>
        <v/>
      </c>
      <c r="AW4" t="str">
        <f t="shared" si="20"/>
        <v/>
      </c>
      <c r="AX4" t="str">
        <f t="shared" si="21"/>
        <v/>
      </c>
      <c r="AY4" t="str">
        <f t="shared" si="22"/>
        <v/>
      </c>
      <c r="AZ4" t="str">
        <f t="shared" si="23"/>
        <v/>
      </c>
      <c r="BA4" t="str">
        <f t="shared" si="24"/>
        <v/>
      </c>
      <c r="BB4" t="str">
        <f t="shared" si="25"/>
        <v/>
      </c>
      <c r="BC4" t="str">
        <f t="shared" si="26"/>
        <v/>
      </c>
      <c r="BD4" t="str">
        <f t="shared" si="27"/>
        <v/>
      </c>
      <c r="BE4" t="str">
        <f t="shared" si="28"/>
        <v/>
      </c>
      <c r="BF4" t="str">
        <f t="shared" si="29"/>
        <v/>
      </c>
      <c r="BG4" t="str">
        <f t="shared" si="30"/>
        <v/>
      </c>
      <c r="BH4" t="str">
        <f t="shared" si="31"/>
        <v/>
      </c>
    </row>
    <row r="5" spans="1:66" x14ac:dyDescent="0.2">
      <c r="A5">
        <v>2</v>
      </c>
      <c r="B5">
        <v>12</v>
      </c>
      <c r="C5" t="s">
        <v>207</v>
      </c>
      <c r="D5">
        <v>1</v>
      </c>
      <c r="E5">
        <v>1</v>
      </c>
      <c r="G5">
        <v>1</v>
      </c>
      <c r="J5">
        <v>2</v>
      </c>
      <c r="K5">
        <v>3</v>
      </c>
      <c r="N5">
        <v>3</v>
      </c>
      <c r="O5">
        <v>2</v>
      </c>
      <c r="S5">
        <v>1</v>
      </c>
      <c r="U5">
        <v>1</v>
      </c>
      <c r="X5">
        <f t="shared" si="33"/>
        <v>1</v>
      </c>
      <c r="Y5" t="s">
        <v>174</v>
      </c>
      <c r="Z5" t="str">
        <f t="shared" si="0"/>
        <v/>
      </c>
      <c r="AA5" t="str">
        <f t="shared" si="1"/>
        <v/>
      </c>
      <c r="AB5" t="str">
        <f t="shared" si="2"/>
        <v/>
      </c>
      <c r="AC5" t="str">
        <f t="shared" si="3"/>
        <v/>
      </c>
      <c r="AE5" t="str">
        <f t="shared" si="4"/>
        <v>2</v>
      </c>
      <c r="AF5" t="str">
        <f t="shared" si="5"/>
        <v/>
      </c>
      <c r="AG5" t="str">
        <f t="shared" si="6"/>
        <v/>
      </c>
      <c r="AH5" t="str">
        <f t="shared" si="7"/>
        <v/>
      </c>
      <c r="AI5" t="str">
        <f t="shared" si="8"/>
        <v/>
      </c>
      <c r="AK5" t="str">
        <f t="shared" si="9"/>
        <v/>
      </c>
      <c r="AL5" t="str">
        <f t="shared" si="32"/>
        <v/>
      </c>
      <c r="AM5" t="str">
        <f t="shared" si="10"/>
        <v/>
      </c>
      <c r="AN5" t="str">
        <f t="shared" si="11"/>
        <v/>
      </c>
      <c r="AO5" t="str">
        <f t="shared" si="12"/>
        <v/>
      </c>
      <c r="AP5" t="str">
        <f t="shared" si="13"/>
        <v/>
      </c>
      <c r="AQ5" t="str">
        <f t="shared" si="14"/>
        <v/>
      </c>
      <c r="AR5" t="str">
        <f t="shared" si="15"/>
        <v/>
      </c>
      <c r="AS5" t="str">
        <f t="shared" si="16"/>
        <v/>
      </c>
      <c r="AT5" t="str">
        <f t="shared" si="17"/>
        <v/>
      </c>
      <c r="AU5" t="str">
        <f t="shared" si="18"/>
        <v/>
      </c>
      <c r="AV5" t="str">
        <f t="shared" si="19"/>
        <v/>
      </c>
      <c r="AW5" t="str">
        <f t="shared" si="20"/>
        <v/>
      </c>
      <c r="AX5" t="str">
        <f t="shared" si="21"/>
        <v/>
      </c>
      <c r="AY5" t="str">
        <f t="shared" si="22"/>
        <v/>
      </c>
      <c r="AZ5" t="str">
        <f t="shared" si="23"/>
        <v/>
      </c>
      <c r="BA5" t="str">
        <f t="shared" si="24"/>
        <v/>
      </c>
      <c r="BB5" t="str">
        <f t="shared" si="25"/>
        <v/>
      </c>
      <c r="BC5" t="str">
        <f t="shared" si="26"/>
        <v/>
      </c>
      <c r="BD5" t="str">
        <f t="shared" si="27"/>
        <v/>
      </c>
      <c r="BE5" t="str">
        <f t="shared" si="28"/>
        <v/>
      </c>
      <c r="BF5" t="str">
        <f t="shared" si="29"/>
        <v/>
      </c>
      <c r="BG5" t="str">
        <f t="shared" si="30"/>
        <v/>
      </c>
      <c r="BH5" t="str">
        <f t="shared" si="31"/>
        <v/>
      </c>
    </row>
    <row r="6" spans="1:66" x14ac:dyDescent="0.2">
      <c r="A6">
        <v>3</v>
      </c>
      <c r="B6">
        <v>26</v>
      </c>
      <c r="C6" t="s">
        <v>207</v>
      </c>
      <c r="G6">
        <v>3</v>
      </c>
      <c r="K6">
        <v>4</v>
      </c>
      <c r="N6">
        <v>4</v>
      </c>
      <c r="O6">
        <v>4</v>
      </c>
      <c r="S6">
        <v>1</v>
      </c>
      <c r="T6">
        <v>1</v>
      </c>
      <c r="U6">
        <v>1</v>
      </c>
      <c r="X6">
        <f t="shared" si="33"/>
        <v>3</v>
      </c>
      <c r="Y6" t="s">
        <v>174</v>
      </c>
      <c r="Z6" t="str">
        <f t="shared" si="0"/>
        <v>3</v>
      </c>
      <c r="AA6" t="str">
        <f t="shared" si="1"/>
        <v/>
      </c>
      <c r="AB6" t="str">
        <f t="shared" si="2"/>
        <v/>
      </c>
      <c r="AC6" t="str">
        <f t="shared" si="3"/>
        <v/>
      </c>
      <c r="AE6" t="str">
        <f t="shared" si="4"/>
        <v/>
      </c>
      <c r="AF6" t="str">
        <f t="shared" si="5"/>
        <v/>
      </c>
      <c r="AG6" t="str">
        <f t="shared" si="6"/>
        <v/>
      </c>
      <c r="AH6" t="str">
        <f t="shared" si="7"/>
        <v/>
      </c>
      <c r="AI6" t="str">
        <f t="shared" si="8"/>
        <v/>
      </c>
      <c r="AK6" t="str">
        <f t="shared" si="9"/>
        <v/>
      </c>
      <c r="AL6" t="str">
        <f t="shared" si="32"/>
        <v/>
      </c>
      <c r="AM6" t="str">
        <f t="shared" si="10"/>
        <v/>
      </c>
      <c r="AN6" t="str">
        <f t="shared" si="11"/>
        <v/>
      </c>
      <c r="AO6" t="str">
        <f t="shared" si="12"/>
        <v/>
      </c>
      <c r="AP6" t="str">
        <f t="shared" si="13"/>
        <v/>
      </c>
      <c r="AQ6" t="str">
        <f t="shared" si="14"/>
        <v/>
      </c>
      <c r="AR6" t="str">
        <f t="shared" si="15"/>
        <v/>
      </c>
      <c r="AS6" t="str">
        <f t="shared" si="16"/>
        <v/>
      </c>
      <c r="AT6" t="str">
        <f t="shared" si="17"/>
        <v/>
      </c>
      <c r="AU6" t="str">
        <f t="shared" si="18"/>
        <v/>
      </c>
      <c r="AV6" t="str">
        <f t="shared" si="19"/>
        <v/>
      </c>
      <c r="AW6" t="str">
        <f t="shared" si="20"/>
        <v/>
      </c>
      <c r="AX6" t="str">
        <f t="shared" si="21"/>
        <v/>
      </c>
      <c r="AY6" t="str">
        <f t="shared" si="22"/>
        <v/>
      </c>
      <c r="AZ6" t="str">
        <f t="shared" si="23"/>
        <v/>
      </c>
      <c r="BA6" t="str">
        <f t="shared" si="24"/>
        <v/>
      </c>
      <c r="BB6" t="str">
        <f t="shared" si="25"/>
        <v/>
      </c>
      <c r="BC6" t="str">
        <f t="shared" si="26"/>
        <v/>
      </c>
      <c r="BD6" t="str">
        <f t="shared" si="27"/>
        <v/>
      </c>
      <c r="BE6" t="str">
        <f t="shared" si="28"/>
        <v/>
      </c>
      <c r="BF6" t="str">
        <f t="shared" si="29"/>
        <v/>
      </c>
      <c r="BG6" t="str">
        <f t="shared" si="30"/>
        <v/>
      </c>
      <c r="BH6" t="str">
        <f t="shared" si="31"/>
        <v/>
      </c>
    </row>
    <row r="7" spans="1:66" x14ac:dyDescent="0.2">
      <c r="A7">
        <v>4</v>
      </c>
      <c r="B7">
        <v>33</v>
      </c>
      <c r="C7" t="s">
        <v>39</v>
      </c>
      <c r="J7">
        <v>2</v>
      </c>
      <c r="K7">
        <v>1</v>
      </c>
      <c r="N7">
        <v>1</v>
      </c>
      <c r="O7">
        <v>1</v>
      </c>
      <c r="S7">
        <v>1</v>
      </c>
      <c r="T7">
        <v>1</v>
      </c>
      <c r="X7">
        <f t="shared" si="33"/>
        <v>0</v>
      </c>
      <c r="Z7" t="str">
        <f t="shared" si="0"/>
        <v>5</v>
      </c>
      <c r="AA7" t="str">
        <f t="shared" si="1"/>
        <v/>
      </c>
      <c r="AB7" t="str">
        <f t="shared" si="2"/>
        <v/>
      </c>
      <c r="AC7" t="str">
        <f t="shared" si="3"/>
        <v/>
      </c>
      <c r="AE7" t="str">
        <f t="shared" si="4"/>
        <v>4</v>
      </c>
      <c r="AF7" t="str">
        <f t="shared" si="5"/>
        <v/>
      </c>
      <c r="AG7" t="str">
        <f t="shared" si="6"/>
        <v/>
      </c>
      <c r="AH7" t="str">
        <f t="shared" si="7"/>
        <v/>
      </c>
      <c r="AI7" t="str">
        <f t="shared" si="8"/>
        <v/>
      </c>
      <c r="AK7" t="str">
        <f t="shared" si="9"/>
        <v/>
      </c>
      <c r="AL7" t="str">
        <f t="shared" si="32"/>
        <v/>
      </c>
      <c r="AM7" t="str">
        <f t="shared" si="10"/>
        <v/>
      </c>
      <c r="AN7" t="str">
        <f t="shared" si="11"/>
        <v/>
      </c>
      <c r="AO7" t="str">
        <f t="shared" si="12"/>
        <v/>
      </c>
      <c r="AP7" t="str">
        <f t="shared" si="13"/>
        <v/>
      </c>
      <c r="AQ7" t="str">
        <f t="shared" si="14"/>
        <v/>
      </c>
      <c r="AR7" t="str">
        <f t="shared" si="15"/>
        <v/>
      </c>
      <c r="AS7" t="str">
        <f t="shared" si="16"/>
        <v/>
      </c>
      <c r="AT7" t="str">
        <f t="shared" si="17"/>
        <v/>
      </c>
      <c r="AU7" t="str">
        <f t="shared" si="18"/>
        <v/>
      </c>
      <c r="AV7" t="str">
        <f t="shared" si="19"/>
        <v/>
      </c>
      <c r="AW7" t="str">
        <f t="shared" si="20"/>
        <v/>
      </c>
      <c r="AX7" t="str">
        <f t="shared" si="21"/>
        <v/>
      </c>
      <c r="AY7" t="str">
        <f t="shared" si="22"/>
        <v/>
      </c>
      <c r="AZ7" t="str">
        <f t="shared" si="23"/>
        <v/>
      </c>
      <c r="BA7" t="str">
        <f t="shared" si="24"/>
        <v/>
      </c>
      <c r="BB7" t="str">
        <f t="shared" si="25"/>
        <v/>
      </c>
      <c r="BC7" t="str">
        <f t="shared" si="26"/>
        <v/>
      </c>
      <c r="BD7" t="str">
        <f t="shared" si="27"/>
        <v/>
      </c>
      <c r="BE7" t="str">
        <f t="shared" si="28"/>
        <v/>
      </c>
      <c r="BF7" t="str">
        <f t="shared" si="29"/>
        <v/>
      </c>
      <c r="BG7" t="str">
        <f t="shared" si="30"/>
        <v/>
      </c>
      <c r="BH7" t="str">
        <f t="shared" si="31"/>
        <v/>
      </c>
    </row>
    <row r="8" spans="1:66" x14ac:dyDescent="0.2">
      <c r="A8">
        <v>5</v>
      </c>
      <c r="B8">
        <v>49</v>
      </c>
      <c r="C8" t="s">
        <v>39</v>
      </c>
      <c r="G8">
        <v>4</v>
      </c>
      <c r="I8">
        <v>3</v>
      </c>
      <c r="K8">
        <v>3</v>
      </c>
      <c r="L8">
        <v>1</v>
      </c>
      <c r="N8">
        <v>4</v>
      </c>
      <c r="O8">
        <v>3</v>
      </c>
      <c r="S8">
        <v>1</v>
      </c>
      <c r="T8">
        <v>1</v>
      </c>
      <c r="U8">
        <v>4</v>
      </c>
      <c r="X8">
        <f t="shared" si="33"/>
        <v>4</v>
      </c>
      <c r="Y8" t="s">
        <v>174</v>
      </c>
      <c r="Z8" t="str">
        <f t="shared" si="0"/>
        <v>3</v>
      </c>
      <c r="AA8" t="str">
        <f t="shared" si="1"/>
        <v/>
      </c>
      <c r="AB8" t="str">
        <f t="shared" si="2"/>
        <v/>
      </c>
      <c r="AC8" t="str">
        <f t="shared" si="3"/>
        <v/>
      </c>
      <c r="AE8" t="str">
        <f t="shared" si="4"/>
        <v/>
      </c>
      <c r="AF8" t="str">
        <f t="shared" si="5"/>
        <v/>
      </c>
      <c r="AG8" t="str">
        <f t="shared" si="6"/>
        <v/>
      </c>
      <c r="AH8" t="str">
        <f t="shared" si="7"/>
        <v/>
      </c>
      <c r="AI8" t="str">
        <f t="shared" si="8"/>
        <v/>
      </c>
      <c r="AK8" t="str">
        <f t="shared" si="9"/>
        <v/>
      </c>
      <c r="AL8" t="str">
        <f t="shared" si="32"/>
        <v/>
      </c>
      <c r="AM8" t="str">
        <f t="shared" si="10"/>
        <v/>
      </c>
      <c r="AN8" t="str">
        <f t="shared" si="11"/>
        <v/>
      </c>
      <c r="AO8" t="str">
        <f t="shared" si="12"/>
        <v/>
      </c>
      <c r="AP8" t="str">
        <f t="shared" si="13"/>
        <v/>
      </c>
      <c r="AQ8" t="str">
        <f t="shared" si="14"/>
        <v/>
      </c>
      <c r="AR8" t="str">
        <f t="shared" si="15"/>
        <v/>
      </c>
      <c r="AS8" t="str">
        <f t="shared" si="16"/>
        <v/>
      </c>
      <c r="AT8" t="str">
        <f t="shared" si="17"/>
        <v/>
      </c>
      <c r="AU8" t="str">
        <f t="shared" si="18"/>
        <v/>
      </c>
      <c r="AV8" t="str">
        <f t="shared" si="19"/>
        <v/>
      </c>
      <c r="AW8" t="str">
        <f t="shared" si="20"/>
        <v/>
      </c>
      <c r="AX8" t="str">
        <f t="shared" si="21"/>
        <v/>
      </c>
      <c r="AY8" t="str">
        <f t="shared" si="22"/>
        <v/>
      </c>
      <c r="AZ8" t="str">
        <f t="shared" si="23"/>
        <v/>
      </c>
      <c r="BA8" t="str">
        <f t="shared" si="24"/>
        <v/>
      </c>
      <c r="BB8" t="str">
        <f t="shared" si="25"/>
        <v/>
      </c>
      <c r="BC8" t="str">
        <f t="shared" si="26"/>
        <v/>
      </c>
      <c r="BD8" t="str">
        <f t="shared" si="27"/>
        <v/>
      </c>
      <c r="BE8" t="str">
        <f t="shared" si="28"/>
        <v/>
      </c>
      <c r="BF8" t="str">
        <f t="shared" si="29"/>
        <v/>
      </c>
      <c r="BG8" t="str">
        <f t="shared" si="30"/>
        <v/>
      </c>
      <c r="BH8" t="str">
        <f t="shared" si="31"/>
        <v/>
      </c>
    </row>
    <row r="9" spans="1:66" x14ac:dyDescent="0.2">
      <c r="A9">
        <v>6</v>
      </c>
      <c r="B9">
        <v>57</v>
      </c>
      <c r="C9" t="s">
        <v>207</v>
      </c>
      <c r="G9">
        <v>8</v>
      </c>
      <c r="I9">
        <v>5</v>
      </c>
      <c r="J9">
        <v>4</v>
      </c>
      <c r="K9">
        <v>2</v>
      </c>
      <c r="N9">
        <v>3</v>
      </c>
      <c r="O9">
        <v>3</v>
      </c>
      <c r="R9">
        <v>1</v>
      </c>
      <c r="S9">
        <v>1</v>
      </c>
      <c r="T9">
        <v>1</v>
      </c>
      <c r="U9">
        <v>9</v>
      </c>
      <c r="W9">
        <v>1</v>
      </c>
      <c r="X9">
        <f t="shared" si="33"/>
        <v>9</v>
      </c>
      <c r="Y9" t="s">
        <v>174</v>
      </c>
      <c r="Z9" t="str">
        <f t="shared" si="0"/>
        <v>5</v>
      </c>
      <c r="AA9" t="str">
        <f t="shared" si="1"/>
        <v/>
      </c>
      <c r="AB9" t="str">
        <f t="shared" si="2"/>
        <v/>
      </c>
      <c r="AC9" t="str">
        <f t="shared" si="3"/>
        <v/>
      </c>
      <c r="AE9" t="str">
        <f t="shared" si="4"/>
        <v>1</v>
      </c>
      <c r="AF9" t="str">
        <f t="shared" si="5"/>
        <v>3</v>
      </c>
      <c r="AG9" t="str">
        <f t="shared" si="6"/>
        <v/>
      </c>
      <c r="AH9" t="str">
        <f t="shared" si="7"/>
        <v/>
      </c>
      <c r="AI9" t="str">
        <f t="shared" si="8"/>
        <v/>
      </c>
      <c r="AK9" t="str">
        <f t="shared" si="9"/>
        <v/>
      </c>
      <c r="AL9" t="str">
        <f t="shared" si="32"/>
        <v/>
      </c>
      <c r="AM9" t="str">
        <f t="shared" si="10"/>
        <v/>
      </c>
      <c r="AN9" t="str">
        <f t="shared" si="11"/>
        <v/>
      </c>
      <c r="AO9" t="str">
        <f t="shared" si="12"/>
        <v/>
      </c>
      <c r="AP9" t="str">
        <f t="shared" si="13"/>
        <v/>
      </c>
      <c r="AQ9" t="str">
        <f t="shared" si="14"/>
        <v/>
      </c>
      <c r="AR9" t="str">
        <f t="shared" si="15"/>
        <v/>
      </c>
      <c r="AS9" t="str">
        <f t="shared" si="16"/>
        <v/>
      </c>
      <c r="AT9" t="str">
        <f t="shared" si="17"/>
        <v/>
      </c>
      <c r="AU9" t="str">
        <f t="shared" si="18"/>
        <v/>
      </c>
      <c r="AV9" t="str">
        <f t="shared" si="19"/>
        <v/>
      </c>
      <c r="AW9" t="str">
        <f t="shared" si="20"/>
        <v/>
      </c>
      <c r="AX9" t="str">
        <f t="shared" si="21"/>
        <v/>
      </c>
      <c r="AY9" t="str">
        <f t="shared" si="22"/>
        <v/>
      </c>
      <c r="AZ9" t="str">
        <f t="shared" si="23"/>
        <v/>
      </c>
      <c r="BA9" t="str">
        <f t="shared" si="24"/>
        <v/>
      </c>
      <c r="BB9" t="str">
        <f t="shared" si="25"/>
        <v/>
      </c>
      <c r="BC9" t="str">
        <f t="shared" si="26"/>
        <v/>
      </c>
      <c r="BD9" t="str">
        <f t="shared" si="27"/>
        <v/>
      </c>
      <c r="BE9" t="str">
        <f t="shared" si="28"/>
        <v/>
      </c>
      <c r="BF9" t="str">
        <f t="shared" si="29"/>
        <v/>
      </c>
      <c r="BG9" t="str">
        <f t="shared" si="30"/>
        <v/>
      </c>
      <c r="BH9" t="str">
        <f t="shared" si="31"/>
        <v/>
      </c>
    </row>
    <row r="10" spans="1:66" x14ac:dyDescent="0.2">
      <c r="A10">
        <v>7</v>
      </c>
      <c r="B10">
        <v>62</v>
      </c>
      <c r="C10" t="s">
        <v>39</v>
      </c>
      <c r="I10">
        <v>3</v>
      </c>
      <c r="K10">
        <v>3</v>
      </c>
      <c r="N10">
        <v>5</v>
      </c>
      <c r="O10">
        <v>4</v>
      </c>
      <c r="S10">
        <v>1</v>
      </c>
      <c r="T10">
        <v>1</v>
      </c>
      <c r="U10">
        <v>1</v>
      </c>
      <c r="X10">
        <f t="shared" si="33"/>
        <v>0</v>
      </c>
      <c r="Z10" t="str">
        <f t="shared" si="0"/>
        <v/>
      </c>
      <c r="AA10" t="str">
        <f t="shared" si="1"/>
        <v/>
      </c>
      <c r="AB10" t="str">
        <f t="shared" si="2"/>
        <v/>
      </c>
      <c r="AC10" t="str">
        <f t="shared" si="3"/>
        <v/>
      </c>
      <c r="AE10" t="str">
        <f t="shared" si="4"/>
        <v/>
      </c>
      <c r="AF10" t="str">
        <f t="shared" si="5"/>
        <v/>
      </c>
      <c r="AG10" t="str">
        <f t="shared" si="6"/>
        <v/>
      </c>
      <c r="AH10" t="str">
        <f t="shared" si="7"/>
        <v/>
      </c>
      <c r="AI10" t="str">
        <f t="shared" si="8"/>
        <v/>
      </c>
      <c r="AK10" t="str">
        <f t="shared" si="9"/>
        <v/>
      </c>
      <c r="AL10" t="str">
        <f t="shared" si="32"/>
        <v/>
      </c>
      <c r="AM10" t="str">
        <f t="shared" si="10"/>
        <v/>
      </c>
      <c r="AN10" t="str">
        <f t="shared" si="11"/>
        <v/>
      </c>
      <c r="AO10" t="str">
        <f t="shared" si="12"/>
        <v/>
      </c>
      <c r="AP10" t="str">
        <f t="shared" si="13"/>
        <v/>
      </c>
      <c r="AQ10" t="str">
        <f t="shared" si="14"/>
        <v/>
      </c>
      <c r="AR10" t="str">
        <f t="shared" si="15"/>
        <v/>
      </c>
      <c r="AS10" t="str">
        <f t="shared" si="16"/>
        <v/>
      </c>
      <c r="AT10" t="str">
        <f t="shared" si="17"/>
        <v/>
      </c>
      <c r="AU10" t="str">
        <f t="shared" si="18"/>
        <v/>
      </c>
      <c r="AV10" t="str">
        <f t="shared" si="19"/>
        <v/>
      </c>
      <c r="AW10" t="str">
        <f t="shared" si="20"/>
        <v/>
      </c>
      <c r="AX10" t="str">
        <f t="shared" si="21"/>
        <v/>
      </c>
      <c r="AY10" t="str">
        <f t="shared" si="22"/>
        <v/>
      </c>
      <c r="AZ10" t="str">
        <f t="shared" si="23"/>
        <v/>
      </c>
      <c r="BA10" t="str">
        <f t="shared" si="24"/>
        <v/>
      </c>
      <c r="BB10" t="str">
        <f t="shared" si="25"/>
        <v/>
      </c>
      <c r="BC10" t="str">
        <f t="shared" si="26"/>
        <v/>
      </c>
      <c r="BD10" t="str">
        <f t="shared" si="27"/>
        <v/>
      </c>
      <c r="BE10" t="str">
        <f t="shared" si="28"/>
        <v/>
      </c>
      <c r="BF10" t="str">
        <f t="shared" si="29"/>
        <v/>
      </c>
      <c r="BG10" t="str">
        <f t="shared" si="30"/>
        <v/>
      </c>
      <c r="BH10" t="str">
        <f t="shared" si="31"/>
        <v/>
      </c>
    </row>
    <row r="11" spans="1:66" x14ac:dyDescent="0.2">
      <c r="A11">
        <v>8</v>
      </c>
      <c r="B11">
        <v>71</v>
      </c>
      <c r="C11" t="s">
        <v>207</v>
      </c>
      <c r="G11">
        <v>1</v>
      </c>
      <c r="I11">
        <v>5</v>
      </c>
      <c r="J11" t="s">
        <v>286</v>
      </c>
      <c r="K11">
        <v>2</v>
      </c>
      <c r="L11">
        <v>1</v>
      </c>
      <c r="N11">
        <v>2</v>
      </c>
      <c r="O11">
        <v>2</v>
      </c>
      <c r="S11">
        <v>1</v>
      </c>
      <c r="T11">
        <v>1</v>
      </c>
      <c r="U11">
        <v>2</v>
      </c>
      <c r="X11">
        <f t="shared" si="33"/>
        <v>1</v>
      </c>
      <c r="Y11" t="s">
        <v>174</v>
      </c>
      <c r="Z11" t="str">
        <f t="shared" si="0"/>
        <v/>
      </c>
      <c r="AA11" t="str">
        <f t="shared" si="1"/>
        <v/>
      </c>
      <c r="AB11" t="str">
        <f t="shared" si="2"/>
        <v/>
      </c>
      <c r="AC11" t="str">
        <f t="shared" si="3"/>
        <v/>
      </c>
      <c r="AE11" t="str">
        <f t="shared" si="4"/>
        <v>1</v>
      </c>
      <c r="AF11" t="str">
        <f t="shared" si="5"/>
        <v>4</v>
      </c>
      <c r="AG11" t="str">
        <f t="shared" si="6"/>
        <v/>
      </c>
      <c r="AH11" t="str">
        <f t="shared" si="7"/>
        <v/>
      </c>
      <c r="AI11" t="str">
        <f t="shared" si="8"/>
        <v/>
      </c>
      <c r="AK11" t="str">
        <f t="shared" si="9"/>
        <v>g1</v>
      </c>
      <c r="AL11" t="str">
        <f t="shared" si="32"/>
        <v/>
      </c>
      <c r="AM11" t="str">
        <f t="shared" si="10"/>
        <v/>
      </c>
      <c r="AN11" t="str">
        <f t="shared" si="11"/>
        <v/>
      </c>
      <c r="AO11" t="str">
        <f t="shared" si="12"/>
        <v/>
      </c>
      <c r="AP11" t="str">
        <f t="shared" si="13"/>
        <v/>
      </c>
      <c r="AQ11" t="str">
        <f t="shared" si="14"/>
        <v/>
      </c>
      <c r="AR11" t="str">
        <f t="shared" si="15"/>
        <v/>
      </c>
      <c r="AS11" t="str">
        <f t="shared" si="16"/>
        <v/>
      </c>
      <c r="AT11" t="str">
        <f t="shared" si="17"/>
        <v/>
      </c>
      <c r="AU11" t="str">
        <f t="shared" si="18"/>
        <v/>
      </c>
      <c r="AV11" t="str">
        <f t="shared" si="19"/>
        <v/>
      </c>
      <c r="AW11" t="str">
        <f t="shared" si="20"/>
        <v/>
      </c>
      <c r="AX11" t="str">
        <f t="shared" si="21"/>
        <v/>
      </c>
      <c r="AY11" t="str">
        <f t="shared" si="22"/>
        <v/>
      </c>
      <c r="AZ11" t="str">
        <f t="shared" si="23"/>
        <v/>
      </c>
      <c r="BA11" t="str">
        <f t="shared" si="24"/>
        <v/>
      </c>
      <c r="BB11" t="str">
        <f t="shared" si="25"/>
        <v/>
      </c>
      <c r="BC11" t="str">
        <f t="shared" si="26"/>
        <v/>
      </c>
      <c r="BD11" t="str">
        <f t="shared" si="27"/>
        <v/>
      </c>
      <c r="BE11" t="str">
        <f t="shared" si="28"/>
        <v/>
      </c>
      <c r="BF11" t="str">
        <f t="shared" si="29"/>
        <v/>
      </c>
      <c r="BG11" t="str">
        <f t="shared" si="30"/>
        <v/>
      </c>
      <c r="BH11" t="str">
        <f t="shared" si="31"/>
        <v/>
      </c>
    </row>
    <row r="12" spans="1:66" x14ac:dyDescent="0.2">
      <c r="A12">
        <v>9</v>
      </c>
      <c r="B12">
        <v>83</v>
      </c>
      <c r="C12" t="s">
        <v>39</v>
      </c>
      <c r="D12">
        <v>1</v>
      </c>
      <c r="F12">
        <v>1</v>
      </c>
      <c r="K12">
        <v>3</v>
      </c>
      <c r="N12">
        <v>5</v>
      </c>
      <c r="O12">
        <v>5</v>
      </c>
      <c r="S12">
        <v>1</v>
      </c>
      <c r="T12">
        <v>1</v>
      </c>
      <c r="U12">
        <v>45</v>
      </c>
      <c r="X12">
        <f t="shared" si="33"/>
        <v>0</v>
      </c>
      <c r="Z12" t="str">
        <f t="shared" si="0"/>
        <v>3</v>
      </c>
      <c r="AA12" t="str">
        <f t="shared" si="1"/>
        <v/>
      </c>
      <c r="AB12" t="str">
        <f t="shared" si="2"/>
        <v/>
      </c>
      <c r="AC12" t="str">
        <f t="shared" si="3"/>
        <v/>
      </c>
      <c r="AE12" t="str">
        <f t="shared" si="4"/>
        <v/>
      </c>
      <c r="AF12" t="str">
        <f t="shared" si="5"/>
        <v/>
      </c>
      <c r="AG12" t="str">
        <f t="shared" si="6"/>
        <v/>
      </c>
      <c r="AH12" t="str">
        <f t="shared" si="7"/>
        <v/>
      </c>
      <c r="AI12" t="str">
        <f t="shared" si="8"/>
        <v/>
      </c>
      <c r="AK12" t="str">
        <f t="shared" si="9"/>
        <v/>
      </c>
      <c r="AL12" t="str">
        <f t="shared" si="32"/>
        <v/>
      </c>
      <c r="AM12" t="str">
        <f t="shared" si="10"/>
        <v/>
      </c>
      <c r="AN12" t="str">
        <f t="shared" si="11"/>
        <v/>
      </c>
      <c r="AO12" t="str">
        <f t="shared" si="12"/>
        <v/>
      </c>
      <c r="AP12" t="str">
        <f t="shared" si="13"/>
        <v/>
      </c>
      <c r="AQ12" t="str">
        <f t="shared" si="14"/>
        <v/>
      </c>
      <c r="AR12" t="str">
        <f t="shared" si="15"/>
        <v/>
      </c>
      <c r="AS12" t="str">
        <f t="shared" si="16"/>
        <v/>
      </c>
      <c r="AT12" t="str">
        <f t="shared" si="17"/>
        <v/>
      </c>
      <c r="AU12" t="str">
        <f t="shared" si="18"/>
        <v/>
      </c>
      <c r="AV12" t="str">
        <f t="shared" si="19"/>
        <v/>
      </c>
      <c r="AW12" t="str">
        <f t="shared" si="20"/>
        <v/>
      </c>
      <c r="AX12" t="str">
        <f t="shared" si="21"/>
        <v/>
      </c>
      <c r="AY12" t="str">
        <f t="shared" si="22"/>
        <v/>
      </c>
      <c r="AZ12" t="str">
        <f t="shared" si="23"/>
        <v/>
      </c>
      <c r="BA12" t="str">
        <f t="shared" si="24"/>
        <v/>
      </c>
      <c r="BB12" t="str">
        <f t="shared" si="25"/>
        <v/>
      </c>
      <c r="BC12" t="str">
        <f t="shared" si="26"/>
        <v/>
      </c>
      <c r="BD12" t="str">
        <f t="shared" si="27"/>
        <v/>
      </c>
      <c r="BE12" t="str">
        <f t="shared" si="28"/>
        <v/>
      </c>
      <c r="BF12" t="str">
        <f t="shared" si="29"/>
        <v/>
      </c>
      <c r="BG12" t="str">
        <f t="shared" si="30"/>
        <v/>
      </c>
      <c r="BH12" t="str">
        <f t="shared" si="31"/>
        <v/>
      </c>
    </row>
    <row r="13" spans="1:66" x14ac:dyDescent="0.2">
      <c r="A13">
        <v>10</v>
      </c>
      <c r="B13">
        <v>99</v>
      </c>
      <c r="C13" t="s">
        <v>207</v>
      </c>
      <c r="G13">
        <v>1</v>
      </c>
      <c r="J13" t="s">
        <v>322</v>
      </c>
      <c r="K13">
        <v>3</v>
      </c>
      <c r="N13">
        <v>4</v>
      </c>
      <c r="O13">
        <v>4</v>
      </c>
      <c r="P13" t="s">
        <v>218</v>
      </c>
      <c r="S13">
        <v>1</v>
      </c>
      <c r="T13">
        <v>1</v>
      </c>
      <c r="U13">
        <v>1</v>
      </c>
      <c r="X13">
        <f t="shared" si="33"/>
        <v>1</v>
      </c>
      <c r="Z13" t="str">
        <f t="shared" si="0"/>
        <v>5</v>
      </c>
      <c r="AA13" t="str">
        <f t="shared" si="1"/>
        <v/>
      </c>
      <c r="AB13" t="str">
        <f t="shared" si="2"/>
        <v/>
      </c>
      <c r="AC13" t="str">
        <f t="shared" si="3"/>
        <v/>
      </c>
      <c r="AE13" t="str">
        <f t="shared" si="4"/>
        <v/>
      </c>
      <c r="AF13" t="str">
        <f t="shared" si="5"/>
        <v/>
      </c>
      <c r="AG13" t="str">
        <f t="shared" si="6"/>
        <v/>
      </c>
      <c r="AH13" t="str">
        <f t="shared" si="7"/>
        <v/>
      </c>
      <c r="AI13" t="str">
        <f t="shared" si="8"/>
        <v/>
      </c>
      <c r="AK13" t="str">
        <f t="shared" si="9"/>
        <v/>
      </c>
      <c r="AL13" t="str">
        <f t="shared" si="32"/>
        <v/>
      </c>
      <c r="AM13" t="str">
        <f t="shared" si="10"/>
        <v/>
      </c>
      <c r="AN13" t="str">
        <f t="shared" si="11"/>
        <v/>
      </c>
      <c r="AO13" t="str">
        <f t="shared" si="12"/>
        <v/>
      </c>
      <c r="AP13" t="str">
        <f t="shared" si="13"/>
        <v/>
      </c>
      <c r="AQ13" t="str">
        <f t="shared" si="14"/>
        <v/>
      </c>
      <c r="AR13" t="str">
        <f t="shared" si="15"/>
        <v/>
      </c>
      <c r="AS13" t="str">
        <f t="shared" si="16"/>
        <v/>
      </c>
      <c r="AT13" t="str">
        <f t="shared" si="17"/>
        <v/>
      </c>
      <c r="AU13" t="str">
        <f t="shared" si="18"/>
        <v/>
      </c>
      <c r="AV13" t="str">
        <f t="shared" si="19"/>
        <v/>
      </c>
      <c r="AW13" t="str">
        <f t="shared" si="20"/>
        <v/>
      </c>
      <c r="AX13" t="str">
        <f t="shared" si="21"/>
        <v/>
      </c>
      <c r="AY13" t="str">
        <f t="shared" si="22"/>
        <v/>
      </c>
      <c r="AZ13" t="str">
        <f t="shared" si="23"/>
        <v/>
      </c>
      <c r="BA13" t="str">
        <f t="shared" si="24"/>
        <v/>
      </c>
      <c r="BB13" t="str">
        <f t="shared" si="25"/>
        <v/>
      </c>
      <c r="BC13" t="str">
        <f t="shared" si="26"/>
        <v/>
      </c>
      <c r="BD13" t="str">
        <f t="shared" si="27"/>
        <v/>
      </c>
      <c r="BE13" t="str">
        <f t="shared" si="28"/>
        <v/>
      </c>
      <c r="BF13" t="str">
        <f t="shared" si="29"/>
        <v/>
      </c>
      <c r="BG13" t="str">
        <f t="shared" si="30"/>
        <v/>
      </c>
      <c r="BH13" t="str">
        <f t="shared" si="31"/>
        <v/>
      </c>
    </row>
    <row r="14" spans="1:66" x14ac:dyDescent="0.2">
      <c r="A14">
        <v>11</v>
      </c>
      <c r="B14">
        <v>107</v>
      </c>
      <c r="C14" t="s">
        <v>39</v>
      </c>
      <c r="I14">
        <v>3</v>
      </c>
      <c r="K14">
        <v>3</v>
      </c>
      <c r="N14">
        <v>4</v>
      </c>
      <c r="O14">
        <v>4</v>
      </c>
      <c r="S14">
        <v>1</v>
      </c>
      <c r="T14">
        <v>1</v>
      </c>
      <c r="X14">
        <f t="shared" si="33"/>
        <v>0</v>
      </c>
      <c r="Z14" t="s">
        <v>31</v>
      </c>
      <c r="AE14" t="s">
        <v>34</v>
      </c>
      <c r="AK14" t="s">
        <v>43</v>
      </c>
      <c r="AP14" t="s">
        <v>84</v>
      </c>
    </row>
    <row r="15" spans="1:66" x14ac:dyDescent="0.2">
      <c r="A15">
        <v>12</v>
      </c>
      <c r="B15">
        <v>120</v>
      </c>
      <c r="C15" t="s">
        <v>207</v>
      </c>
      <c r="G15">
        <v>2</v>
      </c>
      <c r="I15">
        <v>5</v>
      </c>
      <c r="K15">
        <v>4</v>
      </c>
      <c r="N15">
        <v>3</v>
      </c>
      <c r="O15">
        <v>3</v>
      </c>
      <c r="R15">
        <v>1</v>
      </c>
      <c r="S15">
        <v>1</v>
      </c>
      <c r="T15">
        <v>1</v>
      </c>
      <c r="U15">
        <v>4</v>
      </c>
      <c r="W15">
        <v>10</v>
      </c>
      <c r="X15">
        <f t="shared" si="33"/>
        <v>3</v>
      </c>
      <c r="Z15" t="s">
        <v>21</v>
      </c>
      <c r="AA15" t="s">
        <v>22</v>
      </c>
      <c r="AE15" t="s">
        <v>21</v>
      </c>
      <c r="AF15" t="s">
        <v>22</v>
      </c>
      <c r="AG15" t="s">
        <v>35</v>
      </c>
      <c r="AK15" t="s">
        <v>10</v>
      </c>
      <c r="AL15" t="s">
        <v>25</v>
      </c>
      <c r="AM15" t="s">
        <v>26</v>
      </c>
      <c r="AN15" t="s">
        <v>27</v>
      </c>
      <c r="AP15" t="s">
        <v>15</v>
      </c>
      <c r="AQ15" t="s">
        <v>85</v>
      </c>
    </row>
    <row r="16" spans="1:66" x14ac:dyDescent="0.2">
      <c r="A16" t="s">
        <v>28</v>
      </c>
      <c r="D16">
        <f>SUM(D4:D15)</f>
        <v>3</v>
      </c>
      <c r="E16">
        <f>SUM(E4:E15)</f>
        <v>1</v>
      </c>
      <c r="F16">
        <f>SUM(F4:F15)</f>
        <v>2</v>
      </c>
      <c r="G16">
        <f>SUM(G4:G15)</f>
        <v>20</v>
      </c>
      <c r="H16">
        <f>SUM(H4:H15)</f>
        <v>0</v>
      </c>
      <c r="K16">
        <f>SUM(K4:K15)</f>
        <v>35</v>
      </c>
      <c r="L16">
        <f>SUM(L4:L15)</f>
        <v>2</v>
      </c>
      <c r="M16">
        <f>SUM(M4:M15)</f>
        <v>0</v>
      </c>
      <c r="N16">
        <f>SUM(N4:N15)</f>
        <v>43</v>
      </c>
      <c r="O16">
        <f>SUM(O4:O15)</f>
        <v>40</v>
      </c>
      <c r="Q16">
        <f t="shared" ref="Q16:R16" si="34">SUM(Q4:Q15)</f>
        <v>0</v>
      </c>
      <c r="R16">
        <f t="shared" si="34"/>
        <v>2</v>
      </c>
      <c r="S16">
        <f>SUM(S4:S15)</f>
        <v>12</v>
      </c>
      <c r="T16">
        <f>SUM(T4:T15)</f>
        <v>11</v>
      </c>
      <c r="U16">
        <f>SUM(U4:U15)</f>
        <v>68</v>
      </c>
      <c r="V16">
        <f>SUM(V4:V15)</f>
        <v>0</v>
      </c>
      <c r="W16">
        <f>SUM(W4:W15)</f>
        <v>11</v>
      </c>
      <c r="Z16">
        <f t="shared" ref="Z16:Z27" si="35">COUNTIF(Z2:AC2, "3")*COUNTIF(C4, "r")+COUNTIF(Z2:AC2, "5")*COUNTIF(C4, "b")</f>
        <v>0</v>
      </c>
      <c r="AA16">
        <f t="shared" ref="AA16:AA27" si="36">COUNTIF(Z2:AC2, "1")+COUNTIF(Z2:AC2, "2")+COUNTIF(Z2:AC2, "4")</f>
        <v>0</v>
      </c>
      <c r="AE16">
        <f t="shared" ref="AE16:AE27" si="37">COUNTIF(AE2:AI2, "3")*COUNTIF(C4, "r") + COUNTIF(AE2:AI2, "5")*COUNTIF(C4, "b")</f>
        <v>0</v>
      </c>
      <c r="AF16">
        <f t="shared" ref="AF16:AF27" si="38">COUNTIF(AE2:AI2, "1")+COUNTIF(AE2:AI2, "2")+COUNTIF(AE2:AI2, "4")</f>
        <v>0</v>
      </c>
      <c r="AG16">
        <f t="shared" ref="AG16:AG27" si="39">COUNTIF(AE2:AI2, "3")*COUNTIF(AE2:AI2, "b")+COUNTIF(AE2:AI2, "5")*COUNTIF(AE2:AI2, "r")</f>
        <v>0</v>
      </c>
      <c r="AK16">
        <f t="shared" ref="AK16:AK27" si="40">SUMPRODUCT(LEN($AK2:$BH2) - LEN(SUBSTITUTE($AK2:$BH2, "g", "")))</f>
        <v>0</v>
      </c>
      <c r="AL16">
        <f t="shared" ref="AL16:AL27" si="41">SUMPRODUCT(LEN($AK2:$BH2) - LEN(SUBSTITUTE($AK2:$BH2, "h", "")))</f>
        <v>0</v>
      </c>
      <c r="AM16">
        <f t="shared" ref="AM16:AM27" si="42">SUMPRODUCT(LEN($AK2:$BH2) - LEN(SUBSTITUTE($AK2:$BH2, "v", "")))</f>
        <v>0</v>
      </c>
      <c r="AN16">
        <f t="shared" ref="AN16:AN27" si="43">SUMPRODUCT(LEN($AK2:$BH2) - LEN(SUBSTITUTE($AK2:$BH2, "r", "")))</f>
        <v>0</v>
      </c>
      <c r="AP16">
        <f>MAX(AQ16:BN16)</f>
        <v>0</v>
      </c>
      <c r="AQ16" s="4">
        <f>_xlfn.NUMBERVALUE(RIGHT(AK2,1))</f>
        <v>0</v>
      </c>
      <c r="AR16" s="4">
        <f t="shared" ref="AR16:BG27" si="44">_xlfn.NUMBERVALUE(RIGHT(AL2,1))</f>
        <v>0</v>
      </c>
      <c r="AS16" s="4">
        <f t="shared" si="44"/>
        <v>0</v>
      </c>
      <c r="AT16" s="4">
        <f t="shared" si="44"/>
        <v>0</v>
      </c>
      <c r="AU16" s="4">
        <f t="shared" si="44"/>
        <v>0</v>
      </c>
      <c r="AV16" s="4">
        <f t="shared" si="44"/>
        <v>0</v>
      </c>
      <c r="AW16" s="4">
        <f t="shared" si="44"/>
        <v>0</v>
      </c>
      <c r="AX16" s="4">
        <f t="shared" si="44"/>
        <v>0</v>
      </c>
      <c r="AY16" s="4">
        <f t="shared" si="44"/>
        <v>0</v>
      </c>
      <c r="AZ16" s="4">
        <f t="shared" si="44"/>
        <v>0</v>
      </c>
      <c r="BA16" s="4">
        <f t="shared" si="44"/>
        <v>0</v>
      </c>
      <c r="BB16" s="4">
        <f t="shared" si="44"/>
        <v>0</v>
      </c>
      <c r="BC16" s="4">
        <f t="shared" si="44"/>
        <v>0</v>
      </c>
      <c r="BD16" s="4">
        <f t="shared" si="44"/>
        <v>0</v>
      </c>
      <c r="BE16" s="4">
        <f t="shared" si="44"/>
        <v>0</v>
      </c>
      <c r="BF16" s="4">
        <f t="shared" si="44"/>
        <v>0</v>
      </c>
      <c r="BG16" s="4">
        <f t="shared" si="44"/>
        <v>0</v>
      </c>
      <c r="BH16" s="4">
        <f t="shared" ref="BH16:BN27" si="45">_xlfn.NUMBERVALUE(RIGHT(BB2,1))</f>
        <v>0</v>
      </c>
      <c r="BI16" s="4">
        <f t="shared" si="45"/>
        <v>0</v>
      </c>
      <c r="BJ16" s="4">
        <f t="shared" si="45"/>
        <v>0</v>
      </c>
      <c r="BK16" s="4">
        <f t="shared" si="45"/>
        <v>0</v>
      </c>
      <c r="BL16" s="4">
        <f t="shared" si="45"/>
        <v>0</v>
      </c>
      <c r="BM16" s="4">
        <f t="shared" si="45"/>
        <v>0</v>
      </c>
      <c r="BN16" s="4">
        <f t="shared" si="45"/>
        <v>0</v>
      </c>
    </row>
    <row r="17" spans="1:66" x14ac:dyDescent="0.2">
      <c r="A17" s="1" t="s">
        <v>20</v>
      </c>
      <c r="D17" s="1" t="s">
        <v>49</v>
      </c>
      <c r="G17" s="1" t="s">
        <v>52</v>
      </c>
      <c r="K17" s="3" t="s">
        <v>74</v>
      </c>
      <c r="P17" s="1" t="s">
        <v>66</v>
      </c>
      <c r="Z17">
        <f t="shared" si="35"/>
        <v>0</v>
      </c>
      <c r="AA17">
        <f t="shared" si="36"/>
        <v>0</v>
      </c>
      <c r="AE17">
        <f t="shared" si="37"/>
        <v>0</v>
      </c>
      <c r="AF17">
        <f t="shared" si="38"/>
        <v>1</v>
      </c>
      <c r="AG17">
        <f t="shared" si="39"/>
        <v>0</v>
      </c>
      <c r="AK17">
        <f t="shared" si="40"/>
        <v>0</v>
      </c>
      <c r="AL17">
        <f t="shared" si="41"/>
        <v>0</v>
      </c>
      <c r="AM17">
        <f t="shared" si="42"/>
        <v>0</v>
      </c>
      <c r="AN17">
        <f t="shared" si="43"/>
        <v>0</v>
      </c>
      <c r="AP17">
        <f t="shared" ref="AP17:AP27" si="46">MAX(AQ17:BN17)</f>
        <v>0</v>
      </c>
      <c r="AQ17" s="4">
        <f t="shared" ref="AQ17:AQ27" si="47">_xlfn.NUMBERVALUE(RIGHT(AK3,1))</f>
        <v>0</v>
      </c>
      <c r="AR17" s="4">
        <f t="shared" si="44"/>
        <v>0</v>
      </c>
      <c r="AS17" s="4">
        <f t="shared" si="44"/>
        <v>0</v>
      </c>
      <c r="AT17" s="4">
        <f t="shared" si="44"/>
        <v>0</v>
      </c>
      <c r="AU17" s="4">
        <f t="shared" si="44"/>
        <v>0</v>
      </c>
      <c r="AV17" s="4">
        <f t="shared" si="44"/>
        <v>0</v>
      </c>
      <c r="AW17" s="4">
        <f t="shared" si="44"/>
        <v>0</v>
      </c>
      <c r="AX17" s="4">
        <f t="shared" si="44"/>
        <v>0</v>
      </c>
      <c r="AY17" s="4">
        <f t="shared" si="44"/>
        <v>0</v>
      </c>
      <c r="AZ17" s="4">
        <f t="shared" si="44"/>
        <v>0</v>
      </c>
      <c r="BA17" s="4">
        <f t="shared" si="44"/>
        <v>0</v>
      </c>
      <c r="BB17" s="4">
        <f t="shared" si="44"/>
        <v>0</v>
      </c>
      <c r="BC17" s="4">
        <f t="shared" si="44"/>
        <v>0</v>
      </c>
      <c r="BD17" s="4">
        <f t="shared" si="44"/>
        <v>0</v>
      </c>
      <c r="BE17" s="4">
        <f t="shared" si="44"/>
        <v>0</v>
      </c>
      <c r="BF17" s="4">
        <f t="shared" si="44"/>
        <v>0</v>
      </c>
      <c r="BG17" s="4">
        <f t="shared" si="44"/>
        <v>0</v>
      </c>
      <c r="BH17" s="4">
        <f t="shared" si="45"/>
        <v>0</v>
      </c>
      <c r="BI17" s="4">
        <f t="shared" si="45"/>
        <v>0</v>
      </c>
      <c r="BJ17" s="4">
        <f t="shared" si="45"/>
        <v>0</v>
      </c>
      <c r="BK17" s="4">
        <f t="shared" si="45"/>
        <v>0</v>
      </c>
      <c r="BL17" s="4">
        <f t="shared" si="45"/>
        <v>0</v>
      </c>
      <c r="BM17" s="4">
        <f t="shared" si="45"/>
        <v>0</v>
      </c>
      <c r="BN17" s="4">
        <f t="shared" si="45"/>
        <v>0</v>
      </c>
    </row>
    <row r="18" spans="1:66" x14ac:dyDescent="0.2">
      <c r="A18" t="s">
        <v>32</v>
      </c>
      <c r="B18" t="s">
        <v>21</v>
      </c>
      <c r="D18" t="s">
        <v>180</v>
      </c>
      <c r="G18" s="3" t="s">
        <v>53</v>
      </c>
      <c r="K18" t="s">
        <v>55</v>
      </c>
      <c r="M18" t="s">
        <v>65</v>
      </c>
      <c r="P18" t="s">
        <v>67</v>
      </c>
      <c r="Z18">
        <f t="shared" si="35"/>
        <v>0</v>
      </c>
      <c r="AA18">
        <f t="shared" si="36"/>
        <v>0</v>
      </c>
      <c r="AE18">
        <f t="shared" si="37"/>
        <v>0</v>
      </c>
      <c r="AF18">
        <f t="shared" si="38"/>
        <v>0</v>
      </c>
      <c r="AG18">
        <f t="shared" si="39"/>
        <v>0</v>
      </c>
      <c r="AK18">
        <f t="shared" si="40"/>
        <v>0</v>
      </c>
      <c r="AL18">
        <f t="shared" si="41"/>
        <v>0</v>
      </c>
      <c r="AM18">
        <f t="shared" si="42"/>
        <v>0</v>
      </c>
      <c r="AN18">
        <f t="shared" si="43"/>
        <v>0</v>
      </c>
      <c r="AP18">
        <f t="shared" si="46"/>
        <v>0</v>
      </c>
      <c r="AQ18" s="4">
        <f t="shared" si="47"/>
        <v>0</v>
      </c>
      <c r="AR18" s="4">
        <f t="shared" si="44"/>
        <v>0</v>
      </c>
      <c r="AS18" s="4">
        <f t="shared" si="44"/>
        <v>0</v>
      </c>
      <c r="AT18" s="4">
        <f t="shared" si="44"/>
        <v>0</v>
      </c>
      <c r="AU18" s="4">
        <f t="shared" si="44"/>
        <v>0</v>
      </c>
      <c r="AV18" s="4">
        <f t="shared" si="44"/>
        <v>0</v>
      </c>
      <c r="AW18" s="4">
        <f t="shared" si="44"/>
        <v>0</v>
      </c>
      <c r="AX18" s="4">
        <f t="shared" si="44"/>
        <v>0</v>
      </c>
      <c r="AY18" s="4">
        <f t="shared" si="44"/>
        <v>0</v>
      </c>
      <c r="AZ18" s="4">
        <f t="shared" si="44"/>
        <v>0</v>
      </c>
      <c r="BA18" s="4">
        <f t="shared" si="44"/>
        <v>0</v>
      </c>
      <c r="BB18" s="4">
        <f t="shared" si="44"/>
        <v>0</v>
      </c>
      <c r="BC18" s="4">
        <f t="shared" si="44"/>
        <v>0</v>
      </c>
      <c r="BD18" s="4">
        <f t="shared" si="44"/>
        <v>0</v>
      </c>
      <c r="BE18" s="4">
        <f t="shared" si="44"/>
        <v>0</v>
      </c>
      <c r="BF18" s="4">
        <f t="shared" si="44"/>
        <v>0</v>
      </c>
      <c r="BG18" s="4">
        <f t="shared" si="44"/>
        <v>0</v>
      </c>
      <c r="BH18" s="4">
        <f t="shared" si="45"/>
        <v>0</v>
      </c>
      <c r="BI18" s="4">
        <f t="shared" si="45"/>
        <v>0</v>
      </c>
      <c r="BJ18" s="4">
        <f t="shared" si="45"/>
        <v>0</v>
      </c>
      <c r="BK18" s="4">
        <f t="shared" si="45"/>
        <v>0</v>
      </c>
      <c r="BL18" s="4">
        <f t="shared" si="45"/>
        <v>0</v>
      </c>
      <c r="BM18" s="4">
        <f t="shared" si="45"/>
        <v>0</v>
      </c>
      <c r="BN18" s="4">
        <f t="shared" si="45"/>
        <v>0</v>
      </c>
    </row>
    <row r="19" spans="1:66" x14ac:dyDescent="0.2">
      <c r="A19" t="s">
        <v>40</v>
      </c>
      <c r="B19" t="s">
        <v>22</v>
      </c>
      <c r="D19">
        <f>E16/D16</f>
        <v>0.33333333333333331</v>
      </c>
      <c r="G19" t="s">
        <v>75</v>
      </c>
      <c r="K19">
        <f>O16/N16</f>
        <v>0.93023255813953487</v>
      </c>
      <c r="M19">
        <f>SUM(M39:M50)</f>
        <v>-5</v>
      </c>
      <c r="P19">
        <f>T16/S16</f>
        <v>0.91666666666666663</v>
      </c>
      <c r="Z19">
        <f t="shared" si="35"/>
        <v>0</v>
      </c>
      <c r="AA19">
        <f t="shared" si="36"/>
        <v>0</v>
      </c>
      <c r="AE19">
        <f t="shared" si="37"/>
        <v>0</v>
      </c>
      <c r="AF19">
        <f t="shared" si="38"/>
        <v>1</v>
      </c>
      <c r="AG19">
        <f t="shared" si="39"/>
        <v>0</v>
      </c>
      <c r="AK19">
        <f t="shared" si="40"/>
        <v>0</v>
      </c>
      <c r="AL19">
        <f t="shared" si="41"/>
        <v>0</v>
      </c>
      <c r="AM19">
        <f t="shared" si="42"/>
        <v>0</v>
      </c>
      <c r="AN19">
        <f t="shared" si="43"/>
        <v>0</v>
      </c>
      <c r="AP19">
        <f t="shared" si="46"/>
        <v>0</v>
      </c>
      <c r="AQ19" s="4">
        <f t="shared" si="47"/>
        <v>0</v>
      </c>
      <c r="AR19" s="4">
        <f t="shared" si="44"/>
        <v>0</v>
      </c>
      <c r="AS19" s="4">
        <f t="shared" si="44"/>
        <v>0</v>
      </c>
      <c r="AT19" s="4">
        <f t="shared" si="44"/>
        <v>0</v>
      </c>
      <c r="AU19" s="4">
        <f t="shared" si="44"/>
        <v>0</v>
      </c>
      <c r="AV19" s="4">
        <f t="shared" si="44"/>
        <v>0</v>
      </c>
      <c r="AW19" s="4">
        <f t="shared" si="44"/>
        <v>0</v>
      </c>
      <c r="AX19" s="4">
        <f t="shared" si="44"/>
        <v>0</v>
      </c>
      <c r="AY19" s="4">
        <f t="shared" si="44"/>
        <v>0</v>
      </c>
      <c r="AZ19" s="4">
        <f t="shared" si="44"/>
        <v>0</v>
      </c>
      <c r="BA19" s="4">
        <f t="shared" si="44"/>
        <v>0</v>
      </c>
      <c r="BB19" s="4">
        <f t="shared" si="44"/>
        <v>0</v>
      </c>
      <c r="BC19" s="4">
        <f t="shared" si="44"/>
        <v>0</v>
      </c>
      <c r="BD19" s="4">
        <f t="shared" si="44"/>
        <v>0</v>
      </c>
      <c r="BE19" s="4">
        <f t="shared" si="44"/>
        <v>0</v>
      </c>
      <c r="BF19" s="4">
        <f t="shared" si="44"/>
        <v>0</v>
      </c>
      <c r="BG19" s="4">
        <f t="shared" si="44"/>
        <v>0</v>
      </c>
      <c r="BH19" s="4">
        <f t="shared" si="45"/>
        <v>0</v>
      </c>
      <c r="BI19" s="4">
        <f t="shared" si="45"/>
        <v>0</v>
      </c>
      <c r="BJ19" s="4">
        <f t="shared" si="45"/>
        <v>0</v>
      </c>
      <c r="BK19" s="4">
        <f t="shared" si="45"/>
        <v>0</v>
      </c>
      <c r="BL19" s="4">
        <f t="shared" si="45"/>
        <v>0</v>
      </c>
      <c r="BM19" s="4">
        <f t="shared" si="45"/>
        <v>0</v>
      </c>
      <c r="BN19" s="4">
        <f t="shared" si="45"/>
        <v>0</v>
      </c>
    </row>
    <row r="20" spans="1:66" x14ac:dyDescent="0.2">
      <c r="A20" t="s">
        <v>41</v>
      </c>
      <c r="B20" t="s">
        <v>23</v>
      </c>
      <c r="D20" t="s">
        <v>47</v>
      </c>
      <c r="G20">
        <f>AK28/AP28</f>
        <v>1</v>
      </c>
      <c r="K20" t="s">
        <v>13</v>
      </c>
      <c r="Z20">
        <f t="shared" si="35"/>
        <v>1</v>
      </c>
      <c r="AA20">
        <f t="shared" si="36"/>
        <v>0</v>
      </c>
      <c r="AE20">
        <f t="shared" si="37"/>
        <v>0</v>
      </c>
      <c r="AF20">
        <f t="shared" si="38"/>
        <v>0</v>
      </c>
      <c r="AG20">
        <f t="shared" si="39"/>
        <v>0</v>
      </c>
      <c r="AK20">
        <f t="shared" si="40"/>
        <v>0</v>
      </c>
      <c r="AL20">
        <f t="shared" si="41"/>
        <v>0</v>
      </c>
      <c r="AM20">
        <f t="shared" si="42"/>
        <v>0</v>
      </c>
      <c r="AN20">
        <f t="shared" si="43"/>
        <v>0</v>
      </c>
      <c r="AP20">
        <f t="shared" si="46"/>
        <v>0</v>
      </c>
      <c r="AQ20" s="4">
        <f t="shared" si="47"/>
        <v>0</v>
      </c>
      <c r="AR20" s="4">
        <f t="shared" si="44"/>
        <v>0</v>
      </c>
      <c r="AS20" s="4">
        <f t="shared" si="44"/>
        <v>0</v>
      </c>
      <c r="AT20" s="4">
        <f t="shared" si="44"/>
        <v>0</v>
      </c>
      <c r="AU20" s="4">
        <f t="shared" si="44"/>
        <v>0</v>
      </c>
      <c r="AV20" s="4">
        <f t="shared" si="44"/>
        <v>0</v>
      </c>
      <c r="AW20" s="4">
        <f t="shared" si="44"/>
        <v>0</v>
      </c>
      <c r="AX20" s="4">
        <f t="shared" si="44"/>
        <v>0</v>
      </c>
      <c r="AY20" s="4">
        <f t="shared" si="44"/>
        <v>0</v>
      </c>
      <c r="AZ20" s="4">
        <f t="shared" si="44"/>
        <v>0</v>
      </c>
      <c r="BA20" s="4">
        <f t="shared" si="44"/>
        <v>0</v>
      </c>
      <c r="BB20" s="4">
        <f t="shared" si="44"/>
        <v>0</v>
      </c>
      <c r="BC20" s="4">
        <f t="shared" si="44"/>
        <v>0</v>
      </c>
      <c r="BD20" s="4">
        <f t="shared" si="44"/>
        <v>0</v>
      </c>
      <c r="BE20" s="4">
        <f t="shared" si="44"/>
        <v>0</v>
      </c>
      <c r="BF20" s="4">
        <f t="shared" si="44"/>
        <v>0</v>
      </c>
      <c r="BG20" s="4">
        <f t="shared" si="44"/>
        <v>0</v>
      </c>
      <c r="BH20" s="4">
        <f t="shared" si="45"/>
        <v>0</v>
      </c>
      <c r="BI20" s="4">
        <f t="shared" si="45"/>
        <v>0</v>
      </c>
      <c r="BJ20" s="4">
        <f t="shared" si="45"/>
        <v>0</v>
      </c>
      <c r="BK20" s="4">
        <f t="shared" si="45"/>
        <v>0</v>
      </c>
      <c r="BL20" s="4">
        <f t="shared" si="45"/>
        <v>0</v>
      </c>
      <c r="BM20" s="4">
        <f t="shared" si="45"/>
        <v>0</v>
      </c>
      <c r="BN20" s="4">
        <f t="shared" si="45"/>
        <v>0</v>
      </c>
    </row>
    <row r="21" spans="1:66" x14ac:dyDescent="0.2">
      <c r="A21" s="1" t="s">
        <v>24</v>
      </c>
      <c r="D21">
        <f>G16/A31</f>
        <v>1.6666666666666667</v>
      </c>
      <c r="G21" t="s">
        <v>76</v>
      </c>
      <c r="K21" t="s">
        <v>57</v>
      </c>
      <c r="L21" t="s">
        <v>58</v>
      </c>
      <c r="M21" t="s">
        <v>59</v>
      </c>
      <c r="N21" t="s">
        <v>60</v>
      </c>
      <c r="Z21">
        <f t="shared" si="35"/>
        <v>1</v>
      </c>
      <c r="AA21">
        <f t="shared" si="36"/>
        <v>0</v>
      </c>
      <c r="AE21">
        <f t="shared" si="37"/>
        <v>0</v>
      </c>
      <c r="AF21">
        <f t="shared" si="38"/>
        <v>1</v>
      </c>
      <c r="AG21">
        <f t="shared" si="39"/>
        <v>0</v>
      </c>
      <c r="AK21">
        <f t="shared" si="40"/>
        <v>0</v>
      </c>
      <c r="AL21">
        <f t="shared" si="41"/>
        <v>0</v>
      </c>
      <c r="AM21">
        <f t="shared" si="42"/>
        <v>0</v>
      </c>
      <c r="AN21">
        <f t="shared" si="43"/>
        <v>0</v>
      </c>
      <c r="AP21">
        <f t="shared" si="46"/>
        <v>0</v>
      </c>
      <c r="AQ21" s="4">
        <f t="shared" si="47"/>
        <v>0</v>
      </c>
      <c r="AR21" s="4">
        <f t="shared" si="44"/>
        <v>0</v>
      </c>
      <c r="AS21" s="4">
        <f t="shared" si="44"/>
        <v>0</v>
      </c>
      <c r="AT21" s="4">
        <f t="shared" si="44"/>
        <v>0</v>
      </c>
      <c r="AU21" s="4">
        <f t="shared" si="44"/>
        <v>0</v>
      </c>
      <c r="AV21" s="4">
        <f t="shared" si="44"/>
        <v>0</v>
      </c>
      <c r="AW21" s="4">
        <f t="shared" si="44"/>
        <v>0</v>
      </c>
      <c r="AX21" s="4">
        <f t="shared" si="44"/>
        <v>0</v>
      </c>
      <c r="AY21" s="4">
        <f t="shared" si="44"/>
        <v>0</v>
      </c>
      <c r="AZ21" s="4">
        <f t="shared" si="44"/>
        <v>0</v>
      </c>
      <c r="BA21" s="4">
        <f t="shared" si="44"/>
        <v>0</v>
      </c>
      <c r="BB21" s="4">
        <f t="shared" si="44"/>
        <v>0</v>
      </c>
      <c r="BC21" s="4">
        <f t="shared" si="44"/>
        <v>0</v>
      </c>
      <c r="BD21" s="4">
        <f t="shared" si="44"/>
        <v>0</v>
      </c>
      <c r="BE21" s="4">
        <f t="shared" si="44"/>
        <v>0</v>
      </c>
      <c r="BF21" s="4">
        <f t="shared" si="44"/>
        <v>0</v>
      </c>
      <c r="BG21" s="4">
        <f t="shared" si="44"/>
        <v>0</v>
      </c>
      <c r="BH21" s="4">
        <f t="shared" si="45"/>
        <v>0</v>
      </c>
      <c r="BI21" s="4">
        <f t="shared" si="45"/>
        <v>0</v>
      </c>
      <c r="BJ21" s="4">
        <f t="shared" si="45"/>
        <v>0</v>
      </c>
      <c r="BK21" s="4">
        <f t="shared" si="45"/>
        <v>0</v>
      </c>
      <c r="BL21" s="4">
        <f t="shared" si="45"/>
        <v>0</v>
      </c>
      <c r="BM21" s="4">
        <f t="shared" si="45"/>
        <v>0</v>
      </c>
      <c r="BN21" s="4">
        <f t="shared" si="45"/>
        <v>0</v>
      </c>
    </row>
    <row r="22" spans="1:66" x14ac:dyDescent="0.2">
      <c r="A22" t="s">
        <v>36</v>
      </c>
      <c r="B22" t="s">
        <v>10</v>
      </c>
      <c r="D22" t="s">
        <v>48</v>
      </c>
      <c r="G22">
        <f>AL28/AP28</f>
        <v>0</v>
      </c>
      <c r="K22">
        <f>AVERAGE(C39:C50)</f>
        <v>3.3333333333333335</v>
      </c>
      <c r="L22">
        <f>MEDIAN(C39:C50)</f>
        <v>3.5</v>
      </c>
      <c r="M22">
        <f>MAX(C39:C50)</f>
        <v>5</v>
      </c>
      <c r="N22">
        <f>_xlfn.STDEV.S(C39:C50)</f>
        <v>1.230914909793327</v>
      </c>
      <c r="Z22">
        <f t="shared" si="35"/>
        <v>1</v>
      </c>
      <c r="AA22">
        <f t="shared" si="36"/>
        <v>0</v>
      </c>
      <c r="AE22">
        <f t="shared" si="37"/>
        <v>0</v>
      </c>
      <c r="AF22">
        <f t="shared" si="38"/>
        <v>0</v>
      </c>
      <c r="AG22">
        <f t="shared" si="39"/>
        <v>0</v>
      </c>
      <c r="AK22">
        <f t="shared" si="40"/>
        <v>0</v>
      </c>
      <c r="AL22">
        <f t="shared" si="41"/>
        <v>0</v>
      </c>
      <c r="AM22">
        <f t="shared" si="42"/>
        <v>0</v>
      </c>
      <c r="AN22">
        <f t="shared" si="43"/>
        <v>0</v>
      </c>
      <c r="AP22">
        <f t="shared" si="46"/>
        <v>0</v>
      </c>
      <c r="AQ22" s="4">
        <f t="shared" si="47"/>
        <v>0</v>
      </c>
      <c r="AR22" s="4">
        <f t="shared" si="44"/>
        <v>0</v>
      </c>
      <c r="AS22" s="4">
        <f t="shared" si="44"/>
        <v>0</v>
      </c>
      <c r="AT22" s="4">
        <f t="shared" si="44"/>
        <v>0</v>
      </c>
      <c r="AU22" s="4">
        <f t="shared" si="44"/>
        <v>0</v>
      </c>
      <c r="AV22" s="4">
        <f t="shared" si="44"/>
        <v>0</v>
      </c>
      <c r="AW22" s="4">
        <f t="shared" si="44"/>
        <v>0</v>
      </c>
      <c r="AX22" s="4">
        <f t="shared" si="44"/>
        <v>0</v>
      </c>
      <c r="AY22" s="4">
        <f t="shared" si="44"/>
        <v>0</v>
      </c>
      <c r="AZ22" s="4">
        <f t="shared" si="44"/>
        <v>0</v>
      </c>
      <c r="BA22" s="4">
        <f t="shared" si="44"/>
        <v>0</v>
      </c>
      <c r="BB22" s="4">
        <f t="shared" si="44"/>
        <v>0</v>
      </c>
      <c r="BC22" s="4">
        <f t="shared" si="44"/>
        <v>0</v>
      </c>
      <c r="BD22" s="4">
        <f t="shared" si="44"/>
        <v>0</v>
      </c>
      <c r="BE22" s="4">
        <f t="shared" si="44"/>
        <v>0</v>
      </c>
      <c r="BF22" s="4">
        <f t="shared" si="44"/>
        <v>0</v>
      </c>
      <c r="BG22" s="4">
        <f t="shared" si="44"/>
        <v>0</v>
      </c>
      <c r="BH22" s="4">
        <f t="shared" si="45"/>
        <v>0</v>
      </c>
      <c r="BI22" s="4">
        <f t="shared" si="45"/>
        <v>0</v>
      </c>
      <c r="BJ22" s="4">
        <f t="shared" si="45"/>
        <v>0</v>
      </c>
      <c r="BK22" s="4">
        <f t="shared" si="45"/>
        <v>0</v>
      </c>
      <c r="BL22" s="4">
        <f t="shared" si="45"/>
        <v>0</v>
      </c>
      <c r="BM22" s="4">
        <f t="shared" si="45"/>
        <v>0</v>
      </c>
      <c r="BN22" s="4">
        <f t="shared" si="45"/>
        <v>0</v>
      </c>
    </row>
    <row r="23" spans="1:66" x14ac:dyDescent="0.2">
      <c r="A23" t="s">
        <v>37</v>
      </c>
      <c r="B23" t="s">
        <v>25</v>
      </c>
      <c r="D23">
        <f>H16/A31</f>
        <v>0</v>
      </c>
      <c r="G23" t="s">
        <v>77</v>
      </c>
      <c r="K23" t="s">
        <v>8</v>
      </c>
      <c r="Z23">
        <f t="shared" si="35"/>
        <v>1</v>
      </c>
      <c r="AA23">
        <f t="shared" si="36"/>
        <v>0</v>
      </c>
      <c r="AE23">
        <f t="shared" si="37"/>
        <v>0</v>
      </c>
      <c r="AF23">
        <f t="shared" si="38"/>
        <v>1</v>
      </c>
      <c r="AG23">
        <f t="shared" si="39"/>
        <v>0</v>
      </c>
      <c r="AK23">
        <f t="shared" si="40"/>
        <v>0</v>
      </c>
      <c r="AL23">
        <f t="shared" si="41"/>
        <v>0</v>
      </c>
      <c r="AM23">
        <f t="shared" si="42"/>
        <v>0</v>
      </c>
      <c r="AN23">
        <f t="shared" si="43"/>
        <v>0</v>
      </c>
      <c r="AP23">
        <f t="shared" si="46"/>
        <v>0</v>
      </c>
      <c r="AQ23" s="4">
        <f t="shared" si="47"/>
        <v>0</v>
      </c>
      <c r="AR23" s="4">
        <f t="shared" si="44"/>
        <v>0</v>
      </c>
      <c r="AS23" s="4">
        <f t="shared" si="44"/>
        <v>0</v>
      </c>
      <c r="AT23" s="4">
        <f t="shared" si="44"/>
        <v>0</v>
      </c>
      <c r="AU23" s="4">
        <f t="shared" si="44"/>
        <v>0</v>
      </c>
      <c r="AV23" s="4">
        <f t="shared" si="44"/>
        <v>0</v>
      </c>
      <c r="AW23" s="4">
        <f t="shared" si="44"/>
        <v>0</v>
      </c>
      <c r="AX23" s="4">
        <f t="shared" si="44"/>
        <v>0</v>
      </c>
      <c r="AY23" s="4">
        <f t="shared" si="44"/>
        <v>0</v>
      </c>
      <c r="AZ23" s="4">
        <f t="shared" si="44"/>
        <v>0</v>
      </c>
      <c r="BA23" s="4">
        <f t="shared" si="44"/>
        <v>0</v>
      </c>
      <c r="BB23" s="4">
        <f t="shared" si="44"/>
        <v>0</v>
      </c>
      <c r="BC23" s="4">
        <f t="shared" si="44"/>
        <v>0</v>
      </c>
      <c r="BD23" s="4">
        <f t="shared" si="44"/>
        <v>0</v>
      </c>
      <c r="BE23" s="4">
        <f t="shared" si="44"/>
        <v>0</v>
      </c>
      <c r="BF23" s="4">
        <f t="shared" si="44"/>
        <v>0</v>
      </c>
      <c r="BG23" s="4">
        <f t="shared" si="44"/>
        <v>0</v>
      </c>
      <c r="BH23" s="4">
        <f t="shared" si="45"/>
        <v>0</v>
      </c>
      <c r="BI23" s="4">
        <f t="shared" si="45"/>
        <v>0</v>
      </c>
      <c r="BJ23" s="4">
        <f t="shared" si="45"/>
        <v>0</v>
      </c>
      <c r="BK23" s="4">
        <f t="shared" si="45"/>
        <v>0</v>
      </c>
      <c r="BL23" s="4">
        <f t="shared" si="45"/>
        <v>0</v>
      </c>
      <c r="BM23" s="4">
        <f t="shared" si="45"/>
        <v>0</v>
      </c>
      <c r="BN23" s="4">
        <f t="shared" si="45"/>
        <v>0</v>
      </c>
    </row>
    <row r="24" spans="1:66" x14ac:dyDescent="0.2">
      <c r="A24" t="s">
        <v>38</v>
      </c>
      <c r="B24" t="s">
        <v>26</v>
      </c>
      <c r="D24" t="s">
        <v>50</v>
      </c>
      <c r="G24">
        <f>AM28/AP28</f>
        <v>0</v>
      </c>
      <c r="K24" t="s">
        <v>57</v>
      </c>
      <c r="L24" t="s">
        <v>61</v>
      </c>
      <c r="M24" t="s">
        <v>59</v>
      </c>
      <c r="N24" t="s">
        <v>60</v>
      </c>
      <c r="Z24">
        <f t="shared" si="35"/>
        <v>0</v>
      </c>
      <c r="AA24">
        <f t="shared" si="36"/>
        <v>0</v>
      </c>
      <c r="AE24">
        <f t="shared" si="37"/>
        <v>0</v>
      </c>
      <c r="AF24">
        <f t="shared" si="38"/>
        <v>0</v>
      </c>
      <c r="AG24">
        <f t="shared" si="39"/>
        <v>0</v>
      </c>
      <c r="AK24">
        <f t="shared" si="40"/>
        <v>0</v>
      </c>
      <c r="AL24">
        <f t="shared" si="41"/>
        <v>0</v>
      </c>
      <c r="AM24">
        <f t="shared" si="42"/>
        <v>0</v>
      </c>
      <c r="AN24">
        <f t="shared" si="43"/>
        <v>0</v>
      </c>
      <c r="AP24">
        <f t="shared" si="46"/>
        <v>0</v>
      </c>
      <c r="AQ24" s="4">
        <f t="shared" si="47"/>
        <v>0</v>
      </c>
      <c r="AR24" s="4">
        <f t="shared" si="44"/>
        <v>0</v>
      </c>
      <c r="AS24" s="4">
        <f t="shared" si="44"/>
        <v>0</v>
      </c>
      <c r="AT24" s="4">
        <f t="shared" si="44"/>
        <v>0</v>
      </c>
      <c r="AU24" s="4">
        <f t="shared" si="44"/>
        <v>0</v>
      </c>
      <c r="AV24" s="4">
        <f t="shared" si="44"/>
        <v>0</v>
      </c>
      <c r="AW24" s="4">
        <f t="shared" si="44"/>
        <v>0</v>
      </c>
      <c r="AX24" s="4">
        <f t="shared" si="44"/>
        <v>0</v>
      </c>
      <c r="AY24" s="4">
        <f t="shared" si="44"/>
        <v>0</v>
      </c>
      <c r="AZ24" s="4">
        <f t="shared" si="44"/>
        <v>0</v>
      </c>
      <c r="BA24" s="4">
        <f t="shared" si="44"/>
        <v>0</v>
      </c>
      <c r="BB24" s="4">
        <f t="shared" si="44"/>
        <v>0</v>
      </c>
      <c r="BC24" s="4">
        <f t="shared" si="44"/>
        <v>0</v>
      </c>
      <c r="BD24" s="4">
        <f t="shared" si="44"/>
        <v>0</v>
      </c>
      <c r="BE24" s="4">
        <f t="shared" si="44"/>
        <v>0</v>
      </c>
      <c r="BF24" s="4">
        <f t="shared" si="44"/>
        <v>0</v>
      </c>
      <c r="BG24" s="4">
        <f t="shared" si="44"/>
        <v>0</v>
      </c>
      <c r="BH24" s="4">
        <f t="shared" si="45"/>
        <v>0</v>
      </c>
      <c r="BI24" s="4">
        <f t="shared" si="45"/>
        <v>0</v>
      </c>
      <c r="BJ24" s="4">
        <f t="shared" si="45"/>
        <v>0</v>
      </c>
      <c r="BK24" s="4">
        <f t="shared" si="45"/>
        <v>0</v>
      </c>
      <c r="BL24" s="4">
        <f t="shared" si="45"/>
        <v>0</v>
      </c>
      <c r="BM24" s="4">
        <f t="shared" si="45"/>
        <v>0</v>
      </c>
      <c r="BN24" s="4">
        <f t="shared" si="45"/>
        <v>0</v>
      </c>
    </row>
    <row r="25" spans="1:66" x14ac:dyDescent="0.2">
      <c r="A25" t="s">
        <v>39</v>
      </c>
      <c r="B25" t="s">
        <v>27</v>
      </c>
      <c r="D25">
        <f>Z28/A31</f>
        <v>0.5</v>
      </c>
      <c r="G25" t="s">
        <v>78</v>
      </c>
      <c r="K25">
        <f>AVERAGE(E39:E50)</f>
        <v>0</v>
      </c>
      <c r="L25">
        <f>MEDIAN(E39:E50)</f>
        <v>0</v>
      </c>
      <c r="M25">
        <f>MAX(E39:E50)</f>
        <v>0</v>
      </c>
      <c r="N25">
        <f>_xlfn.STDEV.S(E39:E50)</f>
        <v>0</v>
      </c>
      <c r="Z25">
        <f t="shared" si="35"/>
        <v>0</v>
      </c>
      <c r="AA25">
        <f t="shared" si="36"/>
        <v>0</v>
      </c>
      <c r="AE25">
        <f t="shared" si="37"/>
        <v>0</v>
      </c>
      <c r="AF25">
        <f t="shared" si="38"/>
        <v>2</v>
      </c>
      <c r="AG25">
        <f t="shared" si="39"/>
        <v>0</v>
      </c>
      <c r="AK25">
        <f t="shared" si="40"/>
        <v>1</v>
      </c>
      <c r="AL25">
        <f t="shared" si="41"/>
        <v>0</v>
      </c>
      <c r="AM25">
        <f t="shared" si="42"/>
        <v>0</v>
      </c>
      <c r="AN25">
        <f t="shared" si="43"/>
        <v>0</v>
      </c>
      <c r="AP25">
        <f t="shared" si="46"/>
        <v>1</v>
      </c>
      <c r="AQ25" s="4">
        <f t="shared" si="47"/>
        <v>1</v>
      </c>
      <c r="AR25" s="4">
        <f t="shared" si="44"/>
        <v>0</v>
      </c>
      <c r="AS25" s="4">
        <f t="shared" si="44"/>
        <v>0</v>
      </c>
      <c r="AT25" s="4">
        <f t="shared" si="44"/>
        <v>0</v>
      </c>
      <c r="AU25" s="4">
        <f t="shared" si="44"/>
        <v>0</v>
      </c>
      <c r="AV25" s="4">
        <f t="shared" si="44"/>
        <v>0</v>
      </c>
      <c r="AW25" s="4">
        <f t="shared" si="44"/>
        <v>0</v>
      </c>
      <c r="AX25" s="4">
        <f t="shared" si="44"/>
        <v>0</v>
      </c>
      <c r="AY25" s="4">
        <f t="shared" si="44"/>
        <v>0</v>
      </c>
      <c r="AZ25" s="4">
        <f t="shared" si="44"/>
        <v>0</v>
      </c>
      <c r="BA25" s="4">
        <f t="shared" si="44"/>
        <v>0</v>
      </c>
      <c r="BB25" s="4">
        <f t="shared" si="44"/>
        <v>0</v>
      </c>
      <c r="BC25" s="4">
        <f t="shared" si="44"/>
        <v>0</v>
      </c>
      <c r="BD25" s="4">
        <f t="shared" si="44"/>
        <v>0</v>
      </c>
      <c r="BE25" s="4">
        <f t="shared" si="44"/>
        <v>0</v>
      </c>
      <c r="BF25" s="4">
        <f t="shared" si="44"/>
        <v>0</v>
      </c>
      <c r="BG25" s="4">
        <f t="shared" si="44"/>
        <v>0</v>
      </c>
      <c r="BH25" s="4">
        <f t="shared" si="45"/>
        <v>0</v>
      </c>
      <c r="BI25" s="4">
        <f t="shared" si="45"/>
        <v>0</v>
      </c>
      <c r="BJ25" s="4">
        <f t="shared" si="45"/>
        <v>0</v>
      </c>
      <c r="BK25" s="4">
        <f t="shared" si="45"/>
        <v>0</v>
      </c>
      <c r="BL25" s="4">
        <f t="shared" si="45"/>
        <v>0</v>
      </c>
      <c r="BM25" s="4">
        <f t="shared" si="45"/>
        <v>0</v>
      </c>
      <c r="BN25" s="4">
        <f t="shared" si="45"/>
        <v>0</v>
      </c>
    </row>
    <row r="26" spans="1:66" x14ac:dyDescent="0.2">
      <c r="A26" t="s">
        <v>44</v>
      </c>
      <c r="D26" t="s">
        <v>51</v>
      </c>
      <c r="G26">
        <f>AN28/AP28</f>
        <v>0</v>
      </c>
      <c r="K26" t="s">
        <v>62</v>
      </c>
      <c r="P26" t="s">
        <v>19</v>
      </c>
      <c r="Z26">
        <f t="shared" si="35"/>
        <v>1</v>
      </c>
      <c r="AA26">
        <f t="shared" si="36"/>
        <v>0</v>
      </c>
      <c r="AE26">
        <f t="shared" si="37"/>
        <v>0</v>
      </c>
      <c r="AF26">
        <f t="shared" si="38"/>
        <v>0</v>
      </c>
      <c r="AG26">
        <f t="shared" si="39"/>
        <v>0</v>
      </c>
      <c r="AK26">
        <f t="shared" si="40"/>
        <v>0</v>
      </c>
      <c r="AL26">
        <f t="shared" si="41"/>
        <v>0</v>
      </c>
      <c r="AM26">
        <f t="shared" si="42"/>
        <v>0</v>
      </c>
      <c r="AN26">
        <f t="shared" si="43"/>
        <v>0</v>
      </c>
      <c r="AP26">
        <f t="shared" si="46"/>
        <v>0</v>
      </c>
      <c r="AQ26" s="4">
        <f t="shared" si="47"/>
        <v>0</v>
      </c>
      <c r="AR26" s="4">
        <f t="shared" si="44"/>
        <v>0</v>
      </c>
      <c r="AS26" s="4">
        <f t="shared" si="44"/>
        <v>0</v>
      </c>
      <c r="AT26" s="4">
        <f t="shared" si="44"/>
        <v>0</v>
      </c>
      <c r="AU26" s="4">
        <f t="shared" si="44"/>
        <v>0</v>
      </c>
      <c r="AV26" s="4">
        <f t="shared" si="44"/>
        <v>0</v>
      </c>
      <c r="AW26" s="4">
        <f t="shared" si="44"/>
        <v>0</v>
      </c>
      <c r="AX26" s="4">
        <f t="shared" si="44"/>
        <v>0</v>
      </c>
      <c r="AY26" s="4">
        <f t="shared" si="44"/>
        <v>0</v>
      </c>
      <c r="AZ26" s="4">
        <f t="shared" si="44"/>
        <v>0</v>
      </c>
      <c r="BA26" s="4">
        <f t="shared" si="44"/>
        <v>0</v>
      </c>
      <c r="BB26" s="4">
        <f t="shared" si="44"/>
        <v>0</v>
      </c>
      <c r="BC26" s="4">
        <f t="shared" si="44"/>
        <v>0</v>
      </c>
      <c r="BD26" s="4">
        <f t="shared" si="44"/>
        <v>0</v>
      </c>
      <c r="BE26" s="4">
        <f t="shared" si="44"/>
        <v>0</v>
      </c>
      <c r="BF26" s="4">
        <f t="shared" si="44"/>
        <v>0</v>
      </c>
      <c r="BG26" s="4">
        <f t="shared" si="44"/>
        <v>0</v>
      </c>
      <c r="BH26" s="4">
        <f t="shared" si="45"/>
        <v>0</v>
      </c>
      <c r="BI26" s="4">
        <f t="shared" si="45"/>
        <v>0</v>
      </c>
      <c r="BJ26" s="4">
        <f t="shared" si="45"/>
        <v>0</v>
      </c>
      <c r="BK26" s="4">
        <f t="shared" si="45"/>
        <v>0</v>
      </c>
      <c r="BL26" s="4">
        <f t="shared" si="45"/>
        <v>0</v>
      </c>
      <c r="BM26" s="4">
        <f t="shared" si="45"/>
        <v>0</v>
      </c>
      <c r="BN26" s="4">
        <f t="shared" si="45"/>
        <v>0</v>
      </c>
    </row>
    <row r="27" spans="1:66" x14ac:dyDescent="0.2">
      <c r="A27" t="s">
        <v>45</v>
      </c>
      <c r="D27">
        <f>AA28/A31</f>
        <v>0</v>
      </c>
      <c r="G27" t="s">
        <v>56</v>
      </c>
      <c r="K27" t="s">
        <v>57</v>
      </c>
      <c r="L27" t="s">
        <v>58</v>
      </c>
      <c r="M27" t="s">
        <v>59</v>
      </c>
      <c r="N27" t="s">
        <v>60</v>
      </c>
      <c r="P27" t="s">
        <v>57</v>
      </c>
      <c r="Q27" t="s">
        <v>58</v>
      </c>
      <c r="R27" t="s">
        <v>59</v>
      </c>
      <c r="S27" t="s">
        <v>60</v>
      </c>
      <c r="Z27">
        <f t="shared" si="35"/>
        <v>1</v>
      </c>
      <c r="AA27">
        <f t="shared" si="36"/>
        <v>0</v>
      </c>
      <c r="AE27">
        <f t="shared" si="37"/>
        <v>0</v>
      </c>
      <c r="AF27">
        <f t="shared" si="38"/>
        <v>0</v>
      </c>
      <c r="AG27">
        <f t="shared" si="39"/>
        <v>0</v>
      </c>
      <c r="AK27">
        <f t="shared" si="40"/>
        <v>0</v>
      </c>
      <c r="AL27">
        <f t="shared" si="41"/>
        <v>0</v>
      </c>
      <c r="AM27">
        <f t="shared" si="42"/>
        <v>0</v>
      </c>
      <c r="AN27">
        <f t="shared" si="43"/>
        <v>0</v>
      </c>
      <c r="AP27">
        <f t="shared" si="46"/>
        <v>0</v>
      </c>
      <c r="AQ27" s="4">
        <f t="shared" si="47"/>
        <v>0</v>
      </c>
      <c r="AR27" s="4">
        <f t="shared" si="44"/>
        <v>0</v>
      </c>
      <c r="AS27" s="4">
        <f t="shared" si="44"/>
        <v>0</v>
      </c>
      <c r="AT27" s="4">
        <f t="shared" si="44"/>
        <v>0</v>
      </c>
      <c r="AU27" s="4">
        <f t="shared" si="44"/>
        <v>0</v>
      </c>
      <c r="AV27" s="4">
        <f t="shared" si="44"/>
        <v>0</v>
      </c>
      <c r="AW27" s="4">
        <f t="shared" si="44"/>
        <v>0</v>
      </c>
      <c r="AX27" s="4">
        <f t="shared" si="44"/>
        <v>0</v>
      </c>
      <c r="AY27" s="4">
        <f t="shared" si="44"/>
        <v>0</v>
      </c>
      <c r="AZ27" s="4">
        <f t="shared" si="44"/>
        <v>0</v>
      </c>
      <c r="BA27" s="4">
        <f t="shared" si="44"/>
        <v>0</v>
      </c>
      <c r="BB27" s="4">
        <f t="shared" si="44"/>
        <v>0</v>
      </c>
      <c r="BC27" s="4">
        <f t="shared" si="44"/>
        <v>0</v>
      </c>
      <c r="BD27" s="4">
        <f t="shared" si="44"/>
        <v>0</v>
      </c>
      <c r="BE27" s="4">
        <f t="shared" si="44"/>
        <v>0</v>
      </c>
      <c r="BF27" s="4">
        <f t="shared" si="44"/>
        <v>0</v>
      </c>
      <c r="BG27" s="4">
        <f t="shared" si="44"/>
        <v>0</v>
      </c>
      <c r="BH27" s="4">
        <f t="shared" si="45"/>
        <v>0</v>
      </c>
      <c r="BI27" s="4">
        <f t="shared" si="45"/>
        <v>0</v>
      </c>
      <c r="BJ27" s="4">
        <f t="shared" si="45"/>
        <v>0</v>
      </c>
      <c r="BK27" s="4">
        <f t="shared" si="45"/>
        <v>0</v>
      </c>
      <c r="BL27" s="4">
        <f t="shared" si="45"/>
        <v>0</v>
      </c>
      <c r="BM27" s="4">
        <f t="shared" si="45"/>
        <v>0</v>
      </c>
      <c r="BN27" s="4">
        <f t="shared" si="45"/>
        <v>0</v>
      </c>
    </row>
    <row r="28" spans="1:66" x14ac:dyDescent="0.2">
      <c r="A28" t="s">
        <v>46</v>
      </c>
      <c r="D28" t="s">
        <v>202</v>
      </c>
      <c r="G28" t="s">
        <v>57</v>
      </c>
      <c r="H28" t="s">
        <v>58</v>
      </c>
      <c r="I28" t="s">
        <v>59</v>
      </c>
      <c r="J28" t="s">
        <v>60</v>
      </c>
      <c r="K28">
        <f>AVERAGE(G39:G50)</f>
        <v>0.16666666666666666</v>
      </c>
      <c r="L28">
        <f>MEDIAN(G39:G50)</f>
        <v>0</v>
      </c>
      <c r="M28">
        <f>MAX(G39:G50)</f>
        <v>1</v>
      </c>
      <c r="N28">
        <f>_xlfn.STDEV.S(G39:G50)</f>
        <v>0.38924947208076149</v>
      </c>
      <c r="P28">
        <f>AVERAGE(N39:N50)</f>
        <v>5.666666666666667</v>
      </c>
      <c r="Q28">
        <f>MEDIAN(N39:N50)</f>
        <v>1</v>
      </c>
      <c r="R28">
        <f>MAX(N39:N50)</f>
        <v>45</v>
      </c>
      <c r="S28">
        <f>_xlfn.STDEV.S(N39:N50)</f>
        <v>12.651506078748335</v>
      </c>
      <c r="Y28" t="s">
        <v>33</v>
      </c>
      <c r="Z28">
        <f>SUM(Z16:Z27)</f>
        <v>6</v>
      </c>
      <c r="AA28">
        <f>SUM(AA16:AA27)</f>
        <v>0</v>
      </c>
      <c r="AE28">
        <f>SUM(AE16:AE27)</f>
        <v>0</v>
      </c>
      <c r="AF28">
        <f>SUM(AF16:AF27)</f>
        <v>6</v>
      </c>
      <c r="AG28">
        <f>SUM(AG16:AG27)</f>
        <v>0</v>
      </c>
      <c r="AK28">
        <f>SUM(AK16:AK27)</f>
        <v>1</v>
      </c>
      <c r="AL28">
        <f>SUM(AL16:AL27)</f>
        <v>0</v>
      </c>
      <c r="AM28">
        <f>SUM(AM16:AM27)</f>
        <v>0</v>
      </c>
      <c r="AN28">
        <f>SUM(AN16:AN27)</f>
        <v>0</v>
      </c>
      <c r="AP28">
        <f>SUM(AP16:AP27)</f>
        <v>1</v>
      </c>
    </row>
    <row r="29" spans="1:66" x14ac:dyDescent="0.2">
      <c r="D29">
        <f>SUM(O39:O50)/F16</f>
        <v>0</v>
      </c>
      <c r="G29">
        <f>AVERAGE(A39:A50)</f>
        <v>0.5</v>
      </c>
      <c r="H29">
        <f>MEDIAN(A39:A50)</f>
        <v>0</v>
      </c>
      <c r="I29">
        <f>MAX(A39:A50)</f>
        <v>2</v>
      </c>
      <c r="J29">
        <f>_xlfn.STDEV.S(A39:A50)</f>
        <v>0.67419986246324204</v>
      </c>
      <c r="K29" t="s">
        <v>63</v>
      </c>
      <c r="P29" t="s">
        <v>148</v>
      </c>
    </row>
    <row r="30" spans="1:66" x14ac:dyDescent="0.2">
      <c r="A30" t="s">
        <v>147</v>
      </c>
      <c r="D30" t="s">
        <v>203</v>
      </c>
      <c r="G30" t="s">
        <v>50</v>
      </c>
      <c r="H30" t="s">
        <v>51</v>
      </c>
      <c r="I30" t="s">
        <v>89</v>
      </c>
      <c r="K30" t="s">
        <v>57</v>
      </c>
      <c r="L30" t="s">
        <v>58</v>
      </c>
      <c r="M30" t="s">
        <v>59</v>
      </c>
      <c r="N30" t="s">
        <v>60</v>
      </c>
      <c r="P30" t="s">
        <v>57</v>
      </c>
      <c r="Q30" t="s">
        <v>58</v>
      </c>
      <c r="R30" t="s">
        <v>59</v>
      </c>
      <c r="S30" t="s">
        <v>60</v>
      </c>
      <c r="W30" t="s">
        <v>148</v>
      </c>
      <c r="Y30" t="s">
        <v>149</v>
      </c>
      <c r="AH30" t="s">
        <v>79</v>
      </c>
    </row>
    <row r="31" spans="1:66" x14ac:dyDescent="0.2">
      <c r="A31">
        <f>COUNT(B4:B15)</f>
        <v>12</v>
      </c>
      <c r="D31" s="2">
        <f>SUM(S39:S50)/SUM(Q39:Q50)</f>
        <v>1</v>
      </c>
      <c r="G31">
        <f>AE28/A31</f>
        <v>0</v>
      </c>
      <c r="H31">
        <f>AF28/A31</f>
        <v>0.5</v>
      </c>
      <c r="I31">
        <f>AG28/A31</f>
        <v>0</v>
      </c>
      <c r="K31" t="e">
        <f>AVERAGE(I39:I50)</f>
        <v>#DIV/0!</v>
      </c>
      <c r="L31" t="e">
        <f>MEDIAN(I39:I50)</f>
        <v>#NUM!</v>
      </c>
      <c r="M31">
        <f>MAX(I39:I50)</f>
        <v>0</v>
      </c>
      <c r="N31" t="e">
        <f>_xlfn.STDEV.S(I39:I50)</f>
        <v>#DIV/0!</v>
      </c>
      <c r="P31">
        <f>AVERAGE(W31:W42)</f>
        <v>3.1428571428571428</v>
      </c>
      <c r="Q31">
        <f>MEDIAN(W31:W42)</f>
        <v>2</v>
      </c>
      <c r="R31">
        <f>MAX(W31:W42)</f>
        <v>9</v>
      </c>
      <c r="S31">
        <f>_xlfn.STDEV.S(W31:W42)</f>
        <v>2.9113897843110044</v>
      </c>
      <c r="W31" t="str">
        <f t="shared" ref="W31:W33" si="48">IF(AND(ISBLANK(Q4), ISBLANK(R4), ISBLANK(G4), ISBLANK(H4)), "", U4)</f>
        <v/>
      </c>
      <c r="Y31" t="str">
        <f t="shared" ref="Y31:Y42" si="49">IF(ISBLANK(Y4), IF(X4 = 0, "", (G4 + H4/3 + V4/9 + W4/3)), U4)</f>
        <v/>
      </c>
      <c r="AH31" t="s">
        <v>80</v>
      </c>
    </row>
    <row r="32" spans="1:66" x14ac:dyDescent="0.2">
      <c r="A32" t="s">
        <v>243</v>
      </c>
      <c r="D32" s="3"/>
      <c r="K32" t="s">
        <v>64</v>
      </c>
      <c r="P32" t="s">
        <v>149</v>
      </c>
      <c r="W32">
        <f t="shared" si="48"/>
        <v>1</v>
      </c>
      <c r="Y32">
        <f t="shared" si="49"/>
        <v>1</v>
      </c>
      <c r="AH32" t="s">
        <v>81</v>
      </c>
    </row>
    <row r="33" spans="1:34" x14ac:dyDescent="0.2">
      <c r="D33" s="3"/>
      <c r="K33" t="s">
        <v>57</v>
      </c>
      <c r="L33" t="s">
        <v>58</v>
      </c>
      <c r="M33" t="s">
        <v>59</v>
      </c>
      <c r="N33" t="s">
        <v>60</v>
      </c>
      <c r="P33" t="s">
        <v>57</v>
      </c>
      <c r="Q33" t="s">
        <v>58</v>
      </c>
      <c r="R33" t="s">
        <v>59</v>
      </c>
      <c r="S33" t="s">
        <v>60</v>
      </c>
      <c r="W33">
        <f t="shared" si="48"/>
        <v>1</v>
      </c>
      <c r="Y33">
        <f t="shared" si="49"/>
        <v>1</v>
      </c>
      <c r="AH33" t="s">
        <v>82</v>
      </c>
    </row>
    <row r="34" spans="1:34" x14ac:dyDescent="0.2">
      <c r="A34" t="s">
        <v>321</v>
      </c>
      <c r="D34" s="3"/>
      <c r="K34">
        <f>AVERAGE(K39:K50)</f>
        <v>0.16666666666666666</v>
      </c>
      <c r="L34">
        <f>MEDIAN(K39:K50)</f>
        <v>0</v>
      </c>
      <c r="M34">
        <f>MAX(K39:K50)</f>
        <v>1</v>
      </c>
      <c r="N34">
        <f>_xlfn.STDEV.S(K39:K50)</f>
        <v>0.38924947208076149</v>
      </c>
      <c r="P34">
        <f>AVERAGE(Y31:Y42)</f>
        <v>3.3333333333333335</v>
      </c>
      <c r="Q34">
        <f>MEDIAN(Y31:Y42)</f>
        <v>2</v>
      </c>
      <c r="R34">
        <f>MAX(Y31:Y42)</f>
        <v>9</v>
      </c>
      <c r="S34">
        <f>_xlfn.STDEV.S(Y31:Y42)</f>
        <v>3.018461712712472</v>
      </c>
      <c r="W34" t="str">
        <f>IF(AND(ISBLANK(Q7), ISBLANK(R7), ISBLANK(G7), ISBLANK(H7)), "", U7)</f>
        <v/>
      </c>
      <c r="Y34" t="str">
        <f t="shared" si="49"/>
        <v/>
      </c>
      <c r="AH34" t="s">
        <v>83</v>
      </c>
    </row>
    <row r="35" spans="1:34" x14ac:dyDescent="0.2">
      <c r="P35" t="s">
        <v>95</v>
      </c>
      <c r="R35" t="s">
        <v>197</v>
      </c>
      <c r="W35">
        <f t="shared" ref="W35:W42" si="50">IF(AND(ISBLANK(Q8), ISBLANK(R8), ISBLANK(G8), ISBLANK(H8)), "", U8)</f>
        <v>4</v>
      </c>
      <c r="Y35">
        <f t="shared" si="49"/>
        <v>4</v>
      </c>
    </row>
    <row r="36" spans="1:34" x14ac:dyDescent="0.2">
      <c r="P36">
        <f>Q16/(Q16+R16)</f>
        <v>0</v>
      </c>
      <c r="R36">
        <f>R16/(Q16+R16)</f>
        <v>1</v>
      </c>
      <c r="W36">
        <f t="shared" si="50"/>
        <v>9</v>
      </c>
      <c r="Y36">
        <f t="shared" si="49"/>
        <v>9</v>
      </c>
    </row>
    <row r="37" spans="1:34" x14ac:dyDescent="0.2">
      <c r="W37" t="str">
        <f t="shared" si="50"/>
        <v/>
      </c>
      <c r="Y37" t="str">
        <f t="shared" si="49"/>
        <v/>
      </c>
    </row>
    <row r="38" spans="1:34" x14ac:dyDescent="0.2">
      <c r="A38" t="s">
        <v>68</v>
      </c>
      <c r="C38" t="s">
        <v>69</v>
      </c>
      <c r="E38" t="s">
        <v>72</v>
      </c>
      <c r="G38" t="s">
        <v>250</v>
      </c>
      <c r="K38" t="s">
        <v>73</v>
      </c>
      <c r="M38" t="s">
        <v>70</v>
      </c>
      <c r="N38" t="s">
        <v>71</v>
      </c>
      <c r="O38" t="s">
        <v>199</v>
      </c>
      <c r="Q38" t="s">
        <v>200</v>
      </c>
      <c r="S38" t="s">
        <v>201</v>
      </c>
      <c r="W38">
        <f t="shared" si="50"/>
        <v>2</v>
      </c>
      <c r="Y38">
        <f t="shared" si="49"/>
        <v>2</v>
      </c>
    </row>
    <row r="39" spans="1:34" x14ac:dyDescent="0.2">
      <c r="A39">
        <f t="shared" ref="A39:A50" si="51">IF(ISBLANK(B4), "", SUM(AE16+AF16+AG16))</f>
        <v>0</v>
      </c>
      <c r="C39">
        <f t="shared" ref="C39:C50" si="52">IF(ISBLANK(B4), "", O4)</f>
        <v>5</v>
      </c>
      <c r="E39">
        <f t="shared" ref="E39:E50" si="53">IF(ISBLANK(B4), "", Q4)</f>
        <v>0</v>
      </c>
      <c r="G39">
        <f t="shared" ref="G39:G50" si="54">IF(ISBLANK(B4), "", R4)</f>
        <v>0</v>
      </c>
      <c r="K39">
        <f t="shared" ref="K39:K50" si="55">IF(ISBLANK(B4), "", SUM(Q4 + R4))</f>
        <v>0</v>
      </c>
      <c r="M39">
        <f t="shared" ref="M39:M50" si="56">IF(ISBLANK(B4), "", SUM(K4+M4) - O4)</f>
        <v>-1</v>
      </c>
      <c r="N39">
        <f t="shared" ref="N39:N50" si="57">IF(ISBLANK(B4), "", U4)</f>
        <v>0</v>
      </c>
      <c r="O39">
        <f t="shared" ref="O39:O50" si="58">COUNTIF(E4, "1")*COUNTIF(F4, "1")</f>
        <v>0</v>
      </c>
      <c r="Q39">
        <f t="shared" ref="Q39:Q50" si="59">COUNTIF(D4, "1")*COUNTIF(F4, "")</f>
        <v>0</v>
      </c>
      <c r="S39">
        <f t="shared" ref="S39:S50" si="60">COUNTIF(E4, "1")*COUNTIF(F4, "")</f>
        <v>0</v>
      </c>
      <c r="W39" t="str">
        <f t="shared" si="50"/>
        <v/>
      </c>
      <c r="Y39" t="str">
        <f t="shared" si="49"/>
        <v/>
      </c>
    </row>
    <row r="40" spans="1:34" x14ac:dyDescent="0.2">
      <c r="A40">
        <f t="shared" si="51"/>
        <v>1</v>
      </c>
      <c r="C40">
        <f t="shared" si="52"/>
        <v>2</v>
      </c>
      <c r="E40">
        <f t="shared" si="53"/>
        <v>0</v>
      </c>
      <c r="G40">
        <f t="shared" si="54"/>
        <v>0</v>
      </c>
      <c r="K40">
        <f t="shared" si="55"/>
        <v>0</v>
      </c>
      <c r="M40">
        <f t="shared" si="56"/>
        <v>1</v>
      </c>
      <c r="N40">
        <f t="shared" si="57"/>
        <v>1</v>
      </c>
      <c r="O40">
        <f t="shared" si="58"/>
        <v>0</v>
      </c>
      <c r="Q40">
        <f t="shared" si="59"/>
        <v>1</v>
      </c>
      <c r="S40">
        <f t="shared" si="60"/>
        <v>1</v>
      </c>
      <c r="W40">
        <f t="shared" si="50"/>
        <v>1</v>
      </c>
      <c r="Y40">
        <f t="shared" si="49"/>
        <v>1</v>
      </c>
    </row>
    <row r="41" spans="1:34" x14ac:dyDescent="0.2">
      <c r="A41">
        <f t="shared" si="51"/>
        <v>0</v>
      </c>
      <c r="C41">
        <f t="shared" si="52"/>
        <v>4</v>
      </c>
      <c r="E41">
        <f t="shared" si="53"/>
        <v>0</v>
      </c>
      <c r="G41">
        <f t="shared" si="54"/>
        <v>0</v>
      </c>
      <c r="K41">
        <f t="shared" si="55"/>
        <v>0</v>
      </c>
      <c r="M41">
        <f t="shared" si="56"/>
        <v>0</v>
      </c>
      <c r="N41">
        <f t="shared" si="57"/>
        <v>1</v>
      </c>
      <c r="O41">
        <f t="shared" si="58"/>
        <v>0</v>
      </c>
      <c r="Q41">
        <f t="shared" si="59"/>
        <v>0</v>
      </c>
      <c r="S41">
        <f t="shared" si="60"/>
        <v>0</v>
      </c>
      <c r="W41" t="str">
        <f t="shared" si="50"/>
        <v/>
      </c>
      <c r="Y41" t="str">
        <f t="shared" si="49"/>
        <v/>
      </c>
    </row>
    <row r="42" spans="1:34" x14ac:dyDescent="0.2">
      <c r="A42">
        <f t="shared" si="51"/>
        <v>1</v>
      </c>
      <c r="C42">
        <f t="shared" si="52"/>
        <v>1</v>
      </c>
      <c r="E42">
        <f t="shared" si="53"/>
        <v>0</v>
      </c>
      <c r="G42">
        <f t="shared" si="54"/>
        <v>0</v>
      </c>
      <c r="K42">
        <f t="shared" si="55"/>
        <v>0</v>
      </c>
      <c r="M42">
        <f t="shared" si="56"/>
        <v>0</v>
      </c>
      <c r="N42">
        <f t="shared" si="57"/>
        <v>0</v>
      </c>
      <c r="O42">
        <f t="shared" si="58"/>
        <v>0</v>
      </c>
      <c r="Q42">
        <f t="shared" si="59"/>
        <v>0</v>
      </c>
      <c r="S42">
        <f t="shared" si="60"/>
        <v>0</v>
      </c>
      <c r="W42">
        <f t="shared" si="50"/>
        <v>4</v>
      </c>
      <c r="Y42">
        <f t="shared" si="49"/>
        <v>5.3333333333333339</v>
      </c>
    </row>
    <row r="43" spans="1:34" x14ac:dyDescent="0.2">
      <c r="A43">
        <f t="shared" si="51"/>
        <v>0</v>
      </c>
      <c r="C43">
        <f t="shared" si="52"/>
        <v>3</v>
      </c>
      <c r="E43">
        <f t="shared" si="53"/>
        <v>0</v>
      </c>
      <c r="G43">
        <f t="shared" si="54"/>
        <v>0</v>
      </c>
      <c r="K43">
        <f t="shared" si="55"/>
        <v>0</v>
      </c>
      <c r="M43">
        <f t="shared" si="56"/>
        <v>0</v>
      </c>
      <c r="N43">
        <f t="shared" si="57"/>
        <v>4</v>
      </c>
      <c r="O43">
        <f t="shared" si="58"/>
        <v>0</v>
      </c>
      <c r="Q43">
        <f t="shared" si="59"/>
        <v>0</v>
      </c>
      <c r="S43">
        <f t="shared" si="60"/>
        <v>0</v>
      </c>
    </row>
    <row r="44" spans="1:34" x14ac:dyDescent="0.2">
      <c r="A44">
        <f t="shared" si="51"/>
        <v>1</v>
      </c>
      <c r="C44">
        <f t="shared" si="52"/>
        <v>3</v>
      </c>
      <c r="E44">
        <f t="shared" si="53"/>
        <v>0</v>
      </c>
      <c r="G44">
        <f t="shared" si="54"/>
        <v>1</v>
      </c>
      <c r="K44">
        <f t="shared" si="55"/>
        <v>1</v>
      </c>
      <c r="M44">
        <f t="shared" si="56"/>
        <v>-1</v>
      </c>
      <c r="N44">
        <f t="shared" si="57"/>
        <v>9</v>
      </c>
      <c r="O44">
        <f t="shared" si="58"/>
        <v>0</v>
      </c>
      <c r="Q44">
        <f t="shared" si="59"/>
        <v>0</v>
      </c>
      <c r="S44">
        <f t="shared" si="60"/>
        <v>0</v>
      </c>
    </row>
    <row r="45" spans="1:34" x14ac:dyDescent="0.2">
      <c r="A45">
        <f t="shared" si="51"/>
        <v>0</v>
      </c>
      <c r="C45">
        <f t="shared" si="52"/>
        <v>4</v>
      </c>
      <c r="E45">
        <f t="shared" si="53"/>
        <v>0</v>
      </c>
      <c r="G45">
        <f t="shared" si="54"/>
        <v>0</v>
      </c>
      <c r="K45">
        <f t="shared" si="55"/>
        <v>0</v>
      </c>
      <c r="M45">
        <f t="shared" si="56"/>
        <v>-1</v>
      </c>
      <c r="N45">
        <f t="shared" si="57"/>
        <v>1</v>
      </c>
      <c r="O45">
        <f t="shared" si="58"/>
        <v>0</v>
      </c>
      <c r="Q45">
        <f t="shared" si="59"/>
        <v>0</v>
      </c>
      <c r="S45">
        <f t="shared" si="60"/>
        <v>0</v>
      </c>
    </row>
    <row r="46" spans="1:34" x14ac:dyDescent="0.2">
      <c r="A46">
        <f t="shared" si="51"/>
        <v>1</v>
      </c>
      <c r="C46">
        <f t="shared" si="52"/>
        <v>2</v>
      </c>
      <c r="E46">
        <f t="shared" si="53"/>
        <v>0</v>
      </c>
      <c r="G46">
        <f t="shared" si="54"/>
        <v>0</v>
      </c>
      <c r="K46">
        <f t="shared" si="55"/>
        <v>0</v>
      </c>
      <c r="M46">
        <f t="shared" si="56"/>
        <v>0</v>
      </c>
      <c r="N46">
        <f t="shared" si="57"/>
        <v>2</v>
      </c>
      <c r="O46">
        <f t="shared" si="58"/>
        <v>0</v>
      </c>
      <c r="Q46">
        <f t="shared" si="59"/>
        <v>0</v>
      </c>
      <c r="S46">
        <f t="shared" si="60"/>
        <v>0</v>
      </c>
    </row>
    <row r="47" spans="1:34" x14ac:dyDescent="0.2">
      <c r="A47">
        <f t="shared" si="51"/>
        <v>0</v>
      </c>
      <c r="C47">
        <f t="shared" si="52"/>
        <v>5</v>
      </c>
      <c r="E47">
        <f t="shared" si="53"/>
        <v>0</v>
      </c>
      <c r="G47">
        <f t="shared" si="54"/>
        <v>0</v>
      </c>
      <c r="K47">
        <f t="shared" si="55"/>
        <v>0</v>
      </c>
      <c r="M47">
        <f t="shared" si="56"/>
        <v>-2</v>
      </c>
      <c r="N47">
        <f t="shared" si="57"/>
        <v>45</v>
      </c>
      <c r="O47">
        <f t="shared" si="58"/>
        <v>0</v>
      </c>
      <c r="Q47">
        <f t="shared" si="59"/>
        <v>0</v>
      </c>
      <c r="S47">
        <f t="shared" si="60"/>
        <v>0</v>
      </c>
    </row>
    <row r="48" spans="1:34" x14ac:dyDescent="0.2">
      <c r="A48">
        <f t="shared" si="51"/>
        <v>2</v>
      </c>
      <c r="C48">
        <f t="shared" si="52"/>
        <v>4</v>
      </c>
      <c r="E48">
        <f t="shared" si="53"/>
        <v>0</v>
      </c>
      <c r="G48">
        <f t="shared" si="54"/>
        <v>0</v>
      </c>
      <c r="K48">
        <f t="shared" si="55"/>
        <v>0</v>
      </c>
      <c r="M48">
        <f t="shared" si="56"/>
        <v>-1</v>
      </c>
      <c r="N48">
        <f t="shared" si="57"/>
        <v>1</v>
      </c>
      <c r="O48">
        <f t="shared" si="58"/>
        <v>0</v>
      </c>
      <c r="Q48">
        <f t="shared" si="59"/>
        <v>0</v>
      </c>
      <c r="S48">
        <f t="shared" si="60"/>
        <v>0</v>
      </c>
    </row>
    <row r="49" spans="1:19" x14ac:dyDescent="0.2">
      <c r="A49">
        <f t="shared" si="51"/>
        <v>0</v>
      </c>
      <c r="C49">
        <f t="shared" si="52"/>
        <v>4</v>
      </c>
      <c r="E49">
        <f t="shared" si="53"/>
        <v>0</v>
      </c>
      <c r="G49">
        <f t="shared" si="54"/>
        <v>0</v>
      </c>
      <c r="K49">
        <f t="shared" si="55"/>
        <v>0</v>
      </c>
      <c r="M49">
        <f t="shared" si="56"/>
        <v>-1</v>
      </c>
      <c r="N49">
        <f t="shared" si="57"/>
        <v>0</v>
      </c>
      <c r="O49">
        <f t="shared" si="58"/>
        <v>0</v>
      </c>
      <c r="Q49">
        <f t="shared" si="59"/>
        <v>0</v>
      </c>
      <c r="S49">
        <f t="shared" si="60"/>
        <v>0</v>
      </c>
    </row>
    <row r="50" spans="1:19" x14ac:dyDescent="0.2">
      <c r="A50">
        <f t="shared" si="51"/>
        <v>0</v>
      </c>
      <c r="C50">
        <f t="shared" si="52"/>
        <v>3</v>
      </c>
      <c r="E50">
        <f t="shared" si="53"/>
        <v>0</v>
      </c>
      <c r="G50">
        <f t="shared" si="54"/>
        <v>1</v>
      </c>
      <c r="K50">
        <f t="shared" si="55"/>
        <v>1</v>
      </c>
      <c r="M50">
        <f t="shared" si="56"/>
        <v>1</v>
      </c>
      <c r="N50">
        <f t="shared" si="57"/>
        <v>4</v>
      </c>
      <c r="O50">
        <f t="shared" si="58"/>
        <v>0</v>
      </c>
      <c r="Q50">
        <f t="shared" si="59"/>
        <v>0</v>
      </c>
      <c r="S50">
        <f t="shared" si="60"/>
        <v>0</v>
      </c>
    </row>
  </sheetData>
  <pageMargins left="0.7" right="0.7" top="0.75" bottom="0.75" header="0.3" footer="0.3"/>
  <legacy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7" enableFormatConditionsCalculation="0"/>
  <dimension ref="A1:BN50"/>
  <sheetViews>
    <sheetView workbookViewId="0">
      <selection activeCell="E16" sqref="E16"/>
    </sheetView>
  </sheetViews>
  <sheetFormatPr baseColWidth="10" defaultRowHeight="15" x14ac:dyDescent="0.2"/>
  <sheetData>
    <row r="1" spans="1:66" x14ac:dyDescent="0.2">
      <c r="A1" s="1" t="s">
        <v>0</v>
      </c>
      <c r="D1" t="s">
        <v>3</v>
      </c>
      <c r="K1" t="s">
        <v>11</v>
      </c>
      <c r="N1" t="s">
        <v>12</v>
      </c>
      <c r="P1" t="s">
        <v>14</v>
      </c>
      <c r="Q1" t="s">
        <v>17</v>
      </c>
      <c r="S1" t="s">
        <v>18</v>
      </c>
      <c r="Z1" t="s">
        <v>29</v>
      </c>
      <c r="AE1" t="s">
        <v>30</v>
      </c>
      <c r="AK1" t="s">
        <v>42</v>
      </c>
    </row>
    <row r="2" spans="1:66" x14ac:dyDescent="0.2">
      <c r="A2" t="s">
        <v>1</v>
      </c>
      <c r="B2" t="s">
        <v>1</v>
      </c>
      <c r="C2" t="s">
        <v>87</v>
      </c>
      <c r="D2" t="s">
        <v>54</v>
      </c>
      <c r="E2" t="s">
        <v>13</v>
      </c>
      <c r="F2" t="s">
        <v>198</v>
      </c>
      <c r="G2" t="s">
        <v>7</v>
      </c>
      <c r="H2" t="s">
        <v>8</v>
      </c>
      <c r="I2" t="s">
        <v>179</v>
      </c>
      <c r="J2" t="s">
        <v>178</v>
      </c>
      <c r="K2" t="s">
        <v>9</v>
      </c>
      <c r="L2" t="s">
        <v>196</v>
      </c>
      <c r="M2" t="s">
        <v>10</v>
      </c>
      <c r="N2" t="s">
        <v>54</v>
      </c>
      <c r="O2" t="s">
        <v>13</v>
      </c>
      <c r="P2" t="s">
        <v>15</v>
      </c>
      <c r="Q2" t="s">
        <v>8</v>
      </c>
      <c r="R2" t="s">
        <v>7</v>
      </c>
      <c r="S2" t="s">
        <v>181</v>
      </c>
      <c r="T2" t="s">
        <v>182</v>
      </c>
      <c r="U2" t="s">
        <v>19</v>
      </c>
      <c r="V2" t="s">
        <v>191</v>
      </c>
      <c r="W2" t="s">
        <v>192</v>
      </c>
      <c r="X2" t="s">
        <v>175</v>
      </c>
      <c r="Y2" t="s">
        <v>173</v>
      </c>
      <c r="Z2" t="str">
        <f t="shared" ref="Z2:Z13" si="0">LEFT(I4, 1)</f>
        <v/>
      </c>
      <c r="AA2" t="str">
        <f t="shared" ref="AA2:AA13" si="1">MID(I4, 4, 1)</f>
        <v/>
      </c>
      <c r="AB2" t="str">
        <f t="shared" ref="AB2:AB13" si="2">MID(I4, 7, 1)</f>
        <v/>
      </c>
      <c r="AC2" t="str">
        <f t="shared" ref="AC2:AC13" si="3">MID(I4, 10, 1)</f>
        <v/>
      </c>
      <c r="AE2" t="str">
        <f t="shared" ref="AE2:AE13" si="4">LEFT(J4, 1)</f>
        <v/>
      </c>
      <c r="AF2" t="str">
        <f t="shared" ref="AF2:AF13" si="5">MID(J4, 4, 1)</f>
        <v/>
      </c>
      <c r="AG2" t="str">
        <f t="shared" ref="AG2:AG13" si="6">MID(J4, 7, 1)</f>
        <v/>
      </c>
      <c r="AH2" t="str">
        <f t="shared" ref="AH2:AH13" si="7">MID(J4, 10, 1)</f>
        <v/>
      </c>
      <c r="AI2" t="str">
        <f t="shared" ref="AI2:AI13" si="8">MID(J4, 13, 1)</f>
        <v/>
      </c>
      <c r="AK2" t="str">
        <f t="shared" ref="AK2:AK13" si="9">LEFT(P4, 2)</f>
        <v/>
      </c>
      <c r="AL2" t="str">
        <f>MID($P4, 5, 2)</f>
        <v/>
      </c>
      <c r="AM2" t="str">
        <f t="shared" ref="AM2:AM13" si="10">MID($P4, 9, 2)</f>
        <v/>
      </c>
      <c r="AN2" t="str">
        <f t="shared" ref="AN2:AN13" si="11">MID($P4, 13, 2)</f>
        <v/>
      </c>
      <c r="AO2" t="str">
        <f t="shared" ref="AO2:AO13" si="12">MID($P4, 17, 2)</f>
        <v/>
      </c>
      <c r="AP2" t="str">
        <f t="shared" ref="AP2:AP13" si="13">MID($P4, 21, 2)</f>
        <v/>
      </c>
      <c r="AQ2" t="str">
        <f t="shared" ref="AQ2:AQ13" si="14">MID($P4, 25, 2)</f>
        <v/>
      </c>
      <c r="AR2" t="str">
        <f t="shared" ref="AR2:AR13" si="15">MID($P4, 29, 2)</f>
        <v/>
      </c>
      <c r="AS2" t="str">
        <f t="shared" ref="AS2:AS13" si="16">MID($P4, 33, 2)</f>
        <v/>
      </c>
      <c r="AT2" t="str">
        <f t="shared" ref="AT2:AT13" si="17">MID($P4, 37, 2)</f>
        <v/>
      </c>
      <c r="AU2" t="str">
        <f t="shared" ref="AU2:AU13" si="18">MID($P4, 41, 2)</f>
        <v/>
      </c>
      <c r="AV2" t="str">
        <f t="shared" ref="AV2:AV13" si="19">MID($P4, 45, 2)</f>
        <v/>
      </c>
      <c r="AW2" t="str">
        <f t="shared" ref="AW2:AW13" si="20">MID($P4, 49, 2)</f>
        <v/>
      </c>
      <c r="AX2" t="str">
        <f t="shared" ref="AX2:AX13" si="21">MID($P4, 53, 2)</f>
        <v/>
      </c>
      <c r="AY2" t="str">
        <f t="shared" ref="AY2:AY13" si="22">MID($P4, 57, 2)</f>
        <v/>
      </c>
      <c r="AZ2" t="str">
        <f t="shared" ref="AZ2:AZ13" si="23">MID($P4, 61, 2)</f>
        <v/>
      </c>
      <c r="BA2" t="str">
        <f t="shared" ref="BA2:BA13" si="24">MID($P4, 65, 2)</f>
        <v/>
      </c>
      <c r="BB2" t="str">
        <f t="shared" ref="BB2:BB13" si="25">MID($P4, 69, 2)</f>
        <v/>
      </c>
      <c r="BC2" t="str">
        <f t="shared" ref="BC2:BC13" si="26">MID($P4, 73, 2)</f>
        <v/>
      </c>
      <c r="BD2" t="str">
        <f t="shared" ref="BD2:BD13" si="27">MID($P4, 77, 2)</f>
        <v/>
      </c>
      <c r="BE2" t="str">
        <f t="shared" ref="BE2:BE13" si="28">MID($P4, 81, 2)</f>
        <v/>
      </c>
      <c r="BF2" t="str">
        <f t="shared" ref="BF2:BF13" si="29">MID($P4, 85, 2)</f>
        <v/>
      </c>
      <c r="BG2" t="str">
        <f t="shared" ref="BG2:BG13" si="30">MID($P4, 89, 2)</f>
        <v/>
      </c>
      <c r="BH2" t="str">
        <f t="shared" ref="BH2:BH13" si="31">MID($P4, 93, 2)</f>
        <v/>
      </c>
    </row>
    <row r="3" spans="1:66" x14ac:dyDescent="0.2">
      <c r="A3" t="s">
        <v>2</v>
      </c>
      <c r="B3" t="s">
        <v>6</v>
      </c>
      <c r="C3" t="s">
        <v>88</v>
      </c>
      <c r="D3" t="s">
        <v>6</v>
      </c>
      <c r="E3" t="s">
        <v>6</v>
      </c>
      <c r="F3" t="s">
        <v>4</v>
      </c>
      <c r="G3" t="s">
        <v>6</v>
      </c>
      <c r="H3" t="s">
        <v>6</v>
      </c>
      <c r="I3" t="s">
        <v>86</v>
      </c>
      <c r="J3" t="s">
        <v>86</v>
      </c>
      <c r="K3" t="s">
        <v>6</v>
      </c>
      <c r="L3" t="s">
        <v>6</v>
      </c>
      <c r="M3" t="s">
        <v>6</v>
      </c>
      <c r="N3" t="s">
        <v>6</v>
      </c>
      <c r="O3" t="s">
        <v>6</v>
      </c>
      <c r="P3" t="s">
        <v>16</v>
      </c>
      <c r="Q3" t="s">
        <v>6</v>
      </c>
      <c r="R3" t="s">
        <v>6</v>
      </c>
      <c r="S3" t="s">
        <v>4</v>
      </c>
      <c r="T3" t="s">
        <v>4</v>
      </c>
      <c r="U3" t="s">
        <v>6</v>
      </c>
      <c r="V3" t="s">
        <v>6</v>
      </c>
      <c r="W3" t="s">
        <v>6</v>
      </c>
      <c r="X3" t="s">
        <v>6</v>
      </c>
      <c r="Y3" t="s">
        <v>174</v>
      </c>
      <c r="Z3" t="str">
        <f t="shared" si="0"/>
        <v/>
      </c>
      <c r="AA3" t="str">
        <f t="shared" si="1"/>
        <v/>
      </c>
      <c r="AB3" t="str">
        <f t="shared" si="2"/>
        <v/>
      </c>
      <c r="AC3" t="str">
        <f t="shared" si="3"/>
        <v/>
      </c>
      <c r="AE3" t="str">
        <f t="shared" si="4"/>
        <v/>
      </c>
      <c r="AF3" t="str">
        <f t="shared" si="5"/>
        <v/>
      </c>
      <c r="AG3" t="str">
        <f t="shared" si="6"/>
        <v/>
      </c>
      <c r="AH3" t="str">
        <f t="shared" si="7"/>
        <v/>
      </c>
      <c r="AI3" t="str">
        <f t="shared" si="8"/>
        <v/>
      </c>
      <c r="AK3" t="str">
        <f t="shared" si="9"/>
        <v/>
      </c>
      <c r="AL3" t="str">
        <f t="shared" ref="AL3:AL13" si="32">MID(P5, 5, 2)</f>
        <v/>
      </c>
      <c r="AM3" t="str">
        <f t="shared" si="10"/>
        <v/>
      </c>
      <c r="AN3" t="str">
        <f t="shared" si="11"/>
        <v/>
      </c>
      <c r="AO3" t="str">
        <f t="shared" si="12"/>
        <v/>
      </c>
      <c r="AP3" t="str">
        <f t="shared" si="13"/>
        <v/>
      </c>
      <c r="AQ3" t="str">
        <f t="shared" si="14"/>
        <v/>
      </c>
      <c r="AR3" t="str">
        <f t="shared" si="15"/>
        <v/>
      </c>
      <c r="AS3" t="str">
        <f t="shared" si="16"/>
        <v/>
      </c>
      <c r="AT3" t="str">
        <f t="shared" si="17"/>
        <v/>
      </c>
      <c r="AU3" t="str">
        <f t="shared" si="18"/>
        <v/>
      </c>
      <c r="AV3" t="str">
        <f t="shared" si="19"/>
        <v/>
      </c>
      <c r="AW3" t="str">
        <f t="shared" si="20"/>
        <v/>
      </c>
      <c r="AX3" t="str">
        <f t="shared" si="21"/>
        <v/>
      </c>
      <c r="AY3" t="str">
        <f t="shared" si="22"/>
        <v/>
      </c>
      <c r="AZ3" t="str">
        <f t="shared" si="23"/>
        <v/>
      </c>
      <c r="BA3" t="str">
        <f t="shared" si="24"/>
        <v/>
      </c>
      <c r="BB3" t="str">
        <f t="shared" si="25"/>
        <v/>
      </c>
      <c r="BC3" t="str">
        <f t="shared" si="26"/>
        <v/>
      </c>
      <c r="BD3" t="str">
        <f t="shared" si="27"/>
        <v/>
      </c>
      <c r="BE3" t="str">
        <f t="shared" si="28"/>
        <v/>
      </c>
      <c r="BF3" t="str">
        <f t="shared" si="29"/>
        <v/>
      </c>
      <c r="BG3" t="str">
        <f t="shared" si="30"/>
        <v/>
      </c>
      <c r="BH3" t="str">
        <f t="shared" si="31"/>
        <v/>
      </c>
    </row>
    <row r="4" spans="1:66" x14ac:dyDescent="0.2">
      <c r="A4">
        <v>1</v>
      </c>
      <c r="B4">
        <v>1</v>
      </c>
      <c r="C4" t="s">
        <v>39</v>
      </c>
      <c r="D4">
        <v>1</v>
      </c>
      <c r="E4">
        <v>1</v>
      </c>
      <c r="F4">
        <v>1</v>
      </c>
      <c r="K4">
        <v>4</v>
      </c>
      <c r="N4">
        <v>3</v>
      </c>
      <c r="O4">
        <v>3</v>
      </c>
      <c r="S4">
        <v>1</v>
      </c>
      <c r="T4">
        <v>1</v>
      </c>
      <c r="X4">
        <f t="shared" ref="X4:X15" si="33">G4+H4+Q4+R4</f>
        <v>0</v>
      </c>
      <c r="Z4" t="str">
        <f t="shared" si="0"/>
        <v/>
      </c>
      <c r="AA4" t="str">
        <f t="shared" si="1"/>
        <v/>
      </c>
      <c r="AB4" t="str">
        <f t="shared" si="2"/>
        <v/>
      </c>
      <c r="AC4" t="str">
        <f t="shared" si="3"/>
        <v/>
      </c>
      <c r="AE4" t="str">
        <f t="shared" si="4"/>
        <v/>
      </c>
      <c r="AF4" t="str">
        <f t="shared" si="5"/>
        <v/>
      </c>
      <c r="AG4" t="str">
        <f t="shared" si="6"/>
        <v/>
      </c>
      <c r="AH4" t="str">
        <f t="shared" si="7"/>
        <v/>
      </c>
      <c r="AI4" t="str">
        <f t="shared" si="8"/>
        <v/>
      </c>
      <c r="AK4" t="str">
        <f t="shared" si="9"/>
        <v/>
      </c>
      <c r="AL4" t="str">
        <f t="shared" si="32"/>
        <v/>
      </c>
      <c r="AM4" t="str">
        <f t="shared" si="10"/>
        <v/>
      </c>
      <c r="AN4" t="str">
        <f t="shared" si="11"/>
        <v/>
      </c>
      <c r="AO4" t="str">
        <f t="shared" si="12"/>
        <v/>
      </c>
      <c r="AP4" t="str">
        <f t="shared" si="13"/>
        <v/>
      </c>
      <c r="AQ4" t="str">
        <f t="shared" si="14"/>
        <v/>
      </c>
      <c r="AR4" t="str">
        <f t="shared" si="15"/>
        <v/>
      </c>
      <c r="AS4" t="str">
        <f t="shared" si="16"/>
        <v/>
      </c>
      <c r="AT4" t="str">
        <f t="shared" si="17"/>
        <v/>
      </c>
      <c r="AU4" t="str">
        <f t="shared" si="18"/>
        <v/>
      </c>
      <c r="AV4" t="str">
        <f t="shared" si="19"/>
        <v/>
      </c>
      <c r="AW4" t="str">
        <f t="shared" si="20"/>
        <v/>
      </c>
      <c r="AX4" t="str">
        <f t="shared" si="21"/>
        <v/>
      </c>
      <c r="AY4" t="str">
        <f t="shared" si="22"/>
        <v/>
      </c>
      <c r="AZ4" t="str">
        <f t="shared" si="23"/>
        <v/>
      </c>
      <c r="BA4" t="str">
        <f t="shared" si="24"/>
        <v/>
      </c>
      <c r="BB4" t="str">
        <f t="shared" si="25"/>
        <v/>
      </c>
      <c r="BC4" t="str">
        <f t="shared" si="26"/>
        <v/>
      </c>
      <c r="BD4" t="str">
        <f t="shared" si="27"/>
        <v/>
      </c>
      <c r="BE4" t="str">
        <f t="shared" si="28"/>
        <v/>
      </c>
      <c r="BF4" t="str">
        <f t="shared" si="29"/>
        <v/>
      </c>
      <c r="BG4" t="str">
        <f t="shared" si="30"/>
        <v/>
      </c>
      <c r="BH4" t="str">
        <f t="shared" si="31"/>
        <v/>
      </c>
    </row>
    <row r="5" spans="1:66" x14ac:dyDescent="0.2">
      <c r="A5">
        <v>2</v>
      </c>
      <c r="B5">
        <v>17</v>
      </c>
      <c r="C5" t="s">
        <v>207</v>
      </c>
      <c r="D5">
        <v>1</v>
      </c>
      <c r="E5">
        <v>1</v>
      </c>
      <c r="K5">
        <v>3</v>
      </c>
      <c r="L5">
        <v>1</v>
      </c>
      <c r="N5">
        <v>3</v>
      </c>
      <c r="O5">
        <v>3</v>
      </c>
      <c r="S5">
        <v>1</v>
      </c>
      <c r="T5">
        <v>1</v>
      </c>
      <c r="W5">
        <v>4</v>
      </c>
      <c r="X5">
        <f t="shared" si="33"/>
        <v>0</v>
      </c>
      <c r="Z5" t="str">
        <f t="shared" si="0"/>
        <v/>
      </c>
      <c r="AA5" t="str">
        <f t="shared" si="1"/>
        <v/>
      </c>
      <c r="AB5" t="str">
        <f t="shared" si="2"/>
        <v/>
      </c>
      <c r="AC5" t="str">
        <f t="shared" si="3"/>
        <v/>
      </c>
      <c r="AE5" t="str">
        <f t="shared" si="4"/>
        <v/>
      </c>
      <c r="AF5" t="str">
        <f t="shared" si="5"/>
        <v/>
      </c>
      <c r="AG5" t="str">
        <f t="shared" si="6"/>
        <v/>
      </c>
      <c r="AH5" t="str">
        <f t="shared" si="7"/>
        <v/>
      </c>
      <c r="AI5" t="str">
        <f t="shared" si="8"/>
        <v/>
      </c>
      <c r="AK5" t="str">
        <f t="shared" si="9"/>
        <v/>
      </c>
      <c r="AL5" t="str">
        <f t="shared" si="32"/>
        <v/>
      </c>
      <c r="AM5" t="str">
        <f t="shared" si="10"/>
        <v/>
      </c>
      <c r="AN5" t="str">
        <f t="shared" si="11"/>
        <v/>
      </c>
      <c r="AO5" t="str">
        <f t="shared" si="12"/>
        <v/>
      </c>
      <c r="AP5" t="str">
        <f t="shared" si="13"/>
        <v/>
      </c>
      <c r="AQ5" t="str">
        <f t="shared" si="14"/>
        <v/>
      </c>
      <c r="AR5" t="str">
        <f t="shared" si="15"/>
        <v/>
      </c>
      <c r="AS5" t="str">
        <f t="shared" si="16"/>
        <v/>
      </c>
      <c r="AT5" t="str">
        <f t="shared" si="17"/>
        <v/>
      </c>
      <c r="AU5" t="str">
        <f t="shared" si="18"/>
        <v/>
      </c>
      <c r="AV5" t="str">
        <f t="shared" si="19"/>
        <v/>
      </c>
      <c r="AW5" t="str">
        <f t="shared" si="20"/>
        <v/>
      </c>
      <c r="AX5" t="str">
        <f t="shared" si="21"/>
        <v/>
      </c>
      <c r="AY5" t="str">
        <f t="shared" si="22"/>
        <v/>
      </c>
      <c r="AZ5" t="str">
        <f t="shared" si="23"/>
        <v/>
      </c>
      <c r="BA5" t="str">
        <f t="shared" si="24"/>
        <v/>
      </c>
      <c r="BB5" t="str">
        <f t="shared" si="25"/>
        <v/>
      </c>
      <c r="BC5" t="str">
        <f t="shared" si="26"/>
        <v/>
      </c>
      <c r="BD5" t="str">
        <f t="shared" si="27"/>
        <v/>
      </c>
      <c r="BE5" t="str">
        <f t="shared" si="28"/>
        <v/>
      </c>
      <c r="BF5" t="str">
        <f t="shared" si="29"/>
        <v/>
      </c>
      <c r="BG5" t="str">
        <f t="shared" si="30"/>
        <v/>
      </c>
      <c r="BH5" t="str">
        <f t="shared" si="31"/>
        <v/>
      </c>
    </row>
    <row r="6" spans="1:66" x14ac:dyDescent="0.2">
      <c r="A6">
        <v>3</v>
      </c>
      <c r="B6">
        <v>24</v>
      </c>
      <c r="C6" t="s">
        <v>207</v>
      </c>
      <c r="D6">
        <v>1</v>
      </c>
      <c r="E6">
        <v>1</v>
      </c>
      <c r="K6">
        <v>3</v>
      </c>
      <c r="N6">
        <v>3</v>
      </c>
      <c r="O6">
        <v>3</v>
      </c>
      <c r="S6">
        <v>1</v>
      </c>
      <c r="T6">
        <v>1</v>
      </c>
      <c r="X6">
        <f t="shared" si="33"/>
        <v>0</v>
      </c>
      <c r="Z6" t="str">
        <f t="shared" si="0"/>
        <v/>
      </c>
      <c r="AA6" t="str">
        <f t="shared" si="1"/>
        <v/>
      </c>
      <c r="AB6" t="str">
        <f t="shared" si="2"/>
        <v/>
      </c>
      <c r="AC6" t="str">
        <f t="shared" si="3"/>
        <v/>
      </c>
      <c r="AE6" t="str">
        <f t="shared" si="4"/>
        <v/>
      </c>
      <c r="AF6" t="str">
        <f t="shared" si="5"/>
        <v/>
      </c>
      <c r="AG6" t="str">
        <f t="shared" si="6"/>
        <v/>
      </c>
      <c r="AH6" t="str">
        <f t="shared" si="7"/>
        <v/>
      </c>
      <c r="AI6" t="str">
        <f t="shared" si="8"/>
        <v/>
      </c>
      <c r="AK6" t="str">
        <f t="shared" si="9"/>
        <v/>
      </c>
      <c r="AL6" t="str">
        <f t="shared" si="32"/>
        <v/>
      </c>
      <c r="AM6" t="str">
        <f t="shared" si="10"/>
        <v/>
      </c>
      <c r="AN6" t="str">
        <f t="shared" si="11"/>
        <v/>
      </c>
      <c r="AO6" t="str">
        <f t="shared" si="12"/>
        <v/>
      </c>
      <c r="AP6" t="str">
        <f t="shared" si="13"/>
        <v/>
      </c>
      <c r="AQ6" t="str">
        <f t="shared" si="14"/>
        <v/>
      </c>
      <c r="AR6" t="str">
        <f t="shared" si="15"/>
        <v/>
      </c>
      <c r="AS6" t="str">
        <f t="shared" si="16"/>
        <v/>
      </c>
      <c r="AT6" t="str">
        <f t="shared" si="17"/>
        <v/>
      </c>
      <c r="AU6" t="str">
        <f t="shared" si="18"/>
        <v/>
      </c>
      <c r="AV6" t="str">
        <f t="shared" si="19"/>
        <v/>
      </c>
      <c r="AW6" t="str">
        <f t="shared" si="20"/>
        <v/>
      </c>
      <c r="AX6" t="str">
        <f t="shared" si="21"/>
        <v/>
      </c>
      <c r="AY6" t="str">
        <f t="shared" si="22"/>
        <v/>
      </c>
      <c r="AZ6" t="str">
        <f t="shared" si="23"/>
        <v/>
      </c>
      <c r="BA6" t="str">
        <f t="shared" si="24"/>
        <v/>
      </c>
      <c r="BB6" t="str">
        <f t="shared" si="25"/>
        <v/>
      </c>
      <c r="BC6" t="str">
        <f t="shared" si="26"/>
        <v/>
      </c>
      <c r="BD6" t="str">
        <f t="shared" si="27"/>
        <v/>
      </c>
      <c r="BE6" t="str">
        <f t="shared" si="28"/>
        <v/>
      </c>
      <c r="BF6" t="str">
        <f t="shared" si="29"/>
        <v/>
      </c>
      <c r="BG6" t="str">
        <f t="shared" si="30"/>
        <v/>
      </c>
      <c r="BH6" t="str">
        <f t="shared" si="31"/>
        <v/>
      </c>
    </row>
    <row r="7" spans="1:66" x14ac:dyDescent="0.2">
      <c r="A7">
        <v>4</v>
      </c>
      <c r="B7">
        <v>38</v>
      </c>
      <c r="C7" t="s">
        <v>207</v>
      </c>
      <c r="D7">
        <v>1</v>
      </c>
      <c r="E7">
        <v>1</v>
      </c>
      <c r="F7">
        <v>1</v>
      </c>
      <c r="K7">
        <v>4</v>
      </c>
      <c r="N7">
        <v>4</v>
      </c>
      <c r="O7">
        <v>4</v>
      </c>
      <c r="S7">
        <v>1</v>
      </c>
      <c r="T7">
        <v>1</v>
      </c>
      <c r="U7">
        <v>8</v>
      </c>
      <c r="X7">
        <f t="shared" si="33"/>
        <v>0</v>
      </c>
      <c r="Z7" t="str">
        <f t="shared" si="0"/>
        <v/>
      </c>
      <c r="AA7" t="str">
        <f t="shared" si="1"/>
        <v/>
      </c>
      <c r="AB7" t="str">
        <f t="shared" si="2"/>
        <v/>
      </c>
      <c r="AC7" t="str">
        <f t="shared" si="3"/>
        <v/>
      </c>
      <c r="AE7" t="str">
        <f t="shared" si="4"/>
        <v/>
      </c>
      <c r="AF7" t="str">
        <f t="shared" si="5"/>
        <v/>
      </c>
      <c r="AG7" t="str">
        <f t="shared" si="6"/>
        <v/>
      </c>
      <c r="AH7" t="str">
        <f t="shared" si="7"/>
        <v/>
      </c>
      <c r="AI7" t="str">
        <f t="shared" si="8"/>
        <v/>
      </c>
      <c r="AK7" t="str">
        <f t="shared" si="9"/>
        <v/>
      </c>
      <c r="AL7" t="str">
        <f t="shared" si="32"/>
        <v/>
      </c>
      <c r="AM7" t="str">
        <f t="shared" si="10"/>
        <v/>
      </c>
      <c r="AN7" t="str">
        <f t="shared" si="11"/>
        <v/>
      </c>
      <c r="AO7" t="str">
        <f t="shared" si="12"/>
        <v/>
      </c>
      <c r="AP7" t="str">
        <f t="shared" si="13"/>
        <v/>
      </c>
      <c r="AQ7" t="str">
        <f t="shared" si="14"/>
        <v/>
      </c>
      <c r="AR7" t="str">
        <f t="shared" si="15"/>
        <v/>
      </c>
      <c r="AS7" t="str">
        <f t="shared" si="16"/>
        <v/>
      </c>
      <c r="AT7" t="str">
        <f t="shared" si="17"/>
        <v/>
      </c>
      <c r="AU7" t="str">
        <f t="shared" si="18"/>
        <v/>
      </c>
      <c r="AV7" t="str">
        <f t="shared" si="19"/>
        <v/>
      </c>
      <c r="AW7" t="str">
        <f t="shared" si="20"/>
        <v/>
      </c>
      <c r="AX7" t="str">
        <f t="shared" si="21"/>
        <v/>
      </c>
      <c r="AY7" t="str">
        <f t="shared" si="22"/>
        <v/>
      </c>
      <c r="AZ7" t="str">
        <f t="shared" si="23"/>
        <v/>
      </c>
      <c r="BA7" t="str">
        <f t="shared" si="24"/>
        <v/>
      </c>
      <c r="BB7" t="str">
        <f t="shared" si="25"/>
        <v/>
      </c>
      <c r="BC7" t="str">
        <f t="shared" si="26"/>
        <v/>
      </c>
      <c r="BD7" t="str">
        <f t="shared" si="27"/>
        <v/>
      </c>
      <c r="BE7" t="str">
        <f t="shared" si="28"/>
        <v/>
      </c>
      <c r="BF7" t="str">
        <f t="shared" si="29"/>
        <v/>
      </c>
      <c r="BG7" t="str">
        <f t="shared" si="30"/>
        <v/>
      </c>
      <c r="BH7" t="str">
        <f t="shared" si="31"/>
        <v/>
      </c>
    </row>
    <row r="8" spans="1:66" x14ac:dyDescent="0.2">
      <c r="A8">
        <v>5</v>
      </c>
      <c r="B8">
        <v>50</v>
      </c>
      <c r="C8" t="s">
        <v>207</v>
      </c>
      <c r="D8">
        <v>1</v>
      </c>
      <c r="E8">
        <v>1</v>
      </c>
      <c r="F8">
        <v>1</v>
      </c>
      <c r="K8">
        <v>3</v>
      </c>
      <c r="N8">
        <v>3</v>
      </c>
      <c r="O8">
        <v>3</v>
      </c>
      <c r="R8">
        <v>1</v>
      </c>
      <c r="S8">
        <v>1</v>
      </c>
      <c r="T8">
        <v>1</v>
      </c>
      <c r="W8">
        <v>5</v>
      </c>
      <c r="X8">
        <f t="shared" si="33"/>
        <v>1</v>
      </c>
      <c r="Y8" t="s">
        <v>174</v>
      </c>
      <c r="Z8" t="str">
        <f t="shared" si="0"/>
        <v/>
      </c>
      <c r="AA8" t="str">
        <f t="shared" si="1"/>
        <v/>
      </c>
      <c r="AB8" t="str">
        <f t="shared" si="2"/>
        <v/>
      </c>
      <c r="AC8" t="str">
        <f t="shared" si="3"/>
        <v/>
      </c>
      <c r="AE8" t="str">
        <f t="shared" si="4"/>
        <v>4</v>
      </c>
      <c r="AF8" t="str">
        <f t="shared" si="5"/>
        <v/>
      </c>
      <c r="AG8" t="str">
        <f t="shared" si="6"/>
        <v/>
      </c>
      <c r="AH8" t="str">
        <f t="shared" si="7"/>
        <v/>
      </c>
      <c r="AI8" t="str">
        <f t="shared" si="8"/>
        <v/>
      </c>
      <c r="AK8" t="str">
        <f t="shared" si="9"/>
        <v/>
      </c>
      <c r="AL8" t="str">
        <f t="shared" si="32"/>
        <v/>
      </c>
      <c r="AM8" t="str">
        <f t="shared" si="10"/>
        <v/>
      </c>
      <c r="AN8" t="str">
        <f t="shared" si="11"/>
        <v/>
      </c>
      <c r="AO8" t="str">
        <f t="shared" si="12"/>
        <v/>
      </c>
      <c r="AP8" t="str">
        <f t="shared" si="13"/>
        <v/>
      </c>
      <c r="AQ8" t="str">
        <f t="shared" si="14"/>
        <v/>
      </c>
      <c r="AR8" t="str">
        <f t="shared" si="15"/>
        <v/>
      </c>
      <c r="AS8" t="str">
        <f t="shared" si="16"/>
        <v/>
      </c>
      <c r="AT8" t="str">
        <f t="shared" si="17"/>
        <v/>
      </c>
      <c r="AU8" t="str">
        <f t="shared" si="18"/>
        <v/>
      </c>
      <c r="AV8" t="str">
        <f t="shared" si="19"/>
        <v/>
      </c>
      <c r="AW8" t="str">
        <f t="shared" si="20"/>
        <v/>
      </c>
      <c r="AX8" t="str">
        <f t="shared" si="21"/>
        <v/>
      </c>
      <c r="AY8" t="str">
        <f t="shared" si="22"/>
        <v/>
      </c>
      <c r="AZ8" t="str">
        <f t="shared" si="23"/>
        <v/>
      </c>
      <c r="BA8" t="str">
        <f t="shared" si="24"/>
        <v/>
      </c>
      <c r="BB8" t="str">
        <f t="shared" si="25"/>
        <v/>
      </c>
      <c r="BC8" t="str">
        <f t="shared" si="26"/>
        <v/>
      </c>
      <c r="BD8" t="str">
        <f t="shared" si="27"/>
        <v/>
      </c>
      <c r="BE8" t="str">
        <f t="shared" si="28"/>
        <v/>
      </c>
      <c r="BF8" t="str">
        <f t="shared" si="29"/>
        <v/>
      </c>
      <c r="BG8" t="str">
        <f t="shared" si="30"/>
        <v/>
      </c>
      <c r="BH8" t="str">
        <f t="shared" si="31"/>
        <v/>
      </c>
    </row>
    <row r="9" spans="1:66" x14ac:dyDescent="0.2">
      <c r="A9">
        <v>6</v>
      </c>
      <c r="B9">
        <v>56</v>
      </c>
      <c r="C9" t="s">
        <v>207</v>
      </c>
      <c r="D9">
        <v>1</v>
      </c>
      <c r="E9">
        <v>1</v>
      </c>
      <c r="F9">
        <v>1</v>
      </c>
      <c r="K9">
        <v>5</v>
      </c>
      <c r="N9">
        <v>5</v>
      </c>
      <c r="O9">
        <v>5</v>
      </c>
      <c r="S9">
        <v>1</v>
      </c>
      <c r="T9">
        <v>1</v>
      </c>
      <c r="X9">
        <f t="shared" si="33"/>
        <v>0</v>
      </c>
      <c r="Z9" t="str">
        <f t="shared" si="0"/>
        <v/>
      </c>
      <c r="AA9" t="str">
        <f t="shared" si="1"/>
        <v/>
      </c>
      <c r="AB9" t="str">
        <f t="shared" si="2"/>
        <v/>
      </c>
      <c r="AC9" t="str">
        <f t="shared" si="3"/>
        <v/>
      </c>
      <c r="AE9" t="str">
        <f t="shared" si="4"/>
        <v/>
      </c>
      <c r="AF9" t="str">
        <f t="shared" si="5"/>
        <v/>
      </c>
      <c r="AG9" t="str">
        <f t="shared" si="6"/>
        <v/>
      </c>
      <c r="AH9" t="str">
        <f t="shared" si="7"/>
        <v/>
      </c>
      <c r="AI9" t="str">
        <f t="shared" si="8"/>
        <v/>
      </c>
      <c r="AK9" t="str">
        <f t="shared" si="9"/>
        <v/>
      </c>
      <c r="AL9" t="str">
        <f t="shared" si="32"/>
        <v/>
      </c>
      <c r="AM9" t="str">
        <f t="shared" si="10"/>
        <v/>
      </c>
      <c r="AN9" t="str">
        <f t="shared" si="11"/>
        <v/>
      </c>
      <c r="AO9" t="str">
        <f t="shared" si="12"/>
        <v/>
      </c>
      <c r="AP9" t="str">
        <f t="shared" si="13"/>
        <v/>
      </c>
      <c r="AQ9" t="str">
        <f t="shared" si="14"/>
        <v/>
      </c>
      <c r="AR9" t="str">
        <f t="shared" si="15"/>
        <v/>
      </c>
      <c r="AS9" t="str">
        <f t="shared" si="16"/>
        <v/>
      </c>
      <c r="AT9" t="str">
        <f t="shared" si="17"/>
        <v/>
      </c>
      <c r="AU9" t="str">
        <f t="shared" si="18"/>
        <v/>
      </c>
      <c r="AV9" t="str">
        <f t="shared" si="19"/>
        <v/>
      </c>
      <c r="AW9" t="str">
        <f t="shared" si="20"/>
        <v/>
      </c>
      <c r="AX9" t="str">
        <f t="shared" si="21"/>
        <v/>
      </c>
      <c r="AY9" t="str">
        <f t="shared" si="22"/>
        <v/>
      </c>
      <c r="AZ9" t="str">
        <f t="shared" si="23"/>
        <v/>
      </c>
      <c r="BA9" t="str">
        <f t="shared" si="24"/>
        <v/>
      </c>
      <c r="BB9" t="str">
        <f t="shared" si="25"/>
        <v/>
      </c>
      <c r="BC9" t="str">
        <f t="shared" si="26"/>
        <v/>
      </c>
      <c r="BD9" t="str">
        <f t="shared" si="27"/>
        <v/>
      </c>
      <c r="BE9" t="str">
        <f t="shared" si="28"/>
        <v/>
      </c>
      <c r="BF9" t="str">
        <f t="shared" si="29"/>
        <v/>
      </c>
      <c r="BG9" t="str">
        <f t="shared" si="30"/>
        <v/>
      </c>
      <c r="BH9" t="str">
        <f t="shared" si="31"/>
        <v/>
      </c>
    </row>
    <row r="10" spans="1:66" x14ac:dyDescent="0.2">
      <c r="A10">
        <v>7</v>
      </c>
      <c r="B10">
        <v>64</v>
      </c>
      <c r="C10" t="s">
        <v>207</v>
      </c>
      <c r="D10">
        <v>1</v>
      </c>
      <c r="E10">
        <v>1</v>
      </c>
      <c r="J10">
        <v>4</v>
      </c>
      <c r="K10">
        <v>2</v>
      </c>
      <c r="L10">
        <v>1</v>
      </c>
      <c r="N10">
        <v>1</v>
      </c>
      <c r="O10">
        <v>1</v>
      </c>
      <c r="S10">
        <v>1</v>
      </c>
      <c r="T10">
        <v>1</v>
      </c>
      <c r="X10">
        <f t="shared" si="33"/>
        <v>0</v>
      </c>
      <c r="Z10" t="str">
        <f t="shared" si="0"/>
        <v/>
      </c>
      <c r="AA10" t="str">
        <f t="shared" si="1"/>
        <v/>
      </c>
      <c r="AB10" t="str">
        <f t="shared" si="2"/>
        <v/>
      </c>
      <c r="AC10" t="str">
        <f t="shared" si="3"/>
        <v/>
      </c>
      <c r="AE10" t="str">
        <f t="shared" si="4"/>
        <v/>
      </c>
      <c r="AF10" t="str">
        <f t="shared" si="5"/>
        <v/>
      </c>
      <c r="AG10" t="str">
        <f t="shared" si="6"/>
        <v/>
      </c>
      <c r="AH10" t="str">
        <f t="shared" si="7"/>
        <v/>
      </c>
      <c r="AI10" t="str">
        <f t="shared" si="8"/>
        <v/>
      </c>
      <c r="AK10" t="str">
        <f t="shared" si="9"/>
        <v/>
      </c>
      <c r="AL10" t="str">
        <f t="shared" si="32"/>
        <v/>
      </c>
      <c r="AM10" t="str">
        <f t="shared" si="10"/>
        <v/>
      </c>
      <c r="AN10" t="str">
        <f t="shared" si="11"/>
        <v/>
      </c>
      <c r="AO10" t="str">
        <f t="shared" si="12"/>
        <v/>
      </c>
      <c r="AP10" t="str">
        <f t="shared" si="13"/>
        <v/>
      </c>
      <c r="AQ10" t="str">
        <f t="shared" si="14"/>
        <v/>
      </c>
      <c r="AR10" t="str">
        <f t="shared" si="15"/>
        <v/>
      </c>
      <c r="AS10" t="str">
        <f t="shared" si="16"/>
        <v/>
      </c>
      <c r="AT10" t="str">
        <f t="shared" si="17"/>
        <v/>
      </c>
      <c r="AU10" t="str">
        <f t="shared" si="18"/>
        <v/>
      </c>
      <c r="AV10" t="str">
        <f t="shared" si="19"/>
        <v/>
      </c>
      <c r="AW10" t="str">
        <f t="shared" si="20"/>
        <v/>
      </c>
      <c r="AX10" t="str">
        <f t="shared" si="21"/>
        <v/>
      </c>
      <c r="AY10" t="str">
        <f t="shared" si="22"/>
        <v/>
      </c>
      <c r="AZ10" t="str">
        <f t="shared" si="23"/>
        <v/>
      </c>
      <c r="BA10" t="str">
        <f t="shared" si="24"/>
        <v/>
      </c>
      <c r="BB10" t="str">
        <f t="shared" si="25"/>
        <v/>
      </c>
      <c r="BC10" t="str">
        <f t="shared" si="26"/>
        <v/>
      </c>
      <c r="BD10" t="str">
        <f t="shared" si="27"/>
        <v/>
      </c>
      <c r="BE10" t="str">
        <f t="shared" si="28"/>
        <v/>
      </c>
      <c r="BF10" t="str">
        <f t="shared" si="29"/>
        <v/>
      </c>
      <c r="BG10" t="str">
        <f t="shared" si="30"/>
        <v/>
      </c>
      <c r="BH10" t="str">
        <f t="shared" si="31"/>
        <v/>
      </c>
    </row>
    <row r="11" spans="1:66" x14ac:dyDescent="0.2">
      <c r="A11">
        <v>8</v>
      </c>
      <c r="B11">
        <v>78</v>
      </c>
      <c r="C11" t="s">
        <v>39</v>
      </c>
      <c r="D11">
        <v>1</v>
      </c>
      <c r="E11">
        <v>1</v>
      </c>
      <c r="F11">
        <v>1</v>
      </c>
      <c r="K11">
        <v>3</v>
      </c>
      <c r="N11">
        <v>3</v>
      </c>
      <c r="O11">
        <v>2</v>
      </c>
      <c r="S11">
        <v>1</v>
      </c>
      <c r="T11">
        <v>1</v>
      </c>
      <c r="X11">
        <f t="shared" si="33"/>
        <v>0</v>
      </c>
      <c r="Z11" t="str">
        <f t="shared" si="0"/>
        <v/>
      </c>
      <c r="AA11" t="str">
        <f t="shared" si="1"/>
        <v/>
      </c>
      <c r="AB11" t="str">
        <f t="shared" si="2"/>
        <v/>
      </c>
      <c r="AC11" t="str">
        <f t="shared" si="3"/>
        <v/>
      </c>
      <c r="AE11" t="str">
        <f t="shared" si="4"/>
        <v>2</v>
      </c>
      <c r="AF11" t="str">
        <f t="shared" si="5"/>
        <v/>
      </c>
      <c r="AG11" t="str">
        <f t="shared" si="6"/>
        <v/>
      </c>
      <c r="AH11" t="str">
        <f t="shared" si="7"/>
        <v/>
      </c>
      <c r="AI11" t="str">
        <f t="shared" si="8"/>
        <v/>
      </c>
      <c r="AK11" t="str">
        <f t="shared" si="9"/>
        <v/>
      </c>
      <c r="AL11" t="str">
        <f t="shared" si="32"/>
        <v/>
      </c>
      <c r="AM11" t="str">
        <f t="shared" si="10"/>
        <v/>
      </c>
      <c r="AN11" t="str">
        <f t="shared" si="11"/>
        <v/>
      </c>
      <c r="AO11" t="str">
        <f t="shared" si="12"/>
        <v/>
      </c>
      <c r="AP11" t="str">
        <f t="shared" si="13"/>
        <v/>
      </c>
      <c r="AQ11" t="str">
        <f t="shared" si="14"/>
        <v/>
      </c>
      <c r="AR11" t="str">
        <f t="shared" si="15"/>
        <v/>
      </c>
      <c r="AS11" t="str">
        <f t="shared" si="16"/>
        <v/>
      </c>
      <c r="AT11" t="str">
        <f t="shared" si="17"/>
        <v/>
      </c>
      <c r="AU11" t="str">
        <f t="shared" si="18"/>
        <v/>
      </c>
      <c r="AV11" t="str">
        <f t="shared" si="19"/>
        <v/>
      </c>
      <c r="AW11" t="str">
        <f t="shared" si="20"/>
        <v/>
      </c>
      <c r="AX11" t="str">
        <f t="shared" si="21"/>
        <v/>
      </c>
      <c r="AY11" t="str">
        <f t="shared" si="22"/>
        <v/>
      </c>
      <c r="AZ11" t="str">
        <f t="shared" si="23"/>
        <v/>
      </c>
      <c r="BA11" t="str">
        <f t="shared" si="24"/>
        <v/>
      </c>
      <c r="BB11" t="str">
        <f t="shared" si="25"/>
        <v/>
      </c>
      <c r="BC11" t="str">
        <f t="shared" si="26"/>
        <v/>
      </c>
      <c r="BD11" t="str">
        <f t="shared" si="27"/>
        <v/>
      </c>
      <c r="BE11" t="str">
        <f t="shared" si="28"/>
        <v/>
      </c>
      <c r="BF11" t="str">
        <f t="shared" si="29"/>
        <v/>
      </c>
      <c r="BG11" t="str">
        <f t="shared" si="30"/>
        <v/>
      </c>
      <c r="BH11" t="str">
        <f t="shared" si="31"/>
        <v/>
      </c>
    </row>
    <row r="12" spans="1:66" x14ac:dyDescent="0.2">
      <c r="A12">
        <v>9</v>
      </c>
      <c r="B12">
        <v>90</v>
      </c>
      <c r="C12" t="s">
        <v>39</v>
      </c>
      <c r="D12">
        <v>1</v>
      </c>
      <c r="E12">
        <v>1</v>
      </c>
      <c r="F12">
        <v>1</v>
      </c>
      <c r="K12">
        <v>4</v>
      </c>
      <c r="N12">
        <v>4</v>
      </c>
      <c r="O12">
        <v>4</v>
      </c>
      <c r="S12">
        <v>1</v>
      </c>
      <c r="T12">
        <v>1</v>
      </c>
      <c r="X12">
        <f t="shared" si="33"/>
        <v>0</v>
      </c>
      <c r="Z12" t="str">
        <f t="shared" si="0"/>
        <v/>
      </c>
      <c r="AA12" t="str">
        <f t="shared" si="1"/>
        <v/>
      </c>
      <c r="AB12" t="str">
        <f t="shared" si="2"/>
        <v/>
      </c>
      <c r="AC12" t="str">
        <f t="shared" si="3"/>
        <v/>
      </c>
      <c r="AE12" t="str">
        <f t="shared" si="4"/>
        <v/>
      </c>
      <c r="AF12" t="str">
        <f t="shared" si="5"/>
        <v/>
      </c>
      <c r="AG12" t="str">
        <f t="shared" si="6"/>
        <v/>
      </c>
      <c r="AH12" t="str">
        <f t="shared" si="7"/>
        <v/>
      </c>
      <c r="AI12" t="str">
        <f t="shared" si="8"/>
        <v/>
      </c>
      <c r="AK12" t="str">
        <f t="shared" si="9"/>
        <v/>
      </c>
      <c r="AL12" t="str">
        <f t="shared" si="32"/>
        <v/>
      </c>
      <c r="AM12" t="str">
        <f t="shared" si="10"/>
        <v/>
      </c>
      <c r="AN12" t="str">
        <f t="shared" si="11"/>
        <v/>
      </c>
      <c r="AO12" t="str">
        <f t="shared" si="12"/>
        <v/>
      </c>
      <c r="AP12" t="str">
        <f t="shared" si="13"/>
        <v/>
      </c>
      <c r="AQ12" t="str">
        <f t="shared" si="14"/>
        <v/>
      </c>
      <c r="AR12" t="str">
        <f t="shared" si="15"/>
        <v/>
      </c>
      <c r="AS12" t="str">
        <f t="shared" si="16"/>
        <v/>
      </c>
      <c r="AT12" t="str">
        <f t="shared" si="17"/>
        <v/>
      </c>
      <c r="AU12" t="str">
        <f t="shared" si="18"/>
        <v/>
      </c>
      <c r="AV12" t="str">
        <f t="shared" si="19"/>
        <v/>
      </c>
      <c r="AW12" t="str">
        <f t="shared" si="20"/>
        <v/>
      </c>
      <c r="AX12" t="str">
        <f t="shared" si="21"/>
        <v/>
      </c>
      <c r="AY12" t="str">
        <f t="shared" si="22"/>
        <v/>
      </c>
      <c r="AZ12" t="str">
        <f t="shared" si="23"/>
        <v/>
      </c>
      <c r="BA12" t="str">
        <f t="shared" si="24"/>
        <v/>
      </c>
      <c r="BB12" t="str">
        <f t="shared" si="25"/>
        <v/>
      </c>
      <c r="BC12" t="str">
        <f t="shared" si="26"/>
        <v/>
      </c>
      <c r="BD12" t="str">
        <f t="shared" si="27"/>
        <v/>
      </c>
      <c r="BE12" t="str">
        <f t="shared" si="28"/>
        <v/>
      </c>
      <c r="BF12" t="str">
        <f t="shared" si="29"/>
        <v/>
      </c>
      <c r="BG12" t="str">
        <f t="shared" si="30"/>
        <v/>
      </c>
      <c r="BH12" t="str">
        <f t="shared" si="31"/>
        <v/>
      </c>
    </row>
    <row r="13" spans="1:66" x14ac:dyDescent="0.2">
      <c r="A13">
        <v>10</v>
      </c>
      <c r="B13">
        <v>96</v>
      </c>
      <c r="C13" t="s">
        <v>39</v>
      </c>
      <c r="D13">
        <v>1</v>
      </c>
      <c r="E13">
        <v>1</v>
      </c>
      <c r="F13">
        <v>1</v>
      </c>
      <c r="J13">
        <v>2</v>
      </c>
      <c r="K13">
        <v>5</v>
      </c>
      <c r="N13">
        <v>4</v>
      </c>
      <c r="O13">
        <v>3</v>
      </c>
      <c r="U13">
        <v>4</v>
      </c>
      <c r="X13">
        <f t="shared" si="33"/>
        <v>0</v>
      </c>
      <c r="Z13" t="str">
        <f t="shared" si="0"/>
        <v/>
      </c>
      <c r="AA13" t="str">
        <f t="shared" si="1"/>
        <v/>
      </c>
      <c r="AB13" t="str">
        <f t="shared" si="2"/>
        <v/>
      </c>
      <c r="AC13" t="str">
        <f t="shared" si="3"/>
        <v/>
      </c>
      <c r="AE13" t="str">
        <f t="shared" si="4"/>
        <v/>
      </c>
      <c r="AF13" t="str">
        <f t="shared" si="5"/>
        <v/>
      </c>
      <c r="AG13" t="str">
        <f t="shared" si="6"/>
        <v/>
      </c>
      <c r="AH13" t="str">
        <f t="shared" si="7"/>
        <v/>
      </c>
      <c r="AI13" t="str">
        <f t="shared" si="8"/>
        <v/>
      </c>
      <c r="AK13" t="str">
        <f t="shared" si="9"/>
        <v/>
      </c>
      <c r="AL13" t="str">
        <f t="shared" si="32"/>
        <v/>
      </c>
      <c r="AM13" t="str">
        <f t="shared" si="10"/>
        <v/>
      </c>
      <c r="AN13" t="str">
        <f t="shared" si="11"/>
        <v/>
      </c>
      <c r="AO13" t="str">
        <f t="shared" si="12"/>
        <v/>
      </c>
      <c r="AP13" t="str">
        <f t="shared" si="13"/>
        <v/>
      </c>
      <c r="AQ13" t="str">
        <f t="shared" si="14"/>
        <v/>
      </c>
      <c r="AR13" t="str">
        <f t="shared" si="15"/>
        <v/>
      </c>
      <c r="AS13" t="str">
        <f t="shared" si="16"/>
        <v/>
      </c>
      <c r="AT13" t="str">
        <f t="shared" si="17"/>
        <v/>
      </c>
      <c r="AU13" t="str">
        <f t="shared" si="18"/>
        <v/>
      </c>
      <c r="AV13" t="str">
        <f t="shared" si="19"/>
        <v/>
      </c>
      <c r="AW13" t="str">
        <f t="shared" si="20"/>
        <v/>
      </c>
      <c r="AX13" t="str">
        <f t="shared" si="21"/>
        <v/>
      </c>
      <c r="AY13" t="str">
        <f t="shared" si="22"/>
        <v/>
      </c>
      <c r="AZ13" t="str">
        <f t="shared" si="23"/>
        <v/>
      </c>
      <c r="BA13" t="str">
        <f t="shared" si="24"/>
        <v/>
      </c>
      <c r="BB13" t="str">
        <f t="shared" si="25"/>
        <v/>
      </c>
      <c r="BC13" t="str">
        <f t="shared" si="26"/>
        <v/>
      </c>
      <c r="BD13" t="str">
        <f t="shared" si="27"/>
        <v/>
      </c>
      <c r="BE13" t="str">
        <f t="shared" si="28"/>
        <v/>
      </c>
      <c r="BF13" t="str">
        <f t="shared" si="29"/>
        <v/>
      </c>
      <c r="BG13" t="str">
        <f t="shared" si="30"/>
        <v/>
      </c>
      <c r="BH13" t="str">
        <f t="shared" si="31"/>
        <v/>
      </c>
    </row>
    <row r="14" spans="1:66" x14ac:dyDescent="0.2">
      <c r="A14">
        <v>11</v>
      </c>
      <c r="B14">
        <v>110</v>
      </c>
      <c r="C14" t="s">
        <v>207</v>
      </c>
      <c r="D14">
        <v>1</v>
      </c>
      <c r="K14">
        <v>3</v>
      </c>
      <c r="N14">
        <v>4</v>
      </c>
      <c r="O14">
        <v>4</v>
      </c>
      <c r="R14">
        <v>1</v>
      </c>
      <c r="S14">
        <v>1</v>
      </c>
      <c r="T14">
        <v>1</v>
      </c>
      <c r="U14">
        <v>1</v>
      </c>
      <c r="W14">
        <v>3</v>
      </c>
      <c r="X14">
        <f t="shared" si="33"/>
        <v>1</v>
      </c>
      <c r="Z14" t="s">
        <v>31</v>
      </c>
      <c r="AE14" t="s">
        <v>34</v>
      </c>
      <c r="AK14" t="s">
        <v>43</v>
      </c>
      <c r="AP14" t="s">
        <v>84</v>
      </c>
    </row>
    <row r="15" spans="1:66" x14ac:dyDescent="0.2">
      <c r="A15">
        <v>12</v>
      </c>
      <c r="B15">
        <v>120</v>
      </c>
      <c r="C15" t="s">
        <v>39</v>
      </c>
      <c r="D15">
        <v>1</v>
      </c>
      <c r="E15">
        <v>1</v>
      </c>
      <c r="F15">
        <v>1</v>
      </c>
      <c r="K15">
        <v>4</v>
      </c>
      <c r="L15">
        <v>1</v>
      </c>
      <c r="N15">
        <v>4</v>
      </c>
      <c r="O15">
        <v>4</v>
      </c>
      <c r="S15">
        <v>1</v>
      </c>
      <c r="T15">
        <v>1</v>
      </c>
      <c r="X15">
        <f t="shared" si="33"/>
        <v>0</v>
      </c>
      <c r="Z15" t="s">
        <v>21</v>
      </c>
      <c r="AA15" t="s">
        <v>22</v>
      </c>
      <c r="AE15" t="s">
        <v>21</v>
      </c>
      <c r="AF15" t="s">
        <v>22</v>
      </c>
      <c r="AG15" t="s">
        <v>35</v>
      </c>
      <c r="AK15" t="s">
        <v>10</v>
      </c>
      <c r="AL15" t="s">
        <v>25</v>
      </c>
      <c r="AM15" t="s">
        <v>26</v>
      </c>
      <c r="AN15" t="s">
        <v>27</v>
      </c>
      <c r="AP15" t="s">
        <v>15</v>
      </c>
      <c r="AQ15" t="s">
        <v>85</v>
      </c>
    </row>
    <row r="16" spans="1:66" x14ac:dyDescent="0.2">
      <c r="A16" t="s">
        <v>28</v>
      </c>
      <c r="D16">
        <f>SUM(D4:D15)</f>
        <v>12</v>
      </c>
      <c r="E16">
        <f>SUM(E4:E15)</f>
        <v>11</v>
      </c>
      <c r="F16">
        <f>SUM(F4:F15)</f>
        <v>8</v>
      </c>
      <c r="G16">
        <f>SUM(G4:G15)</f>
        <v>0</v>
      </c>
      <c r="H16">
        <f>SUM(H4:H15)</f>
        <v>0</v>
      </c>
      <c r="K16">
        <f>SUM(K4:K15)</f>
        <v>43</v>
      </c>
      <c r="L16">
        <f>SUM(L4:L15)</f>
        <v>3</v>
      </c>
      <c r="M16">
        <f>SUM(M4:M15)</f>
        <v>0</v>
      </c>
      <c r="N16">
        <f>SUM(N4:N15)</f>
        <v>41</v>
      </c>
      <c r="O16">
        <f>SUM(O4:O15)</f>
        <v>39</v>
      </c>
      <c r="Q16">
        <f t="shared" ref="Q16:R16" si="34">SUM(Q4:Q15)</f>
        <v>0</v>
      </c>
      <c r="R16">
        <f t="shared" si="34"/>
        <v>2</v>
      </c>
      <c r="S16">
        <f>SUM(S4:S15)</f>
        <v>11</v>
      </c>
      <c r="T16">
        <f>SUM(T4:T15)</f>
        <v>11</v>
      </c>
      <c r="U16">
        <f>SUM(U4:U15)</f>
        <v>13</v>
      </c>
      <c r="V16">
        <f>SUM(V4:V15)</f>
        <v>0</v>
      </c>
      <c r="W16">
        <f>SUM(W4:W15)</f>
        <v>12</v>
      </c>
      <c r="Z16">
        <f t="shared" ref="Z16:Z27" si="35">COUNTIF(Z2:AC2, "3")*COUNTIF(C4, "r")+COUNTIF(Z2:AC2, "5")*COUNTIF(C4, "b")</f>
        <v>0</v>
      </c>
      <c r="AA16">
        <f t="shared" ref="AA16:AA27" si="36">COUNTIF(Z2:AC2, "1")+COUNTIF(Z2:AC2, "2")+COUNTIF(Z2:AC2, "4")</f>
        <v>0</v>
      </c>
      <c r="AE16">
        <f t="shared" ref="AE16:AE27" si="37">COUNTIF(AE2:AI2, "3")*COUNTIF(C4, "r") + COUNTIF(AE2:AI2, "5")*COUNTIF(C4, "b")</f>
        <v>0</v>
      </c>
      <c r="AF16">
        <f t="shared" ref="AF16:AF27" si="38">COUNTIF(AE2:AI2, "1")+COUNTIF(AE2:AI2, "2")+COUNTIF(AE2:AI2, "4")</f>
        <v>0</v>
      </c>
      <c r="AG16">
        <f t="shared" ref="AG16:AG27" si="39">COUNTIF(AE2:AI2, "3")*COUNTIF(AE2:AI2, "b")+COUNTIF(AE2:AI2, "5")*COUNTIF(AE2:AI2, "r")</f>
        <v>0</v>
      </c>
      <c r="AK16">
        <f t="shared" ref="AK16:AK27" si="40">SUMPRODUCT(LEN($AK2:$BH2) - LEN(SUBSTITUTE($AK2:$BH2, "g", "")))</f>
        <v>0</v>
      </c>
      <c r="AL16">
        <f t="shared" ref="AL16:AL27" si="41">SUMPRODUCT(LEN($AK2:$BH2) - LEN(SUBSTITUTE($AK2:$BH2, "h", "")))</f>
        <v>0</v>
      </c>
      <c r="AM16">
        <f t="shared" ref="AM16:AM27" si="42">SUMPRODUCT(LEN($AK2:$BH2) - LEN(SUBSTITUTE($AK2:$BH2, "v", "")))</f>
        <v>0</v>
      </c>
      <c r="AN16">
        <f t="shared" ref="AN16:AN27" si="43">SUMPRODUCT(LEN($AK2:$BH2) - LEN(SUBSTITUTE($AK2:$BH2, "r", "")))</f>
        <v>0</v>
      </c>
      <c r="AP16">
        <f>MAX(AQ16:BN16)</f>
        <v>0</v>
      </c>
      <c r="AQ16" s="4">
        <f>_xlfn.NUMBERVALUE(RIGHT(AK2,1))</f>
        <v>0</v>
      </c>
      <c r="AR16" s="4">
        <f t="shared" ref="AR16:BG27" si="44">_xlfn.NUMBERVALUE(RIGHT(AL2,1))</f>
        <v>0</v>
      </c>
      <c r="AS16" s="4">
        <f t="shared" si="44"/>
        <v>0</v>
      </c>
      <c r="AT16" s="4">
        <f t="shared" si="44"/>
        <v>0</v>
      </c>
      <c r="AU16" s="4">
        <f t="shared" si="44"/>
        <v>0</v>
      </c>
      <c r="AV16" s="4">
        <f t="shared" si="44"/>
        <v>0</v>
      </c>
      <c r="AW16" s="4">
        <f t="shared" si="44"/>
        <v>0</v>
      </c>
      <c r="AX16" s="4">
        <f t="shared" si="44"/>
        <v>0</v>
      </c>
      <c r="AY16" s="4">
        <f t="shared" si="44"/>
        <v>0</v>
      </c>
      <c r="AZ16" s="4">
        <f t="shared" si="44"/>
        <v>0</v>
      </c>
      <c r="BA16" s="4">
        <f t="shared" si="44"/>
        <v>0</v>
      </c>
      <c r="BB16" s="4">
        <f t="shared" si="44"/>
        <v>0</v>
      </c>
      <c r="BC16" s="4">
        <f t="shared" si="44"/>
        <v>0</v>
      </c>
      <c r="BD16" s="4">
        <f t="shared" si="44"/>
        <v>0</v>
      </c>
      <c r="BE16" s="4">
        <f t="shared" si="44"/>
        <v>0</v>
      </c>
      <c r="BF16" s="4">
        <f t="shared" si="44"/>
        <v>0</v>
      </c>
      <c r="BG16" s="4">
        <f t="shared" si="44"/>
        <v>0</v>
      </c>
      <c r="BH16" s="4">
        <f t="shared" ref="BH16:BN27" si="45">_xlfn.NUMBERVALUE(RIGHT(BB2,1))</f>
        <v>0</v>
      </c>
      <c r="BI16" s="4">
        <f t="shared" si="45"/>
        <v>0</v>
      </c>
      <c r="BJ16" s="4">
        <f t="shared" si="45"/>
        <v>0</v>
      </c>
      <c r="BK16" s="4">
        <f t="shared" si="45"/>
        <v>0</v>
      </c>
      <c r="BL16" s="4">
        <f t="shared" si="45"/>
        <v>0</v>
      </c>
      <c r="BM16" s="4">
        <f t="shared" si="45"/>
        <v>0</v>
      </c>
      <c r="BN16" s="4">
        <f t="shared" si="45"/>
        <v>0</v>
      </c>
    </row>
    <row r="17" spans="1:66" x14ac:dyDescent="0.2">
      <c r="A17" s="1" t="s">
        <v>20</v>
      </c>
      <c r="D17" s="1" t="s">
        <v>49</v>
      </c>
      <c r="G17" s="1" t="s">
        <v>52</v>
      </c>
      <c r="K17" s="3" t="s">
        <v>74</v>
      </c>
      <c r="P17" s="1" t="s">
        <v>66</v>
      </c>
      <c r="Z17">
        <f t="shared" si="35"/>
        <v>0</v>
      </c>
      <c r="AA17">
        <f t="shared" si="36"/>
        <v>0</v>
      </c>
      <c r="AE17">
        <f t="shared" si="37"/>
        <v>0</v>
      </c>
      <c r="AF17">
        <f t="shared" si="38"/>
        <v>0</v>
      </c>
      <c r="AG17">
        <f t="shared" si="39"/>
        <v>0</v>
      </c>
      <c r="AK17">
        <f t="shared" si="40"/>
        <v>0</v>
      </c>
      <c r="AL17">
        <f t="shared" si="41"/>
        <v>0</v>
      </c>
      <c r="AM17">
        <f t="shared" si="42"/>
        <v>0</v>
      </c>
      <c r="AN17">
        <f t="shared" si="43"/>
        <v>0</v>
      </c>
      <c r="AP17">
        <f t="shared" ref="AP17:AP27" si="46">MAX(AQ17:BN17)</f>
        <v>0</v>
      </c>
      <c r="AQ17" s="4">
        <f t="shared" ref="AQ17:AQ27" si="47">_xlfn.NUMBERVALUE(RIGHT(AK3,1))</f>
        <v>0</v>
      </c>
      <c r="AR17" s="4">
        <f t="shared" si="44"/>
        <v>0</v>
      </c>
      <c r="AS17" s="4">
        <f t="shared" si="44"/>
        <v>0</v>
      </c>
      <c r="AT17" s="4">
        <f t="shared" si="44"/>
        <v>0</v>
      </c>
      <c r="AU17" s="4">
        <f t="shared" si="44"/>
        <v>0</v>
      </c>
      <c r="AV17" s="4">
        <f t="shared" si="44"/>
        <v>0</v>
      </c>
      <c r="AW17" s="4">
        <f t="shared" si="44"/>
        <v>0</v>
      </c>
      <c r="AX17" s="4">
        <f t="shared" si="44"/>
        <v>0</v>
      </c>
      <c r="AY17" s="4">
        <f t="shared" si="44"/>
        <v>0</v>
      </c>
      <c r="AZ17" s="4">
        <f t="shared" si="44"/>
        <v>0</v>
      </c>
      <c r="BA17" s="4">
        <f t="shared" si="44"/>
        <v>0</v>
      </c>
      <c r="BB17" s="4">
        <f t="shared" si="44"/>
        <v>0</v>
      </c>
      <c r="BC17" s="4">
        <f t="shared" si="44"/>
        <v>0</v>
      </c>
      <c r="BD17" s="4">
        <f t="shared" si="44"/>
        <v>0</v>
      </c>
      <c r="BE17" s="4">
        <f t="shared" si="44"/>
        <v>0</v>
      </c>
      <c r="BF17" s="4">
        <f t="shared" si="44"/>
        <v>0</v>
      </c>
      <c r="BG17" s="4">
        <f t="shared" si="44"/>
        <v>0</v>
      </c>
      <c r="BH17" s="4">
        <f t="shared" si="45"/>
        <v>0</v>
      </c>
      <c r="BI17" s="4">
        <f t="shared" si="45"/>
        <v>0</v>
      </c>
      <c r="BJ17" s="4">
        <f t="shared" si="45"/>
        <v>0</v>
      </c>
      <c r="BK17" s="4">
        <f t="shared" si="45"/>
        <v>0</v>
      </c>
      <c r="BL17" s="4">
        <f t="shared" si="45"/>
        <v>0</v>
      </c>
      <c r="BM17" s="4">
        <f t="shared" si="45"/>
        <v>0</v>
      </c>
      <c r="BN17" s="4">
        <f t="shared" si="45"/>
        <v>0</v>
      </c>
    </row>
    <row r="18" spans="1:66" x14ac:dyDescent="0.2">
      <c r="A18" t="s">
        <v>32</v>
      </c>
      <c r="B18" t="s">
        <v>21</v>
      </c>
      <c r="D18" t="s">
        <v>180</v>
      </c>
      <c r="G18" s="3" t="s">
        <v>53</v>
      </c>
      <c r="K18" t="s">
        <v>55</v>
      </c>
      <c r="M18" t="s">
        <v>65</v>
      </c>
      <c r="P18" t="s">
        <v>67</v>
      </c>
      <c r="Z18">
        <f t="shared" si="35"/>
        <v>0</v>
      </c>
      <c r="AA18">
        <f t="shared" si="36"/>
        <v>0</v>
      </c>
      <c r="AE18">
        <f t="shared" si="37"/>
        <v>0</v>
      </c>
      <c r="AF18">
        <f t="shared" si="38"/>
        <v>0</v>
      </c>
      <c r="AG18">
        <f t="shared" si="39"/>
        <v>0</v>
      </c>
      <c r="AK18">
        <f t="shared" si="40"/>
        <v>0</v>
      </c>
      <c r="AL18">
        <f t="shared" si="41"/>
        <v>0</v>
      </c>
      <c r="AM18">
        <f t="shared" si="42"/>
        <v>0</v>
      </c>
      <c r="AN18">
        <f t="shared" si="43"/>
        <v>0</v>
      </c>
      <c r="AP18">
        <f t="shared" si="46"/>
        <v>0</v>
      </c>
      <c r="AQ18" s="4">
        <f t="shared" si="47"/>
        <v>0</v>
      </c>
      <c r="AR18" s="4">
        <f t="shared" si="44"/>
        <v>0</v>
      </c>
      <c r="AS18" s="4">
        <f t="shared" si="44"/>
        <v>0</v>
      </c>
      <c r="AT18" s="4">
        <f t="shared" si="44"/>
        <v>0</v>
      </c>
      <c r="AU18" s="4">
        <f t="shared" si="44"/>
        <v>0</v>
      </c>
      <c r="AV18" s="4">
        <f t="shared" si="44"/>
        <v>0</v>
      </c>
      <c r="AW18" s="4">
        <f t="shared" si="44"/>
        <v>0</v>
      </c>
      <c r="AX18" s="4">
        <f t="shared" si="44"/>
        <v>0</v>
      </c>
      <c r="AY18" s="4">
        <f t="shared" si="44"/>
        <v>0</v>
      </c>
      <c r="AZ18" s="4">
        <f t="shared" si="44"/>
        <v>0</v>
      </c>
      <c r="BA18" s="4">
        <f t="shared" si="44"/>
        <v>0</v>
      </c>
      <c r="BB18" s="4">
        <f t="shared" si="44"/>
        <v>0</v>
      </c>
      <c r="BC18" s="4">
        <f t="shared" si="44"/>
        <v>0</v>
      </c>
      <c r="BD18" s="4">
        <f t="shared" si="44"/>
        <v>0</v>
      </c>
      <c r="BE18" s="4">
        <f t="shared" si="44"/>
        <v>0</v>
      </c>
      <c r="BF18" s="4">
        <f t="shared" si="44"/>
        <v>0</v>
      </c>
      <c r="BG18" s="4">
        <f t="shared" si="44"/>
        <v>0</v>
      </c>
      <c r="BH18" s="4">
        <f t="shared" si="45"/>
        <v>0</v>
      </c>
      <c r="BI18" s="4">
        <f t="shared" si="45"/>
        <v>0</v>
      </c>
      <c r="BJ18" s="4">
        <f t="shared" si="45"/>
        <v>0</v>
      </c>
      <c r="BK18" s="4">
        <f t="shared" si="45"/>
        <v>0</v>
      </c>
      <c r="BL18" s="4">
        <f t="shared" si="45"/>
        <v>0</v>
      </c>
      <c r="BM18" s="4">
        <f t="shared" si="45"/>
        <v>0</v>
      </c>
      <c r="BN18" s="4">
        <f t="shared" si="45"/>
        <v>0</v>
      </c>
    </row>
    <row r="19" spans="1:66" x14ac:dyDescent="0.2">
      <c r="A19" t="s">
        <v>40</v>
      </c>
      <c r="B19" t="s">
        <v>22</v>
      </c>
      <c r="D19">
        <f>E16/D16</f>
        <v>0.91666666666666663</v>
      </c>
      <c r="G19" t="s">
        <v>75</v>
      </c>
      <c r="K19">
        <f>O16/N16</f>
        <v>0.95121951219512191</v>
      </c>
      <c r="M19">
        <f>SUM(M39:M50)</f>
        <v>4</v>
      </c>
      <c r="P19">
        <f>T16/S16</f>
        <v>1</v>
      </c>
      <c r="Z19">
        <f t="shared" si="35"/>
        <v>0</v>
      </c>
      <c r="AA19">
        <f t="shared" si="36"/>
        <v>0</v>
      </c>
      <c r="AE19">
        <f t="shared" si="37"/>
        <v>0</v>
      </c>
      <c r="AF19">
        <f t="shared" si="38"/>
        <v>0</v>
      </c>
      <c r="AG19">
        <f t="shared" si="39"/>
        <v>0</v>
      </c>
      <c r="AK19">
        <f t="shared" si="40"/>
        <v>0</v>
      </c>
      <c r="AL19">
        <f t="shared" si="41"/>
        <v>0</v>
      </c>
      <c r="AM19">
        <f t="shared" si="42"/>
        <v>0</v>
      </c>
      <c r="AN19">
        <f t="shared" si="43"/>
        <v>0</v>
      </c>
      <c r="AP19">
        <f t="shared" si="46"/>
        <v>0</v>
      </c>
      <c r="AQ19" s="4">
        <f t="shared" si="47"/>
        <v>0</v>
      </c>
      <c r="AR19" s="4">
        <f t="shared" si="44"/>
        <v>0</v>
      </c>
      <c r="AS19" s="4">
        <f t="shared" si="44"/>
        <v>0</v>
      </c>
      <c r="AT19" s="4">
        <f t="shared" si="44"/>
        <v>0</v>
      </c>
      <c r="AU19" s="4">
        <f t="shared" si="44"/>
        <v>0</v>
      </c>
      <c r="AV19" s="4">
        <f t="shared" si="44"/>
        <v>0</v>
      </c>
      <c r="AW19" s="4">
        <f t="shared" si="44"/>
        <v>0</v>
      </c>
      <c r="AX19" s="4">
        <f t="shared" si="44"/>
        <v>0</v>
      </c>
      <c r="AY19" s="4">
        <f t="shared" si="44"/>
        <v>0</v>
      </c>
      <c r="AZ19" s="4">
        <f t="shared" si="44"/>
        <v>0</v>
      </c>
      <c r="BA19" s="4">
        <f t="shared" si="44"/>
        <v>0</v>
      </c>
      <c r="BB19" s="4">
        <f t="shared" si="44"/>
        <v>0</v>
      </c>
      <c r="BC19" s="4">
        <f t="shared" si="44"/>
        <v>0</v>
      </c>
      <c r="BD19" s="4">
        <f t="shared" si="44"/>
        <v>0</v>
      </c>
      <c r="BE19" s="4">
        <f t="shared" si="44"/>
        <v>0</v>
      </c>
      <c r="BF19" s="4">
        <f t="shared" si="44"/>
        <v>0</v>
      </c>
      <c r="BG19" s="4">
        <f t="shared" si="44"/>
        <v>0</v>
      </c>
      <c r="BH19" s="4">
        <f t="shared" si="45"/>
        <v>0</v>
      </c>
      <c r="BI19" s="4">
        <f t="shared" si="45"/>
        <v>0</v>
      </c>
      <c r="BJ19" s="4">
        <f t="shared" si="45"/>
        <v>0</v>
      </c>
      <c r="BK19" s="4">
        <f t="shared" si="45"/>
        <v>0</v>
      </c>
      <c r="BL19" s="4">
        <f t="shared" si="45"/>
        <v>0</v>
      </c>
      <c r="BM19" s="4">
        <f t="shared" si="45"/>
        <v>0</v>
      </c>
      <c r="BN19" s="4">
        <f t="shared" si="45"/>
        <v>0</v>
      </c>
    </row>
    <row r="20" spans="1:66" x14ac:dyDescent="0.2">
      <c r="A20" t="s">
        <v>41</v>
      </c>
      <c r="B20" t="s">
        <v>23</v>
      </c>
      <c r="D20" t="s">
        <v>47</v>
      </c>
      <c r="G20" t="e">
        <f>AK28/AP28</f>
        <v>#DIV/0!</v>
      </c>
      <c r="K20" t="s">
        <v>13</v>
      </c>
      <c r="Z20">
        <f t="shared" si="35"/>
        <v>0</v>
      </c>
      <c r="AA20">
        <f t="shared" si="36"/>
        <v>0</v>
      </c>
      <c r="AE20">
        <f t="shared" si="37"/>
        <v>0</v>
      </c>
      <c r="AF20">
        <f t="shared" si="38"/>
        <v>0</v>
      </c>
      <c r="AG20">
        <f t="shared" si="39"/>
        <v>0</v>
      </c>
      <c r="AK20">
        <f t="shared" si="40"/>
        <v>0</v>
      </c>
      <c r="AL20">
        <f t="shared" si="41"/>
        <v>0</v>
      </c>
      <c r="AM20">
        <f t="shared" si="42"/>
        <v>0</v>
      </c>
      <c r="AN20">
        <f t="shared" si="43"/>
        <v>0</v>
      </c>
      <c r="AP20">
        <f t="shared" si="46"/>
        <v>0</v>
      </c>
      <c r="AQ20" s="4">
        <f t="shared" si="47"/>
        <v>0</v>
      </c>
      <c r="AR20" s="4">
        <f t="shared" si="44"/>
        <v>0</v>
      </c>
      <c r="AS20" s="4">
        <f t="shared" si="44"/>
        <v>0</v>
      </c>
      <c r="AT20" s="4">
        <f t="shared" si="44"/>
        <v>0</v>
      </c>
      <c r="AU20" s="4">
        <f t="shared" si="44"/>
        <v>0</v>
      </c>
      <c r="AV20" s="4">
        <f t="shared" si="44"/>
        <v>0</v>
      </c>
      <c r="AW20" s="4">
        <f t="shared" si="44"/>
        <v>0</v>
      </c>
      <c r="AX20" s="4">
        <f t="shared" si="44"/>
        <v>0</v>
      </c>
      <c r="AY20" s="4">
        <f t="shared" si="44"/>
        <v>0</v>
      </c>
      <c r="AZ20" s="4">
        <f t="shared" si="44"/>
        <v>0</v>
      </c>
      <c r="BA20" s="4">
        <f t="shared" si="44"/>
        <v>0</v>
      </c>
      <c r="BB20" s="4">
        <f t="shared" si="44"/>
        <v>0</v>
      </c>
      <c r="BC20" s="4">
        <f t="shared" si="44"/>
        <v>0</v>
      </c>
      <c r="BD20" s="4">
        <f t="shared" si="44"/>
        <v>0</v>
      </c>
      <c r="BE20" s="4">
        <f t="shared" si="44"/>
        <v>0</v>
      </c>
      <c r="BF20" s="4">
        <f t="shared" si="44"/>
        <v>0</v>
      </c>
      <c r="BG20" s="4">
        <f t="shared" si="44"/>
        <v>0</v>
      </c>
      <c r="BH20" s="4">
        <f t="shared" si="45"/>
        <v>0</v>
      </c>
      <c r="BI20" s="4">
        <f t="shared" si="45"/>
        <v>0</v>
      </c>
      <c r="BJ20" s="4">
        <f t="shared" si="45"/>
        <v>0</v>
      </c>
      <c r="BK20" s="4">
        <f t="shared" si="45"/>
        <v>0</v>
      </c>
      <c r="BL20" s="4">
        <f t="shared" si="45"/>
        <v>0</v>
      </c>
      <c r="BM20" s="4">
        <f t="shared" si="45"/>
        <v>0</v>
      </c>
      <c r="BN20" s="4">
        <f t="shared" si="45"/>
        <v>0</v>
      </c>
    </row>
    <row r="21" spans="1:66" x14ac:dyDescent="0.2">
      <c r="A21" s="1" t="s">
        <v>24</v>
      </c>
      <c r="D21">
        <f>G16/A31</f>
        <v>0</v>
      </c>
      <c r="G21" t="s">
        <v>76</v>
      </c>
      <c r="K21" t="s">
        <v>57</v>
      </c>
      <c r="L21" t="s">
        <v>58</v>
      </c>
      <c r="M21" t="s">
        <v>59</v>
      </c>
      <c r="N21" t="s">
        <v>60</v>
      </c>
      <c r="Z21">
        <f t="shared" si="35"/>
        <v>0</v>
      </c>
      <c r="AA21">
        <f t="shared" si="36"/>
        <v>0</v>
      </c>
      <c r="AE21">
        <f t="shared" si="37"/>
        <v>0</v>
      </c>
      <c r="AF21">
        <f t="shared" si="38"/>
        <v>0</v>
      </c>
      <c r="AG21">
        <f t="shared" si="39"/>
        <v>0</v>
      </c>
      <c r="AK21">
        <f t="shared" si="40"/>
        <v>0</v>
      </c>
      <c r="AL21">
        <f t="shared" si="41"/>
        <v>0</v>
      </c>
      <c r="AM21">
        <f t="shared" si="42"/>
        <v>0</v>
      </c>
      <c r="AN21">
        <f t="shared" si="43"/>
        <v>0</v>
      </c>
      <c r="AP21">
        <f t="shared" si="46"/>
        <v>0</v>
      </c>
      <c r="AQ21" s="4">
        <f t="shared" si="47"/>
        <v>0</v>
      </c>
      <c r="AR21" s="4">
        <f t="shared" si="44"/>
        <v>0</v>
      </c>
      <c r="AS21" s="4">
        <f t="shared" si="44"/>
        <v>0</v>
      </c>
      <c r="AT21" s="4">
        <f t="shared" si="44"/>
        <v>0</v>
      </c>
      <c r="AU21" s="4">
        <f t="shared" si="44"/>
        <v>0</v>
      </c>
      <c r="AV21" s="4">
        <f t="shared" si="44"/>
        <v>0</v>
      </c>
      <c r="AW21" s="4">
        <f t="shared" si="44"/>
        <v>0</v>
      </c>
      <c r="AX21" s="4">
        <f t="shared" si="44"/>
        <v>0</v>
      </c>
      <c r="AY21" s="4">
        <f t="shared" si="44"/>
        <v>0</v>
      </c>
      <c r="AZ21" s="4">
        <f t="shared" si="44"/>
        <v>0</v>
      </c>
      <c r="BA21" s="4">
        <f t="shared" si="44"/>
        <v>0</v>
      </c>
      <c r="BB21" s="4">
        <f t="shared" si="44"/>
        <v>0</v>
      </c>
      <c r="BC21" s="4">
        <f t="shared" si="44"/>
        <v>0</v>
      </c>
      <c r="BD21" s="4">
        <f t="shared" si="44"/>
        <v>0</v>
      </c>
      <c r="BE21" s="4">
        <f t="shared" si="44"/>
        <v>0</v>
      </c>
      <c r="BF21" s="4">
        <f t="shared" si="44"/>
        <v>0</v>
      </c>
      <c r="BG21" s="4">
        <f t="shared" si="44"/>
        <v>0</v>
      </c>
      <c r="BH21" s="4">
        <f t="shared" si="45"/>
        <v>0</v>
      </c>
      <c r="BI21" s="4">
        <f t="shared" si="45"/>
        <v>0</v>
      </c>
      <c r="BJ21" s="4">
        <f t="shared" si="45"/>
        <v>0</v>
      </c>
      <c r="BK21" s="4">
        <f t="shared" si="45"/>
        <v>0</v>
      </c>
      <c r="BL21" s="4">
        <f t="shared" si="45"/>
        <v>0</v>
      </c>
      <c r="BM21" s="4">
        <f t="shared" si="45"/>
        <v>0</v>
      </c>
      <c r="BN21" s="4">
        <f t="shared" si="45"/>
        <v>0</v>
      </c>
    </row>
    <row r="22" spans="1:66" x14ac:dyDescent="0.2">
      <c r="A22" t="s">
        <v>36</v>
      </c>
      <c r="B22" t="s">
        <v>10</v>
      </c>
      <c r="D22" t="s">
        <v>48</v>
      </c>
      <c r="G22" t="e">
        <f>AL28/AP28</f>
        <v>#DIV/0!</v>
      </c>
      <c r="K22">
        <f>AVERAGE(C39:C50)</f>
        <v>3.25</v>
      </c>
      <c r="L22">
        <f>MEDIAN(C39:C50)</f>
        <v>3</v>
      </c>
      <c r="M22">
        <f>MAX(C39:C50)</f>
        <v>5</v>
      </c>
      <c r="N22">
        <f>_xlfn.STDEV.S(C39:C50)</f>
        <v>1.0552897060221726</v>
      </c>
      <c r="Z22">
        <f t="shared" si="35"/>
        <v>0</v>
      </c>
      <c r="AA22">
        <f t="shared" si="36"/>
        <v>0</v>
      </c>
      <c r="AE22">
        <f t="shared" si="37"/>
        <v>0</v>
      </c>
      <c r="AF22">
        <f t="shared" si="38"/>
        <v>1</v>
      </c>
      <c r="AG22">
        <f t="shared" si="39"/>
        <v>0</v>
      </c>
      <c r="AK22">
        <f t="shared" si="40"/>
        <v>0</v>
      </c>
      <c r="AL22">
        <f t="shared" si="41"/>
        <v>0</v>
      </c>
      <c r="AM22">
        <f t="shared" si="42"/>
        <v>0</v>
      </c>
      <c r="AN22">
        <f t="shared" si="43"/>
        <v>0</v>
      </c>
      <c r="AP22">
        <f t="shared" si="46"/>
        <v>0</v>
      </c>
      <c r="AQ22" s="4">
        <f t="shared" si="47"/>
        <v>0</v>
      </c>
      <c r="AR22" s="4">
        <f t="shared" si="44"/>
        <v>0</v>
      </c>
      <c r="AS22" s="4">
        <f t="shared" si="44"/>
        <v>0</v>
      </c>
      <c r="AT22" s="4">
        <f t="shared" si="44"/>
        <v>0</v>
      </c>
      <c r="AU22" s="4">
        <f t="shared" si="44"/>
        <v>0</v>
      </c>
      <c r="AV22" s="4">
        <f t="shared" si="44"/>
        <v>0</v>
      </c>
      <c r="AW22" s="4">
        <f t="shared" si="44"/>
        <v>0</v>
      </c>
      <c r="AX22" s="4">
        <f t="shared" si="44"/>
        <v>0</v>
      </c>
      <c r="AY22" s="4">
        <f t="shared" si="44"/>
        <v>0</v>
      </c>
      <c r="AZ22" s="4">
        <f t="shared" si="44"/>
        <v>0</v>
      </c>
      <c r="BA22" s="4">
        <f t="shared" si="44"/>
        <v>0</v>
      </c>
      <c r="BB22" s="4">
        <f t="shared" si="44"/>
        <v>0</v>
      </c>
      <c r="BC22" s="4">
        <f t="shared" si="44"/>
        <v>0</v>
      </c>
      <c r="BD22" s="4">
        <f t="shared" si="44"/>
        <v>0</v>
      </c>
      <c r="BE22" s="4">
        <f t="shared" si="44"/>
        <v>0</v>
      </c>
      <c r="BF22" s="4">
        <f t="shared" si="44"/>
        <v>0</v>
      </c>
      <c r="BG22" s="4">
        <f t="shared" si="44"/>
        <v>0</v>
      </c>
      <c r="BH22" s="4">
        <f t="shared" si="45"/>
        <v>0</v>
      </c>
      <c r="BI22" s="4">
        <f t="shared" si="45"/>
        <v>0</v>
      </c>
      <c r="BJ22" s="4">
        <f t="shared" si="45"/>
        <v>0</v>
      </c>
      <c r="BK22" s="4">
        <f t="shared" si="45"/>
        <v>0</v>
      </c>
      <c r="BL22" s="4">
        <f t="shared" si="45"/>
        <v>0</v>
      </c>
      <c r="BM22" s="4">
        <f t="shared" si="45"/>
        <v>0</v>
      </c>
      <c r="BN22" s="4">
        <f t="shared" si="45"/>
        <v>0</v>
      </c>
    </row>
    <row r="23" spans="1:66" x14ac:dyDescent="0.2">
      <c r="A23" t="s">
        <v>37</v>
      </c>
      <c r="B23" t="s">
        <v>25</v>
      </c>
      <c r="D23">
        <f>H16/A31</f>
        <v>0</v>
      </c>
      <c r="G23" t="s">
        <v>77</v>
      </c>
      <c r="K23" t="s">
        <v>8</v>
      </c>
      <c r="Z23">
        <f t="shared" si="35"/>
        <v>0</v>
      </c>
      <c r="AA23">
        <f t="shared" si="36"/>
        <v>0</v>
      </c>
      <c r="AE23">
        <f t="shared" si="37"/>
        <v>0</v>
      </c>
      <c r="AF23">
        <f t="shared" si="38"/>
        <v>0</v>
      </c>
      <c r="AG23">
        <f t="shared" si="39"/>
        <v>0</v>
      </c>
      <c r="AK23">
        <f t="shared" si="40"/>
        <v>0</v>
      </c>
      <c r="AL23">
        <f t="shared" si="41"/>
        <v>0</v>
      </c>
      <c r="AM23">
        <f t="shared" si="42"/>
        <v>0</v>
      </c>
      <c r="AN23">
        <f t="shared" si="43"/>
        <v>0</v>
      </c>
      <c r="AP23">
        <f t="shared" si="46"/>
        <v>0</v>
      </c>
      <c r="AQ23" s="4">
        <f t="shared" si="47"/>
        <v>0</v>
      </c>
      <c r="AR23" s="4">
        <f t="shared" si="44"/>
        <v>0</v>
      </c>
      <c r="AS23" s="4">
        <f t="shared" si="44"/>
        <v>0</v>
      </c>
      <c r="AT23" s="4">
        <f t="shared" si="44"/>
        <v>0</v>
      </c>
      <c r="AU23" s="4">
        <f t="shared" si="44"/>
        <v>0</v>
      </c>
      <c r="AV23" s="4">
        <f t="shared" si="44"/>
        <v>0</v>
      </c>
      <c r="AW23" s="4">
        <f t="shared" si="44"/>
        <v>0</v>
      </c>
      <c r="AX23" s="4">
        <f t="shared" si="44"/>
        <v>0</v>
      </c>
      <c r="AY23" s="4">
        <f t="shared" si="44"/>
        <v>0</v>
      </c>
      <c r="AZ23" s="4">
        <f t="shared" si="44"/>
        <v>0</v>
      </c>
      <c r="BA23" s="4">
        <f t="shared" si="44"/>
        <v>0</v>
      </c>
      <c r="BB23" s="4">
        <f t="shared" si="44"/>
        <v>0</v>
      </c>
      <c r="BC23" s="4">
        <f t="shared" si="44"/>
        <v>0</v>
      </c>
      <c r="BD23" s="4">
        <f t="shared" si="44"/>
        <v>0</v>
      </c>
      <c r="BE23" s="4">
        <f t="shared" si="44"/>
        <v>0</v>
      </c>
      <c r="BF23" s="4">
        <f t="shared" si="44"/>
        <v>0</v>
      </c>
      <c r="BG23" s="4">
        <f t="shared" si="44"/>
        <v>0</v>
      </c>
      <c r="BH23" s="4">
        <f t="shared" si="45"/>
        <v>0</v>
      </c>
      <c r="BI23" s="4">
        <f t="shared" si="45"/>
        <v>0</v>
      </c>
      <c r="BJ23" s="4">
        <f t="shared" si="45"/>
        <v>0</v>
      </c>
      <c r="BK23" s="4">
        <f t="shared" si="45"/>
        <v>0</v>
      </c>
      <c r="BL23" s="4">
        <f t="shared" si="45"/>
        <v>0</v>
      </c>
      <c r="BM23" s="4">
        <f t="shared" si="45"/>
        <v>0</v>
      </c>
      <c r="BN23" s="4">
        <f t="shared" si="45"/>
        <v>0</v>
      </c>
    </row>
    <row r="24" spans="1:66" x14ac:dyDescent="0.2">
      <c r="A24" t="s">
        <v>38</v>
      </c>
      <c r="B24" t="s">
        <v>26</v>
      </c>
      <c r="D24" t="s">
        <v>50</v>
      </c>
      <c r="G24" t="e">
        <f>AM28/AP28</f>
        <v>#DIV/0!</v>
      </c>
      <c r="K24" t="s">
        <v>57</v>
      </c>
      <c r="L24" t="s">
        <v>61</v>
      </c>
      <c r="M24" t="s">
        <v>59</v>
      </c>
      <c r="N24" t="s">
        <v>60</v>
      </c>
      <c r="Z24">
        <f t="shared" si="35"/>
        <v>0</v>
      </c>
      <c r="AA24">
        <f t="shared" si="36"/>
        <v>0</v>
      </c>
      <c r="AE24">
        <f t="shared" si="37"/>
        <v>0</v>
      </c>
      <c r="AF24">
        <f t="shared" si="38"/>
        <v>0</v>
      </c>
      <c r="AG24">
        <f t="shared" si="39"/>
        <v>0</v>
      </c>
      <c r="AK24">
        <f t="shared" si="40"/>
        <v>0</v>
      </c>
      <c r="AL24">
        <f t="shared" si="41"/>
        <v>0</v>
      </c>
      <c r="AM24">
        <f t="shared" si="42"/>
        <v>0</v>
      </c>
      <c r="AN24">
        <f t="shared" si="43"/>
        <v>0</v>
      </c>
      <c r="AP24">
        <f t="shared" si="46"/>
        <v>0</v>
      </c>
      <c r="AQ24" s="4">
        <f t="shared" si="47"/>
        <v>0</v>
      </c>
      <c r="AR24" s="4">
        <f t="shared" si="44"/>
        <v>0</v>
      </c>
      <c r="AS24" s="4">
        <f t="shared" si="44"/>
        <v>0</v>
      </c>
      <c r="AT24" s="4">
        <f t="shared" si="44"/>
        <v>0</v>
      </c>
      <c r="AU24" s="4">
        <f t="shared" si="44"/>
        <v>0</v>
      </c>
      <c r="AV24" s="4">
        <f t="shared" si="44"/>
        <v>0</v>
      </c>
      <c r="AW24" s="4">
        <f t="shared" si="44"/>
        <v>0</v>
      </c>
      <c r="AX24" s="4">
        <f t="shared" si="44"/>
        <v>0</v>
      </c>
      <c r="AY24" s="4">
        <f t="shared" si="44"/>
        <v>0</v>
      </c>
      <c r="AZ24" s="4">
        <f t="shared" si="44"/>
        <v>0</v>
      </c>
      <c r="BA24" s="4">
        <f t="shared" si="44"/>
        <v>0</v>
      </c>
      <c r="BB24" s="4">
        <f t="shared" si="44"/>
        <v>0</v>
      </c>
      <c r="BC24" s="4">
        <f t="shared" si="44"/>
        <v>0</v>
      </c>
      <c r="BD24" s="4">
        <f t="shared" si="44"/>
        <v>0</v>
      </c>
      <c r="BE24" s="4">
        <f t="shared" si="44"/>
        <v>0</v>
      </c>
      <c r="BF24" s="4">
        <f t="shared" si="44"/>
        <v>0</v>
      </c>
      <c r="BG24" s="4">
        <f t="shared" si="44"/>
        <v>0</v>
      </c>
      <c r="BH24" s="4">
        <f t="shared" si="45"/>
        <v>0</v>
      </c>
      <c r="BI24" s="4">
        <f t="shared" si="45"/>
        <v>0</v>
      </c>
      <c r="BJ24" s="4">
        <f t="shared" si="45"/>
        <v>0</v>
      </c>
      <c r="BK24" s="4">
        <f t="shared" si="45"/>
        <v>0</v>
      </c>
      <c r="BL24" s="4">
        <f t="shared" si="45"/>
        <v>0</v>
      </c>
      <c r="BM24" s="4">
        <f t="shared" si="45"/>
        <v>0</v>
      </c>
      <c r="BN24" s="4">
        <f t="shared" si="45"/>
        <v>0</v>
      </c>
    </row>
    <row r="25" spans="1:66" x14ac:dyDescent="0.2">
      <c r="A25" t="s">
        <v>39</v>
      </c>
      <c r="B25" t="s">
        <v>27</v>
      </c>
      <c r="D25">
        <f>Z28/A31</f>
        <v>0</v>
      </c>
      <c r="G25" t="s">
        <v>78</v>
      </c>
      <c r="K25">
        <f>AVERAGE(E39:E50)</f>
        <v>0</v>
      </c>
      <c r="L25">
        <f>MEDIAN(E39:E50)</f>
        <v>0</v>
      </c>
      <c r="M25">
        <f>MAX(E39:E50)</f>
        <v>0</v>
      </c>
      <c r="N25">
        <f>_xlfn.STDEV.S(E39:E50)</f>
        <v>0</v>
      </c>
      <c r="Z25">
        <f t="shared" si="35"/>
        <v>0</v>
      </c>
      <c r="AA25">
        <f t="shared" si="36"/>
        <v>0</v>
      </c>
      <c r="AE25">
        <f t="shared" si="37"/>
        <v>0</v>
      </c>
      <c r="AF25">
        <f t="shared" si="38"/>
        <v>1</v>
      </c>
      <c r="AG25">
        <f t="shared" si="39"/>
        <v>0</v>
      </c>
      <c r="AK25">
        <f t="shared" si="40"/>
        <v>0</v>
      </c>
      <c r="AL25">
        <f t="shared" si="41"/>
        <v>0</v>
      </c>
      <c r="AM25">
        <f t="shared" si="42"/>
        <v>0</v>
      </c>
      <c r="AN25">
        <f t="shared" si="43"/>
        <v>0</v>
      </c>
      <c r="AP25">
        <f t="shared" si="46"/>
        <v>0</v>
      </c>
      <c r="AQ25" s="4">
        <f t="shared" si="47"/>
        <v>0</v>
      </c>
      <c r="AR25" s="4">
        <f t="shared" si="44"/>
        <v>0</v>
      </c>
      <c r="AS25" s="4">
        <f t="shared" si="44"/>
        <v>0</v>
      </c>
      <c r="AT25" s="4">
        <f t="shared" si="44"/>
        <v>0</v>
      </c>
      <c r="AU25" s="4">
        <f t="shared" si="44"/>
        <v>0</v>
      </c>
      <c r="AV25" s="4">
        <f t="shared" si="44"/>
        <v>0</v>
      </c>
      <c r="AW25" s="4">
        <f t="shared" si="44"/>
        <v>0</v>
      </c>
      <c r="AX25" s="4">
        <f t="shared" si="44"/>
        <v>0</v>
      </c>
      <c r="AY25" s="4">
        <f t="shared" si="44"/>
        <v>0</v>
      </c>
      <c r="AZ25" s="4">
        <f t="shared" si="44"/>
        <v>0</v>
      </c>
      <c r="BA25" s="4">
        <f t="shared" si="44"/>
        <v>0</v>
      </c>
      <c r="BB25" s="4">
        <f t="shared" si="44"/>
        <v>0</v>
      </c>
      <c r="BC25" s="4">
        <f t="shared" si="44"/>
        <v>0</v>
      </c>
      <c r="BD25" s="4">
        <f t="shared" si="44"/>
        <v>0</v>
      </c>
      <c r="BE25" s="4">
        <f t="shared" si="44"/>
        <v>0</v>
      </c>
      <c r="BF25" s="4">
        <f t="shared" si="44"/>
        <v>0</v>
      </c>
      <c r="BG25" s="4">
        <f t="shared" si="44"/>
        <v>0</v>
      </c>
      <c r="BH25" s="4">
        <f t="shared" si="45"/>
        <v>0</v>
      </c>
      <c r="BI25" s="4">
        <f t="shared" si="45"/>
        <v>0</v>
      </c>
      <c r="BJ25" s="4">
        <f t="shared" si="45"/>
        <v>0</v>
      </c>
      <c r="BK25" s="4">
        <f t="shared" si="45"/>
        <v>0</v>
      </c>
      <c r="BL25" s="4">
        <f t="shared" si="45"/>
        <v>0</v>
      </c>
      <c r="BM25" s="4">
        <f t="shared" si="45"/>
        <v>0</v>
      </c>
      <c r="BN25" s="4">
        <f t="shared" si="45"/>
        <v>0</v>
      </c>
    </row>
    <row r="26" spans="1:66" x14ac:dyDescent="0.2">
      <c r="A26" t="s">
        <v>44</v>
      </c>
      <c r="D26" t="s">
        <v>51</v>
      </c>
      <c r="G26" t="e">
        <f>AN28/AP28</f>
        <v>#DIV/0!</v>
      </c>
      <c r="K26" t="s">
        <v>62</v>
      </c>
      <c r="P26" t="s">
        <v>19</v>
      </c>
      <c r="Z26">
        <f t="shared" si="35"/>
        <v>0</v>
      </c>
      <c r="AA26">
        <f t="shared" si="36"/>
        <v>0</v>
      </c>
      <c r="AE26">
        <f t="shared" si="37"/>
        <v>0</v>
      </c>
      <c r="AF26">
        <f t="shared" si="38"/>
        <v>0</v>
      </c>
      <c r="AG26">
        <f t="shared" si="39"/>
        <v>0</v>
      </c>
      <c r="AK26">
        <f t="shared" si="40"/>
        <v>0</v>
      </c>
      <c r="AL26">
        <f t="shared" si="41"/>
        <v>0</v>
      </c>
      <c r="AM26">
        <f t="shared" si="42"/>
        <v>0</v>
      </c>
      <c r="AN26">
        <f t="shared" si="43"/>
        <v>0</v>
      </c>
      <c r="AP26">
        <f t="shared" si="46"/>
        <v>0</v>
      </c>
      <c r="AQ26" s="4">
        <f t="shared" si="47"/>
        <v>0</v>
      </c>
      <c r="AR26" s="4">
        <f t="shared" si="44"/>
        <v>0</v>
      </c>
      <c r="AS26" s="4">
        <f t="shared" si="44"/>
        <v>0</v>
      </c>
      <c r="AT26" s="4">
        <f t="shared" si="44"/>
        <v>0</v>
      </c>
      <c r="AU26" s="4">
        <f t="shared" si="44"/>
        <v>0</v>
      </c>
      <c r="AV26" s="4">
        <f t="shared" si="44"/>
        <v>0</v>
      </c>
      <c r="AW26" s="4">
        <f t="shared" si="44"/>
        <v>0</v>
      </c>
      <c r="AX26" s="4">
        <f t="shared" si="44"/>
        <v>0</v>
      </c>
      <c r="AY26" s="4">
        <f t="shared" si="44"/>
        <v>0</v>
      </c>
      <c r="AZ26" s="4">
        <f t="shared" si="44"/>
        <v>0</v>
      </c>
      <c r="BA26" s="4">
        <f t="shared" si="44"/>
        <v>0</v>
      </c>
      <c r="BB26" s="4">
        <f t="shared" si="44"/>
        <v>0</v>
      </c>
      <c r="BC26" s="4">
        <f t="shared" si="44"/>
        <v>0</v>
      </c>
      <c r="BD26" s="4">
        <f t="shared" si="44"/>
        <v>0</v>
      </c>
      <c r="BE26" s="4">
        <f t="shared" si="44"/>
        <v>0</v>
      </c>
      <c r="BF26" s="4">
        <f t="shared" si="44"/>
        <v>0</v>
      </c>
      <c r="BG26" s="4">
        <f t="shared" si="44"/>
        <v>0</v>
      </c>
      <c r="BH26" s="4">
        <f t="shared" si="45"/>
        <v>0</v>
      </c>
      <c r="BI26" s="4">
        <f t="shared" si="45"/>
        <v>0</v>
      </c>
      <c r="BJ26" s="4">
        <f t="shared" si="45"/>
        <v>0</v>
      </c>
      <c r="BK26" s="4">
        <f t="shared" si="45"/>
        <v>0</v>
      </c>
      <c r="BL26" s="4">
        <f t="shared" si="45"/>
        <v>0</v>
      </c>
      <c r="BM26" s="4">
        <f t="shared" si="45"/>
        <v>0</v>
      </c>
      <c r="BN26" s="4">
        <f t="shared" si="45"/>
        <v>0</v>
      </c>
    </row>
    <row r="27" spans="1:66" x14ac:dyDescent="0.2">
      <c r="A27" t="s">
        <v>45</v>
      </c>
      <c r="D27">
        <f>AA28/A31</f>
        <v>0</v>
      </c>
      <c r="G27" t="s">
        <v>56</v>
      </c>
      <c r="K27" t="s">
        <v>57</v>
      </c>
      <c r="L27" t="s">
        <v>58</v>
      </c>
      <c r="M27" t="s">
        <v>59</v>
      </c>
      <c r="N27" t="s">
        <v>60</v>
      </c>
      <c r="P27" t="s">
        <v>57</v>
      </c>
      <c r="Q27" t="s">
        <v>58</v>
      </c>
      <c r="R27" t="s">
        <v>59</v>
      </c>
      <c r="S27" t="s">
        <v>60</v>
      </c>
      <c r="Z27">
        <f t="shared" si="35"/>
        <v>0</v>
      </c>
      <c r="AA27">
        <f t="shared" si="36"/>
        <v>0</v>
      </c>
      <c r="AE27">
        <f t="shared" si="37"/>
        <v>0</v>
      </c>
      <c r="AF27">
        <f t="shared" si="38"/>
        <v>0</v>
      </c>
      <c r="AG27">
        <f t="shared" si="39"/>
        <v>0</v>
      </c>
      <c r="AK27">
        <f t="shared" si="40"/>
        <v>0</v>
      </c>
      <c r="AL27">
        <f t="shared" si="41"/>
        <v>0</v>
      </c>
      <c r="AM27">
        <f t="shared" si="42"/>
        <v>0</v>
      </c>
      <c r="AN27">
        <f t="shared" si="43"/>
        <v>0</v>
      </c>
      <c r="AP27">
        <f t="shared" si="46"/>
        <v>0</v>
      </c>
      <c r="AQ27" s="4">
        <f t="shared" si="47"/>
        <v>0</v>
      </c>
      <c r="AR27" s="4">
        <f t="shared" si="44"/>
        <v>0</v>
      </c>
      <c r="AS27" s="4">
        <f t="shared" si="44"/>
        <v>0</v>
      </c>
      <c r="AT27" s="4">
        <f t="shared" si="44"/>
        <v>0</v>
      </c>
      <c r="AU27" s="4">
        <f t="shared" si="44"/>
        <v>0</v>
      </c>
      <c r="AV27" s="4">
        <f t="shared" si="44"/>
        <v>0</v>
      </c>
      <c r="AW27" s="4">
        <f t="shared" si="44"/>
        <v>0</v>
      </c>
      <c r="AX27" s="4">
        <f t="shared" si="44"/>
        <v>0</v>
      </c>
      <c r="AY27" s="4">
        <f t="shared" si="44"/>
        <v>0</v>
      </c>
      <c r="AZ27" s="4">
        <f t="shared" si="44"/>
        <v>0</v>
      </c>
      <c r="BA27" s="4">
        <f t="shared" si="44"/>
        <v>0</v>
      </c>
      <c r="BB27" s="4">
        <f t="shared" si="44"/>
        <v>0</v>
      </c>
      <c r="BC27" s="4">
        <f t="shared" si="44"/>
        <v>0</v>
      </c>
      <c r="BD27" s="4">
        <f t="shared" si="44"/>
        <v>0</v>
      </c>
      <c r="BE27" s="4">
        <f t="shared" si="44"/>
        <v>0</v>
      </c>
      <c r="BF27" s="4">
        <f t="shared" si="44"/>
        <v>0</v>
      </c>
      <c r="BG27" s="4">
        <f t="shared" si="44"/>
        <v>0</v>
      </c>
      <c r="BH27" s="4">
        <f t="shared" si="45"/>
        <v>0</v>
      </c>
      <c r="BI27" s="4">
        <f t="shared" si="45"/>
        <v>0</v>
      </c>
      <c r="BJ27" s="4">
        <f t="shared" si="45"/>
        <v>0</v>
      </c>
      <c r="BK27" s="4">
        <f t="shared" si="45"/>
        <v>0</v>
      </c>
      <c r="BL27" s="4">
        <f t="shared" si="45"/>
        <v>0</v>
      </c>
      <c r="BM27" s="4">
        <f t="shared" si="45"/>
        <v>0</v>
      </c>
      <c r="BN27" s="4">
        <f t="shared" si="45"/>
        <v>0</v>
      </c>
    </row>
    <row r="28" spans="1:66" x14ac:dyDescent="0.2">
      <c r="A28" t="s">
        <v>46</v>
      </c>
      <c r="D28" t="s">
        <v>202</v>
      </c>
      <c r="G28" t="s">
        <v>57</v>
      </c>
      <c r="H28" t="s">
        <v>58</v>
      </c>
      <c r="I28" t="s">
        <v>59</v>
      </c>
      <c r="J28" t="s">
        <v>60</v>
      </c>
      <c r="K28">
        <f>AVERAGE(G39:G50)</f>
        <v>0.16666666666666666</v>
      </c>
      <c r="L28">
        <f>MEDIAN(G39:G50)</f>
        <v>0</v>
      </c>
      <c r="M28">
        <f>MAX(G39:G50)</f>
        <v>1</v>
      </c>
      <c r="N28">
        <f>_xlfn.STDEV.S(G39:G50)</f>
        <v>0.38924947208076149</v>
      </c>
      <c r="P28">
        <f>AVERAGE(N39:N50)</f>
        <v>1.0833333333333333</v>
      </c>
      <c r="Q28">
        <f>MEDIAN(N39:N50)</f>
        <v>0</v>
      </c>
      <c r="R28">
        <f>MAX(N39:N50)</f>
        <v>8</v>
      </c>
      <c r="S28">
        <f>_xlfn.STDEV.S(N39:N50)</f>
        <v>2.466441431158124</v>
      </c>
      <c r="Y28" t="s">
        <v>33</v>
      </c>
      <c r="Z28">
        <f>SUM(Z16:Z27)</f>
        <v>0</v>
      </c>
      <c r="AA28">
        <f>SUM(AA16:AA27)</f>
        <v>0</v>
      </c>
      <c r="AE28">
        <f>SUM(AE16:AE27)</f>
        <v>0</v>
      </c>
      <c r="AF28">
        <f>SUM(AF16:AF27)</f>
        <v>2</v>
      </c>
      <c r="AG28">
        <f>SUM(AG16:AG27)</f>
        <v>0</v>
      </c>
      <c r="AK28">
        <f>SUM(AK16:AK27)</f>
        <v>0</v>
      </c>
      <c r="AL28">
        <f>SUM(AL16:AL27)</f>
        <v>0</v>
      </c>
      <c r="AM28">
        <f>SUM(AM16:AM27)</f>
        <v>0</v>
      </c>
      <c r="AN28">
        <f>SUM(AN16:AN27)</f>
        <v>0</v>
      </c>
      <c r="AP28">
        <f>SUM(AP16:AP27)</f>
        <v>0</v>
      </c>
    </row>
    <row r="29" spans="1:66" x14ac:dyDescent="0.2">
      <c r="D29">
        <f>SUM(O39:O50)/F16</f>
        <v>1</v>
      </c>
      <c r="G29">
        <f>AVERAGE(A39:A50)</f>
        <v>0.16666666666666666</v>
      </c>
      <c r="H29">
        <f>MEDIAN(A39:A50)</f>
        <v>0</v>
      </c>
      <c r="I29">
        <f>MAX(A39:A50)</f>
        <v>1</v>
      </c>
      <c r="J29">
        <f>_xlfn.STDEV.S(A39:A50)</f>
        <v>0.38924947208076149</v>
      </c>
      <c r="K29" t="s">
        <v>63</v>
      </c>
      <c r="P29" t="s">
        <v>148</v>
      </c>
    </row>
    <row r="30" spans="1:66" x14ac:dyDescent="0.2">
      <c r="A30" t="s">
        <v>147</v>
      </c>
      <c r="D30" t="s">
        <v>203</v>
      </c>
      <c r="G30" t="s">
        <v>50</v>
      </c>
      <c r="H30" t="s">
        <v>51</v>
      </c>
      <c r="I30" t="s">
        <v>89</v>
      </c>
      <c r="K30" t="s">
        <v>57</v>
      </c>
      <c r="L30" t="s">
        <v>58</v>
      </c>
      <c r="M30" t="s">
        <v>59</v>
      </c>
      <c r="N30" t="s">
        <v>60</v>
      </c>
      <c r="P30" t="s">
        <v>57</v>
      </c>
      <c r="Q30" t="s">
        <v>58</v>
      </c>
      <c r="R30" t="s">
        <v>59</v>
      </c>
      <c r="S30" t="s">
        <v>60</v>
      </c>
      <c r="W30" t="s">
        <v>148</v>
      </c>
      <c r="Y30" t="s">
        <v>149</v>
      </c>
      <c r="AH30" t="s">
        <v>79</v>
      </c>
    </row>
    <row r="31" spans="1:66" x14ac:dyDescent="0.2">
      <c r="A31">
        <f>COUNT(B4:B15)</f>
        <v>12</v>
      </c>
      <c r="D31" s="2">
        <f>SUM(S39:S50)/SUM(Q39:Q50)</f>
        <v>0.75</v>
      </c>
      <c r="G31">
        <f>AE28/A31</f>
        <v>0</v>
      </c>
      <c r="H31">
        <f>AF28/A31</f>
        <v>0.16666666666666666</v>
      </c>
      <c r="I31">
        <f>AG28/A31</f>
        <v>0</v>
      </c>
      <c r="K31" t="e">
        <f>AVERAGE(I39:I50)</f>
        <v>#DIV/0!</v>
      </c>
      <c r="L31" t="e">
        <f>MEDIAN(I39:I50)</f>
        <v>#NUM!</v>
      </c>
      <c r="M31">
        <f>MAX(I39:I50)</f>
        <v>0</v>
      </c>
      <c r="N31" t="e">
        <f>_xlfn.STDEV.S(I39:I50)</f>
        <v>#DIV/0!</v>
      </c>
      <c r="P31">
        <f>AVERAGE(W31:W42)</f>
        <v>0.5</v>
      </c>
      <c r="Q31">
        <f>MEDIAN(W31:W42)</f>
        <v>0.5</v>
      </c>
      <c r="R31">
        <f>MAX(W31:W42)</f>
        <v>1</v>
      </c>
      <c r="S31">
        <f>_xlfn.STDEV.S(W31:W42)</f>
        <v>0.70710678118654757</v>
      </c>
      <c r="W31" t="str">
        <f t="shared" ref="W31:W33" si="48">IF(AND(ISBLANK(Q4), ISBLANK(R4), ISBLANK(G4), ISBLANK(H4)), "", U4)</f>
        <v/>
      </c>
      <c r="Y31" t="str">
        <f t="shared" ref="Y31:Y42" si="49">IF(ISBLANK(Y4), IF(X4 = 0, "", (G4 + H4/3 + V4/9 + W4/3)), U4)</f>
        <v/>
      </c>
      <c r="AH31" t="s">
        <v>80</v>
      </c>
    </row>
    <row r="32" spans="1:66" x14ac:dyDescent="0.2">
      <c r="D32" s="3"/>
      <c r="K32" t="s">
        <v>64</v>
      </c>
      <c r="P32" t="s">
        <v>149</v>
      </c>
      <c r="W32" t="str">
        <f t="shared" si="48"/>
        <v/>
      </c>
      <c r="Y32" t="str">
        <f t="shared" si="49"/>
        <v/>
      </c>
      <c r="AH32" t="s">
        <v>81</v>
      </c>
    </row>
    <row r="33" spans="1:34" x14ac:dyDescent="0.2">
      <c r="D33" s="3"/>
      <c r="K33" t="s">
        <v>57</v>
      </c>
      <c r="L33" t="s">
        <v>58</v>
      </c>
      <c r="M33" t="s">
        <v>59</v>
      </c>
      <c r="N33" t="s">
        <v>60</v>
      </c>
      <c r="P33" t="s">
        <v>57</v>
      </c>
      <c r="Q33" t="s">
        <v>58</v>
      </c>
      <c r="R33" t="s">
        <v>59</v>
      </c>
      <c r="S33" t="s">
        <v>60</v>
      </c>
      <c r="W33" t="str">
        <f t="shared" si="48"/>
        <v/>
      </c>
      <c r="Y33" t="str">
        <f t="shared" si="49"/>
        <v/>
      </c>
      <c r="AH33" t="s">
        <v>82</v>
      </c>
    </row>
    <row r="34" spans="1:34" x14ac:dyDescent="0.2">
      <c r="D34" s="3"/>
      <c r="K34">
        <f>AVERAGE(K39:K50)</f>
        <v>0.16666666666666666</v>
      </c>
      <c r="L34">
        <f>MEDIAN(K39:K50)</f>
        <v>0</v>
      </c>
      <c r="M34">
        <f>MAX(K39:K50)</f>
        <v>1</v>
      </c>
      <c r="N34">
        <f>_xlfn.STDEV.S(K39:K50)</f>
        <v>0.38924947208076149</v>
      </c>
      <c r="P34">
        <f>AVERAGE(Y31:Y42)</f>
        <v>0.5</v>
      </c>
      <c r="Q34">
        <f>MEDIAN(Y31:Y42)</f>
        <v>0.5</v>
      </c>
      <c r="R34">
        <f>MAX(Y31:Y42)</f>
        <v>1</v>
      </c>
      <c r="S34">
        <f>_xlfn.STDEV.S(Y31:Y42)</f>
        <v>0.70710678118654757</v>
      </c>
      <c r="W34" t="str">
        <f>IF(AND(ISBLANK(Q7), ISBLANK(R7), ISBLANK(G7), ISBLANK(H7)), "", U7)</f>
        <v/>
      </c>
      <c r="Y34" t="str">
        <f t="shared" si="49"/>
        <v/>
      </c>
      <c r="AH34" t="s">
        <v>83</v>
      </c>
    </row>
    <row r="35" spans="1:34" x14ac:dyDescent="0.2">
      <c r="P35" t="s">
        <v>95</v>
      </c>
      <c r="R35" t="s">
        <v>197</v>
      </c>
      <c r="W35">
        <f t="shared" ref="W35:W42" si="50">IF(AND(ISBLANK(Q8), ISBLANK(R8), ISBLANK(G8), ISBLANK(H8)), "", U8)</f>
        <v>0</v>
      </c>
      <c r="Y35">
        <f t="shared" si="49"/>
        <v>0</v>
      </c>
    </row>
    <row r="36" spans="1:34" x14ac:dyDescent="0.2">
      <c r="P36">
        <f>Q16/(Q16+R16)</f>
        <v>0</v>
      </c>
      <c r="R36">
        <f>R16/(Q16+R16)</f>
        <v>1</v>
      </c>
      <c r="W36" t="str">
        <f t="shared" si="50"/>
        <v/>
      </c>
      <c r="Y36" t="str">
        <f t="shared" si="49"/>
        <v/>
      </c>
    </row>
    <row r="37" spans="1:34" x14ac:dyDescent="0.2">
      <c r="W37" t="str">
        <f t="shared" si="50"/>
        <v/>
      </c>
      <c r="Y37" t="str">
        <f t="shared" si="49"/>
        <v/>
      </c>
    </row>
    <row r="38" spans="1:34" x14ac:dyDescent="0.2">
      <c r="A38" t="s">
        <v>68</v>
      </c>
      <c r="C38" t="s">
        <v>69</v>
      </c>
      <c r="E38" t="s">
        <v>72</v>
      </c>
      <c r="G38" t="s">
        <v>250</v>
      </c>
      <c r="K38" t="s">
        <v>73</v>
      </c>
      <c r="M38" t="s">
        <v>70</v>
      </c>
      <c r="N38" t="s">
        <v>71</v>
      </c>
      <c r="O38" t="s">
        <v>199</v>
      </c>
      <c r="Q38" t="s">
        <v>200</v>
      </c>
      <c r="S38" t="s">
        <v>201</v>
      </c>
      <c r="W38" t="str">
        <f t="shared" si="50"/>
        <v/>
      </c>
      <c r="Y38" t="str">
        <f t="shared" si="49"/>
        <v/>
      </c>
    </row>
    <row r="39" spans="1:34" x14ac:dyDescent="0.2">
      <c r="A39">
        <f t="shared" ref="A39:A50" si="51">IF(ISBLANK(B4), "", SUM(AE16+AF16+AG16))</f>
        <v>0</v>
      </c>
      <c r="C39">
        <f t="shared" ref="C39:C50" si="52">IF(ISBLANK(B4), "", O4)</f>
        <v>3</v>
      </c>
      <c r="E39">
        <f t="shared" ref="E39:E50" si="53">IF(ISBLANK(B4), "", Q4)</f>
        <v>0</v>
      </c>
      <c r="G39">
        <f t="shared" ref="G39:G50" si="54">IF(ISBLANK(B4), "", R4)</f>
        <v>0</v>
      </c>
      <c r="K39">
        <f t="shared" ref="K39:K50" si="55">IF(ISBLANK(B4), "", SUM(Q4 + R4))</f>
        <v>0</v>
      </c>
      <c r="M39">
        <f t="shared" ref="M39:M50" si="56">IF(ISBLANK(B4), "", SUM(K4+M4) - O4)</f>
        <v>1</v>
      </c>
      <c r="N39">
        <f t="shared" ref="N39:N50" si="57">IF(ISBLANK(B4), "", U4)</f>
        <v>0</v>
      </c>
      <c r="O39">
        <f t="shared" ref="O39:O50" si="58">COUNTIF(E4, "1")*COUNTIF(F4, "1")</f>
        <v>1</v>
      </c>
      <c r="Q39">
        <f t="shared" ref="Q39:Q50" si="59">COUNTIF(D4, "1")*COUNTIF(F4, "")</f>
        <v>0</v>
      </c>
      <c r="S39">
        <f t="shared" ref="S39:S50" si="60">COUNTIF(E4, "1")*COUNTIF(F4, "")</f>
        <v>0</v>
      </c>
      <c r="W39" t="str">
        <f t="shared" si="50"/>
        <v/>
      </c>
      <c r="Y39" t="str">
        <f t="shared" si="49"/>
        <v/>
      </c>
    </row>
    <row r="40" spans="1:34" x14ac:dyDescent="0.2">
      <c r="A40">
        <f t="shared" si="51"/>
        <v>0</v>
      </c>
      <c r="C40">
        <f t="shared" si="52"/>
        <v>3</v>
      </c>
      <c r="E40">
        <f t="shared" si="53"/>
        <v>0</v>
      </c>
      <c r="G40">
        <f t="shared" si="54"/>
        <v>0</v>
      </c>
      <c r="K40">
        <f t="shared" si="55"/>
        <v>0</v>
      </c>
      <c r="M40">
        <f t="shared" si="56"/>
        <v>0</v>
      </c>
      <c r="N40">
        <f t="shared" si="57"/>
        <v>0</v>
      </c>
      <c r="O40">
        <f t="shared" si="58"/>
        <v>0</v>
      </c>
      <c r="Q40">
        <f t="shared" si="59"/>
        <v>1</v>
      </c>
      <c r="S40">
        <f t="shared" si="60"/>
        <v>1</v>
      </c>
      <c r="W40" t="str">
        <f t="shared" si="50"/>
        <v/>
      </c>
      <c r="Y40" t="str">
        <f t="shared" si="49"/>
        <v/>
      </c>
    </row>
    <row r="41" spans="1:34" x14ac:dyDescent="0.2">
      <c r="A41">
        <f t="shared" si="51"/>
        <v>0</v>
      </c>
      <c r="C41">
        <f t="shared" si="52"/>
        <v>3</v>
      </c>
      <c r="E41">
        <f t="shared" si="53"/>
        <v>0</v>
      </c>
      <c r="G41">
        <f t="shared" si="54"/>
        <v>0</v>
      </c>
      <c r="K41">
        <f t="shared" si="55"/>
        <v>0</v>
      </c>
      <c r="M41">
        <f t="shared" si="56"/>
        <v>0</v>
      </c>
      <c r="N41">
        <f t="shared" si="57"/>
        <v>0</v>
      </c>
      <c r="O41">
        <f t="shared" si="58"/>
        <v>0</v>
      </c>
      <c r="Q41">
        <f t="shared" si="59"/>
        <v>1</v>
      </c>
      <c r="S41">
        <f t="shared" si="60"/>
        <v>1</v>
      </c>
      <c r="W41">
        <f t="shared" si="50"/>
        <v>1</v>
      </c>
      <c r="Y41">
        <f t="shared" si="49"/>
        <v>1</v>
      </c>
    </row>
    <row r="42" spans="1:34" x14ac:dyDescent="0.2">
      <c r="A42">
        <f t="shared" si="51"/>
        <v>0</v>
      </c>
      <c r="C42">
        <f t="shared" si="52"/>
        <v>4</v>
      </c>
      <c r="E42">
        <f t="shared" si="53"/>
        <v>0</v>
      </c>
      <c r="G42">
        <f t="shared" si="54"/>
        <v>0</v>
      </c>
      <c r="K42">
        <f t="shared" si="55"/>
        <v>0</v>
      </c>
      <c r="M42">
        <f t="shared" si="56"/>
        <v>0</v>
      </c>
      <c r="N42">
        <f t="shared" si="57"/>
        <v>8</v>
      </c>
      <c r="O42">
        <f t="shared" si="58"/>
        <v>1</v>
      </c>
      <c r="Q42">
        <f t="shared" si="59"/>
        <v>0</v>
      </c>
      <c r="S42">
        <f t="shared" si="60"/>
        <v>0</v>
      </c>
      <c r="W42" t="str">
        <f t="shared" si="50"/>
        <v/>
      </c>
      <c r="Y42" t="str">
        <f t="shared" si="49"/>
        <v/>
      </c>
    </row>
    <row r="43" spans="1:34" x14ac:dyDescent="0.2">
      <c r="A43">
        <f t="shared" si="51"/>
        <v>0</v>
      </c>
      <c r="C43">
        <f t="shared" si="52"/>
        <v>3</v>
      </c>
      <c r="E43">
        <f t="shared" si="53"/>
        <v>0</v>
      </c>
      <c r="G43">
        <f t="shared" si="54"/>
        <v>1</v>
      </c>
      <c r="K43">
        <f t="shared" si="55"/>
        <v>1</v>
      </c>
      <c r="M43">
        <f t="shared" si="56"/>
        <v>0</v>
      </c>
      <c r="N43">
        <f t="shared" si="57"/>
        <v>0</v>
      </c>
      <c r="O43">
        <f t="shared" si="58"/>
        <v>1</v>
      </c>
      <c r="Q43">
        <f t="shared" si="59"/>
        <v>0</v>
      </c>
      <c r="S43">
        <f t="shared" si="60"/>
        <v>0</v>
      </c>
    </row>
    <row r="44" spans="1:34" x14ac:dyDescent="0.2">
      <c r="A44">
        <f t="shared" si="51"/>
        <v>0</v>
      </c>
      <c r="C44">
        <f t="shared" si="52"/>
        <v>5</v>
      </c>
      <c r="E44">
        <f t="shared" si="53"/>
        <v>0</v>
      </c>
      <c r="G44">
        <f t="shared" si="54"/>
        <v>0</v>
      </c>
      <c r="K44">
        <f t="shared" si="55"/>
        <v>0</v>
      </c>
      <c r="M44">
        <f t="shared" si="56"/>
        <v>0</v>
      </c>
      <c r="N44">
        <f t="shared" si="57"/>
        <v>0</v>
      </c>
      <c r="O44">
        <f t="shared" si="58"/>
        <v>1</v>
      </c>
      <c r="Q44">
        <f t="shared" si="59"/>
        <v>0</v>
      </c>
      <c r="S44">
        <f t="shared" si="60"/>
        <v>0</v>
      </c>
    </row>
    <row r="45" spans="1:34" x14ac:dyDescent="0.2">
      <c r="A45">
        <f t="shared" si="51"/>
        <v>1</v>
      </c>
      <c r="C45">
        <f t="shared" si="52"/>
        <v>1</v>
      </c>
      <c r="E45">
        <f t="shared" si="53"/>
        <v>0</v>
      </c>
      <c r="G45">
        <f t="shared" si="54"/>
        <v>0</v>
      </c>
      <c r="K45">
        <f t="shared" si="55"/>
        <v>0</v>
      </c>
      <c r="M45">
        <f t="shared" si="56"/>
        <v>1</v>
      </c>
      <c r="N45">
        <f t="shared" si="57"/>
        <v>0</v>
      </c>
      <c r="O45">
        <f t="shared" si="58"/>
        <v>0</v>
      </c>
      <c r="Q45">
        <f t="shared" si="59"/>
        <v>1</v>
      </c>
      <c r="S45">
        <f t="shared" si="60"/>
        <v>1</v>
      </c>
    </row>
    <row r="46" spans="1:34" x14ac:dyDescent="0.2">
      <c r="A46">
        <f t="shared" si="51"/>
        <v>0</v>
      </c>
      <c r="C46">
        <f t="shared" si="52"/>
        <v>2</v>
      </c>
      <c r="E46">
        <f t="shared" si="53"/>
        <v>0</v>
      </c>
      <c r="G46">
        <f t="shared" si="54"/>
        <v>0</v>
      </c>
      <c r="K46">
        <f t="shared" si="55"/>
        <v>0</v>
      </c>
      <c r="M46">
        <f t="shared" si="56"/>
        <v>1</v>
      </c>
      <c r="N46">
        <f t="shared" si="57"/>
        <v>0</v>
      </c>
      <c r="O46">
        <f t="shared" si="58"/>
        <v>1</v>
      </c>
      <c r="Q46">
        <f t="shared" si="59"/>
        <v>0</v>
      </c>
      <c r="S46">
        <f t="shared" si="60"/>
        <v>0</v>
      </c>
    </row>
    <row r="47" spans="1:34" x14ac:dyDescent="0.2">
      <c r="A47">
        <f t="shared" si="51"/>
        <v>0</v>
      </c>
      <c r="C47">
        <f t="shared" si="52"/>
        <v>4</v>
      </c>
      <c r="E47">
        <f t="shared" si="53"/>
        <v>0</v>
      </c>
      <c r="G47">
        <f t="shared" si="54"/>
        <v>0</v>
      </c>
      <c r="K47">
        <f t="shared" si="55"/>
        <v>0</v>
      </c>
      <c r="M47">
        <f t="shared" si="56"/>
        <v>0</v>
      </c>
      <c r="N47">
        <f t="shared" si="57"/>
        <v>0</v>
      </c>
      <c r="O47">
        <f t="shared" si="58"/>
        <v>1</v>
      </c>
      <c r="Q47">
        <f t="shared" si="59"/>
        <v>0</v>
      </c>
      <c r="S47">
        <f t="shared" si="60"/>
        <v>0</v>
      </c>
    </row>
    <row r="48" spans="1:34" x14ac:dyDescent="0.2">
      <c r="A48">
        <f t="shared" si="51"/>
        <v>1</v>
      </c>
      <c r="C48">
        <f t="shared" si="52"/>
        <v>3</v>
      </c>
      <c r="E48">
        <f t="shared" si="53"/>
        <v>0</v>
      </c>
      <c r="G48">
        <f t="shared" si="54"/>
        <v>0</v>
      </c>
      <c r="K48">
        <f t="shared" si="55"/>
        <v>0</v>
      </c>
      <c r="M48">
        <f t="shared" si="56"/>
        <v>2</v>
      </c>
      <c r="N48">
        <f t="shared" si="57"/>
        <v>4</v>
      </c>
      <c r="O48">
        <f t="shared" si="58"/>
        <v>1</v>
      </c>
      <c r="Q48">
        <f t="shared" si="59"/>
        <v>0</v>
      </c>
      <c r="S48">
        <f t="shared" si="60"/>
        <v>0</v>
      </c>
    </row>
    <row r="49" spans="1:19" x14ac:dyDescent="0.2">
      <c r="A49">
        <f t="shared" si="51"/>
        <v>0</v>
      </c>
      <c r="C49">
        <f t="shared" si="52"/>
        <v>4</v>
      </c>
      <c r="E49">
        <f t="shared" si="53"/>
        <v>0</v>
      </c>
      <c r="G49">
        <f t="shared" si="54"/>
        <v>1</v>
      </c>
      <c r="K49">
        <f t="shared" si="55"/>
        <v>1</v>
      </c>
      <c r="M49">
        <f t="shared" si="56"/>
        <v>-1</v>
      </c>
      <c r="N49">
        <f t="shared" si="57"/>
        <v>1</v>
      </c>
      <c r="O49">
        <f t="shared" si="58"/>
        <v>0</v>
      </c>
      <c r="Q49">
        <f t="shared" si="59"/>
        <v>1</v>
      </c>
      <c r="S49">
        <f t="shared" si="60"/>
        <v>0</v>
      </c>
    </row>
    <row r="50" spans="1:19" x14ac:dyDescent="0.2">
      <c r="A50">
        <f t="shared" si="51"/>
        <v>0</v>
      </c>
      <c r="C50">
        <f t="shared" si="52"/>
        <v>4</v>
      </c>
      <c r="E50">
        <f t="shared" si="53"/>
        <v>0</v>
      </c>
      <c r="G50">
        <f t="shared" si="54"/>
        <v>0</v>
      </c>
      <c r="K50">
        <f t="shared" si="55"/>
        <v>0</v>
      </c>
      <c r="M50">
        <f t="shared" si="56"/>
        <v>0</v>
      </c>
      <c r="N50">
        <f t="shared" si="57"/>
        <v>0</v>
      </c>
      <c r="O50">
        <f t="shared" si="58"/>
        <v>1</v>
      </c>
      <c r="Q50">
        <f t="shared" si="59"/>
        <v>0</v>
      </c>
      <c r="S50">
        <f t="shared" si="60"/>
        <v>0</v>
      </c>
    </row>
  </sheetData>
  <pageMargins left="0.7" right="0.7" top="0.75" bottom="0.75" header="0.3" footer="0.3"/>
  <legacy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8" enableFormatConditionsCalculation="0"/>
  <dimension ref="A1:BN50"/>
  <sheetViews>
    <sheetView workbookViewId="0">
      <selection activeCell="E16" sqref="E16"/>
    </sheetView>
  </sheetViews>
  <sheetFormatPr baseColWidth="10" defaultRowHeight="15" x14ac:dyDescent="0.2"/>
  <sheetData>
    <row r="1" spans="1:66" x14ac:dyDescent="0.2">
      <c r="A1" s="1" t="s">
        <v>0</v>
      </c>
      <c r="D1" t="s">
        <v>3</v>
      </c>
      <c r="K1" t="s">
        <v>11</v>
      </c>
      <c r="N1" t="s">
        <v>12</v>
      </c>
      <c r="P1" t="s">
        <v>14</v>
      </c>
      <c r="Q1" t="s">
        <v>17</v>
      </c>
      <c r="S1" t="s">
        <v>18</v>
      </c>
      <c r="Z1" t="s">
        <v>29</v>
      </c>
      <c r="AE1" t="s">
        <v>30</v>
      </c>
      <c r="AK1" t="s">
        <v>42</v>
      </c>
    </row>
    <row r="2" spans="1:66" x14ac:dyDescent="0.2">
      <c r="A2" t="s">
        <v>1</v>
      </c>
      <c r="B2" t="s">
        <v>1</v>
      </c>
      <c r="C2" t="s">
        <v>87</v>
      </c>
      <c r="D2" t="s">
        <v>54</v>
      </c>
      <c r="E2" t="s">
        <v>13</v>
      </c>
      <c r="F2" t="s">
        <v>198</v>
      </c>
      <c r="G2" t="s">
        <v>7</v>
      </c>
      <c r="H2" t="s">
        <v>8</v>
      </c>
      <c r="I2" t="s">
        <v>179</v>
      </c>
      <c r="J2" t="s">
        <v>178</v>
      </c>
      <c r="K2" t="s">
        <v>9</v>
      </c>
      <c r="L2" t="s">
        <v>196</v>
      </c>
      <c r="M2" t="s">
        <v>10</v>
      </c>
      <c r="N2" t="s">
        <v>54</v>
      </c>
      <c r="O2" t="s">
        <v>13</v>
      </c>
      <c r="P2" t="s">
        <v>15</v>
      </c>
      <c r="Q2" t="s">
        <v>8</v>
      </c>
      <c r="R2" t="s">
        <v>7</v>
      </c>
      <c r="S2" t="s">
        <v>181</v>
      </c>
      <c r="T2" t="s">
        <v>182</v>
      </c>
      <c r="U2" t="s">
        <v>19</v>
      </c>
      <c r="V2" t="s">
        <v>191</v>
      </c>
      <c r="W2" t="s">
        <v>192</v>
      </c>
      <c r="X2" t="s">
        <v>175</v>
      </c>
      <c r="Y2" t="s">
        <v>173</v>
      </c>
      <c r="Z2" t="str">
        <f t="shared" ref="Z2:Z13" si="0">LEFT(I4, 1)</f>
        <v/>
      </c>
      <c r="AA2" t="str">
        <f t="shared" ref="AA2:AA13" si="1">MID(I4, 4, 1)</f>
        <v/>
      </c>
      <c r="AB2" t="str">
        <f t="shared" ref="AB2:AB13" si="2">MID(I4, 7, 1)</f>
        <v/>
      </c>
      <c r="AC2" t="str">
        <f t="shared" ref="AC2:AC13" si="3">MID(I4, 10, 1)</f>
        <v/>
      </c>
      <c r="AE2" t="str">
        <f t="shared" ref="AE2:AE13" si="4">LEFT(J4, 1)</f>
        <v/>
      </c>
      <c r="AF2" t="str">
        <f t="shared" ref="AF2:AF13" si="5">MID(J4, 4, 1)</f>
        <v/>
      </c>
      <c r="AG2" t="str">
        <f t="shared" ref="AG2:AG13" si="6">MID(J4, 7, 1)</f>
        <v/>
      </c>
      <c r="AH2" t="str">
        <f t="shared" ref="AH2:AH13" si="7">MID(J4, 10, 1)</f>
        <v/>
      </c>
      <c r="AI2" t="str">
        <f t="shared" ref="AI2:AI13" si="8">MID(J4, 13, 1)</f>
        <v/>
      </c>
      <c r="AK2" t="str">
        <f t="shared" ref="AK2:AK13" si="9">LEFT(P4, 2)</f>
        <v/>
      </c>
      <c r="AL2" t="str">
        <f>MID($P4, 5, 2)</f>
        <v/>
      </c>
      <c r="AM2" t="str">
        <f t="shared" ref="AM2:AM13" si="10">MID($P4, 9, 2)</f>
        <v/>
      </c>
      <c r="AN2" t="str">
        <f t="shared" ref="AN2:AN13" si="11">MID($P4, 13, 2)</f>
        <v/>
      </c>
      <c r="AO2" t="str">
        <f t="shared" ref="AO2:AO13" si="12">MID($P4, 17, 2)</f>
        <v/>
      </c>
      <c r="AP2" t="str">
        <f t="shared" ref="AP2:AP13" si="13">MID($P4, 21, 2)</f>
        <v/>
      </c>
      <c r="AQ2" t="str">
        <f t="shared" ref="AQ2:AQ13" si="14">MID($P4, 25, 2)</f>
        <v/>
      </c>
      <c r="AR2" t="str">
        <f t="shared" ref="AR2:AR13" si="15">MID($P4, 29, 2)</f>
        <v/>
      </c>
      <c r="AS2" t="str">
        <f t="shared" ref="AS2:AS13" si="16">MID($P4, 33, 2)</f>
        <v/>
      </c>
      <c r="AT2" t="str">
        <f t="shared" ref="AT2:AT13" si="17">MID($P4, 37, 2)</f>
        <v/>
      </c>
      <c r="AU2" t="str">
        <f t="shared" ref="AU2:AU13" si="18">MID($P4, 41, 2)</f>
        <v/>
      </c>
      <c r="AV2" t="str">
        <f t="shared" ref="AV2:AV13" si="19">MID($P4, 45, 2)</f>
        <v/>
      </c>
      <c r="AW2" t="str">
        <f t="shared" ref="AW2:AW13" si="20">MID($P4, 49, 2)</f>
        <v/>
      </c>
      <c r="AX2" t="str">
        <f t="shared" ref="AX2:AX13" si="21">MID($P4, 53, 2)</f>
        <v/>
      </c>
      <c r="AY2" t="str">
        <f t="shared" ref="AY2:AY13" si="22">MID($P4, 57, 2)</f>
        <v/>
      </c>
      <c r="AZ2" t="str">
        <f t="shared" ref="AZ2:AZ13" si="23">MID($P4, 61, 2)</f>
        <v/>
      </c>
      <c r="BA2" t="str">
        <f t="shared" ref="BA2:BA13" si="24">MID($P4, 65, 2)</f>
        <v/>
      </c>
      <c r="BB2" t="str">
        <f t="shared" ref="BB2:BB13" si="25">MID($P4, 69, 2)</f>
        <v/>
      </c>
      <c r="BC2" t="str">
        <f t="shared" ref="BC2:BC13" si="26">MID($P4, 73, 2)</f>
        <v/>
      </c>
      <c r="BD2" t="str">
        <f t="shared" ref="BD2:BD13" si="27">MID($P4, 77, 2)</f>
        <v/>
      </c>
      <c r="BE2" t="str">
        <f t="shared" ref="BE2:BE13" si="28">MID($P4, 81, 2)</f>
        <v/>
      </c>
      <c r="BF2" t="str">
        <f t="shared" ref="BF2:BF13" si="29">MID($P4, 85, 2)</f>
        <v/>
      </c>
      <c r="BG2" t="str">
        <f t="shared" ref="BG2:BG13" si="30">MID($P4, 89, 2)</f>
        <v/>
      </c>
      <c r="BH2" t="str">
        <f t="shared" ref="BH2:BH13" si="31">MID($P4, 93, 2)</f>
        <v/>
      </c>
    </row>
    <row r="3" spans="1:66" x14ac:dyDescent="0.2">
      <c r="A3" t="s">
        <v>2</v>
      </c>
      <c r="B3" t="s">
        <v>6</v>
      </c>
      <c r="C3" t="s">
        <v>88</v>
      </c>
      <c r="D3" t="s">
        <v>6</v>
      </c>
      <c r="E3" t="s">
        <v>6</v>
      </c>
      <c r="F3" t="s">
        <v>4</v>
      </c>
      <c r="G3" t="s">
        <v>6</v>
      </c>
      <c r="H3" t="s">
        <v>6</v>
      </c>
      <c r="I3" t="s">
        <v>86</v>
      </c>
      <c r="J3" t="s">
        <v>86</v>
      </c>
      <c r="K3" t="s">
        <v>6</v>
      </c>
      <c r="L3" t="s">
        <v>6</v>
      </c>
      <c r="M3" t="s">
        <v>6</v>
      </c>
      <c r="N3" t="s">
        <v>6</v>
      </c>
      <c r="O3" t="s">
        <v>6</v>
      </c>
      <c r="P3" t="s">
        <v>16</v>
      </c>
      <c r="Q3" t="s">
        <v>6</v>
      </c>
      <c r="R3" t="s">
        <v>6</v>
      </c>
      <c r="S3" t="s">
        <v>4</v>
      </c>
      <c r="T3" t="s">
        <v>4</v>
      </c>
      <c r="U3" t="s">
        <v>6</v>
      </c>
      <c r="V3" t="s">
        <v>6</v>
      </c>
      <c r="W3" t="s">
        <v>6</v>
      </c>
      <c r="X3" t="s">
        <v>6</v>
      </c>
      <c r="Y3" t="s">
        <v>174</v>
      </c>
      <c r="Z3" t="str">
        <f t="shared" si="0"/>
        <v/>
      </c>
      <c r="AA3" t="str">
        <f t="shared" si="1"/>
        <v/>
      </c>
      <c r="AB3" t="str">
        <f t="shared" si="2"/>
        <v/>
      </c>
      <c r="AC3" t="str">
        <f t="shared" si="3"/>
        <v/>
      </c>
      <c r="AE3" t="str">
        <f t="shared" si="4"/>
        <v>2</v>
      </c>
      <c r="AF3" t="str">
        <f t="shared" si="5"/>
        <v/>
      </c>
      <c r="AG3" t="str">
        <f t="shared" si="6"/>
        <v/>
      </c>
      <c r="AH3" t="str">
        <f t="shared" si="7"/>
        <v/>
      </c>
      <c r="AI3" t="str">
        <f t="shared" si="8"/>
        <v/>
      </c>
      <c r="AK3" t="str">
        <f t="shared" si="9"/>
        <v/>
      </c>
      <c r="AL3" t="str">
        <f t="shared" ref="AL3:AL13" si="32">MID(P5, 5, 2)</f>
        <v/>
      </c>
      <c r="AM3" t="str">
        <f t="shared" si="10"/>
        <v/>
      </c>
      <c r="AN3" t="str">
        <f t="shared" si="11"/>
        <v/>
      </c>
      <c r="AO3" t="str">
        <f t="shared" si="12"/>
        <v/>
      </c>
      <c r="AP3" t="str">
        <f t="shared" si="13"/>
        <v/>
      </c>
      <c r="AQ3" t="str">
        <f t="shared" si="14"/>
        <v/>
      </c>
      <c r="AR3" t="str">
        <f t="shared" si="15"/>
        <v/>
      </c>
      <c r="AS3" t="str">
        <f t="shared" si="16"/>
        <v/>
      </c>
      <c r="AT3" t="str">
        <f t="shared" si="17"/>
        <v/>
      </c>
      <c r="AU3" t="str">
        <f t="shared" si="18"/>
        <v/>
      </c>
      <c r="AV3" t="str">
        <f t="shared" si="19"/>
        <v/>
      </c>
      <c r="AW3" t="str">
        <f t="shared" si="20"/>
        <v/>
      </c>
      <c r="AX3" t="str">
        <f t="shared" si="21"/>
        <v/>
      </c>
      <c r="AY3" t="str">
        <f t="shared" si="22"/>
        <v/>
      </c>
      <c r="AZ3" t="str">
        <f t="shared" si="23"/>
        <v/>
      </c>
      <c r="BA3" t="str">
        <f t="shared" si="24"/>
        <v/>
      </c>
      <c r="BB3" t="str">
        <f t="shared" si="25"/>
        <v/>
      </c>
      <c r="BC3" t="str">
        <f t="shared" si="26"/>
        <v/>
      </c>
      <c r="BD3" t="str">
        <f t="shared" si="27"/>
        <v/>
      </c>
      <c r="BE3" t="str">
        <f t="shared" si="28"/>
        <v/>
      </c>
      <c r="BF3" t="str">
        <f t="shared" si="29"/>
        <v/>
      </c>
      <c r="BG3" t="str">
        <f t="shared" si="30"/>
        <v/>
      </c>
      <c r="BH3" t="str">
        <f t="shared" si="31"/>
        <v/>
      </c>
    </row>
    <row r="4" spans="1:66" x14ac:dyDescent="0.2">
      <c r="A4">
        <v>1</v>
      </c>
      <c r="B4">
        <v>2</v>
      </c>
      <c r="C4" t="s">
        <v>39</v>
      </c>
      <c r="D4">
        <v>1</v>
      </c>
      <c r="K4">
        <v>1</v>
      </c>
      <c r="L4">
        <v>1</v>
      </c>
      <c r="M4">
        <v>2</v>
      </c>
      <c r="N4">
        <v>4</v>
      </c>
      <c r="O4">
        <v>4</v>
      </c>
      <c r="S4">
        <v>1</v>
      </c>
      <c r="T4">
        <v>1</v>
      </c>
      <c r="U4">
        <v>1</v>
      </c>
      <c r="X4">
        <f t="shared" ref="X4:X15" si="33">G4+H4+Q4+R4</f>
        <v>0</v>
      </c>
      <c r="Z4" t="str">
        <f t="shared" si="0"/>
        <v/>
      </c>
      <c r="AA4" t="str">
        <f t="shared" si="1"/>
        <v/>
      </c>
      <c r="AB4" t="str">
        <f t="shared" si="2"/>
        <v/>
      </c>
      <c r="AC4" t="str">
        <f t="shared" si="3"/>
        <v/>
      </c>
      <c r="AE4" t="str">
        <f t="shared" si="4"/>
        <v/>
      </c>
      <c r="AF4" t="str">
        <f t="shared" si="5"/>
        <v/>
      </c>
      <c r="AG4" t="str">
        <f t="shared" si="6"/>
        <v/>
      </c>
      <c r="AH4" t="str">
        <f t="shared" si="7"/>
        <v/>
      </c>
      <c r="AI4" t="str">
        <f t="shared" si="8"/>
        <v/>
      </c>
      <c r="AK4" t="str">
        <f t="shared" si="9"/>
        <v/>
      </c>
      <c r="AL4" t="str">
        <f t="shared" si="32"/>
        <v/>
      </c>
      <c r="AM4" t="str">
        <f t="shared" si="10"/>
        <v/>
      </c>
      <c r="AN4" t="str">
        <f t="shared" si="11"/>
        <v/>
      </c>
      <c r="AO4" t="str">
        <f t="shared" si="12"/>
        <v/>
      </c>
      <c r="AP4" t="str">
        <f t="shared" si="13"/>
        <v/>
      </c>
      <c r="AQ4" t="str">
        <f t="shared" si="14"/>
        <v/>
      </c>
      <c r="AR4" t="str">
        <f t="shared" si="15"/>
        <v/>
      </c>
      <c r="AS4" t="str">
        <f t="shared" si="16"/>
        <v/>
      </c>
      <c r="AT4" t="str">
        <f t="shared" si="17"/>
        <v/>
      </c>
      <c r="AU4" t="str">
        <f t="shared" si="18"/>
        <v/>
      </c>
      <c r="AV4" t="str">
        <f t="shared" si="19"/>
        <v/>
      </c>
      <c r="AW4" t="str">
        <f t="shared" si="20"/>
        <v/>
      </c>
      <c r="AX4" t="str">
        <f t="shared" si="21"/>
        <v/>
      </c>
      <c r="AY4" t="str">
        <f t="shared" si="22"/>
        <v/>
      </c>
      <c r="AZ4" t="str">
        <f t="shared" si="23"/>
        <v/>
      </c>
      <c r="BA4" t="str">
        <f t="shared" si="24"/>
        <v/>
      </c>
      <c r="BB4" t="str">
        <f t="shared" si="25"/>
        <v/>
      </c>
      <c r="BC4" t="str">
        <f t="shared" si="26"/>
        <v/>
      </c>
      <c r="BD4" t="str">
        <f t="shared" si="27"/>
        <v/>
      </c>
      <c r="BE4" t="str">
        <f t="shared" si="28"/>
        <v/>
      </c>
      <c r="BF4" t="str">
        <f t="shared" si="29"/>
        <v/>
      </c>
      <c r="BG4" t="str">
        <f t="shared" si="30"/>
        <v/>
      </c>
      <c r="BH4" t="str">
        <f t="shared" si="31"/>
        <v/>
      </c>
    </row>
    <row r="5" spans="1:66" x14ac:dyDescent="0.2">
      <c r="A5">
        <v>2</v>
      </c>
      <c r="B5">
        <v>18</v>
      </c>
      <c r="C5" t="s">
        <v>207</v>
      </c>
      <c r="D5">
        <v>1</v>
      </c>
      <c r="J5">
        <v>2</v>
      </c>
      <c r="K5">
        <v>3</v>
      </c>
      <c r="N5">
        <v>3</v>
      </c>
      <c r="O5">
        <v>3</v>
      </c>
      <c r="S5">
        <v>1</v>
      </c>
      <c r="T5">
        <v>1</v>
      </c>
      <c r="X5">
        <f t="shared" si="33"/>
        <v>0</v>
      </c>
      <c r="Z5" t="str">
        <f t="shared" si="0"/>
        <v/>
      </c>
      <c r="AA5" t="str">
        <f t="shared" si="1"/>
        <v/>
      </c>
      <c r="AB5" t="str">
        <f t="shared" si="2"/>
        <v/>
      </c>
      <c r="AC5" t="str">
        <f t="shared" si="3"/>
        <v/>
      </c>
      <c r="AE5" t="str">
        <f t="shared" si="4"/>
        <v/>
      </c>
      <c r="AF5" t="str">
        <f t="shared" si="5"/>
        <v/>
      </c>
      <c r="AG5" t="str">
        <f t="shared" si="6"/>
        <v/>
      </c>
      <c r="AH5" t="str">
        <f t="shared" si="7"/>
        <v/>
      </c>
      <c r="AI5" t="str">
        <f t="shared" si="8"/>
        <v/>
      </c>
      <c r="AK5" t="str">
        <f t="shared" si="9"/>
        <v/>
      </c>
      <c r="AL5" t="str">
        <f t="shared" si="32"/>
        <v/>
      </c>
      <c r="AM5" t="str">
        <f t="shared" si="10"/>
        <v/>
      </c>
      <c r="AN5" t="str">
        <f t="shared" si="11"/>
        <v/>
      </c>
      <c r="AO5" t="str">
        <f t="shared" si="12"/>
        <v/>
      </c>
      <c r="AP5" t="str">
        <f t="shared" si="13"/>
        <v/>
      </c>
      <c r="AQ5" t="str">
        <f t="shared" si="14"/>
        <v/>
      </c>
      <c r="AR5" t="str">
        <f t="shared" si="15"/>
        <v/>
      </c>
      <c r="AS5" t="str">
        <f t="shared" si="16"/>
        <v/>
      </c>
      <c r="AT5" t="str">
        <f t="shared" si="17"/>
        <v/>
      </c>
      <c r="AU5" t="str">
        <f t="shared" si="18"/>
        <v/>
      </c>
      <c r="AV5" t="str">
        <f t="shared" si="19"/>
        <v/>
      </c>
      <c r="AW5" t="str">
        <f t="shared" si="20"/>
        <v/>
      </c>
      <c r="AX5" t="str">
        <f t="shared" si="21"/>
        <v/>
      </c>
      <c r="AY5" t="str">
        <f t="shared" si="22"/>
        <v/>
      </c>
      <c r="AZ5" t="str">
        <f t="shared" si="23"/>
        <v/>
      </c>
      <c r="BA5" t="str">
        <f t="shared" si="24"/>
        <v/>
      </c>
      <c r="BB5" t="str">
        <f t="shared" si="25"/>
        <v/>
      </c>
      <c r="BC5" t="str">
        <f t="shared" si="26"/>
        <v/>
      </c>
      <c r="BD5" t="str">
        <f t="shared" si="27"/>
        <v/>
      </c>
      <c r="BE5" t="str">
        <f t="shared" si="28"/>
        <v/>
      </c>
      <c r="BF5" t="str">
        <f t="shared" si="29"/>
        <v/>
      </c>
      <c r="BG5" t="str">
        <f t="shared" si="30"/>
        <v/>
      </c>
      <c r="BH5" t="str">
        <f t="shared" si="31"/>
        <v/>
      </c>
    </row>
    <row r="6" spans="1:66" x14ac:dyDescent="0.2">
      <c r="A6">
        <v>3</v>
      </c>
      <c r="B6">
        <v>28</v>
      </c>
      <c r="C6" t="s">
        <v>207</v>
      </c>
      <c r="D6">
        <v>1</v>
      </c>
      <c r="K6">
        <v>1</v>
      </c>
      <c r="L6">
        <v>1</v>
      </c>
      <c r="M6">
        <v>2</v>
      </c>
      <c r="N6">
        <v>4</v>
      </c>
      <c r="O6">
        <v>4</v>
      </c>
      <c r="S6">
        <v>1</v>
      </c>
      <c r="T6">
        <v>1</v>
      </c>
      <c r="X6">
        <f t="shared" si="33"/>
        <v>0</v>
      </c>
      <c r="Z6" t="str">
        <f t="shared" si="0"/>
        <v/>
      </c>
      <c r="AA6" t="str">
        <f t="shared" si="1"/>
        <v/>
      </c>
      <c r="AB6" t="str">
        <f t="shared" si="2"/>
        <v/>
      </c>
      <c r="AC6" t="str">
        <f t="shared" si="3"/>
        <v/>
      </c>
      <c r="AE6" t="str">
        <f t="shared" si="4"/>
        <v/>
      </c>
      <c r="AF6" t="str">
        <f t="shared" si="5"/>
        <v/>
      </c>
      <c r="AG6" t="str">
        <f t="shared" si="6"/>
        <v/>
      </c>
      <c r="AH6" t="str">
        <f t="shared" si="7"/>
        <v/>
      </c>
      <c r="AI6" t="str">
        <f t="shared" si="8"/>
        <v/>
      </c>
      <c r="AK6" t="str">
        <f t="shared" si="9"/>
        <v/>
      </c>
      <c r="AL6" t="str">
        <f t="shared" si="32"/>
        <v/>
      </c>
      <c r="AM6" t="str">
        <f t="shared" si="10"/>
        <v/>
      </c>
      <c r="AN6" t="str">
        <f t="shared" si="11"/>
        <v/>
      </c>
      <c r="AO6" t="str">
        <f t="shared" si="12"/>
        <v/>
      </c>
      <c r="AP6" t="str">
        <f t="shared" si="13"/>
        <v/>
      </c>
      <c r="AQ6" t="str">
        <f t="shared" si="14"/>
        <v/>
      </c>
      <c r="AR6" t="str">
        <f t="shared" si="15"/>
        <v/>
      </c>
      <c r="AS6" t="str">
        <f t="shared" si="16"/>
        <v/>
      </c>
      <c r="AT6" t="str">
        <f t="shared" si="17"/>
        <v/>
      </c>
      <c r="AU6" t="str">
        <f t="shared" si="18"/>
        <v/>
      </c>
      <c r="AV6" t="str">
        <f t="shared" si="19"/>
        <v/>
      </c>
      <c r="AW6" t="str">
        <f t="shared" si="20"/>
        <v/>
      </c>
      <c r="AX6" t="str">
        <f t="shared" si="21"/>
        <v/>
      </c>
      <c r="AY6" t="str">
        <f t="shared" si="22"/>
        <v/>
      </c>
      <c r="AZ6" t="str">
        <f t="shared" si="23"/>
        <v/>
      </c>
      <c r="BA6" t="str">
        <f t="shared" si="24"/>
        <v/>
      </c>
      <c r="BB6" t="str">
        <f t="shared" si="25"/>
        <v/>
      </c>
      <c r="BC6" t="str">
        <f t="shared" si="26"/>
        <v/>
      </c>
      <c r="BD6" t="str">
        <f t="shared" si="27"/>
        <v/>
      </c>
      <c r="BE6" t="str">
        <f t="shared" si="28"/>
        <v/>
      </c>
      <c r="BF6" t="str">
        <f t="shared" si="29"/>
        <v/>
      </c>
      <c r="BG6" t="str">
        <f t="shared" si="30"/>
        <v/>
      </c>
      <c r="BH6" t="str">
        <f t="shared" si="31"/>
        <v/>
      </c>
    </row>
    <row r="7" spans="1:66" x14ac:dyDescent="0.2">
      <c r="A7">
        <v>4</v>
      </c>
      <c r="B7">
        <v>34</v>
      </c>
      <c r="C7" t="s">
        <v>39</v>
      </c>
      <c r="D7">
        <v>1</v>
      </c>
      <c r="K7">
        <v>4</v>
      </c>
      <c r="M7">
        <v>1</v>
      </c>
      <c r="N7">
        <v>5</v>
      </c>
      <c r="O7">
        <v>5</v>
      </c>
      <c r="S7">
        <v>1</v>
      </c>
      <c r="T7">
        <v>1</v>
      </c>
      <c r="X7">
        <f t="shared" si="33"/>
        <v>0</v>
      </c>
      <c r="Z7" t="str">
        <f t="shared" si="0"/>
        <v/>
      </c>
      <c r="AA7" t="str">
        <f t="shared" si="1"/>
        <v/>
      </c>
      <c r="AB7" t="str">
        <f t="shared" si="2"/>
        <v/>
      </c>
      <c r="AC7" t="str">
        <f t="shared" si="3"/>
        <v/>
      </c>
      <c r="AE7" t="str">
        <f t="shared" si="4"/>
        <v/>
      </c>
      <c r="AF7" t="str">
        <f t="shared" si="5"/>
        <v/>
      </c>
      <c r="AG7" t="str">
        <f t="shared" si="6"/>
        <v/>
      </c>
      <c r="AH7" t="str">
        <f t="shared" si="7"/>
        <v/>
      </c>
      <c r="AI7" t="str">
        <f t="shared" si="8"/>
        <v/>
      </c>
      <c r="AK7" t="str">
        <f t="shared" si="9"/>
        <v/>
      </c>
      <c r="AL7" t="str">
        <f t="shared" si="32"/>
        <v/>
      </c>
      <c r="AM7" t="str">
        <f t="shared" si="10"/>
        <v/>
      </c>
      <c r="AN7" t="str">
        <f t="shared" si="11"/>
        <v/>
      </c>
      <c r="AO7" t="str">
        <f t="shared" si="12"/>
        <v/>
      </c>
      <c r="AP7" t="str">
        <f t="shared" si="13"/>
        <v/>
      </c>
      <c r="AQ7" t="str">
        <f t="shared" si="14"/>
        <v/>
      </c>
      <c r="AR7" t="str">
        <f t="shared" si="15"/>
        <v/>
      </c>
      <c r="AS7" t="str">
        <f t="shared" si="16"/>
        <v/>
      </c>
      <c r="AT7" t="str">
        <f t="shared" si="17"/>
        <v/>
      </c>
      <c r="AU7" t="str">
        <f t="shared" si="18"/>
        <v/>
      </c>
      <c r="AV7" t="str">
        <f t="shared" si="19"/>
        <v/>
      </c>
      <c r="AW7" t="str">
        <f t="shared" si="20"/>
        <v/>
      </c>
      <c r="AX7" t="str">
        <f t="shared" si="21"/>
        <v/>
      </c>
      <c r="AY7" t="str">
        <f t="shared" si="22"/>
        <v/>
      </c>
      <c r="AZ7" t="str">
        <f t="shared" si="23"/>
        <v/>
      </c>
      <c r="BA7" t="str">
        <f t="shared" si="24"/>
        <v/>
      </c>
      <c r="BB7" t="str">
        <f t="shared" si="25"/>
        <v/>
      </c>
      <c r="BC7" t="str">
        <f t="shared" si="26"/>
        <v/>
      </c>
      <c r="BD7" t="str">
        <f t="shared" si="27"/>
        <v/>
      </c>
      <c r="BE7" t="str">
        <f t="shared" si="28"/>
        <v/>
      </c>
      <c r="BF7" t="str">
        <f t="shared" si="29"/>
        <v/>
      </c>
      <c r="BG7" t="str">
        <f t="shared" si="30"/>
        <v/>
      </c>
      <c r="BH7" t="str">
        <f t="shared" si="31"/>
        <v/>
      </c>
    </row>
    <row r="8" spans="1:66" x14ac:dyDescent="0.2">
      <c r="A8">
        <v>5</v>
      </c>
      <c r="B8">
        <v>46</v>
      </c>
      <c r="C8" t="s">
        <v>207</v>
      </c>
      <c r="D8">
        <v>1</v>
      </c>
      <c r="E8">
        <v>1</v>
      </c>
      <c r="K8">
        <v>3</v>
      </c>
      <c r="L8">
        <v>1</v>
      </c>
      <c r="N8">
        <v>4</v>
      </c>
      <c r="O8">
        <v>4</v>
      </c>
      <c r="S8">
        <v>1</v>
      </c>
      <c r="T8">
        <v>1</v>
      </c>
      <c r="U8">
        <v>2</v>
      </c>
      <c r="X8">
        <f t="shared" si="33"/>
        <v>0</v>
      </c>
      <c r="Z8" t="str">
        <f t="shared" si="0"/>
        <v/>
      </c>
      <c r="AA8" t="str">
        <f t="shared" si="1"/>
        <v/>
      </c>
      <c r="AB8" t="str">
        <f t="shared" si="2"/>
        <v/>
      </c>
      <c r="AC8" t="str">
        <f t="shared" si="3"/>
        <v/>
      </c>
      <c r="AE8" t="str">
        <f t="shared" si="4"/>
        <v/>
      </c>
      <c r="AF8" t="str">
        <f t="shared" si="5"/>
        <v/>
      </c>
      <c r="AG8" t="str">
        <f t="shared" si="6"/>
        <v/>
      </c>
      <c r="AH8" t="str">
        <f t="shared" si="7"/>
        <v/>
      </c>
      <c r="AI8" t="str">
        <f t="shared" si="8"/>
        <v/>
      </c>
      <c r="AK8" t="str">
        <f t="shared" si="9"/>
        <v/>
      </c>
      <c r="AL8" t="str">
        <f t="shared" si="32"/>
        <v/>
      </c>
      <c r="AM8" t="str">
        <f t="shared" si="10"/>
        <v/>
      </c>
      <c r="AN8" t="str">
        <f t="shared" si="11"/>
        <v/>
      </c>
      <c r="AO8" t="str">
        <f t="shared" si="12"/>
        <v/>
      </c>
      <c r="AP8" t="str">
        <f t="shared" si="13"/>
        <v/>
      </c>
      <c r="AQ8" t="str">
        <f t="shared" si="14"/>
        <v/>
      </c>
      <c r="AR8" t="str">
        <f t="shared" si="15"/>
        <v/>
      </c>
      <c r="AS8" t="str">
        <f t="shared" si="16"/>
        <v/>
      </c>
      <c r="AT8" t="str">
        <f t="shared" si="17"/>
        <v/>
      </c>
      <c r="AU8" t="str">
        <f t="shared" si="18"/>
        <v/>
      </c>
      <c r="AV8" t="str">
        <f t="shared" si="19"/>
        <v/>
      </c>
      <c r="AW8" t="str">
        <f t="shared" si="20"/>
        <v/>
      </c>
      <c r="AX8" t="str">
        <f t="shared" si="21"/>
        <v/>
      </c>
      <c r="AY8" t="str">
        <f t="shared" si="22"/>
        <v/>
      </c>
      <c r="AZ8" t="str">
        <f t="shared" si="23"/>
        <v/>
      </c>
      <c r="BA8" t="str">
        <f t="shared" si="24"/>
        <v/>
      </c>
      <c r="BB8" t="str">
        <f t="shared" si="25"/>
        <v/>
      </c>
      <c r="BC8" t="str">
        <f t="shared" si="26"/>
        <v/>
      </c>
      <c r="BD8" t="str">
        <f t="shared" si="27"/>
        <v/>
      </c>
      <c r="BE8" t="str">
        <f t="shared" si="28"/>
        <v/>
      </c>
      <c r="BF8" t="str">
        <f t="shared" si="29"/>
        <v/>
      </c>
      <c r="BG8" t="str">
        <f t="shared" si="30"/>
        <v/>
      </c>
      <c r="BH8" t="str">
        <f t="shared" si="31"/>
        <v/>
      </c>
    </row>
    <row r="9" spans="1:66" x14ac:dyDescent="0.2">
      <c r="A9">
        <v>6</v>
      </c>
      <c r="B9">
        <v>52</v>
      </c>
      <c r="C9" t="s">
        <v>207</v>
      </c>
      <c r="D9">
        <v>1</v>
      </c>
      <c r="K9">
        <v>1</v>
      </c>
      <c r="L9">
        <v>1</v>
      </c>
      <c r="M9">
        <v>1</v>
      </c>
      <c r="N9">
        <v>3</v>
      </c>
      <c r="O9">
        <v>3</v>
      </c>
      <c r="S9">
        <v>1</v>
      </c>
      <c r="T9">
        <v>1</v>
      </c>
      <c r="U9">
        <v>43</v>
      </c>
      <c r="X9">
        <f t="shared" si="33"/>
        <v>0</v>
      </c>
      <c r="Z9" t="str">
        <f t="shared" si="0"/>
        <v/>
      </c>
      <c r="AA9" t="str">
        <f t="shared" si="1"/>
        <v/>
      </c>
      <c r="AB9" t="str">
        <f t="shared" si="2"/>
        <v/>
      </c>
      <c r="AC9" t="str">
        <f t="shared" si="3"/>
        <v/>
      </c>
      <c r="AE9" t="str">
        <f t="shared" si="4"/>
        <v/>
      </c>
      <c r="AF9" t="str">
        <f t="shared" si="5"/>
        <v/>
      </c>
      <c r="AG9" t="str">
        <f t="shared" si="6"/>
        <v/>
      </c>
      <c r="AH9" t="str">
        <f t="shared" si="7"/>
        <v/>
      </c>
      <c r="AI9" t="str">
        <f t="shared" si="8"/>
        <v/>
      </c>
      <c r="AK9" t="str">
        <f t="shared" si="9"/>
        <v/>
      </c>
      <c r="AL9" t="str">
        <f t="shared" si="32"/>
        <v/>
      </c>
      <c r="AM9" t="str">
        <f t="shared" si="10"/>
        <v/>
      </c>
      <c r="AN9" t="str">
        <f t="shared" si="11"/>
        <v/>
      </c>
      <c r="AO9" t="str">
        <f t="shared" si="12"/>
        <v/>
      </c>
      <c r="AP9" t="str">
        <f t="shared" si="13"/>
        <v/>
      </c>
      <c r="AQ9" t="str">
        <f t="shared" si="14"/>
        <v/>
      </c>
      <c r="AR9" t="str">
        <f t="shared" si="15"/>
        <v/>
      </c>
      <c r="AS9" t="str">
        <f t="shared" si="16"/>
        <v/>
      </c>
      <c r="AT9" t="str">
        <f t="shared" si="17"/>
        <v/>
      </c>
      <c r="AU9" t="str">
        <f t="shared" si="18"/>
        <v/>
      </c>
      <c r="AV9" t="str">
        <f t="shared" si="19"/>
        <v/>
      </c>
      <c r="AW9" t="str">
        <f t="shared" si="20"/>
        <v/>
      </c>
      <c r="AX9" t="str">
        <f t="shared" si="21"/>
        <v/>
      </c>
      <c r="AY9" t="str">
        <f t="shared" si="22"/>
        <v/>
      </c>
      <c r="AZ9" t="str">
        <f t="shared" si="23"/>
        <v/>
      </c>
      <c r="BA9" t="str">
        <f t="shared" si="24"/>
        <v/>
      </c>
      <c r="BB9" t="str">
        <f t="shared" si="25"/>
        <v/>
      </c>
      <c r="BC9" t="str">
        <f t="shared" si="26"/>
        <v/>
      </c>
      <c r="BD9" t="str">
        <f t="shared" si="27"/>
        <v/>
      </c>
      <c r="BE9" t="str">
        <f t="shared" si="28"/>
        <v/>
      </c>
      <c r="BF9" t="str">
        <f t="shared" si="29"/>
        <v/>
      </c>
      <c r="BG9" t="str">
        <f t="shared" si="30"/>
        <v/>
      </c>
      <c r="BH9" t="str">
        <f t="shared" si="31"/>
        <v/>
      </c>
    </row>
    <row r="10" spans="1:66" x14ac:dyDescent="0.2">
      <c r="A10">
        <v>7</v>
      </c>
      <c r="B10">
        <v>62</v>
      </c>
      <c r="C10" t="s">
        <v>39</v>
      </c>
      <c r="D10">
        <v>1</v>
      </c>
      <c r="K10">
        <v>2</v>
      </c>
      <c r="M10">
        <v>1</v>
      </c>
      <c r="N10">
        <v>4</v>
      </c>
      <c r="O10">
        <v>4</v>
      </c>
      <c r="S10">
        <v>1</v>
      </c>
      <c r="T10">
        <v>1</v>
      </c>
      <c r="U10">
        <v>1</v>
      </c>
      <c r="X10">
        <f t="shared" si="33"/>
        <v>0</v>
      </c>
      <c r="Z10" t="str">
        <f t="shared" si="0"/>
        <v/>
      </c>
      <c r="AA10" t="str">
        <f t="shared" si="1"/>
        <v/>
      </c>
      <c r="AB10" t="str">
        <f t="shared" si="2"/>
        <v/>
      </c>
      <c r="AC10" t="str">
        <f t="shared" si="3"/>
        <v/>
      </c>
      <c r="AE10" t="str">
        <f t="shared" si="4"/>
        <v/>
      </c>
      <c r="AF10" t="str">
        <f t="shared" si="5"/>
        <v/>
      </c>
      <c r="AG10" t="str">
        <f t="shared" si="6"/>
        <v/>
      </c>
      <c r="AH10" t="str">
        <f t="shared" si="7"/>
        <v/>
      </c>
      <c r="AI10" t="str">
        <f t="shared" si="8"/>
        <v/>
      </c>
      <c r="AK10" t="str">
        <f t="shared" si="9"/>
        <v/>
      </c>
      <c r="AL10" t="str">
        <f t="shared" si="32"/>
        <v/>
      </c>
      <c r="AM10" t="str">
        <f t="shared" si="10"/>
        <v/>
      </c>
      <c r="AN10" t="str">
        <f t="shared" si="11"/>
        <v/>
      </c>
      <c r="AO10" t="str">
        <f t="shared" si="12"/>
        <v/>
      </c>
      <c r="AP10" t="str">
        <f t="shared" si="13"/>
        <v/>
      </c>
      <c r="AQ10" t="str">
        <f t="shared" si="14"/>
        <v/>
      </c>
      <c r="AR10" t="str">
        <f t="shared" si="15"/>
        <v/>
      </c>
      <c r="AS10" t="str">
        <f t="shared" si="16"/>
        <v/>
      </c>
      <c r="AT10" t="str">
        <f t="shared" si="17"/>
        <v/>
      </c>
      <c r="AU10" t="str">
        <f t="shared" si="18"/>
        <v/>
      </c>
      <c r="AV10" t="str">
        <f t="shared" si="19"/>
        <v/>
      </c>
      <c r="AW10" t="str">
        <f t="shared" si="20"/>
        <v/>
      </c>
      <c r="AX10" t="str">
        <f t="shared" si="21"/>
        <v/>
      </c>
      <c r="AY10" t="str">
        <f t="shared" si="22"/>
        <v/>
      </c>
      <c r="AZ10" t="str">
        <f t="shared" si="23"/>
        <v/>
      </c>
      <c r="BA10" t="str">
        <f t="shared" si="24"/>
        <v/>
      </c>
      <c r="BB10" t="str">
        <f t="shared" si="25"/>
        <v/>
      </c>
      <c r="BC10" t="str">
        <f t="shared" si="26"/>
        <v/>
      </c>
      <c r="BD10" t="str">
        <f t="shared" si="27"/>
        <v/>
      </c>
      <c r="BE10" t="str">
        <f t="shared" si="28"/>
        <v/>
      </c>
      <c r="BF10" t="str">
        <f t="shared" si="29"/>
        <v/>
      </c>
      <c r="BG10" t="str">
        <f t="shared" si="30"/>
        <v/>
      </c>
      <c r="BH10" t="str">
        <f t="shared" si="31"/>
        <v/>
      </c>
    </row>
    <row r="11" spans="1:66" x14ac:dyDescent="0.2">
      <c r="A11">
        <v>8</v>
      </c>
      <c r="B11">
        <v>71</v>
      </c>
      <c r="C11" t="s">
        <v>39</v>
      </c>
      <c r="D11">
        <v>1</v>
      </c>
      <c r="E11">
        <v>1</v>
      </c>
      <c r="F11">
        <v>1</v>
      </c>
      <c r="K11">
        <v>3</v>
      </c>
      <c r="L11">
        <v>1</v>
      </c>
      <c r="N11">
        <v>3</v>
      </c>
      <c r="O11">
        <v>3</v>
      </c>
      <c r="S11">
        <v>1</v>
      </c>
      <c r="X11">
        <f t="shared" si="33"/>
        <v>0</v>
      </c>
      <c r="Z11" t="str">
        <f t="shared" si="0"/>
        <v/>
      </c>
      <c r="AA11" t="str">
        <f t="shared" si="1"/>
        <v/>
      </c>
      <c r="AB11" t="str">
        <f t="shared" si="2"/>
        <v/>
      </c>
      <c r="AC11" t="str">
        <f t="shared" si="3"/>
        <v/>
      </c>
      <c r="AE11" t="str">
        <f t="shared" si="4"/>
        <v/>
      </c>
      <c r="AF11" t="str">
        <f t="shared" si="5"/>
        <v/>
      </c>
      <c r="AG11" t="str">
        <f t="shared" si="6"/>
        <v/>
      </c>
      <c r="AH11" t="str">
        <f t="shared" si="7"/>
        <v/>
      </c>
      <c r="AI11" t="str">
        <f t="shared" si="8"/>
        <v/>
      </c>
      <c r="AK11" t="str">
        <f t="shared" si="9"/>
        <v/>
      </c>
      <c r="AL11" t="str">
        <f t="shared" si="32"/>
        <v/>
      </c>
      <c r="AM11" t="str">
        <f t="shared" si="10"/>
        <v/>
      </c>
      <c r="AN11" t="str">
        <f t="shared" si="11"/>
        <v/>
      </c>
      <c r="AO11" t="str">
        <f t="shared" si="12"/>
        <v/>
      </c>
      <c r="AP11" t="str">
        <f t="shared" si="13"/>
        <v/>
      </c>
      <c r="AQ11" t="str">
        <f t="shared" si="14"/>
        <v/>
      </c>
      <c r="AR11" t="str">
        <f t="shared" si="15"/>
        <v/>
      </c>
      <c r="AS11" t="str">
        <f t="shared" si="16"/>
        <v/>
      </c>
      <c r="AT11" t="str">
        <f t="shared" si="17"/>
        <v/>
      </c>
      <c r="AU11" t="str">
        <f t="shared" si="18"/>
        <v/>
      </c>
      <c r="AV11" t="str">
        <f t="shared" si="19"/>
        <v/>
      </c>
      <c r="AW11" t="str">
        <f t="shared" si="20"/>
        <v/>
      </c>
      <c r="AX11" t="str">
        <f t="shared" si="21"/>
        <v/>
      </c>
      <c r="AY11" t="str">
        <f t="shared" si="22"/>
        <v/>
      </c>
      <c r="AZ11" t="str">
        <f t="shared" si="23"/>
        <v/>
      </c>
      <c r="BA11" t="str">
        <f t="shared" si="24"/>
        <v/>
      </c>
      <c r="BB11" t="str">
        <f t="shared" si="25"/>
        <v/>
      </c>
      <c r="BC11" t="str">
        <f t="shared" si="26"/>
        <v/>
      </c>
      <c r="BD11" t="str">
        <f t="shared" si="27"/>
        <v/>
      </c>
      <c r="BE11" t="str">
        <f t="shared" si="28"/>
        <v/>
      </c>
      <c r="BF11" t="str">
        <f t="shared" si="29"/>
        <v/>
      </c>
      <c r="BG11" t="str">
        <f t="shared" si="30"/>
        <v/>
      </c>
      <c r="BH11" t="str">
        <f t="shared" si="31"/>
        <v/>
      </c>
    </row>
    <row r="12" spans="1:66" x14ac:dyDescent="0.2">
      <c r="A12">
        <v>9</v>
      </c>
      <c r="B12">
        <v>90</v>
      </c>
      <c r="C12" t="s">
        <v>39</v>
      </c>
      <c r="D12">
        <v>1</v>
      </c>
      <c r="K12">
        <v>3</v>
      </c>
      <c r="M12">
        <v>1</v>
      </c>
      <c r="N12">
        <v>4</v>
      </c>
      <c r="O12">
        <v>4</v>
      </c>
      <c r="S12">
        <v>1</v>
      </c>
      <c r="T12">
        <v>1</v>
      </c>
      <c r="X12">
        <f t="shared" si="33"/>
        <v>0</v>
      </c>
      <c r="Z12" t="str">
        <f t="shared" si="0"/>
        <v/>
      </c>
      <c r="AA12" t="str">
        <f t="shared" si="1"/>
        <v/>
      </c>
      <c r="AB12" t="str">
        <f t="shared" si="2"/>
        <v/>
      </c>
      <c r="AC12" t="str">
        <f t="shared" si="3"/>
        <v/>
      </c>
      <c r="AE12" t="str">
        <f t="shared" si="4"/>
        <v/>
      </c>
      <c r="AF12" t="str">
        <f t="shared" si="5"/>
        <v/>
      </c>
      <c r="AG12" t="str">
        <f t="shared" si="6"/>
        <v/>
      </c>
      <c r="AH12" t="str">
        <f t="shared" si="7"/>
        <v/>
      </c>
      <c r="AI12" t="str">
        <f t="shared" si="8"/>
        <v/>
      </c>
      <c r="AK12" t="str">
        <f t="shared" si="9"/>
        <v/>
      </c>
      <c r="AL12" t="str">
        <f t="shared" si="32"/>
        <v/>
      </c>
      <c r="AM12" t="str">
        <f t="shared" si="10"/>
        <v/>
      </c>
      <c r="AN12" t="str">
        <f t="shared" si="11"/>
        <v/>
      </c>
      <c r="AO12" t="str">
        <f t="shared" si="12"/>
        <v/>
      </c>
      <c r="AP12" t="str">
        <f t="shared" si="13"/>
        <v/>
      </c>
      <c r="AQ12" t="str">
        <f t="shared" si="14"/>
        <v/>
      </c>
      <c r="AR12" t="str">
        <f t="shared" si="15"/>
        <v/>
      </c>
      <c r="AS12" t="str">
        <f t="shared" si="16"/>
        <v/>
      </c>
      <c r="AT12" t="str">
        <f t="shared" si="17"/>
        <v/>
      </c>
      <c r="AU12" t="str">
        <f t="shared" si="18"/>
        <v/>
      </c>
      <c r="AV12" t="str">
        <f t="shared" si="19"/>
        <v/>
      </c>
      <c r="AW12" t="str">
        <f t="shared" si="20"/>
        <v/>
      </c>
      <c r="AX12" t="str">
        <f t="shared" si="21"/>
        <v/>
      </c>
      <c r="AY12" t="str">
        <f t="shared" si="22"/>
        <v/>
      </c>
      <c r="AZ12" t="str">
        <f t="shared" si="23"/>
        <v/>
      </c>
      <c r="BA12" t="str">
        <f t="shared" si="24"/>
        <v/>
      </c>
      <c r="BB12" t="str">
        <f t="shared" si="25"/>
        <v/>
      </c>
      <c r="BC12" t="str">
        <f t="shared" si="26"/>
        <v/>
      </c>
      <c r="BD12" t="str">
        <f t="shared" si="27"/>
        <v/>
      </c>
      <c r="BE12" t="str">
        <f t="shared" si="28"/>
        <v/>
      </c>
      <c r="BF12" t="str">
        <f t="shared" si="29"/>
        <v/>
      </c>
      <c r="BG12" t="str">
        <f t="shared" si="30"/>
        <v/>
      </c>
      <c r="BH12" t="str">
        <f t="shared" si="31"/>
        <v/>
      </c>
    </row>
    <row r="13" spans="1:66" x14ac:dyDescent="0.2">
      <c r="A13">
        <v>10</v>
      </c>
      <c r="B13">
        <v>97</v>
      </c>
      <c r="C13" t="s">
        <v>39</v>
      </c>
      <c r="D13">
        <v>1</v>
      </c>
      <c r="K13">
        <v>2</v>
      </c>
      <c r="L13">
        <v>2</v>
      </c>
      <c r="M13">
        <v>1</v>
      </c>
      <c r="N13">
        <v>3</v>
      </c>
      <c r="O13">
        <v>3</v>
      </c>
      <c r="S13">
        <v>1</v>
      </c>
      <c r="T13">
        <v>1</v>
      </c>
      <c r="X13">
        <f t="shared" si="33"/>
        <v>0</v>
      </c>
      <c r="Z13" t="str">
        <f t="shared" si="0"/>
        <v/>
      </c>
      <c r="AA13" t="str">
        <f t="shared" si="1"/>
        <v/>
      </c>
      <c r="AB13" t="str">
        <f t="shared" si="2"/>
        <v/>
      </c>
      <c r="AC13" t="str">
        <f t="shared" si="3"/>
        <v/>
      </c>
      <c r="AE13" t="str">
        <f t="shared" si="4"/>
        <v/>
      </c>
      <c r="AF13" t="str">
        <f t="shared" si="5"/>
        <v/>
      </c>
      <c r="AG13" t="str">
        <f t="shared" si="6"/>
        <v/>
      </c>
      <c r="AH13" t="str">
        <f t="shared" si="7"/>
        <v/>
      </c>
      <c r="AI13" t="str">
        <f t="shared" si="8"/>
        <v/>
      </c>
      <c r="AK13" t="str">
        <f t="shared" si="9"/>
        <v/>
      </c>
      <c r="AL13" t="str">
        <f t="shared" si="32"/>
        <v/>
      </c>
      <c r="AM13" t="str">
        <f t="shared" si="10"/>
        <v/>
      </c>
      <c r="AN13" t="str">
        <f t="shared" si="11"/>
        <v/>
      </c>
      <c r="AO13" t="str">
        <f t="shared" si="12"/>
        <v/>
      </c>
      <c r="AP13" t="str">
        <f t="shared" si="13"/>
        <v/>
      </c>
      <c r="AQ13" t="str">
        <f t="shared" si="14"/>
        <v/>
      </c>
      <c r="AR13" t="str">
        <f t="shared" si="15"/>
        <v/>
      </c>
      <c r="AS13" t="str">
        <f t="shared" si="16"/>
        <v/>
      </c>
      <c r="AT13" t="str">
        <f t="shared" si="17"/>
        <v/>
      </c>
      <c r="AU13" t="str">
        <f t="shared" si="18"/>
        <v/>
      </c>
      <c r="AV13" t="str">
        <f t="shared" si="19"/>
        <v/>
      </c>
      <c r="AW13" t="str">
        <f t="shared" si="20"/>
        <v/>
      </c>
      <c r="AX13" t="str">
        <f t="shared" si="21"/>
        <v/>
      </c>
      <c r="AY13" t="str">
        <f t="shared" si="22"/>
        <v/>
      </c>
      <c r="AZ13" t="str">
        <f t="shared" si="23"/>
        <v/>
      </c>
      <c r="BA13" t="str">
        <f t="shared" si="24"/>
        <v/>
      </c>
      <c r="BB13" t="str">
        <f t="shared" si="25"/>
        <v/>
      </c>
      <c r="BC13" t="str">
        <f t="shared" si="26"/>
        <v/>
      </c>
      <c r="BD13" t="str">
        <f t="shared" si="27"/>
        <v/>
      </c>
      <c r="BE13" t="str">
        <f t="shared" si="28"/>
        <v/>
      </c>
      <c r="BF13" t="str">
        <f t="shared" si="29"/>
        <v/>
      </c>
      <c r="BG13" t="str">
        <f t="shared" si="30"/>
        <v/>
      </c>
      <c r="BH13" t="str">
        <f t="shared" si="31"/>
        <v/>
      </c>
    </row>
    <row r="14" spans="1:66" x14ac:dyDescent="0.2">
      <c r="A14">
        <v>11</v>
      </c>
      <c r="B14">
        <v>106</v>
      </c>
      <c r="C14" t="s">
        <v>207</v>
      </c>
      <c r="D14">
        <v>1</v>
      </c>
      <c r="E14">
        <v>1</v>
      </c>
      <c r="F14">
        <v>1</v>
      </c>
      <c r="K14">
        <v>3</v>
      </c>
      <c r="M14">
        <v>2</v>
      </c>
      <c r="N14">
        <v>4</v>
      </c>
      <c r="O14">
        <v>4</v>
      </c>
      <c r="S14">
        <v>1</v>
      </c>
      <c r="U14">
        <v>3</v>
      </c>
      <c r="X14">
        <f t="shared" si="33"/>
        <v>0</v>
      </c>
      <c r="Z14" t="s">
        <v>31</v>
      </c>
      <c r="AE14" t="s">
        <v>34</v>
      </c>
      <c r="AK14" t="s">
        <v>43</v>
      </c>
      <c r="AP14" t="s">
        <v>84</v>
      </c>
    </row>
    <row r="15" spans="1:66" x14ac:dyDescent="0.2">
      <c r="A15">
        <v>12</v>
      </c>
      <c r="B15">
        <v>111</v>
      </c>
      <c r="C15" t="s">
        <v>207</v>
      </c>
      <c r="D15">
        <v>1</v>
      </c>
      <c r="K15">
        <v>1</v>
      </c>
      <c r="M15">
        <v>1</v>
      </c>
      <c r="N15">
        <v>2</v>
      </c>
      <c r="O15">
        <v>1</v>
      </c>
      <c r="S15">
        <v>1</v>
      </c>
      <c r="X15">
        <f t="shared" si="33"/>
        <v>0</v>
      </c>
      <c r="Z15" t="s">
        <v>21</v>
      </c>
      <c r="AA15" t="s">
        <v>22</v>
      </c>
      <c r="AE15" t="s">
        <v>21</v>
      </c>
      <c r="AF15" t="s">
        <v>22</v>
      </c>
      <c r="AG15" t="s">
        <v>35</v>
      </c>
      <c r="AK15" t="s">
        <v>10</v>
      </c>
      <c r="AL15" t="s">
        <v>25</v>
      </c>
      <c r="AM15" t="s">
        <v>26</v>
      </c>
      <c r="AN15" t="s">
        <v>27</v>
      </c>
      <c r="AP15" t="s">
        <v>15</v>
      </c>
      <c r="AQ15" t="s">
        <v>85</v>
      </c>
    </row>
    <row r="16" spans="1:66" x14ac:dyDescent="0.2">
      <c r="A16" t="s">
        <v>28</v>
      </c>
      <c r="D16">
        <f>SUM(D4:D15)</f>
        <v>12</v>
      </c>
      <c r="E16">
        <f>SUM(E4:E15)</f>
        <v>3</v>
      </c>
      <c r="F16">
        <f>SUM(F4:F15)</f>
        <v>2</v>
      </c>
      <c r="G16">
        <f>SUM(G4:G15)</f>
        <v>0</v>
      </c>
      <c r="H16">
        <f>SUM(H4:H15)</f>
        <v>0</v>
      </c>
      <c r="K16">
        <f>SUM(K4:K15)</f>
        <v>27</v>
      </c>
      <c r="L16">
        <f>SUM(L4:L15)</f>
        <v>7</v>
      </c>
      <c r="M16">
        <f>SUM(M4:M15)</f>
        <v>12</v>
      </c>
      <c r="N16">
        <f>SUM(N4:N15)</f>
        <v>43</v>
      </c>
      <c r="O16">
        <f>SUM(O4:O15)</f>
        <v>42</v>
      </c>
      <c r="Q16">
        <f t="shared" ref="Q16:R16" si="34">SUM(Q4:Q15)</f>
        <v>0</v>
      </c>
      <c r="R16">
        <f t="shared" si="34"/>
        <v>0</v>
      </c>
      <c r="S16">
        <f>SUM(S4:S15)</f>
        <v>12</v>
      </c>
      <c r="T16">
        <f>SUM(T4:T15)</f>
        <v>9</v>
      </c>
      <c r="U16">
        <f>SUM(U4:U15)</f>
        <v>50</v>
      </c>
      <c r="V16">
        <f>SUM(V4:V15)</f>
        <v>0</v>
      </c>
      <c r="W16">
        <f>SUM(W4:W15)</f>
        <v>0</v>
      </c>
      <c r="Z16">
        <f t="shared" ref="Z16:Z27" si="35">COUNTIF(Z2:AC2, "3")*COUNTIF(C4, "r")+COUNTIF(Z2:AC2, "5")*COUNTIF(C4, "b")</f>
        <v>0</v>
      </c>
      <c r="AA16">
        <f t="shared" ref="AA16:AA27" si="36">COUNTIF(Z2:AC2, "1")+COUNTIF(Z2:AC2, "2")+COUNTIF(Z2:AC2, "4")</f>
        <v>0</v>
      </c>
      <c r="AE16">
        <f t="shared" ref="AE16:AE27" si="37">COUNTIF(AE2:AI2, "3")*COUNTIF(C4, "r") + COUNTIF(AE2:AI2, "5")*COUNTIF(C4, "b")</f>
        <v>0</v>
      </c>
      <c r="AF16">
        <f t="shared" ref="AF16:AF27" si="38">COUNTIF(AE2:AI2, "1")+COUNTIF(AE2:AI2, "2")+COUNTIF(AE2:AI2, "4")</f>
        <v>0</v>
      </c>
      <c r="AG16">
        <f t="shared" ref="AG16:AG27" si="39">COUNTIF(AE2:AI2, "3")*COUNTIF(AE2:AI2, "b")+COUNTIF(AE2:AI2, "5")*COUNTIF(AE2:AI2, "r")</f>
        <v>0</v>
      </c>
      <c r="AK16">
        <f t="shared" ref="AK16:AK27" si="40">SUMPRODUCT(LEN($AK2:$BH2) - LEN(SUBSTITUTE($AK2:$BH2, "g", "")))</f>
        <v>0</v>
      </c>
      <c r="AL16">
        <f t="shared" ref="AL16:AL27" si="41">SUMPRODUCT(LEN($AK2:$BH2) - LEN(SUBSTITUTE($AK2:$BH2, "h", "")))</f>
        <v>0</v>
      </c>
      <c r="AM16">
        <f t="shared" ref="AM16:AM27" si="42">SUMPRODUCT(LEN($AK2:$BH2) - LEN(SUBSTITUTE($AK2:$BH2, "v", "")))</f>
        <v>0</v>
      </c>
      <c r="AN16">
        <f t="shared" ref="AN16:AN27" si="43">SUMPRODUCT(LEN($AK2:$BH2) - LEN(SUBSTITUTE($AK2:$BH2, "r", "")))</f>
        <v>0</v>
      </c>
      <c r="AP16">
        <f>MAX(AQ16:BN16)</f>
        <v>0</v>
      </c>
      <c r="AQ16" s="4">
        <f>_xlfn.NUMBERVALUE(RIGHT(AK2,1))</f>
        <v>0</v>
      </c>
      <c r="AR16" s="4">
        <f t="shared" ref="AR16:BG27" si="44">_xlfn.NUMBERVALUE(RIGHT(AL2,1))</f>
        <v>0</v>
      </c>
      <c r="AS16" s="4">
        <f t="shared" si="44"/>
        <v>0</v>
      </c>
      <c r="AT16" s="4">
        <f t="shared" si="44"/>
        <v>0</v>
      </c>
      <c r="AU16" s="4">
        <f t="shared" si="44"/>
        <v>0</v>
      </c>
      <c r="AV16" s="4">
        <f t="shared" si="44"/>
        <v>0</v>
      </c>
      <c r="AW16" s="4">
        <f t="shared" si="44"/>
        <v>0</v>
      </c>
      <c r="AX16" s="4">
        <f t="shared" si="44"/>
        <v>0</v>
      </c>
      <c r="AY16" s="4">
        <f t="shared" si="44"/>
        <v>0</v>
      </c>
      <c r="AZ16" s="4">
        <f t="shared" si="44"/>
        <v>0</v>
      </c>
      <c r="BA16" s="4">
        <f t="shared" si="44"/>
        <v>0</v>
      </c>
      <c r="BB16" s="4">
        <f t="shared" si="44"/>
        <v>0</v>
      </c>
      <c r="BC16" s="4">
        <f t="shared" si="44"/>
        <v>0</v>
      </c>
      <c r="BD16" s="4">
        <f t="shared" si="44"/>
        <v>0</v>
      </c>
      <c r="BE16" s="4">
        <f t="shared" si="44"/>
        <v>0</v>
      </c>
      <c r="BF16" s="4">
        <f t="shared" si="44"/>
        <v>0</v>
      </c>
      <c r="BG16" s="4">
        <f t="shared" si="44"/>
        <v>0</v>
      </c>
      <c r="BH16" s="4">
        <f t="shared" ref="BH16:BN27" si="45">_xlfn.NUMBERVALUE(RIGHT(BB2,1))</f>
        <v>0</v>
      </c>
      <c r="BI16" s="4">
        <f t="shared" si="45"/>
        <v>0</v>
      </c>
      <c r="BJ16" s="4">
        <f t="shared" si="45"/>
        <v>0</v>
      </c>
      <c r="BK16" s="4">
        <f t="shared" si="45"/>
        <v>0</v>
      </c>
      <c r="BL16" s="4">
        <f t="shared" si="45"/>
        <v>0</v>
      </c>
      <c r="BM16" s="4">
        <f t="shared" si="45"/>
        <v>0</v>
      </c>
      <c r="BN16" s="4">
        <f t="shared" si="45"/>
        <v>0</v>
      </c>
    </row>
    <row r="17" spans="1:66" x14ac:dyDescent="0.2">
      <c r="A17" s="1" t="s">
        <v>20</v>
      </c>
      <c r="D17" s="1" t="s">
        <v>49</v>
      </c>
      <c r="G17" s="1" t="s">
        <v>52</v>
      </c>
      <c r="K17" s="3" t="s">
        <v>74</v>
      </c>
      <c r="P17" s="1" t="s">
        <v>66</v>
      </c>
      <c r="Z17">
        <f t="shared" si="35"/>
        <v>0</v>
      </c>
      <c r="AA17">
        <f t="shared" si="36"/>
        <v>0</v>
      </c>
      <c r="AE17">
        <f t="shared" si="37"/>
        <v>0</v>
      </c>
      <c r="AF17">
        <f t="shared" si="38"/>
        <v>1</v>
      </c>
      <c r="AG17">
        <f t="shared" si="39"/>
        <v>0</v>
      </c>
      <c r="AK17">
        <f t="shared" si="40"/>
        <v>0</v>
      </c>
      <c r="AL17">
        <f t="shared" si="41"/>
        <v>0</v>
      </c>
      <c r="AM17">
        <f t="shared" si="42"/>
        <v>0</v>
      </c>
      <c r="AN17">
        <f t="shared" si="43"/>
        <v>0</v>
      </c>
      <c r="AP17">
        <f t="shared" ref="AP17:AP27" si="46">MAX(AQ17:BN17)</f>
        <v>0</v>
      </c>
      <c r="AQ17" s="4">
        <f t="shared" ref="AQ17:AQ27" si="47">_xlfn.NUMBERVALUE(RIGHT(AK3,1))</f>
        <v>0</v>
      </c>
      <c r="AR17" s="4">
        <f t="shared" si="44"/>
        <v>0</v>
      </c>
      <c r="AS17" s="4">
        <f t="shared" si="44"/>
        <v>0</v>
      </c>
      <c r="AT17" s="4">
        <f t="shared" si="44"/>
        <v>0</v>
      </c>
      <c r="AU17" s="4">
        <f t="shared" si="44"/>
        <v>0</v>
      </c>
      <c r="AV17" s="4">
        <f t="shared" si="44"/>
        <v>0</v>
      </c>
      <c r="AW17" s="4">
        <f t="shared" si="44"/>
        <v>0</v>
      </c>
      <c r="AX17" s="4">
        <f t="shared" si="44"/>
        <v>0</v>
      </c>
      <c r="AY17" s="4">
        <f t="shared" si="44"/>
        <v>0</v>
      </c>
      <c r="AZ17" s="4">
        <f t="shared" si="44"/>
        <v>0</v>
      </c>
      <c r="BA17" s="4">
        <f t="shared" si="44"/>
        <v>0</v>
      </c>
      <c r="BB17" s="4">
        <f t="shared" si="44"/>
        <v>0</v>
      </c>
      <c r="BC17" s="4">
        <f t="shared" si="44"/>
        <v>0</v>
      </c>
      <c r="BD17" s="4">
        <f t="shared" si="44"/>
        <v>0</v>
      </c>
      <c r="BE17" s="4">
        <f t="shared" si="44"/>
        <v>0</v>
      </c>
      <c r="BF17" s="4">
        <f t="shared" si="44"/>
        <v>0</v>
      </c>
      <c r="BG17" s="4">
        <f t="shared" si="44"/>
        <v>0</v>
      </c>
      <c r="BH17" s="4">
        <f t="shared" si="45"/>
        <v>0</v>
      </c>
      <c r="BI17" s="4">
        <f t="shared" si="45"/>
        <v>0</v>
      </c>
      <c r="BJ17" s="4">
        <f t="shared" si="45"/>
        <v>0</v>
      </c>
      <c r="BK17" s="4">
        <f t="shared" si="45"/>
        <v>0</v>
      </c>
      <c r="BL17" s="4">
        <f t="shared" si="45"/>
        <v>0</v>
      </c>
      <c r="BM17" s="4">
        <f t="shared" si="45"/>
        <v>0</v>
      </c>
      <c r="BN17" s="4">
        <f t="shared" si="45"/>
        <v>0</v>
      </c>
    </row>
    <row r="18" spans="1:66" x14ac:dyDescent="0.2">
      <c r="A18" t="s">
        <v>32</v>
      </c>
      <c r="B18" t="s">
        <v>21</v>
      </c>
      <c r="D18" t="s">
        <v>180</v>
      </c>
      <c r="G18" s="3" t="s">
        <v>53</v>
      </c>
      <c r="K18" t="s">
        <v>55</v>
      </c>
      <c r="M18" t="s">
        <v>65</v>
      </c>
      <c r="P18" t="s">
        <v>67</v>
      </c>
      <c r="Z18">
        <f t="shared" si="35"/>
        <v>0</v>
      </c>
      <c r="AA18">
        <f t="shared" si="36"/>
        <v>0</v>
      </c>
      <c r="AE18">
        <f t="shared" si="37"/>
        <v>0</v>
      </c>
      <c r="AF18">
        <f t="shared" si="38"/>
        <v>0</v>
      </c>
      <c r="AG18">
        <f t="shared" si="39"/>
        <v>0</v>
      </c>
      <c r="AK18">
        <f t="shared" si="40"/>
        <v>0</v>
      </c>
      <c r="AL18">
        <f t="shared" si="41"/>
        <v>0</v>
      </c>
      <c r="AM18">
        <f t="shared" si="42"/>
        <v>0</v>
      </c>
      <c r="AN18">
        <f t="shared" si="43"/>
        <v>0</v>
      </c>
      <c r="AP18">
        <f t="shared" si="46"/>
        <v>0</v>
      </c>
      <c r="AQ18" s="4">
        <f t="shared" si="47"/>
        <v>0</v>
      </c>
      <c r="AR18" s="4">
        <f t="shared" si="44"/>
        <v>0</v>
      </c>
      <c r="AS18" s="4">
        <f t="shared" si="44"/>
        <v>0</v>
      </c>
      <c r="AT18" s="4">
        <f t="shared" si="44"/>
        <v>0</v>
      </c>
      <c r="AU18" s="4">
        <f t="shared" si="44"/>
        <v>0</v>
      </c>
      <c r="AV18" s="4">
        <f t="shared" si="44"/>
        <v>0</v>
      </c>
      <c r="AW18" s="4">
        <f t="shared" si="44"/>
        <v>0</v>
      </c>
      <c r="AX18" s="4">
        <f t="shared" si="44"/>
        <v>0</v>
      </c>
      <c r="AY18" s="4">
        <f t="shared" si="44"/>
        <v>0</v>
      </c>
      <c r="AZ18" s="4">
        <f t="shared" si="44"/>
        <v>0</v>
      </c>
      <c r="BA18" s="4">
        <f t="shared" si="44"/>
        <v>0</v>
      </c>
      <c r="BB18" s="4">
        <f t="shared" si="44"/>
        <v>0</v>
      </c>
      <c r="BC18" s="4">
        <f t="shared" si="44"/>
        <v>0</v>
      </c>
      <c r="BD18" s="4">
        <f t="shared" si="44"/>
        <v>0</v>
      </c>
      <c r="BE18" s="4">
        <f t="shared" si="44"/>
        <v>0</v>
      </c>
      <c r="BF18" s="4">
        <f t="shared" si="44"/>
        <v>0</v>
      </c>
      <c r="BG18" s="4">
        <f t="shared" si="44"/>
        <v>0</v>
      </c>
      <c r="BH18" s="4">
        <f t="shared" si="45"/>
        <v>0</v>
      </c>
      <c r="BI18" s="4">
        <f t="shared" si="45"/>
        <v>0</v>
      </c>
      <c r="BJ18" s="4">
        <f t="shared" si="45"/>
        <v>0</v>
      </c>
      <c r="BK18" s="4">
        <f t="shared" si="45"/>
        <v>0</v>
      </c>
      <c r="BL18" s="4">
        <f t="shared" si="45"/>
        <v>0</v>
      </c>
      <c r="BM18" s="4">
        <f t="shared" si="45"/>
        <v>0</v>
      </c>
      <c r="BN18" s="4">
        <f t="shared" si="45"/>
        <v>0</v>
      </c>
    </row>
    <row r="19" spans="1:66" x14ac:dyDescent="0.2">
      <c r="A19" t="s">
        <v>40</v>
      </c>
      <c r="B19" t="s">
        <v>22</v>
      </c>
      <c r="D19">
        <f>E16/D16</f>
        <v>0.25</v>
      </c>
      <c r="G19" t="s">
        <v>75</v>
      </c>
      <c r="K19">
        <f>O16/N16</f>
        <v>0.97674418604651159</v>
      </c>
      <c r="M19">
        <f>SUM(M39:M50)</f>
        <v>-3</v>
      </c>
      <c r="P19">
        <f>T16/S16</f>
        <v>0.75</v>
      </c>
      <c r="Z19">
        <f t="shared" si="35"/>
        <v>0</v>
      </c>
      <c r="AA19">
        <f t="shared" si="36"/>
        <v>0</v>
      </c>
      <c r="AE19">
        <f t="shared" si="37"/>
        <v>0</v>
      </c>
      <c r="AF19">
        <f t="shared" si="38"/>
        <v>0</v>
      </c>
      <c r="AG19">
        <f t="shared" si="39"/>
        <v>0</v>
      </c>
      <c r="AK19">
        <f t="shared" si="40"/>
        <v>0</v>
      </c>
      <c r="AL19">
        <f t="shared" si="41"/>
        <v>0</v>
      </c>
      <c r="AM19">
        <f t="shared" si="42"/>
        <v>0</v>
      </c>
      <c r="AN19">
        <f t="shared" si="43"/>
        <v>0</v>
      </c>
      <c r="AP19">
        <f t="shared" si="46"/>
        <v>0</v>
      </c>
      <c r="AQ19" s="4">
        <f t="shared" si="47"/>
        <v>0</v>
      </c>
      <c r="AR19" s="4">
        <f t="shared" si="44"/>
        <v>0</v>
      </c>
      <c r="AS19" s="4">
        <f t="shared" si="44"/>
        <v>0</v>
      </c>
      <c r="AT19" s="4">
        <f t="shared" si="44"/>
        <v>0</v>
      </c>
      <c r="AU19" s="4">
        <f t="shared" si="44"/>
        <v>0</v>
      </c>
      <c r="AV19" s="4">
        <f t="shared" si="44"/>
        <v>0</v>
      </c>
      <c r="AW19" s="4">
        <f t="shared" si="44"/>
        <v>0</v>
      </c>
      <c r="AX19" s="4">
        <f t="shared" si="44"/>
        <v>0</v>
      </c>
      <c r="AY19" s="4">
        <f t="shared" si="44"/>
        <v>0</v>
      </c>
      <c r="AZ19" s="4">
        <f t="shared" si="44"/>
        <v>0</v>
      </c>
      <c r="BA19" s="4">
        <f t="shared" si="44"/>
        <v>0</v>
      </c>
      <c r="BB19" s="4">
        <f t="shared" si="44"/>
        <v>0</v>
      </c>
      <c r="BC19" s="4">
        <f t="shared" si="44"/>
        <v>0</v>
      </c>
      <c r="BD19" s="4">
        <f t="shared" si="44"/>
        <v>0</v>
      </c>
      <c r="BE19" s="4">
        <f t="shared" si="44"/>
        <v>0</v>
      </c>
      <c r="BF19" s="4">
        <f t="shared" si="44"/>
        <v>0</v>
      </c>
      <c r="BG19" s="4">
        <f t="shared" si="44"/>
        <v>0</v>
      </c>
      <c r="BH19" s="4">
        <f t="shared" si="45"/>
        <v>0</v>
      </c>
      <c r="BI19" s="4">
        <f t="shared" si="45"/>
        <v>0</v>
      </c>
      <c r="BJ19" s="4">
        <f t="shared" si="45"/>
        <v>0</v>
      </c>
      <c r="BK19" s="4">
        <f t="shared" si="45"/>
        <v>0</v>
      </c>
      <c r="BL19" s="4">
        <f t="shared" si="45"/>
        <v>0</v>
      </c>
      <c r="BM19" s="4">
        <f t="shared" si="45"/>
        <v>0</v>
      </c>
      <c r="BN19" s="4">
        <f t="shared" si="45"/>
        <v>0</v>
      </c>
    </row>
    <row r="20" spans="1:66" x14ac:dyDescent="0.2">
      <c r="A20" t="s">
        <v>41</v>
      </c>
      <c r="B20" t="s">
        <v>23</v>
      </c>
      <c r="D20" t="s">
        <v>47</v>
      </c>
      <c r="G20" t="e">
        <f>AK28/AP28</f>
        <v>#DIV/0!</v>
      </c>
      <c r="K20" t="s">
        <v>13</v>
      </c>
      <c r="Z20">
        <f t="shared" si="35"/>
        <v>0</v>
      </c>
      <c r="AA20">
        <f t="shared" si="36"/>
        <v>0</v>
      </c>
      <c r="AE20">
        <f t="shared" si="37"/>
        <v>0</v>
      </c>
      <c r="AF20">
        <f t="shared" si="38"/>
        <v>0</v>
      </c>
      <c r="AG20">
        <f t="shared" si="39"/>
        <v>0</v>
      </c>
      <c r="AK20">
        <f t="shared" si="40"/>
        <v>0</v>
      </c>
      <c r="AL20">
        <f t="shared" si="41"/>
        <v>0</v>
      </c>
      <c r="AM20">
        <f t="shared" si="42"/>
        <v>0</v>
      </c>
      <c r="AN20">
        <f t="shared" si="43"/>
        <v>0</v>
      </c>
      <c r="AP20">
        <f t="shared" si="46"/>
        <v>0</v>
      </c>
      <c r="AQ20" s="4">
        <f t="shared" si="47"/>
        <v>0</v>
      </c>
      <c r="AR20" s="4">
        <f t="shared" si="44"/>
        <v>0</v>
      </c>
      <c r="AS20" s="4">
        <f t="shared" si="44"/>
        <v>0</v>
      </c>
      <c r="AT20" s="4">
        <f t="shared" si="44"/>
        <v>0</v>
      </c>
      <c r="AU20" s="4">
        <f t="shared" si="44"/>
        <v>0</v>
      </c>
      <c r="AV20" s="4">
        <f t="shared" si="44"/>
        <v>0</v>
      </c>
      <c r="AW20" s="4">
        <f t="shared" si="44"/>
        <v>0</v>
      </c>
      <c r="AX20" s="4">
        <f t="shared" si="44"/>
        <v>0</v>
      </c>
      <c r="AY20" s="4">
        <f t="shared" si="44"/>
        <v>0</v>
      </c>
      <c r="AZ20" s="4">
        <f t="shared" si="44"/>
        <v>0</v>
      </c>
      <c r="BA20" s="4">
        <f t="shared" si="44"/>
        <v>0</v>
      </c>
      <c r="BB20" s="4">
        <f t="shared" si="44"/>
        <v>0</v>
      </c>
      <c r="BC20" s="4">
        <f t="shared" si="44"/>
        <v>0</v>
      </c>
      <c r="BD20" s="4">
        <f t="shared" si="44"/>
        <v>0</v>
      </c>
      <c r="BE20" s="4">
        <f t="shared" si="44"/>
        <v>0</v>
      </c>
      <c r="BF20" s="4">
        <f t="shared" si="44"/>
        <v>0</v>
      </c>
      <c r="BG20" s="4">
        <f t="shared" si="44"/>
        <v>0</v>
      </c>
      <c r="BH20" s="4">
        <f t="shared" si="45"/>
        <v>0</v>
      </c>
      <c r="BI20" s="4">
        <f t="shared" si="45"/>
        <v>0</v>
      </c>
      <c r="BJ20" s="4">
        <f t="shared" si="45"/>
        <v>0</v>
      </c>
      <c r="BK20" s="4">
        <f t="shared" si="45"/>
        <v>0</v>
      </c>
      <c r="BL20" s="4">
        <f t="shared" si="45"/>
        <v>0</v>
      </c>
      <c r="BM20" s="4">
        <f t="shared" si="45"/>
        <v>0</v>
      </c>
      <c r="BN20" s="4">
        <f t="shared" si="45"/>
        <v>0</v>
      </c>
    </row>
    <row r="21" spans="1:66" x14ac:dyDescent="0.2">
      <c r="A21" s="1" t="s">
        <v>24</v>
      </c>
      <c r="D21">
        <f>G16/A31</f>
        <v>0</v>
      </c>
      <c r="G21" t="s">
        <v>76</v>
      </c>
      <c r="K21" t="s">
        <v>57</v>
      </c>
      <c r="L21" t="s">
        <v>58</v>
      </c>
      <c r="M21" t="s">
        <v>59</v>
      </c>
      <c r="N21" t="s">
        <v>60</v>
      </c>
      <c r="Z21">
        <f t="shared" si="35"/>
        <v>0</v>
      </c>
      <c r="AA21">
        <f t="shared" si="36"/>
        <v>0</v>
      </c>
      <c r="AE21">
        <f t="shared" si="37"/>
        <v>0</v>
      </c>
      <c r="AF21">
        <f t="shared" si="38"/>
        <v>0</v>
      </c>
      <c r="AG21">
        <f t="shared" si="39"/>
        <v>0</v>
      </c>
      <c r="AK21">
        <f t="shared" si="40"/>
        <v>0</v>
      </c>
      <c r="AL21">
        <f t="shared" si="41"/>
        <v>0</v>
      </c>
      <c r="AM21">
        <f t="shared" si="42"/>
        <v>0</v>
      </c>
      <c r="AN21">
        <f t="shared" si="43"/>
        <v>0</v>
      </c>
      <c r="AP21">
        <f t="shared" si="46"/>
        <v>0</v>
      </c>
      <c r="AQ21" s="4">
        <f t="shared" si="47"/>
        <v>0</v>
      </c>
      <c r="AR21" s="4">
        <f t="shared" si="44"/>
        <v>0</v>
      </c>
      <c r="AS21" s="4">
        <f t="shared" si="44"/>
        <v>0</v>
      </c>
      <c r="AT21" s="4">
        <f t="shared" si="44"/>
        <v>0</v>
      </c>
      <c r="AU21" s="4">
        <f t="shared" si="44"/>
        <v>0</v>
      </c>
      <c r="AV21" s="4">
        <f t="shared" si="44"/>
        <v>0</v>
      </c>
      <c r="AW21" s="4">
        <f t="shared" si="44"/>
        <v>0</v>
      </c>
      <c r="AX21" s="4">
        <f t="shared" si="44"/>
        <v>0</v>
      </c>
      <c r="AY21" s="4">
        <f t="shared" si="44"/>
        <v>0</v>
      </c>
      <c r="AZ21" s="4">
        <f t="shared" si="44"/>
        <v>0</v>
      </c>
      <c r="BA21" s="4">
        <f t="shared" si="44"/>
        <v>0</v>
      </c>
      <c r="BB21" s="4">
        <f t="shared" si="44"/>
        <v>0</v>
      </c>
      <c r="BC21" s="4">
        <f t="shared" si="44"/>
        <v>0</v>
      </c>
      <c r="BD21" s="4">
        <f t="shared" si="44"/>
        <v>0</v>
      </c>
      <c r="BE21" s="4">
        <f t="shared" si="44"/>
        <v>0</v>
      </c>
      <c r="BF21" s="4">
        <f t="shared" si="44"/>
        <v>0</v>
      </c>
      <c r="BG21" s="4">
        <f t="shared" si="44"/>
        <v>0</v>
      </c>
      <c r="BH21" s="4">
        <f t="shared" si="45"/>
        <v>0</v>
      </c>
      <c r="BI21" s="4">
        <f t="shared" si="45"/>
        <v>0</v>
      </c>
      <c r="BJ21" s="4">
        <f t="shared" si="45"/>
        <v>0</v>
      </c>
      <c r="BK21" s="4">
        <f t="shared" si="45"/>
        <v>0</v>
      </c>
      <c r="BL21" s="4">
        <f t="shared" si="45"/>
        <v>0</v>
      </c>
      <c r="BM21" s="4">
        <f t="shared" si="45"/>
        <v>0</v>
      </c>
      <c r="BN21" s="4">
        <f t="shared" si="45"/>
        <v>0</v>
      </c>
    </row>
    <row r="22" spans="1:66" x14ac:dyDescent="0.2">
      <c r="A22" t="s">
        <v>36</v>
      </c>
      <c r="B22" t="s">
        <v>10</v>
      </c>
      <c r="D22" t="s">
        <v>48</v>
      </c>
      <c r="G22" t="e">
        <f>AL28/AP28</f>
        <v>#DIV/0!</v>
      </c>
      <c r="K22">
        <f>AVERAGE(C39:C50)</f>
        <v>3.5</v>
      </c>
      <c r="L22">
        <f>MEDIAN(C39:C50)</f>
        <v>4</v>
      </c>
      <c r="M22">
        <f>MAX(C39:C50)</f>
        <v>5</v>
      </c>
      <c r="N22">
        <f>_xlfn.STDEV.S(C39:C50)</f>
        <v>1</v>
      </c>
      <c r="Z22">
        <f t="shared" si="35"/>
        <v>0</v>
      </c>
      <c r="AA22">
        <f t="shared" si="36"/>
        <v>0</v>
      </c>
      <c r="AE22">
        <f t="shared" si="37"/>
        <v>0</v>
      </c>
      <c r="AF22">
        <f t="shared" si="38"/>
        <v>0</v>
      </c>
      <c r="AG22">
        <f t="shared" si="39"/>
        <v>0</v>
      </c>
      <c r="AK22">
        <f t="shared" si="40"/>
        <v>0</v>
      </c>
      <c r="AL22">
        <f t="shared" si="41"/>
        <v>0</v>
      </c>
      <c r="AM22">
        <f t="shared" si="42"/>
        <v>0</v>
      </c>
      <c r="AN22">
        <f t="shared" si="43"/>
        <v>0</v>
      </c>
      <c r="AP22">
        <f t="shared" si="46"/>
        <v>0</v>
      </c>
      <c r="AQ22" s="4">
        <f t="shared" si="47"/>
        <v>0</v>
      </c>
      <c r="AR22" s="4">
        <f t="shared" si="44"/>
        <v>0</v>
      </c>
      <c r="AS22" s="4">
        <f t="shared" si="44"/>
        <v>0</v>
      </c>
      <c r="AT22" s="4">
        <f t="shared" si="44"/>
        <v>0</v>
      </c>
      <c r="AU22" s="4">
        <f t="shared" si="44"/>
        <v>0</v>
      </c>
      <c r="AV22" s="4">
        <f t="shared" si="44"/>
        <v>0</v>
      </c>
      <c r="AW22" s="4">
        <f t="shared" si="44"/>
        <v>0</v>
      </c>
      <c r="AX22" s="4">
        <f t="shared" si="44"/>
        <v>0</v>
      </c>
      <c r="AY22" s="4">
        <f t="shared" si="44"/>
        <v>0</v>
      </c>
      <c r="AZ22" s="4">
        <f t="shared" si="44"/>
        <v>0</v>
      </c>
      <c r="BA22" s="4">
        <f t="shared" si="44"/>
        <v>0</v>
      </c>
      <c r="BB22" s="4">
        <f t="shared" si="44"/>
        <v>0</v>
      </c>
      <c r="BC22" s="4">
        <f t="shared" si="44"/>
        <v>0</v>
      </c>
      <c r="BD22" s="4">
        <f t="shared" si="44"/>
        <v>0</v>
      </c>
      <c r="BE22" s="4">
        <f t="shared" si="44"/>
        <v>0</v>
      </c>
      <c r="BF22" s="4">
        <f t="shared" si="44"/>
        <v>0</v>
      </c>
      <c r="BG22" s="4">
        <f t="shared" si="44"/>
        <v>0</v>
      </c>
      <c r="BH22" s="4">
        <f t="shared" si="45"/>
        <v>0</v>
      </c>
      <c r="BI22" s="4">
        <f t="shared" si="45"/>
        <v>0</v>
      </c>
      <c r="BJ22" s="4">
        <f t="shared" si="45"/>
        <v>0</v>
      </c>
      <c r="BK22" s="4">
        <f t="shared" si="45"/>
        <v>0</v>
      </c>
      <c r="BL22" s="4">
        <f t="shared" si="45"/>
        <v>0</v>
      </c>
      <c r="BM22" s="4">
        <f t="shared" si="45"/>
        <v>0</v>
      </c>
      <c r="BN22" s="4">
        <f t="shared" si="45"/>
        <v>0</v>
      </c>
    </row>
    <row r="23" spans="1:66" x14ac:dyDescent="0.2">
      <c r="A23" t="s">
        <v>37</v>
      </c>
      <c r="B23" t="s">
        <v>25</v>
      </c>
      <c r="D23">
        <f>H16/A31</f>
        <v>0</v>
      </c>
      <c r="G23" t="s">
        <v>77</v>
      </c>
      <c r="K23" t="s">
        <v>8</v>
      </c>
      <c r="Z23">
        <f t="shared" si="35"/>
        <v>0</v>
      </c>
      <c r="AA23">
        <f t="shared" si="36"/>
        <v>0</v>
      </c>
      <c r="AE23">
        <f t="shared" si="37"/>
        <v>0</v>
      </c>
      <c r="AF23">
        <f t="shared" si="38"/>
        <v>0</v>
      </c>
      <c r="AG23">
        <f t="shared" si="39"/>
        <v>0</v>
      </c>
      <c r="AK23">
        <f t="shared" si="40"/>
        <v>0</v>
      </c>
      <c r="AL23">
        <f t="shared" si="41"/>
        <v>0</v>
      </c>
      <c r="AM23">
        <f t="shared" si="42"/>
        <v>0</v>
      </c>
      <c r="AN23">
        <f t="shared" si="43"/>
        <v>0</v>
      </c>
      <c r="AP23">
        <f t="shared" si="46"/>
        <v>0</v>
      </c>
      <c r="AQ23" s="4">
        <f t="shared" si="47"/>
        <v>0</v>
      </c>
      <c r="AR23" s="4">
        <f t="shared" si="44"/>
        <v>0</v>
      </c>
      <c r="AS23" s="4">
        <f t="shared" si="44"/>
        <v>0</v>
      </c>
      <c r="AT23" s="4">
        <f t="shared" si="44"/>
        <v>0</v>
      </c>
      <c r="AU23" s="4">
        <f t="shared" si="44"/>
        <v>0</v>
      </c>
      <c r="AV23" s="4">
        <f t="shared" si="44"/>
        <v>0</v>
      </c>
      <c r="AW23" s="4">
        <f t="shared" si="44"/>
        <v>0</v>
      </c>
      <c r="AX23" s="4">
        <f t="shared" si="44"/>
        <v>0</v>
      </c>
      <c r="AY23" s="4">
        <f t="shared" si="44"/>
        <v>0</v>
      </c>
      <c r="AZ23" s="4">
        <f t="shared" si="44"/>
        <v>0</v>
      </c>
      <c r="BA23" s="4">
        <f t="shared" si="44"/>
        <v>0</v>
      </c>
      <c r="BB23" s="4">
        <f t="shared" si="44"/>
        <v>0</v>
      </c>
      <c r="BC23" s="4">
        <f t="shared" si="44"/>
        <v>0</v>
      </c>
      <c r="BD23" s="4">
        <f t="shared" si="44"/>
        <v>0</v>
      </c>
      <c r="BE23" s="4">
        <f t="shared" si="44"/>
        <v>0</v>
      </c>
      <c r="BF23" s="4">
        <f t="shared" si="44"/>
        <v>0</v>
      </c>
      <c r="BG23" s="4">
        <f t="shared" si="44"/>
        <v>0</v>
      </c>
      <c r="BH23" s="4">
        <f t="shared" si="45"/>
        <v>0</v>
      </c>
      <c r="BI23" s="4">
        <f t="shared" si="45"/>
        <v>0</v>
      </c>
      <c r="BJ23" s="4">
        <f t="shared" si="45"/>
        <v>0</v>
      </c>
      <c r="BK23" s="4">
        <f t="shared" si="45"/>
        <v>0</v>
      </c>
      <c r="BL23" s="4">
        <f t="shared" si="45"/>
        <v>0</v>
      </c>
      <c r="BM23" s="4">
        <f t="shared" si="45"/>
        <v>0</v>
      </c>
      <c r="BN23" s="4">
        <f t="shared" si="45"/>
        <v>0</v>
      </c>
    </row>
    <row r="24" spans="1:66" x14ac:dyDescent="0.2">
      <c r="A24" t="s">
        <v>38</v>
      </c>
      <c r="B24" t="s">
        <v>26</v>
      </c>
      <c r="D24" t="s">
        <v>50</v>
      </c>
      <c r="G24" t="e">
        <f>AM28/AP28</f>
        <v>#DIV/0!</v>
      </c>
      <c r="K24" t="s">
        <v>57</v>
      </c>
      <c r="L24" t="s">
        <v>61</v>
      </c>
      <c r="M24" t="s">
        <v>59</v>
      </c>
      <c r="N24" t="s">
        <v>60</v>
      </c>
      <c r="Z24">
        <f t="shared" si="35"/>
        <v>0</v>
      </c>
      <c r="AA24">
        <f t="shared" si="36"/>
        <v>0</v>
      </c>
      <c r="AE24">
        <f t="shared" si="37"/>
        <v>0</v>
      </c>
      <c r="AF24">
        <f t="shared" si="38"/>
        <v>0</v>
      </c>
      <c r="AG24">
        <f t="shared" si="39"/>
        <v>0</v>
      </c>
      <c r="AK24">
        <f t="shared" si="40"/>
        <v>0</v>
      </c>
      <c r="AL24">
        <f t="shared" si="41"/>
        <v>0</v>
      </c>
      <c r="AM24">
        <f t="shared" si="42"/>
        <v>0</v>
      </c>
      <c r="AN24">
        <f t="shared" si="43"/>
        <v>0</v>
      </c>
      <c r="AP24">
        <f t="shared" si="46"/>
        <v>0</v>
      </c>
      <c r="AQ24" s="4">
        <f t="shared" si="47"/>
        <v>0</v>
      </c>
      <c r="AR24" s="4">
        <f t="shared" si="44"/>
        <v>0</v>
      </c>
      <c r="AS24" s="4">
        <f t="shared" si="44"/>
        <v>0</v>
      </c>
      <c r="AT24" s="4">
        <f t="shared" si="44"/>
        <v>0</v>
      </c>
      <c r="AU24" s="4">
        <f t="shared" si="44"/>
        <v>0</v>
      </c>
      <c r="AV24" s="4">
        <f t="shared" si="44"/>
        <v>0</v>
      </c>
      <c r="AW24" s="4">
        <f t="shared" si="44"/>
        <v>0</v>
      </c>
      <c r="AX24" s="4">
        <f t="shared" si="44"/>
        <v>0</v>
      </c>
      <c r="AY24" s="4">
        <f t="shared" si="44"/>
        <v>0</v>
      </c>
      <c r="AZ24" s="4">
        <f t="shared" si="44"/>
        <v>0</v>
      </c>
      <c r="BA24" s="4">
        <f t="shared" si="44"/>
        <v>0</v>
      </c>
      <c r="BB24" s="4">
        <f t="shared" si="44"/>
        <v>0</v>
      </c>
      <c r="BC24" s="4">
        <f t="shared" si="44"/>
        <v>0</v>
      </c>
      <c r="BD24" s="4">
        <f t="shared" si="44"/>
        <v>0</v>
      </c>
      <c r="BE24" s="4">
        <f t="shared" si="44"/>
        <v>0</v>
      </c>
      <c r="BF24" s="4">
        <f t="shared" si="44"/>
        <v>0</v>
      </c>
      <c r="BG24" s="4">
        <f t="shared" si="44"/>
        <v>0</v>
      </c>
      <c r="BH24" s="4">
        <f t="shared" si="45"/>
        <v>0</v>
      </c>
      <c r="BI24" s="4">
        <f t="shared" si="45"/>
        <v>0</v>
      </c>
      <c r="BJ24" s="4">
        <f t="shared" si="45"/>
        <v>0</v>
      </c>
      <c r="BK24" s="4">
        <f t="shared" si="45"/>
        <v>0</v>
      </c>
      <c r="BL24" s="4">
        <f t="shared" si="45"/>
        <v>0</v>
      </c>
      <c r="BM24" s="4">
        <f t="shared" si="45"/>
        <v>0</v>
      </c>
      <c r="BN24" s="4">
        <f t="shared" si="45"/>
        <v>0</v>
      </c>
    </row>
    <row r="25" spans="1:66" x14ac:dyDescent="0.2">
      <c r="A25" t="s">
        <v>39</v>
      </c>
      <c r="B25" t="s">
        <v>27</v>
      </c>
      <c r="D25">
        <f>Z28/A31</f>
        <v>0</v>
      </c>
      <c r="G25" t="s">
        <v>78</v>
      </c>
      <c r="K25">
        <f>AVERAGE(E39:E50)</f>
        <v>0</v>
      </c>
      <c r="L25">
        <f>MEDIAN(E39:E50)</f>
        <v>0</v>
      </c>
      <c r="M25">
        <f>MAX(E39:E50)</f>
        <v>0</v>
      </c>
      <c r="N25">
        <f>_xlfn.STDEV.S(E39:E50)</f>
        <v>0</v>
      </c>
      <c r="Z25">
        <f t="shared" si="35"/>
        <v>0</v>
      </c>
      <c r="AA25">
        <f t="shared" si="36"/>
        <v>0</v>
      </c>
      <c r="AE25">
        <f t="shared" si="37"/>
        <v>0</v>
      </c>
      <c r="AF25">
        <f t="shared" si="38"/>
        <v>0</v>
      </c>
      <c r="AG25">
        <f t="shared" si="39"/>
        <v>0</v>
      </c>
      <c r="AK25">
        <f t="shared" si="40"/>
        <v>0</v>
      </c>
      <c r="AL25">
        <f t="shared" si="41"/>
        <v>0</v>
      </c>
      <c r="AM25">
        <f t="shared" si="42"/>
        <v>0</v>
      </c>
      <c r="AN25">
        <f t="shared" si="43"/>
        <v>0</v>
      </c>
      <c r="AP25">
        <f t="shared" si="46"/>
        <v>0</v>
      </c>
      <c r="AQ25" s="4">
        <f t="shared" si="47"/>
        <v>0</v>
      </c>
      <c r="AR25" s="4">
        <f t="shared" si="44"/>
        <v>0</v>
      </c>
      <c r="AS25" s="4">
        <f t="shared" si="44"/>
        <v>0</v>
      </c>
      <c r="AT25" s="4">
        <f t="shared" si="44"/>
        <v>0</v>
      </c>
      <c r="AU25" s="4">
        <f t="shared" si="44"/>
        <v>0</v>
      </c>
      <c r="AV25" s="4">
        <f t="shared" si="44"/>
        <v>0</v>
      </c>
      <c r="AW25" s="4">
        <f t="shared" si="44"/>
        <v>0</v>
      </c>
      <c r="AX25" s="4">
        <f t="shared" si="44"/>
        <v>0</v>
      </c>
      <c r="AY25" s="4">
        <f t="shared" si="44"/>
        <v>0</v>
      </c>
      <c r="AZ25" s="4">
        <f t="shared" si="44"/>
        <v>0</v>
      </c>
      <c r="BA25" s="4">
        <f t="shared" si="44"/>
        <v>0</v>
      </c>
      <c r="BB25" s="4">
        <f t="shared" si="44"/>
        <v>0</v>
      </c>
      <c r="BC25" s="4">
        <f t="shared" si="44"/>
        <v>0</v>
      </c>
      <c r="BD25" s="4">
        <f t="shared" si="44"/>
        <v>0</v>
      </c>
      <c r="BE25" s="4">
        <f t="shared" si="44"/>
        <v>0</v>
      </c>
      <c r="BF25" s="4">
        <f t="shared" si="44"/>
        <v>0</v>
      </c>
      <c r="BG25" s="4">
        <f t="shared" si="44"/>
        <v>0</v>
      </c>
      <c r="BH25" s="4">
        <f t="shared" si="45"/>
        <v>0</v>
      </c>
      <c r="BI25" s="4">
        <f t="shared" si="45"/>
        <v>0</v>
      </c>
      <c r="BJ25" s="4">
        <f t="shared" si="45"/>
        <v>0</v>
      </c>
      <c r="BK25" s="4">
        <f t="shared" si="45"/>
        <v>0</v>
      </c>
      <c r="BL25" s="4">
        <f t="shared" si="45"/>
        <v>0</v>
      </c>
      <c r="BM25" s="4">
        <f t="shared" si="45"/>
        <v>0</v>
      </c>
      <c r="BN25" s="4">
        <f t="shared" si="45"/>
        <v>0</v>
      </c>
    </row>
    <row r="26" spans="1:66" x14ac:dyDescent="0.2">
      <c r="A26" t="s">
        <v>44</v>
      </c>
      <c r="D26" t="s">
        <v>51</v>
      </c>
      <c r="G26" t="e">
        <f>AN28/AP28</f>
        <v>#DIV/0!</v>
      </c>
      <c r="K26" t="s">
        <v>62</v>
      </c>
      <c r="P26" t="s">
        <v>19</v>
      </c>
      <c r="Z26">
        <f t="shared" si="35"/>
        <v>0</v>
      </c>
      <c r="AA26">
        <f t="shared" si="36"/>
        <v>0</v>
      </c>
      <c r="AE26">
        <f t="shared" si="37"/>
        <v>0</v>
      </c>
      <c r="AF26">
        <f t="shared" si="38"/>
        <v>0</v>
      </c>
      <c r="AG26">
        <f t="shared" si="39"/>
        <v>0</v>
      </c>
      <c r="AK26">
        <f t="shared" si="40"/>
        <v>0</v>
      </c>
      <c r="AL26">
        <f t="shared" si="41"/>
        <v>0</v>
      </c>
      <c r="AM26">
        <f t="shared" si="42"/>
        <v>0</v>
      </c>
      <c r="AN26">
        <f t="shared" si="43"/>
        <v>0</v>
      </c>
      <c r="AP26">
        <f t="shared" si="46"/>
        <v>0</v>
      </c>
      <c r="AQ26" s="4">
        <f t="shared" si="47"/>
        <v>0</v>
      </c>
      <c r="AR26" s="4">
        <f t="shared" si="44"/>
        <v>0</v>
      </c>
      <c r="AS26" s="4">
        <f t="shared" si="44"/>
        <v>0</v>
      </c>
      <c r="AT26" s="4">
        <f t="shared" si="44"/>
        <v>0</v>
      </c>
      <c r="AU26" s="4">
        <f t="shared" si="44"/>
        <v>0</v>
      </c>
      <c r="AV26" s="4">
        <f t="shared" si="44"/>
        <v>0</v>
      </c>
      <c r="AW26" s="4">
        <f t="shared" si="44"/>
        <v>0</v>
      </c>
      <c r="AX26" s="4">
        <f t="shared" si="44"/>
        <v>0</v>
      </c>
      <c r="AY26" s="4">
        <f t="shared" si="44"/>
        <v>0</v>
      </c>
      <c r="AZ26" s="4">
        <f t="shared" si="44"/>
        <v>0</v>
      </c>
      <c r="BA26" s="4">
        <f t="shared" si="44"/>
        <v>0</v>
      </c>
      <c r="BB26" s="4">
        <f t="shared" si="44"/>
        <v>0</v>
      </c>
      <c r="BC26" s="4">
        <f t="shared" si="44"/>
        <v>0</v>
      </c>
      <c r="BD26" s="4">
        <f t="shared" si="44"/>
        <v>0</v>
      </c>
      <c r="BE26" s="4">
        <f t="shared" si="44"/>
        <v>0</v>
      </c>
      <c r="BF26" s="4">
        <f t="shared" si="44"/>
        <v>0</v>
      </c>
      <c r="BG26" s="4">
        <f t="shared" si="44"/>
        <v>0</v>
      </c>
      <c r="BH26" s="4">
        <f t="shared" si="45"/>
        <v>0</v>
      </c>
      <c r="BI26" s="4">
        <f t="shared" si="45"/>
        <v>0</v>
      </c>
      <c r="BJ26" s="4">
        <f t="shared" si="45"/>
        <v>0</v>
      </c>
      <c r="BK26" s="4">
        <f t="shared" si="45"/>
        <v>0</v>
      </c>
      <c r="BL26" s="4">
        <f t="shared" si="45"/>
        <v>0</v>
      </c>
      <c r="BM26" s="4">
        <f t="shared" si="45"/>
        <v>0</v>
      </c>
      <c r="BN26" s="4">
        <f t="shared" si="45"/>
        <v>0</v>
      </c>
    </row>
    <row r="27" spans="1:66" x14ac:dyDescent="0.2">
      <c r="A27" t="s">
        <v>45</v>
      </c>
      <c r="D27">
        <f>AA28/A31</f>
        <v>0</v>
      </c>
      <c r="G27" t="s">
        <v>56</v>
      </c>
      <c r="K27" t="s">
        <v>57</v>
      </c>
      <c r="L27" t="s">
        <v>58</v>
      </c>
      <c r="M27" t="s">
        <v>59</v>
      </c>
      <c r="N27" t="s">
        <v>60</v>
      </c>
      <c r="P27" t="s">
        <v>57</v>
      </c>
      <c r="Q27" t="s">
        <v>58</v>
      </c>
      <c r="R27" t="s">
        <v>59</v>
      </c>
      <c r="S27" t="s">
        <v>60</v>
      </c>
      <c r="Z27">
        <f t="shared" si="35"/>
        <v>0</v>
      </c>
      <c r="AA27">
        <f t="shared" si="36"/>
        <v>0</v>
      </c>
      <c r="AE27">
        <f t="shared" si="37"/>
        <v>0</v>
      </c>
      <c r="AF27">
        <f t="shared" si="38"/>
        <v>0</v>
      </c>
      <c r="AG27">
        <f t="shared" si="39"/>
        <v>0</v>
      </c>
      <c r="AK27">
        <f t="shared" si="40"/>
        <v>0</v>
      </c>
      <c r="AL27">
        <f t="shared" si="41"/>
        <v>0</v>
      </c>
      <c r="AM27">
        <f t="shared" si="42"/>
        <v>0</v>
      </c>
      <c r="AN27">
        <f t="shared" si="43"/>
        <v>0</v>
      </c>
      <c r="AP27">
        <f t="shared" si="46"/>
        <v>0</v>
      </c>
      <c r="AQ27" s="4">
        <f t="shared" si="47"/>
        <v>0</v>
      </c>
      <c r="AR27" s="4">
        <f t="shared" si="44"/>
        <v>0</v>
      </c>
      <c r="AS27" s="4">
        <f t="shared" si="44"/>
        <v>0</v>
      </c>
      <c r="AT27" s="4">
        <f t="shared" si="44"/>
        <v>0</v>
      </c>
      <c r="AU27" s="4">
        <f t="shared" si="44"/>
        <v>0</v>
      </c>
      <c r="AV27" s="4">
        <f t="shared" si="44"/>
        <v>0</v>
      </c>
      <c r="AW27" s="4">
        <f t="shared" si="44"/>
        <v>0</v>
      </c>
      <c r="AX27" s="4">
        <f t="shared" si="44"/>
        <v>0</v>
      </c>
      <c r="AY27" s="4">
        <f t="shared" si="44"/>
        <v>0</v>
      </c>
      <c r="AZ27" s="4">
        <f t="shared" si="44"/>
        <v>0</v>
      </c>
      <c r="BA27" s="4">
        <f t="shared" si="44"/>
        <v>0</v>
      </c>
      <c r="BB27" s="4">
        <f t="shared" si="44"/>
        <v>0</v>
      </c>
      <c r="BC27" s="4">
        <f t="shared" si="44"/>
        <v>0</v>
      </c>
      <c r="BD27" s="4">
        <f t="shared" si="44"/>
        <v>0</v>
      </c>
      <c r="BE27" s="4">
        <f t="shared" si="44"/>
        <v>0</v>
      </c>
      <c r="BF27" s="4">
        <f t="shared" si="44"/>
        <v>0</v>
      </c>
      <c r="BG27" s="4">
        <f t="shared" si="44"/>
        <v>0</v>
      </c>
      <c r="BH27" s="4">
        <f t="shared" si="45"/>
        <v>0</v>
      </c>
      <c r="BI27" s="4">
        <f t="shared" si="45"/>
        <v>0</v>
      </c>
      <c r="BJ27" s="4">
        <f t="shared" si="45"/>
        <v>0</v>
      </c>
      <c r="BK27" s="4">
        <f t="shared" si="45"/>
        <v>0</v>
      </c>
      <c r="BL27" s="4">
        <f t="shared" si="45"/>
        <v>0</v>
      </c>
      <c r="BM27" s="4">
        <f t="shared" si="45"/>
        <v>0</v>
      </c>
      <c r="BN27" s="4">
        <f t="shared" si="45"/>
        <v>0</v>
      </c>
    </row>
    <row r="28" spans="1:66" x14ac:dyDescent="0.2">
      <c r="A28" t="s">
        <v>46</v>
      </c>
      <c r="D28" t="s">
        <v>202</v>
      </c>
      <c r="G28" t="s">
        <v>57</v>
      </c>
      <c r="H28" t="s">
        <v>58</v>
      </c>
      <c r="I28" t="s">
        <v>59</v>
      </c>
      <c r="J28" t="s">
        <v>60</v>
      </c>
      <c r="K28">
        <f>AVERAGE(G39:G50)</f>
        <v>0</v>
      </c>
      <c r="L28">
        <f>MEDIAN(G39:G50)</f>
        <v>0</v>
      </c>
      <c r="M28">
        <f>MAX(G39:G50)</f>
        <v>0</v>
      </c>
      <c r="N28">
        <f>_xlfn.STDEV.S(G39:G50)</f>
        <v>0</v>
      </c>
      <c r="P28">
        <f>AVERAGE(N39:N50)</f>
        <v>4.166666666666667</v>
      </c>
      <c r="Q28">
        <f>MEDIAN(N39:N50)</f>
        <v>0</v>
      </c>
      <c r="R28">
        <f>MAX(N39:N50)</f>
        <v>43</v>
      </c>
      <c r="S28">
        <f>_xlfn.STDEV.S(N39:N50)</f>
        <v>12.268461660499719</v>
      </c>
      <c r="Y28" t="s">
        <v>33</v>
      </c>
      <c r="Z28">
        <f>SUM(Z16:Z27)</f>
        <v>0</v>
      </c>
      <c r="AA28">
        <f>SUM(AA16:AA27)</f>
        <v>0</v>
      </c>
      <c r="AE28">
        <f>SUM(AE16:AE27)</f>
        <v>0</v>
      </c>
      <c r="AF28">
        <f>SUM(AF16:AF27)</f>
        <v>1</v>
      </c>
      <c r="AG28">
        <f>SUM(AG16:AG27)</f>
        <v>0</v>
      </c>
      <c r="AK28">
        <f>SUM(AK16:AK27)</f>
        <v>0</v>
      </c>
      <c r="AL28">
        <f>SUM(AL16:AL27)</f>
        <v>0</v>
      </c>
      <c r="AM28">
        <f>SUM(AM16:AM27)</f>
        <v>0</v>
      </c>
      <c r="AN28">
        <f>SUM(AN16:AN27)</f>
        <v>0</v>
      </c>
      <c r="AP28">
        <f>SUM(AP16:AP27)</f>
        <v>0</v>
      </c>
    </row>
    <row r="29" spans="1:66" x14ac:dyDescent="0.2">
      <c r="D29">
        <f>SUM(O39:O50)/F16</f>
        <v>1</v>
      </c>
      <c r="G29">
        <f>AVERAGE(A39:A50)</f>
        <v>8.3333333333333329E-2</v>
      </c>
      <c r="H29">
        <f>MEDIAN(A39:A50)</f>
        <v>0</v>
      </c>
      <c r="I29">
        <f>MAX(A39:A50)</f>
        <v>1</v>
      </c>
      <c r="J29">
        <f>_xlfn.STDEV.S(A39:A50)</f>
        <v>0.28867513459481287</v>
      </c>
      <c r="K29" t="s">
        <v>63</v>
      </c>
      <c r="P29" t="s">
        <v>148</v>
      </c>
    </row>
    <row r="30" spans="1:66" x14ac:dyDescent="0.2">
      <c r="A30" t="s">
        <v>147</v>
      </c>
      <c r="D30" t="s">
        <v>203</v>
      </c>
      <c r="G30" t="s">
        <v>50</v>
      </c>
      <c r="H30" t="s">
        <v>51</v>
      </c>
      <c r="I30" t="s">
        <v>89</v>
      </c>
      <c r="K30" t="s">
        <v>57</v>
      </c>
      <c r="L30" t="s">
        <v>58</v>
      </c>
      <c r="M30" t="s">
        <v>59</v>
      </c>
      <c r="N30" t="s">
        <v>60</v>
      </c>
      <c r="P30" t="s">
        <v>57</v>
      </c>
      <c r="Q30" t="s">
        <v>58</v>
      </c>
      <c r="R30" t="s">
        <v>59</v>
      </c>
      <c r="S30" t="s">
        <v>60</v>
      </c>
      <c r="W30" t="s">
        <v>148</v>
      </c>
      <c r="Y30" t="s">
        <v>149</v>
      </c>
      <c r="AH30" t="s">
        <v>79</v>
      </c>
    </row>
    <row r="31" spans="1:66" x14ac:dyDescent="0.2">
      <c r="A31">
        <f>COUNT(B4:B15)</f>
        <v>12</v>
      </c>
      <c r="D31" s="2">
        <f>SUM(S39:S50)/SUM(Q39:Q50)</f>
        <v>0.1</v>
      </c>
      <c r="G31">
        <f>AE28/A31</f>
        <v>0</v>
      </c>
      <c r="H31">
        <f>AF28/A31</f>
        <v>8.3333333333333329E-2</v>
      </c>
      <c r="I31">
        <f>AG28/A31</f>
        <v>0</v>
      </c>
      <c r="K31" t="e">
        <f>AVERAGE(I39:I50)</f>
        <v>#DIV/0!</v>
      </c>
      <c r="L31" t="e">
        <f>MEDIAN(I39:I50)</f>
        <v>#NUM!</v>
      </c>
      <c r="M31">
        <f>MAX(I39:I50)</f>
        <v>0</v>
      </c>
      <c r="N31" t="e">
        <f>_xlfn.STDEV.S(I39:I50)</f>
        <v>#DIV/0!</v>
      </c>
      <c r="P31" t="e">
        <f>AVERAGE(W31:W42)</f>
        <v>#DIV/0!</v>
      </c>
      <c r="Q31" t="e">
        <f>MEDIAN(W31:W42)</f>
        <v>#NUM!</v>
      </c>
      <c r="R31">
        <f>MAX(W31:W42)</f>
        <v>0</v>
      </c>
      <c r="S31" t="e">
        <f>_xlfn.STDEV.S(W31:W42)</f>
        <v>#DIV/0!</v>
      </c>
      <c r="W31" t="str">
        <f t="shared" ref="W31:W33" si="48">IF(AND(ISBLANK(Q4), ISBLANK(R4), ISBLANK(G4), ISBLANK(H4)), "", U4)</f>
        <v/>
      </c>
      <c r="Y31" t="str">
        <f t="shared" ref="Y31:Y42" si="49">IF(ISBLANK(Y4), IF(X4 = 0, "", (G4 + H4/3 + V4/9 + W4/3)), U4)</f>
        <v/>
      </c>
      <c r="AH31" t="s">
        <v>80</v>
      </c>
    </row>
    <row r="32" spans="1:66" x14ac:dyDescent="0.2">
      <c r="D32" s="3"/>
      <c r="K32" t="s">
        <v>64</v>
      </c>
      <c r="P32" t="s">
        <v>149</v>
      </c>
      <c r="W32" t="str">
        <f t="shared" si="48"/>
        <v/>
      </c>
      <c r="Y32" t="str">
        <f t="shared" si="49"/>
        <v/>
      </c>
      <c r="AH32" t="s">
        <v>81</v>
      </c>
    </row>
    <row r="33" spans="1:34" x14ac:dyDescent="0.2">
      <c r="D33" s="3"/>
      <c r="K33" t="s">
        <v>57</v>
      </c>
      <c r="L33" t="s">
        <v>58</v>
      </c>
      <c r="M33" t="s">
        <v>59</v>
      </c>
      <c r="N33" t="s">
        <v>60</v>
      </c>
      <c r="P33" t="s">
        <v>57</v>
      </c>
      <c r="Q33" t="s">
        <v>58</v>
      </c>
      <c r="R33" t="s">
        <v>59</v>
      </c>
      <c r="S33" t="s">
        <v>60</v>
      </c>
      <c r="W33" t="str">
        <f t="shared" si="48"/>
        <v/>
      </c>
      <c r="Y33" t="str">
        <f t="shared" si="49"/>
        <v/>
      </c>
      <c r="AH33" t="s">
        <v>82</v>
      </c>
    </row>
    <row r="34" spans="1:34" x14ac:dyDescent="0.2">
      <c r="A34" t="s">
        <v>343</v>
      </c>
      <c r="D34" s="3"/>
      <c r="K34">
        <f>AVERAGE(K39:K50)</f>
        <v>0</v>
      </c>
      <c r="L34">
        <f>MEDIAN(K39:K50)</f>
        <v>0</v>
      </c>
      <c r="M34">
        <f>MAX(K39:K50)</f>
        <v>0</v>
      </c>
      <c r="N34">
        <f>_xlfn.STDEV.S(K39:K50)</f>
        <v>0</v>
      </c>
      <c r="P34" t="e">
        <f>AVERAGE(Y31:Y42)</f>
        <v>#DIV/0!</v>
      </c>
      <c r="Q34" t="e">
        <f>MEDIAN(Y31:Y42)</f>
        <v>#NUM!</v>
      </c>
      <c r="R34">
        <f>MAX(Y31:Y42)</f>
        <v>0</v>
      </c>
      <c r="S34" t="e">
        <f>_xlfn.STDEV.S(Y31:Y42)</f>
        <v>#DIV/0!</v>
      </c>
      <c r="W34" t="str">
        <f>IF(AND(ISBLANK(Q7), ISBLANK(R7), ISBLANK(G7), ISBLANK(H7)), "", U7)</f>
        <v/>
      </c>
      <c r="Y34" t="str">
        <f t="shared" si="49"/>
        <v/>
      </c>
      <c r="AH34" t="s">
        <v>83</v>
      </c>
    </row>
    <row r="35" spans="1:34" x14ac:dyDescent="0.2">
      <c r="P35" t="s">
        <v>95</v>
      </c>
      <c r="R35" t="s">
        <v>197</v>
      </c>
      <c r="W35" t="str">
        <f t="shared" ref="W35:W42" si="50">IF(AND(ISBLANK(Q8), ISBLANK(R8), ISBLANK(G8), ISBLANK(H8)), "", U8)</f>
        <v/>
      </c>
      <c r="Y35" t="str">
        <f t="shared" si="49"/>
        <v/>
      </c>
    </row>
    <row r="36" spans="1:34" x14ac:dyDescent="0.2">
      <c r="P36" t="e">
        <f>Q16/(Q16+R16)</f>
        <v>#DIV/0!</v>
      </c>
      <c r="R36" t="e">
        <f>R16/(Q16+R16)</f>
        <v>#DIV/0!</v>
      </c>
      <c r="W36" t="str">
        <f t="shared" si="50"/>
        <v/>
      </c>
      <c r="Y36" t="str">
        <f t="shared" si="49"/>
        <v/>
      </c>
    </row>
    <row r="37" spans="1:34" x14ac:dyDescent="0.2">
      <c r="W37" t="str">
        <f t="shared" si="50"/>
        <v/>
      </c>
      <c r="Y37" t="str">
        <f t="shared" si="49"/>
        <v/>
      </c>
    </row>
    <row r="38" spans="1:34" x14ac:dyDescent="0.2">
      <c r="A38" t="s">
        <v>68</v>
      </c>
      <c r="C38" t="s">
        <v>69</v>
      </c>
      <c r="E38" t="s">
        <v>72</v>
      </c>
      <c r="G38" t="s">
        <v>250</v>
      </c>
      <c r="K38" t="s">
        <v>73</v>
      </c>
      <c r="M38" t="s">
        <v>70</v>
      </c>
      <c r="N38" t="s">
        <v>71</v>
      </c>
      <c r="O38" t="s">
        <v>199</v>
      </c>
      <c r="Q38" t="s">
        <v>200</v>
      </c>
      <c r="S38" t="s">
        <v>201</v>
      </c>
      <c r="W38" t="str">
        <f t="shared" si="50"/>
        <v/>
      </c>
      <c r="Y38" t="str">
        <f t="shared" si="49"/>
        <v/>
      </c>
    </row>
    <row r="39" spans="1:34" x14ac:dyDescent="0.2">
      <c r="A39">
        <f t="shared" ref="A39:A50" si="51">IF(ISBLANK(B4), "", SUM(AE16+AF16+AG16))</f>
        <v>0</v>
      </c>
      <c r="C39">
        <f t="shared" ref="C39:C50" si="52">IF(ISBLANK(B4), "", O4)</f>
        <v>4</v>
      </c>
      <c r="E39">
        <f t="shared" ref="E39:E50" si="53">IF(ISBLANK(B4), "", Q4)</f>
        <v>0</v>
      </c>
      <c r="G39">
        <f t="shared" ref="G39:G50" si="54">IF(ISBLANK(B4), "", R4)</f>
        <v>0</v>
      </c>
      <c r="K39">
        <f t="shared" ref="K39:K50" si="55">IF(ISBLANK(B4), "", SUM(Q4 + R4))</f>
        <v>0</v>
      </c>
      <c r="M39">
        <f t="shared" ref="M39:M50" si="56">IF(ISBLANK(B4), "", SUM(K4+M4) - O4)</f>
        <v>-1</v>
      </c>
      <c r="N39">
        <f t="shared" ref="N39:N50" si="57">IF(ISBLANK(B4), "", U4)</f>
        <v>1</v>
      </c>
      <c r="O39">
        <f t="shared" ref="O39:O50" si="58">COUNTIF(E4, "1")*COUNTIF(F4, "1")</f>
        <v>0</v>
      </c>
      <c r="Q39">
        <f t="shared" ref="Q39:Q50" si="59">COUNTIF(D4, "1")*COUNTIF(F4, "")</f>
        <v>1</v>
      </c>
      <c r="S39">
        <f t="shared" ref="S39:S50" si="60">COUNTIF(E4, "1")*COUNTIF(F4, "")</f>
        <v>0</v>
      </c>
      <c r="W39" t="str">
        <f t="shared" si="50"/>
        <v/>
      </c>
      <c r="Y39" t="str">
        <f t="shared" si="49"/>
        <v/>
      </c>
    </row>
    <row r="40" spans="1:34" x14ac:dyDescent="0.2">
      <c r="A40">
        <f t="shared" si="51"/>
        <v>1</v>
      </c>
      <c r="C40">
        <f t="shared" si="52"/>
        <v>3</v>
      </c>
      <c r="E40">
        <f t="shared" si="53"/>
        <v>0</v>
      </c>
      <c r="G40">
        <f t="shared" si="54"/>
        <v>0</v>
      </c>
      <c r="K40">
        <f t="shared" si="55"/>
        <v>0</v>
      </c>
      <c r="M40">
        <f t="shared" si="56"/>
        <v>0</v>
      </c>
      <c r="N40">
        <f t="shared" si="57"/>
        <v>0</v>
      </c>
      <c r="O40">
        <f t="shared" si="58"/>
        <v>0</v>
      </c>
      <c r="Q40">
        <f t="shared" si="59"/>
        <v>1</v>
      </c>
      <c r="S40">
        <f t="shared" si="60"/>
        <v>0</v>
      </c>
      <c r="W40" t="str">
        <f t="shared" si="50"/>
        <v/>
      </c>
      <c r="Y40" t="str">
        <f t="shared" si="49"/>
        <v/>
      </c>
    </row>
    <row r="41" spans="1:34" x14ac:dyDescent="0.2">
      <c r="A41">
        <f t="shared" si="51"/>
        <v>0</v>
      </c>
      <c r="C41">
        <f t="shared" si="52"/>
        <v>4</v>
      </c>
      <c r="E41">
        <f t="shared" si="53"/>
        <v>0</v>
      </c>
      <c r="G41">
        <f t="shared" si="54"/>
        <v>0</v>
      </c>
      <c r="K41">
        <f t="shared" si="55"/>
        <v>0</v>
      </c>
      <c r="M41">
        <f t="shared" si="56"/>
        <v>-1</v>
      </c>
      <c r="N41">
        <f t="shared" si="57"/>
        <v>0</v>
      </c>
      <c r="O41">
        <f t="shared" si="58"/>
        <v>0</v>
      </c>
      <c r="Q41">
        <f t="shared" si="59"/>
        <v>1</v>
      </c>
      <c r="S41">
        <f t="shared" si="60"/>
        <v>0</v>
      </c>
      <c r="W41" t="str">
        <f t="shared" si="50"/>
        <v/>
      </c>
      <c r="Y41" t="str">
        <f t="shared" si="49"/>
        <v/>
      </c>
    </row>
    <row r="42" spans="1:34" x14ac:dyDescent="0.2">
      <c r="A42">
        <f t="shared" si="51"/>
        <v>0</v>
      </c>
      <c r="C42">
        <f t="shared" si="52"/>
        <v>5</v>
      </c>
      <c r="E42">
        <f t="shared" si="53"/>
        <v>0</v>
      </c>
      <c r="G42">
        <f t="shared" si="54"/>
        <v>0</v>
      </c>
      <c r="K42">
        <f t="shared" si="55"/>
        <v>0</v>
      </c>
      <c r="M42">
        <f t="shared" si="56"/>
        <v>0</v>
      </c>
      <c r="N42">
        <f t="shared" si="57"/>
        <v>0</v>
      </c>
      <c r="O42">
        <f t="shared" si="58"/>
        <v>0</v>
      </c>
      <c r="Q42">
        <f t="shared" si="59"/>
        <v>1</v>
      </c>
      <c r="S42">
        <f t="shared" si="60"/>
        <v>0</v>
      </c>
      <c r="W42" t="str">
        <f t="shared" si="50"/>
        <v/>
      </c>
      <c r="Y42" t="str">
        <f t="shared" si="49"/>
        <v/>
      </c>
    </row>
    <row r="43" spans="1:34" x14ac:dyDescent="0.2">
      <c r="A43">
        <f t="shared" si="51"/>
        <v>0</v>
      </c>
      <c r="C43">
        <f t="shared" si="52"/>
        <v>4</v>
      </c>
      <c r="E43">
        <f t="shared" si="53"/>
        <v>0</v>
      </c>
      <c r="G43">
        <f t="shared" si="54"/>
        <v>0</v>
      </c>
      <c r="K43">
        <f t="shared" si="55"/>
        <v>0</v>
      </c>
      <c r="M43">
        <f t="shared" si="56"/>
        <v>-1</v>
      </c>
      <c r="N43">
        <f t="shared" si="57"/>
        <v>2</v>
      </c>
      <c r="O43">
        <f t="shared" si="58"/>
        <v>0</v>
      </c>
      <c r="Q43">
        <f t="shared" si="59"/>
        <v>1</v>
      </c>
      <c r="S43">
        <f t="shared" si="60"/>
        <v>1</v>
      </c>
    </row>
    <row r="44" spans="1:34" x14ac:dyDescent="0.2">
      <c r="A44">
        <f t="shared" si="51"/>
        <v>0</v>
      </c>
      <c r="C44">
        <f t="shared" si="52"/>
        <v>3</v>
      </c>
      <c r="E44">
        <f t="shared" si="53"/>
        <v>0</v>
      </c>
      <c r="G44">
        <f t="shared" si="54"/>
        <v>0</v>
      </c>
      <c r="K44">
        <f t="shared" si="55"/>
        <v>0</v>
      </c>
      <c r="M44">
        <f t="shared" si="56"/>
        <v>-1</v>
      </c>
      <c r="N44">
        <f t="shared" si="57"/>
        <v>43</v>
      </c>
      <c r="O44">
        <f t="shared" si="58"/>
        <v>0</v>
      </c>
      <c r="Q44">
        <f t="shared" si="59"/>
        <v>1</v>
      </c>
      <c r="S44">
        <f t="shared" si="60"/>
        <v>0</v>
      </c>
    </row>
    <row r="45" spans="1:34" x14ac:dyDescent="0.2">
      <c r="A45">
        <f t="shared" si="51"/>
        <v>0</v>
      </c>
      <c r="C45">
        <f t="shared" si="52"/>
        <v>4</v>
      </c>
      <c r="E45">
        <f t="shared" si="53"/>
        <v>0</v>
      </c>
      <c r="G45">
        <f t="shared" si="54"/>
        <v>0</v>
      </c>
      <c r="K45">
        <f t="shared" si="55"/>
        <v>0</v>
      </c>
      <c r="M45">
        <f t="shared" si="56"/>
        <v>-1</v>
      </c>
      <c r="N45">
        <f t="shared" si="57"/>
        <v>1</v>
      </c>
      <c r="O45">
        <f t="shared" si="58"/>
        <v>0</v>
      </c>
      <c r="Q45">
        <f t="shared" si="59"/>
        <v>1</v>
      </c>
      <c r="S45">
        <f t="shared" si="60"/>
        <v>0</v>
      </c>
    </row>
    <row r="46" spans="1:34" x14ac:dyDescent="0.2">
      <c r="A46">
        <f t="shared" si="51"/>
        <v>0</v>
      </c>
      <c r="C46">
        <f t="shared" si="52"/>
        <v>3</v>
      </c>
      <c r="E46">
        <f t="shared" si="53"/>
        <v>0</v>
      </c>
      <c r="G46">
        <f t="shared" si="54"/>
        <v>0</v>
      </c>
      <c r="K46">
        <f t="shared" si="55"/>
        <v>0</v>
      </c>
      <c r="M46">
        <f t="shared" si="56"/>
        <v>0</v>
      </c>
      <c r="N46">
        <f t="shared" si="57"/>
        <v>0</v>
      </c>
      <c r="O46">
        <f t="shared" si="58"/>
        <v>1</v>
      </c>
      <c r="Q46">
        <f t="shared" si="59"/>
        <v>0</v>
      </c>
      <c r="S46">
        <f t="shared" si="60"/>
        <v>0</v>
      </c>
    </row>
    <row r="47" spans="1:34" x14ac:dyDescent="0.2">
      <c r="A47">
        <f t="shared" si="51"/>
        <v>0</v>
      </c>
      <c r="C47">
        <f t="shared" si="52"/>
        <v>4</v>
      </c>
      <c r="E47">
        <f t="shared" si="53"/>
        <v>0</v>
      </c>
      <c r="G47">
        <f t="shared" si="54"/>
        <v>0</v>
      </c>
      <c r="K47">
        <f t="shared" si="55"/>
        <v>0</v>
      </c>
      <c r="M47">
        <f t="shared" si="56"/>
        <v>0</v>
      </c>
      <c r="N47">
        <f t="shared" si="57"/>
        <v>0</v>
      </c>
      <c r="O47">
        <f t="shared" si="58"/>
        <v>0</v>
      </c>
      <c r="Q47">
        <f t="shared" si="59"/>
        <v>1</v>
      </c>
      <c r="S47">
        <f t="shared" si="60"/>
        <v>0</v>
      </c>
    </row>
    <row r="48" spans="1:34" x14ac:dyDescent="0.2">
      <c r="A48">
        <f t="shared" si="51"/>
        <v>0</v>
      </c>
      <c r="C48">
        <f t="shared" si="52"/>
        <v>3</v>
      </c>
      <c r="E48">
        <f t="shared" si="53"/>
        <v>0</v>
      </c>
      <c r="G48">
        <f t="shared" si="54"/>
        <v>0</v>
      </c>
      <c r="K48">
        <f t="shared" si="55"/>
        <v>0</v>
      </c>
      <c r="M48">
        <f t="shared" si="56"/>
        <v>0</v>
      </c>
      <c r="N48">
        <f t="shared" si="57"/>
        <v>0</v>
      </c>
      <c r="O48">
        <f t="shared" si="58"/>
        <v>0</v>
      </c>
      <c r="Q48">
        <f t="shared" si="59"/>
        <v>1</v>
      </c>
      <c r="S48">
        <f t="shared" si="60"/>
        <v>0</v>
      </c>
    </row>
    <row r="49" spans="1:19" x14ac:dyDescent="0.2">
      <c r="A49">
        <f t="shared" si="51"/>
        <v>0</v>
      </c>
      <c r="C49">
        <f t="shared" si="52"/>
        <v>4</v>
      </c>
      <c r="E49">
        <f t="shared" si="53"/>
        <v>0</v>
      </c>
      <c r="G49">
        <f t="shared" si="54"/>
        <v>0</v>
      </c>
      <c r="K49">
        <f t="shared" si="55"/>
        <v>0</v>
      </c>
      <c r="M49">
        <f t="shared" si="56"/>
        <v>1</v>
      </c>
      <c r="N49">
        <f t="shared" si="57"/>
        <v>3</v>
      </c>
      <c r="O49">
        <f t="shared" si="58"/>
        <v>1</v>
      </c>
      <c r="Q49">
        <f t="shared" si="59"/>
        <v>0</v>
      </c>
      <c r="S49">
        <f t="shared" si="60"/>
        <v>0</v>
      </c>
    </row>
    <row r="50" spans="1:19" x14ac:dyDescent="0.2">
      <c r="A50">
        <f t="shared" si="51"/>
        <v>0</v>
      </c>
      <c r="C50">
        <f t="shared" si="52"/>
        <v>1</v>
      </c>
      <c r="E50">
        <f t="shared" si="53"/>
        <v>0</v>
      </c>
      <c r="G50">
        <f t="shared" si="54"/>
        <v>0</v>
      </c>
      <c r="K50">
        <f t="shared" si="55"/>
        <v>0</v>
      </c>
      <c r="M50">
        <f t="shared" si="56"/>
        <v>1</v>
      </c>
      <c r="N50">
        <f t="shared" si="57"/>
        <v>0</v>
      </c>
      <c r="O50">
        <f t="shared" si="58"/>
        <v>0</v>
      </c>
      <c r="Q50">
        <f t="shared" si="59"/>
        <v>1</v>
      </c>
      <c r="S50">
        <f t="shared" si="60"/>
        <v>0</v>
      </c>
    </row>
  </sheetData>
  <pageMargins left="0.7" right="0.7" top="0.75" bottom="0.75" header="0.3" footer="0.3"/>
  <legacy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 enableFormatConditionsCalculation="0"/>
  <dimension ref="A1:BN50"/>
  <sheetViews>
    <sheetView workbookViewId="0">
      <selection activeCell="F16" sqref="F16"/>
    </sheetView>
  </sheetViews>
  <sheetFormatPr baseColWidth="10" defaultRowHeight="15" x14ac:dyDescent="0.2"/>
  <sheetData>
    <row r="1" spans="1:66" x14ac:dyDescent="0.2">
      <c r="A1" s="1" t="s">
        <v>0</v>
      </c>
      <c r="D1" t="s">
        <v>3</v>
      </c>
      <c r="K1" t="s">
        <v>11</v>
      </c>
      <c r="N1" t="s">
        <v>12</v>
      </c>
      <c r="P1" t="s">
        <v>14</v>
      </c>
      <c r="Q1" t="s">
        <v>17</v>
      </c>
      <c r="S1" t="s">
        <v>18</v>
      </c>
      <c r="Z1" t="s">
        <v>29</v>
      </c>
      <c r="AE1" t="s">
        <v>30</v>
      </c>
      <c r="AK1" t="s">
        <v>42</v>
      </c>
    </row>
    <row r="2" spans="1:66" x14ac:dyDescent="0.2">
      <c r="A2" t="s">
        <v>1</v>
      </c>
      <c r="B2" t="s">
        <v>1</v>
      </c>
      <c r="C2" t="s">
        <v>87</v>
      </c>
      <c r="D2" t="s">
        <v>54</v>
      </c>
      <c r="E2" t="s">
        <v>13</v>
      </c>
      <c r="F2" t="s">
        <v>198</v>
      </c>
      <c r="G2" t="s">
        <v>7</v>
      </c>
      <c r="H2" t="s">
        <v>8</v>
      </c>
      <c r="I2" t="s">
        <v>179</v>
      </c>
      <c r="J2" t="s">
        <v>178</v>
      </c>
      <c r="K2" t="s">
        <v>9</v>
      </c>
      <c r="L2" t="s">
        <v>196</v>
      </c>
      <c r="M2" t="s">
        <v>10</v>
      </c>
      <c r="N2" t="s">
        <v>54</v>
      </c>
      <c r="O2" t="s">
        <v>13</v>
      </c>
      <c r="P2" t="s">
        <v>15</v>
      </c>
      <c r="Q2" t="s">
        <v>8</v>
      </c>
      <c r="R2" t="s">
        <v>7</v>
      </c>
      <c r="S2" t="s">
        <v>181</v>
      </c>
      <c r="T2" t="s">
        <v>182</v>
      </c>
      <c r="U2" t="s">
        <v>19</v>
      </c>
      <c r="V2" t="s">
        <v>191</v>
      </c>
      <c r="W2" t="s">
        <v>192</v>
      </c>
      <c r="X2" t="s">
        <v>175</v>
      </c>
      <c r="Y2" t="s">
        <v>173</v>
      </c>
      <c r="Z2" t="str">
        <f t="shared" ref="Z2:Z13" si="0">LEFT(I4, 1)</f>
        <v/>
      </c>
      <c r="AA2" t="str">
        <f t="shared" ref="AA2:AA13" si="1">MID(I4, 4, 1)</f>
        <v/>
      </c>
      <c r="AB2" t="str">
        <f t="shared" ref="AB2:AB13" si="2">MID(I4, 7, 1)</f>
        <v/>
      </c>
      <c r="AC2" t="str">
        <f t="shared" ref="AC2:AC13" si="3">MID(I4, 10, 1)</f>
        <v/>
      </c>
      <c r="AE2" t="str">
        <f t="shared" ref="AE2:AE13" si="4">LEFT(J4, 1)</f>
        <v/>
      </c>
      <c r="AF2" t="str">
        <f t="shared" ref="AF2:AF13" si="5">MID(J4, 4, 1)</f>
        <v/>
      </c>
      <c r="AG2" t="str">
        <f t="shared" ref="AG2:AG13" si="6">MID(J4, 7, 1)</f>
        <v/>
      </c>
      <c r="AH2" t="str">
        <f t="shared" ref="AH2:AH13" si="7">MID(J4, 10, 1)</f>
        <v/>
      </c>
      <c r="AI2" t="str">
        <f t="shared" ref="AI2:AI13" si="8">MID(J4, 13, 1)</f>
        <v/>
      </c>
      <c r="AK2" t="str">
        <f t="shared" ref="AK2:AK13" si="9">LEFT(P4, 2)</f>
        <v/>
      </c>
      <c r="AL2" t="str">
        <f>MID($P4, 5, 2)</f>
        <v/>
      </c>
      <c r="AM2" t="str">
        <f t="shared" ref="AM2:AM13" si="10">MID($P4, 9, 2)</f>
        <v/>
      </c>
      <c r="AN2" t="str">
        <f t="shared" ref="AN2:AN13" si="11">MID($P4, 13, 2)</f>
        <v/>
      </c>
      <c r="AO2" t="str">
        <f t="shared" ref="AO2:AO13" si="12">MID($P4, 17, 2)</f>
        <v/>
      </c>
      <c r="AP2" t="str">
        <f t="shared" ref="AP2:AP13" si="13">MID($P4, 21, 2)</f>
        <v/>
      </c>
      <c r="AQ2" t="str">
        <f t="shared" ref="AQ2:AQ13" si="14">MID($P4, 25, 2)</f>
        <v/>
      </c>
      <c r="AR2" t="str">
        <f t="shared" ref="AR2:AR13" si="15">MID($P4, 29, 2)</f>
        <v/>
      </c>
      <c r="AS2" t="str">
        <f t="shared" ref="AS2:AS13" si="16">MID($P4, 33, 2)</f>
        <v/>
      </c>
      <c r="AT2" t="str">
        <f t="shared" ref="AT2:AT13" si="17">MID($P4, 37, 2)</f>
        <v/>
      </c>
      <c r="AU2" t="str">
        <f t="shared" ref="AU2:AU13" si="18">MID($P4, 41, 2)</f>
        <v/>
      </c>
      <c r="AV2" t="str">
        <f t="shared" ref="AV2:AV13" si="19">MID($P4, 45, 2)</f>
        <v/>
      </c>
      <c r="AW2" t="str">
        <f t="shared" ref="AW2:AW13" si="20">MID($P4, 49, 2)</f>
        <v/>
      </c>
      <c r="AX2" t="str">
        <f t="shared" ref="AX2:AX13" si="21">MID($P4, 53, 2)</f>
        <v/>
      </c>
      <c r="AY2" t="str">
        <f t="shared" ref="AY2:AY13" si="22">MID($P4, 57, 2)</f>
        <v/>
      </c>
      <c r="AZ2" t="str">
        <f t="shared" ref="AZ2:AZ13" si="23">MID($P4, 61, 2)</f>
        <v/>
      </c>
      <c r="BA2" t="str">
        <f t="shared" ref="BA2:BA13" si="24">MID($P4, 65, 2)</f>
        <v/>
      </c>
      <c r="BB2" t="str">
        <f t="shared" ref="BB2:BB13" si="25">MID($P4, 69, 2)</f>
        <v/>
      </c>
      <c r="BC2" t="str">
        <f t="shared" ref="BC2:BC13" si="26">MID($P4, 73, 2)</f>
        <v/>
      </c>
      <c r="BD2" t="str">
        <f t="shared" ref="BD2:BD13" si="27">MID($P4, 77, 2)</f>
        <v/>
      </c>
      <c r="BE2" t="str">
        <f t="shared" ref="BE2:BE13" si="28">MID($P4, 81, 2)</f>
        <v/>
      </c>
      <c r="BF2" t="str">
        <f t="shared" ref="BF2:BF13" si="29">MID($P4, 85, 2)</f>
        <v/>
      </c>
      <c r="BG2" t="str">
        <f t="shared" ref="BG2:BG13" si="30">MID($P4, 89, 2)</f>
        <v/>
      </c>
      <c r="BH2" t="str">
        <f t="shared" ref="BH2:BH13" si="31">MID($P4, 93, 2)</f>
        <v/>
      </c>
    </row>
    <row r="3" spans="1:66" x14ac:dyDescent="0.2">
      <c r="A3" t="s">
        <v>2</v>
      </c>
      <c r="B3" t="s">
        <v>6</v>
      </c>
      <c r="C3" t="s">
        <v>88</v>
      </c>
      <c r="D3" t="s">
        <v>6</v>
      </c>
      <c r="E3" t="s">
        <v>6</v>
      </c>
      <c r="F3" t="s">
        <v>4</v>
      </c>
      <c r="G3" t="s">
        <v>6</v>
      </c>
      <c r="H3" t="s">
        <v>6</v>
      </c>
      <c r="I3" t="s">
        <v>86</v>
      </c>
      <c r="J3" t="s">
        <v>86</v>
      </c>
      <c r="K3" t="s">
        <v>6</v>
      </c>
      <c r="L3" t="s">
        <v>6</v>
      </c>
      <c r="M3" t="s">
        <v>6</v>
      </c>
      <c r="N3" t="s">
        <v>6</v>
      </c>
      <c r="O3" t="s">
        <v>6</v>
      </c>
      <c r="P3" t="s">
        <v>16</v>
      </c>
      <c r="Q3" t="s">
        <v>6</v>
      </c>
      <c r="R3" t="s">
        <v>6</v>
      </c>
      <c r="S3" t="s">
        <v>4</v>
      </c>
      <c r="T3" t="s">
        <v>4</v>
      </c>
      <c r="U3" t="s">
        <v>6</v>
      </c>
      <c r="V3" t="s">
        <v>6</v>
      </c>
      <c r="W3" t="s">
        <v>6</v>
      </c>
      <c r="X3" t="s">
        <v>6</v>
      </c>
      <c r="Y3" t="s">
        <v>174</v>
      </c>
      <c r="Z3" t="str">
        <f t="shared" si="0"/>
        <v/>
      </c>
      <c r="AA3" t="str">
        <f t="shared" si="1"/>
        <v/>
      </c>
      <c r="AB3" t="str">
        <f t="shared" si="2"/>
        <v/>
      </c>
      <c r="AC3" t="str">
        <f t="shared" si="3"/>
        <v/>
      </c>
      <c r="AE3" t="str">
        <f t="shared" si="4"/>
        <v/>
      </c>
      <c r="AF3" t="str">
        <f t="shared" si="5"/>
        <v/>
      </c>
      <c r="AG3" t="str">
        <f t="shared" si="6"/>
        <v/>
      </c>
      <c r="AH3" t="str">
        <f t="shared" si="7"/>
        <v/>
      </c>
      <c r="AI3" t="str">
        <f t="shared" si="8"/>
        <v/>
      </c>
      <c r="AK3" t="str">
        <f t="shared" si="9"/>
        <v/>
      </c>
      <c r="AL3" t="str">
        <f t="shared" ref="AL3:AL13" si="32">MID(P5, 5, 2)</f>
        <v/>
      </c>
      <c r="AM3" t="str">
        <f t="shared" si="10"/>
        <v/>
      </c>
      <c r="AN3" t="str">
        <f t="shared" si="11"/>
        <v/>
      </c>
      <c r="AO3" t="str">
        <f t="shared" si="12"/>
        <v/>
      </c>
      <c r="AP3" t="str">
        <f t="shared" si="13"/>
        <v/>
      </c>
      <c r="AQ3" t="str">
        <f t="shared" si="14"/>
        <v/>
      </c>
      <c r="AR3" t="str">
        <f t="shared" si="15"/>
        <v/>
      </c>
      <c r="AS3" t="str">
        <f t="shared" si="16"/>
        <v/>
      </c>
      <c r="AT3" t="str">
        <f t="shared" si="17"/>
        <v/>
      </c>
      <c r="AU3" t="str">
        <f t="shared" si="18"/>
        <v/>
      </c>
      <c r="AV3" t="str">
        <f t="shared" si="19"/>
        <v/>
      </c>
      <c r="AW3" t="str">
        <f t="shared" si="20"/>
        <v/>
      </c>
      <c r="AX3" t="str">
        <f t="shared" si="21"/>
        <v/>
      </c>
      <c r="AY3" t="str">
        <f t="shared" si="22"/>
        <v/>
      </c>
      <c r="AZ3" t="str">
        <f t="shared" si="23"/>
        <v/>
      </c>
      <c r="BA3" t="str">
        <f t="shared" si="24"/>
        <v/>
      </c>
      <c r="BB3" t="str">
        <f t="shared" si="25"/>
        <v/>
      </c>
      <c r="BC3" t="str">
        <f t="shared" si="26"/>
        <v/>
      </c>
      <c r="BD3" t="str">
        <f t="shared" si="27"/>
        <v/>
      </c>
      <c r="BE3" t="str">
        <f t="shared" si="28"/>
        <v/>
      </c>
      <c r="BF3" t="str">
        <f t="shared" si="29"/>
        <v/>
      </c>
      <c r="BG3" t="str">
        <f t="shared" si="30"/>
        <v/>
      </c>
      <c r="BH3" t="str">
        <f t="shared" si="31"/>
        <v/>
      </c>
    </row>
    <row r="4" spans="1:66" x14ac:dyDescent="0.2">
      <c r="A4">
        <v>1</v>
      </c>
      <c r="B4">
        <v>6</v>
      </c>
      <c r="C4" t="s">
        <v>207</v>
      </c>
      <c r="D4">
        <v>1</v>
      </c>
      <c r="K4">
        <v>4</v>
      </c>
      <c r="L4">
        <v>1</v>
      </c>
      <c r="N4">
        <v>5</v>
      </c>
      <c r="O4">
        <v>5</v>
      </c>
      <c r="S4">
        <v>1</v>
      </c>
      <c r="T4">
        <v>1</v>
      </c>
      <c r="U4">
        <v>6</v>
      </c>
      <c r="X4">
        <f t="shared" ref="X4:X15" si="33">G4+H4+Q4+R4</f>
        <v>0</v>
      </c>
      <c r="Z4" t="str">
        <f t="shared" si="0"/>
        <v/>
      </c>
      <c r="AA4" t="str">
        <f t="shared" si="1"/>
        <v/>
      </c>
      <c r="AB4" t="str">
        <f t="shared" si="2"/>
        <v/>
      </c>
      <c r="AC4" t="str">
        <f t="shared" si="3"/>
        <v/>
      </c>
      <c r="AE4" t="str">
        <f t="shared" si="4"/>
        <v>1</v>
      </c>
      <c r="AF4" t="str">
        <f t="shared" si="5"/>
        <v/>
      </c>
      <c r="AG4" t="str">
        <f t="shared" si="6"/>
        <v/>
      </c>
      <c r="AH4" t="str">
        <f t="shared" si="7"/>
        <v/>
      </c>
      <c r="AI4" t="str">
        <f t="shared" si="8"/>
        <v/>
      </c>
      <c r="AK4" t="str">
        <f t="shared" si="9"/>
        <v/>
      </c>
      <c r="AL4" t="str">
        <f t="shared" si="32"/>
        <v/>
      </c>
      <c r="AM4" t="str">
        <f t="shared" si="10"/>
        <v/>
      </c>
      <c r="AN4" t="str">
        <f t="shared" si="11"/>
        <v/>
      </c>
      <c r="AO4" t="str">
        <f t="shared" si="12"/>
        <v/>
      </c>
      <c r="AP4" t="str">
        <f t="shared" si="13"/>
        <v/>
      </c>
      <c r="AQ4" t="str">
        <f t="shared" si="14"/>
        <v/>
      </c>
      <c r="AR4" t="str">
        <f t="shared" si="15"/>
        <v/>
      </c>
      <c r="AS4" t="str">
        <f t="shared" si="16"/>
        <v/>
      </c>
      <c r="AT4" t="str">
        <f t="shared" si="17"/>
        <v/>
      </c>
      <c r="AU4" t="str">
        <f t="shared" si="18"/>
        <v/>
      </c>
      <c r="AV4" t="str">
        <f t="shared" si="19"/>
        <v/>
      </c>
      <c r="AW4" t="str">
        <f t="shared" si="20"/>
        <v/>
      </c>
      <c r="AX4" t="str">
        <f t="shared" si="21"/>
        <v/>
      </c>
      <c r="AY4" t="str">
        <f t="shared" si="22"/>
        <v/>
      </c>
      <c r="AZ4" t="str">
        <f t="shared" si="23"/>
        <v/>
      </c>
      <c r="BA4" t="str">
        <f t="shared" si="24"/>
        <v/>
      </c>
      <c r="BB4" t="str">
        <f t="shared" si="25"/>
        <v/>
      </c>
      <c r="BC4" t="str">
        <f t="shared" si="26"/>
        <v/>
      </c>
      <c r="BD4" t="str">
        <f t="shared" si="27"/>
        <v/>
      </c>
      <c r="BE4" t="str">
        <f t="shared" si="28"/>
        <v/>
      </c>
      <c r="BF4" t="str">
        <f t="shared" si="29"/>
        <v/>
      </c>
      <c r="BG4" t="str">
        <f t="shared" si="30"/>
        <v/>
      </c>
      <c r="BH4" t="str">
        <f t="shared" si="31"/>
        <v/>
      </c>
    </row>
    <row r="5" spans="1:66" x14ac:dyDescent="0.2">
      <c r="A5">
        <v>2</v>
      </c>
      <c r="B5">
        <v>20</v>
      </c>
      <c r="C5" t="s">
        <v>39</v>
      </c>
      <c r="K5">
        <v>5</v>
      </c>
      <c r="N5">
        <v>6</v>
      </c>
      <c r="O5">
        <v>5</v>
      </c>
      <c r="X5">
        <f t="shared" si="33"/>
        <v>0</v>
      </c>
      <c r="Z5" t="str">
        <f t="shared" si="0"/>
        <v/>
      </c>
      <c r="AA5" t="str">
        <f t="shared" si="1"/>
        <v/>
      </c>
      <c r="AB5" t="str">
        <f t="shared" si="2"/>
        <v/>
      </c>
      <c r="AC5" t="str">
        <f t="shared" si="3"/>
        <v/>
      </c>
      <c r="AE5" t="str">
        <f t="shared" si="4"/>
        <v/>
      </c>
      <c r="AF5" t="str">
        <f t="shared" si="5"/>
        <v/>
      </c>
      <c r="AG5" t="str">
        <f t="shared" si="6"/>
        <v/>
      </c>
      <c r="AH5" t="str">
        <f t="shared" si="7"/>
        <v/>
      </c>
      <c r="AI5" t="str">
        <f t="shared" si="8"/>
        <v/>
      </c>
      <c r="AK5" t="str">
        <f t="shared" si="9"/>
        <v/>
      </c>
      <c r="AL5" t="str">
        <f t="shared" si="32"/>
        <v/>
      </c>
      <c r="AM5" t="str">
        <f t="shared" si="10"/>
        <v/>
      </c>
      <c r="AN5" t="str">
        <f t="shared" si="11"/>
        <v/>
      </c>
      <c r="AO5" t="str">
        <f t="shared" si="12"/>
        <v/>
      </c>
      <c r="AP5" t="str">
        <f t="shared" si="13"/>
        <v/>
      </c>
      <c r="AQ5" t="str">
        <f t="shared" si="14"/>
        <v/>
      </c>
      <c r="AR5" t="str">
        <f t="shared" si="15"/>
        <v/>
      </c>
      <c r="AS5" t="str">
        <f t="shared" si="16"/>
        <v/>
      </c>
      <c r="AT5" t="str">
        <f t="shared" si="17"/>
        <v/>
      </c>
      <c r="AU5" t="str">
        <f t="shared" si="18"/>
        <v/>
      </c>
      <c r="AV5" t="str">
        <f t="shared" si="19"/>
        <v/>
      </c>
      <c r="AW5" t="str">
        <f t="shared" si="20"/>
        <v/>
      </c>
      <c r="AX5" t="str">
        <f t="shared" si="21"/>
        <v/>
      </c>
      <c r="AY5" t="str">
        <f t="shared" si="22"/>
        <v/>
      </c>
      <c r="AZ5" t="str">
        <f t="shared" si="23"/>
        <v/>
      </c>
      <c r="BA5" t="str">
        <f t="shared" si="24"/>
        <v/>
      </c>
      <c r="BB5" t="str">
        <f t="shared" si="25"/>
        <v/>
      </c>
      <c r="BC5" t="str">
        <f t="shared" si="26"/>
        <v/>
      </c>
      <c r="BD5" t="str">
        <f t="shared" si="27"/>
        <v/>
      </c>
      <c r="BE5" t="str">
        <f t="shared" si="28"/>
        <v/>
      </c>
      <c r="BF5" t="str">
        <f t="shared" si="29"/>
        <v/>
      </c>
      <c r="BG5" t="str">
        <f t="shared" si="30"/>
        <v/>
      </c>
      <c r="BH5" t="str">
        <f t="shared" si="31"/>
        <v/>
      </c>
    </row>
    <row r="6" spans="1:66" x14ac:dyDescent="0.2">
      <c r="A6">
        <v>3</v>
      </c>
      <c r="B6">
        <v>33</v>
      </c>
      <c r="C6" t="s">
        <v>207</v>
      </c>
      <c r="D6">
        <v>1</v>
      </c>
      <c r="J6">
        <v>1</v>
      </c>
      <c r="K6">
        <v>2</v>
      </c>
      <c r="L6">
        <v>1</v>
      </c>
      <c r="N6">
        <v>3</v>
      </c>
      <c r="O6">
        <v>3</v>
      </c>
      <c r="S6">
        <v>1</v>
      </c>
      <c r="T6">
        <v>1</v>
      </c>
      <c r="X6">
        <f t="shared" si="33"/>
        <v>0</v>
      </c>
      <c r="Z6" t="str">
        <f t="shared" si="0"/>
        <v/>
      </c>
      <c r="AA6" t="str">
        <f t="shared" si="1"/>
        <v/>
      </c>
      <c r="AB6" t="str">
        <f t="shared" si="2"/>
        <v/>
      </c>
      <c r="AC6" t="str">
        <f t="shared" si="3"/>
        <v/>
      </c>
      <c r="AE6" t="str">
        <f t="shared" si="4"/>
        <v/>
      </c>
      <c r="AF6" t="str">
        <f t="shared" si="5"/>
        <v/>
      </c>
      <c r="AG6" t="str">
        <f t="shared" si="6"/>
        <v/>
      </c>
      <c r="AH6" t="str">
        <f t="shared" si="7"/>
        <v/>
      </c>
      <c r="AI6" t="str">
        <f t="shared" si="8"/>
        <v/>
      </c>
      <c r="AK6" t="str">
        <f t="shared" si="9"/>
        <v/>
      </c>
      <c r="AL6" t="str">
        <f t="shared" si="32"/>
        <v/>
      </c>
      <c r="AM6" t="str">
        <f t="shared" si="10"/>
        <v/>
      </c>
      <c r="AN6" t="str">
        <f t="shared" si="11"/>
        <v/>
      </c>
      <c r="AO6" t="str">
        <f t="shared" si="12"/>
        <v/>
      </c>
      <c r="AP6" t="str">
        <f t="shared" si="13"/>
        <v/>
      </c>
      <c r="AQ6" t="str">
        <f t="shared" si="14"/>
        <v/>
      </c>
      <c r="AR6" t="str">
        <f t="shared" si="15"/>
        <v/>
      </c>
      <c r="AS6" t="str">
        <f t="shared" si="16"/>
        <v/>
      </c>
      <c r="AT6" t="str">
        <f t="shared" si="17"/>
        <v/>
      </c>
      <c r="AU6" t="str">
        <f t="shared" si="18"/>
        <v/>
      </c>
      <c r="AV6" t="str">
        <f t="shared" si="19"/>
        <v/>
      </c>
      <c r="AW6" t="str">
        <f t="shared" si="20"/>
        <v/>
      </c>
      <c r="AX6" t="str">
        <f t="shared" si="21"/>
        <v/>
      </c>
      <c r="AY6" t="str">
        <f t="shared" si="22"/>
        <v/>
      </c>
      <c r="AZ6" t="str">
        <f t="shared" si="23"/>
        <v/>
      </c>
      <c r="BA6" t="str">
        <f t="shared" si="24"/>
        <v/>
      </c>
      <c r="BB6" t="str">
        <f t="shared" si="25"/>
        <v/>
      </c>
      <c r="BC6" t="str">
        <f t="shared" si="26"/>
        <v/>
      </c>
      <c r="BD6" t="str">
        <f t="shared" si="27"/>
        <v/>
      </c>
      <c r="BE6" t="str">
        <f t="shared" si="28"/>
        <v/>
      </c>
      <c r="BF6" t="str">
        <f t="shared" si="29"/>
        <v/>
      </c>
      <c r="BG6" t="str">
        <f t="shared" si="30"/>
        <v/>
      </c>
      <c r="BH6" t="str">
        <f t="shared" si="31"/>
        <v/>
      </c>
    </row>
    <row r="7" spans="1:66" x14ac:dyDescent="0.2">
      <c r="A7">
        <v>4</v>
      </c>
      <c r="B7">
        <v>41</v>
      </c>
      <c r="C7" t="s">
        <v>39</v>
      </c>
      <c r="D7">
        <v>1</v>
      </c>
      <c r="K7">
        <v>4</v>
      </c>
      <c r="L7">
        <v>1</v>
      </c>
      <c r="N7">
        <v>5</v>
      </c>
      <c r="O7">
        <v>5</v>
      </c>
      <c r="S7">
        <v>1</v>
      </c>
      <c r="X7">
        <f t="shared" si="33"/>
        <v>0</v>
      </c>
      <c r="Z7" t="str">
        <f t="shared" si="0"/>
        <v/>
      </c>
      <c r="AA7" t="str">
        <f t="shared" si="1"/>
        <v/>
      </c>
      <c r="AB7" t="str">
        <f t="shared" si="2"/>
        <v/>
      </c>
      <c r="AC7" t="str">
        <f t="shared" si="3"/>
        <v/>
      </c>
      <c r="AE7" t="str">
        <f t="shared" si="4"/>
        <v/>
      </c>
      <c r="AF7" t="str">
        <f t="shared" si="5"/>
        <v/>
      </c>
      <c r="AG7" t="str">
        <f t="shared" si="6"/>
        <v/>
      </c>
      <c r="AH7" t="str">
        <f t="shared" si="7"/>
        <v/>
      </c>
      <c r="AI7" t="str">
        <f t="shared" si="8"/>
        <v/>
      </c>
      <c r="AK7" t="str">
        <f t="shared" si="9"/>
        <v/>
      </c>
      <c r="AL7" t="str">
        <f t="shared" si="32"/>
        <v/>
      </c>
      <c r="AM7" t="str">
        <f t="shared" si="10"/>
        <v/>
      </c>
      <c r="AN7" t="str">
        <f t="shared" si="11"/>
        <v/>
      </c>
      <c r="AO7" t="str">
        <f t="shared" si="12"/>
        <v/>
      </c>
      <c r="AP7" t="str">
        <f t="shared" si="13"/>
        <v/>
      </c>
      <c r="AQ7" t="str">
        <f t="shared" si="14"/>
        <v/>
      </c>
      <c r="AR7" t="str">
        <f t="shared" si="15"/>
        <v/>
      </c>
      <c r="AS7" t="str">
        <f t="shared" si="16"/>
        <v/>
      </c>
      <c r="AT7" t="str">
        <f t="shared" si="17"/>
        <v/>
      </c>
      <c r="AU7" t="str">
        <f t="shared" si="18"/>
        <v/>
      </c>
      <c r="AV7" t="str">
        <f t="shared" si="19"/>
        <v/>
      </c>
      <c r="AW7" t="str">
        <f t="shared" si="20"/>
        <v/>
      </c>
      <c r="AX7" t="str">
        <f t="shared" si="21"/>
        <v/>
      </c>
      <c r="AY7" t="str">
        <f t="shared" si="22"/>
        <v/>
      </c>
      <c r="AZ7" t="str">
        <f t="shared" si="23"/>
        <v/>
      </c>
      <c r="BA7" t="str">
        <f t="shared" si="24"/>
        <v/>
      </c>
      <c r="BB7" t="str">
        <f t="shared" si="25"/>
        <v/>
      </c>
      <c r="BC7" t="str">
        <f t="shared" si="26"/>
        <v/>
      </c>
      <c r="BD7" t="str">
        <f t="shared" si="27"/>
        <v/>
      </c>
      <c r="BE7" t="str">
        <f t="shared" si="28"/>
        <v/>
      </c>
      <c r="BF7" t="str">
        <f t="shared" si="29"/>
        <v/>
      </c>
      <c r="BG7" t="str">
        <f t="shared" si="30"/>
        <v/>
      </c>
      <c r="BH7" t="str">
        <f t="shared" si="31"/>
        <v/>
      </c>
    </row>
    <row r="8" spans="1:66" x14ac:dyDescent="0.2">
      <c r="A8">
        <v>5</v>
      </c>
      <c r="B8">
        <v>59</v>
      </c>
      <c r="C8" t="s">
        <v>39</v>
      </c>
      <c r="D8">
        <v>1</v>
      </c>
      <c r="F8">
        <v>1</v>
      </c>
      <c r="K8">
        <v>3</v>
      </c>
      <c r="L8">
        <v>1</v>
      </c>
      <c r="N8">
        <v>4</v>
      </c>
      <c r="O8">
        <v>4</v>
      </c>
      <c r="S8">
        <v>1</v>
      </c>
      <c r="T8">
        <v>1</v>
      </c>
      <c r="U8">
        <v>7</v>
      </c>
      <c r="X8">
        <f t="shared" si="33"/>
        <v>0</v>
      </c>
      <c r="Z8" t="str">
        <f t="shared" si="0"/>
        <v/>
      </c>
      <c r="AA8" t="str">
        <f t="shared" si="1"/>
        <v/>
      </c>
      <c r="AB8" t="str">
        <f t="shared" si="2"/>
        <v/>
      </c>
      <c r="AC8" t="str">
        <f t="shared" si="3"/>
        <v/>
      </c>
      <c r="AE8" t="str">
        <f t="shared" si="4"/>
        <v/>
      </c>
      <c r="AF8" t="str">
        <f t="shared" si="5"/>
        <v/>
      </c>
      <c r="AG8" t="str">
        <f t="shared" si="6"/>
        <v/>
      </c>
      <c r="AH8" t="str">
        <f t="shared" si="7"/>
        <v/>
      </c>
      <c r="AI8" t="str">
        <f t="shared" si="8"/>
        <v/>
      </c>
      <c r="AK8" t="str">
        <f t="shared" si="9"/>
        <v/>
      </c>
      <c r="AL8" t="str">
        <f t="shared" si="32"/>
        <v/>
      </c>
      <c r="AM8" t="str">
        <f t="shared" si="10"/>
        <v/>
      </c>
      <c r="AN8" t="str">
        <f t="shared" si="11"/>
        <v/>
      </c>
      <c r="AO8" t="str">
        <f t="shared" si="12"/>
        <v/>
      </c>
      <c r="AP8" t="str">
        <f t="shared" si="13"/>
        <v/>
      </c>
      <c r="AQ8" t="str">
        <f t="shared" si="14"/>
        <v/>
      </c>
      <c r="AR8" t="str">
        <f t="shared" si="15"/>
        <v/>
      </c>
      <c r="AS8" t="str">
        <f t="shared" si="16"/>
        <v/>
      </c>
      <c r="AT8" t="str">
        <f t="shared" si="17"/>
        <v/>
      </c>
      <c r="AU8" t="str">
        <f t="shared" si="18"/>
        <v/>
      </c>
      <c r="AV8" t="str">
        <f t="shared" si="19"/>
        <v/>
      </c>
      <c r="AW8" t="str">
        <f t="shared" si="20"/>
        <v/>
      </c>
      <c r="AX8" t="str">
        <f t="shared" si="21"/>
        <v/>
      </c>
      <c r="AY8" t="str">
        <f t="shared" si="22"/>
        <v/>
      </c>
      <c r="AZ8" t="str">
        <f t="shared" si="23"/>
        <v/>
      </c>
      <c r="BA8" t="str">
        <f t="shared" si="24"/>
        <v/>
      </c>
      <c r="BB8" t="str">
        <f t="shared" si="25"/>
        <v/>
      </c>
      <c r="BC8" t="str">
        <f t="shared" si="26"/>
        <v/>
      </c>
      <c r="BD8" t="str">
        <f t="shared" si="27"/>
        <v/>
      </c>
      <c r="BE8" t="str">
        <f t="shared" si="28"/>
        <v/>
      </c>
      <c r="BF8" t="str">
        <f t="shared" si="29"/>
        <v/>
      </c>
      <c r="BG8" t="str">
        <f t="shared" si="30"/>
        <v/>
      </c>
      <c r="BH8" t="str">
        <f t="shared" si="31"/>
        <v/>
      </c>
    </row>
    <row r="9" spans="1:66" x14ac:dyDescent="0.2">
      <c r="A9">
        <v>6</v>
      </c>
      <c r="B9">
        <v>70</v>
      </c>
      <c r="C9" t="s">
        <v>39</v>
      </c>
      <c r="D9">
        <v>1</v>
      </c>
      <c r="K9">
        <v>2</v>
      </c>
      <c r="L9">
        <v>1</v>
      </c>
      <c r="N9">
        <v>3</v>
      </c>
      <c r="O9">
        <v>3</v>
      </c>
      <c r="S9">
        <v>1</v>
      </c>
      <c r="T9">
        <v>1</v>
      </c>
      <c r="X9">
        <f t="shared" si="33"/>
        <v>0</v>
      </c>
      <c r="Z9" t="str">
        <f t="shared" si="0"/>
        <v/>
      </c>
      <c r="AA9" t="str">
        <f t="shared" si="1"/>
        <v/>
      </c>
      <c r="AB9" t="str">
        <f t="shared" si="2"/>
        <v/>
      </c>
      <c r="AC9" t="str">
        <f t="shared" si="3"/>
        <v/>
      </c>
      <c r="AE9" t="str">
        <f t="shared" si="4"/>
        <v/>
      </c>
      <c r="AF9" t="str">
        <f t="shared" si="5"/>
        <v/>
      </c>
      <c r="AG9" t="str">
        <f t="shared" si="6"/>
        <v/>
      </c>
      <c r="AH9" t="str">
        <f t="shared" si="7"/>
        <v/>
      </c>
      <c r="AI9" t="str">
        <f t="shared" si="8"/>
        <v/>
      </c>
      <c r="AK9" t="str">
        <f t="shared" si="9"/>
        <v/>
      </c>
      <c r="AL9" t="str">
        <f t="shared" si="32"/>
        <v/>
      </c>
      <c r="AM9" t="str">
        <f t="shared" si="10"/>
        <v/>
      </c>
      <c r="AN9" t="str">
        <f t="shared" si="11"/>
        <v/>
      </c>
      <c r="AO9" t="str">
        <f t="shared" si="12"/>
        <v/>
      </c>
      <c r="AP9" t="str">
        <f t="shared" si="13"/>
        <v/>
      </c>
      <c r="AQ9" t="str">
        <f t="shared" si="14"/>
        <v/>
      </c>
      <c r="AR9" t="str">
        <f t="shared" si="15"/>
        <v/>
      </c>
      <c r="AS9" t="str">
        <f t="shared" si="16"/>
        <v/>
      </c>
      <c r="AT9" t="str">
        <f t="shared" si="17"/>
        <v/>
      </c>
      <c r="AU9" t="str">
        <f t="shared" si="18"/>
        <v/>
      </c>
      <c r="AV9" t="str">
        <f t="shared" si="19"/>
        <v/>
      </c>
      <c r="AW9" t="str">
        <f t="shared" si="20"/>
        <v/>
      </c>
      <c r="AX9" t="str">
        <f t="shared" si="21"/>
        <v/>
      </c>
      <c r="AY9" t="str">
        <f t="shared" si="22"/>
        <v/>
      </c>
      <c r="AZ9" t="str">
        <f t="shared" si="23"/>
        <v/>
      </c>
      <c r="BA9" t="str">
        <f t="shared" si="24"/>
        <v/>
      </c>
      <c r="BB9" t="str">
        <f t="shared" si="25"/>
        <v/>
      </c>
      <c r="BC9" t="str">
        <f t="shared" si="26"/>
        <v/>
      </c>
      <c r="BD9" t="str">
        <f t="shared" si="27"/>
        <v/>
      </c>
      <c r="BE9" t="str">
        <f t="shared" si="28"/>
        <v/>
      </c>
      <c r="BF9" t="str">
        <f t="shared" si="29"/>
        <v/>
      </c>
      <c r="BG9" t="str">
        <f t="shared" si="30"/>
        <v/>
      </c>
      <c r="BH9" t="str">
        <f t="shared" si="31"/>
        <v/>
      </c>
    </row>
    <row r="10" spans="1:66" x14ac:dyDescent="0.2">
      <c r="A10">
        <v>7</v>
      </c>
      <c r="B10">
        <v>78</v>
      </c>
      <c r="C10" t="s">
        <v>39</v>
      </c>
      <c r="D10">
        <v>1</v>
      </c>
      <c r="K10">
        <v>4</v>
      </c>
      <c r="N10">
        <v>5</v>
      </c>
      <c r="O10">
        <v>5</v>
      </c>
      <c r="S10">
        <v>1</v>
      </c>
      <c r="T10">
        <v>1</v>
      </c>
      <c r="X10">
        <f t="shared" si="33"/>
        <v>0</v>
      </c>
      <c r="Z10" t="str">
        <f t="shared" si="0"/>
        <v/>
      </c>
      <c r="AA10" t="str">
        <f t="shared" si="1"/>
        <v/>
      </c>
      <c r="AB10" t="str">
        <f t="shared" si="2"/>
        <v/>
      </c>
      <c r="AC10" t="str">
        <f t="shared" si="3"/>
        <v/>
      </c>
      <c r="AE10" t="str">
        <f t="shared" si="4"/>
        <v/>
      </c>
      <c r="AF10" t="str">
        <f t="shared" si="5"/>
        <v/>
      </c>
      <c r="AG10" t="str">
        <f t="shared" si="6"/>
        <v/>
      </c>
      <c r="AH10" t="str">
        <f t="shared" si="7"/>
        <v/>
      </c>
      <c r="AI10" t="str">
        <f t="shared" si="8"/>
        <v/>
      </c>
      <c r="AK10" t="str">
        <f t="shared" si="9"/>
        <v/>
      </c>
      <c r="AL10" t="str">
        <f t="shared" si="32"/>
        <v/>
      </c>
      <c r="AM10" t="str">
        <f t="shared" si="10"/>
        <v/>
      </c>
      <c r="AN10" t="str">
        <f t="shared" si="11"/>
        <v/>
      </c>
      <c r="AO10" t="str">
        <f t="shared" si="12"/>
        <v/>
      </c>
      <c r="AP10" t="str">
        <f t="shared" si="13"/>
        <v/>
      </c>
      <c r="AQ10" t="str">
        <f t="shared" si="14"/>
        <v/>
      </c>
      <c r="AR10" t="str">
        <f t="shared" si="15"/>
        <v/>
      </c>
      <c r="AS10" t="str">
        <f t="shared" si="16"/>
        <v/>
      </c>
      <c r="AT10" t="str">
        <f t="shared" si="17"/>
        <v/>
      </c>
      <c r="AU10" t="str">
        <f t="shared" si="18"/>
        <v/>
      </c>
      <c r="AV10" t="str">
        <f t="shared" si="19"/>
        <v/>
      </c>
      <c r="AW10" t="str">
        <f t="shared" si="20"/>
        <v/>
      </c>
      <c r="AX10" t="str">
        <f t="shared" si="21"/>
        <v/>
      </c>
      <c r="AY10" t="str">
        <f t="shared" si="22"/>
        <v/>
      </c>
      <c r="AZ10" t="str">
        <f t="shared" si="23"/>
        <v/>
      </c>
      <c r="BA10" t="str">
        <f t="shared" si="24"/>
        <v/>
      </c>
      <c r="BB10" t="str">
        <f t="shared" si="25"/>
        <v/>
      </c>
      <c r="BC10" t="str">
        <f t="shared" si="26"/>
        <v/>
      </c>
      <c r="BD10" t="str">
        <f t="shared" si="27"/>
        <v/>
      </c>
      <c r="BE10" t="str">
        <f t="shared" si="28"/>
        <v/>
      </c>
      <c r="BF10" t="str">
        <f t="shared" si="29"/>
        <v/>
      </c>
      <c r="BG10" t="str">
        <f t="shared" si="30"/>
        <v/>
      </c>
      <c r="BH10" t="str">
        <f t="shared" si="31"/>
        <v/>
      </c>
    </row>
    <row r="11" spans="1:66" x14ac:dyDescent="0.2">
      <c r="A11">
        <v>8</v>
      </c>
      <c r="B11">
        <v>84</v>
      </c>
      <c r="C11" t="s">
        <v>39</v>
      </c>
      <c r="D11">
        <v>1</v>
      </c>
      <c r="K11">
        <v>6</v>
      </c>
      <c r="N11">
        <v>6</v>
      </c>
      <c r="O11">
        <v>6</v>
      </c>
      <c r="S11">
        <v>1</v>
      </c>
      <c r="T11">
        <v>1</v>
      </c>
      <c r="X11">
        <f t="shared" si="33"/>
        <v>0</v>
      </c>
      <c r="Z11" t="str">
        <f t="shared" si="0"/>
        <v/>
      </c>
      <c r="AA11" t="str">
        <f t="shared" si="1"/>
        <v/>
      </c>
      <c r="AB11" t="str">
        <f t="shared" si="2"/>
        <v/>
      </c>
      <c r="AC11" t="str">
        <f t="shared" si="3"/>
        <v/>
      </c>
      <c r="AE11" t="str">
        <f t="shared" si="4"/>
        <v/>
      </c>
      <c r="AF11" t="str">
        <f t="shared" si="5"/>
        <v/>
      </c>
      <c r="AG11" t="str">
        <f t="shared" si="6"/>
        <v/>
      </c>
      <c r="AH11" t="str">
        <f t="shared" si="7"/>
        <v/>
      </c>
      <c r="AI11" t="str">
        <f t="shared" si="8"/>
        <v/>
      </c>
      <c r="AK11" t="str">
        <f t="shared" si="9"/>
        <v/>
      </c>
      <c r="AL11" t="str">
        <f t="shared" si="32"/>
        <v/>
      </c>
      <c r="AM11" t="str">
        <f t="shared" si="10"/>
        <v/>
      </c>
      <c r="AN11" t="str">
        <f t="shared" si="11"/>
        <v/>
      </c>
      <c r="AO11" t="str">
        <f t="shared" si="12"/>
        <v/>
      </c>
      <c r="AP11" t="str">
        <f t="shared" si="13"/>
        <v/>
      </c>
      <c r="AQ11" t="str">
        <f t="shared" si="14"/>
        <v/>
      </c>
      <c r="AR11" t="str">
        <f t="shared" si="15"/>
        <v/>
      </c>
      <c r="AS11" t="str">
        <f t="shared" si="16"/>
        <v/>
      </c>
      <c r="AT11" t="str">
        <f t="shared" si="17"/>
        <v/>
      </c>
      <c r="AU11" t="str">
        <f t="shared" si="18"/>
        <v/>
      </c>
      <c r="AV11" t="str">
        <f t="shared" si="19"/>
        <v/>
      </c>
      <c r="AW11" t="str">
        <f t="shared" si="20"/>
        <v/>
      </c>
      <c r="AX11" t="str">
        <f t="shared" si="21"/>
        <v/>
      </c>
      <c r="AY11" t="str">
        <f t="shared" si="22"/>
        <v/>
      </c>
      <c r="AZ11" t="str">
        <f t="shared" si="23"/>
        <v/>
      </c>
      <c r="BA11" t="str">
        <f t="shared" si="24"/>
        <v/>
      </c>
      <c r="BB11" t="str">
        <f t="shared" si="25"/>
        <v/>
      </c>
      <c r="BC11" t="str">
        <f t="shared" si="26"/>
        <v/>
      </c>
      <c r="BD11" t="str">
        <f t="shared" si="27"/>
        <v/>
      </c>
      <c r="BE11" t="str">
        <f t="shared" si="28"/>
        <v/>
      </c>
      <c r="BF11" t="str">
        <f t="shared" si="29"/>
        <v/>
      </c>
      <c r="BG11" t="str">
        <f t="shared" si="30"/>
        <v/>
      </c>
      <c r="BH11" t="str">
        <f t="shared" si="31"/>
        <v/>
      </c>
    </row>
    <row r="12" spans="1:66" x14ac:dyDescent="0.2">
      <c r="A12">
        <v>9</v>
      </c>
      <c r="B12">
        <v>98</v>
      </c>
      <c r="C12" t="s">
        <v>207</v>
      </c>
      <c r="D12">
        <v>1</v>
      </c>
      <c r="E12">
        <v>1</v>
      </c>
      <c r="F12">
        <v>1</v>
      </c>
      <c r="K12">
        <v>3</v>
      </c>
      <c r="L12">
        <v>1</v>
      </c>
      <c r="N12">
        <v>3</v>
      </c>
      <c r="O12">
        <v>3</v>
      </c>
      <c r="S12">
        <v>1</v>
      </c>
      <c r="U12">
        <v>4</v>
      </c>
      <c r="X12">
        <f t="shared" si="33"/>
        <v>0</v>
      </c>
      <c r="Z12" t="str">
        <f t="shared" si="0"/>
        <v/>
      </c>
      <c r="AA12" t="str">
        <f t="shared" si="1"/>
        <v/>
      </c>
      <c r="AB12" t="str">
        <f t="shared" si="2"/>
        <v/>
      </c>
      <c r="AC12" t="str">
        <f t="shared" si="3"/>
        <v/>
      </c>
      <c r="AE12" t="str">
        <f t="shared" si="4"/>
        <v/>
      </c>
      <c r="AF12" t="str">
        <f t="shared" si="5"/>
        <v/>
      </c>
      <c r="AG12" t="str">
        <f t="shared" si="6"/>
        <v/>
      </c>
      <c r="AH12" t="str">
        <f t="shared" si="7"/>
        <v/>
      </c>
      <c r="AI12" t="str">
        <f t="shared" si="8"/>
        <v/>
      </c>
      <c r="AK12" t="str">
        <f t="shared" si="9"/>
        <v/>
      </c>
      <c r="AL12" t="str">
        <f t="shared" si="32"/>
        <v/>
      </c>
      <c r="AM12" t="str">
        <f t="shared" si="10"/>
        <v/>
      </c>
      <c r="AN12" t="str">
        <f t="shared" si="11"/>
        <v/>
      </c>
      <c r="AO12" t="str">
        <f t="shared" si="12"/>
        <v/>
      </c>
      <c r="AP12" t="str">
        <f t="shared" si="13"/>
        <v/>
      </c>
      <c r="AQ12" t="str">
        <f t="shared" si="14"/>
        <v/>
      </c>
      <c r="AR12" t="str">
        <f t="shared" si="15"/>
        <v/>
      </c>
      <c r="AS12" t="str">
        <f t="shared" si="16"/>
        <v/>
      </c>
      <c r="AT12" t="str">
        <f t="shared" si="17"/>
        <v/>
      </c>
      <c r="AU12" t="str">
        <f t="shared" si="18"/>
        <v/>
      </c>
      <c r="AV12" t="str">
        <f t="shared" si="19"/>
        <v/>
      </c>
      <c r="AW12" t="str">
        <f t="shared" si="20"/>
        <v/>
      </c>
      <c r="AX12" t="str">
        <f t="shared" si="21"/>
        <v/>
      </c>
      <c r="AY12" t="str">
        <f t="shared" si="22"/>
        <v/>
      </c>
      <c r="AZ12" t="str">
        <f t="shared" si="23"/>
        <v/>
      </c>
      <c r="BA12" t="str">
        <f t="shared" si="24"/>
        <v/>
      </c>
      <c r="BB12" t="str">
        <f t="shared" si="25"/>
        <v/>
      </c>
      <c r="BC12" t="str">
        <f t="shared" si="26"/>
        <v/>
      </c>
      <c r="BD12" t="str">
        <f t="shared" si="27"/>
        <v/>
      </c>
      <c r="BE12" t="str">
        <f t="shared" si="28"/>
        <v/>
      </c>
      <c r="BF12" t="str">
        <f t="shared" si="29"/>
        <v/>
      </c>
      <c r="BG12" t="str">
        <f t="shared" si="30"/>
        <v/>
      </c>
      <c r="BH12" t="str">
        <f t="shared" si="31"/>
        <v/>
      </c>
    </row>
    <row r="13" spans="1:66" x14ac:dyDescent="0.2">
      <c r="A13">
        <v>10</v>
      </c>
      <c r="B13">
        <v>103</v>
      </c>
      <c r="C13" t="s">
        <v>39</v>
      </c>
      <c r="D13">
        <v>1</v>
      </c>
      <c r="E13">
        <v>1</v>
      </c>
      <c r="F13">
        <v>1</v>
      </c>
      <c r="K13">
        <v>5</v>
      </c>
      <c r="N13">
        <v>4</v>
      </c>
      <c r="O13">
        <v>4</v>
      </c>
      <c r="S13">
        <v>1</v>
      </c>
      <c r="T13">
        <v>1</v>
      </c>
      <c r="X13">
        <f t="shared" si="33"/>
        <v>0</v>
      </c>
      <c r="Z13" t="str">
        <f t="shared" si="0"/>
        <v/>
      </c>
      <c r="AA13" t="str">
        <f t="shared" si="1"/>
        <v/>
      </c>
      <c r="AB13" t="str">
        <f t="shared" si="2"/>
        <v/>
      </c>
      <c r="AC13" t="str">
        <f t="shared" si="3"/>
        <v/>
      </c>
      <c r="AE13" t="str">
        <f t="shared" si="4"/>
        <v/>
      </c>
      <c r="AF13" t="str">
        <f t="shared" si="5"/>
        <v/>
      </c>
      <c r="AG13" t="str">
        <f t="shared" si="6"/>
        <v/>
      </c>
      <c r="AH13" t="str">
        <f t="shared" si="7"/>
        <v/>
      </c>
      <c r="AI13" t="str">
        <f t="shared" si="8"/>
        <v/>
      </c>
      <c r="AK13" t="str">
        <f t="shared" si="9"/>
        <v/>
      </c>
      <c r="AL13" t="str">
        <f t="shared" si="32"/>
        <v/>
      </c>
      <c r="AM13" t="str">
        <f t="shared" si="10"/>
        <v/>
      </c>
      <c r="AN13" t="str">
        <f t="shared" si="11"/>
        <v/>
      </c>
      <c r="AO13" t="str">
        <f t="shared" si="12"/>
        <v/>
      </c>
      <c r="AP13" t="str">
        <f t="shared" si="13"/>
        <v/>
      </c>
      <c r="AQ13" t="str">
        <f t="shared" si="14"/>
        <v/>
      </c>
      <c r="AR13" t="str">
        <f t="shared" si="15"/>
        <v/>
      </c>
      <c r="AS13" t="str">
        <f t="shared" si="16"/>
        <v/>
      </c>
      <c r="AT13" t="str">
        <f t="shared" si="17"/>
        <v/>
      </c>
      <c r="AU13" t="str">
        <f t="shared" si="18"/>
        <v/>
      </c>
      <c r="AV13" t="str">
        <f t="shared" si="19"/>
        <v/>
      </c>
      <c r="AW13" t="str">
        <f t="shared" si="20"/>
        <v/>
      </c>
      <c r="AX13" t="str">
        <f t="shared" si="21"/>
        <v/>
      </c>
      <c r="AY13" t="str">
        <f t="shared" si="22"/>
        <v/>
      </c>
      <c r="AZ13" t="str">
        <f t="shared" si="23"/>
        <v/>
      </c>
      <c r="BA13" t="str">
        <f t="shared" si="24"/>
        <v/>
      </c>
      <c r="BB13" t="str">
        <f t="shared" si="25"/>
        <v/>
      </c>
      <c r="BC13" t="str">
        <f t="shared" si="26"/>
        <v/>
      </c>
      <c r="BD13" t="str">
        <f t="shared" si="27"/>
        <v/>
      </c>
      <c r="BE13" t="str">
        <f t="shared" si="28"/>
        <v/>
      </c>
      <c r="BF13" t="str">
        <f t="shared" si="29"/>
        <v/>
      </c>
      <c r="BG13" t="str">
        <f t="shared" si="30"/>
        <v/>
      </c>
      <c r="BH13" t="str">
        <f t="shared" si="31"/>
        <v/>
      </c>
    </row>
    <row r="14" spans="1:66" x14ac:dyDescent="0.2">
      <c r="A14">
        <v>11</v>
      </c>
      <c r="B14">
        <v>111</v>
      </c>
      <c r="C14" t="s">
        <v>207</v>
      </c>
      <c r="D14">
        <v>1</v>
      </c>
      <c r="K14">
        <v>3</v>
      </c>
      <c r="L14">
        <v>1</v>
      </c>
      <c r="N14">
        <v>4</v>
      </c>
      <c r="O14">
        <v>4</v>
      </c>
      <c r="X14">
        <f t="shared" si="33"/>
        <v>0</v>
      </c>
      <c r="Z14" t="s">
        <v>31</v>
      </c>
      <c r="AE14" t="s">
        <v>34</v>
      </c>
      <c r="AK14" t="s">
        <v>43</v>
      </c>
      <c r="AP14" t="s">
        <v>84</v>
      </c>
    </row>
    <row r="15" spans="1:66" x14ac:dyDescent="0.2">
      <c r="A15">
        <v>12</v>
      </c>
      <c r="X15">
        <f t="shared" si="33"/>
        <v>0</v>
      </c>
      <c r="Z15" t="s">
        <v>21</v>
      </c>
      <c r="AA15" t="s">
        <v>22</v>
      </c>
      <c r="AE15" t="s">
        <v>21</v>
      </c>
      <c r="AF15" t="s">
        <v>22</v>
      </c>
      <c r="AG15" t="s">
        <v>35</v>
      </c>
      <c r="AK15" t="s">
        <v>10</v>
      </c>
      <c r="AL15" t="s">
        <v>25</v>
      </c>
      <c r="AM15" t="s">
        <v>26</v>
      </c>
      <c r="AN15" t="s">
        <v>27</v>
      </c>
      <c r="AP15" t="s">
        <v>15</v>
      </c>
      <c r="AQ15" t="s">
        <v>85</v>
      </c>
    </row>
    <row r="16" spans="1:66" x14ac:dyDescent="0.2">
      <c r="A16" t="s">
        <v>28</v>
      </c>
      <c r="D16">
        <f>SUM(D4:D15)</f>
        <v>10</v>
      </c>
      <c r="E16">
        <f>SUM(E4:E15)</f>
        <v>2</v>
      </c>
      <c r="F16">
        <f>SUM(F4:F15)</f>
        <v>3</v>
      </c>
      <c r="G16">
        <f>SUM(G4:G15)</f>
        <v>0</v>
      </c>
      <c r="H16">
        <f>SUM(H4:H15)</f>
        <v>0</v>
      </c>
      <c r="K16">
        <f>SUM(K4:K15)</f>
        <v>41</v>
      </c>
      <c r="L16">
        <f>SUM(L4:L15)</f>
        <v>7</v>
      </c>
      <c r="M16">
        <f>SUM(M4:M15)</f>
        <v>0</v>
      </c>
      <c r="N16">
        <f>SUM(N4:N15)</f>
        <v>48</v>
      </c>
      <c r="O16">
        <f>SUM(O4:O15)</f>
        <v>47</v>
      </c>
      <c r="Q16">
        <f t="shared" ref="Q16:R16" si="34">SUM(Q4:Q15)</f>
        <v>0</v>
      </c>
      <c r="R16">
        <f t="shared" si="34"/>
        <v>0</v>
      </c>
      <c r="S16">
        <f>SUM(S4:S15)</f>
        <v>9</v>
      </c>
      <c r="T16">
        <f>SUM(T4:T15)</f>
        <v>7</v>
      </c>
      <c r="U16">
        <f>SUM(U4:U15)</f>
        <v>17</v>
      </c>
      <c r="V16">
        <f>SUM(V4:V15)</f>
        <v>0</v>
      </c>
      <c r="W16">
        <f>SUM(W4:W15)</f>
        <v>0</v>
      </c>
      <c r="Z16">
        <f t="shared" ref="Z16:Z27" si="35">COUNTIF(Z2:AC2, "3")*COUNTIF(C4, "r")+COUNTIF(Z2:AC2, "5")*COUNTIF(C4, "b")</f>
        <v>0</v>
      </c>
      <c r="AA16">
        <f t="shared" ref="AA16:AA27" si="36">COUNTIF(Z2:AC2, "1")+COUNTIF(Z2:AC2, "2")+COUNTIF(Z2:AC2, "4")</f>
        <v>0</v>
      </c>
      <c r="AE16">
        <f t="shared" ref="AE16:AE27" si="37">COUNTIF(AE2:AI2, "3")*COUNTIF(C4, "r") + COUNTIF(AE2:AI2, "5")*COUNTIF(C4, "b")</f>
        <v>0</v>
      </c>
      <c r="AF16">
        <f t="shared" ref="AF16:AF27" si="38">COUNTIF(AE2:AI2, "1")+COUNTIF(AE2:AI2, "2")+COUNTIF(AE2:AI2, "4")</f>
        <v>0</v>
      </c>
      <c r="AG16">
        <f t="shared" ref="AG16:AG27" si="39">COUNTIF(AE2:AI2, "3")*COUNTIF(AE2:AI2, "b")+COUNTIF(AE2:AI2, "5")*COUNTIF(AE2:AI2, "r")</f>
        <v>0</v>
      </c>
      <c r="AK16">
        <f t="shared" ref="AK16:AK27" si="40">SUMPRODUCT(LEN($AK2:$BH2) - LEN(SUBSTITUTE($AK2:$BH2, "g", "")))</f>
        <v>0</v>
      </c>
      <c r="AL16">
        <f t="shared" ref="AL16:AL27" si="41">SUMPRODUCT(LEN($AK2:$BH2) - LEN(SUBSTITUTE($AK2:$BH2, "h", "")))</f>
        <v>0</v>
      </c>
      <c r="AM16">
        <f t="shared" ref="AM16:AM27" si="42">SUMPRODUCT(LEN($AK2:$BH2) - LEN(SUBSTITUTE($AK2:$BH2, "v", "")))</f>
        <v>0</v>
      </c>
      <c r="AN16">
        <f t="shared" ref="AN16:AN27" si="43">SUMPRODUCT(LEN($AK2:$BH2) - LEN(SUBSTITUTE($AK2:$BH2, "r", "")))</f>
        <v>0</v>
      </c>
      <c r="AP16">
        <f>MAX(AQ16:BN16)</f>
        <v>0</v>
      </c>
      <c r="AQ16" s="4">
        <f>_xlfn.NUMBERVALUE(RIGHT(AK2,1))</f>
        <v>0</v>
      </c>
      <c r="AR16" s="4">
        <f t="shared" ref="AR16:BG27" si="44">_xlfn.NUMBERVALUE(RIGHT(AL2,1))</f>
        <v>0</v>
      </c>
      <c r="AS16" s="4">
        <f t="shared" si="44"/>
        <v>0</v>
      </c>
      <c r="AT16" s="4">
        <f t="shared" si="44"/>
        <v>0</v>
      </c>
      <c r="AU16" s="4">
        <f t="shared" si="44"/>
        <v>0</v>
      </c>
      <c r="AV16" s="4">
        <f t="shared" si="44"/>
        <v>0</v>
      </c>
      <c r="AW16" s="4">
        <f t="shared" si="44"/>
        <v>0</v>
      </c>
      <c r="AX16" s="4">
        <f t="shared" si="44"/>
        <v>0</v>
      </c>
      <c r="AY16" s="4">
        <f t="shared" si="44"/>
        <v>0</v>
      </c>
      <c r="AZ16" s="4">
        <f t="shared" si="44"/>
        <v>0</v>
      </c>
      <c r="BA16" s="4">
        <f t="shared" si="44"/>
        <v>0</v>
      </c>
      <c r="BB16" s="4">
        <f t="shared" si="44"/>
        <v>0</v>
      </c>
      <c r="BC16" s="4">
        <f t="shared" si="44"/>
        <v>0</v>
      </c>
      <c r="BD16" s="4">
        <f t="shared" si="44"/>
        <v>0</v>
      </c>
      <c r="BE16" s="4">
        <f t="shared" si="44"/>
        <v>0</v>
      </c>
      <c r="BF16" s="4">
        <f t="shared" si="44"/>
        <v>0</v>
      </c>
      <c r="BG16" s="4">
        <f t="shared" si="44"/>
        <v>0</v>
      </c>
      <c r="BH16" s="4">
        <f t="shared" ref="BH16:BN27" si="45">_xlfn.NUMBERVALUE(RIGHT(BB2,1))</f>
        <v>0</v>
      </c>
      <c r="BI16" s="4">
        <f t="shared" si="45"/>
        <v>0</v>
      </c>
      <c r="BJ16" s="4">
        <f t="shared" si="45"/>
        <v>0</v>
      </c>
      <c r="BK16" s="4">
        <f t="shared" si="45"/>
        <v>0</v>
      </c>
      <c r="BL16" s="4">
        <f t="shared" si="45"/>
        <v>0</v>
      </c>
      <c r="BM16" s="4">
        <f t="shared" si="45"/>
        <v>0</v>
      </c>
      <c r="BN16" s="4">
        <f t="shared" si="45"/>
        <v>0</v>
      </c>
    </row>
    <row r="17" spans="1:66" x14ac:dyDescent="0.2">
      <c r="A17" s="1" t="s">
        <v>20</v>
      </c>
      <c r="D17" s="1" t="s">
        <v>49</v>
      </c>
      <c r="G17" s="1" t="s">
        <v>52</v>
      </c>
      <c r="K17" s="3" t="s">
        <v>74</v>
      </c>
      <c r="P17" s="1" t="s">
        <v>66</v>
      </c>
      <c r="Z17">
        <f t="shared" si="35"/>
        <v>0</v>
      </c>
      <c r="AA17">
        <f t="shared" si="36"/>
        <v>0</v>
      </c>
      <c r="AE17">
        <f t="shared" si="37"/>
        <v>0</v>
      </c>
      <c r="AF17">
        <f t="shared" si="38"/>
        <v>0</v>
      </c>
      <c r="AG17">
        <f t="shared" si="39"/>
        <v>0</v>
      </c>
      <c r="AK17">
        <f t="shared" si="40"/>
        <v>0</v>
      </c>
      <c r="AL17">
        <f t="shared" si="41"/>
        <v>0</v>
      </c>
      <c r="AM17">
        <f t="shared" si="42"/>
        <v>0</v>
      </c>
      <c r="AN17">
        <f t="shared" si="43"/>
        <v>0</v>
      </c>
      <c r="AP17">
        <f t="shared" ref="AP17:AP27" si="46">MAX(AQ17:BN17)</f>
        <v>0</v>
      </c>
      <c r="AQ17" s="4">
        <f t="shared" ref="AQ17:AQ27" si="47">_xlfn.NUMBERVALUE(RIGHT(AK3,1))</f>
        <v>0</v>
      </c>
      <c r="AR17" s="4">
        <f t="shared" si="44"/>
        <v>0</v>
      </c>
      <c r="AS17" s="4">
        <f t="shared" si="44"/>
        <v>0</v>
      </c>
      <c r="AT17" s="4">
        <f t="shared" si="44"/>
        <v>0</v>
      </c>
      <c r="AU17" s="4">
        <f t="shared" si="44"/>
        <v>0</v>
      </c>
      <c r="AV17" s="4">
        <f t="shared" si="44"/>
        <v>0</v>
      </c>
      <c r="AW17" s="4">
        <f t="shared" si="44"/>
        <v>0</v>
      </c>
      <c r="AX17" s="4">
        <f t="shared" si="44"/>
        <v>0</v>
      </c>
      <c r="AY17" s="4">
        <f t="shared" si="44"/>
        <v>0</v>
      </c>
      <c r="AZ17" s="4">
        <f t="shared" si="44"/>
        <v>0</v>
      </c>
      <c r="BA17" s="4">
        <f t="shared" si="44"/>
        <v>0</v>
      </c>
      <c r="BB17" s="4">
        <f t="shared" si="44"/>
        <v>0</v>
      </c>
      <c r="BC17" s="4">
        <f t="shared" si="44"/>
        <v>0</v>
      </c>
      <c r="BD17" s="4">
        <f t="shared" si="44"/>
        <v>0</v>
      </c>
      <c r="BE17" s="4">
        <f t="shared" si="44"/>
        <v>0</v>
      </c>
      <c r="BF17" s="4">
        <f t="shared" si="44"/>
        <v>0</v>
      </c>
      <c r="BG17" s="4">
        <f t="shared" si="44"/>
        <v>0</v>
      </c>
      <c r="BH17" s="4">
        <f t="shared" si="45"/>
        <v>0</v>
      </c>
      <c r="BI17" s="4">
        <f t="shared" si="45"/>
        <v>0</v>
      </c>
      <c r="BJ17" s="4">
        <f t="shared" si="45"/>
        <v>0</v>
      </c>
      <c r="BK17" s="4">
        <f t="shared" si="45"/>
        <v>0</v>
      </c>
      <c r="BL17" s="4">
        <f t="shared" si="45"/>
        <v>0</v>
      </c>
      <c r="BM17" s="4">
        <f t="shared" si="45"/>
        <v>0</v>
      </c>
      <c r="BN17" s="4">
        <f t="shared" si="45"/>
        <v>0</v>
      </c>
    </row>
    <row r="18" spans="1:66" x14ac:dyDescent="0.2">
      <c r="A18" t="s">
        <v>32</v>
      </c>
      <c r="B18" t="s">
        <v>21</v>
      </c>
      <c r="D18" t="s">
        <v>180</v>
      </c>
      <c r="G18" s="3" t="s">
        <v>53</v>
      </c>
      <c r="K18" t="s">
        <v>55</v>
      </c>
      <c r="M18" t="s">
        <v>65</v>
      </c>
      <c r="P18" t="s">
        <v>67</v>
      </c>
      <c r="Z18">
        <f t="shared" si="35"/>
        <v>0</v>
      </c>
      <c r="AA18">
        <f t="shared" si="36"/>
        <v>0</v>
      </c>
      <c r="AE18">
        <f t="shared" si="37"/>
        <v>0</v>
      </c>
      <c r="AF18">
        <f t="shared" si="38"/>
        <v>1</v>
      </c>
      <c r="AG18">
        <f t="shared" si="39"/>
        <v>0</v>
      </c>
      <c r="AK18">
        <f t="shared" si="40"/>
        <v>0</v>
      </c>
      <c r="AL18">
        <f t="shared" si="41"/>
        <v>0</v>
      </c>
      <c r="AM18">
        <f t="shared" si="42"/>
        <v>0</v>
      </c>
      <c r="AN18">
        <f t="shared" si="43"/>
        <v>0</v>
      </c>
      <c r="AP18">
        <f t="shared" si="46"/>
        <v>0</v>
      </c>
      <c r="AQ18" s="4">
        <f t="shared" si="47"/>
        <v>0</v>
      </c>
      <c r="AR18" s="4">
        <f t="shared" si="44"/>
        <v>0</v>
      </c>
      <c r="AS18" s="4">
        <f t="shared" si="44"/>
        <v>0</v>
      </c>
      <c r="AT18" s="4">
        <f t="shared" si="44"/>
        <v>0</v>
      </c>
      <c r="AU18" s="4">
        <f t="shared" si="44"/>
        <v>0</v>
      </c>
      <c r="AV18" s="4">
        <f t="shared" si="44"/>
        <v>0</v>
      </c>
      <c r="AW18" s="4">
        <f t="shared" si="44"/>
        <v>0</v>
      </c>
      <c r="AX18" s="4">
        <f t="shared" si="44"/>
        <v>0</v>
      </c>
      <c r="AY18" s="4">
        <f t="shared" si="44"/>
        <v>0</v>
      </c>
      <c r="AZ18" s="4">
        <f t="shared" si="44"/>
        <v>0</v>
      </c>
      <c r="BA18" s="4">
        <f t="shared" si="44"/>
        <v>0</v>
      </c>
      <c r="BB18" s="4">
        <f t="shared" si="44"/>
        <v>0</v>
      </c>
      <c r="BC18" s="4">
        <f t="shared" si="44"/>
        <v>0</v>
      </c>
      <c r="BD18" s="4">
        <f t="shared" si="44"/>
        <v>0</v>
      </c>
      <c r="BE18" s="4">
        <f t="shared" si="44"/>
        <v>0</v>
      </c>
      <c r="BF18" s="4">
        <f t="shared" si="44"/>
        <v>0</v>
      </c>
      <c r="BG18" s="4">
        <f t="shared" si="44"/>
        <v>0</v>
      </c>
      <c r="BH18" s="4">
        <f t="shared" si="45"/>
        <v>0</v>
      </c>
      <c r="BI18" s="4">
        <f t="shared" si="45"/>
        <v>0</v>
      </c>
      <c r="BJ18" s="4">
        <f t="shared" si="45"/>
        <v>0</v>
      </c>
      <c r="BK18" s="4">
        <f t="shared" si="45"/>
        <v>0</v>
      </c>
      <c r="BL18" s="4">
        <f t="shared" si="45"/>
        <v>0</v>
      </c>
      <c r="BM18" s="4">
        <f t="shared" si="45"/>
        <v>0</v>
      </c>
      <c r="BN18" s="4">
        <f t="shared" si="45"/>
        <v>0</v>
      </c>
    </row>
    <row r="19" spans="1:66" x14ac:dyDescent="0.2">
      <c r="A19" t="s">
        <v>40</v>
      </c>
      <c r="B19" t="s">
        <v>22</v>
      </c>
      <c r="D19">
        <f>E16/D16</f>
        <v>0.2</v>
      </c>
      <c r="G19" t="s">
        <v>75</v>
      </c>
      <c r="K19">
        <f>O16/N16</f>
        <v>0.97916666666666663</v>
      </c>
      <c r="M19">
        <f>SUM(M39:M50)</f>
        <v>-6</v>
      </c>
      <c r="P19">
        <f>T16/S16</f>
        <v>0.77777777777777779</v>
      </c>
      <c r="Z19">
        <f t="shared" si="35"/>
        <v>0</v>
      </c>
      <c r="AA19">
        <f t="shared" si="36"/>
        <v>0</v>
      </c>
      <c r="AE19">
        <f t="shared" si="37"/>
        <v>0</v>
      </c>
      <c r="AF19">
        <f t="shared" si="38"/>
        <v>0</v>
      </c>
      <c r="AG19">
        <f t="shared" si="39"/>
        <v>0</v>
      </c>
      <c r="AK19">
        <f t="shared" si="40"/>
        <v>0</v>
      </c>
      <c r="AL19">
        <f t="shared" si="41"/>
        <v>0</v>
      </c>
      <c r="AM19">
        <f t="shared" si="42"/>
        <v>0</v>
      </c>
      <c r="AN19">
        <f t="shared" si="43"/>
        <v>0</v>
      </c>
      <c r="AP19">
        <f t="shared" si="46"/>
        <v>0</v>
      </c>
      <c r="AQ19" s="4">
        <f t="shared" si="47"/>
        <v>0</v>
      </c>
      <c r="AR19" s="4">
        <f t="shared" si="44"/>
        <v>0</v>
      </c>
      <c r="AS19" s="4">
        <f t="shared" si="44"/>
        <v>0</v>
      </c>
      <c r="AT19" s="4">
        <f t="shared" si="44"/>
        <v>0</v>
      </c>
      <c r="AU19" s="4">
        <f t="shared" si="44"/>
        <v>0</v>
      </c>
      <c r="AV19" s="4">
        <f t="shared" si="44"/>
        <v>0</v>
      </c>
      <c r="AW19" s="4">
        <f t="shared" si="44"/>
        <v>0</v>
      </c>
      <c r="AX19" s="4">
        <f t="shared" si="44"/>
        <v>0</v>
      </c>
      <c r="AY19" s="4">
        <f t="shared" si="44"/>
        <v>0</v>
      </c>
      <c r="AZ19" s="4">
        <f t="shared" si="44"/>
        <v>0</v>
      </c>
      <c r="BA19" s="4">
        <f t="shared" si="44"/>
        <v>0</v>
      </c>
      <c r="BB19" s="4">
        <f t="shared" si="44"/>
        <v>0</v>
      </c>
      <c r="BC19" s="4">
        <f t="shared" si="44"/>
        <v>0</v>
      </c>
      <c r="BD19" s="4">
        <f t="shared" si="44"/>
        <v>0</v>
      </c>
      <c r="BE19" s="4">
        <f t="shared" si="44"/>
        <v>0</v>
      </c>
      <c r="BF19" s="4">
        <f t="shared" si="44"/>
        <v>0</v>
      </c>
      <c r="BG19" s="4">
        <f t="shared" si="44"/>
        <v>0</v>
      </c>
      <c r="BH19" s="4">
        <f t="shared" si="45"/>
        <v>0</v>
      </c>
      <c r="BI19" s="4">
        <f t="shared" si="45"/>
        <v>0</v>
      </c>
      <c r="BJ19" s="4">
        <f t="shared" si="45"/>
        <v>0</v>
      </c>
      <c r="BK19" s="4">
        <f t="shared" si="45"/>
        <v>0</v>
      </c>
      <c r="BL19" s="4">
        <f t="shared" si="45"/>
        <v>0</v>
      </c>
      <c r="BM19" s="4">
        <f t="shared" si="45"/>
        <v>0</v>
      </c>
      <c r="BN19" s="4">
        <f t="shared" si="45"/>
        <v>0</v>
      </c>
    </row>
    <row r="20" spans="1:66" x14ac:dyDescent="0.2">
      <c r="A20" t="s">
        <v>41</v>
      </c>
      <c r="B20" t="s">
        <v>23</v>
      </c>
      <c r="D20" t="s">
        <v>47</v>
      </c>
      <c r="G20" t="e">
        <f>AK28/AP28</f>
        <v>#DIV/0!</v>
      </c>
      <c r="K20" t="s">
        <v>13</v>
      </c>
      <c r="Z20">
        <f t="shared" si="35"/>
        <v>0</v>
      </c>
      <c r="AA20">
        <f t="shared" si="36"/>
        <v>0</v>
      </c>
      <c r="AE20">
        <f t="shared" si="37"/>
        <v>0</v>
      </c>
      <c r="AF20">
        <f t="shared" si="38"/>
        <v>0</v>
      </c>
      <c r="AG20">
        <f t="shared" si="39"/>
        <v>0</v>
      </c>
      <c r="AK20">
        <f t="shared" si="40"/>
        <v>0</v>
      </c>
      <c r="AL20">
        <f t="shared" si="41"/>
        <v>0</v>
      </c>
      <c r="AM20">
        <f t="shared" si="42"/>
        <v>0</v>
      </c>
      <c r="AN20">
        <f t="shared" si="43"/>
        <v>0</v>
      </c>
      <c r="AP20">
        <f t="shared" si="46"/>
        <v>0</v>
      </c>
      <c r="AQ20" s="4">
        <f t="shared" si="47"/>
        <v>0</v>
      </c>
      <c r="AR20" s="4">
        <f t="shared" si="44"/>
        <v>0</v>
      </c>
      <c r="AS20" s="4">
        <f t="shared" si="44"/>
        <v>0</v>
      </c>
      <c r="AT20" s="4">
        <f t="shared" si="44"/>
        <v>0</v>
      </c>
      <c r="AU20" s="4">
        <f t="shared" si="44"/>
        <v>0</v>
      </c>
      <c r="AV20" s="4">
        <f t="shared" si="44"/>
        <v>0</v>
      </c>
      <c r="AW20" s="4">
        <f t="shared" si="44"/>
        <v>0</v>
      </c>
      <c r="AX20" s="4">
        <f t="shared" si="44"/>
        <v>0</v>
      </c>
      <c r="AY20" s="4">
        <f t="shared" si="44"/>
        <v>0</v>
      </c>
      <c r="AZ20" s="4">
        <f t="shared" si="44"/>
        <v>0</v>
      </c>
      <c r="BA20" s="4">
        <f t="shared" si="44"/>
        <v>0</v>
      </c>
      <c r="BB20" s="4">
        <f t="shared" si="44"/>
        <v>0</v>
      </c>
      <c r="BC20" s="4">
        <f t="shared" si="44"/>
        <v>0</v>
      </c>
      <c r="BD20" s="4">
        <f t="shared" si="44"/>
        <v>0</v>
      </c>
      <c r="BE20" s="4">
        <f t="shared" si="44"/>
        <v>0</v>
      </c>
      <c r="BF20" s="4">
        <f t="shared" si="44"/>
        <v>0</v>
      </c>
      <c r="BG20" s="4">
        <f t="shared" si="44"/>
        <v>0</v>
      </c>
      <c r="BH20" s="4">
        <f t="shared" si="45"/>
        <v>0</v>
      </c>
      <c r="BI20" s="4">
        <f t="shared" si="45"/>
        <v>0</v>
      </c>
      <c r="BJ20" s="4">
        <f t="shared" si="45"/>
        <v>0</v>
      </c>
      <c r="BK20" s="4">
        <f t="shared" si="45"/>
        <v>0</v>
      </c>
      <c r="BL20" s="4">
        <f t="shared" si="45"/>
        <v>0</v>
      </c>
      <c r="BM20" s="4">
        <f t="shared" si="45"/>
        <v>0</v>
      </c>
      <c r="BN20" s="4">
        <f t="shared" si="45"/>
        <v>0</v>
      </c>
    </row>
    <row r="21" spans="1:66" x14ac:dyDescent="0.2">
      <c r="A21" s="1" t="s">
        <v>24</v>
      </c>
      <c r="D21">
        <f>G16/A31</f>
        <v>0</v>
      </c>
      <c r="G21" t="s">
        <v>76</v>
      </c>
      <c r="K21" t="s">
        <v>57</v>
      </c>
      <c r="L21" t="s">
        <v>58</v>
      </c>
      <c r="M21" t="s">
        <v>59</v>
      </c>
      <c r="N21" t="s">
        <v>60</v>
      </c>
      <c r="Z21">
        <f t="shared" si="35"/>
        <v>0</v>
      </c>
      <c r="AA21">
        <f t="shared" si="36"/>
        <v>0</v>
      </c>
      <c r="AE21">
        <f t="shared" si="37"/>
        <v>0</v>
      </c>
      <c r="AF21">
        <f t="shared" si="38"/>
        <v>0</v>
      </c>
      <c r="AG21">
        <f t="shared" si="39"/>
        <v>0</v>
      </c>
      <c r="AK21">
        <f t="shared" si="40"/>
        <v>0</v>
      </c>
      <c r="AL21">
        <f t="shared" si="41"/>
        <v>0</v>
      </c>
      <c r="AM21">
        <f t="shared" si="42"/>
        <v>0</v>
      </c>
      <c r="AN21">
        <f t="shared" si="43"/>
        <v>0</v>
      </c>
      <c r="AP21">
        <f t="shared" si="46"/>
        <v>0</v>
      </c>
      <c r="AQ21" s="4">
        <f t="shared" si="47"/>
        <v>0</v>
      </c>
      <c r="AR21" s="4">
        <f t="shared" si="44"/>
        <v>0</v>
      </c>
      <c r="AS21" s="4">
        <f t="shared" si="44"/>
        <v>0</v>
      </c>
      <c r="AT21" s="4">
        <f t="shared" si="44"/>
        <v>0</v>
      </c>
      <c r="AU21" s="4">
        <f t="shared" si="44"/>
        <v>0</v>
      </c>
      <c r="AV21" s="4">
        <f t="shared" si="44"/>
        <v>0</v>
      </c>
      <c r="AW21" s="4">
        <f t="shared" si="44"/>
        <v>0</v>
      </c>
      <c r="AX21" s="4">
        <f t="shared" si="44"/>
        <v>0</v>
      </c>
      <c r="AY21" s="4">
        <f t="shared" si="44"/>
        <v>0</v>
      </c>
      <c r="AZ21" s="4">
        <f t="shared" si="44"/>
        <v>0</v>
      </c>
      <c r="BA21" s="4">
        <f t="shared" si="44"/>
        <v>0</v>
      </c>
      <c r="BB21" s="4">
        <f t="shared" si="44"/>
        <v>0</v>
      </c>
      <c r="BC21" s="4">
        <f t="shared" si="44"/>
        <v>0</v>
      </c>
      <c r="BD21" s="4">
        <f t="shared" si="44"/>
        <v>0</v>
      </c>
      <c r="BE21" s="4">
        <f t="shared" si="44"/>
        <v>0</v>
      </c>
      <c r="BF21" s="4">
        <f t="shared" si="44"/>
        <v>0</v>
      </c>
      <c r="BG21" s="4">
        <f t="shared" si="44"/>
        <v>0</v>
      </c>
      <c r="BH21" s="4">
        <f t="shared" si="45"/>
        <v>0</v>
      </c>
      <c r="BI21" s="4">
        <f t="shared" si="45"/>
        <v>0</v>
      </c>
      <c r="BJ21" s="4">
        <f t="shared" si="45"/>
        <v>0</v>
      </c>
      <c r="BK21" s="4">
        <f t="shared" si="45"/>
        <v>0</v>
      </c>
      <c r="BL21" s="4">
        <f t="shared" si="45"/>
        <v>0</v>
      </c>
      <c r="BM21" s="4">
        <f t="shared" si="45"/>
        <v>0</v>
      </c>
      <c r="BN21" s="4">
        <f t="shared" si="45"/>
        <v>0</v>
      </c>
    </row>
    <row r="22" spans="1:66" x14ac:dyDescent="0.2">
      <c r="A22" t="s">
        <v>36</v>
      </c>
      <c r="B22" t="s">
        <v>10</v>
      </c>
      <c r="D22" t="s">
        <v>48</v>
      </c>
      <c r="G22" t="e">
        <f>AL28/AP28</f>
        <v>#DIV/0!</v>
      </c>
      <c r="K22">
        <f>AVERAGE(C39:C50)</f>
        <v>4.2727272727272725</v>
      </c>
      <c r="L22">
        <f>MEDIAN(C39:C50)</f>
        <v>4</v>
      </c>
      <c r="M22">
        <f>MAX(C39:C50)</f>
        <v>6</v>
      </c>
      <c r="N22">
        <f>_xlfn.STDEV.S(C39:C50)</f>
        <v>1.0090499582190262</v>
      </c>
      <c r="Z22">
        <f t="shared" si="35"/>
        <v>0</v>
      </c>
      <c r="AA22">
        <f t="shared" si="36"/>
        <v>0</v>
      </c>
      <c r="AE22">
        <f t="shared" si="37"/>
        <v>0</v>
      </c>
      <c r="AF22">
        <f t="shared" si="38"/>
        <v>0</v>
      </c>
      <c r="AG22">
        <f t="shared" si="39"/>
        <v>0</v>
      </c>
      <c r="AK22">
        <f t="shared" si="40"/>
        <v>0</v>
      </c>
      <c r="AL22">
        <f t="shared" si="41"/>
        <v>0</v>
      </c>
      <c r="AM22">
        <f t="shared" si="42"/>
        <v>0</v>
      </c>
      <c r="AN22">
        <f t="shared" si="43"/>
        <v>0</v>
      </c>
      <c r="AP22">
        <f t="shared" si="46"/>
        <v>0</v>
      </c>
      <c r="AQ22" s="4">
        <f t="shared" si="47"/>
        <v>0</v>
      </c>
      <c r="AR22" s="4">
        <f t="shared" si="44"/>
        <v>0</v>
      </c>
      <c r="AS22" s="4">
        <f t="shared" si="44"/>
        <v>0</v>
      </c>
      <c r="AT22" s="4">
        <f t="shared" si="44"/>
        <v>0</v>
      </c>
      <c r="AU22" s="4">
        <f t="shared" si="44"/>
        <v>0</v>
      </c>
      <c r="AV22" s="4">
        <f t="shared" si="44"/>
        <v>0</v>
      </c>
      <c r="AW22" s="4">
        <f t="shared" si="44"/>
        <v>0</v>
      </c>
      <c r="AX22" s="4">
        <f t="shared" si="44"/>
        <v>0</v>
      </c>
      <c r="AY22" s="4">
        <f t="shared" si="44"/>
        <v>0</v>
      </c>
      <c r="AZ22" s="4">
        <f t="shared" si="44"/>
        <v>0</v>
      </c>
      <c r="BA22" s="4">
        <f t="shared" si="44"/>
        <v>0</v>
      </c>
      <c r="BB22" s="4">
        <f t="shared" si="44"/>
        <v>0</v>
      </c>
      <c r="BC22" s="4">
        <f t="shared" si="44"/>
        <v>0</v>
      </c>
      <c r="BD22" s="4">
        <f t="shared" si="44"/>
        <v>0</v>
      </c>
      <c r="BE22" s="4">
        <f t="shared" si="44"/>
        <v>0</v>
      </c>
      <c r="BF22" s="4">
        <f t="shared" si="44"/>
        <v>0</v>
      </c>
      <c r="BG22" s="4">
        <f t="shared" si="44"/>
        <v>0</v>
      </c>
      <c r="BH22" s="4">
        <f t="shared" si="45"/>
        <v>0</v>
      </c>
      <c r="BI22" s="4">
        <f t="shared" si="45"/>
        <v>0</v>
      </c>
      <c r="BJ22" s="4">
        <f t="shared" si="45"/>
        <v>0</v>
      </c>
      <c r="BK22" s="4">
        <f t="shared" si="45"/>
        <v>0</v>
      </c>
      <c r="BL22" s="4">
        <f t="shared" si="45"/>
        <v>0</v>
      </c>
      <c r="BM22" s="4">
        <f t="shared" si="45"/>
        <v>0</v>
      </c>
      <c r="BN22" s="4">
        <f t="shared" si="45"/>
        <v>0</v>
      </c>
    </row>
    <row r="23" spans="1:66" x14ac:dyDescent="0.2">
      <c r="A23" t="s">
        <v>37</v>
      </c>
      <c r="B23" t="s">
        <v>25</v>
      </c>
      <c r="D23">
        <f>H16/A31</f>
        <v>0</v>
      </c>
      <c r="G23" t="s">
        <v>77</v>
      </c>
      <c r="K23" t="s">
        <v>8</v>
      </c>
      <c r="Z23">
        <f t="shared" si="35"/>
        <v>0</v>
      </c>
      <c r="AA23">
        <f t="shared" si="36"/>
        <v>0</v>
      </c>
      <c r="AE23">
        <f t="shared" si="37"/>
        <v>0</v>
      </c>
      <c r="AF23">
        <f t="shared" si="38"/>
        <v>0</v>
      </c>
      <c r="AG23">
        <f t="shared" si="39"/>
        <v>0</v>
      </c>
      <c r="AK23">
        <f t="shared" si="40"/>
        <v>0</v>
      </c>
      <c r="AL23">
        <f t="shared" si="41"/>
        <v>0</v>
      </c>
      <c r="AM23">
        <f t="shared" si="42"/>
        <v>0</v>
      </c>
      <c r="AN23">
        <f t="shared" si="43"/>
        <v>0</v>
      </c>
      <c r="AP23">
        <f t="shared" si="46"/>
        <v>0</v>
      </c>
      <c r="AQ23" s="4">
        <f t="shared" si="47"/>
        <v>0</v>
      </c>
      <c r="AR23" s="4">
        <f t="shared" si="44"/>
        <v>0</v>
      </c>
      <c r="AS23" s="4">
        <f t="shared" si="44"/>
        <v>0</v>
      </c>
      <c r="AT23" s="4">
        <f t="shared" si="44"/>
        <v>0</v>
      </c>
      <c r="AU23" s="4">
        <f t="shared" si="44"/>
        <v>0</v>
      </c>
      <c r="AV23" s="4">
        <f t="shared" si="44"/>
        <v>0</v>
      </c>
      <c r="AW23" s="4">
        <f t="shared" si="44"/>
        <v>0</v>
      </c>
      <c r="AX23" s="4">
        <f t="shared" si="44"/>
        <v>0</v>
      </c>
      <c r="AY23" s="4">
        <f t="shared" si="44"/>
        <v>0</v>
      </c>
      <c r="AZ23" s="4">
        <f t="shared" si="44"/>
        <v>0</v>
      </c>
      <c r="BA23" s="4">
        <f t="shared" si="44"/>
        <v>0</v>
      </c>
      <c r="BB23" s="4">
        <f t="shared" si="44"/>
        <v>0</v>
      </c>
      <c r="BC23" s="4">
        <f t="shared" si="44"/>
        <v>0</v>
      </c>
      <c r="BD23" s="4">
        <f t="shared" si="44"/>
        <v>0</v>
      </c>
      <c r="BE23" s="4">
        <f t="shared" si="44"/>
        <v>0</v>
      </c>
      <c r="BF23" s="4">
        <f t="shared" si="44"/>
        <v>0</v>
      </c>
      <c r="BG23" s="4">
        <f t="shared" si="44"/>
        <v>0</v>
      </c>
      <c r="BH23" s="4">
        <f t="shared" si="45"/>
        <v>0</v>
      </c>
      <c r="BI23" s="4">
        <f t="shared" si="45"/>
        <v>0</v>
      </c>
      <c r="BJ23" s="4">
        <f t="shared" si="45"/>
        <v>0</v>
      </c>
      <c r="BK23" s="4">
        <f t="shared" si="45"/>
        <v>0</v>
      </c>
      <c r="BL23" s="4">
        <f t="shared" si="45"/>
        <v>0</v>
      </c>
      <c r="BM23" s="4">
        <f t="shared" si="45"/>
        <v>0</v>
      </c>
      <c r="BN23" s="4">
        <f t="shared" si="45"/>
        <v>0</v>
      </c>
    </row>
    <row r="24" spans="1:66" x14ac:dyDescent="0.2">
      <c r="A24" t="s">
        <v>38</v>
      </c>
      <c r="B24" t="s">
        <v>26</v>
      </c>
      <c r="D24" t="s">
        <v>50</v>
      </c>
      <c r="G24" t="e">
        <f>AM28/AP28</f>
        <v>#DIV/0!</v>
      </c>
      <c r="K24" t="s">
        <v>57</v>
      </c>
      <c r="L24" t="s">
        <v>61</v>
      </c>
      <c r="M24" t="s">
        <v>59</v>
      </c>
      <c r="N24" t="s">
        <v>60</v>
      </c>
      <c r="Z24">
        <f t="shared" si="35"/>
        <v>0</v>
      </c>
      <c r="AA24">
        <f t="shared" si="36"/>
        <v>0</v>
      </c>
      <c r="AE24">
        <f t="shared" si="37"/>
        <v>0</v>
      </c>
      <c r="AF24">
        <f t="shared" si="38"/>
        <v>0</v>
      </c>
      <c r="AG24">
        <f t="shared" si="39"/>
        <v>0</v>
      </c>
      <c r="AK24">
        <f t="shared" si="40"/>
        <v>0</v>
      </c>
      <c r="AL24">
        <f t="shared" si="41"/>
        <v>0</v>
      </c>
      <c r="AM24">
        <f t="shared" si="42"/>
        <v>0</v>
      </c>
      <c r="AN24">
        <f t="shared" si="43"/>
        <v>0</v>
      </c>
      <c r="AP24">
        <f t="shared" si="46"/>
        <v>0</v>
      </c>
      <c r="AQ24" s="4">
        <f t="shared" si="47"/>
        <v>0</v>
      </c>
      <c r="AR24" s="4">
        <f t="shared" si="44"/>
        <v>0</v>
      </c>
      <c r="AS24" s="4">
        <f t="shared" si="44"/>
        <v>0</v>
      </c>
      <c r="AT24" s="4">
        <f t="shared" si="44"/>
        <v>0</v>
      </c>
      <c r="AU24" s="4">
        <f t="shared" si="44"/>
        <v>0</v>
      </c>
      <c r="AV24" s="4">
        <f t="shared" si="44"/>
        <v>0</v>
      </c>
      <c r="AW24" s="4">
        <f t="shared" si="44"/>
        <v>0</v>
      </c>
      <c r="AX24" s="4">
        <f t="shared" si="44"/>
        <v>0</v>
      </c>
      <c r="AY24" s="4">
        <f t="shared" si="44"/>
        <v>0</v>
      </c>
      <c r="AZ24" s="4">
        <f t="shared" si="44"/>
        <v>0</v>
      </c>
      <c r="BA24" s="4">
        <f t="shared" si="44"/>
        <v>0</v>
      </c>
      <c r="BB24" s="4">
        <f t="shared" si="44"/>
        <v>0</v>
      </c>
      <c r="BC24" s="4">
        <f t="shared" si="44"/>
        <v>0</v>
      </c>
      <c r="BD24" s="4">
        <f t="shared" si="44"/>
        <v>0</v>
      </c>
      <c r="BE24" s="4">
        <f t="shared" si="44"/>
        <v>0</v>
      </c>
      <c r="BF24" s="4">
        <f t="shared" si="44"/>
        <v>0</v>
      </c>
      <c r="BG24" s="4">
        <f t="shared" si="44"/>
        <v>0</v>
      </c>
      <c r="BH24" s="4">
        <f t="shared" si="45"/>
        <v>0</v>
      </c>
      <c r="BI24" s="4">
        <f t="shared" si="45"/>
        <v>0</v>
      </c>
      <c r="BJ24" s="4">
        <f t="shared" si="45"/>
        <v>0</v>
      </c>
      <c r="BK24" s="4">
        <f t="shared" si="45"/>
        <v>0</v>
      </c>
      <c r="BL24" s="4">
        <f t="shared" si="45"/>
        <v>0</v>
      </c>
      <c r="BM24" s="4">
        <f t="shared" si="45"/>
        <v>0</v>
      </c>
      <c r="BN24" s="4">
        <f t="shared" si="45"/>
        <v>0</v>
      </c>
    </row>
    <row r="25" spans="1:66" x14ac:dyDescent="0.2">
      <c r="A25" t="s">
        <v>39</v>
      </c>
      <c r="B25" t="s">
        <v>27</v>
      </c>
      <c r="D25">
        <f>Z28/A31</f>
        <v>0</v>
      </c>
      <c r="G25" t="s">
        <v>78</v>
      </c>
      <c r="K25">
        <f>AVERAGE(E39:E50)</f>
        <v>0</v>
      </c>
      <c r="L25">
        <f>MEDIAN(E39:E50)</f>
        <v>0</v>
      </c>
      <c r="M25">
        <f>MAX(E39:E50)</f>
        <v>0</v>
      </c>
      <c r="N25">
        <f>_xlfn.STDEV.S(E39:E50)</f>
        <v>0</v>
      </c>
      <c r="Z25">
        <f t="shared" si="35"/>
        <v>0</v>
      </c>
      <c r="AA25">
        <f t="shared" si="36"/>
        <v>0</v>
      </c>
      <c r="AE25">
        <f t="shared" si="37"/>
        <v>0</v>
      </c>
      <c r="AF25">
        <f t="shared" si="38"/>
        <v>0</v>
      </c>
      <c r="AG25">
        <f t="shared" si="39"/>
        <v>0</v>
      </c>
      <c r="AK25">
        <f t="shared" si="40"/>
        <v>0</v>
      </c>
      <c r="AL25">
        <f t="shared" si="41"/>
        <v>0</v>
      </c>
      <c r="AM25">
        <f t="shared" si="42"/>
        <v>0</v>
      </c>
      <c r="AN25">
        <f t="shared" si="43"/>
        <v>0</v>
      </c>
      <c r="AP25">
        <f t="shared" si="46"/>
        <v>0</v>
      </c>
      <c r="AQ25" s="4">
        <f t="shared" si="47"/>
        <v>0</v>
      </c>
      <c r="AR25" s="4">
        <f t="shared" si="44"/>
        <v>0</v>
      </c>
      <c r="AS25" s="4">
        <f t="shared" si="44"/>
        <v>0</v>
      </c>
      <c r="AT25" s="4">
        <f t="shared" si="44"/>
        <v>0</v>
      </c>
      <c r="AU25" s="4">
        <f t="shared" si="44"/>
        <v>0</v>
      </c>
      <c r="AV25" s="4">
        <f t="shared" si="44"/>
        <v>0</v>
      </c>
      <c r="AW25" s="4">
        <f t="shared" si="44"/>
        <v>0</v>
      </c>
      <c r="AX25" s="4">
        <f t="shared" si="44"/>
        <v>0</v>
      </c>
      <c r="AY25" s="4">
        <f t="shared" si="44"/>
        <v>0</v>
      </c>
      <c r="AZ25" s="4">
        <f t="shared" si="44"/>
        <v>0</v>
      </c>
      <c r="BA25" s="4">
        <f t="shared" si="44"/>
        <v>0</v>
      </c>
      <c r="BB25" s="4">
        <f t="shared" si="44"/>
        <v>0</v>
      </c>
      <c r="BC25" s="4">
        <f t="shared" si="44"/>
        <v>0</v>
      </c>
      <c r="BD25" s="4">
        <f t="shared" si="44"/>
        <v>0</v>
      </c>
      <c r="BE25" s="4">
        <f t="shared" si="44"/>
        <v>0</v>
      </c>
      <c r="BF25" s="4">
        <f t="shared" si="44"/>
        <v>0</v>
      </c>
      <c r="BG25" s="4">
        <f t="shared" si="44"/>
        <v>0</v>
      </c>
      <c r="BH25" s="4">
        <f t="shared" si="45"/>
        <v>0</v>
      </c>
      <c r="BI25" s="4">
        <f t="shared" si="45"/>
        <v>0</v>
      </c>
      <c r="BJ25" s="4">
        <f t="shared" si="45"/>
        <v>0</v>
      </c>
      <c r="BK25" s="4">
        <f t="shared" si="45"/>
        <v>0</v>
      </c>
      <c r="BL25" s="4">
        <f t="shared" si="45"/>
        <v>0</v>
      </c>
      <c r="BM25" s="4">
        <f t="shared" si="45"/>
        <v>0</v>
      </c>
      <c r="BN25" s="4">
        <f t="shared" si="45"/>
        <v>0</v>
      </c>
    </row>
    <row r="26" spans="1:66" x14ac:dyDescent="0.2">
      <c r="A26" t="s">
        <v>44</v>
      </c>
      <c r="D26" t="s">
        <v>51</v>
      </c>
      <c r="G26" t="e">
        <f>AN28/AP28</f>
        <v>#DIV/0!</v>
      </c>
      <c r="K26" t="s">
        <v>62</v>
      </c>
      <c r="P26" t="s">
        <v>19</v>
      </c>
      <c r="Z26">
        <f t="shared" si="35"/>
        <v>0</v>
      </c>
      <c r="AA26">
        <f t="shared" si="36"/>
        <v>0</v>
      </c>
      <c r="AE26">
        <f t="shared" si="37"/>
        <v>0</v>
      </c>
      <c r="AF26">
        <f t="shared" si="38"/>
        <v>0</v>
      </c>
      <c r="AG26">
        <f t="shared" si="39"/>
        <v>0</v>
      </c>
      <c r="AK26">
        <f t="shared" si="40"/>
        <v>0</v>
      </c>
      <c r="AL26">
        <f t="shared" si="41"/>
        <v>0</v>
      </c>
      <c r="AM26">
        <f t="shared" si="42"/>
        <v>0</v>
      </c>
      <c r="AN26">
        <f t="shared" si="43"/>
        <v>0</v>
      </c>
      <c r="AP26">
        <f t="shared" si="46"/>
        <v>0</v>
      </c>
      <c r="AQ26" s="4">
        <f t="shared" si="47"/>
        <v>0</v>
      </c>
      <c r="AR26" s="4">
        <f t="shared" si="44"/>
        <v>0</v>
      </c>
      <c r="AS26" s="4">
        <f t="shared" si="44"/>
        <v>0</v>
      </c>
      <c r="AT26" s="4">
        <f t="shared" si="44"/>
        <v>0</v>
      </c>
      <c r="AU26" s="4">
        <f t="shared" si="44"/>
        <v>0</v>
      </c>
      <c r="AV26" s="4">
        <f t="shared" si="44"/>
        <v>0</v>
      </c>
      <c r="AW26" s="4">
        <f t="shared" si="44"/>
        <v>0</v>
      </c>
      <c r="AX26" s="4">
        <f t="shared" si="44"/>
        <v>0</v>
      </c>
      <c r="AY26" s="4">
        <f t="shared" si="44"/>
        <v>0</v>
      </c>
      <c r="AZ26" s="4">
        <f t="shared" si="44"/>
        <v>0</v>
      </c>
      <c r="BA26" s="4">
        <f t="shared" si="44"/>
        <v>0</v>
      </c>
      <c r="BB26" s="4">
        <f t="shared" si="44"/>
        <v>0</v>
      </c>
      <c r="BC26" s="4">
        <f t="shared" si="44"/>
        <v>0</v>
      </c>
      <c r="BD26" s="4">
        <f t="shared" si="44"/>
        <v>0</v>
      </c>
      <c r="BE26" s="4">
        <f t="shared" si="44"/>
        <v>0</v>
      </c>
      <c r="BF26" s="4">
        <f t="shared" si="44"/>
        <v>0</v>
      </c>
      <c r="BG26" s="4">
        <f t="shared" si="44"/>
        <v>0</v>
      </c>
      <c r="BH26" s="4">
        <f t="shared" si="45"/>
        <v>0</v>
      </c>
      <c r="BI26" s="4">
        <f t="shared" si="45"/>
        <v>0</v>
      </c>
      <c r="BJ26" s="4">
        <f t="shared" si="45"/>
        <v>0</v>
      </c>
      <c r="BK26" s="4">
        <f t="shared" si="45"/>
        <v>0</v>
      </c>
      <c r="BL26" s="4">
        <f t="shared" si="45"/>
        <v>0</v>
      </c>
      <c r="BM26" s="4">
        <f t="shared" si="45"/>
        <v>0</v>
      </c>
      <c r="BN26" s="4">
        <f t="shared" si="45"/>
        <v>0</v>
      </c>
    </row>
    <row r="27" spans="1:66" x14ac:dyDescent="0.2">
      <c r="A27" t="s">
        <v>45</v>
      </c>
      <c r="D27">
        <f>AA28/A31</f>
        <v>0</v>
      </c>
      <c r="G27" t="s">
        <v>56</v>
      </c>
      <c r="K27" t="s">
        <v>57</v>
      </c>
      <c r="L27" t="s">
        <v>58</v>
      </c>
      <c r="M27" t="s">
        <v>59</v>
      </c>
      <c r="N27" t="s">
        <v>60</v>
      </c>
      <c r="P27" t="s">
        <v>57</v>
      </c>
      <c r="Q27" t="s">
        <v>58</v>
      </c>
      <c r="R27" t="s">
        <v>59</v>
      </c>
      <c r="S27" t="s">
        <v>60</v>
      </c>
      <c r="Z27">
        <f t="shared" si="35"/>
        <v>0</v>
      </c>
      <c r="AA27">
        <f t="shared" si="36"/>
        <v>0</v>
      </c>
      <c r="AE27">
        <f t="shared" si="37"/>
        <v>0</v>
      </c>
      <c r="AF27">
        <f t="shared" si="38"/>
        <v>0</v>
      </c>
      <c r="AG27">
        <f t="shared" si="39"/>
        <v>0</v>
      </c>
      <c r="AK27">
        <f t="shared" si="40"/>
        <v>0</v>
      </c>
      <c r="AL27">
        <f t="shared" si="41"/>
        <v>0</v>
      </c>
      <c r="AM27">
        <f t="shared" si="42"/>
        <v>0</v>
      </c>
      <c r="AN27">
        <f t="shared" si="43"/>
        <v>0</v>
      </c>
      <c r="AP27">
        <f t="shared" si="46"/>
        <v>0</v>
      </c>
      <c r="AQ27" s="4">
        <f t="shared" si="47"/>
        <v>0</v>
      </c>
      <c r="AR27" s="4">
        <f t="shared" si="44"/>
        <v>0</v>
      </c>
      <c r="AS27" s="4">
        <f t="shared" si="44"/>
        <v>0</v>
      </c>
      <c r="AT27" s="4">
        <f t="shared" si="44"/>
        <v>0</v>
      </c>
      <c r="AU27" s="4">
        <f t="shared" si="44"/>
        <v>0</v>
      </c>
      <c r="AV27" s="4">
        <f t="shared" si="44"/>
        <v>0</v>
      </c>
      <c r="AW27" s="4">
        <f t="shared" si="44"/>
        <v>0</v>
      </c>
      <c r="AX27" s="4">
        <f t="shared" si="44"/>
        <v>0</v>
      </c>
      <c r="AY27" s="4">
        <f t="shared" si="44"/>
        <v>0</v>
      </c>
      <c r="AZ27" s="4">
        <f t="shared" si="44"/>
        <v>0</v>
      </c>
      <c r="BA27" s="4">
        <f t="shared" si="44"/>
        <v>0</v>
      </c>
      <c r="BB27" s="4">
        <f t="shared" si="44"/>
        <v>0</v>
      </c>
      <c r="BC27" s="4">
        <f t="shared" si="44"/>
        <v>0</v>
      </c>
      <c r="BD27" s="4">
        <f t="shared" si="44"/>
        <v>0</v>
      </c>
      <c r="BE27" s="4">
        <f t="shared" si="44"/>
        <v>0</v>
      </c>
      <c r="BF27" s="4">
        <f t="shared" si="44"/>
        <v>0</v>
      </c>
      <c r="BG27" s="4">
        <f t="shared" si="44"/>
        <v>0</v>
      </c>
      <c r="BH27" s="4">
        <f t="shared" si="45"/>
        <v>0</v>
      </c>
      <c r="BI27" s="4">
        <f t="shared" si="45"/>
        <v>0</v>
      </c>
      <c r="BJ27" s="4">
        <f t="shared" si="45"/>
        <v>0</v>
      </c>
      <c r="BK27" s="4">
        <f t="shared" si="45"/>
        <v>0</v>
      </c>
      <c r="BL27" s="4">
        <f t="shared" si="45"/>
        <v>0</v>
      </c>
      <c r="BM27" s="4">
        <f t="shared" si="45"/>
        <v>0</v>
      </c>
      <c r="BN27" s="4">
        <f t="shared" si="45"/>
        <v>0</v>
      </c>
    </row>
    <row r="28" spans="1:66" x14ac:dyDescent="0.2">
      <c r="A28" t="s">
        <v>46</v>
      </c>
      <c r="D28" t="s">
        <v>202</v>
      </c>
      <c r="G28" t="s">
        <v>57</v>
      </c>
      <c r="H28" t="s">
        <v>58</v>
      </c>
      <c r="I28" t="s">
        <v>59</v>
      </c>
      <c r="J28" t="s">
        <v>60</v>
      </c>
      <c r="K28">
        <f>AVERAGE(G39:G50)</f>
        <v>0</v>
      </c>
      <c r="L28">
        <f>MEDIAN(G39:G50)</f>
        <v>0</v>
      </c>
      <c r="M28">
        <f>MAX(G39:G50)</f>
        <v>0</v>
      </c>
      <c r="N28">
        <f>_xlfn.STDEV.S(G39:G50)</f>
        <v>0</v>
      </c>
      <c r="P28">
        <f>AVERAGE(N39:N50)</f>
        <v>1.5454545454545454</v>
      </c>
      <c r="Q28">
        <f>MEDIAN(N39:N50)</f>
        <v>0</v>
      </c>
      <c r="R28">
        <f>MAX(N39:N50)</f>
        <v>7</v>
      </c>
      <c r="S28">
        <f>_xlfn.STDEV.S(N39:N50)</f>
        <v>2.7336289566668097</v>
      </c>
      <c r="Y28" t="s">
        <v>33</v>
      </c>
      <c r="Z28">
        <f>SUM(Z16:Z27)</f>
        <v>0</v>
      </c>
      <c r="AA28">
        <f>SUM(AA16:AA27)</f>
        <v>0</v>
      </c>
      <c r="AE28">
        <f>SUM(AE16:AE27)</f>
        <v>0</v>
      </c>
      <c r="AF28">
        <f>SUM(AF16:AF27)</f>
        <v>1</v>
      </c>
      <c r="AG28">
        <f>SUM(AG16:AG27)</f>
        <v>0</v>
      </c>
      <c r="AK28">
        <f>SUM(AK16:AK27)</f>
        <v>0</v>
      </c>
      <c r="AL28">
        <f>SUM(AL16:AL27)</f>
        <v>0</v>
      </c>
      <c r="AM28">
        <f>SUM(AM16:AM27)</f>
        <v>0</v>
      </c>
      <c r="AN28">
        <f>SUM(AN16:AN27)</f>
        <v>0</v>
      </c>
      <c r="AP28">
        <f>SUM(AP16:AP27)</f>
        <v>0</v>
      </c>
    </row>
    <row r="29" spans="1:66" x14ac:dyDescent="0.2">
      <c r="D29">
        <f>SUM(O39:O50)/F16</f>
        <v>0.66666666666666663</v>
      </c>
      <c r="G29">
        <f>AVERAGE(A39:A50)</f>
        <v>9.0909090909090912E-2</v>
      </c>
      <c r="H29">
        <f>MEDIAN(A39:A50)</f>
        <v>0</v>
      </c>
      <c r="I29">
        <f>MAX(A39:A50)</f>
        <v>1</v>
      </c>
      <c r="J29">
        <f>_xlfn.STDEV.S(A39:A50)</f>
        <v>0.30151134457776363</v>
      </c>
      <c r="K29" t="s">
        <v>63</v>
      </c>
      <c r="P29" t="s">
        <v>148</v>
      </c>
    </row>
    <row r="30" spans="1:66" x14ac:dyDescent="0.2">
      <c r="A30" t="s">
        <v>147</v>
      </c>
      <c r="D30" t="s">
        <v>203</v>
      </c>
      <c r="G30" t="s">
        <v>50</v>
      </c>
      <c r="H30" t="s">
        <v>51</v>
      </c>
      <c r="I30" t="s">
        <v>89</v>
      </c>
      <c r="K30" t="s">
        <v>57</v>
      </c>
      <c r="L30" t="s">
        <v>58</v>
      </c>
      <c r="M30" t="s">
        <v>59</v>
      </c>
      <c r="N30" t="s">
        <v>60</v>
      </c>
      <c r="P30" t="s">
        <v>57</v>
      </c>
      <c r="Q30" t="s">
        <v>58</v>
      </c>
      <c r="R30" t="s">
        <v>59</v>
      </c>
      <c r="S30" t="s">
        <v>60</v>
      </c>
      <c r="W30" t="s">
        <v>148</v>
      </c>
      <c r="Y30" t="s">
        <v>149</v>
      </c>
      <c r="AH30" t="s">
        <v>79</v>
      </c>
    </row>
    <row r="31" spans="1:66" x14ac:dyDescent="0.2">
      <c r="A31">
        <f>COUNT(B4:B15)</f>
        <v>11</v>
      </c>
      <c r="D31" s="2">
        <f>SUM(S39:S50)/SUM(Q39:Q50)</f>
        <v>0</v>
      </c>
      <c r="G31">
        <f>AE28/A31</f>
        <v>0</v>
      </c>
      <c r="H31">
        <f>AF28/A31</f>
        <v>9.0909090909090912E-2</v>
      </c>
      <c r="I31">
        <f>AG28/A31</f>
        <v>0</v>
      </c>
      <c r="K31" t="e">
        <f>AVERAGE(I39:I50)</f>
        <v>#DIV/0!</v>
      </c>
      <c r="L31" t="e">
        <f>MEDIAN(I39:I50)</f>
        <v>#NUM!</v>
      </c>
      <c r="M31">
        <f>MAX(I39:I50)</f>
        <v>0</v>
      </c>
      <c r="N31" t="e">
        <f>_xlfn.STDEV.S(I39:I50)</f>
        <v>#DIV/0!</v>
      </c>
      <c r="P31" t="e">
        <f>AVERAGE(W31:W42)</f>
        <v>#DIV/0!</v>
      </c>
      <c r="Q31" t="e">
        <f>MEDIAN(W31:W42)</f>
        <v>#NUM!</v>
      </c>
      <c r="R31">
        <f>MAX(W31:W42)</f>
        <v>0</v>
      </c>
      <c r="S31" t="e">
        <f>_xlfn.STDEV.S(W31:W42)</f>
        <v>#DIV/0!</v>
      </c>
      <c r="W31" t="str">
        <f t="shared" ref="W31:W33" si="48">IF(AND(ISBLANK(Q4), ISBLANK(R4), ISBLANK(G4), ISBLANK(H4)), "", U4)</f>
        <v/>
      </c>
      <c r="Y31" t="str">
        <f t="shared" ref="Y31:Y42" si="49">IF(ISBLANK(Y4), IF(X4 = 0, "", (G4 + H4/3 + V4/9 + W4/3)), U4)</f>
        <v/>
      </c>
      <c r="AH31" t="s">
        <v>80</v>
      </c>
    </row>
    <row r="32" spans="1:66" x14ac:dyDescent="0.2">
      <c r="A32" t="s">
        <v>249</v>
      </c>
      <c r="D32" s="3"/>
      <c r="K32" t="s">
        <v>64</v>
      </c>
      <c r="P32" t="s">
        <v>149</v>
      </c>
      <c r="W32" t="str">
        <f t="shared" si="48"/>
        <v/>
      </c>
      <c r="Y32" t="str">
        <f t="shared" si="49"/>
        <v/>
      </c>
      <c r="AH32" t="s">
        <v>81</v>
      </c>
    </row>
    <row r="33" spans="1:34" x14ac:dyDescent="0.2">
      <c r="A33" t="s">
        <v>344</v>
      </c>
      <c r="D33" s="3"/>
      <c r="K33" t="s">
        <v>57</v>
      </c>
      <c r="L33" t="s">
        <v>58</v>
      </c>
      <c r="M33" t="s">
        <v>59</v>
      </c>
      <c r="N33" t="s">
        <v>60</v>
      </c>
      <c r="P33" t="s">
        <v>57</v>
      </c>
      <c r="Q33" t="s">
        <v>58</v>
      </c>
      <c r="R33" t="s">
        <v>59</v>
      </c>
      <c r="S33" t="s">
        <v>60</v>
      </c>
      <c r="W33" t="str">
        <f t="shared" si="48"/>
        <v/>
      </c>
      <c r="Y33" t="str">
        <f t="shared" si="49"/>
        <v/>
      </c>
      <c r="AH33" t="s">
        <v>82</v>
      </c>
    </row>
    <row r="34" spans="1:34" x14ac:dyDescent="0.2">
      <c r="D34" s="3"/>
      <c r="K34">
        <f>AVERAGE(K39:K50)</f>
        <v>0</v>
      </c>
      <c r="L34">
        <f>MEDIAN(K39:K50)</f>
        <v>0</v>
      </c>
      <c r="M34">
        <f>MAX(K39:K50)</f>
        <v>0</v>
      </c>
      <c r="N34">
        <f>_xlfn.STDEV.S(K39:K50)</f>
        <v>0</v>
      </c>
      <c r="P34" t="e">
        <f>AVERAGE(Y31:Y42)</f>
        <v>#DIV/0!</v>
      </c>
      <c r="Q34" t="e">
        <f>MEDIAN(Y31:Y42)</f>
        <v>#NUM!</v>
      </c>
      <c r="R34">
        <f>MAX(Y31:Y42)</f>
        <v>0</v>
      </c>
      <c r="S34" t="e">
        <f>_xlfn.STDEV.S(Y31:Y42)</f>
        <v>#DIV/0!</v>
      </c>
      <c r="W34" t="str">
        <f>IF(AND(ISBLANK(Q7), ISBLANK(R7), ISBLANK(G7), ISBLANK(H7)), "", U7)</f>
        <v/>
      </c>
      <c r="Y34" t="str">
        <f t="shared" si="49"/>
        <v/>
      </c>
      <c r="AH34" t="s">
        <v>83</v>
      </c>
    </row>
    <row r="35" spans="1:34" x14ac:dyDescent="0.2">
      <c r="P35" t="s">
        <v>95</v>
      </c>
      <c r="R35" t="s">
        <v>197</v>
      </c>
      <c r="W35" t="str">
        <f t="shared" ref="W35:W42" si="50">IF(AND(ISBLANK(Q8), ISBLANK(R8), ISBLANK(G8), ISBLANK(H8)), "", U8)</f>
        <v/>
      </c>
      <c r="Y35" t="str">
        <f t="shared" si="49"/>
        <v/>
      </c>
    </row>
    <row r="36" spans="1:34" x14ac:dyDescent="0.2">
      <c r="P36" t="e">
        <f>Q16/(Q16+R16)</f>
        <v>#DIV/0!</v>
      </c>
      <c r="R36" t="e">
        <f>R16/(Q16+R16)</f>
        <v>#DIV/0!</v>
      </c>
      <c r="W36" t="str">
        <f t="shared" si="50"/>
        <v/>
      </c>
      <c r="Y36" t="str">
        <f t="shared" si="49"/>
        <v/>
      </c>
    </row>
    <row r="37" spans="1:34" x14ac:dyDescent="0.2">
      <c r="W37" t="str">
        <f t="shared" si="50"/>
        <v/>
      </c>
      <c r="Y37" t="str">
        <f t="shared" si="49"/>
        <v/>
      </c>
    </row>
    <row r="38" spans="1:34" x14ac:dyDescent="0.2">
      <c r="A38" t="s">
        <v>68</v>
      </c>
      <c r="C38" t="s">
        <v>69</v>
      </c>
      <c r="E38" t="s">
        <v>72</v>
      </c>
      <c r="G38" t="s">
        <v>250</v>
      </c>
      <c r="K38" t="s">
        <v>73</v>
      </c>
      <c r="M38" t="s">
        <v>70</v>
      </c>
      <c r="N38" t="s">
        <v>71</v>
      </c>
      <c r="O38" t="s">
        <v>199</v>
      </c>
      <c r="Q38" t="s">
        <v>200</v>
      </c>
      <c r="S38" t="s">
        <v>201</v>
      </c>
      <c r="W38" t="str">
        <f t="shared" si="50"/>
        <v/>
      </c>
      <c r="Y38" t="str">
        <f t="shared" si="49"/>
        <v/>
      </c>
    </row>
    <row r="39" spans="1:34" x14ac:dyDescent="0.2">
      <c r="A39">
        <f t="shared" ref="A39:A50" si="51">IF(ISBLANK(B4), "", SUM(AE16+AF16+AG16))</f>
        <v>0</v>
      </c>
      <c r="C39">
        <f t="shared" ref="C39:C50" si="52">IF(ISBLANK(B4), "", O4)</f>
        <v>5</v>
      </c>
      <c r="E39">
        <f t="shared" ref="E39:E50" si="53">IF(ISBLANK(B4), "", Q4)</f>
        <v>0</v>
      </c>
      <c r="G39">
        <f t="shared" ref="G39:G50" si="54">IF(ISBLANK(B4), "", R4)</f>
        <v>0</v>
      </c>
      <c r="K39">
        <f t="shared" ref="K39:K50" si="55">IF(ISBLANK(B4), "", SUM(Q4 + R4))</f>
        <v>0</v>
      </c>
      <c r="M39">
        <f t="shared" ref="M39:M50" si="56">IF(ISBLANK(B4), "", SUM(K4+M4) - O4)</f>
        <v>-1</v>
      </c>
      <c r="N39">
        <f t="shared" ref="N39:N50" si="57">IF(ISBLANK(B4), "", U4)</f>
        <v>6</v>
      </c>
      <c r="O39">
        <f t="shared" ref="O39:O50" si="58">COUNTIF(E4, "1")*COUNTIF(F4, "1")</f>
        <v>0</v>
      </c>
      <c r="Q39">
        <f t="shared" ref="Q39:Q50" si="59">COUNTIF(D4, "1")*COUNTIF(F4, "")</f>
        <v>1</v>
      </c>
      <c r="S39">
        <f t="shared" ref="S39:S50" si="60">COUNTIF(E4, "1")*COUNTIF(F4, "")</f>
        <v>0</v>
      </c>
      <c r="W39" t="str">
        <f t="shared" si="50"/>
        <v/>
      </c>
      <c r="Y39" t="str">
        <f t="shared" si="49"/>
        <v/>
      </c>
    </row>
    <row r="40" spans="1:34" x14ac:dyDescent="0.2">
      <c r="A40">
        <f t="shared" si="51"/>
        <v>0</v>
      </c>
      <c r="C40">
        <f t="shared" si="52"/>
        <v>5</v>
      </c>
      <c r="E40">
        <f t="shared" si="53"/>
        <v>0</v>
      </c>
      <c r="G40">
        <f t="shared" si="54"/>
        <v>0</v>
      </c>
      <c r="K40">
        <f t="shared" si="55"/>
        <v>0</v>
      </c>
      <c r="M40">
        <f t="shared" si="56"/>
        <v>0</v>
      </c>
      <c r="N40">
        <f t="shared" si="57"/>
        <v>0</v>
      </c>
      <c r="O40">
        <f t="shared" si="58"/>
        <v>0</v>
      </c>
      <c r="Q40">
        <f t="shared" si="59"/>
        <v>0</v>
      </c>
      <c r="S40">
        <f t="shared" si="60"/>
        <v>0</v>
      </c>
      <c r="W40" t="str">
        <f t="shared" si="50"/>
        <v/>
      </c>
      <c r="Y40" t="str">
        <f t="shared" si="49"/>
        <v/>
      </c>
    </row>
    <row r="41" spans="1:34" x14ac:dyDescent="0.2">
      <c r="A41">
        <f t="shared" si="51"/>
        <v>1</v>
      </c>
      <c r="C41">
        <f t="shared" si="52"/>
        <v>3</v>
      </c>
      <c r="E41">
        <f t="shared" si="53"/>
        <v>0</v>
      </c>
      <c r="G41">
        <f t="shared" si="54"/>
        <v>0</v>
      </c>
      <c r="K41">
        <f t="shared" si="55"/>
        <v>0</v>
      </c>
      <c r="M41">
        <f t="shared" si="56"/>
        <v>-1</v>
      </c>
      <c r="N41">
        <f t="shared" si="57"/>
        <v>0</v>
      </c>
      <c r="O41">
        <f t="shared" si="58"/>
        <v>0</v>
      </c>
      <c r="Q41">
        <f t="shared" si="59"/>
        <v>1</v>
      </c>
      <c r="S41">
        <f t="shared" si="60"/>
        <v>0</v>
      </c>
      <c r="W41" t="str">
        <f t="shared" si="50"/>
        <v/>
      </c>
      <c r="Y41" t="str">
        <f t="shared" si="49"/>
        <v/>
      </c>
    </row>
    <row r="42" spans="1:34" x14ac:dyDescent="0.2">
      <c r="A42">
        <f t="shared" si="51"/>
        <v>0</v>
      </c>
      <c r="C42">
        <f t="shared" si="52"/>
        <v>5</v>
      </c>
      <c r="E42">
        <f t="shared" si="53"/>
        <v>0</v>
      </c>
      <c r="G42">
        <f t="shared" si="54"/>
        <v>0</v>
      </c>
      <c r="K42">
        <f t="shared" si="55"/>
        <v>0</v>
      </c>
      <c r="M42">
        <f t="shared" si="56"/>
        <v>-1</v>
      </c>
      <c r="N42">
        <f t="shared" si="57"/>
        <v>0</v>
      </c>
      <c r="O42">
        <f t="shared" si="58"/>
        <v>0</v>
      </c>
      <c r="Q42">
        <f t="shared" si="59"/>
        <v>1</v>
      </c>
      <c r="S42">
        <f t="shared" si="60"/>
        <v>0</v>
      </c>
      <c r="W42" t="str">
        <f t="shared" si="50"/>
        <v/>
      </c>
      <c r="Y42" t="str">
        <f t="shared" si="49"/>
        <v/>
      </c>
    </row>
    <row r="43" spans="1:34" x14ac:dyDescent="0.2">
      <c r="A43">
        <f t="shared" si="51"/>
        <v>0</v>
      </c>
      <c r="C43">
        <f t="shared" si="52"/>
        <v>4</v>
      </c>
      <c r="E43">
        <f t="shared" si="53"/>
        <v>0</v>
      </c>
      <c r="G43">
        <f t="shared" si="54"/>
        <v>0</v>
      </c>
      <c r="K43">
        <f t="shared" si="55"/>
        <v>0</v>
      </c>
      <c r="M43">
        <f t="shared" si="56"/>
        <v>-1</v>
      </c>
      <c r="N43">
        <f t="shared" si="57"/>
        <v>7</v>
      </c>
      <c r="O43">
        <f t="shared" si="58"/>
        <v>0</v>
      </c>
      <c r="Q43">
        <f t="shared" si="59"/>
        <v>0</v>
      </c>
      <c r="S43">
        <f t="shared" si="60"/>
        <v>0</v>
      </c>
    </row>
    <row r="44" spans="1:34" x14ac:dyDescent="0.2">
      <c r="A44">
        <f t="shared" si="51"/>
        <v>0</v>
      </c>
      <c r="C44">
        <f t="shared" si="52"/>
        <v>3</v>
      </c>
      <c r="E44">
        <f t="shared" si="53"/>
        <v>0</v>
      </c>
      <c r="G44">
        <f t="shared" si="54"/>
        <v>0</v>
      </c>
      <c r="K44">
        <f t="shared" si="55"/>
        <v>0</v>
      </c>
      <c r="M44">
        <f t="shared" si="56"/>
        <v>-1</v>
      </c>
      <c r="N44">
        <f t="shared" si="57"/>
        <v>0</v>
      </c>
      <c r="O44">
        <f t="shared" si="58"/>
        <v>0</v>
      </c>
      <c r="Q44">
        <f t="shared" si="59"/>
        <v>1</v>
      </c>
      <c r="S44">
        <f t="shared" si="60"/>
        <v>0</v>
      </c>
    </row>
    <row r="45" spans="1:34" x14ac:dyDescent="0.2">
      <c r="A45">
        <f t="shared" si="51"/>
        <v>0</v>
      </c>
      <c r="C45">
        <f t="shared" si="52"/>
        <v>5</v>
      </c>
      <c r="E45">
        <f t="shared" si="53"/>
        <v>0</v>
      </c>
      <c r="G45">
        <f t="shared" si="54"/>
        <v>0</v>
      </c>
      <c r="K45">
        <f t="shared" si="55"/>
        <v>0</v>
      </c>
      <c r="M45">
        <f t="shared" si="56"/>
        <v>-1</v>
      </c>
      <c r="N45">
        <f t="shared" si="57"/>
        <v>0</v>
      </c>
      <c r="O45">
        <f t="shared" si="58"/>
        <v>0</v>
      </c>
      <c r="Q45">
        <f t="shared" si="59"/>
        <v>1</v>
      </c>
      <c r="S45">
        <f t="shared" si="60"/>
        <v>0</v>
      </c>
    </row>
    <row r="46" spans="1:34" x14ac:dyDescent="0.2">
      <c r="A46">
        <f t="shared" si="51"/>
        <v>0</v>
      </c>
      <c r="C46">
        <f t="shared" si="52"/>
        <v>6</v>
      </c>
      <c r="E46">
        <f t="shared" si="53"/>
        <v>0</v>
      </c>
      <c r="G46">
        <f t="shared" si="54"/>
        <v>0</v>
      </c>
      <c r="K46">
        <f t="shared" si="55"/>
        <v>0</v>
      </c>
      <c r="M46">
        <f t="shared" si="56"/>
        <v>0</v>
      </c>
      <c r="N46">
        <f t="shared" si="57"/>
        <v>0</v>
      </c>
      <c r="O46">
        <f t="shared" si="58"/>
        <v>0</v>
      </c>
      <c r="Q46">
        <f t="shared" si="59"/>
        <v>1</v>
      </c>
      <c r="S46">
        <f t="shared" si="60"/>
        <v>0</v>
      </c>
    </row>
    <row r="47" spans="1:34" x14ac:dyDescent="0.2">
      <c r="A47">
        <f t="shared" si="51"/>
        <v>0</v>
      </c>
      <c r="C47">
        <f t="shared" si="52"/>
        <v>3</v>
      </c>
      <c r="E47">
        <f t="shared" si="53"/>
        <v>0</v>
      </c>
      <c r="G47">
        <f t="shared" si="54"/>
        <v>0</v>
      </c>
      <c r="K47">
        <f t="shared" si="55"/>
        <v>0</v>
      </c>
      <c r="M47">
        <f t="shared" si="56"/>
        <v>0</v>
      </c>
      <c r="N47">
        <f t="shared" si="57"/>
        <v>4</v>
      </c>
      <c r="O47">
        <f t="shared" si="58"/>
        <v>1</v>
      </c>
      <c r="Q47">
        <f t="shared" si="59"/>
        <v>0</v>
      </c>
      <c r="S47">
        <f t="shared" si="60"/>
        <v>0</v>
      </c>
    </row>
    <row r="48" spans="1:34" x14ac:dyDescent="0.2">
      <c r="A48">
        <f t="shared" si="51"/>
        <v>0</v>
      </c>
      <c r="C48">
        <f t="shared" si="52"/>
        <v>4</v>
      </c>
      <c r="E48">
        <f t="shared" si="53"/>
        <v>0</v>
      </c>
      <c r="G48">
        <f t="shared" si="54"/>
        <v>0</v>
      </c>
      <c r="K48">
        <f t="shared" si="55"/>
        <v>0</v>
      </c>
      <c r="M48">
        <f t="shared" si="56"/>
        <v>1</v>
      </c>
      <c r="N48">
        <f t="shared" si="57"/>
        <v>0</v>
      </c>
      <c r="O48">
        <f t="shared" si="58"/>
        <v>1</v>
      </c>
      <c r="Q48">
        <f t="shared" si="59"/>
        <v>0</v>
      </c>
      <c r="S48">
        <f t="shared" si="60"/>
        <v>0</v>
      </c>
    </row>
    <row r="49" spans="1:19" x14ac:dyDescent="0.2">
      <c r="A49">
        <f t="shared" si="51"/>
        <v>0</v>
      </c>
      <c r="C49">
        <f t="shared" si="52"/>
        <v>4</v>
      </c>
      <c r="E49">
        <f t="shared" si="53"/>
        <v>0</v>
      </c>
      <c r="G49">
        <f t="shared" si="54"/>
        <v>0</v>
      </c>
      <c r="K49">
        <f t="shared" si="55"/>
        <v>0</v>
      </c>
      <c r="M49">
        <f t="shared" si="56"/>
        <v>-1</v>
      </c>
      <c r="N49">
        <f t="shared" si="57"/>
        <v>0</v>
      </c>
      <c r="O49">
        <f t="shared" si="58"/>
        <v>0</v>
      </c>
      <c r="Q49">
        <f t="shared" si="59"/>
        <v>1</v>
      </c>
      <c r="S49">
        <f t="shared" si="60"/>
        <v>0</v>
      </c>
    </row>
    <row r="50" spans="1:19" x14ac:dyDescent="0.2">
      <c r="A50" t="str">
        <f t="shared" si="51"/>
        <v/>
      </c>
      <c r="C50" t="str">
        <f t="shared" si="52"/>
        <v/>
      </c>
      <c r="E50" t="str">
        <f t="shared" si="53"/>
        <v/>
      </c>
      <c r="G50" t="str">
        <f t="shared" si="54"/>
        <v/>
      </c>
      <c r="K50" t="str">
        <f t="shared" si="55"/>
        <v/>
      </c>
      <c r="M50" t="str">
        <f t="shared" si="56"/>
        <v/>
      </c>
      <c r="N50" t="str">
        <f t="shared" si="57"/>
        <v/>
      </c>
      <c r="O50">
        <f t="shared" si="58"/>
        <v>0</v>
      </c>
      <c r="Q50">
        <f t="shared" si="59"/>
        <v>0</v>
      </c>
      <c r="S50">
        <f t="shared" si="60"/>
        <v>0</v>
      </c>
    </row>
  </sheetData>
  <pageMargins left="0.7" right="0.7" top="0.75" bottom="0.75" header="0.3" footer="0.3"/>
  <legacy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0" enableFormatConditionsCalculation="0"/>
  <dimension ref="A1:CF69"/>
  <sheetViews>
    <sheetView topLeftCell="B1" workbookViewId="0">
      <selection activeCell="U15" sqref="U15"/>
    </sheetView>
  </sheetViews>
  <sheetFormatPr baseColWidth="10" defaultRowHeight="15" x14ac:dyDescent="0.2"/>
  <sheetData>
    <row r="1" spans="1:66" x14ac:dyDescent="0.2">
      <c r="A1" s="1" t="s">
        <v>0</v>
      </c>
      <c r="D1" t="s">
        <v>3</v>
      </c>
      <c r="K1" t="s">
        <v>11</v>
      </c>
      <c r="N1" t="s">
        <v>12</v>
      </c>
      <c r="P1" t="s">
        <v>14</v>
      </c>
      <c r="Q1" t="s">
        <v>17</v>
      </c>
      <c r="S1" t="s">
        <v>18</v>
      </c>
      <c r="Z1" t="s">
        <v>29</v>
      </c>
      <c r="AE1" t="s">
        <v>30</v>
      </c>
      <c r="AK1" t="s">
        <v>42</v>
      </c>
    </row>
    <row r="2" spans="1:66" x14ac:dyDescent="0.2">
      <c r="A2" t="s">
        <v>1</v>
      </c>
      <c r="B2" t="s">
        <v>1</v>
      </c>
      <c r="C2" t="s">
        <v>87</v>
      </c>
      <c r="D2" t="s">
        <v>54</v>
      </c>
      <c r="E2" t="s">
        <v>13</v>
      </c>
      <c r="F2" t="s">
        <v>198</v>
      </c>
      <c r="G2" t="s">
        <v>7</v>
      </c>
      <c r="H2" t="s">
        <v>8</v>
      </c>
      <c r="I2" t="s">
        <v>179</v>
      </c>
      <c r="J2" t="s">
        <v>178</v>
      </c>
      <c r="K2" t="s">
        <v>9</v>
      </c>
      <c r="L2" t="s">
        <v>196</v>
      </c>
      <c r="M2" t="s">
        <v>10</v>
      </c>
      <c r="N2" t="s">
        <v>54</v>
      </c>
      <c r="O2" t="s">
        <v>13</v>
      </c>
      <c r="P2" t="s">
        <v>15</v>
      </c>
      <c r="Q2" t="s">
        <v>8</v>
      </c>
      <c r="R2" t="s">
        <v>7</v>
      </c>
      <c r="S2" t="s">
        <v>181</v>
      </c>
      <c r="T2" t="s">
        <v>182</v>
      </c>
      <c r="U2" t="s">
        <v>19</v>
      </c>
      <c r="V2" t="s">
        <v>191</v>
      </c>
      <c r="W2" t="s">
        <v>192</v>
      </c>
      <c r="X2" t="s">
        <v>175</v>
      </c>
      <c r="Y2" t="s">
        <v>173</v>
      </c>
      <c r="Z2" t="str">
        <f t="shared" ref="Z2:Z13" si="0">LEFT(I4, 1)</f>
        <v/>
      </c>
      <c r="AA2" t="str">
        <f t="shared" ref="AA2:AA13" si="1">MID(I4, 4, 1)</f>
        <v/>
      </c>
      <c r="AB2" t="str">
        <f t="shared" ref="AB2:AB13" si="2">MID(I4, 7, 1)</f>
        <v/>
      </c>
      <c r="AC2" t="str">
        <f t="shared" ref="AC2:AC13" si="3">MID(I4, 10, 1)</f>
        <v/>
      </c>
      <c r="AE2" t="str">
        <f t="shared" ref="AE2:AE13" si="4">LEFT(J4, 1)</f>
        <v/>
      </c>
      <c r="AF2" t="str">
        <f t="shared" ref="AF2:AF13" si="5">MID(J4, 4, 1)</f>
        <v/>
      </c>
      <c r="AG2" t="str">
        <f t="shared" ref="AG2:AG13" si="6">MID(J4, 7, 1)</f>
        <v/>
      </c>
      <c r="AH2" t="str">
        <f t="shared" ref="AH2:AH13" si="7">MID(J4, 10, 1)</f>
        <v/>
      </c>
      <c r="AI2" t="str">
        <f t="shared" ref="AI2:AI13" si="8">MID(J4, 13, 1)</f>
        <v/>
      </c>
      <c r="AK2" t="str">
        <f t="shared" ref="AK2:AK13" si="9">LEFT(P4, 2)</f>
        <v/>
      </c>
      <c r="AL2" t="str">
        <f>MID($P4, 5, 2)</f>
        <v/>
      </c>
      <c r="AM2" t="str">
        <f t="shared" ref="AM2:AM13" si="10">MID($P4, 9, 2)</f>
        <v/>
      </c>
      <c r="AN2" t="str">
        <f t="shared" ref="AN2:AN13" si="11">MID($P4, 13, 2)</f>
        <v/>
      </c>
      <c r="AO2" t="str">
        <f t="shared" ref="AO2:AO13" si="12">MID($P4, 17, 2)</f>
        <v/>
      </c>
      <c r="AP2" t="str">
        <f t="shared" ref="AP2:AP13" si="13">MID($P4, 21, 2)</f>
        <v/>
      </c>
      <c r="AQ2" t="str">
        <f t="shared" ref="AQ2:AQ13" si="14">MID($P4, 25, 2)</f>
        <v/>
      </c>
      <c r="AR2" t="str">
        <f t="shared" ref="AR2:AR13" si="15">MID($P4, 29, 2)</f>
        <v/>
      </c>
      <c r="AS2" t="str">
        <f t="shared" ref="AS2:AS13" si="16">MID($P4, 33, 2)</f>
        <v/>
      </c>
      <c r="AT2" t="str">
        <f t="shared" ref="AT2:AT13" si="17">MID($P4, 37, 2)</f>
        <v/>
      </c>
      <c r="AU2" t="str">
        <f t="shared" ref="AU2:AU13" si="18">MID($P4, 41, 2)</f>
        <v/>
      </c>
      <c r="AV2" t="str">
        <f t="shared" ref="AV2:AV13" si="19">MID($P4, 45, 2)</f>
        <v/>
      </c>
      <c r="AW2" t="str">
        <f t="shared" ref="AW2:AW13" si="20">MID($P4, 49, 2)</f>
        <v/>
      </c>
      <c r="AX2" t="str">
        <f t="shared" ref="AX2:AX13" si="21">MID($P4, 53, 2)</f>
        <v/>
      </c>
      <c r="AY2" t="str">
        <f t="shared" ref="AY2:AY13" si="22">MID($P4, 57, 2)</f>
        <v/>
      </c>
      <c r="AZ2" t="str">
        <f t="shared" ref="AZ2:AZ13" si="23">MID($P4, 61, 2)</f>
        <v/>
      </c>
      <c r="BA2" t="str">
        <f t="shared" ref="BA2:BA13" si="24">MID($P4, 65, 2)</f>
        <v/>
      </c>
      <c r="BB2" t="str">
        <f t="shared" ref="BB2:BB13" si="25">MID($P4, 69, 2)</f>
        <v/>
      </c>
      <c r="BC2" t="str">
        <f t="shared" ref="BC2:BC13" si="26">MID($P4, 73, 2)</f>
        <v/>
      </c>
      <c r="BD2" t="str">
        <f t="shared" ref="BD2:BD13" si="27">MID($P4, 77, 2)</f>
        <v/>
      </c>
      <c r="BE2" t="str">
        <f t="shared" ref="BE2:BE13" si="28">MID($P4, 81, 2)</f>
        <v/>
      </c>
      <c r="BF2" t="str">
        <f t="shared" ref="BF2:BF13" si="29">MID($P4, 85, 2)</f>
        <v/>
      </c>
      <c r="BG2" t="str">
        <f t="shared" ref="BG2:BG13" si="30">MID($P4, 89, 2)</f>
        <v/>
      </c>
      <c r="BH2" t="str">
        <f t="shared" ref="BH2:BH13" si="31">MID($P4, 93, 2)</f>
        <v/>
      </c>
    </row>
    <row r="3" spans="1:66" x14ac:dyDescent="0.2">
      <c r="A3" t="s">
        <v>2</v>
      </c>
      <c r="B3" t="s">
        <v>6</v>
      </c>
      <c r="C3" t="s">
        <v>88</v>
      </c>
      <c r="D3" t="s">
        <v>6</v>
      </c>
      <c r="E3" t="s">
        <v>6</v>
      </c>
      <c r="F3" t="s">
        <v>4</v>
      </c>
      <c r="G3" t="s">
        <v>6</v>
      </c>
      <c r="H3" t="s">
        <v>6</v>
      </c>
      <c r="I3" t="s">
        <v>86</v>
      </c>
      <c r="J3" t="s">
        <v>86</v>
      </c>
      <c r="K3" t="s">
        <v>6</v>
      </c>
      <c r="L3" t="s">
        <v>6</v>
      </c>
      <c r="M3" t="s">
        <v>6</v>
      </c>
      <c r="N3" t="s">
        <v>6</v>
      </c>
      <c r="O3" t="s">
        <v>6</v>
      </c>
      <c r="P3" t="s">
        <v>16</v>
      </c>
      <c r="Q3" t="s">
        <v>6</v>
      </c>
      <c r="R3" t="s">
        <v>6</v>
      </c>
      <c r="S3" t="s">
        <v>4</v>
      </c>
      <c r="T3" t="s">
        <v>4</v>
      </c>
      <c r="U3" t="s">
        <v>6</v>
      </c>
      <c r="V3" t="s">
        <v>6</v>
      </c>
      <c r="W3" t="s">
        <v>6</v>
      </c>
      <c r="X3" t="s">
        <v>6</v>
      </c>
      <c r="Y3" t="s">
        <v>174</v>
      </c>
      <c r="Z3" t="str">
        <f t="shared" si="0"/>
        <v/>
      </c>
      <c r="AA3" t="str">
        <f t="shared" si="1"/>
        <v/>
      </c>
      <c r="AB3" t="str">
        <f t="shared" si="2"/>
        <v/>
      </c>
      <c r="AC3" t="str">
        <f t="shared" si="3"/>
        <v/>
      </c>
      <c r="AE3" t="str">
        <f t="shared" si="4"/>
        <v/>
      </c>
      <c r="AF3" t="str">
        <f t="shared" si="5"/>
        <v/>
      </c>
      <c r="AG3" t="str">
        <f t="shared" si="6"/>
        <v/>
      </c>
      <c r="AH3" t="str">
        <f t="shared" si="7"/>
        <v/>
      </c>
      <c r="AI3" t="str">
        <f t="shared" si="8"/>
        <v/>
      </c>
      <c r="AK3" t="str">
        <f t="shared" si="9"/>
        <v/>
      </c>
      <c r="AL3" t="str">
        <f t="shared" ref="AL3:AL13" si="32">MID(P5, 5, 2)</f>
        <v/>
      </c>
      <c r="AM3" t="str">
        <f t="shared" si="10"/>
        <v/>
      </c>
      <c r="AN3" t="str">
        <f t="shared" si="11"/>
        <v/>
      </c>
      <c r="AO3" t="str">
        <f t="shared" si="12"/>
        <v/>
      </c>
      <c r="AP3" t="str">
        <f t="shared" si="13"/>
        <v/>
      </c>
      <c r="AQ3" t="str">
        <f t="shared" si="14"/>
        <v/>
      </c>
      <c r="AR3" t="str">
        <f t="shared" si="15"/>
        <v/>
      </c>
      <c r="AS3" t="str">
        <f t="shared" si="16"/>
        <v/>
      </c>
      <c r="AT3" t="str">
        <f t="shared" si="17"/>
        <v/>
      </c>
      <c r="AU3" t="str">
        <f t="shared" si="18"/>
        <v/>
      </c>
      <c r="AV3" t="str">
        <f t="shared" si="19"/>
        <v/>
      </c>
      <c r="AW3" t="str">
        <f t="shared" si="20"/>
        <v/>
      </c>
      <c r="AX3" t="str">
        <f t="shared" si="21"/>
        <v/>
      </c>
      <c r="AY3" t="str">
        <f t="shared" si="22"/>
        <v/>
      </c>
      <c r="AZ3" t="str">
        <f t="shared" si="23"/>
        <v/>
      </c>
      <c r="BA3" t="str">
        <f t="shared" si="24"/>
        <v/>
      </c>
      <c r="BB3" t="str">
        <f t="shared" si="25"/>
        <v/>
      </c>
      <c r="BC3" t="str">
        <f t="shared" si="26"/>
        <v/>
      </c>
      <c r="BD3" t="str">
        <f t="shared" si="27"/>
        <v/>
      </c>
      <c r="BE3" t="str">
        <f t="shared" si="28"/>
        <v/>
      </c>
      <c r="BF3" t="str">
        <f t="shared" si="29"/>
        <v/>
      </c>
      <c r="BG3" t="str">
        <f t="shared" si="30"/>
        <v/>
      </c>
      <c r="BH3" t="str">
        <f t="shared" si="31"/>
        <v/>
      </c>
    </row>
    <row r="4" spans="1:66" x14ac:dyDescent="0.2">
      <c r="A4">
        <v>1</v>
      </c>
      <c r="B4">
        <v>2</v>
      </c>
      <c r="C4" t="s">
        <v>207</v>
      </c>
      <c r="K4">
        <v>2</v>
      </c>
      <c r="L4">
        <v>1</v>
      </c>
      <c r="N4">
        <v>3</v>
      </c>
      <c r="O4">
        <v>2</v>
      </c>
      <c r="S4">
        <v>1</v>
      </c>
      <c r="T4">
        <v>1</v>
      </c>
      <c r="X4">
        <f t="shared" ref="X4:X15" si="33">G4+H4+Q4+R4</f>
        <v>0</v>
      </c>
      <c r="Z4" t="str">
        <f t="shared" si="0"/>
        <v/>
      </c>
      <c r="AA4" t="str">
        <f t="shared" si="1"/>
        <v/>
      </c>
      <c r="AB4" t="str">
        <f t="shared" si="2"/>
        <v/>
      </c>
      <c r="AC4" t="str">
        <f t="shared" si="3"/>
        <v/>
      </c>
      <c r="AE4" t="str">
        <f t="shared" si="4"/>
        <v/>
      </c>
      <c r="AF4" t="str">
        <f t="shared" si="5"/>
        <v/>
      </c>
      <c r="AG4" t="str">
        <f t="shared" si="6"/>
        <v/>
      </c>
      <c r="AH4" t="str">
        <f t="shared" si="7"/>
        <v/>
      </c>
      <c r="AI4" t="str">
        <f t="shared" si="8"/>
        <v/>
      </c>
      <c r="AK4" t="str">
        <f t="shared" si="9"/>
        <v/>
      </c>
      <c r="AL4" t="str">
        <f t="shared" si="32"/>
        <v/>
      </c>
      <c r="AM4" t="str">
        <f t="shared" si="10"/>
        <v/>
      </c>
      <c r="AN4" t="str">
        <f t="shared" si="11"/>
        <v/>
      </c>
      <c r="AO4" t="str">
        <f t="shared" si="12"/>
        <v/>
      </c>
      <c r="AP4" t="str">
        <f t="shared" si="13"/>
        <v/>
      </c>
      <c r="AQ4" t="str">
        <f t="shared" si="14"/>
        <v/>
      </c>
      <c r="AR4" t="str">
        <f t="shared" si="15"/>
        <v/>
      </c>
      <c r="AS4" t="str">
        <f t="shared" si="16"/>
        <v/>
      </c>
      <c r="AT4" t="str">
        <f t="shared" si="17"/>
        <v/>
      </c>
      <c r="AU4" t="str">
        <f t="shared" si="18"/>
        <v/>
      </c>
      <c r="AV4" t="str">
        <f t="shared" si="19"/>
        <v/>
      </c>
      <c r="AW4" t="str">
        <f t="shared" si="20"/>
        <v/>
      </c>
      <c r="AX4" t="str">
        <f t="shared" si="21"/>
        <v/>
      </c>
      <c r="AY4" t="str">
        <f t="shared" si="22"/>
        <v/>
      </c>
      <c r="AZ4" t="str">
        <f t="shared" si="23"/>
        <v/>
      </c>
      <c r="BA4" t="str">
        <f t="shared" si="24"/>
        <v/>
      </c>
      <c r="BB4" t="str">
        <f t="shared" si="25"/>
        <v/>
      </c>
      <c r="BC4" t="str">
        <f t="shared" si="26"/>
        <v/>
      </c>
      <c r="BD4" t="str">
        <f t="shared" si="27"/>
        <v/>
      </c>
      <c r="BE4" t="str">
        <f t="shared" si="28"/>
        <v/>
      </c>
      <c r="BF4" t="str">
        <f t="shared" si="29"/>
        <v/>
      </c>
      <c r="BG4" t="str">
        <f t="shared" si="30"/>
        <v/>
      </c>
      <c r="BH4" t="str">
        <f t="shared" si="31"/>
        <v/>
      </c>
    </row>
    <row r="5" spans="1:66" x14ac:dyDescent="0.2">
      <c r="A5">
        <v>2</v>
      </c>
      <c r="B5">
        <v>14</v>
      </c>
      <c r="C5" t="s">
        <v>207</v>
      </c>
      <c r="K5">
        <v>3</v>
      </c>
      <c r="N5">
        <v>4</v>
      </c>
      <c r="O5">
        <v>4</v>
      </c>
      <c r="S5">
        <v>1</v>
      </c>
      <c r="T5">
        <v>1</v>
      </c>
      <c r="U5">
        <v>3</v>
      </c>
      <c r="X5">
        <f t="shared" si="33"/>
        <v>0</v>
      </c>
      <c r="Z5" t="str">
        <f t="shared" si="0"/>
        <v/>
      </c>
      <c r="AA5" t="str">
        <f t="shared" si="1"/>
        <v/>
      </c>
      <c r="AB5" t="str">
        <f t="shared" si="2"/>
        <v/>
      </c>
      <c r="AC5" t="str">
        <f t="shared" si="3"/>
        <v/>
      </c>
      <c r="AE5" t="str">
        <f t="shared" si="4"/>
        <v/>
      </c>
      <c r="AF5" t="str">
        <f t="shared" si="5"/>
        <v/>
      </c>
      <c r="AG5" t="str">
        <f t="shared" si="6"/>
        <v/>
      </c>
      <c r="AH5" t="str">
        <f t="shared" si="7"/>
        <v/>
      </c>
      <c r="AI5" t="str">
        <f t="shared" si="8"/>
        <v/>
      </c>
      <c r="AK5" t="str">
        <f t="shared" si="9"/>
        <v/>
      </c>
      <c r="AL5" t="str">
        <f t="shared" si="32"/>
        <v/>
      </c>
      <c r="AM5" t="str">
        <f t="shared" si="10"/>
        <v/>
      </c>
      <c r="AN5" t="str">
        <f t="shared" si="11"/>
        <v/>
      </c>
      <c r="AO5" t="str">
        <f t="shared" si="12"/>
        <v/>
      </c>
      <c r="AP5" t="str">
        <f t="shared" si="13"/>
        <v/>
      </c>
      <c r="AQ5" t="str">
        <f t="shared" si="14"/>
        <v/>
      </c>
      <c r="AR5" t="str">
        <f t="shared" si="15"/>
        <v/>
      </c>
      <c r="AS5" t="str">
        <f t="shared" si="16"/>
        <v/>
      </c>
      <c r="AT5" t="str">
        <f t="shared" si="17"/>
        <v/>
      </c>
      <c r="AU5" t="str">
        <f t="shared" si="18"/>
        <v/>
      </c>
      <c r="AV5" t="str">
        <f t="shared" si="19"/>
        <v/>
      </c>
      <c r="AW5" t="str">
        <f t="shared" si="20"/>
        <v/>
      </c>
      <c r="AX5" t="str">
        <f t="shared" si="21"/>
        <v/>
      </c>
      <c r="AY5" t="str">
        <f t="shared" si="22"/>
        <v/>
      </c>
      <c r="AZ5" t="str">
        <f t="shared" si="23"/>
        <v/>
      </c>
      <c r="BA5" t="str">
        <f t="shared" si="24"/>
        <v/>
      </c>
      <c r="BB5" t="str">
        <f t="shared" si="25"/>
        <v/>
      </c>
      <c r="BC5" t="str">
        <f t="shared" si="26"/>
        <v/>
      </c>
      <c r="BD5" t="str">
        <f t="shared" si="27"/>
        <v/>
      </c>
      <c r="BE5" t="str">
        <f t="shared" si="28"/>
        <v/>
      </c>
      <c r="BF5" t="str">
        <f t="shared" si="29"/>
        <v/>
      </c>
      <c r="BG5" t="str">
        <f t="shared" si="30"/>
        <v/>
      </c>
      <c r="BH5" t="str">
        <f t="shared" si="31"/>
        <v/>
      </c>
    </row>
    <row r="6" spans="1:66" x14ac:dyDescent="0.2">
      <c r="A6">
        <v>3</v>
      </c>
      <c r="B6">
        <v>24</v>
      </c>
      <c r="C6" t="s">
        <v>39</v>
      </c>
      <c r="D6">
        <v>1</v>
      </c>
      <c r="E6">
        <v>1</v>
      </c>
      <c r="K6">
        <v>2</v>
      </c>
      <c r="N6">
        <v>3</v>
      </c>
      <c r="O6">
        <v>3</v>
      </c>
      <c r="S6">
        <v>1</v>
      </c>
      <c r="T6">
        <v>1</v>
      </c>
      <c r="X6">
        <f t="shared" si="33"/>
        <v>0</v>
      </c>
      <c r="Z6" t="str">
        <f t="shared" si="0"/>
        <v/>
      </c>
      <c r="AA6" t="str">
        <f t="shared" si="1"/>
        <v/>
      </c>
      <c r="AB6" t="str">
        <f t="shared" si="2"/>
        <v/>
      </c>
      <c r="AC6" t="str">
        <f t="shared" si="3"/>
        <v/>
      </c>
      <c r="AE6" t="str">
        <f t="shared" si="4"/>
        <v/>
      </c>
      <c r="AF6" t="str">
        <f t="shared" si="5"/>
        <v/>
      </c>
      <c r="AG6" t="str">
        <f t="shared" si="6"/>
        <v/>
      </c>
      <c r="AH6" t="str">
        <f t="shared" si="7"/>
        <v/>
      </c>
      <c r="AI6" t="str">
        <f t="shared" si="8"/>
        <v/>
      </c>
      <c r="AK6" t="str">
        <f t="shared" si="9"/>
        <v/>
      </c>
      <c r="AL6" t="str">
        <f t="shared" si="32"/>
        <v/>
      </c>
      <c r="AM6" t="str">
        <f t="shared" si="10"/>
        <v/>
      </c>
      <c r="AN6" t="str">
        <f t="shared" si="11"/>
        <v/>
      </c>
      <c r="AO6" t="str">
        <f t="shared" si="12"/>
        <v/>
      </c>
      <c r="AP6" t="str">
        <f t="shared" si="13"/>
        <v/>
      </c>
      <c r="AQ6" t="str">
        <f t="shared" si="14"/>
        <v/>
      </c>
      <c r="AR6" t="str">
        <f t="shared" si="15"/>
        <v/>
      </c>
      <c r="AS6" t="str">
        <f t="shared" si="16"/>
        <v/>
      </c>
      <c r="AT6" t="str">
        <f t="shared" si="17"/>
        <v/>
      </c>
      <c r="AU6" t="str">
        <f t="shared" si="18"/>
        <v/>
      </c>
      <c r="AV6" t="str">
        <f t="shared" si="19"/>
        <v/>
      </c>
      <c r="AW6" t="str">
        <f t="shared" si="20"/>
        <v/>
      </c>
      <c r="AX6" t="str">
        <f t="shared" si="21"/>
        <v/>
      </c>
      <c r="AY6" t="str">
        <f t="shared" si="22"/>
        <v/>
      </c>
      <c r="AZ6" t="str">
        <f t="shared" si="23"/>
        <v/>
      </c>
      <c r="BA6" t="str">
        <f t="shared" si="24"/>
        <v/>
      </c>
      <c r="BB6" t="str">
        <f t="shared" si="25"/>
        <v/>
      </c>
      <c r="BC6" t="str">
        <f t="shared" si="26"/>
        <v/>
      </c>
      <c r="BD6" t="str">
        <f t="shared" si="27"/>
        <v/>
      </c>
      <c r="BE6" t="str">
        <f t="shared" si="28"/>
        <v/>
      </c>
      <c r="BF6" t="str">
        <f t="shared" si="29"/>
        <v/>
      </c>
      <c r="BG6" t="str">
        <f t="shared" si="30"/>
        <v/>
      </c>
      <c r="BH6" t="str">
        <f t="shared" si="31"/>
        <v/>
      </c>
    </row>
    <row r="7" spans="1:66" x14ac:dyDescent="0.2">
      <c r="A7">
        <v>4</v>
      </c>
      <c r="B7">
        <v>34</v>
      </c>
      <c r="C7" t="s">
        <v>39</v>
      </c>
      <c r="K7">
        <v>3</v>
      </c>
      <c r="N7">
        <v>2</v>
      </c>
      <c r="O7">
        <v>2</v>
      </c>
      <c r="S7">
        <v>1</v>
      </c>
      <c r="T7">
        <v>1</v>
      </c>
      <c r="X7">
        <f t="shared" si="33"/>
        <v>0</v>
      </c>
      <c r="Z7" t="str">
        <f t="shared" si="0"/>
        <v/>
      </c>
      <c r="AA7" t="str">
        <f t="shared" si="1"/>
        <v/>
      </c>
      <c r="AB7" t="str">
        <f t="shared" si="2"/>
        <v/>
      </c>
      <c r="AC7" t="str">
        <f t="shared" si="3"/>
        <v/>
      </c>
      <c r="AE7" t="str">
        <f t="shared" si="4"/>
        <v/>
      </c>
      <c r="AF7" t="str">
        <f t="shared" si="5"/>
        <v/>
      </c>
      <c r="AG7" t="str">
        <f t="shared" si="6"/>
        <v/>
      </c>
      <c r="AH7" t="str">
        <f t="shared" si="7"/>
        <v/>
      </c>
      <c r="AI7" t="str">
        <f t="shared" si="8"/>
        <v/>
      </c>
      <c r="AK7" t="str">
        <f t="shared" si="9"/>
        <v/>
      </c>
      <c r="AL7" t="str">
        <f t="shared" si="32"/>
        <v/>
      </c>
      <c r="AM7" t="str">
        <f t="shared" si="10"/>
        <v/>
      </c>
      <c r="AN7" t="str">
        <f t="shared" si="11"/>
        <v/>
      </c>
      <c r="AO7" t="str">
        <f t="shared" si="12"/>
        <v/>
      </c>
      <c r="AP7" t="str">
        <f t="shared" si="13"/>
        <v/>
      </c>
      <c r="AQ7" t="str">
        <f t="shared" si="14"/>
        <v/>
      </c>
      <c r="AR7" t="str">
        <f t="shared" si="15"/>
        <v/>
      </c>
      <c r="AS7" t="str">
        <f t="shared" si="16"/>
        <v/>
      </c>
      <c r="AT7" t="str">
        <f t="shared" si="17"/>
        <v/>
      </c>
      <c r="AU7" t="str">
        <f t="shared" si="18"/>
        <v/>
      </c>
      <c r="AV7" t="str">
        <f t="shared" si="19"/>
        <v/>
      </c>
      <c r="AW7" t="str">
        <f t="shared" si="20"/>
        <v/>
      </c>
      <c r="AX7" t="str">
        <f t="shared" si="21"/>
        <v/>
      </c>
      <c r="AY7" t="str">
        <f t="shared" si="22"/>
        <v/>
      </c>
      <c r="AZ7" t="str">
        <f t="shared" si="23"/>
        <v/>
      </c>
      <c r="BA7" t="str">
        <f t="shared" si="24"/>
        <v/>
      </c>
      <c r="BB7" t="str">
        <f t="shared" si="25"/>
        <v/>
      </c>
      <c r="BC7" t="str">
        <f t="shared" si="26"/>
        <v/>
      </c>
      <c r="BD7" t="str">
        <f t="shared" si="27"/>
        <v/>
      </c>
      <c r="BE7" t="str">
        <f t="shared" si="28"/>
        <v/>
      </c>
      <c r="BF7" t="str">
        <f t="shared" si="29"/>
        <v/>
      </c>
      <c r="BG7" t="str">
        <f t="shared" si="30"/>
        <v/>
      </c>
      <c r="BH7" t="str">
        <f t="shared" si="31"/>
        <v/>
      </c>
    </row>
    <row r="8" spans="1:66" x14ac:dyDescent="0.2">
      <c r="A8">
        <v>5</v>
      </c>
      <c r="B8">
        <v>44</v>
      </c>
      <c r="C8" t="s">
        <v>39</v>
      </c>
      <c r="D8">
        <v>1</v>
      </c>
      <c r="K8">
        <v>4</v>
      </c>
      <c r="N8">
        <v>3</v>
      </c>
      <c r="O8">
        <v>3</v>
      </c>
      <c r="S8">
        <v>1</v>
      </c>
      <c r="T8">
        <v>1</v>
      </c>
      <c r="X8">
        <f t="shared" si="33"/>
        <v>0</v>
      </c>
      <c r="Z8" t="str">
        <f t="shared" si="0"/>
        <v/>
      </c>
      <c r="AA8" t="str">
        <f t="shared" si="1"/>
        <v/>
      </c>
      <c r="AB8" t="str">
        <f t="shared" si="2"/>
        <v/>
      </c>
      <c r="AC8" t="str">
        <f t="shared" si="3"/>
        <v/>
      </c>
      <c r="AE8" t="str">
        <f t="shared" si="4"/>
        <v/>
      </c>
      <c r="AF8" t="str">
        <f t="shared" si="5"/>
        <v/>
      </c>
      <c r="AG8" t="str">
        <f t="shared" si="6"/>
        <v/>
      </c>
      <c r="AH8" t="str">
        <f t="shared" si="7"/>
        <v/>
      </c>
      <c r="AI8" t="str">
        <f t="shared" si="8"/>
        <v/>
      </c>
      <c r="AK8" t="str">
        <f t="shared" si="9"/>
        <v/>
      </c>
      <c r="AL8" t="str">
        <f t="shared" si="32"/>
        <v/>
      </c>
      <c r="AM8" t="str">
        <f t="shared" si="10"/>
        <v/>
      </c>
      <c r="AN8" t="str">
        <f t="shared" si="11"/>
        <v/>
      </c>
      <c r="AO8" t="str">
        <f t="shared" si="12"/>
        <v/>
      </c>
      <c r="AP8" t="str">
        <f t="shared" si="13"/>
        <v/>
      </c>
      <c r="AQ8" t="str">
        <f t="shared" si="14"/>
        <v/>
      </c>
      <c r="AR8" t="str">
        <f t="shared" si="15"/>
        <v/>
      </c>
      <c r="AS8" t="str">
        <f t="shared" si="16"/>
        <v/>
      </c>
      <c r="AT8" t="str">
        <f t="shared" si="17"/>
        <v/>
      </c>
      <c r="AU8" t="str">
        <f t="shared" si="18"/>
        <v/>
      </c>
      <c r="AV8" t="str">
        <f t="shared" si="19"/>
        <v/>
      </c>
      <c r="AW8" t="str">
        <f t="shared" si="20"/>
        <v/>
      </c>
      <c r="AX8" t="str">
        <f t="shared" si="21"/>
        <v/>
      </c>
      <c r="AY8" t="str">
        <f t="shared" si="22"/>
        <v/>
      </c>
      <c r="AZ8" t="str">
        <f t="shared" si="23"/>
        <v/>
      </c>
      <c r="BA8" t="str">
        <f t="shared" si="24"/>
        <v/>
      </c>
      <c r="BB8" t="str">
        <f t="shared" si="25"/>
        <v/>
      </c>
      <c r="BC8" t="str">
        <f t="shared" si="26"/>
        <v/>
      </c>
      <c r="BD8" t="str">
        <f t="shared" si="27"/>
        <v/>
      </c>
      <c r="BE8" t="str">
        <f t="shared" si="28"/>
        <v/>
      </c>
      <c r="BF8" t="str">
        <f t="shared" si="29"/>
        <v/>
      </c>
      <c r="BG8" t="str">
        <f t="shared" si="30"/>
        <v/>
      </c>
      <c r="BH8" t="str">
        <f t="shared" si="31"/>
        <v/>
      </c>
    </row>
    <row r="9" spans="1:66" x14ac:dyDescent="0.2">
      <c r="A9">
        <v>6</v>
      </c>
      <c r="B9">
        <v>60</v>
      </c>
      <c r="C9" t="s">
        <v>207</v>
      </c>
      <c r="D9">
        <v>1</v>
      </c>
      <c r="F9">
        <v>1</v>
      </c>
      <c r="K9">
        <v>3</v>
      </c>
      <c r="N9">
        <v>4</v>
      </c>
      <c r="O9">
        <v>3</v>
      </c>
      <c r="S9">
        <v>1</v>
      </c>
      <c r="T9">
        <v>1</v>
      </c>
      <c r="U9">
        <v>8</v>
      </c>
      <c r="X9">
        <f t="shared" si="33"/>
        <v>0</v>
      </c>
      <c r="Z9" t="str">
        <f t="shared" si="0"/>
        <v/>
      </c>
      <c r="AA9" t="str">
        <f t="shared" si="1"/>
        <v/>
      </c>
      <c r="AB9" t="str">
        <f t="shared" si="2"/>
        <v/>
      </c>
      <c r="AC9" t="str">
        <f t="shared" si="3"/>
        <v/>
      </c>
      <c r="AE9" t="str">
        <f t="shared" si="4"/>
        <v/>
      </c>
      <c r="AF9" t="str">
        <f t="shared" si="5"/>
        <v/>
      </c>
      <c r="AG9" t="str">
        <f t="shared" si="6"/>
        <v/>
      </c>
      <c r="AH9" t="str">
        <f t="shared" si="7"/>
        <v/>
      </c>
      <c r="AI9" t="str">
        <f t="shared" si="8"/>
        <v/>
      </c>
      <c r="AK9" t="str">
        <f t="shared" si="9"/>
        <v/>
      </c>
      <c r="AL9" t="str">
        <f t="shared" si="32"/>
        <v/>
      </c>
      <c r="AM9" t="str">
        <f t="shared" si="10"/>
        <v/>
      </c>
      <c r="AN9" t="str">
        <f t="shared" si="11"/>
        <v/>
      </c>
      <c r="AO9" t="str">
        <f t="shared" si="12"/>
        <v/>
      </c>
      <c r="AP9" t="str">
        <f t="shared" si="13"/>
        <v/>
      </c>
      <c r="AQ9" t="str">
        <f t="shared" si="14"/>
        <v/>
      </c>
      <c r="AR9" t="str">
        <f t="shared" si="15"/>
        <v/>
      </c>
      <c r="AS9" t="str">
        <f t="shared" si="16"/>
        <v/>
      </c>
      <c r="AT9" t="str">
        <f t="shared" si="17"/>
        <v/>
      </c>
      <c r="AU9" t="str">
        <f t="shared" si="18"/>
        <v/>
      </c>
      <c r="AV9" t="str">
        <f t="shared" si="19"/>
        <v/>
      </c>
      <c r="AW9" t="str">
        <f t="shared" si="20"/>
        <v/>
      </c>
      <c r="AX9" t="str">
        <f t="shared" si="21"/>
        <v/>
      </c>
      <c r="AY9" t="str">
        <f t="shared" si="22"/>
        <v/>
      </c>
      <c r="AZ9" t="str">
        <f t="shared" si="23"/>
        <v/>
      </c>
      <c r="BA9" t="str">
        <f t="shared" si="24"/>
        <v/>
      </c>
      <c r="BB9" t="str">
        <f t="shared" si="25"/>
        <v/>
      </c>
      <c r="BC9" t="str">
        <f t="shared" si="26"/>
        <v/>
      </c>
      <c r="BD9" t="str">
        <f t="shared" si="27"/>
        <v/>
      </c>
      <c r="BE9" t="str">
        <f t="shared" si="28"/>
        <v/>
      </c>
      <c r="BF9" t="str">
        <f t="shared" si="29"/>
        <v/>
      </c>
      <c r="BG9" t="str">
        <f t="shared" si="30"/>
        <v/>
      </c>
      <c r="BH9" t="str">
        <f t="shared" si="31"/>
        <v/>
      </c>
    </row>
    <row r="10" spans="1:66" x14ac:dyDescent="0.2">
      <c r="A10">
        <v>7</v>
      </c>
      <c r="B10">
        <v>68</v>
      </c>
      <c r="C10" t="s">
        <v>39</v>
      </c>
      <c r="D10">
        <v>1</v>
      </c>
      <c r="K10">
        <v>2</v>
      </c>
      <c r="L10">
        <v>1</v>
      </c>
      <c r="N10">
        <v>2</v>
      </c>
      <c r="O10">
        <v>2</v>
      </c>
      <c r="S10">
        <v>1</v>
      </c>
      <c r="T10">
        <v>1</v>
      </c>
      <c r="X10">
        <f t="shared" si="33"/>
        <v>0</v>
      </c>
      <c r="Z10" t="str">
        <f t="shared" si="0"/>
        <v/>
      </c>
      <c r="AA10" t="str">
        <f t="shared" si="1"/>
        <v/>
      </c>
      <c r="AB10" t="str">
        <f t="shared" si="2"/>
        <v/>
      </c>
      <c r="AC10" t="str">
        <f t="shared" si="3"/>
        <v/>
      </c>
      <c r="AE10" t="str">
        <f t="shared" si="4"/>
        <v/>
      </c>
      <c r="AF10" t="str">
        <f t="shared" si="5"/>
        <v/>
      </c>
      <c r="AG10" t="str">
        <f t="shared" si="6"/>
        <v/>
      </c>
      <c r="AH10" t="str">
        <f t="shared" si="7"/>
        <v/>
      </c>
      <c r="AI10" t="str">
        <f t="shared" si="8"/>
        <v/>
      </c>
      <c r="AK10" t="str">
        <f t="shared" si="9"/>
        <v/>
      </c>
      <c r="AL10" t="str">
        <f t="shared" si="32"/>
        <v/>
      </c>
      <c r="AM10" t="str">
        <f t="shared" si="10"/>
        <v/>
      </c>
      <c r="AN10" t="str">
        <f t="shared" si="11"/>
        <v/>
      </c>
      <c r="AO10" t="str">
        <f t="shared" si="12"/>
        <v/>
      </c>
      <c r="AP10" t="str">
        <f t="shared" si="13"/>
        <v/>
      </c>
      <c r="AQ10" t="str">
        <f t="shared" si="14"/>
        <v/>
      </c>
      <c r="AR10" t="str">
        <f t="shared" si="15"/>
        <v/>
      </c>
      <c r="AS10" t="str">
        <f t="shared" si="16"/>
        <v/>
      </c>
      <c r="AT10" t="str">
        <f t="shared" si="17"/>
        <v/>
      </c>
      <c r="AU10" t="str">
        <f t="shared" si="18"/>
        <v/>
      </c>
      <c r="AV10" t="str">
        <f t="shared" si="19"/>
        <v/>
      </c>
      <c r="AW10" t="str">
        <f t="shared" si="20"/>
        <v/>
      </c>
      <c r="AX10" t="str">
        <f t="shared" si="21"/>
        <v/>
      </c>
      <c r="AY10" t="str">
        <f t="shared" si="22"/>
        <v/>
      </c>
      <c r="AZ10" t="str">
        <f t="shared" si="23"/>
        <v/>
      </c>
      <c r="BA10" t="str">
        <f t="shared" si="24"/>
        <v/>
      </c>
      <c r="BB10" t="str">
        <f t="shared" si="25"/>
        <v/>
      </c>
      <c r="BC10" t="str">
        <f t="shared" si="26"/>
        <v/>
      </c>
      <c r="BD10" t="str">
        <f t="shared" si="27"/>
        <v/>
      </c>
      <c r="BE10" t="str">
        <f t="shared" si="28"/>
        <v/>
      </c>
      <c r="BF10" t="str">
        <f t="shared" si="29"/>
        <v/>
      </c>
      <c r="BG10" t="str">
        <f t="shared" si="30"/>
        <v/>
      </c>
      <c r="BH10" t="str">
        <f t="shared" si="31"/>
        <v/>
      </c>
    </row>
    <row r="11" spans="1:66" x14ac:dyDescent="0.2">
      <c r="A11">
        <v>8</v>
      </c>
      <c r="B11">
        <v>73</v>
      </c>
      <c r="C11" t="s">
        <v>207</v>
      </c>
      <c r="D11">
        <v>1</v>
      </c>
      <c r="F11">
        <v>1</v>
      </c>
      <c r="K11">
        <v>3</v>
      </c>
      <c r="N11">
        <v>3</v>
      </c>
      <c r="O11">
        <v>2</v>
      </c>
      <c r="S11">
        <v>1</v>
      </c>
      <c r="X11">
        <f t="shared" si="33"/>
        <v>0</v>
      </c>
      <c r="Z11" t="str">
        <f t="shared" si="0"/>
        <v/>
      </c>
      <c r="AA11" t="str">
        <f t="shared" si="1"/>
        <v/>
      </c>
      <c r="AB11" t="str">
        <f t="shared" si="2"/>
        <v/>
      </c>
      <c r="AC11" t="str">
        <f t="shared" si="3"/>
        <v/>
      </c>
      <c r="AE11" t="str">
        <f t="shared" si="4"/>
        <v/>
      </c>
      <c r="AF11" t="str">
        <f t="shared" si="5"/>
        <v/>
      </c>
      <c r="AG11" t="str">
        <f t="shared" si="6"/>
        <v/>
      </c>
      <c r="AH11" t="str">
        <f t="shared" si="7"/>
        <v/>
      </c>
      <c r="AI11" t="str">
        <f t="shared" si="8"/>
        <v/>
      </c>
      <c r="AK11" t="str">
        <f t="shared" si="9"/>
        <v/>
      </c>
      <c r="AL11" t="str">
        <f t="shared" si="32"/>
        <v/>
      </c>
      <c r="AM11" t="str">
        <f t="shared" si="10"/>
        <v/>
      </c>
      <c r="AN11" t="str">
        <f t="shared" si="11"/>
        <v/>
      </c>
      <c r="AO11" t="str">
        <f t="shared" si="12"/>
        <v/>
      </c>
      <c r="AP11" t="str">
        <f t="shared" si="13"/>
        <v/>
      </c>
      <c r="AQ11" t="str">
        <f t="shared" si="14"/>
        <v/>
      </c>
      <c r="AR11" t="str">
        <f t="shared" si="15"/>
        <v/>
      </c>
      <c r="AS11" t="str">
        <f t="shared" si="16"/>
        <v/>
      </c>
      <c r="AT11" t="str">
        <f t="shared" si="17"/>
        <v/>
      </c>
      <c r="AU11" t="str">
        <f t="shared" si="18"/>
        <v/>
      </c>
      <c r="AV11" t="str">
        <f t="shared" si="19"/>
        <v/>
      </c>
      <c r="AW11" t="str">
        <f t="shared" si="20"/>
        <v/>
      </c>
      <c r="AX11" t="str">
        <f t="shared" si="21"/>
        <v/>
      </c>
      <c r="AY11" t="str">
        <f t="shared" si="22"/>
        <v/>
      </c>
      <c r="AZ11" t="str">
        <f t="shared" si="23"/>
        <v/>
      </c>
      <c r="BA11" t="str">
        <f t="shared" si="24"/>
        <v/>
      </c>
      <c r="BB11" t="str">
        <f t="shared" si="25"/>
        <v/>
      </c>
      <c r="BC11" t="str">
        <f t="shared" si="26"/>
        <v/>
      </c>
      <c r="BD11" t="str">
        <f t="shared" si="27"/>
        <v/>
      </c>
      <c r="BE11" t="str">
        <f t="shared" si="28"/>
        <v/>
      </c>
      <c r="BF11" t="str">
        <f t="shared" si="29"/>
        <v/>
      </c>
      <c r="BG11" t="str">
        <f t="shared" si="30"/>
        <v/>
      </c>
      <c r="BH11" t="str">
        <f t="shared" si="31"/>
        <v/>
      </c>
    </row>
    <row r="12" spans="1:66" x14ac:dyDescent="0.2">
      <c r="A12">
        <v>9</v>
      </c>
      <c r="B12">
        <v>85</v>
      </c>
      <c r="C12" t="s">
        <v>39</v>
      </c>
      <c r="D12">
        <v>1</v>
      </c>
      <c r="K12" s="1">
        <v>4</v>
      </c>
      <c r="N12" s="1">
        <v>5</v>
      </c>
      <c r="O12" s="1">
        <v>4</v>
      </c>
      <c r="S12">
        <v>1</v>
      </c>
      <c r="T12">
        <v>1</v>
      </c>
      <c r="X12">
        <f t="shared" si="33"/>
        <v>0</v>
      </c>
      <c r="Z12" t="str">
        <f t="shared" si="0"/>
        <v/>
      </c>
      <c r="AA12" t="str">
        <f t="shared" si="1"/>
        <v/>
      </c>
      <c r="AB12" t="str">
        <f t="shared" si="2"/>
        <v/>
      </c>
      <c r="AC12" t="str">
        <f t="shared" si="3"/>
        <v/>
      </c>
      <c r="AE12" t="str">
        <f t="shared" si="4"/>
        <v>2</v>
      </c>
      <c r="AF12" t="str">
        <f t="shared" si="5"/>
        <v/>
      </c>
      <c r="AG12" t="str">
        <f t="shared" si="6"/>
        <v/>
      </c>
      <c r="AH12" t="str">
        <f t="shared" si="7"/>
        <v/>
      </c>
      <c r="AI12" t="str">
        <f t="shared" si="8"/>
        <v/>
      </c>
      <c r="AK12" t="str">
        <f t="shared" si="9"/>
        <v/>
      </c>
      <c r="AL12" t="str">
        <f t="shared" si="32"/>
        <v/>
      </c>
      <c r="AM12" t="str">
        <f t="shared" si="10"/>
        <v/>
      </c>
      <c r="AN12" t="str">
        <f t="shared" si="11"/>
        <v/>
      </c>
      <c r="AO12" t="str">
        <f t="shared" si="12"/>
        <v/>
      </c>
      <c r="AP12" t="str">
        <f t="shared" si="13"/>
        <v/>
      </c>
      <c r="AQ12" t="str">
        <f t="shared" si="14"/>
        <v/>
      </c>
      <c r="AR12" t="str">
        <f t="shared" si="15"/>
        <v/>
      </c>
      <c r="AS12" t="str">
        <f t="shared" si="16"/>
        <v/>
      </c>
      <c r="AT12" t="str">
        <f t="shared" si="17"/>
        <v/>
      </c>
      <c r="AU12" t="str">
        <f t="shared" si="18"/>
        <v/>
      </c>
      <c r="AV12" t="str">
        <f t="shared" si="19"/>
        <v/>
      </c>
      <c r="AW12" t="str">
        <f t="shared" si="20"/>
        <v/>
      </c>
      <c r="AX12" t="str">
        <f t="shared" si="21"/>
        <v/>
      </c>
      <c r="AY12" t="str">
        <f t="shared" si="22"/>
        <v/>
      </c>
      <c r="AZ12" t="str">
        <f t="shared" si="23"/>
        <v/>
      </c>
      <c r="BA12" t="str">
        <f t="shared" si="24"/>
        <v/>
      </c>
      <c r="BB12" t="str">
        <f t="shared" si="25"/>
        <v/>
      </c>
      <c r="BC12" t="str">
        <f t="shared" si="26"/>
        <v/>
      </c>
      <c r="BD12" t="str">
        <f t="shared" si="27"/>
        <v/>
      </c>
      <c r="BE12" t="str">
        <f t="shared" si="28"/>
        <v/>
      </c>
      <c r="BF12" t="str">
        <f t="shared" si="29"/>
        <v/>
      </c>
      <c r="BG12" t="str">
        <f t="shared" si="30"/>
        <v/>
      </c>
      <c r="BH12" t="str">
        <f t="shared" si="31"/>
        <v/>
      </c>
    </row>
    <row r="13" spans="1:66" x14ac:dyDescent="0.2">
      <c r="A13">
        <v>10</v>
      </c>
      <c r="B13">
        <v>92</v>
      </c>
      <c r="C13" t="s">
        <v>207</v>
      </c>
      <c r="K13">
        <v>4</v>
      </c>
      <c r="N13">
        <v>4</v>
      </c>
      <c r="O13">
        <v>4</v>
      </c>
      <c r="S13">
        <v>1</v>
      </c>
      <c r="T13">
        <v>1</v>
      </c>
      <c r="U13">
        <v>6</v>
      </c>
      <c r="X13">
        <f t="shared" si="33"/>
        <v>0</v>
      </c>
      <c r="Z13" t="str">
        <f t="shared" si="0"/>
        <v/>
      </c>
      <c r="AA13" t="str">
        <f t="shared" si="1"/>
        <v/>
      </c>
      <c r="AB13" t="str">
        <f t="shared" si="2"/>
        <v/>
      </c>
      <c r="AC13" t="str">
        <f t="shared" si="3"/>
        <v/>
      </c>
      <c r="AE13" t="str">
        <f t="shared" si="4"/>
        <v/>
      </c>
      <c r="AF13" t="str">
        <f t="shared" si="5"/>
        <v/>
      </c>
      <c r="AG13" t="str">
        <f t="shared" si="6"/>
        <v/>
      </c>
      <c r="AH13" t="str">
        <f t="shared" si="7"/>
        <v/>
      </c>
      <c r="AI13" t="str">
        <f t="shared" si="8"/>
        <v/>
      </c>
      <c r="AK13" t="str">
        <f t="shared" si="9"/>
        <v/>
      </c>
      <c r="AL13" t="str">
        <f t="shared" si="32"/>
        <v/>
      </c>
      <c r="AM13" t="str">
        <f t="shared" si="10"/>
        <v/>
      </c>
      <c r="AN13" t="str">
        <f t="shared" si="11"/>
        <v/>
      </c>
      <c r="AO13" t="str">
        <f t="shared" si="12"/>
        <v/>
      </c>
      <c r="AP13" t="str">
        <f t="shared" si="13"/>
        <v/>
      </c>
      <c r="AQ13" t="str">
        <f t="shared" si="14"/>
        <v/>
      </c>
      <c r="AR13" t="str">
        <f t="shared" si="15"/>
        <v/>
      </c>
      <c r="AS13" t="str">
        <f t="shared" si="16"/>
        <v/>
      </c>
      <c r="AT13" t="str">
        <f t="shared" si="17"/>
        <v/>
      </c>
      <c r="AU13" t="str">
        <f t="shared" si="18"/>
        <v/>
      </c>
      <c r="AV13" t="str">
        <f t="shared" si="19"/>
        <v/>
      </c>
      <c r="AW13" t="str">
        <f t="shared" si="20"/>
        <v/>
      </c>
      <c r="AX13" t="str">
        <f t="shared" si="21"/>
        <v/>
      </c>
      <c r="AY13" t="str">
        <f t="shared" si="22"/>
        <v/>
      </c>
      <c r="AZ13" t="str">
        <f t="shared" si="23"/>
        <v/>
      </c>
      <c r="BA13" t="str">
        <f t="shared" si="24"/>
        <v/>
      </c>
      <c r="BB13" t="str">
        <f t="shared" si="25"/>
        <v/>
      </c>
      <c r="BC13" t="str">
        <f t="shared" si="26"/>
        <v/>
      </c>
      <c r="BD13" t="str">
        <f t="shared" si="27"/>
        <v/>
      </c>
      <c r="BE13" t="str">
        <f t="shared" si="28"/>
        <v/>
      </c>
      <c r="BF13" t="str">
        <f t="shared" si="29"/>
        <v/>
      </c>
      <c r="BG13" t="str">
        <f t="shared" si="30"/>
        <v/>
      </c>
      <c r="BH13" t="str">
        <f t="shared" si="31"/>
        <v/>
      </c>
    </row>
    <row r="14" spans="1:66" x14ac:dyDescent="0.2">
      <c r="A14">
        <v>11</v>
      </c>
      <c r="B14">
        <v>102</v>
      </c>
      <c r="C14" t="s">
        <v>207</v>
      </c>
      <c r="D14">
        <v>1</v>
      </c>
      <c r="F14">
        <v>1</v>
      </c>
      <c r="J14">
        <v>2</v>
      </c>
      <c r="K14">
        <v>1</v>
      </c>
      <c r="L14">
        <v>1</v>
      </c>
      <c r="N14">
        <v>2</v>
      </c>
      <c r="O14">
        <v>2</v>
      </c>
      <c r="S14">
        <v>1</v>
      </c>
      <c r="U14">
        <v>9</v>
      </c>
      <c r="X14">
        <f t="shared" si="33"/>
        <v>0</v>
      </c>
      <c r="Z14" t="s">
        <v>31</v>
      </c>
      <c r="AE14" t="s">
        <v>34</v>
      </c>
      <c r="AK14" t="s">
        <v>43</v>
      </c>
      <c r="AP14" t="s">
        <v>84</v>
      </c>
    </row>
    <row r="15" spans="1:66" x14ac:dyDescent="0.2">
      <c r="A15">
        <v>12</v>
      </c>
      <c r="B15">
        <v>113</v>
      </c>
      <c r="C15" t="s">
        <v>39</v>
      </c>
      <c r="D15">
        <v>1</v>
      </c>
      <c r="K15">
        <v>2</v>
      </c>
      <c r="N15">
        <v>3</v>
      </c>
      <c r="O15">
        <v>3</v>
      </c>
      <c r="S15">
        <v>1</v>
      </c>
      <c r="T15">
        <v>1</v>
      </c>
      <c r="X15">
        <f t="shared" si="33"/>
        <v>0</v>
      </c>
      <c r="Z15" t="s">
        <v>21</v>
      </c>
      <c r="AA15" t="s">
        <v>22</v>
      </c>
      <c r="AE15" t="s">
        <v>21</v>
      </c>
      <c r="AF15" t="s">
        <v>22</v>
      </c>
      <c r="AG15" t="s">
        <v>35</v>
      </c>
      <c r="AK15" t="s">
        <v>10</v>
      </c>
      <c r="AL15" t="s">
        <v>25</v>
      </c>
      <c r="AM15" t="s">
        <v>26</v>
      </c>
      <c r="AN15" t="s">
        <v>27</v>
      </c>
      <c r="AP15" t="s">
        <v>15</v>
      </c>
      <c r="AQ15" t="s">
        <v>85</v>
      </c>
    </row>
    <row r="16" spans="1:66" x14ac:dyDescent="0.2">
      <c r="A16" t="s">
        <v>28</v>
      </c>
      <c r="D16">
        <f>SUM(D4:D15)</f>
        <v>8</v>
      </c>
      <c r="E16">
        <f>SUM(E4:E15)</f>
        <v>1</v>
      </c>
      <c r="F16">
        <f>SUM(F4:F15)</f>
        <v>3</v>
      </c>
      <c r="G16">
        <f>SUM(G4:G15)</f>
        <v>0</v>
      </c>
      <c r="H16">
        <f>SUM(H4:H15)</f>
        <v>0</v>
      </c>
      <c r="K16">
        <f>SUM(K4:K15)</f>
        <v>33</v>
      </c>
      <c r="L16">
        <f>SUM(L4:L15)</f>
        <v>3</v>
      </c>
      <c r="M16">
        <f>SUM(M4:M15)</f>
        <v>0</v>
      </c>
      <c r="N16">
        <f>SUM(N4:N15)</f>
        <v>38</v>
      </c>
      <c r="O16">
        <f>SUM(O4:O15)</f>
        <v>34</v>
      </c>
      <c r="Q16">
        <f t="shared" ref="Q16:R16" si="34">SUM(Q4:Q15)</f>
        <v>0</v>
      </c>
      <c r="R16">
        <f t="shared" si="34"/>
        <v>0</v>
      </c>
      <c r="S16">
        <f>SUM(S4:S15)</f>
        <v>12</v>
      </c>
      <c r="T16">
        <f>SUM(T4:T15)</f>
        <v>10</v>
      </c>
      <c r="U16">
        <f>SUM(U4:U15)</f>
        <v>26</v>
      </c>
      <c r="V16">
        <f>SUM(V4:V15)</f>
        <v>0</v>
      </c>
      <c r="W16">
        <f>SUM(W4:W15)</f>
        <v>0</v>
      </c>
      <c r="Z16">
        <f t="shared" ref="Z16:Z27" si="35">COUNTIF(Z2:AC2, "3")*COUNTIF(C4, "r")+COUNTIF(Z2:AC2, "5")*COUNTIF(C4, "b")</f>
        <v>0</v>
      </c>
      <c r="AA16">
        <f t="shared" ref="AA16:AA27" si="36">COUNTIF(Z2:AC2, "1")+COUNTIF(Z2:AC2, "2")+COUNTIF(Z2:AC2, "4")</f>
        <v>0</v>
      </c>
      <c r="AE16">
        <f t="shared" ref="AE16:AE27" si="37">COUNTIF(AE2:AI2, "3")*COUNTIF(C4, "r") + COUNTIF(AE2:AI2, "5")*COUNTIF(C4, "b")</f>
        <v>0</v>
      </c>
      <c r="AF16">
        <f t="shared" ref="AF16:AF27" si="38">COUNTIF(AE2:AI2, "1")+COUNTIF(AE2:AI2, "2")+COUNTIF(AE2:AI2, "4")</f>
        <v>0</v>
      </c>
      <c r="AG16">
        <f t="shared" ref="AG16:AG27" si="39">COUNTIF(AE2:AI2, "3")*COUNTIF(AE2:AI2, "b")+COUNTIF(AE2:AI2, "5")*COUNTIF(AE2:AI2, "r")</f>
        <v>0</v>
      </c>
      <c r="AK16">
        <f t="shared" ref="AK16:AK27" si="40">SUMPRODUCT(LEN($AK2:$BH2) - LEN(SUBSTITUTE($AK2:$BH2, "g", "")))</f>
        <v>0</v>
      </c>
      <c r="AL16">
        <f t="shared" ref="AL16:AL27" si="41">SUMPRODUCT(LEN($AK2:$BH2) - LEN(SUBSTITUTE($AK2:$BH2, "h", "")))</f>
        <v>0</v>
      </c>
      <c r="AM16">
        <f t="shared" ref="AM16:AM27" si="42">SUMPRODUCT(LEN($AK2:$BH2) - LEN(SUBSTITUTE($AK2:$BH2, "v", "")))</f>
        <v>0</v>
      </c>
      <c r="AN16">
        <f t="shared" ref="AN16:AN27" si="43">SUMPRODUCT(LEN($AK2:$BH2) - LEN(SUBSTITUTE($AK2:$BH2, "r", "")))</f>
        <v>0</v>
      </c>
      <c r="AP16">
        <f>MAX(AQ16:BN16)</f>
        <v>0</v>
      </c>
      <c r="AQ16" s="4">
        <f>_xlfn.NUMBERVALUE(RIGHT(AK2,1))</f>
        <v>0</v>
      </c>
      <c r="AR16" s="4">
        <f t="shared" ref="AR16:BG27" si="44">_xlfn.NUMBERVALUE(RIGHT(AL2,1))</f>
        <v>0</v>
      </c>
      <c r="AS16" s="4">
        <f t="shared" si="44"/>
        <v>0</v>
      </c>
      <c r="AT16" s="4">
        <f t="shared" si="44"/>
        <v>0</v>
      </c>
      <c r="AU16" s="4">
        <f t="shared" si="44"/>
        <v>0</v>
      </c>
      <c r="AV16" s="4">
        <f t="shared" si="44"/>
        <v>0</v>
      </c>
      <c r="AW16" s="4">
        <f t="shared" si="44"/>
        <v>0</v>
      </c>
      <c r="AX16" s="4">
        <f t="shared" si="44"/>
        <v>0</v>
      </c>
      <c r="AY16" s="4">
        <f t="shared" si="44"/>
        <v>0</v>
      </c>
      <c r="AZ16" s="4">
        <f t="shared" si="44"/>
        <v>0</v>
      </c>
      <c r="BA16" s="4">
        <f t="shared" si="44"/>
        <v>0</v>
      </c>
      <c r="BB16" s="4">
        <f t="shared" si="44"/>
        <v>0</v>
      </c>
      <c r="BC16" s="4">
        <f t="shared" si="44"/>
        <v>0</v>
      </c>
      <c r="BD16" s="4">
        <f t="shared" si="44"/>
        <v>0</v>
      </c>
      <c r="BE16" s="4">
        <f t="shared" si="44"/>
        <v>0</v>
      </c>
      <c r="BF16" s="4">
        <f t="shared" si="44"/>
        <v>0</v>
      </c>
      <c r="BG16" s="4">
        <f t="shared" si="44"/>
        <v>0</v>
      </c>
      <c r="BH16" s="4">
        <f t="shared" ref="BH16:BN27" si="45">_xlfn.NUMBERVALUE(RIGHT(BB2,1))</f>
        <v>0</v>
      </c>
      <c r="BI16" s="4">
        <f t="shared" si="45"/>
        <v>0</v>
      </c>
      <c r="BJ16" s="4">
        <f t="shared" si="45"/>
        <v>0</v>
      </c>
      <c r="BK16" s="4">
        <f t="shared" si="45"/>
        <v>0</v>
      </c>
      <c r="BL16" s="4">
        <f t="shared" si="45"/>
        <v>0</v>
      </c>
      <c r="BM16" s="4">
        <f t="shared" si="45"/>
        <v>0</v>
      </c>
      <c r="BN16" s="4">
        <f t="shared" si="45"/>
        <v>0</v>
      </c>
    </row>
    <row r="17" spans="1:66" x14ac:dyDescent="0.2">
      <c r="A17" s="1" t="s">
        <v>20</v>
      </c>
      <c r="D17" s="1" t="s">
        <v>49</v>
      </c>
      <c r="G17" s="1" t="s">
        <v>52</v>
      </c>
      <c r="K17" s="3" t="s">
        <v>74</v>
      </c>
      <c r="P17" s="1" t="s">
        <v>66</v>
      </c>
      <c r="Z17">
        <f t="shared" si="35"/>
        <v>0</v>
      </c>
      <c r="AA17">
        <f t="shared" si="36"/>
        <v>0</v>
      </c>
      <c r="AE17">
        <f t="shared" si="37"/>
        <v>0</v>
      </c>
      <c r="AF17">
        <f t="shared" si="38"/>
        <v>0</v>
      </c>
      <c r="AG17">
        <f t="shared" si="39"/>
        <v>0</v>
      </c>
      <c r="AK17">
        <f t="shared" si="40"/>
        <v>0</v>
      </c>
      <c r="AL17">
        <f t="shared" si="41"/>
        <v>0</v>
      </c>
      <c r="AM17">
        <f t="shared" si="42"/>
        <v>0</v>
      </c>
      <c r="AN17">
        <f t="shared" si="43"/>
        <v>0</v>
      </c>
      <c r="AP17">
        <f t="shared" ref="AP17:AP27" si="46">MAX(AQ17:BN17)</f>
        <v>0</v>
      </c>
      <c r="AQ17" s="4">
        <f t="shared" ref="AQ17:AQ27" si="47">_xlfn.NUMBERVALUE(RIGHT(AK3,1))</f>
        <v>0</v>
      </c>
      <c r="AR17" s="4">
        <f t="shared" si="44"/>
        <v>0</v>
      </c>
      <c r="AS17" s="4">
        <f t="shared" si="44"/>
        <v>0</v>
      </c>
      <c r="AT17" s="4">
        <f t="shared" si="44"/>
        <v>0</v>
      </c>
      <c r="AU17" s="4">
        <f t="shared" si="44"/>
        <v>0</v>
      </c>
      <c r="AV17" s="4">
        <f t="shared" si="44"/>
        <v>0</v>
      </c>
      <c r="AW17" s="4">
        <f t="shared" si="44"/>
        <v>0</v>
      </c>
      <c r="AX17" s="4">
        <f t="shared" si="44"/>
        <v>0</v>
      </c>
      <c r="AY17" s="4">
        <f t="shared" si="44"/>
        <v>0</v>
      </c>
      <c r="AZ17" s="4">
        <f t="shared" si="44"/>
        <v>0</v>
      </c>
      <c r="BA17" s="4">
        <f t="shared" si="44"/>
        <v>0</v>
      </c>
      <c r="BB17" s="4">
        <f t="shared" si="44"/>
        <v>0</v>
      </c>
      <c r="BC17" s="4">
        <f t="shared" si="44"/>
        <v>0</v>
      </c>
      <c r="BD17" s="4">
        <f t="shared" si="44"/>
        <v>0</v>
      </c>
      <c r="BE17" s="4">
        <f t="shared" si="44"/>
        <v>0</v>
      </c>
      <c r="BF17" s="4">
        <f t="shared" si="44"/>
        <v>0</v>
      </c>
      <c r="BG17" s="4">
        <f t="shared" si="44"/>
        <v>0</v>
      </c>
      <c r="BH17" s="4">
        <f t="shared" si="45"/>
        <v>0</v>
      </c>
      <c r="BI17" s="4">
        <f t="shared" si="45"/>
        <v>0</v>
      </c>
      <c r="BJ17" s="4">
        <f t="shared" si="45"/>
        <v>0</v>
      </c>
      <c r="BK17" s="4">
        <f t="shared" si="45"/>
        <v>0</v>
      </c>
      <c r="BL17" s="4">
        <f t="shared" si="45"/>
        <v>0</v>
      </c>
      <c r="BM17" s="4">
        <f t="shared" si="45"/>
        <v>0</v>
      </c>
      <c r="BN17" s="4">
        <f t="shared" si="45"/>
        <v>0</v>
      </c>
    </row>
    <row r="18" spans="1:66" x14ac:dyDescent="0.2">
      <c r="A18" t="s">
        <v>32</v>
      </c>
      <c r="B18" t="s">
        <v>21</v>
      </c>
      <c r="D18" t="s">
        <v>180</v>
      </c>
      <c r="G18" s="3" t="s">
        <v>53</v>
      </c>
      <c r="K18" t="s">
        <v>55</v>
      </c>
      <c r="M18" t="s">
        <v>65</v>
      </c>
      <c r="P18" t="s">
        <v>67</v>
      </c>
      <c r="Z18">
        <f t="shared" si="35"/>
        <v>0</v>
      </c>
      <c r="AA18">
        <f t="shared" si="36"/>
        <v>0</v>
      </c>
      <c r="AE18">
        <f t="shared" si="37"/>
        <v>0</v>
      </c>
      <c r="AF18">
        <f t="shared" si="38"/>
        <v>0</v>
      </c>
      <c r="AG18">
        <f t="shared" si="39"/>
        <v>0</v>
      </c>
      <c r="AK18">
        <f t="shared" si="40"/>
        <v>0</v>
      </c>
      <c r="AL18">
        <f t="shared" si="41"/>
        <v>0</v>
      </c>
      <c r="AM18">
        <f t="shared" si="42"/>
        <v>0</v>
      </c>
      <c r="AN18">
        <f t="shared" si="43"/>
        <v>0</v>
      </c>
      <c r="AP18">
        <f t="shared" si="46"/>
        <v>0</v>
      </c>
      <c r="AQ18" s="4">
        <f t="shared" si="47"/>
        <v>0</v>
      </c>
      <c r="AR18" s="4">
        <f t="shared" si="44"/>
        <v>0</v>
      </c>
      <c r="AS18" s="4">
        <f t="shared" si="44"/>
        <v>0</v>
      </c>
      <c r="AT18" s="4">
        <f t="shared" si="44"/>
        <v>0</v>
      </c>
      <c r="AU18" s="4">
        <f t="shared" si="44"/>
        <v>0</v>
      </c>
      <c r="AV18" s="4">
        <f t="shared" si="44"/>
        <v>0</v>
      </c>
      <c r="AW18" s="4">
        <f t="shared" si="44"/>
        <v>0</v>
      </c>
      <c r="AX18" s="4">
        <f t="shared" si="44"/>
        <v>0</v>
      </c>
      <c r="AY18" s="4">
        <f t="shared" si="44"/>
        <v>0</v>
      </c>
      <c r="AZ18" s="4">
        <f t="shared" si="44"/>
        <v>0</v>
      </c>
      <c r="BA18" s="4">
        <f t="shared" si="44"/>
        <v>0</v>
      </c>
      <c r="BB18" s="4">
        <f t="shared" si="44"/>
        <v>0</v>
      </c>
      <c r="BC18" s="4">
        <f t="shared" si="44"/>
        <v>0</v>
      </c>
      <c r="BD18" s="4">
        <f t="shared" si="44"/>
        <v>0</v>
      </c>
      <c r="BE18" s="4">
        <f t="shared" si="44"/>
        <v>0</v>
      </c>
      <c r="BF18" s="4">
        <f t="shared" si="44"/>
        <v>0</v>
      </c>
      <c r="BG18" s="4">
        <f t="shared" si="44"/>
        <v>0</v>
      </c>
      <c r="BH18" s="4">
        <f t="shared" si="45"/>
        <v>0</v>
      </c>
      <c r="BI18" s="4">
        <f t="shared" si="45"/>
        <v>0</v>
      </c>
      <c r="BJ18" s="4">
        <f t="shared" si="45"/>
        <v>0</v>
      </c>
      <c r="BK18" s="4">
        <f t="shared" si="45"/>
        <v>0</v>
      </c>
      <c r="BL18" s="4">
        <f t="shared" si="45"/>
        <v>0</v>
      </c>
      <c r="BM18" s="4">
        <f t="shared" si="45"/>
        <v>0</v>
      </c>
      <c r="BN18" s="4">
        <f t="shared" si="45"/>
        <v>0</v>
      </c>
    </row>
    <row r="19" spans="1:66" x14ac:dyDescent="0.2">
      <c r="A19" t="s">
        <v>40</v>
      </c>
      <c r="B19" t="s">
        <v>22</v>
      </c>
      <c r="D19">
        <f>E16/D16</f>
        <v>0.125</v>
      </c>
      <c r="G19" t="s">
        <v>75</v>
      </c>
      <c r="K19">
        <f>O16/N16</f>
        <v>0.89473684210526316</v>
      </c>
      <c r="M19">
        <f>SUM(M39:M50)</f>
        <v>-1</v>
      </c>
      <c r="P19">
        <f>T16/S16</f>
        <v>0.83333333333333337</v>
      </c>
      <c r="Z19">
        <f t="shared" si="35"/>
        <v>0</v>
      </c>
      <c r="AA19">
        <f t="shared" si="36"/>
        <v>0</v>
      </c>
      <c r="AE19">
        <f t="shared" si="37"/>
        <v>0</v>
      </c>
      <c r="AF19">
        <f t="shared" si="38"/>
        <v>0</v>
      </c>
      <c r="AG19">
        <f t="shared" si="39"/>
        <v>0</v>
      </c>
      <c r="AK19">
        <f t="shared" si="40"/>
        <v>0</v>
      </c>
      <c r="AL19">
        <f t="shared" si="41"/>
        <v>0</v>
      </c>
      <c r="AM19">
        <f t="shared" si="42"/>
        <v>0</v>
      </c>
      <c r="AN19">
        <f t="shared" si="43"/>
        <v>0</v>
      </c>
      <c r="AP19">
        <f t="shared" si="46"/>
        <v>0</v>
      </c>
      <c r="AQ19" s="4">
        <f t="shared" si="47"/>
        <v>0</v>
      </c>
      <c r="AR19" s="4">
        <f t="shared" si="44"/>
        <v>0</v>
      </c>
      <c r="AS19" s="4">
        <f t="shared" si="44"/>
        <v>0</v>
      </c>
      <c r="AT19" s="4">
        <f t="shared" si="44"/>
        <v>0</v>
      </c>
      <c r="AU19" s="4">
        <f t="shared" si="44"/>
        <v>0</v>
      </c>
      <c r="AV19" s="4">
        <f t="shared" si="44"/>
        <v>0</v>
      </c>
      <c r="AW19" s="4">
        <f t="shared" si="44"/>
        <v>0</v>
      </c>
      <c r="AX19" s="4">
        <f t="shared" si="44"/>
        <v>0</v>
      </c>
      <c r="AY19" s="4">
        <f t="shared" si="44"/>
        <v>0</v>
      </c>
      <c r="AZ19" s="4">
        <f t="shared" si="44"/>
        <v>0</v>
      </c>
      <c r="BA19" s="4">
        <f t="shared" si="44"/>
        <v>0</v>
      </c>
      <c r="BB19" s="4">
        <f t="shared" si="44"/>
        <v>0</v>
      </c>
      <c r="BC19" s="4">
        <f t="shared" si="44"/>
        <v>0</v>
      </c>
      <c r="BD19" s="4">
        <f t="shared" si="44"/>
        <v>0</v>
      </c>
      <c r="BE19" s="4">
        <f t="shared" si="44"/>
        <v>0</v>
      </c>
      <c r="BF19" s="4">
        <f t="shared" si="44"/>
        <v>0</v>
      </c>
      <c r="BG19" s="4">
        <f t="shared" si="44"/>
        <v>0</v>
      </c>
      <c r="BH19" s="4">
        <f t="shared" si="45"/>
        <v>0</v>
      </c>
      <c r="BI19" s="4">
        <f t="shared" si="45"/>
        <v>0</v>
      </c>
      <c r="BJ19" s="4">
        <f t="shared" si="45"/>
        <v>0</v>
      </c>
      <c r="BK19" s="4">
        <f t="shared" si="45"/>
        <v>0</v>
      </c>
      <c r="BL19" s="4">
        <f t="shared" si="45"/>
        <v>0</v>
      </c>
      <c r="BM19" s="4">
        <f t="shared" si="45"/>
        <v>0</v>
      </c>
      <c r="BN19" s="4">
        <f t="shared" si="45"/>
        <v>0</v>
      </c>
    </row>
    <row r="20" spans="1:66" x14ac:dyDescent="0.2">
      <c r="A20" t="s">
        <v>41</v>
      </c>
      <c r="B20" t="s">
        <v>23</v>
      </c>
      <c r="D20" t="s">
        <v>47</v>
      </c>
      <c r="G20" t="e">
        <f>AK28/AP28</f>
        <v>#DIV/0!</v>
      </c>
      <c r="K20" t="s">
        <v>13</v>
      </c>
      <c r="Z20">
        <f t="shared" si="35"/>
        <v>0</v>
      </c>
      <c r="AA20">
        <f t="shared" si="36"/>
        <v>0</v>
      </c>
      <c r="AE20">
        <f t="shared" si="37"/>
        <v>0</v>
      </c>
      <c r="AF20">
        <f t="shared" si="38"/>
        <v>0</v>
      </c>
      <c r="AG20">
        <f t="shared" si="39"/>
        <v>0</v>
      </c>
      <c r="AK20">
        <f t="shared" si="40"/>
        <v>0</v>
      </c>
      <c r="AL20">
        <f t="shared" si="41"/>
        <v>0</v>
      </c>
      <c r="AM20">
        <f t="shared" si="42"/>
        <v>0</v>
      </c>
      <c r="AN20">
        <f t="shared" si="43"/>
        <v>0</v>
      </c>
      <c r="AP20">
        <f t="shared" si="46"/>
        <v>0</v>
      </c>
      <c r="AQ20" s="4">
        <f t="shared" si="47"/>
        <v>0</v>
      </c>
      <c r="AR20" s="4">
        <f t="shared" si="44"/>
        <v>0</v>
      </c>
      <c r="AS20" s="4">
        <f t="shared" si="44"/>
        <v>0</v>
      </c>
      <c r="AT20" s="4">
        <f t="shared" si="44"/>
        <v>0</v>
      </c>
      <c r="AU20" s="4">
        <f t="shared" si="44"/>
        <v>0</v>
      </c>
      <c r="AV20" s="4">
        <f t="shared" si="44"/>
        <v>0</v>
      </c>
      <c r="AW20" s="4">
        <f t="shared" si="44"/>
        <v>0</v>
      </c>
      <c r="AX20" s="4">
        <f t="shared" si="44"/>
        <v>0</v>
      </c>
      <c r="AY20" s="4">
        <f t="shared" si="44"/>
        <v>0</v>
      </c>
      <c r="AZ20" s="4">
        <f t="shared" si="44"/>
        <v>0</v>
      </c>
      <c r="BA20" s="4">
        <f t="shared" si="44"/>
        <v>0</v>
      </c>
      <c r="BB20" s="4">
        <f t="shared" si="44"/>
        <v>0</v>
      </c>
      <c r="BC20" s="4">
        <f t="shared" si="44"/>
        <v>0</v>
      </c>
      <c r="BD20" s="4">
        <f t="shared" si="44"/>
        <v>0</v>
      </c>
      <c r="BE20" s="4">
        <f t="shared" si="44"/>
        <v>0</v>
      </c>
      <c r="BF20" s="4">
        <f t="shared" si="44"/>
        <v>0</v>
      </c>
      <c r="BG20" s="4">
        <f t="shared" si="44"/>
        <v>0</v>
      </c>
      <c r="BH20" s="4">
        <f t="shared" si="45"/>
        <v>0</v>
      </c>
      <c r="BI20" s="4">
        <f t="shared" si="45"/>
        <v>0</v>
      </c>
      <c r="BJ20" s="4">
        <f t="shared" si="45"/>
        <v>0</v>
      </c>
      <c r="BK20" s="4">
        <f t="shared" si="45"/>
        <v>0</v>
      </c>
      <c r="BL20" s="4">
        <f t="shared" si="45"/>
        <v>0</v>
      </c>
      <c r="BM20" s="4">
        <f t="shared" si="45"/>
        <v>0</v>
      </c>
      <c r="BN20" s="4">
        <f t="shared" si="45"/>
        <v>0</v>
      </c>
    </row>
    <row r="21" spans="1:66" x14ac:dyDescent="0.2">
      <c r="A21" s="1" t="s">
        <v>24</v>
      </c>
      <c r="D21">
        <f>G16/A31</f>
        <v>0</v>
      </c>
      <c r="G21" t="s">
        <v>76</v>
      </c>
      <c r="K21" t="s">
        <v>57</v>
      </c>
      <c r="L21" t="s">
        <v>58</v>
      </c>
      <c r="M21" t="s">
        <v>59</v>
      </c>
      <c r="N21" t="s">
        <v>60</v>
      </c>
      <c r="Z21">
        <f t="shared" si="35"/>
        <v>0</v>
      </c>
      <c r="AA21">
        <f t="shared" si="36"/>
        <v>0</v>
      </c>
      <c r="AE21">
        <f t="shared" si="37"/>
        <v>0</v>
      </c>
      <c r="AF21">
        <f t="shared" si="38"/>
        <v>0</v>
      </c>
      <c r="AG21">
        <f t="shared" si="39"/>
        <v>0</v>
      </c>
      <c r="AK21">
        <f t="shared" si="40"/>
        <v>0</v>
      </c>
      <c r="AL21">
        <f t="shared" si="41"/>
        <v>0</v>
      </c>
      <c r="AM21">
        <f t="shared" si="42"/>
        <v>0</v>
      </c>
      <c r="AN21">
        <f t="shared" si="43"/>
        <v>0</v>
      </c>
      <c r="AP21">
        <f t="shared" si="46"/>
        <v>0</v>
      </c>
      <c r="AQ21" s="4">
        <f t="shared" si="47"/>
        <v>0</v>
      </c>
      <c r="AR21" s="4">
        <f t="shared" si="44"/>
        <v>0</v>
      </c>
      <c r="AS21" s="4">
        <f t="shared" si="44"/>
        <v>0</v>
      </c>
      <c r="AT21" s="4">
        <f t="shared" si="44"/>
        <v>0</v>
      </c>
      <c r="AU21" s="4">
        <f t="shared" si="44"/>
        <v>0</v>
      </c>
      <c r="AV21" s="4">
        <f t="shared" si="44"/>
        <v>0</v>
      </c>
      <c r="AW21" s="4">
        <f t="shared" si="44"/>
        <v>0</v>
      </c>
      <c r="AX21" s="4">
        <f t="shared" si="44"/>
        <v>0</v>
      </c>
      <c r="AY21" s="4">
        <f t="shared" si="44"/>
        <v>0</v>
      </c>
      <c r="AZ21" s="4">
        <f t="shared" si="44"/>
        <v>0</v>
      </c>
      <c r="BA21" s="4">
        <f t="shared" si="44"/>
        <v>0</v>
      </c>
      <c r="BB21" s="4">
        <f t="shared" si="44"/>
        <v>0</v>
      </c>
      <c r="BC21" s="4">
        <f t="shared" si="44"/>
        <v>0</v>
      </c>
      <c r="BD21" s="4">
        <f t="shared" si="44"/>
        <v>0</v>
      </c>
      <c r="BE21" s="4">
        <f t="shared" si="44"/>
        <v>0</v>
      </c>
      <c r="BF21" s="4">
        <f t="shared" si="44"/>
        <v>0</v>
      </c>
      <c r="BG21" s="4">
        <f t="shared" si="44"/>
        <v>0</v>
      </c>
      <c r="BH21" s="4">
        <f t="shared" si="45"/>
        <v>0</v>
      </c>
      <c r="BI21" s="4">
        <f t="shared" si="45"/>
        <v>0</v>
      </c>
      <c r="BJ21" s="4">
        <f t="shared" si="45"/>
        <v>0</v>
      </c>
      <c r="BK21" s="4">
        <f t="shared" si="45"/>
        <v>0</v>
      </c>
      <c r="BL21" s="4">
        <f t="shared" si="45"/>
        <v>0</v>
      </c>
      <c r="BM21" s="4">
        <f t="shared" si="45"/>
        <v>0</v>
      </c>
      <c r="BN21" s="4">
        <f t="shared" si="45"/>
        <v>0</v>
      </c>
    </row>
    <row r="22" spans="1:66" x14ac:dyDescent="0.2">
      <c r="A22" t="s">
        <v>36</v>
      </c>
      <c r="B22" t="s">
        <v>10</v>
      </c>
      <c r="D22" t="s">
        <v>48</v>
      </c>
      <c r="G22" t="e">
        <f>AL28/AP28</f>
        <v>#DIV/0!</v>
      </c>
      <c r="K22">
        <f>AVERAGE(C39:C50)</f>
        <v>2.8333333333333335</v>
      </c>
      <c r="L22">
        <f>MEDIAN(C39:C50)</f>
        <v>3</v>
      </c>
      <c r="M22">
        <f>MAX(C39:C50)</f>
        <v>4</v>
      </c>
      <c r="N22">
        <f>_xlfn.STDEV.S(C39:C50)</f>
        <v>0.83484710993672206</v>
      </c>
      <c r="Z22">
        <f t="shared" si="35"/>
        <v>0</v>
      </c>
      <c r="AA22">
        <f t="shared" si="36"/>
        <v>0</v>
      </c>
      <c r="AE22">
        <f t="shared" si="37"/>
        <v>0</v>
      </c>
      <c r="AF22">
        <f t="shared" si="38"/>
        <v>0</v>
      </c>
      <c r="AG22">
        <f t="shared" si="39"/>
        <v>0</v>
      </c>
      <c r="AK22">
        <f t="shared" si="40"/>
        <v>0</v>
      </c>
      <c r="AL22">
        <f t="shared" si="41"/>
        <v>0</v>
      </c>
      <c r="AM22">
        <f t="shared" si="42"/>
        <v>0</v>
      </c>
      <c r="AN22">
        <f t="shared" si="43"/>
        <v>0</v>
      </c>
      <c r="AP22">
        <f t="shared" si="46"/>
        <v>0</v>
      </c>
      <c r="AQ22" s="4">
        <f t="shared" si="47"/>
        <v>0</v>
      </c>
      <c r="AR22" s="4">
        <f t="shared" si="44"/>
        <v>0</v>
      </c>
      <c r="AS22" s="4">
        <f t="shared" si="44"/>
        <v>0</v>
      </c>
      <c r="AT22" s="4">
        <f t="shared" si="44"/>
        <v>0</v>
      </c>
      <c r="AU22" s="4">
        <f t="shared" si="44"/>
        <v>0</v>
      </c>
      <c r="AV22" s="4">
        <f t="shared" si="44"/>
        <v>0</v>
      </c>
      <c r="AW22" s="4">
        <f t="shared" si="44"/>
        <v>0</v>
      </c>
      <c r="AX22" s="4">
        <f t="shared" si="44"/>
        <v>0</v>
      </c>
      <c r="AY22" s="4">
        <f t="shared" si="44"/>
        <v>0</v>
      </c>
      <c r="AZ22" s="4">
        <f t="shared" si="44"/>
        <v>0</v>
      </c>
      <c r="BA22" s="4">
        <f t="shared" si="44"/>
        <v>0</v>
      </c>
      <c r="BB22" s="4">
        <f t="shared" si="44"/>
        <v>0</v>
      </c>
      <c r="BC22" s="4">
        <f t="shared" si="44"/>
        <v>0</v>
      </c>
      <c r="BD22" s="4">
        <f t="shared" si="44"/>
        <v>0</v>
      </c>
      <c r="BE22" s="4">
        <f t="shared" si="44"/>
        <v>0</v>
      </c>
      <c r="BF22" s="4">
        <f t="shared" si="44"/>
        <v>0</v>
      </c>
      <c r="BG22" s="4">
        <f t="shared" si="44"/>
        <v>0</v>
      </c>
      <c r="BH22" s="4">
        <f t="shared" si="45"/>
        <v>0</v>
      </c>
      <c r="BI22" s="4">
        <f t="shared" si="45"/>
        <v>0</v>
      </c>
      <c r="BJ22" s="4">
        <f t="shared" si="45"/>
        <v>0</v>
      </c>
      <c r="BK22" s="4">
        <f t="shared" si="45"/>
        <v>0</v>
      </c>
      <c r="BL22" s="4">
        <f t="shared" si="45"/>
        <v>0</v>
      </c>
      <c r="BM22" s="4">
        <f t="shared" si="45"/>
        <v>0</v>
      </c>
      <c r="BN22" s="4">
        <f t="shared" si="45"/>
        <v>0</v>
      </c>
    </row>
    <row r="23" spans="1:66" x14ac:dyDescent="0.2">
      <c r="A23" t="s">
        <v>37</v>
      </c>
      <c r="B23" t="s">
        <v>25</v>
      </c>
      <c r="D23">
        <f>H16/A31</f>
        <v>0</v>
      </c>
      <c r="G23" t="s">
        <v>77</v>
      </c>
      <c r="K23" t="s">
        <v>8</v>
      </c>
      <c r="Z23">
        <f t="shared" si="35"/>
        <v>0</v>
      </c>
      <c r="AA23">
        <f t="shared" si="36"/>
        <v>0</v>
      </c>
      <c r="AE23">
        <f t="shared" si="37"/>
        <v>0</v>
      </c>
      <c r="AF23">
        <f t="shared" si="38"/>
        <v>0</v>
      </c>
      <c r="AG23">
        <f t="shared" si="39"/>
        <v>0</v>
      </c>
      <c r="AK23">
        <f t="shared" si="40"/>
        <v>0</v>
      </c>
      <c r="AL23">
        <f t="shared" si="41"/>
        <v>0</v>
      </c>
      <c r="AM23">
        <f t="shared" si="42"/>
        <v>0</v>
      </c>
      <c r="AN23">
        <f t="shared" si="43"/>
        <v>0</v>
      </c>
      <c r="AP23">
        <f t="shared" si="46"/>
        <v>0</v>
      </c>
      <c r="AQ23" s="4">
        <f t="shared" si="47"/>
        <v>0</v>
      </c>
      <c r="AR23" s="4">
        <f t="shared" si="44"/>
        <v>0</v>
      </c>
      <c r="AS23" s="4">
        <f t="shared" si="44"/>
        <v>0</v>
      </c>
      <c r="AT23" s="4">
        <f t="shared" si="44"/>
        <v>0</v>
      </c>
      <c r="AU23" s="4">
        <f t="shared" si="44"/>
        <v>0</v>
      </c>
      <c r="AV23" s="4">
        <f t="shared" si="44"/>
        <v>0</v>
      </c>
      <c r="AW23" s="4">
        <f t="shared" si="44"/>
        <v>0</v>
      </c>
      <c r="AX23" s="4">
        <f t="shared" si="44"/>
        <v>0</v>
      </c>
      <c r="AY23" s="4">
        <f t="shared" si="44"/>
        <v>0</v>
      </c>
      <c r="AZ23" s="4">
        <f t="shared" si="44"/>
        <v>0</v>
      </c>
      <c r="BA23" s="4">
        <f t="shared" si="44"/>
        <v>0</v>
      </c>
      <c r="BB23" s="4">
        <f t="shared" si="44"/>
        <v>0</v>
      </c>
      <c r="BC23" s="4">
        <f t="shared" si="44"/>
        <v>0</v>
      </c>
      <c r="BD23" s="4">
        <f t="shared" si="44"/>
        <v>0</v>
      </c>
      <c r="BE23" s="4">
        <f t="shared" si="44"/>
        <v>0</v>
      </c>
      <c r="BF23" s="4">
        <f t="shared" si="44"/>
        <v>0</v>
      </c>
      <c r="BG23" s="4">
        <f t="shared" si="44"/>
        <v>0</v>
      </c>
      <c r="BH23" s="4">
        <f t="shared" si="45"/>
        <v>0</v>
      </c>
      <c r="BI23" s="4">
        <f t="shared" si="45"/>
        <v>0</v>
      </c>
      <c r="BJ23" s="4">
        <f t="shared" si="45"/>
        <v>0</v>
      </c>
      <c r="BK23" s="4">
        <f t="shared" si="45"/>
        <v>0</v>
      </c>
      <c r="BL23" s="4">
        <f t="shared" si="45"/>
        <v>0</v>
      </c>
      <c r="BM23" s="4">
        <f t="shared" si="45"/>
        <v>0</v>
      </c>
      <c r="BN23" s="4">
        <f t="shared" si="45"/>
        <v>0</v>
      </c>
    </row>
    <row r="24" spans="1:66" x14ac:dyDescent="0.2">
      <c r="A24" t="s">
        <v>38</v>
      </c>
      <c r="B24" t="s">
        <v>26</v>
      </c>
      <c r="D24" t="s">
        <v>50</v>
      </c>
      <c r="G24" t="e">
        <f>AM28/AP28</f>
        <v>#DIV/0!</v>
      </c>
      <c r="K24" t="s">
        <v>57</v>
      </c>
      <c r="L24" t="s">
        <v>61</v>
      </c>
      <c r="M24" t="s">
        <v>59</v>
      </c>
      <c r="N24" t="s">
        <v>60</v>
      </c>
      <c r="Z24">
        <f t="shared" si="35"/>
        <v>0</v>
      </c>
      <c r="AA24">
        <f t="shared" si="36"/>
        <v>0</v>
      </c>
      <c r="AE24">
        <f t="shared" si="37"/>
        <v>0</v>
      </c>
      <c r="AF24">
        <f t="shared" si="38"/>
        <v>0</v>
      </c>
      <c r="AG24">
        <f t="shared" si="39"/>
        <v>0</v>
      </c>
      <c r="AK24">
        <f t="shared" si="40"/>
        <v>0</v>
      </c>
      <c r="AL24">
        <f t="shared" si="41"/>
        <v>0</v>
      </c>
      <c r="AM24">
        <f t="shared" si="42"/>
        <v>0</v>
      </c>
      <c r="AN24">
        <f t="shared" si="43"/>
        <v>0</v>
      </c>
      <c r="AP24">
        <f t="shared" si="46"/>
        <v>0</v>
      </c>
      <c r="AQ24" s="4">
        <f t="shared" si="47"/>
        <v>0</v>
      </c>
      <c r="AR24" s="4">
        <f t="shared" si="44"/>
        <v>0</v>
      </c>
      <c r="AS24" s="4">
        <f t="shared" si="44"/>
        <v>0</v>
      </c>
      <c r="AT24" s="4">
        <f t="shared" si="44"/>
        <v>0</v>
      </c>
      <c r="AU24" s="4">
        <f t="shared" si="44"/>
        <v>0</v>
      </c>
      <c r="AV24" s="4">
        <f t="shared" si="44"/>
        <v>0</v>
      </c>
      <c r="AW24" s="4">
        <f t="shared" si="44"/>
        <v>0</v>
      </c>
      <c r="AX24" s="4">
        <f t="shared" si="44"/>
        <v>0</v>
      </c>
      <c r="AY24" s="4">
        <f t="shared" si="44"/>
        <v>0</v>
      </c>
      <c r="AZ24" s="4">
        <f t="shared" si="44"/>
        <v>0</v>
      </c>
      <c r="BA24" s="4">
        <f t="shared" si="44"/>
        <v>0</v>
      </c>
      <c r="BB24" s="4">
        <f t="shared" si="44"/>
        <v>0</v>
      </c>
      <c r="BC24" s="4">
        <f t="shared" si="44"/>
        <v>0</v>
      </c>
      <c r="BD24" s="4">
        <f t="shared" si="44"/>
        <v>0</v>
      </c>
      <c r="BE24" s="4">
        <f t="shared" si="44"/>
        <v>0</v>
      </c>
      <c r="BF24" s="4">
        <f t="shared" si="44"/>
        <v>0</v>
      </c>
      <c r="BG24" s="4">
        <f t="shared" si="44"/>
        <v>0</v>
      </c>
      <c r="BH24" s="4">
        <f t="shared" si="45"/>
        <v>0</v>
      </c>
      <c r="BI24" s="4">
        <f t="shared" si="45"/>
        <v>0</v>
      </c>
      <c r="BJ24" s="4">
        <f t="shared" si="45"/>
        <v>0</v>
      </c>
      <c r="BK24" s="4">
        <f t="shared" si="45"/>
        <v>0</v>
      </c>
      <c r="BL24" s="4">
        <f t="shared" si="45"/>
        <v>0</v>
      </c>
      <c r="BM24" s="4">
        <f t="shared" si="45"/>
        <v>0</v>
      </c>
      <c r="BN24" s="4">
        <f t="shared" si="45"/>
        <v>0</v>
      </c>
    </row>
    <row r="25" spans="1:66" x14ac:dyDescent="0.2">
      <c r="A25" t="s">
        <v>39</v>
      </c>
      <c r="B25" t="s">
        <v>27</v>
      </c>
      <c r="D25">
        <f>Z28/A31</f>
        <v>0</v>
      </c>
      <c r="G25" t="s">
        <v>78</v>
      </c>
      <c r="K25">
        <f>AVERAGE(E39:E50)</f>
        <v>0</v>
      </c>
      <c r="L25">
        <f>MEDIAN(E39:E50)</f>
        <v>0</v>
      </c>
      <c r="M25">
        <f>MAX(E39:E50)</f>
        <v>0</v>
      </c>
      <c r="N25">
        <f>_xlfn.STDEV.S(E39:E50)</f>
        <v>0</v>
      </c>
      <c r="Z25">
        <f t="shared" si="35"/>
        <v>0</v>
      </c>
      <c r="AA25">
        <f t="shared" si="36"/>
        <v>0</v>
      </c>
      <c r="AE25">
        <f t="shared" si="37"/>
        <v>0</v>
      </c>
      <c r="AF25">
        <f t="shared" si="38"/>
        <v>0</v>
      </c>
      <c r="AG25">
        <f t="shared" si="39"/>
        <v>0</v>
      </c>
      <c r="AK25">
        <f t="shared" si="40"/>
        <v>0</v>
      </c>
      <c r="AL25">
        <f t="shared" si="41"/>
        <v>0</v>
      </c>
      <c r="AM25">
        <f t="shared" si="42"/>
        <v>0</v>
      </c>
      <c r="AN25">
        <f t="shared" si="43"/>
        <v>0</v>
      </c>
      <c r="AP25">
        <f t="shared" si="46"/>
        <v>0</v>
      </c>
      <c r="AQ25" s="4">
        <f t="shared" si="47"/>
        <v>0</v>
      </c>
      <c r="AR25" s="4">
        <f t="shared" si="44"/>
        <v>0</v>
      </c>
      <c r="AS25" s="4">
        <f t="shared" si="44"/>
        <v>0</v>
      </c>
      <c r="AT25" s="4">
        <f t="shared" si="44"/>
        <v>0</v>
      </c>
      <c r="AU25" s="4">
        <f t="shared" si="44"/>
        <v>0</v>
      </c>
      <c r="AV25" s="4">
        <f t="shared" si="44"/>
        <v>0</v>
      </c>
      <c r="AW25" s="4">
        <f t="shared" si="44"/>
        <v>0</v>
      </c>
      <c r="AX25" s="4">
        <f t="shared" si="44"/>
        <v>0</v>
      </c>
      <c r="AY25" s="4">
        <f t="shared" si="44"/>
        <v>0</v>
      </c>
      <c r="AZ25" s="4">
        <f t="shared" si="44"/>
        <v>0</v>
      </c>
      <c r="BA25" s="4">
        <f t="shared" si="44"/>
        <v>0</v>
      </c>
      <c r="BB25" s="4">
        <f t="shared" si="44"/>
        <v>0</v>
      </c>
      <c r="BC25" s="4">
        <f t="shared" si="44"/>
        <v>0</v>
      </c>
      <c r="BD25" s="4">
        <f t="shared" si="44"/>
        <v>0</v>
      </c>
      <c r="BE25" s="4">
        <f t="shared" si="44"/>
        <v>0</v>
      </c>
      <c r="BF25" s="4">
        <f t="shared" si="44"/>
        <v>0</v>
      </c>
      <c r="BG25" s="4">
        <f t="shared" si="44"/>
        <v>0</v>
      </c>
      <c r="BH25" s="4">
        <f t="shared" si="45"/>
        <v>0</v>
      </c>
      <c r="BI25" s="4">
        <f t="shared" si="45"/>
        <v>0</v>
      </c>
      <c r="BJ25" s="4">
        <f t="shared" si="45"/>
        <v>0</v>
      </c>
      <c r="BK25" s="4">
        <f t="shared" si="45"/>
        <v>0</v>
      </c>
      <c r="BL25" s="4">
        <f t="shared" si="45"/>
        <v>0</v>
      </c>
      <c r="BM25" s="4">
        <f t="shared" si="45"/>
        <v>0</v>
      </c>
      <c r="BN25" s="4">
        <f t="shared" si="45"/>
        <v>0</v>
      </c>
    </row>
    <row r="26" spans="1:66" x14ac:dyDescent="0.2">
      <c r="A26" t="s">
        <v>44</v>
      </c>
      <c r="D26" t="s">
        <v>51</v>
      </c>
      <c r="G26" t="e">
        <f>AN28/AP28</f>
        <v>#DIV/0!</v>
      </c>
      <c r="K26" t="s">
        <v>62</v>
      </c>
      <c r="P26" t="s">
        <v>19</v>
      </c>
      <c r="Z26">
        <f t="shared" si="35"/>
        <v>0</v>
      </c>
      <c r="AA26">
        <f t="shared" si="36"/>
        <v>0</v>
      </c>
      <c r="AE26">
        <f t="shared" si="37"/>
        <v>0</v>
      </c>
      <c r="AF26">
        <f t="shared" si="38"/>
        <v>1</v>
      </c>
      <c r="AG26">
        <f t="shared" si="39"/>
        <v>0</v>
      </c>
      <c r="AK26">
        <f t="shared" si="40"/>
        <v>0</v>
      </c>
      <c r="AL26">
        <f t="shared" si="41"/>
        <v>0</v>
      </c>
      <c r="AM26">
        <f t="shared" si="42"/>
        <v>0</v>
      </c>
      <c r="AN26">
        <f t="shared" si="43"/>
        <v>0</v>
      </c>
      <c r="AP26">
        <f t="shared" si="46"/>
        <v>0</v>
      </c>
      <c r="AQ26" s="4">
        <f t="shared" si="47"/>
        <v>0</v>
      </c>
      <c r="AR26" s="4">
        <f t="shared" si="44"/>
        <v>0</v>
      </c>
      <c r="AS26" s="4">
        <f t="shared" si="44"/>
        <v>0</v>
      </c>
      <c r="AT26" s="4">
        <f t="shared" si="44"/>
        <v>0</v>
      </c>
      <c r="AU26" s="4">
        <f t="shared" si="44"/>
        <v>0</v>
      </c>
      <c r="AV26" s="4">
        <f t="shared" si="44"/>
        <v>0</v>
      </c>
      <c r="AW26" s="4">
        <f t="shared" si="44"/>
        <v>0</v>
      </c>
      <c r="AX26" s="4">
        <f t="shared" si="44"/>
        <v>0</v>
      </c>
      <c r="AY26" s="4">
        <f t="shared" si="44"/>
        <v>0</v>
      </c>
      <c r="AZ26" s="4">
        <f t="shared" si="44"/>
        <v>0</v>
      </c>
      <c r="BA26" s="4">
        <f t="shared" si="44"/>
        <v>0</v>
      </c>
      <c r="BB26" s="4">
        <f t="shared" si="44"/>
        <v>0</v>
      </c>
      <c r="BC26" s="4">
        <f t="shared" si="44"/>
        <v>0</v>
      </c>
      <c r="BD26" s="4">
        <f t="shared" si="44"/>
        <v>0</v>
      </c>
      <c r="BE26" s="4">
        <f t="shared" si="44"/>
        <v>0</v>
      </c>
      <c r="BF26" s="4">
        <f t="shared" si="44"/>
        <v>0</v>
      </c>
      <c r="BG26" s="4">
        <f t="shared" si="44"/>
        <v>0</v>
      </c>
      <c r="BH26" s="4">
        <f t="shared" si="45"/>
        <v>0</v>
      </c>
      <c r="BI26" s="4">
        <f t="shared" si="45"/>
        <v>0</v>
      </c>
      <c r="BJ26" s="4">
        <f t="shared" si="45"/>
        <v>0</v>
      </c>
      <c r="BK26" s="4">
        <f t="shared" si="45"/>
        <v>0</v>
      </c>
      <c r="BL26" s="4">
        <f t="shared" si="45"/>
        <v>0</v>
      </c>
      <c r="BM26" s="4">
        <f t="shared" si="45"/>
        <v>0</v>
      </c>
      <c r="BN26" s="4">
        <f t="shared" si="45"/>
        <v>0</v>
      </c>
    </row>
    <row r="27" spans="1:66" x14ac:dyDescent="0.2">
      <c r="A27" t="s">
        <v>45</v>
      </c>
      <c r="D27">
        <f>AA28/A31</f>
        <v>0</v>
      </c>
      <c r="G27" t="s">
        <v>56</v>
      </c>
      <c r="K27" t="s">
        <v>57</v>
      </c>
      <c r="L27" t="s">
        <v>58</v>
      </c>
      <c r="M27" t="s">
        <v>59</v>
      </c>
      <c r="N27" t="s">
        <v>60</v>
      </c>
      <c r="P27" t="s">
        <v>57</v>
      </c>
      <c r="Q27" t="s">
        <v>58</v>
      </c>
      <c r="R27" t="s">
        <v>59</v>
      </c>
      <c r="S27" t="s">
        <v>60</v>
      </c>
      <c r="Z27">
        <f t="shared" si="35"/>
        <v>0</v>
      </c>
      <c r="AA27">
        <f t="shared" si="36"/>
        <v>0</v>
      </c>
      <c r="AE27">
        <f t="shared" si="37"/>
        <v>0</v>
      </c>
      <c r="AF27">
        <f t="shared" si="38"/>
        <v>0</v>
      </c>
      <c r="AG27">
        <f t="shared" si="39"/>
        <v>0</v>
      </c>
      <c r="AK27">
        <f t="shared" si="40"/>
        <v>0</v>
      </c>
      <c r="AL27">
        <f t="shared" si="41"/>
        <v>0</v>
      </c>
      <c r="AM27">
        <f t="shared" si="42"/>
        <v>0</v>
      </c>
      <c r="AN27">
        <f t="shared" si="43"/>
        <v>0</v>
      </c>
      <c r="AP27">
        <f t="shared" si="46"/>
        <v>0</v>
      </c>
      <c r="AQ27" s="4">
        <f t="shared" si="47"/>
        <v>0</v>
      </c>
      <c r="AR27" s="4">
        <f t="shared" si="44"/>
        <v>0</v>
      </c>
      <c r="AS27" s="4">
        <f t="shared" si="44"/>
        <v>0</v>
      </c>
      <c r="AT27" s="4">
        <f t="shared" si="44"/>
        <v>0</v>
      </c>
      <c r="AU27" s="4">
        <f t="shared" si="44"/>
        <v>0</v>
      </c>
      <c r="AV27" s="4">
        <f t="shared" si="44"/>
        <v>0</v>
      </c>
      <c r="AW27" s="4">
        <f t="shared" si="44"/>
        <v>0</v>
      </c>
      <c r="AX27" s="4">
        <f t="shared" si="44"/>
        <v>0</v>
      </c>
      <c r="AY27" s="4">
        <f t="shared" si="44"/>
        <v>0</v>
      </c>
      <c r="AZ27" s="4">
        <f t="shared" si="44"/>
        <v>0</v>
      </c>
      <c r="BA27" s="4">
        <f t="shared" si="44"/>
        <v>0</v>
      </c>
      <c r="BB27" s="4">
        <f t="shared" si="44"/>
        <v>0</v>
      </c>
      <c r="BC27" s="4">
        <f t="shared" si="44"/>
        <v>0</v>
      </c>
      <c r="BD27" s="4">
        <f t="shared" si="44"/>
        <v>0</v>
      </c>
      <c r="BE27" s="4">
        <f t="shared" si="44"/>
        <v>0</v>
      </c>
      <c r="BF27" s="4">
        <f t="shared" si="44"/>
        <v>0</v>
      </c>
      <c r="BG27" s="4">
        <f t="shared" si="44"/>
        <v>0</v>
      </c>
      <c r="BH27" s="4">
        <f t="shared" si="45"/>
        <v>0</v>
      </c>
      <c r="BI27" s="4">
        <f t="shared" si="45"/>
        <v>0</v>
      </c>
      <c r="BJ27" s="4">
        <f t="shared" si="45"/>
        <v>0</v>
      </c>
      <c r="BK27" s="4">
        <f t="shared" si="45"/>
        <v>0</v>
      </c>
      <c r="BL27" s="4">
        <f t="shared" si="45"/>
        <v>0</v>
      </c>
      <c r="BM27" s="4">
        <f t="shared" si="45"/>
        <v>0</v>
      </c>
      <c r="BN27" s="4">
        <f t="shared" si="45"/>
        <v>0</v>
      </c>
    </row>
    <row r="28" spans="1:66" x14ac:dyDescent="0.2">
      <c r="A28" t="s">
        <v>46</v>
      </c>
      <c r="D28" t="s">
        <v>202</v>
      </c>
      <c r="G28" t="s">
        <v>57</v>
      </c>
      <c r="H28" t="s">
        <v>58</v>
      </c>
      <c r="I28" t="s">
        <v>59</v>
      </c>
      <c r="J28" t="s">
        <v>60</v>
      </c>
      <c r="K28">
        <f>AVERAGE(G39:G50)</f>
        <v>0</v>
      </c>
      <c r="L28">
        <f>MEDIAN(G39:G50)</f>
        <v>0</v>
      </c>
      <c r="M28">
        <f>MAX(G39:G50)</f>
        <v>0</v>
      </c>
      <c r="N28">
        <f>_xlfn.STDEV.S(G39:G50)</f>
        <v>0</v>
      </c>
      <c r="P28">
        <f>AVERAGE(N39:N50)</f>
        <v>2.1666666666666665</v>
      </c>
      <c r="Q28">
        <f>MEDIAN(N39:N50)</f>
        <v>0</v>
      </c>
      <c r="R28">
        <f>MAX(N39:N50)</f>
        <v>9</v>
      </c>
      <c r="S28">
        <f>_xlfn.STDEV.S(N39:N50)</f>
        <v>3.4859023439441259</v>
      </c>
      <c r="Y28" t="s">
        <v>33</v>
      </c>
      <c r="Z28">
        <f>SUM(Z16:Z27)</f>
        <v>0</v>
      </c>
      <c r="AA28">
        <f>SUM(AA16:AA27)</f>
        <v>0</v>
      </c>
      <c r="AE28">
        <f>SUM(AE16:AE27)</f>
        <v>0</v>
      </c>
      <c r="AF28">
        <f>SUM(AF16:AF27)</f>
        <v>1</v>
      </c>
      <c r="AG28">
        <f>SUM(AG16:AG27)</f>
        <v>0</v>
      </c>
      <c r="AK28">
        <f>SUM(AK16:AK27)</f>
        <v>0</v>
      </c>
      <c r="AL28">
        <f>SUM(AL16:AL27)</f>
        <v>0</v>
      </c>
      <c r="AM28">
        <f>SUM(AM16:AM27)</f>
        <v>0</v>
      </c>
      <c r="AN28">
        <f>SUM(AN16:AN27)</f>
        <v>0</v>
      </c>
      <c r="AP28">
        <f>SUM(AP16:AP27)</f>
        <v>0</v>
      </c>
    </row>
    <row r="29" spans="1:66" x14ac:dyDescent="0.2">
      <c r="D29">
        <f>SUM(O39:O50)/F16</f>
        <v>0</v>
      </c>
      <c r="G29">
        <f>AVERAGE(A39:A50)</f>
        <v>8.3333333333333329E-2</v>
      </c>
      <c r="H29">
        <f>MEDIAN(A39:A50)</f>
        <v>0</v>
      </c>
      <c r="I29">
        <f>MAX(A39:A50)</f>
        <v>1</v>
      </c>
      <c r="J29">
        <f>_xlfn.STDEV.S(A39:A50)</f>
        <v>0.28867513459481287</v>
      </c>
      <c r="K29" t="s">
        <v>63</v>
      </c>
      <c r="P29" t="s">
        <v>148</v>
      </c>
    </row>
    <row r="30" spans="1:66" x14ac:dyDescent="0.2">
      <c r="A30" t="s">
        <v>147</v>
      </c>
      <c r="D30" t="s">
        <v>203</v>
      </c>
      <c r="G30" t="s">
        <v>50</v>
      </c>
      <c r="H30" t="s">
        <v>51</v>
      </c>
      <c r="I30" t="s">
        <v>89</v>
      </c>
      <c r="K30" t="s">
        <v>57</v>
      </c>
      <c r="L30" t="s">
        <v>58</v>
      </c>
      <c r="M30" t="s">
        <v>59</v>
      </c>
      <c r="N30" t="s">
        <v>60</v>
      </c>
      <c r="P30" t="s">
        <v>57</v>
      </c>
      <c r="Q30" t="s">
        <v>58</v>
      </c>
      <c r="R30" t="s">
        <v>59</v>
      </c>
      <c r="S30" t="s">
        <v>60</v>
      </c>
      <c r="W30" t="s">
        <v>148</v>
      </c>
      <c r="Y30" t="s">
        <v>149</v>
      </c>
      <c r="AH30" t="s">
        <v>79</v>
      </c>
    </row>
    <row r="31" spans="1:66" x14ac:dyDescent="0.2">
      <c r="A31">
        <f>COUNT(B4:B15)</f>
        <v>12</v>
      </c>
      <c r="D31" s="2">
        <f>SUM(S39:S50)/SUM(Q39:Q50)</f>
        <v>0.2</v>
      </c>
      <c r="G31">
        <f>AE28/A31</f>
        <v>0</v>
      </c>
      <c r="H31">
        <f>AF28/A31</f>
        <v>8.3333333333333329E-2</v>
      </c>
      <c r="I31">
        <f>AG28/A31</f>
        <v>0</v>
      </c>
      <c r="K31" t="e">
        <f>AVERAGE(I39:I50)</f>
        <v>#DIV/0!</v>
      </c>
      <c r="L31" t="e">
        <f>MEDIAN(I39:I50)</f>
        <v>#NUM!</v>
      </c>
      <c r="M31">
        <f>MAX(I39:I50)</f>
        <v>0</v>
      </c>
      <c r="N31" t="e">
        <f>_xlfn.STDEV.S(I39:I50)</f>
        <v>#DIV/0!</v>
      </c>
      <c r="P31" t="e">
        <f>AVERAGE(W31:W42)</f>
        <v>#DIV/0!</v>
      </c>
      <c r="Q31" t="e">
        <f>MEDIAN(W31:W42)</f>
        <v>#NUM!</v>
      </c>
      <c r="R31">
        <f>MAX(W31:W42)</f>
        <v>0</v>
      </c>
      <c r="S31" t="e">
        <f>_xlfn.STDEV.S(W31:W42)</f>
        <v>#DIV/0!</v>
      </c>
      <c r="W31" t="str">
        <f t="shared" ref="W31:W33" si="48">IF(AND(ISBLANK(Q4), ISBLANK(R4), ISBLANK(G4), ISBLANK(H4)), "", U4)</f>
        <v/>
      </c>
      <c r="Y31" t="str">
        <f t="shared" ref="Y31:Y42" si="49">IF(ISBLANK(Y4), IF(X4 = 0, "", (G4 + H4/3 + V4/9 + W4/3)), U4)</f>
        <v/>
      </c>
      <c r="AH31" t="s">
        <v>80</v>
      </c>
    </row>
    <row r="32" spans="1:66" x14ac:dyDescent="0.2">
      <c r="D32" s="3"/>
      <c r="K32" t="s">
        <v>64</v>
      </c>
      <c r="P32" t="s">
        <v>149</v>
      </c>
      <c r="W32" t="str">
        <f t="shared" si="48"/>
        <v/>
      </c>
      <c r="Y32" t="str">
        <f t="shared" si="49"/>
        <v/>
      </c>
      <c r="AH32" t="s">
        <v>81</v>
      </c>
    </row>
    <row r="33" spans="1:34" x14ac:dyDescent="0.2">
      <c r="A33" t="s">
        <v>225</v>
      </c>
      <c r="D33" s="3"/>
      <c r="K33" t="s">
        <v>57</v>
      </c>
      <c r="L33" t="s">
        <v>58</v>
      </c>
      <c r="M33" t="s">
        <v>59</v>
      </c>
      <c r="N33" t="s">
        <v>60</v>
      </c>
      <c r="P33" t="s">
        <v>57</v>
      </c>
      <c r="Q33" t="s">
        <v>58</v>
      </c>
      <c r="R33" t="s">
        <v>59</v>
      </c>
      <c r="S33" t="s">
        <v>60</v>
      </c>
      <c r="W33" t="str">
        <f t="shared" si="48"/>
        <v/>
      </c>
      <c r="Y33" t="str">
        <f t="shared" si="49"/>
        <v/>
      </c>
      <c r="AH33" t="s">
        <v>82</v>
      </c>
    </row>
    <row r="34" spans="1:34" x14ac:dyDescent="0.2">
      <c r="A34" t="s">
        <v>289</v>
      </c>
      <c r="D34" s="3"/>
      <c r="K34">
        <f>AVERAGE(K39:K50)</f>
        <v>0</v>
      </c>
      <c r="L34">
        <f>MEDIAN(K39:K50)</f>
        <v>0</v>
      </c>
      <c r="M34">
        <f>MAX(K39:K50)</f>
        <v>0</v>
      </c>
      <c r="N34">
        <f>_xlfn.STDEV.S(K39:K50)</f>
        <v>0</v>
      </c>
      <c r="P34" t="e">
        <f>AVERAGE(Y31:Y42)</f>
        <v>#DIV/0!</v>
      </c>
      <c r="Q34" t="e">
        <f>MEDIAN(Y31:Y42)</f>
        <v>#NUM!</v>
      </c>
      <c r="R34">
        <f>MAX(Y31:Y42)</f>
        <v>0</v>
      </c>
      <c r="S34" t="e">
        <f>_xlfn.STDEV.S(Y31:Y42)</f>
        <v>#DIV/0!</v>
      </c>
      <c r="W34" t="str">
        <f>IF(AND(ISBLANK(Q7), ISBLANK(R7), ISBLANK(G7), ISBLANK(H7)), "", U7)</f>
        <v/>
      </c>
      <c r="Y34" t="str">
        <f t="shared" si="49"/>
        <v/>
      </c>
      <c r="AH34" t="s">
        <v>83</v>
      </c>
    </row>
    <row r="35" spans="1:34" x14ac:dyDescent="0.2">
      <c r="A35" t="s">
        <v>310</v>
      </c>
      <c r="P35" t="s">
        <v>95</v>
      </c>
      <c r="R35" t="s">
        <v>197</v>
      </c>
      <c r="W35" t="str">
        <f t="shared" ref="W35:W42" si="50">IF(AND(ISBLANK(Q8), ISBLANK(R8), ISBLANK(G8), ISBLANK(H8)), "", U8)</f>
        <v/>
      </c>
      <c r="Y35" t="str">
        <f t="shared" si="49"/>
        <v/>
      </c>
    </row>
    <row r="36" spans="1:34" x14ac:dyDescent="0.2">
      <c r="P36" t="e">
        <f>Q16/(Q16+R16)</f>
        <v>#DIV/0!</v>
      </c>
      <c r="R36" t="e">
        <f>R16/(Q16+R16)</f>
        <v>#DIV/0!</v>
      </c>
      <c r="W36" t="str">
        <f t="shared" si="50"/>
        <v/>
      </c>
      <c r="Y36" t="str">
        <f t="shared" si="49"/>
        <v/>
      </c>
    </row>
    <row r="37" spans="1:34" x14ac:dyDescent="0.2">
      <c r="W37" t="str">
        <f t="shared" si="50"/>
        <v/>
      </c>
      <c r="Y37" t="str">
        <f t="shared" si="49"/>
        <v/>
      </c>
    </row>
    <row r="38" spans="1:34" x14ac:dyDescent="0.2">
      <c r="A38" t="s">
        <v>68</v>
      </c>
      <c r="C38" t="s">
        <v>69</v>
      </c>
      <c r="E38" t="s">
        <v>72</v>
      </c>
      <c r="G38" t="s">
        <v>250</v>
      </c>
      <c r="K38" t="s">
        <v>73</v>
      </c>
      <c r="M38" t="s">
        <v>70</v>
      </c>
      <c r="N38" t="s">
        <v>71</v>
      </c>
      <c r="O38" t="s">
        <v>199</v>
      </c>
      <c r="Q38" t="s">
        <v>200</v>
      </c>
      <c r="S38" t="s">
        <v>201</v>
      </c>
      <c r="W38" t="str">
        <f t="shared" si="50"/>
        <v/>
      </c>
      <c r="Y38" t="str">
        <f t="shared" si="49"/>
        <v/>
      </c>
    </row>
    <row r="39" spans="1:34" x14ac:dyDescent="0.2">
      <c r="A39">
        <f t="shared" ref="A39:A50" si="51">IF(ISBLANK(B4), "", SUM(AE16+AF16+AG16))</f>
        <v>0</v>
      </c>
      <c r="C39">
        <f t="shared" ref="C39:C50" si="52">IF(ISBLANK(B4), "", O4)</f>
        <v>2</v>
      </c>
      <c r="E39">
        <f t="shared" ref="E39:E50" si="53">IF(ISBLANK(B4), "", Q4)</f>
        <v>0</v>
      </c>
      <c r="G39">
        <f t="shared" ref="G39:G50" si="54">IF(ISBLANK(B4), "", R4)</f>
        <v>0</v>
      </c>
      <c r="K39">
        <f t="shared" ref="K39:K50" si="55">IF(ISBLANK(B4), "", SUM(Q4 + R4))</f>
        <v>0</v>
      </c>
      <c r="M39">
        <f t="shared" ref="M39:M50" si="56">IF(ISBLANK(B4), "", SUM(K4+M4) - O4)</f>
        <v>0</v>
      </c>
      <c r="N39">
        <f t="shared" ref="N39:N50" si="57">IF(ISBLANK(B4), "", U4)</f>
        <v>0</v>
      </c>
      <c r="O39">
        <f t="shared" ref="O39:O50" si="58">COUNTIF(E4, "1")*COUNTIF(F4, "1")</f>
        <v>0</v>
      </c>
      <c r="Q39">
        <f t="shared" ref="Q39:Q50" si="59">COUNTIF(D4, "1")*COUNTIF(F4, "")</f>
        <v>0</v>
      </c>
      <c r="S39">
        <f t="shared" ref="S39:S50" si="60">COUNTIF(E4, "1")*COUNTIF(F4, "")</f>
        <v>0</v>
      </c>
      <c r="W39" t="str">
        <f t="shared" si="50"/>
        <v/>
      </c>
      <c r="Y39" t="str">
        <f t="shared" si="49"/>
        <v/>
      </c>
    </row>
    <row r="40" spans="1:34" x14ac:dyDescent="0.2">
      <c r="A40">
        <f t="shared" si="51"/>
        <v>0</v>
      </c>
      <c r="C40">
        <f t="shared" si="52"/>
        <v>4</v>
      </c>
      <c r="E40">
        <f t="shared" si="53"/>
        <v>0</v>
      </c>
      <c r="G40">
        <f t="shared" si="54"/>
        <v>0</v>
      </c>
      <c r="K40">
        <f t="shared" si="55"/>
        <v>0</v>
      </c>
      <c r="M40">
        <f t="shared" si="56"/>
        <v>-1</v>
      </c>
      <c r="N40">
        <f t="shared" si="57"/>
        <v>3</v>
      </c>
      <c r="O40">
        <f t="shared" si="58"/>
        <v>0</v>
      </c>
      <c r="Q40">
        <f t="shared" si="59"/>
        <v>0</v>
      </c>
      <c r="S40">
        <f t="shared" si="60"/>
        <v>0</v>
      </c>
      <c r="W40" t="str">
        <f t="shared" si="50"/>
        <v/>
      </c>
      <c r="Y40" t="str">
        <f t="shared" si="49"/>
        <v/>
      </c>
    </row>
    <row r="41" spans="1:34" x14ac:dyDescent="0.2">
      <c r="A41">
        <f t="shared" si="51"/>
        <v>0</v>
      </c>
      <c r="C41">
        <f t="shared" si="52"/>
        <v>3</v>
      </c>
      <c r="E41">
        <f t="shared" si="53"/>
        <v>0</v>
      </c>
      <c r="G41">
        <f t="shared" si="54"/>
        <v>0</v>
      </c>
      <c r="K41">
        <f t="shared" si="55"/>
        <v>0</v>
      </c>
      <c r="M41">
        <f t="shared" si="56"/>
        <v>-1</v>
      </c>
      <c r="N41">
        <f t="shared" si="57"/>
        <v>0</v>
      </c>
      <c r="O41">
        <f t="shared" si="58"/>
        <v>0</v>
      </c>
      <c r="Q41">
        <f t="shared" si="59"/>
        <v>1</v>
      </c>
      <c r="S41">
        <f t="shared" si="60"/>
        <v>1</v>
      </c>
      <c r="W41" t="str">
        <f t="shared" si="50"/>
        <v/>
      </c>
      <c r="Y41" t="str">
        <f t="shared" si="49"/>
        <v/>
      </c>
    </row>
    <row r="42" spans="1:34" x14ac:dyDescent="0.2">
      <c r="A42">
        <f t="shared" si="51"/>
        <v>0</v>
      </c>
      <c r="C42">
        <f t="shared" si="52"/>
        <v>2</v>
      </c>
      <c r="E42">
        <f t="shared" si="53"/>
        <v>0</v>
      </c>
      <c r="G42">
        <f t="shared" si="54"/>
        <v>0</v>
      </c>
      <c r="K42">
        <f t="shared" si="55"/>
        <v>0</v>
      </c>
      <c r="M42">
        <f t="shared" si="56"/>
        <v>1</v>
      </c>
      <c r="N42">
        <f t="shared" si="57"/>
        <v>0</v>
      </c>
      <c r="O42">
        <f t="shared" si="58"/>
        <v>0</v>
      </c>
      <c r="Q42">
        <f t="shared" si="59"/>
        <v>0</v>
      </c>
      <c r="S42">
        <f t="shared" si="60"/>
        <v>0</v>
      </c>
      <c r="W42" t="str">
        <f t="shared" si="50"/>
        <v/>
      </c>
      <c r="Y42" t="str">
        <f t="shared" si="49"/>
        <v/>
      </c>
    </row>
    <row r="43" spans="1:34" x14ac:dyDescent="0.2">
      <c r="A43">
        <f t="shared" si="51"/>
        <v>0</v>
      </c>
      <c r="C43">
        <f t="shared" si="52"/>
        <v>3</v>
      </c>
      <c r="E43">
        <f t="shared" si="53"/>
        <v>0</v>
      </c>
      <c r="G43">
        <f t="shared" si="54"/>
        <v>0</v>
      </c>
      <c r="K43">
        <f t="shared" si="55"/>
        <v>0</v>
      </c>
      <c r="M43">
        <f t="shared" si="56"/>
        <v>1</v>
      </c>
      <c r="N43">
        <f t="shared" si="57"/>
        <v>0</v>
      </c>
      <c r="O43">
        <f t="shared" si="58"/>
        <v>0</v>
      </c>
      <c r="Q43">
        <f t="shared" si="59"/>
        <v>1</v>
      </c>
      <c r="S43">
        <f t="shared" si="60"/>
        <v>0</v>
      </c>
    </row>
    <row r="44" spans="1:34" x14ac:dyDescent="0.2">
      <c r="A44">
        <f t="shared" si="51"/>
        <v>0</v>
      </c>
      <c r="C44">
        <f t="shared" si="52"/>
        <v>3</v>
      </c>
      <c r="E44">
        <f t="shared" si="53"/>
        <v>0</v>
      </c>
      <c r="G44">
        <f t="shared" si="54"/>
        <v>0</v>
      </c>
      <c r="K44">
        <f t="shared" si="55"/>
        <v>0</v>
      </c>
      <c r="M44">
        <f t="shared" si="56"/>
        <v>0</v>
      </c>
      <c r="N44">
        <f t="shared" si="57"/>
        <v>8</v>
      </c>
      <c r="O44">
        <f t="shared" si="58"/>
        <v>0</v>
      </c>
      <c r="Q44">
        <f t="shared" si="59"/>
        <v>0</v>
      </c>
      <c r="S44">
        <f t="shared" si="60"/>
        <v>0</v>
      </c>
    </row>
    <row r="45" spans="1:34" x14ac:dyDescent="0.2">
      <c r="A45">
        <f t="shared" si="51"/>
        <v>0</v>
      </c>
      <c r="C45">
        <f t="shared" si="52"/>
        <v>2</v>
      </c>
      <c r="E45">
        <f t="shared" si="53"/>
        <v>0</v>
      </c>
      <c r="G45">
        <f t="shared" si="54"/>
        <v>0</v>
      </c>
      <c r="K45">
        <f t="shared" si="55"/>
        <v>0</v>
      </c>
      <c r="M45">
        <f t="shared" si="56"/>
        <v>0</v>
      </c>
      <c r="N45">
        <f t="shared" si="57"/>
        <v>0</v>
      </c>
      <c r="O45">
        <f t="shared" si="58"/>
        <v>0</v>
      </c>
      <c r="Q45">
        <f t="shared" si="59"/>
        <v>1</v>
      </c>
      <c r="S45">
        <f t="shared" si="60"/>
        <v>0</v>
      </c>
    </row>
    <row r="46" spans="1:34" x14ac:dyDescent="0.2">
      <c r="A46">
        <f t="shared" si="51"/>
        <v>0</v>
      </c>
      <c r="C46">
        <f t="shared" si="52"/>
        <v>2</v>
      </c>
      <c r="E46">
        <f t="shared" si="53"/>
        <v>0</v>
      </c>
      <c r="G46">
        <f t="shared" si="54"/>
        <v>0</v>
      </c>
      <c r="K46">
        <f t="shared" si="55"/>
        <v>0</v>
      </c>
      <c r="M46">
        <f t="shared" si="56"/>
        <v>1</v>
      </c>
      <c r="N46">
        <f t="shared" si="57"/>
        <v>0</v>
      </c>
      <c r="O46">
        <f t="shared" si="58"/>
        <v>0</v>
      </c>
      <c r="Q46">
        <f t="shared" si="59"/>
        <v>0</v>
      </c>
      <c r="S46">
        <f t="shared" si="60"/>
        <v>0</v>
      </c>
    </row>
    <row r="47" spans="1:34" x14ac:dyDescent="0.2">
      <c r="A47">
        <f t="shared" si="51"/>
        <v>0</v>
      </c>
      <c r="C47">
        <f t="shared" si="52"/>
        <v>4</v>
      </c>
      <c r="E47">
        <f t="shared" si="53"/>
        <v>0</v>
      </c>
      <c r="G47">
        <f t="shared" si="54"/>
        <v>0</v>
      </c>
      <c r="K47">
        <f t="shared" si="55"/>
        <v>0</v>
      </c>
      <c r="M47">
        <f t="shared" si="56"/>
        <v>0</v>
      </c>
      <c r="N47">
        <f t="shared" si="57"/>
        <v>0</v>
      </c>
      <c r="O47">
        <f t="shared" si="58"/>
        <v>0</v>
      </c>
      <c r="Q47">
        <f t="shared" si="59"/>
        <v>1</v>
      </c>
      <c r="S47">
        <f t="shared" si="60"/>
        <v>0</v>
      </c>
    </row>
    <row r="48" spans="1:34" x14ac:dyDescent="0.2">
      <c r="A48">
        <f t="shared" si="51"/>
        <v>0</v>
      </c>
      <c r="C48">
        <f t="shared" si="52"/>
        <v>4</v>
      </c>
      <c r="E48">
        <f t="shared" si="53"/>
        <v>0</v>
      </c>
      <c r="G48">
        <f t="shared" si="54"/>
        <v>0</v>
      </c>
      <c r="K48">
        <f t="shared" si="55"/>
        <v>0</v>
      </c>
      <c r="M48">
        <f t="shared" si="56"/>
        <v>0</v>
      </c>
      <c r="N48">
        <f t="shared" si="57"/>
        <v>6</v>
      </c>
      <c r="O48">
        <f t="shared" si="58"/>
        <v>0</v>
      </c>
      <c r="Q48">
        <f t="shared" si="59"/>
        <v>0</v>
      </c>
      <c r="S48">
        <f t="shared" si="60"/>
        <v>0</v>
      </c>
    </row>
    <row r="49" spans="1:84" x14ac:dyDescent="0.2">
      <c r="A49">
        <f t="shared" si="51"/>
        <v>1</v>
      </c>
      <c r="C49">
        <f t="shared" si="52"/>
        <v>2</v>
      </c>
      <c r="E49">
        <f t="shared" si="53"/>
        <v>0</v>
      </c>
      <c r="G49">
        <f t="shared" si="54"/>
        <v>0</v>
      </c>
      <c r="K49">
        <f t="shared" si="55"/>
        <v>0</v>
      </c>
      <c r="M49">
        <f t="shared" si="56"/>
        <v>-1</v>
      </c>
      <c r="N49">
        <f t="shared" si="57"/>
        <v>9</v>
      </c>
      <c r="O49">
        <f t="shared" si="58"/>
        <v>0</v>
      </c>
      <c r="Q49">
        <f t="shared" si="59"/>
        <v>0</v>
      </c>
      <c r="S49">
        <f t="shared" si="60"/>
        <v>0</v>
      </c>
    </row>
    <row r="50" spans="1:84" x14ac:dyDescent="0.2">
      <c r="A50">
        <f t="shared" si="51"/>
        <v>0</v>
      </c>
      <c r="C50">
        <f t="shared" si="52"/>
        <v>3</v>
      </c>
      <c r="E50">
        <f t="shared" si="53"/>
        <v>0</v>
      </c>
      <c r="G50">
        <f t="shared" si="54"/>
        <v>0</v>
      </c>
      <c r="K50">
        <f t="shared" si="55"/>
        <v>0</v>
      </c>
      <c r="M50">
        <f t="shared" si="56"/>
        <v>-1</v>
      </c>
      <c r="N50">
        <f t="shared" si="57"/>
        <v>0</v>
      </c>
      <c r="O50">
        <f t="shared" si="58"/>
        <v>0</v>
      </c>
      <c r="Q50">
        <f t="shared" si="59"/>
        <v>1</v>
      </c>
      <c r="S50">
        <f t="shared" si="60"/>
        <v>0</v>
      </c>
    </row>
    <row r="51" spans="1:84" x14ac:dyDescent="0.2"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</row>
    <row r="52" spans="1:84" x14ac:dyDescent="0.2">
      <c r="S52" s="1"/>
      <c r="V52" s="1"/>
      <c r="Y52" s="1"/>
      <c r="AC52" s="3"/>
      <c r="AH52" s="1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</row>
    <row r="53" spans="1:84" x14ac:dyDescent="0.2">
      <c r="Y53" s="3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</row>
    <row r="54" spans="1:84" x14ac:dyDescent="0.2"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</row>
    <row r="55" spans="1:84" x14ac:dyDescent="0.2"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</row>
    <row r="56" spans="1:84" x14ac:dyDescent="0.2">
      <c r="S56" s="1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</row>
    <row r="57" spans="1:84" x14ac:dyDescent="0.2"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</row>
    <row r="58" spans="1:84" x14ac:dyDescent="0.2"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</row>
    <row r="59" spans="1:84" x14ac:dyDescent="0.2"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</row>
    <row r="60" spans="1:84" x14ac:dyDescent="0.2"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</row>
    <row r="61" spans="1:84" x14ac:dyDescent="0.2"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</row>
    <row r="62" spans="1:84" x14ac:dyDescent="0.2"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</row>
    <row r="64" spans="1:84" x14ac:dyDescent="0.2"/>
    <row r="66" spans="22:22" x14ac:dyDescent="0.2">
      <c r="V66" s="3"/>
    </row>
    <row r="67" spans="22:22" x14ac:dyDescent="0.2">
      <c r="V67" s="3"/>
    </row>
    <row r="68" spans="22:22" x14ac:dyDescent="0.2">
      <c r="V68" s="3"/>
    </row>
    <row r="69" spans="22:22" x14ac:dyDescent="0.2">
      <c r="V69" s="3"/>
    </row>
  </sheetData>
  <pageMargins left="0.7" right="0.7" top="0.75" bottom="0.75" header="0.3" footer="0.3"/>
  <legacy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" enableFormatConditionsCalculation="0"/>
  <dimension ref="A1:BN50"/>
  <sheetViews>
    <sheetView workbookViewId="0">
      <selection activeCell="T15" sqref="T15"/>
    </sheetView>
  </sheetViews>
  <sheetFormatPr baseColWidth="10" defaultRowHeight="15" x14ac:dyDescent="0.2"/>
  <sheetData>
    <row r="1" spans="1:66" x14ac:dyDescent="0.2">
      <c r="A1" s="1" t="s">
        <v>0</v>
      </c>
      <c r="D1" t="s">
        <v>3</v>
      </c>
      <c r="K1" t="s">
        <v>11</v>
      </c>
      <c r="N1" t="s">
        <v>12</v>
      </c>
      <c r="P1" t="s">
        <v>14</v>
      </c>
      <c r="Q1" t="s">
        <v>17</v>
      </c>
      <c r="S1" t="s">
        <v>18</v>
      </c>
      <c r="Z1" t="s">
        <v>29</v>
      </c>
      <c r="AE1" t="s">
        <v>30</v>
      </c>
      <c r="AK1" t="s">
        <v>42</v>
      </c>
    </row>
    <row r="2" spans="1:66" x14ac:dyDescent="0.2">
      <c r="A2" t="s">
        <v>1</v>
      </c>
      <c r="B2" t="s">
        <v>1</v>
      </c>
      <c r="C2" t="s">
        <v>87</v>
      </c>
      <c r="D2" t="s">
        <v>54</v>
      </c>
      <c r="E2" t="s">
        <v>13</v>
      </c>
      <c r="F2" t="s">
        <v>198</v>
      </c>
      <c r="G2" t="s">
        <v>7</v>
      </c>
      <c r="H2" t="s">
        <v>8</v>
      </c>
      <c r="I2" t="s">
        <v>179</v>
      </c>
      <c r="J2" t="s">
        <v>178</v>
      </c>
      <c r="K2" t="s">
        <v>9</v>
      </c>
      <c r="L2" t="s">
        <v>196</v>
      </c>
      <c r="M2" t="s">
        <v>10</v>
      </c>
      <c r="N2" t="s">
        <v>54</v>
      </c>
      <c r="O2" t="s">
        <v>13</v>
      </c>
      <c r="P2" t="s">
        <v>15</v>
      </c>
      <c r="Q2" t="s">
        <v>8</v>
      </c>
      <c r="R2" t="s">
        <v>7</v>
      </c>
      <c r="S2" t="s">
        <v>181</v>
      </c>
      <c r="T2" t="s">
        <v>182</v>
      </c>
      <c r="U2" t="s">
        <v>19</v>
      </c>
      <c r="V2" t="s">
        <v>191</v>
      </c>
      <c r="W2" t="s">
        <v>192</v>
      </c>
      <c r="X2" t="s">
        <v>175</v>
      </c>
      <c r="Y2" t="s">
        <v>173</v>
      </c>
      <c r="Z2" t="str">
        <f t="shared" ref="Z2:Z13" si="0">LEFT(I4, 1)</f>
        <v/>
      </c>
      <c r="AA2" t="str">
        <f t="shared" ref="AA2:AA13" si="1">MID(I4, 4, 1)</f>
        <v/>
      </c>
      <c r="AB2" t="str">
        <f t="shared" ref="AB2:AB13" si="2">MID(I4, 7, 1)</f>
        <v/>
      </c>
      <c r="AC2" t="str">
        <f t="shared" ref="AC2:AC13" si="3">MID(I4, 10, 1)</f>
        <v/>
      </c>
      <c r="AE2" t="str">
        <f t="shared" ref="AE2:AE13" si="4">LEFT(J4, 1)</f>
        <v/>
      </c>
      <c r="AF2" t="str">
        <f t="shared" ref="AF2:AF13" si="5">MID(J4, 4, 1)</f>
        <v/>
      </c>
      <c r="AG2" t="str">
        <f t="shared" ref="AG2:AG13" si="6">MID(J4, 7, 1)</f>
        <v/>
      </c>
      <c r="AH2" t="str">
        <f t="shared" ref="AH2:AH13" si="7">MID(J4, 10, 1)</f>
        <v/>
      </c>
      <c r="AI2" t="str">
        <f t="shared" ref="AI2:AI13" si="8">MID(J4, 13, 1)</f>
        <v/>
      </c>
      <c r="AK2" t="str">
        <f t="shared" ref="AK2:AK13" si="9">LEFT(P4, 2)</f>
        <v/>
      </c>
      <c r="AL2" t="str">
        <f>MID($P4, 5, 2)</f>
        <v/>
      </c>
      <c r="AM2" t="str">
        <f t="shared" ref="AM2:AM13" si="10">MID($P4, 9, 2)</f>
        <v/>
      </c>
      <c r="AN2" t="str">
        <f t="shared" ref="AN2:AN13" si="11">MID($P4, 13, 2)</f>
        <v/>
      </c>
      <c r="AO2" t="str">
        <f t="shared" ref="AO2:AO13" si="12">MID($P4, 17, 2)</f>
        <v/>
      </c>
      <c r="AP2" t="str">
        <f t="shared" ref="AP2:AP13" si="13">MID($P4, 21, 2)</f>
        <v/>
      </c>
      <c r="AQ2" t="str">
        <f t="shared" ref="AQ2:AQ13" si="14">MID($P4, 25, 2)</f>
        <v/>
      </c>
      <c r="AR2" t="str">
        <f t="shared" ref="AR2:AR13" si="15">MID($P4, 29, 2)</f>
        <v/>
      </c>
      <c r="AS2" t="str">
        <f t="shared" ref="AS2:AS13" si="16">MID($P4, 33, 2)</f>
        <v/>
      </c>
      <c r="AT2" t="str">
        <f t="shared" ref="AT2:AT13" si="17">MID($P4, 37, 2)</f>
        <v/>
      </c>
      <c r="AU2" t="str">
        <f t="shared" ref="AU2:AU13" si="18">MID($P4, 41, 2)</f>
        <v/>
      </c>
      <c r="AV2" t="str">
        <f t="shared" ref="AV2:AV13" si="19">MID($P4, 45, 2)</f>
        <v/>
      </c>
      <c r="AW2" t="str">
        <f t="shared" ref="AW2:AW13" si="20">MID($P4, 49, 2)</f>
        <v/>
      </c>
      <c r="AX2" t="str">
        <f t="shared" ref="AX2:AX13" si="21">MID($P4, 53, 2)</f>
        <v/>
      </c>
      <c r="AY2" t="str">
        <f t="shared" ref="AY2:AY13" si="22">MID($P4, 57, 2)</f>
        <v/>
      </c>
      <c r="AZ2" t="str">
        <f t="shared" ref="AZ2:AZ13" si="23">MID($P4, 61, 2)</f>
        <v/>
      </c>
      <c r="BA2" t="str">
        <f t="shared" ref="BA2:BA13" si="24">MID($P4, 65, 2)</f>
        <v/>
      </c>
      <c r="BB2" t="str">
        <f t="shared" ref="BB2:BB13" si="25">MID($P4, 69, 2)</f>
        <v/>
      </c>
      <c r="BC2" t="str">
        <f t="shared" ref="BC2:BC13" si="26">MID($P4, 73, 2)</f>
        <v/>
      </c>
      <c r="BD2" t="str">
        <f t="shared" ref="BD2:BD13" si="27">MID($P4, 77, 2)</f>
        <v/>
      </c>
      <c r="BE2" t="str">
        <f t="shared" ref="BE2:BE13" si="28">MID($P4, 81, 2)</f>
        <v/>
      </c>
      <c r="BF2" t="str">
        <f t="shared" ref="BF2:BF13" si="29">MID($P4, 85, 2)</f>
        <v/>
      </c>
      <c r="BG2" t="str">
        <f t="shared" ref="BG2:BG13" si="30">MID($P4, 89, 2)</f>
        <v/>
      </c>
      <c r="BH2" t="str">
        <f t="shared" ref="BH2:BH13" si="31">MID($P4, 93, 2)</f>
        <v/>
      </c>
    </row>
    <row r="3" spans="1:66" x14ac:dyDescent="0.2">
      <c r="A3" t="s">
        <v>2</v>
      </c>
      <c r="B3" t="s">
        <v>6</v>
      </c>
      <c r="C3" t="s">
        <v>88</v>
      </c>
      <c r="D3" t="s">
        <v>6</v>
      </c>
      <c r="E3" t="s">
        <v>6</v>
      </c>
      <c r="F3" t="s">
        <v>4</v>
      </c>
      <c r="G3" t="s">
        <v>6</v>
      </c>
      <c r="H3" t="s">
        <v>6</v>
      </c>
      <c r="I3" t="s">
        <v>86</v>
      </c>
      <c r="J3" t="s">
        <v>86</v>
      </c>
      <c r="K3" t="s">
        <v>6</v>
      </c>
      <c r="L3" t="s">
        <v>6</v>
      </c>
      <c r="M3" t="s">
        <v>6</v>
      </c>
      <c r="N3" t="s">
        <v>6</v>
      </c>
      <c r="O3" t="s">
        <v>6</v>
      </c>
      <c r="P3" t="s">
        <v>16</v>
      </c>
      <c r="Q3" t="s">
        <v>6</v>
      </c>
      <c r="R3" t="s">
        <v>6</v>
      </c>
      <c r="S3" t="s">
        <v>4</v>
      </c>
      <c r="T3" t="s">
        <v>4</v>
      </c>
      <c r="U3" t="s">
        <v>6</v>
      </c>
      <c r="V3" t="s">
        <v>6</v>
      </c>
      <c r="W3" t="s">
        <v>6</v>
      </c>
      <c r="X3" t="s">
        <v>6</v>
      </c>
      <c r="Y3" t="s">
        <v>174</v>
      </c>
      <c r="Z3" t="str">
        <f t="shared" si="0"/>
        <v/>
      </c>
      <c r="AA3" t="str">
        <f t="shared" si="1"/>
        <v/>
      </c>
      <c r="AB3" t="str">
        <f t="shared" si="2"/>
        <v/>
      </c>
      <c r="AC3" t="str">
        <f t="shared" si="3"/>
        <v/>
      </c>
      <c r="AE3" t="str">
        <f t="shared" si="4"/>
        <v/>
      </c>
      <c r="AF3" t="str">
        <f t="shared" si="5"/>
        <v/>
      </c>
      <c r="AG3" t="str">
        <f t="shared" si="6"/>
        <v/>
      </c>
      <c r="AH3" t="str">
        <f t="shared" si="7"/>
        <v/>
      </c>
      <c r="AI3" t="str">
        <f t="shared" si="8"/>
        <v/>
      </c>
      <c r="AK3" t="str">
        <f t="shared" si="9"/>
        <v/>
      </c>
      <c r="AL3" t="str">
        <f t="shared" ref="AL3:AL13" si="32">MID(P5, 5, 2)</f>
        <v/>
      </c>
      <c r="AM3" t="str">
        <f t="shared" si="10"/>
        <v/>
      </c>
      <c r="AN3" t="str">
        <f t="shared" si="11"/>
        <v/>
      </c>
      <c r="AO3" t="str">
        <f t="shared" si="12"/>
        <v/>
      </c>
      <c r="AP3" t="str">
        <f t="shared" si="13"/>
        <v/>
      </c>
      <c r="AQ3" t="str">
        <f t="shared" si="14"/>
        <v/>
      </c>
      <c r="AR3" t="str">
        <f t="shared" si="15"/>
        <v/>
      </c>
      <c r="AS3" t="str">
        <f t="shared" si="16"/>
        <v/>
      </c>
      <c r="AT3" t="str">
        <f t="shared" si="17"/>
        <v/>
      </c>
      <c r="AU3" t="str">
        <f t="shared" si="18"/>
        <v/>
      </c>
      <c r="AV3" t="str">
        <f t="shared" si="19"/>
        <v/>
      </c>
      <c r="AW3" t="str">
        <f t="shared" si="20"/>
        <v/>
      </c>
      <c r="AX3" t="str">
        <f t="shared" si="21"/>
        <v/>
      </c>
      <c r="AY3" t="str">
        <f t="shared" si="22"/>
        <v/>
      </c>
      <c r="AZ3" t="str">
        <f t="shared" si="23"/>
        <v/>
      </c>
      <c r="BA3" t="str">
        <f t="shared" si="24"/>
        <v/>
      </c>
      <c r="BB3" t="str">
        <f t="shared" si="25"/>
        <v/>
      </c>
      <c r="BC3" t="str">
        <f t="shared" si="26"/>
        <v/>
      </c>
      <c r="BD3" t="str">
        <f t="shared" si="27"/>
        <v/>
      </c>
      <c r="BE3" t="str">
        <f t="shared" si="28"/>
        <v/>
      </c>
      <c r="BF3" t="str">
        <f t="shared" si="29"/>
        <v/>
      </c>
      <c r="BG3" t="str">
        <f t="shared" si="30"/>
        <v/>
      </c>
      <c r="BH3" t="str">
        <f t="shared" si="31"/>
        <v/>
      </c>
    </row>
    <row r="4" spans="1:66" x14ac:dyDescent="0.2">
      <c r="A4">
        <v>1</v>
      </c>
      <c r="B4">
        <v>3</v>
      </c>
      <c r="C4" t="s">
        <v>39</v>
      </c>
      <c r="D4">
        <v>1</v>
      </c>
      <c r="K4">
        <v>2</v>
      </c>
      <c r="N4">
        <v>3</v>
      </c>
      <c r="O4">
        <v>3</v>
      </c>
      <c r="S4">
        <v>1</v>
      </c>
      <c r="T4">
        <v>1</v>
      </c>
      <c r="U4">
        <v>6</v>
      </c>
      <c r="X4">
        <f t="shared" ref="X4:X15" si="33">G4+H4+Q4+R4</f>
        <v>0</v>
      </c>
      <c r="Z4" t="str">
        <f t="shared" si="0"/>
        <v/>
      </c>
      <c r="AA4" t="str">
        <f t="shared" si="1"/>
        <v/>
      </c>
      <c r="AB4" t="str">
        <f t="shared" si="2"/>
        <v/>
      </c>
      <c r="AC4" t="str">
        <f t="shared" si="3"/>
        <v/>
      </c>
      <c r="AE4" t="str">
        <f t="shared" si="4"/>
        <v/>
      </c>
      <c r="AF4" t="str">
        <f t="shared" si="5"/>
        <v/>
      </c>
      <c r="AG4" t="str">
        <f t="shared" si="6"/>
        <v/>
      </c>
      <c r="AH4" t="str">
        <f t="shared" si="7"/>
        <v/>
      </c>
      <c r="AI4" t="str">
        <f t="shared" si="8"/>
        <v/>
      </c>
      <c r="AK4" t="str">
        <f t="shared" si="9"/>
        <v/>
      </c>
      <c r="AL4" t="str">
        <f t="shared" si="32"/>
        <v/>
      </c>
      <c r="AM4" t="str">
        <f t="shared" si="10"/>
        <v/>
      </c>
      <c r="AN4" t="str">
        <f t="shared" si="11"/>
        <v/>
      </c>
      <c r="AO4" t="str">
        <f t="shared" si="12"/>
        <v/>
      </c>
      <c r="AP4" t="str">
        <f t="shared" si="13"/>
        <v/>
      </c>
      <c r="AQ4" t="str">
        <f t="shared" si="14"/>
        <v/>
      </c>
      <c r="AR4" t="str">
        <f t="shared" si="15"/>
        <v/>
      </c>
      <c r="AS4" t="str">
        <f t="shared" si="16"/>
        <v/>
      </c>
      <c r="AT4" t="str">
        <f t="shared" si="17"/>
        <v/>
      </c>
      <c r="AU4" t="str">
        <f t="shared" si="18"/>
        <v/>
      </c>
      <c r="AV4" t="str">
        <f t="shared" si="19"/>
        <v/>
      </c>
      <c r="AW4" t="str">
        <f t="shared" si="20"/>
        <v/>
      </c>
      <c r="AX4" t="str">
        <f t="shared" si="21"/>
        <v/>
      </c>
      <c r="AY4" t="str">
        <f t="shared" si="22"/>
        <v/>
      </c>
      <c r="AZ4" t="str">
        <f t="shared" si="23"/>
        <v/>
      </c>
      <c r="BA4" t="str">
        <f t="shared" si="24"/>
        <v/>
      </c>
      <c r="BB4" t="str">
        <f t="shared" si="25"/>
        <v/>
      </c>
      <c r="BC4" t="str">
        <f t="shared" si="26"/>
        <v/>
      </c>
      <c r="BD4" t="str">
        <f t="shared" si="27"/>
        <v/>
      </c>
      <c r="BE4" t="str">
        <f t="shared" si="28"/>
        <v/>
      </c>
      <c r="BF4" t="str">
        <f t="shared" si="29"/>
        <v/>
      </c>
      <c r="BG4" t="str">
        <f t="shared" si="30"/>
        <v/>
      </c>
      <c r="BH4" t="str">
        <f t="shared" si="31"/>
        <v/>
      </c>
    </row>
    <row r="5" spans="1:66" x14ac:dyDescent="0.2">
      <c r="A5">
        <v>2</v>
      </c>
      <c r="B5">
        <v>13</v>
      </c>
      <c r="C5" t="s">
        <v>39</v>
      </c>
      <c r="K5">
        <v>3</v>
      </c>
      <c r="N5">
        <v>4</v>
      </c>
      <c r="O5">
        <v>4</v>
      </c>
      <c r="X5">
        <f t="shared" si="33"/>
        <v>0</v>
      </c>
      <c r="Z5" t="str">
        <f t="shared" si="0"/>
        <v/>
      </c>
      <c r="AA5" t="str">
        <f t="shared" si="1"/>
        <v/>
      </c>
      <c r="AB5" t="str">
        <f t="shared" si="2"/>
        <v/>
      </c>
      <c r="AC5" t="str">
        <f t="shared" si="3"/>
        <v/>
      </c>
      <c r="AE5" t="str">
        <f t="shared" si="4"/>
        <v/>
      </c>
      <c r="AF5" t="str">
        <f t="shared" si="5"/>
        <v/>
      </c>
      <c r="AG5" t="str">
        <f t="shared" si="6"/>
        <v/>
      </c>
      <c r="AH5" t="str">
        <f t="shared" si="7"/>
        <v/>
      </c>
      <c r="AI5" t="str">
        <f t="shared" si="8"/>
        <v/>
      </c>
      <c r="AK5" t="str">
        <f t="shared" si="9"/>
        <v/>
      </c>
      <c r="AL5" t="str">
        <f t="shared" si="32"/>
        <v/>
      </c>
      <c r="AM5" t="str">
        <f t="shared" si="10"/>
        <v/>
      </c>
      <c r="AN5" t="str">
        <f t="shared" si="11"/>
        <v/>
      </c>
      <c r="AO5" t="str">
        <f t="shared" si="12"/>
        <v/>
      </c>
      <c r="AP5" t="str">
        <f t="shared" si="13"/>
        <v/>
      </c>
      <c r="AQ5" t="str">
        <f t="shared" si="14"/>
        <v/>
      </c>
      <c r="AR5" t="str">
        <f t="shared" si="15"/>
        <v/>
      </c>
      <c r="AS5" t="str">
        <f t="shared" si="16"/>
        <v/>
      </c>
      <c r="AT5" t="str">
        <f t="shared" si="17"/>
        <v/>
      </c>
      <c r="AU5" t="str">
        <f t="shared" si="18"/>
        <v/>
      </c>
      <c r="AV5" t="str">
        <f t="shared" si="19"/>
        <v/>
      </c>
      <c r="AW5" t="str">
        <f t="shared" si="20"/>
        <v/>
      </c>
      <c r="AX5" t="str">
        <f t="shared" si="21"/>
        <v/>
      </c>
      <c r="AY5" t="str">
        <f t="shared" si="22"/>
        <v/>
      </c>
      <c r="AZ5" t="str">
        <f t="shared" si="23"/>
        <v/>
      </c>
      <c r="BA5" t="str">
        <f t="shared" si="24"/>
        <v/>
      </c>
      <c r="BB5" t="str">
        <f t="shared" si="25"/>
        <v/>
      </c>
      <c r="BC5" t="str">
        <f t="shared" si="26"/>
        <v/>
      </c>
      <c r="BD5" t="str">
        <f t="shared" si="27"/>
        <v/>
      </c>
      <c r="BE5" t="str">
        <f t="shared" si="28"/>
        <v/>
      </c>
      <c r="BF5" t="str">
        <f t="shared" si="29"/>
        <v/>
      </c>
      <c r="BG5" t="str">
        <f t="shared" si="30"/>
        <v/>
      </c>
      <c r="BH5" t="str">
        <f t="shared" si="31"/>
        <v/>
      </c>
    </row>
    <row r="6" spans="1:66" x14ac:dyDescent="0.2">
      <c r="A6">
        <v>3</v>
      </c>
      <c r="B6">
        <v>25</v>
      </c>
      <c r="C6" t="s">
        <v>207</v>
      </c>
      <c r="D6">
        <v>1</v>
      </c>
      <c r="K6">
        <v>3</v>
      </c>
      <c r="L6">
        <v>2</v>
      </c>
      <c r="N6">
        <v>3</v>
      </c>
      <c r="O6">
        <v>3</v>
      </c>
      <c r="S6">
        <v>1</v>
      </c>
      <c r="T6">
        <v>1</v>
      </c>
      <c r="U6">
        <v>2</v>
      </c>
      <c r="X6">
        <f t="shared" si="33"/>
        <v>0</v>
      </c>
      <c r="Z6" t="str">
        <f t="shared" si="0"/>
        <v/>
      </c>
      <c r="AA6" t="str">
        <f t="shared" si="1"/>
        <v/>
      </c>
      <c r="AB6" t="str">
        <f t="shared" si="2"/>
        <v/>
      </c>
      <c r="AC6" t="str">
        <f t="shared" si="3"/>
        <v/>
      </c>
      <c r="AE6" t="str">
        <f t="shared" si="4"/>
        <v/>
      </c>
      <c r="AF6" t="str">
        <f t="shared" si="5"/>
        <v/>
      </c>
      <c r="AG6" t="str">
        <f t="shared" si="6"/>
        <v/>
      </c>
      <c r="AH6" t="str">
        <f t="shared" si="7"/>
        <v/>
      </c>
      <c r="AI6" t="str">
        <f t="shared" si="8"/>
        <v/>
      </c>
      <c r="AK6" t="str">
        <f t="shared" si="9"/>
        <v/>
      </c>
      <c r="AL6" t="str">
        <f t="shared" si="32"/>
        <v/>
      </c>
      <c r="AM6" t="str">
        <f t="shared" si="10"/>
        <v/>
      </c>
      <c r="AN6" t="str">
        <f t="shared" si="11"/>
        <v/>
      </c>
      <c r="AO6" t="str">
        <f t="shared" si="12"/>
        <v/>
      </c>
      <c r="AP6" t="str">
        <f t="shared" si="13"/>
        <v/>
      </c>
      <c r="AQ6" t="str">
        <f t="shared" si="14"/>
        <v/>
      </c>
      <c r="AR6" t="str">
        <f t="shared" si="15"/>
        <v/>
      </c>
      <c r="AS6" t="str">
        <f t="shared" si="16"/>
        <v/>
      </c>
      <c r="AT6" t="str">
        <f t="shared" si="17"/>
        <v/>
      </c>
      <c r="AU6" t="str">
        <f t="shared" si="18"/>
        <v/>
      </c>
      <c r="AV6" t="str">
        <f t="shared" si="19"/>
        <v/>
      </c>
      <c r="AW6" t="str">
        <f t="shared" si="20"/>
        <v/>
      </c>
      <c r="AX6" t="str">
        <f t="shared" si="21"/>
        <v/>
      </c>
      <c r="AY6" t="str">
        <f t="shared" si="22"/>
        <v/>
      </c>
      <c r="AZ6" t="str">
        <f t="shared" si="23"/>
        <v/>
      </c>
      <c r="BA6" t="str">
        <f t="shared" si="24"/>
        <v/>
      </c>
      <c r="BB6" t="str">
        <f t="shared" si="25"/>
        <v/>
      </c>
      <c r="BC6" t="str">
        <f t="shared" si="26"/>
        <v/>
      </c>
      <c r="BD6" t="str">
        <f t="shared" si="27"/>
        <v/>
      </c>
      <c r="BE6" t="str">
        <f t="shared" si="28"/>
        <v/>
      </c>
      <c r="BF6" t="str">
        <f t="shared" si="29"/>
        <v/>
      </c>
      <c r="BG6" t="str">
        <f t="shared" si="30"/>
        <v/>
      </c>
      <c r="BH6" t="str">
        <f t="shared" si="31"/>
        <v/>
      </c>
    </row>
    <row r="7" spans="1:66" x14ac:dyDescent="0.2">
      <c r="A7">
        <v>4</v>
      </c>
      <c r="B7">
        <v>31</v>
      </c>
      <c r="C7" t="s">
        <v>207</v>
      </c>
      <c r="D7">
        <v>1</v>
      </c>
      <c r="E7">
        <v>1</v>
      </c>
      <c r="K7">
        <v>2</v>
      </c>
      <c r="N7">
        <v>2</v>
      </c>
      <c r="O7">
        <v>1</v>
      </c>
      <c r="S7">
        <v>1</v>
      </c>
      <c r="T7">
        <v>1</v>
      </c>
      <c r="X7">
        <f t="shared" si="33"/>
        <v>0</v>
      </c>
      <c r="Z7" t="str">
        <f t="shared" si="0"/>
        <v/>
      </c>
      <c r="AA7" t="str">
        <f t="shared" si="1"/>
        <v/>
      </c>
      <c r="AB7" t="str">
        <f t="shared" si="2"/>
        <v/>
      </c>
      <c r="AC7" t="str">
        <f t="shared" si="3"/>
        <v/>
      </c>
      <c r="AE7" t="str">
        <f t="shared" si="4"/>
        <v/>
      </c>
      <c r="AF7" t="str">
        <f t="shared" si="5"/>
        <v/>
      </c>
      <c r="AG7" t="str">
        <f t="shared" si="6"/>
        <v/>
      </c>
      <c r="AH7" t="str">
        <f t="shared" si="7"/>
        <v/>
      </c>
      <c r="AI7" t="str">
        <f t="shared" si="8"/>
        <v/>
      </c>
      <c r="AK7" t="str">
        <f t="shared" si="9"/>
        <v/>
      </c>
      <c r="AL7" t="str">
        <f t="shared" si="32"/>
        <v/>
      </c>
      <c r="AM7" t="str">
        <f t="shared" si="10"/>
        <v/>
      </c>
      <c r="AN7" t="str">
        <f t="shared" si="11"/>
        <v/>
      </c>
      <c r="AO7" t="str">
        <f t="shared" si="12"/>
        <v/>
      </c>
      <c r="AP7" t="str">
        <f t="shared" si="13"/>
        <v/>
      </c>
      <c r="AQ7" t="str">
        <f t="shared" si="14"/>
        <v/>
      </c>
      <c r="AR7" t="str">
        <f t="shared" si="15"/>
        <v/>
      </c>
      <c r="AS7" t="str">
        <f t="shared" si="16"/>
        <v/>
      </c>
      <c r="AT7" t="str">
        <f t="shared" si="17"/>
        <v/>
      </c>
      <c r="AU7" t="str">
        <f t="shared" si="18"/>
        <v/>
      </c>
      <c r="AV7" t="str">
        <f t="shared" si="19"/>
        <v/>
      </c>
      <c r="AW7" t="str">
        <f t="shared" si="20"/>
        <v/>
      </c>
      <c r="AX7" t="str">
        <f t="shared" si="21"/>
        <v/>
      </c>
      <c r="AY7" t="str">
        <f t="shared" si="22"/>
        <v/>
      </c>
      <c r="AZ7" t="str">
        <f t="shared" si="23"/>
        <v/>
      </c>
      <c r="BA7" t="str">
        <f t="shared" si="24"/>
        <v/>
      </c>
      <c r="BB7" t="str">
        <f t="shared" si="25"/>
        <v/>
      </c>
      <c r="BC7" t="str">
        <f t="shared" si="26"/>
        <v/>
      </c>
      <c r="BD7" t="str">
        <f t="shared" si="27"/>
        <v/>
      </c>
      <c r="BE7" t="str">
        <f t="shared" si="28"/>
        <v/>
      </c>
      <c r="BF7" t="str">
        <f t="shared" si="29"/>
        <v/>
      </c>
      <c r="BG7" t="str">
        <f t="shared" si="30"/>
        <v/>
      </c>
      <c r="BH7" t="str">
        <f t="shared" si="31"/>
        <v/>
      </c>
    </row>
    <row r="8" spans="1:66" x14ac:dyDescent="0.2">
      <c r="A8">
        <v>5</v>
      </c>
      <c r="B8">
        <v>48</v>
      </c>
      <c r="C8" t="s">
        <v>207</v>
      </c>
      <c r="D8">
        <v>1</v>
      </c>
      <c r="E8">
        <v>1</v>
      </c>
      <c r="F8">
        <v>1</v>
      </c>
      <c r="K8">
        <v>3</v>
      </c>
      <c r="N8">
        <v>3</v>
      </c>
      <c r="O8">
        <v>3</v>
      </c>
      <c r="S8">
        <v>1</v>
      </c>
      <c r="T8">
        <v>1</v>
      </c>
      <c r="X8">
        <f t="shared" si="33"/>
        <v>0</v>
      </c>
      <c r="Z8" t="str">
        <f t="shared" si="0"/>
        <v/>
      </c>
      <c r="AA8" t="str">
        <f t="shared" si="1"/>
        <v/>
      </c>
      <c r="AB8" t="str">
        <f t="shared" si="2"/>
        <v/>
      </c>
      <c r="AC8" t="str">
        <f t="shared" si="3"/>
        <v/>
      </c>
      <c r="AE8" t="str">
        <f t="shared" si="4"/>
        <v>1</v>
      </c>
      <c r="AF8" t="str">
        <f t="shared" si="5"/>
        <v/>
      </c>
      <c r="AG8" t="str">
        <f t="shared" si="6"/>
        <v/>
      </c>
      <c r="AH8" t="str">
        <f t="shared" si="7"/>
        <v/>
      </c>
      <c r="AI8" t="str">
        <f t="shared" si="8"/>
        <v/>
      </c>
      <c r="AK8" t="str">
        <f t="shared" si="9"/>
        <v/>
      </c>
      <c r="AL8" t="str">
        <f t="shared" si="32"/>
        <v/>
      </c>
      <c r="AM8" t="str">
        <f t="shared" si="10"/>
        <v/>
      </c>
      <c r="AN8" t="str">
        <f t="shared" si="11"/>
        <v/>
      </c>
      <c r="AO8" t="str">
        <f t="shared" si="12"/>
        <v/>
      </c>
      <c r="AP8" t="str">
        <f t="shared" si="13"/>
        <v/>
      </c>
      <c r="AQ8" t="str">
        <f t="shared" si="14"/>
        <v/>
      </c>
      <c r="AR8" t="str">
        <f t="shared" si="15"/>
        <v/>
      </c>
      <c r="AS8" t="str">
        <f t="shared" si="16"/>
        <v/>
      </c>
      <c r="AT8" t="str">
        <f t="shared" si="17"/>
        <v/>
      </c>
      <c r="AU8" t="str">
        <f t="shared" si="18"/>
        <v/>
      </c>
      <c r="AV8" t="str">
        <f t="shared" si="19"/>
        <v/>
      </c>
      <c r="AW8" t="str">
        <f t="shared" si="20"/>
        <v/>
      </c>
      <c r="AX8" t="str">
        <f t="shared" si="21"/>
        <v/>
      </c>
      <c r="AY8" t="str">
        <f t="shared" si="22"/>
        <v/>
      </c>
      <c r="AZ8" t="str">
        <f t="shared" si="23"/>
        <v/>
      </c>
      <c r="BA8" t="str">
        <f t="shared" si="24"/>
        <v/>
      </c>
      <c r="BB8" t="str">
        <f t="shared" si="25"/>
        <v/>
      </c>
      <c r="BC8" t="str">
        <f t="shared" si="26"/>
        <v/>
      </c>
      <c r="BD8" t="str">
        <f t="shared" si="27"/>
        <v/>
      </c>
      <c r="BE8" t="str">
        <f t="shared" si="28"/>
        <v/>
      </c>
      <c r="BF8" t="str">
        <f t="shared" si="29"/>
        <v/>
      </c>
      <c r="BG8" t="str">
        <f t="shared" si="30"/>
        <v/>
      </c>
      <c r="BH8" t="str">
        <f t="shared" si="31"/>
        <v/>
      </c>
    </row>
    <row r="9" spans="1:66" x14ac:dyDescent="0.2">
      <c r="A9">
        <v>6</v>
      </c>
      <c r="B9">
        <v>56</v>
      </c>
      <c r="C9" t="s">
        <v>207</v>
      </c>
      <c r="X9">
        <f t="shared" si="33"/>
        <v>0</v>
      </c>
      <c r="Z9" t="str">
        <f t="shared" si="0"/>
        <v/>
      </c>
      <c r="AA9" t="str">
        <f t="shared" si="1"/>
        <v/>
      </c>
      <c r="AB9" t="str">
        <f t="shared" si="2"/>
        <v/>
      </c>
      <c r="AC9" t="str">
        <f t="shared" si="3"/>
        <v/>
      </c>
      <c r="AE9" t="str">
        <f t="shared" si="4"/>
        <v/>
      </c>
      <c r="AF9" t="str">
        <f t="shared" si="5"/>
        <v/>
      </c>
      <c r="AG9" t="str">
        <f t="shared" si="6"/>
        <v/>
      </c>
      <c r="AH9" t="str">
        <f t="shared" si="7"/>
        <v/>
      </c>
      <c r="AI9" t="str">
        <f t="shared" si="8"/>
        <v/>
      </c>
      <c r="AK9" t="str">
        <f t="shared" si="9"/>
        <v/>
      </c>
      <c r="AL9" t="str">
        <f t="shared" si="32"/>
        <v/>
      </c>
      <c r="AM9" t="str">
        <f t="shared" si="10"/>
        <v/>
      </c>
      <c r="AN9" t="str">
        <f t="shared" si="11"/>
        <v/>
      </c>
      <c r="AO9" t="str">
        <f t="shared" si="12"/>
        <v/>
      </c>
      <c r="AP9" t="str">
        <f t="shared" si="13"/>
        <v/>
      </c>
      <c r="AQ9" t="str">
        <f t="shared" si="14"/>
        <v/>
      </c>
      <c r="AR9" t="str">
        <f t="shared" si="15"/>
        <v/>
      </c>
      <c r="AS9" t="str">
        <f t="shared" si="16"/>
        <v/>
      </c>
      <c r="AT9" t="str">
        <f t="shared" si="17"/>
        <v/>
      </c>
      <c r="AU9" t="str">
        <f t="shared" si="18"/>
        <v/>
      </c>
      <c r="AV9" t="str">
        <f t="shared" si="19"/>
        <v/>
      </c>
      <c r="AW9" t="str">
        <f t="shared" si="20"/>
        <v/>
      </c>
      <c r="AX9" t="str">
        <f t="shared" si="21"/>
        <v/>
      </c>
      <c r="AY9" t="str">
        <f t="shared" si="22"/>
        <v/>
      </c>
      <c r="AZ9" t="str">
        <f t="shared" si="23"/>
        <v/>
      </c>
      <c r="BA9" t="str">
        <f t="shared" si="24"/>
        <v/>
      </c>
      <c r="BB9" t="str">
        <f t="shared" si="25"/>
        <v/>
      </c>
      <c r="BC9" t="str">
        <f t="shared" si="26"/>
        <v/>
      </c>
      <c r="BD9" t="str">
        <f t="shared" si="27"/>
        <v/>
      </c>
      <c r="BE9" t="str">
        <f t="shared" si="28"/>
        <v/>
      </c>
      <c r="BF9" t="str">
        <f t="shared" si="29"/>
        <v/>
      </c>
      <c r="BG9" t="str">
        <f t="shared" si="30"/>
        <v/>
      </c>
      <c r="BH9" t="str">
        <f t="shared" si="31"/>
        <v/>
      </c>
    </row>
    <row r="10" spans="1:66" x14ac:dyDescent="0.2">
      <c r="A10">
        <v>7</v>
      </c>
      <c r="B10">
        <v>61</v>
      </c>
      <c r="C10" t="s">
        <v>207</v>
      </c>
      <c r="D10">
        <v>1</v>
      </c>
      <c r="E10">
        <v>1</v>
      </c>
      <c r="F10">
        <v>1</v>
      </c>
      <c r="J10">
        <v>1</v>
      </c>
      <c r="K10">
        <v>4</v>
      </c>
      <c r="N10">
        <v>4</v>
      </c>
      <c r="O10">
        <v>4</v>
      </c>
      <c r="S10">
        <v>1</v>
      </c>
      <c r="T10">
        <v>1</v>
      </c>
      <c r="X10">
        <f t="shared" si="33"/>
        <v>0</v>
      </c>
      <c r="Z10" t="str">
        <f t="shared" si="0"/>
        <v/>
      </c>
      <c r="AA10" t="str">
        <f t="shared" si="1"/>
        <v/>
      </c>
      <c r="AB10" t="str">
        <f t="shared" si="2"/>
        <v/>
      </c>
      <c r="AC10" t="str">
        <f t="shared" si="3"/>
        <v/>
      </c>
      <c r="AE10" t="str">
        <f t="shared" si="4"/>
        <v/>
      </c>
      <c r="AF10" t="str">
        <f t="shared" si="5"/>
        <v/>
      </c>
      <c r="AG10" t="str">
        <f t="shared" si="6"/>
        <v/>
      </c>
      <c r="AH10" t="str">
        <f t="shared" si="7"/>
        <v/>
      </c>
      <c r="AI10" t="str">
        <f t="shared" si="8"/>
        <v/>
      </c>
      <c r="AK10" t="str">
        <f t="shared" si="9"/>
        <v/>
      </c>
      <c r="AL10" t="str">
        <f t="shared" si="32"/>
        <v/>
      </c>
      <c r="AM10" t="str">
        <f t="shared" si="10"/>
        <v/>
      </c>
      <c r="AN10" t="str">
        <f t="shared" si="11"/>
        <v/>
      </c>
      <c r="AO10" t="str">
        <f t="shared" si="12"/>
        <v/>
      </c>
      <c r="AP10" t="str">
        <f t="shared" si="13"/>
        <v/>
      </c>
      <c r="AQ10" t="str">
        <f t="shared" si="14"/>
        <v/>
      </c>
      <c r="AR10" t="str">
        <f t="shared" si="15"/>
        <v/>
      </c>
      <c r="AS10" t="str">
        <f t="shared" si="16"/>
        <v/>
      </c>
      <c r="AT10" t="str">
        <f t="shared" si="17"/>
        <v/>
      </c>
      <c r="AU10" t="str">
        <f t="shared" si="18"/>
        <v/>
      </c>
      <c r="AV10" t="str">
        <f t="shared" si="19"/>
        <v/>
      </c>
      <c r="AW10" t="str">
        <f t="shared" si="20"/>
        <v/>
      </c>
      <c r="AX10" t="str">
        <f t="shared" si="21"/>
        <v/>
      </c>
      <c r="AY10" t="str">
        <f t="shared" si="22"/>
        <v/>
      </c>
      <c r="AZ10" t="str">
        <f t="shared" si="23"/>
        <v/>
      </c>
      <c r="BA10" t="str">
        <f t="shared" si="24"/>
        <v/>
      </c>
      <c r="BB10" t="str">
        <f t="shared" si="25"/>
        <v/>
      </c>
      <c r="BC10" t="str">
        <f t="shared" si="26"/>
        <v/>
      </c>
      <c r="BD10" t="str">
        <f t="shared" si="27"/>
        <v/>
      </c>
      <c r="BE10" t="str">
        <f t="shared" si="28"/>
        <v/>
      </c>
      <c r="BF10" t="str">
        <f t="shared" si="29"/>
        <v/>
      </c>
      <c r="BG10" t="str">
        <f t="shared" si="30"/>
        <v/>
      </c>
      <c r="BH10" t="str">
        <f t="shared" si="31"/>
        <v/>
      </c>
    </row>
    <row r="11" spans="1:66" x14ac:dyDescent="0.2">
      <c r="A11">
        <v>8</v>
      </c>
      <c r="B11">
        <v>74</v>
      </c>
      <c r="C11" t="s">
        <v>39</v>
      </c>
      <c r="D11">
        <v>1</v>
      </c>
      <c r="E11">
        <v>1</v>
      </c>
      <c r="F11">
        <v>1</v>
      </c>
      <c r="K11">
        <v>3</v>
      </c>
      <c r="N11">
        <v>3</v>
      </c>
      <c r="O11">
        <v>3</v>
      </c>
      <c r="S11">
        <v>1</v>
      </c>
      <c r="T11">
        <v>1</v>
      </c>
      <c r="U11">
        <v>13</v>
      </c>
      <c r="X11">
        <f t="shared" si="33"/>
        <v>0</v>
      </c>
      <c r="Z11" t="str">
        <f t="shared" si="0"/>
        <v/>
      </c>
      <c r="AA11" t="str">
        <f t="shared" si="1"/>
        <v/>
      </c>
      <c r="AB11" t="str">
        <f t="shared" si="2"/>
        <v/>
      </c>
      <c r="AC11" t="str">
        <f t="shared" si="3"/>
        <v/>
      </c>
      <c r="AE11" t="str">
        <f t="shared" si="4"/>
        <v/>
      </c>
      <c r="AF11" t="str">
        <f t="shared" si="5"/>
        <v/>
      </c>
      <c r="AG11" t="str">
        <f t="shared" si="6"/>
        <v/>
      </c>
      <c r="AH11" t="str">
        <f t="shared" si="7"/>
        <v/>
      </c>
      <c r="AI11" t="str">
        <f t="shared" si="8"/>
        <v/>
      </c>
      <c r="AK11" t="str">
        <f t="shared" si="9"/>
        <v/>
      </c>
      <c r="AL11" t="str">
        <f t="shared" si="32"/>
        <v/>
      </c>
      <c r="AM11" t="str">
        <f t="shared" si="10"/>
        <v/>
      </c>
      <c r="AN11" t="str">
        <f t="shared" si="11"/>
        <v/>
      </c>
      <c r="AO11" t="str">
        <f t="shared" si="12"/>
        <v/>
      </c>
      <c r="AP11" t="str">
        <f t="shared" si="13"/>
        <v/>
      </c>
      <c r="AQ11" t="str">
        <f t="shared" si="14"/>
        <v/>
      </c>
      <c r="AR11" t="str">
        <f t="shared" si="15"/>
        <v/>
      </c>
      <c r="AS11" t="str">
        <f t="shared" si="16"/>
        <v/>
      </c>
      <c r="AT11" t="str">
        <f t="shared" si="17"/>
        <v/>
      </c>
      <c r="AU11" t="str">
        <f t="shared" si="18"/>
        <v/>
      </c>
      <c r="AV11" t="str">
        <f t="shared" si="19"/>
        <v/>
      </c>
      <c r="AW11" t="str">
        <f t="shared" si="20"/>
        <v/>
      </c>
      <c r="AX11" t="str">
        <f t="shared" si="21"/>
        <v/>
      </c>
      <c r="AY11" t="str">
        <f t="shared" si="22"/>
        <v/>
      </c>
      <c r="AZ11" t="str">
        <f t="shared" si="23"/>
        <v/>
      </c>
      <c r="BA11" t="str">
        <f t="shared" si="24"/>
        <v/>
      </c>
      <c r="BB11" t="str">
        <f t="shared" si="25"/>
        <v/>
      </c>
      <c r="BC11" t="str">
        <f t="shared" si="26"/>
        <v/>
      </c>
      <c r="BD11" t="str">
        <f t="shared" si="27"/>
        <v/>
      </c>
      <c r="BE11" t="str">
        <f t="shared" si="28"/>
        <v/>
      </c>
      <c r="BF11" t="str">
        <f t="shared" si="29"/>
        <v/>
      </c>
      <c r="BG11" t="str">
        <f t="shared" si="30"/>
        <v/>
      </c>
      <c r="BH11" t="str">
        <f t="shared" si="31"/>
        <v/>
      </c>
    </row>
    <row r="12" spans="1:66" x14ac:dyDescent="0.2">
      <c r="A12">
        <v>9</v>
      </c>
      <c r="B12">
        <v>82</v>
      </c>
      <c r="C12" t="s">
        <v>39</v>
      </c>
      <c r="D12">
        <v>1</v>
      </c>
      <c r="E12">
        <v>1</v>
      </c>
      <c r="F12">
        <v>1</v>
      </c>
      <c r="K12">
        <v>4</v>
      </c>
      <c r="L12">
        <v>2</v>
      </c>
      <c r="N12">
        <v>4</v>
      </c>
      <c r="O12">
        <v>3</v>
      </c>
      <c r="S12">
        <v>1</v>
      </c>
      <c r="T12">
        <v>1</v>
      </c>
      <c r="X12">
        <f t="shared" si="33"/>
        <v>0</v>
      </c>
      <c r="Z12" t="str">
        <f t="shared" si="0"/>
        <v/>
      </c>
      <c r="AA12" t="str">
        <f t="shared" si="1"/>
        <v/>
      </c>
      <c r="AB12" t="str">
        <f t="shared" si="2"/>
        <v/>
      </c>
      <c r="AC12" t="str">
        <f t="shared" si="3"/>
        <v/>
      </c>
      <c r="AE12" t="str">
        <f t="shared" si="4"/>
        <v/>
      </c>
      <c r="AF12" t="str">
        <f t="shared" si="5"/>
        <v/>
      </c>
      <c r="AG12" t="str">
        <f t="shared" si="6"/>
        <v/>
      </c>
      <c r="AH12" t="str">
        <f t="shared" si="7"/>
        <v/>
      </c>
      <c r="AI12" t="str">
        <f t="shared" si="8"/>
        <v/>
      </c>
      <c r="AK12" t="str">
        <f t="shared" si="9"/>
        <v/>
      </c>
      <c r="AL12" t="str">
        <f t="shared" si="32"/>
        <v/>
      </c>
      <c r="AM12" t="str">
        <f t="shared" si="10"/>
        <v/>
      </c>
      <c r="AN12" t="str">
        <f t="shared" si="11"/>
        <v/>
      </c>
      <c r="AO12" t="str">
        <f t="shared" si="12"/>
        <v/>
      </c>
      <c r="AP12" t="str">
        <f t="shared" si="13"/>
        <v/>
      </c>
      <c r="AQ12" t="str">
        <f t="shared" si="14"/>
        <v/>
      </c>
      <c r="AR12" t="str">
        <f t="shared" si="15"/>
        <v/>
      </c>
      <c r="AS12" t="str">
        <f t="shared" si="16"/>
        <v/>
      </c>
      <c r="AT12" t="str">
        <f t="shared" si="17"/>
        <v/>
      </c>
      <c r="AU12" t="str">
        <f t="shared" si="18"/>
        <v/>
      </c>
      <c r="AV12" t="str">
        <f t="shared" si="19"/>
        <v/>
      </c>
      <c r="AW12" t="str">
        <f t="shared" si="20"/>
        <v/>
      </c>
      <c r="AX12" t="str">
        <f t="shared" si="21"/>
        <v/>
      </c>
      <c r="AY12" t="str">
        <f t="shared" si="22"/>
        <v/>
      </c>
      <c r="AZ12" t="str">
        <f t="shared" si="23"/>
        <v/>
      </c>
      <c r="BA12" t="str">
        <f t="shared" si="24"/>
        <v/>
      </c>
      <c r="BB12" t="str">
        <f t="shared" si="25"/>
        <v/>
      </c>
      <c r="BC12" t="str">
        <f t="shared" si="26"/>
        <v/>
      </c>
      <c r="BD12" t="str">
        <f t="shared" si="27"/>
        <v/>
      </c>
      <c r="BE12" t="str">
        <f t="shared" si="28"/>
        <v/>
      </c>
      <c r="BF12" t="str">
        <f t="shared" si="29"/>
        <v/>
      </c>
      <c r="BG12" t="str">
        <f t="shared" si="30"/>
        <v/>
      </c>
      <c r="BH12" t="str">
        <f t="shared" si="31"/>
        <v/>
      </c>
    </row>
    <row r="13" spans="1:66" x14ac:dyDescent="0.2">
      <c r="A13">
        <v>10</v>
      </c>
      <c r="B13">
        <v>99</v>
      </c>
      <c r="C13" t="s">
        <v>39</v>
      </c>
      <c r="D13">
        <v>1</v>
      </c>
      <c r="E13">
        <v>1</v>
      </c>
      <c r="F13">
        <v>1</v>
      </c>
      <c r="K13">
        <v>2</v>
      </c>
      <c r="N13">
        <v>2</v>
      </c>
      <c r="O13">
        <v>2</v>
      </c>
      <c r="S13">
        <v>1</v>
      </c>
      <c r="T13">
        <v>1</v>
      </c>
      <c r="U13">
        <v>25</v>
      </c>
      <c r="X13">
        <f t="shared" si="33"/>
        <v>0</v>
      </c>
      <c r="Z13" t="str">
        <f t="shared" si="0"/>
        <v/>
      </c>
      <c r="AA13" t="str">
        <f t="shared" si="1"/>
        <v/>
      </c>
      <c r="AB13" t="str">
        <f t="shared" si="2"/>
        <v/>
      </c>
      <c r="AC13" t="str">
        <f t="shared" si="3"/>
        <v/>
      </c>
      <c r="AE13" t="str">
        <f t="shared" si="4"/>
        <v>1</v>
      </c>
      <c r="AF13" t="str">
        <f t="shared" si="5"/>
        <v>2</v>
      </c>
      <c r="AG13" t="str">
        <f t="shared" si="6"/>
        <v>3</v>
      </c>
      <c r="AH13" t="str">
        <f t="shared" si="7"/>
        <v>4</v>
      </c>
      <c r="AI13" t="str">
        <f t="shared" si="8"/>
        <v>5</v>
      </c>
      <c r="AK13" t="str">
        <f t="shared" si="9"/>
        <v/>
      </c>
      <c r="AL13" t="str">
        <f t="shared" si="32"/>
        <v/>
      </c>
      <c r="AM13" t="str">
        <f t="shared" si="10"/>
        <v/>
      </c>
      <c r="AN13" t="str">
        <f t="shared" si="11"/>
        <v/>
      </c>
      <c r="AO13" t="str">
        <f t="shared" si="12"/>
        <v/>
      </c>
      <c r="AP13" t="str">
        <f t="shared" si="13"/>
        <v/>
      </c>
      <c r="AQ13" t="str">
        <f t="shared" si="14"/>
        <v/>
      </c>
      <c r="AR13" t="str">
        <f t="shared" si="15"/>
        <v/>
      </c>
      <c r="AS13" t="str">
        <f t="shared" si="16"/>
        <v/>
      </c>
      <c r="AT13" t="str">
        <f t="shared" si="17"/>
        <v/>
      </c>
      <c r="AU13" t="str">
        <f t="shared" si="18"/>
        <v/>
      </c>
      <c r="AV13" t="str">
        <f t="shared" si="19"/>
        <v/>
      </c>
      <c r="AW13" t="str">
        <f t="shared" si="20"/>
        <v/>
      </c>
      <c r="AX13" t="str">
        <f t="shared" si="21"/>
        <v/>
      </c>
      <c r="AY13" t="str">
        <f t="shared" si="22"/>
        <v/>
      </c>
      <c r="AZ13" t="str">
        <f t="shared" si="23"/>
        <v/>
      </c>
      <c r="BA13" t="str">
        <f t="shared" si="24"/>
        <v/>
      </c>
      <c r="BB13" t="str">
        <f t="shared" si="25"/>
        <v/>
      </c>
      <c r="BC13" t="str">
        <f t="shared" si="26"/>
        <v/>
      </c>
      <c r="BD13" t="str">
        <f t="shared" si="27"/>
        <v/>
      </c>
      <c r="BE13" t="str">
        <f t="shared" si="28"/>
        <v/>
      </c>
      <c r="BF13" t="str">
        <f t="shared" si="29"/>
        <v/>
      </c>
      <c r="BG13" t="str">
        <f t="shared" si="30"/>
        <v/>
      </c>
      <c r="BH13" t="str">
        <f t="shared" si="31"/>
        <v/>
      </c>
    </row>
    <row r="14" spans="1:66" x14ac:dyDescent="0.2">
      <c r="A14">
        <v>11</v>
      </c>
      <c r="B14">
        <v>105</v>
      </c>
      <c r="C14" t="s">
        <v>39</v>
      </c>
      <c r="D14">
        <v>1</v>
      </c>
      <c r="E14">
        <v>1</v>
      </c>
      <c r="F14">
        <v>1</v>
      </c>
      <c r="K14">
        <v>4</v>
      </c>
      <c r="N14">
        <v>4</v>
      </c>
      <c r="O14">
        <v>4</v>
      </c>
      <c r="S14">
        <v>1</v>
      </c>
      <c r="T14">
        <v>1</v>
      </c>
      <c r="U14">
        <v>4</v>
      </c>
      <c r="X14">
        <f t="shared" si="33"/>
        <v>0</v>
      </c>
      <c r="Z14" t="s">
        <v>31</v>
      </c>
      <c r="AE14" t="s">
        <v>34</v>
      </c>
      <c r="AK14" t="s">
        <v>43</v>
      </c>
      <c r="AP14" t="s">
        <v>84</v>
      </c>
    </row>
    <row r="15" spans="1:66" x14ac:dyDescent="0.2">
      <c r="A15">
        <v>12</v>
      </c>
      <c r="B15">
        <v>111</v>
      </c>
      <c r="C15" t="s">
        <v>39</v>
      </c>
      <c r="D15">
        <v>1</v>
      </c>
      <c r="E15">
        <v>1</v>
      </c>
      <c r="J15" t="s">
        <v>86</v>
      </c>
      <c r="K15">
        <v>3</v>
      </c>
      <c r="N15">
        <v>3</v>
      </c>
      <c r="O15">
        <v>3</v>
      </c>
      <c r="S15">
        <v>1</v>
      </c>
      <c r="X15">
        <f t="shared" si="33"/>
        <v>0</v>
      </c>
      <c r="Z15" t="s">
        <v>21</v>
      </c>
      <c r="AA15" t="s">
        <v>22</v>
      </c>
      <c r="AE15" t="s">
        <v>21</v>
      </c>
      <c r="AF15" t="s">
        <v>22</v>
      </c>
      <c r="AG15" t="s">
        <v>35</v>
      </c>
      <c r="AK15" t="s">
        <v>10</v>
      </c>
      <c r="AL15" t="s">
        <v>25</v>
      </c>
      <c r="AM15" t="s">
        <v>26</v>
      </c>
      <c r="AN15" t="s">
        <v>27</v>
      </c>
      <c r="AP15" t="s">
        <v>15</v>
      </c>
      <c r="AQ15" t="s">
        <v>85</v>
      </c>
    </row>
    <row r="16" spans="1:66" x14ac:dyDescent="0.2">
      <c r="A16" t="s">
        <v>28</v>
      </c>
      <c r="D16">
        <f>SUM(D4:D15)</f>
        <v>10</v>
      </c>
      <c r="E16">
        <f>SUM(E4:E15)</f>
        <v>8</v>
      </c>
      <c r="F16">
        <f>SUM(F4:F15)</f>
        <v>6</v>
      </c>
      <c r="G16">
        <f>SUM(G4:G15)</f>
        <v>0</v>
      </c>
      <c r="H16">
        <f>SUM(H4:H15)</f>
        <v>0</v>
      </c>
      <c r="K16">
        <f>SUM(K4:K15)</f>
        <v>33</v>
      </c>
      <c r="L16">
        <f>SUM(L4:L15)</f>
        <v>4</v>
      </c>
      <c r="M16">
        <f>SUM(M4:M15)</f>
        <v>0</v>
      </c>
      <c r="N16">
        <f>SUM(N4:N15)</f>
        <v>35</v>
      </c>
      <c r="O16">
        <f>SUM(O4:O15)</f>
        <v>33</v>
      </c>
      <c r="Q16">
        <f t="shared" ref="Q16:R16" si="34">SUM(Q4:Q15)</f>
        <v>0</v>
      </c>
      <c r="R16">
        <f t="shared" si="34"/>
        <v>0</v>
      </c>
      <c r="S16">
        <f>SUM(S4:S15)</f>
        <v>10</v>
      </c>
      <c r="T16">
        <f>SUM(T4:T15)</f>
        <v>9</v>
      </c>
      <c r="U16">
        <f>SUM(U4:U15)</f>
        <v>50</v>
      </c>
      <c r="V16">
        <f>SUM(V4:V15)</f>
        <v>0</v>
      </c>
      <c r="W16">
        <f>SUM(W4:W15)</f>
        <v>0</v>
      </c>
      <c r="Z16">
        <f t="shared" ref="Z16:Z27" si="35">COUNTIF(Z2:AC2, "3")*COUNTIF(C4, "r")+COUNTIF(Z2:AC2, "5")*COUNTIF(C4, "b")</f>
        <v>0</v>
      </c>
      <c r="AA16">
        <f t="shared" ref="AA16:AA27" si="36">COUNTIF(Z2:AC2, "1")+COUNTIF(Z2:AC2, "2")+COUNTIF(Z2:AC2, "4")</f>
        <v>0</v>
      </c>
      <c r="AE16">
        <f t="shared" ref="AE16:AE27" si="37">COUNTIF(AE2:AI2, "3")*COUNTIF(C4, "r") + COUNTIF(AE2:AI2, "5")*COUNTIF(C4, "b")</f>
        <v>0</v>
      </c>
      <c r="AF16">
        <f t="shared" ref="AF16:AF27" si="38">COUNTIF(AE2:AI2, "1")+COUNTIF(AE2:AI2, "2")+COUNTIF(AE2:AI2, "4")</f>
        <v>0</v>
      </c>
      <c r="AG16">
        <f t="shared" ref="AG16:AG27" si="39">COUNTIF(AE2:AI2, "3")*COUNTIF(AE2:AI2, "b")+COUNTIF(AE2:AI2, "5")*COUNTIF(AE2:AI2, "r")</f>
        <v>0</v>
      </c>
      <c r="AK16">
        <f t="shared" ref="AK16:AK27" si="40">SUMPRODUCT(LEN($AK2:$BH2) - LEN(SUBSTITUTE($AK2:$BH2, "g", "")))</f>
        <v>0</v>
      </c>
      <c r="AL16">
        <f t="shared" ref="AL16:AL27" si="41">SUMPRODUCT(LEN($AK2:$BH2) - LEN(SUBSTITUTE($AK2:$BH2, "h", "")))</f>
        <v>0</v>
      </c>
      <c r="AM16">
        <f t="shared" ref="AM16:AM27" si="42">SUMPRODUCT(LEN($AK2:$BH2) - LEN(SUBSTITUTE($AK2:$BH2, "v", "")))</f>
        <v>0</v>
      </c>
      <c r="AN16">
        <f t="shared" ref="AN16:AN27" si="43">SUMPRODUCT(LEN($AK2:$BH2) - LEN(SUBSTITUTE($AK2:$BH2, "r", "")))</f>
        <v>0</v>
      </c>
      <c r="AP16">
        <f>MAX(AQ16:BN16)</f>
        <v>0</v>
      </c>
      <c r="AQ16" s="4">
        <f>_xlfn.NUMBERVALUE(RIGHT(AK2,1))</f>
        <v>0</v>
      </c>
      <c r="AR16" s="4">
        <f t="shared" ref="AR16:BG27" si="44">_xlfn.NUMBERVALUE(RIGHT(AL2,1))</f>
        <v>0</v>
      </c>
      <c r="AS16" s="4">
        <f t="shared" si="44"/>
        <v>0</v>
      </c>
      <c r="AT16" s="4">
        <f t="shared" si="44"/>
        <v>0</v>
      </c>
      <c r="AU16" s="4">
        <f t="shared" si="44"/>
        <v>0</v>
      </c>
      <c r="AV16" s="4">
        <f t="shared" si="44"/>
        <v>0</v>
      </c>
      <c r="AW16" s="4">
        <f t="shared" si="44"/>
        <v>0</v>
      </c>
      <c r="AX16" s="4">
        <f t="shared" si="44"/>
        <v>0</v>
      </c>
      <c r="AY16" s="4">
        <f t="shared" si="44"/>
        <v>0</v>
      </c>
      <c r="AZ16" s="4">
        <f t="shared" si="44"/>
        <v>0</v>
      </c>
      <c r="BA16" s="4">
        <f t="shared" si="44"/>
        <v>0</v>
      </c>
      <c r="BB16" s="4">
        <f t="shared" si="44"/>
        <v>0</v>
      </c>
      <c r="BC16" s="4">
        <f t="shared" si="44"/>
        <v>0</v>
      </c>
      <c r="BD16" s="4">
        <f t="shared" si="44"/>
        <v>0</v>
      </c>
      <c r="BE16" s="4">
        <f t="shared" si="44"/>
        <v>0</v>
      </c>
      <c r="BF16" s="4">
        <f t="shared" si="44"/>
        <v>0</v>
      </c>
      <c r="BG16" s="4">
        <f t="shared" si="44"/>
        <v>0</v>
      </c>
      <c r="BH16" s="4">
        <f t="shared" ref="BH16:BN27" si="45">_xlfn.NUMBERVALUE(RIGHT(BB2,1))</f>
        <v>0</v>
      </c>
      <c r="BI16" s="4">
        <f t="shared" si="45"/>
        <v>0</v>
      </c>
      <c r="BJ16" s="4">
        <f t="shared" si="45"/>
        <v>0</v>
      </c>
      <c r="BK16" s="4">
        <f t="shared" si="45"/>
        <v>0</v>
      </c>
      <c r="BL16" s="4">
        <f t="shared" si="45"/>
        <v>0</v>
      </c>
      <c r="BM16" s="4">
        <f t="shared" si="45"/>
        <v>0</v>
      </c>
      <c r="BN16" s="4">
        <f t="shared" si="45"/>
        <v>0</v>
      </c>
    </row>
    <row r="17" spans="1:66" x14ac:dyDescent="0.2">
      <c r="A17" s="1" t="s">
        <v>20</v>
      </c>
      <c r="D17" s="1" t="s">
        <v>49</v>
      </c>
      <c r="G17" s="1" t="s">
        <v>52</v>
      </c>
      <c r="K17" s="3" t="s">
        <v>74</v>
      </c>
      <c r="P17" s="1" t="s">
        <v>66</v>
      </c>
      <c r="Z17">
        <f t="shared" si="35"/>
        <v>0</v>
      </c>
      <c r="AA17">
        <f t="shared" si="36"/>
        <v>0</v>
      </c>
      <c r="AE17">
        <f t="shared" si="37"/>
        <v>0</v>
      </c>
      <c r="AF17">
        <f t="shared" si="38"/>
        <v>0</v>
      </c>
      <c r="AG17">
        <f t="shared" si="39"/>
        <v>0</v>
      </c>
      <c r="AK17">
        <f t="shared" si="40"/>
        <v>0</v>
      </c>
      <c r="AL17">
        <f t="shared" si="41"/>
        <v>0</v>
      </c>
      <c r="AM17">
        <f t="shared" si="42"/>
        <v>0</v>
      </c>
      <c r="AN17">
        <f t="shared" si="43"/>
        <v>0</v>
      </c>
      <c r="AP17">
        <f t="shared" ref="AP17:AP27" si="46">MAX(AQ17:BN17)</f>
        <v>0</v>
      </c>
      <c r="AQ17" s="4">
        <f t="shared" ref="AQ17:AQ27" si="47">_xlfn.NUMBERVALUE(RIGHT(AK3,1))</f>
        <v>0</v>
      </c>
      <c r="AR17" s="4">
        <f t="shared" si="44"/>
        <v>0</v>
      </c>
      <c r="AS17" s="4">
        <f t="shared" si="44"/>
        <v>0</v>
      </c>
      <c r="AT17" s="4">
        <f t="shared" si="44"/>
        <v>0</v>
      </c>
      <c r="AU17" s="4">
        <f t="shared" si="44"/>
        <v>0</v>
      </c>
      <c r="AV17" s="4">
        <f t="shared" si="44"/>
        <v>0</v>
      </c>
      <c r="AW17" s="4">
        <f t="shared" si="44"/>
        <v>0</v>
      </c>
      <c r="AX17" s="4">
        <f t="shared" si="44"/>
        <v>0</v>
      </c>
      <c r="AY17" s="4">
        <f t="shared" si="44"/>
        <v>0</v>
      </c>
      <c r="AZ17" s="4">
        <f t="shared" si="44"/>
        <v>0</v>
      </c>
      <c r="BA17" s="4">
        <f t="shared" si="44"/>
        <v>0</v>
      </c>
      <c r="BB17" s="4">
        <f t="shared" si="44"/>
        <v>0</v>
      </c>
      <c r="BC17" s="4">
        <f t="shared" si="44"/>
        <v>0</v>
      </c>
      <c r="BD17" s="4">
        <f t="shared" si="44"/>
        <v>0</v>
      </c>
      <c r="BE17" s="4">
        <f t="shared" si="44"/>
        <v>0</v>
      </c>
      <c r="BF17" s="4">
        <f t="shared" si="44"/>
        <v>0</v>
      </c>
      <c r="BG17" s="4">
        <f t="shared" si="44"/>
        <v>0</v>
      </c>
      <c r="BH17" s="4">
        <f t="shared" si="45"/>
        <v>0</v>
      </c>
      <c r="BI17" s="4">
        <f t="shared" si="45"/>
        <v>0</v>
      </c>
      <c r="BJ17" s="4">
        <f t="shared" si="45"/>
        <v>0</v>
      </c>
      <c r="BK17" s="4">
        <f t="shared" si="45"/>
        <v>0</v>
      </c>
      <c r="BL17" s="4">
        <f t="shared" si="45"/>
        <v>0</v>
      </c>
      <c r="BM17" s="4">
        <f t="shared" si="45"/>
        <v>0</v>
      </c>
      <c r="BN17" s="4">
        <f t="shared" si="45"/>
        <v>0</v>
      </c>
    </row>
    <row r="18" spans="1:66" x14ac:dyDescent="0.2">
      <c r="A18" t="s">
        <v>32</v>
      </c>
      <c r="B18" t="s">
        <v>21</v>
      </c>
      <c r="D18" t="s">
        <v>180</v>
      </c>
      <c r="G18" s="3" t="s">
        <v>53</v>
      </c>
      <c r="K18" t="s">
        <v>55</v>
      </c>
      <c r="M18" t="s">
        <v>65</v>
      </c>
      <c r="P18" t="s">
        <v>67</v>
      </c>
      <c r="Z18">
        <f t="shared" si="35"/>
        <v>0</v>
      </c>
      <c r="AA18">
        <f t="shared" si="36"/>
        <v>0</v>
      </c>
      <c r="AE18">
        <f t="shared" si="37"/>
        <v>0</v>
      </c>
      <c r="AF18">
        <f t="shared" si="38"/>
        <v>0</v>
      </c>
      <c r="AG18">
        <f t="shared" si="39"/>
        <v>0</v>
      </c>
      <c r="AK18">
        <f t="shared" si="40"/>
        <v>0</v>
      </c>
      <c r="AL18">
        <f t="shared" si="41"/>
        <v>0</v>
      </c>
      <c r="AM18">
        <f t="shared" si="42"/>
        <v>0</v>
      </c>
      <c r="AN18">
        <f t="shared" si="43"/>
        <v>0</v>
      </c>
      <c r="AP18">
        <f t="shared" si="46"/>
        <v>0</v>
      </c>
      <c r="AQ18" s="4">
        <f t="shared" si="47"/>
        <v>0</v>
      </c>
      <c r="AR18" s="4">
        <f t="shared" si="44"/>
        <v>0</v>
      </c>
      <c r="AS18" s="4">
        <f t="shared" si="44"/>
        <v>0</v>
      </c>
      <c r="AT18" s="4">
        <f t="shared" si="44"/>
        <v>0</v>
      </c>
      <c r="AU18" s="4">
        <f t="shared" si="44"/>
        <v>0</v>
      </c>
      <c r="AV18" s="4">
        <f t="shared" si="44"/>
        <v>0</v>
      </c>
      <c r="AW18" s="4">
        <f t="shared" si="44"/>
        <v>0</v>
      </c>
      <c r="AX18" s="4">
        <f t="shared" si="44"/>
        <v>0</v>
      </c>
      <c r="AY18" s="4">
        <f t="shared" si="44"/>
        <v>0</v>
      </c>
      <c r="AZ18" s="4">
        <f t="shared" si="44"/>
        <v>0</v>
      </c>
      <c r="BA18" s="4">
        <f t="shared" si="44"/>
        <v>0</v>
      </c>
      <c r="BB18" s="4">
        <f t="shared" si="44"/>
        <v>0</v>
      </c>
      <c r="BC18" s="4">
        <f t="shared" si="44"/>
        <v>0</v>
      </c>
      <c r="BD18" s="4">
        <f t="shared" si="44"/>
        <v>0</v>
      </c>
      <c r="BE18" s="4">
        <f t="shared" si="44"/>
        <v>0</v>
      </c>
      <c r="BF18" s="4">
        <f t="shared" si="44"/>
        <v>0</v>
      </c>
      <c r="BG18" s="4">
        <f t="shared" si="44"/>
        <v>0</v>
      </c>
      <c r="BH18" s="4">
        <f t="shared" si="45"/>
        <v>0</v>
      </c>
      <c r="BI18" s="4">
        <f t="shared" si="45"/>
        <v>0</v>
      </c>
      <c r="BJ18" s="4">
        <f t="shared" si="45"/>
        <v>0</v>
      </c>
      <c r="BK18" s="4">
        <f t="shared" si="45"/>
        <v>0</v>
      </c>
      <c r="BL18" s="4">
        <f t="shared" si="45"/>
        <v>0</v>
      </c>
      <c r="BM18" s="4">
        <f t="shared" si="45"/>
        <v>0</v>
      </c>
      <c r="BN18" s="4">
        <f t="shared" si="45"/>
        <v>0</v>
      </c>
    </row>
    <row r="19" spans="1:66" x14ac:dyDescent="0.2">
      <c r="A19" t="s">
        <v>40</v>
      </c>
      <c r="B19" t="s">
        <v>22</v>
      </c>
      <c r="D19">
        <f>E16/D16</f>
        <v>0.8</v>
      </c>
      <c r="G19" t="s">
        <v>75</v>
      </c>
      <c r="K19">
        <f>O16/N16</f>
        <v>0.94285714285714284</v>
      </c>
      <c r="M19">
        <f>SUM(M39:M50)</f>
        <v>0</v>
      </c>
      <c r="P19">
        <f>T16/S16</f>
        <v>0.9</v>
      </c>
      <c r="Z19">
        <f t="shared" si="35"/>
        <v>0</v>
      </c>
      <c r="AA19">
        <f t="shared" si="36"/>
        <v>0</v>
      </c>
      <c r="AE19">
        <f t="shared" si="37"/>
        <v>0</v>
      </c>
      <c r="AF19">
        <f t="shared" si="38"/>
        <v>0</v>
      </c>
      <c r="AG19">
        <f t="shared" si="39"/>
        <v>0</v>
      </c>
      <c r="AK19">
        <f t="shared" si="40"/>
        <v>0</v>
      </c>
      <c r="AL19">
        <f t="shared" si="41"/>
        <v>0</v>
      </c>
      <c r="AM19">
        <f t="shared" si="42"/>
        <v>0</v>
      </c>
      <c r="AN19">
        <f t="shared" si="43"/>
        <v>0</v>
      </c>
      <c r="AP19">
        <f t="shared" si="46"/>
        <v>0</v>
      </c>
      <c r="AQ19" s="4">
        <f t="shared" si="47"/>
        <v>0</v>
      </c>
      <c r="AR19" s="4">
        <f t="shared" si="44"/>
        <v>0</v>
      </c>
      <c r="AS19" s="4">
        <f t="shared" si="44"/>
        <v>0</v>
      </c>
      <c r="AT19" s="4">
        <f t="shared" si="44"/>
        <v>0</v>
      </c>
      <c r="AU19" s="4">
        <f t="shared" si="44"/>
        <v>0</v>
      </c>
      <c r="AV19" s="4">
        <f t="shared" si="44"/>
        <v>0</v>
      </c>
      <c r="AW19" s="4">
        <f t="shared" si="44"/>
        <v>0</v>
      </c>
      <c r="AX19" s="4">
        <f t="shared" si="44"/>
        <v>0</v>
      </c>
      <c r="AY19" s="4">
        <f t="shared" si="44"/>
        <v>0</v>
      </c>
      <c r="AZ19" s="4">
        <f t="shared" si="44"/>
        <v>0</v>
      </c>
      <c r="BA19" s="4">
        <f t="shared" si="44"/>
        <v>0</v>
      </c>
      <c r="BB19" s="4">
        <f t="shared" si="44"/>
        <v>0</v>
      </c>
      <c r="BC19" s="4">
        <f t="shared" si="44"/>
        <v>0</v>
      </c>
      <c r="BD19" s="4">
        <f t="shared" si="44"/>
        <v>0</v>
      </c>
      <c r="BE19" s="4">
        <f t="shared" si="44"/>
        <v>0</v>
      </c>
      <c r="BF19" s="4">
        <f t="shared" si="44"/>
        <v>0</v>
      </c>
      <c r="BG19" s="4">
        <f t="shared" si="44"/>
        <v>0</v>
      </c>
      <c r="BH19" s="4">
        <f t="shared" si="45"/>
        <v>0</v>
      </c>
      <c r="BI19" s="4">
        <f t="shared" si="45"/>
        <v>0</v>
      </c>
      <c r="BJ19" s="4">
        <f t="shared" si="45"/>
        <v>0</v>
      </c>
      <c r="BK19" s="4">
        <f t="shared" si="45"/>
        <v>0</v>
      </c>
      <c r="BL19" s="4">
        <f t="shared" si="45"/>
        <v>0</v>
      </c>
      <c r="BM19" s="4">
        <f t="shared" si="45"/>
        <v>0</v>
      </c>
      <c r="BN19" s="4">
        <f t="shared" si="45"/>
        <v>0</v>
      </c>
    </row>
    <row r="20" spans="1:66" x14ac:dyDescent="0.2">
      <c r="A20" t="s">
        <v>41</v>
      </c>
      <c r="B20" t="s">
        <v>23</v>
      </c>
      <c r="D20" t="s">
        <v>47</v>
      </c>
      <c r="G20" t="e">
        <f>AK28/AP28</f>
        <v>#DIV/0!</v>
      </c>
      <c r="K20" t="s">
        <v>13</v>
      </c>
      <c r="Z20">
        <f t="shared" si="35"/>
        <v>0</v>
      </c>
      <c r="AA20">
        <f t="shared" si="36"/>
        <v>0</v>
      </c>
      <c r="AE20">
        <f t="shared" si="37"/>
        <v>0</v>
      </c>
      <c r="AF20">
        <f t="shared" si="38"/>
        <v>0</v>
      </c>
      <c r="AG20">
        <f t="shared" si="39"/>
        <v>0</v>
      </c>
      <c r="AK20">
        <f t="shared" si="40"/>
        <v>0</v>
      </c>
      <c r="AL20">
        <f t="shared" si="41"/>
        <v>0</v>
      </c>
      <c r="AM20">
        <f t="shared" si="42"/>
        <v>0</v>
      </c>
      <c r="AN20">
        <f t="shared" si="43"/>
        <v>0</v>
      </c>
      <c r="AP20">
        <f t="shared" si="46"/>
        <v>0</v>
      </c>
      <c r="AQ20" s="4">
        <f t="shared" si="47"/>
        <v>0</v>
      </c>
      <c r="AR20" s="4">
        <f t="shared" si="44"/>
        <v>0</v>
      </c>
      <c r="AS20" s="4">
        <f t="shared" si="44"/>
        <v>0</v>
      </c>
      <c r="AT20" s="4">
        <f t="shared" si="44"/>
        <v>0</v>
      </c>
      <c r="AU20" s="4">
        <f t="shared" si="44"/>
        <v>0</v>
      </c>
      <c r="AV20" s="4">
        <f t="shared" si="44"/>
        <v>0</v>
      </c>
      <c r="AW20" s="4">
        <f t="shared" si="44"/>
        <v>0</v>
      </c>
      <c r="AX20" s="4">
        <f t="shared" si="44"/>
        <v>0</v>
      </c>
      <c r="AY20" s="4">
        <f t="shared" si="44"/>
        <v>0</v>
      </c>
      <c r="AZ20" s="4">
        <f t="shared" si="44"/>
        <v>0</v>
      </c>
      <c r="BA20" s="4">
        <f t="shared" si="44"/>
        <v>0</v>
      </c>
      <c r="BB20" s="4">
        <f t="shared" si="44"/>
        <v>0</v>
      </c>
      <c r="BC20" s="4">
        <f t="shared" si="44"/>
        <v>0</v>
      </c>
      <c r="BD20" s="4">
        <f t="shared" si="44"/>
        <v>0</v>
      </c>
      <c r="BE20" s="4">
        <f t="shared" si="44"/>
        <v>0</v>
      </c>
      <c r="BF20" s="4">
        <f t="shared" si="44"/>
        <v>0</v>
      </c>
      <c r="BG20" s="4">
        <f t="shared" si="44"/>
        <v>0</v>
      </c>
      <c r="BH20" s="4">
        <f t="shared" si="45"/>
        <v>0</v>
      </c>
      <c r="BI20" s="4">
        <f t="shared" si="45"/>
        <v>0</v>
      </c>
      <c r="BJ20" s="4">
        <f t="shared" si="45"/>
        <v>0</v>
      </c>
      <c r="BK20" s="4">
        <f t="shared" si="45"/>
        <v>0</v>
      </c>
      <c r="BL20" s="4">
        <f t="shared" si="45"/>
        <v>0</v>
      </c>
      <c r="BM20" s="4">
        <f t="shared" si="45"/>
        <v>0</v>
      </c>
      <c r="BN20" s="4">
        <f t="shared" si="45"/>
        <v>0</v>
      </c>
    </row>
    <row r="21" spans="1:66" x14ac:dyDescent="0.2">
      <c r="A21" s="1" t="s">
        <v>24</v>
      </c>
      <c r="D21">
        <f>G16/A31</f>
        <v>0</v>
      </c>
      <c r="G21" t="s">
        <v>76</v>
      </c>
      <c r="K21" t="s">
        <v>57</v>
      </c>
      <c r="L21" t="s">
        <v>58</v>
      </c>
      <c r="M21" t="s">
        <v>59</v>
      </c>
      <c r="N21" t="s">
        <v>60</v>
      </c>
      <c r="Z21">
        <f t="shared" si="35"/>
        <v>0</v>
      </c>
      <c r="AA21">
        <f t="shared" si="36"/>
        <v>0</v>
      </c>
      <c r="AE21">
        <f t="shared" si="37"/>
        <v>0</v>
      </c>
      <c r="AF21">
        <f t="shared" si="38"/>
        <v>0</v>
      </c>
      <c r="AG21">
        <f t="shared" si="39"/>
        <v>0</v>
      </c>
      <c r="AK21">
        <f t="shared" si="40"/>
        <v>0</v>
      </c>
      <c r="AL21">
        <f t="shared" si="41"/>
        <v>0</v>
      </c>
      <c r="AM21">
        <f t="shared" si="42"/>
        <v>0</v>
      </c>
      <c r="AN21">
        <f t="shared" si="43"/>
        <v>0</v>
      </c>
      <c r="AP21">
        <f t="shared" si="46"/>
        <v>0</v>
      </c>
      <c r="AQ21" s="4">
        <f t="shared" si="47"/>
        <v>0</v>
      </c>
      <c r="AR21" s="4">
        <f t="shared" si="44"/>
        <v>0</v>
      </c>
      <c r="AS21" s="4">
        <f t="shared" si="44"/>
        <v>0</v>
      </c>
      <c r="AT21" s="4">
        <f t="shared" si="44"/>
        <v>0</v>
      </c>
      <c r="AU21" s="4">
        <f t="shared" si="44"/>
        <v>0</v>
      </c>
      <c r="AV21" s="4">
        <f t="shared" si="44"/>
        <v>0</v>
      </c>
      <c r="AW21" s="4">
        <f t="shared" si="44"/>
        <v>0</v>
      </c>
      <c r="AX21" s="4">
        <f t="shared" si="44"/>
        <v>0</v>
      </c>
      <c r="AY21" s="4">
        <f t="shared" si="44"/>
        <v>0</v>
      </c>
      <c r="AZ21" s="4">
        <f t="shared" si="44"/>
        <v>0</v>
      </c>
      <c r="BA21" s="4">
        <f t="shared" si="44"/>
        <v>0</v>
      </c>
      <c r="BB21" s="4">
        <f t="shared" si="44"/>
        <v>0</v>
      </c>
      <c r="BC21" s="4">
        <f t="shared" si="44"/>
        <v>0</v>
      </c>
      <c r="BD21" s="4">
        <f t="shared" si="44"/>
        <v>0</v>
      </c>
      <c r="BE21" s="4">
        <f t="shared" si="44"/>
        <v>0</v>
      </c>
      <c r="BF21" s="4">
        <f t="shared" si="44"/>
        <v>0</v>
      </c>
      <c r="BG21" s="4">
        <f t="shared" si="44"/>
        <v>0</v>
      </c>
      <c r="BH21" s="4">
        <f t="shared" si="45"/>
        <v>0</v>
      </c>
      <c r="BI21" s="4">
        <f t="shared" si="45"/>
        <v>0</v>
      </c>
      <c r="BJ21" s="4">
        <f t="shared" si="45"/>
        <v>0</v>
      </c>
      <c r="BK21" s="4">
        <f t="shared" si="45"/>
        <v>0</v>
      </c>
      <c r="BL21" s="4">
        <f t="shared" si="45"/>
        <v>0</v>
      </c>
      <c r="BM21" s="4">
        <f t="shared" si="45"/>
        <v>0</v>
      </c>
      <c r="BN21" s="4">
        <f t="shared" si="45"/>
        <v>0</v>
      </c>
    </row>
    <row r="22" spans="1:66" x14ac:dyDescent="0.2">
      <c r="A22" t="s">
        <v>36</v>
      </c>
      <c r="B22" t="s">
        <v>10</v>
      </c>
      <c r="D22" t="s">
        <v>48</v>
      </c>
      <c r="G22" t="e">
        <f>AL28/AP28</f>
        <v>#DIV/0!</v>
      </c>
      <c r="K22">
        <f>AVERAGE(C39:C50)</f>
        <v>2.75</v>
      </c>
      <c r="L22">
        <f>MEDIAN(C39:C50)</f>
        <v>3</v>
      </c>
      <c r="M22">
        <f>MAX(C39:C50)</f>
        <v>4</v>
      </c>
      <c r="N22">
        <f>_xlfn.STDEV.S(C39:C50)</f>
        <v>1.2154310870109943</v>
      </c>
      <c r="Z22">
        <f t="shared" si="35"/>
        <v>0</v>
      </c>
      <c r="AA22">
        <f t="shared" si="36"/>
        <v>0</v>
      </c>
      <c r="AE22">
        <f t="shared" si="37"/>
        <v>0</v>
      </c>
      <c r="AF22">
        <f t="shared" si="38"/>
        <v>1</v>
      </c>
      <c r="AG22">
        <f t="shared" si="39"/>
        <v>0</v>
      </c>
      <c r="AK22">
        <f t="shared" si="40"/>
        <v>0</v>
      </c>
      <c r="AL22">
        <f t="shared" si="41"/>
        <v>0</v>
      </c>
      <c r="AM22">
        <f t="shared" si="42"/>
        <v>0</v>
      </c>
      <c r="AN22">
        <f t="shared" si="43"/>
        <v>0</v>
      </c>
      <c r="AP22">
        <f t="shared" si="46"/>
        <v>0</v>
      </c>
      <c r="AQ22" s="4">
        <f t="shared" si="47"/>
        <v>0</v>
      </c>
      <c r="AR22" s="4">
        <f t="shared" si="44"/>
        <v>0</v>
      </c>
      <c r="AS22" s="4">
        <f t="shared" si="44"/>
        <v>0</v>
      </c>
      <c r="AT22" s="4">
        <f t="shared" si="44"/>
        <v>0</v>
      </c>
      <c r="AU22" s="4">
        <f t="shared" si="44"/>
        <v>0</v>
      </c>
      <c r="AV22" s="4">
        <f t="shared" si="44"/>
        <v>0</v>
      </c>
      <c r="AW22" s="4">
        <f t="shared" si="44"/>
        <v>0</v>
      </c>
      <c r="AX22" s="4">
        <f t="shared" si="44"/>
        <v>0</v>
      </c>
      <c r="AY22" s="4">
        <f t="shared" si="44"/>
        <v>0</v>
      </c>
      <c r="AZ22" s="4">
        <f t="shared" si="44"/>
        <v>0</v>
      </c>
      <c r="BA22" s="4">
        <f t="shared" si="44"/>
        <v>0</v>
      </c>
      <c r="BB22" s="4">
        <f t="shared" si="44"/>
        <v>0</v>
      </c>
      <c r="BC22" s="4">
        <f t="shared" si="44"/>
        <v>0</v>
      </c>
      <c r="BD22" s="4">
        <f t="shared" si="44"/>
        <v>0</v>
      </c>
      <c r="BE22" s="4">
        <f t="shared" si="44"/>
        <v>0</v>
      </c>
      <c r="BF22" s="4">
        <f t="shared" si="44"/>
        <v>0</v>
      </c>
      <c r="BG22" s="4">
        <f t="shared" si="44"/>
        <v>0</v>
      </c>
      <c r="BH22" s="4">
        <f t="shared" si="45"/>
        <v>0</v>
      </c>
      <c r="BI22" s="4">
        <f t="shared" si="45"/>
        <v>0</v>
      </c>
      <c r="BJ22" s="4">
        <f t="shared" si="45"/>
        <v>0</v>
      </c>
      <c r="BK22" s="4">
        <f t="shared" si="45"/>
        <v>0</v>
      </c>
      <c r="BL22" s="4">
        <f t="shared" si="45"/>
        <v>0</v>
      </c>
      <c r="BM22" s="4">
        <f t="shared" si="45"/>
        <v>0</v>
      </c>
      <c r="BN22" s="4">
        <f t="shared" si="45"/>
        <v>0</v>
      </c>
    </row>
    <row r="23" spans="1:66" x14ac:dyDescent="0.2">
      <c r="A23" t="s">
        <v>37</v>
      </c>
      <c r="B23" t="s">
        <v>25</v>
      </c>
      <c r="D23">
        <f>H16/A31</f>
        <v>0</v>
      </c>
      <c r="G23" t="s">
        <v>77</v>
      </c>
      <c r="K23" t="s">
        <v>8</v>
      </c>
      <c r="Z23">
        <f t="shared" si="35"/>
        <v>0</v>
      </c>
      <c r="AA23">
        <f t="shared" si="36"/>
        <v>0</v>
      </c>
      <c r="AE23">
        <f t="shared" si="37"/>
        <v>0</v>
      </c>
      <c r="AF23">
        <f t="shared" si="38"/>
        <v>0</v>
      </c>
      <c r="AG23">
        <f t="shared" si="39"/>
        <v>0</v>
      </c>
      <c r="AK23">
        <f t="shared" si="40"/>
        <v>0</v>
      </c>
      <c r="AL23">
        <f t="shared" si="41"/>
        <v>0</v>
      </c>
      <c r="AM23">
        <f t="shared" si="42"/>
        <v>0</v>
      </c>
      <c r="AN23">
        <f t="shared" si="43"/>
        <v>0</v>
      </c>
      <c r="AP23">
        <f t="shared" si="46"/>
        <v>0</v>
      </c>
      <c r="AQ23" s="4">
        <f t="shared" si="47"/>
        <v>0</v>
      </c>
      <c r="AR23" s="4">
        <f t="shared" si="44"/>
        <v>0</v>
      </c>
      <c r="AS23" s="4">
        <f t="shared" si="44"/>
        <v>0</v>
      </c>
      <c r="AT23" s="4">
        <f t="shared" si="44"/>
        <v>0</v>
      </c>
      <c r="AU23" s="4">
        <f t="shared" si="44"/>
        <v>0</v>
      </c>
      <c r="AV23" s="4">
        <f t="shared" si="44"/>
        <v>0</v>
      </c>
      <c r="AW23" s="4">
        <f t="shared" si="44"/>
        <v>0</v>
      </c>
      <c r="AX23" s="4">
        <f t="shared" si="44"/>
        <v>0</v>
      </c>
      <c r="AY23" s="4">
        <f t="shared" si="44"/>
        <v>0</v>
      </c>
      <c r="AZ23" s="4">
        <f t="shared" si="44"/>
        <v>0</v>
      </c>
      <c r="BA23" s="4">
        <f t="shared" si="44"/>
        <v>0</v>
      </c>
      <c r="BB23" s="4">
        <f t="shared" si="44"/>
        <v>0</v>
      </c>
      <c r="BC23" s="4">
        <f t="shared" si="44"/>
        <v>0</v>
      </c>
      <c r="BD23" s="4">
        <f t="shared" si="44"/>
        <v>0</v>
      </c>
      <c r="BE23" s="4">
        <f t="shared" si="44"/>
        <v>0</v>
      </c>
      <c r="BF23" s="4">
        <f t="shared" si="44"/>
        <v>0</v>
      </c>
      <c r="BG23" s="4">
        <f t="shared" si="44"/>
        <v>0</v>
      </c>
      <c r="BH23" s="4">
        <f t="shared" si="45"/>
        <v>0</v>
      </c>
      <c r="BI23" s="4">
        <f t="shared" si="45"/>
        <v>0</v>
      </c>
      <c r="BJ23" s="4">
        <f t="shared" si="45"/>
        <v>0</v>
      </c>
      <c r="BK23" s="4">
        <f t="shared" si="45"/>
        <v>0</v>
      </c>
      <c r="BL23" s="4">
        <f t="shared" si="45"/>
        <v>0</v>
      </c>
      <c r="BM23" s="4">
        <f t="shared" si="45"/>
        <v>0</v>
      </c>
      <c r="BN23" s="4">
        <f t="shared" si="45"/>
        <v>0</v>
      </c>
    </row>
    <row r="24" spans="1:66" x14ac:dyDescent="0.2">
      <c r="A24" t="s">
        <v>38</v>
      </c>
      <c r="B24" t="s">
        <v>26</v>
      </c>
      <c r="D24" t="s">
        <v>50</v>
      </c>
      <c r="G24" t="e">
        <f>AM28/AP28</f>
        <v>#DIV/0!</v>
      </c>
      <c r="K24" t="s">
        <v>57</v>
      </c>
      <c r="L24" t="s">
        <v>61</v>
      </c>
      <c r="M24" t="s">
        <v>59</v>
      </c>
      <c r="N24" t="s">
        <v>60</v>
      </c>
      <c r="Z24">
        <f t="shared" si="35"/>
        <v>0</v>
      </c>
      <c r="AA24">
        <f t="shared" si="36"/>
        <v>0</v>
      </c>
      <c r="AE24">
        <f t="shared" si="37"/>
        <v>0</v>
      </c>
      <c r="AF24">
        <f t="shared" si="38"/>
        <v>0</v>
      </c>
      <c r="AG24">
        <f t="shared" si="39"/>
        <v>0</v>
      </c>
      <c r="AK24">
        <f t="shared" si="40"/>
        <v>0</v>
      </c>
      <c r="AL24">
        <f t="shared" si="41"/>
        <v>0</v>
      </c>
      <c r="AM24">
        <f t="shared" si="42"/>
        <v>0</v>
      </c>
      <c r="AN24">
        <f t="shared" si="43"/>
        <v>0</v>
      </c>
      <c r="AP24">
        <f t="shared" si="46"/>
        <v>0</v>
      </c>
      <c r="AQ24" s="4">
        <f t="shared" si="47"/>
        <v>0</v>
      </c>
      <c r="AR24" s="4">
        <f t="shared" si="44"/>
        <v>0</v>
      </c>
      <c r="AS24" s="4">
        <f t="shared" si="44"/>
        <v>0</v>
      </c>
      <c r="AT24" s="4">
        <f t="shared" si="44"/>
        <v>0</v>
      </c>
      <c r="AU24" s="4">
        <f t="shared" si="44"/>
        <v>0</v>
      </c>
      <c r="AV24" s="4">
        <f t="shared" si="44"/>
        <v>0</v>
      </c>
      <c r="AW24" s="4">
        <f t="shared" si="44"/>
        <v>0</v>
      </c>
      <c r="AX24" s="4">
        <f t="shared" si="44"/>
        <v>0</v>
      </c>
      <c r="AY24" s="4">
        <f t="shared" si="44"/>
        <v>0</v>
      </c>
      <c r="AZ24" s="4">
        <f t="shared" si="44"/>
        <v>0</v>
      </c>
      <c r="BA24" s="4">
        <f t="shared" si="44"/>
        <v>0</v>
      </c>
      <c r="BB24" s="4">
        <f t="shared" si="44"/>
        <v>0</v>
      </c>
      <c r="BC24" s="4">
        <f t="shared" si="44"/>
        <v>0</v>
      </c>
      <c r="BD24" s="4">
        <f t="shared" si="44"/>
        <v>0</v>
      </c>
      <c r="BE24" s="4">
        <f t="shared" si="44"/>
        <v>0</v>
      </c>
      <c r="BF24" s="4">
        <f t="shared" si="44"/>
        <v>0</v>
      </c>
      <c r="BG24" s="4">
        <f t="shared" si="44"/>
        <v>0</v>
      </c>
      <c r="BH24" s="4">
        <f t="shared" si="45"/>
        <v>0</v>
      </c>
      <c r="BI24" s="4">
        <f t="shared" si="45"/>
        <v>0</v>
      </c>
      <c r="BJ24" s="4">
        <f t="shared" si="45"/>
        <v>0</v>
      </c>
      <c r="BK24" s="4">
        <f t="shared" si="45"/>
        <v>0</v>
      </c>
      <c r="BL24" s="4">
        <f t="shared" si="45"/>
        <v>0</v>
      </c>
      <c r="BM24" s="4">
        <f t="shared" si="45"/>
        <v>0</v>
      </c>
      <c r="BN24" s="4">
        <f t="shared" si="45"/>
        <v>0</v>
      </c>
    </row>
    <row r="25" spans="1:66" x14ac:dyDescent="0.2">
      <c r="A25" t="s">
        <v>39</v>
      </c>
      <c r="B25" t="s">
        <v>27</v>
      </c>
      <c r="D25">
        <f>Z28/A31</f>
        <v>0</v>
      </c>
      <c r="G25" t="s">
        <v>78</v>
      </c>
      <c r="K25">
        <f>AVERAGE(E39:E50)</f>
        <v>0</v>
      </c>
      <c r="L25">
        <f>MEDIAN(E39:E50)</f>
        <v>0</v>
      </c>
      <c r="M25">
        <f>MAX(E39:E50)</f>
        <v>0</v>
      </c>
      <c r="N25">
        <f>_xlfn.STDEV.S(E39:E50)</f>
        <v>0</v>
      </c>
      <c r="Z25">
        <f t="shared" si="35"/>
        <v>0</v>
      </c>
      <c r="AA25">
        <f t="shared" si="36"/>
        <v>0</v>
      </c>
      <c r="AE25">
        <f t="shared" si="37"/>
        <v>0</v>
      </c>
      <c r="AF25">
        <f t="shared" si="38"/>
        <v>0</v>
      </c>
      <c r="AG25">
        <f t="shared" si="39"/>
        <v>0</v>
      </c>
      <c r="AK25">
        <f t="shared" si="40"/>
        <v>0</v>
      </c>
      <c r="AL25">
        <f t="shared" si="41"/>
        <v>0</v>
      </c>
      <c r="AM25">
        <f t="shared" si="42"/>
        <v>0</v>
      </c>
      <c r="AN25">
        <f t="shared" si="43"/>
        <v>0</v>
      </c>
      <c r="AP25">
        <f t="shared" si="46"/>
        <v>0</v>
      </c>
      <c r="AQ25" s="4">
        <f t="shared" si="47"/>
        <v>0</v>
      </c>
      <c r="AR25" s="4">
        <f t="shared" si="44"/>
        <v>0</v>
      </c>
      <c r="AS25" s="4">
        <f t="shared" si="44"/>
        <v>0</v>
      </c>
      <c r="AT25" s="4">
        <f t="shared" si="44"/>
        <v>0</v>
      </c>
      <c r="AU25" s="4">
        <f t="shared" si="44"/>
        <v>0</v>
      </c>
      <c r="AV25" s="4">
        <f t="shared" si="44"/>
        <v>0</v>
      </c>
      <c r="AW25" s="4">
        <f t="shared" si="44"/>
        <v>0</v>
      </c>
      <c r="AX25" s="4">
        <f t="shared" si="44"/>
        <v>0</v>
      </c>
      <c r="AY25" s="4">
        <f t="shared" si="44"/>
        <v>0</v>
      </c>
      <c r="AZ25" s="4">
        <f t="shared" si="44"/>
        <v>0</v>
      </c>
      <c r="BA25" s="4">
        <f t="shared" si="44"/>
        <v>0</v>
      </c>
      <c r="BB25" s="4">
        <f t="shared" si="44"/>
        <v>0</v>
      </c>
      <c r="BC25" s="4">
        <f t="shared" si="44"/>
        <v>0</v>
      </c>
      <c r="BD25" s="4">
        <f t="shared" si="44"/>
        <v>0</v>
      </c>
      <c r="BE25" s="4">
        <f t="shared" si="44"/>
        <v>0</v>
      </c>
      <c r="BF25" s="4">
        <f t="shared" si="44"/>
        <v>0</v>
      </c>
      <c r="BG25" s="4">
        <f t="shared" si="44"/>
        <v>0</v>
      </c>
      <c r="BH25" s="4">
        <f t="shared" si="45"/>
        <v>0</v>
      </c>
      <c r="BI25" s="4">
        <f t="shared" si="45"/>
        <v>0</v>
      </c>
      <c r="BJ25" s="4">
        <f t="shared" si="45"/>
        <v>0</v>
      </c>
      <c r="BK25" s="4">
        <f t="shared" si="45"/>
        <v>0</v>
      </c>
      <c r="BL25" s="4">
        <f t="shared" si="45"/>
        <v>0</v>
      </c>
      <c r="BM25" s="4">
        <f t="shared" si="45"/>
        <v>0</v>
      </c>
      <c r="BN25" s="4">
        <f t="shared" si="45"/>
        <v>0</v>
      </c>
    </row>
    <row r="26" spans="1:66" x14ac:dyDescent="0.2">
      <c r="A26" t="s">
        <v>44</v>
      </c>
      <c r="D26" t="s">
        <v>51</v>
      </c>
      <c r="G26" t="e">
        <f>AN28/AP28</f>
        <v>#DIV/0!</v>
      </c>
      <c r="K26" t="s">
        <v>62</v>
      </c>
      <c r="P26" t="s">
        <v>19</v>
      </c>
      <c r="Z26">
        <f t="shared" si="35"/>
        <v>0</v>
      </c>
      <c r="AA26">
        <f t="shared" si="36"/>
        <v>0</v>
      </c>
      <c r="AE26">
        <f t="shared" si="37"/>
        <v>0</v>
      </c>
      <c r="AF26">
        <f t="shared" si="38"/>
        <v>0</v>
      </c>
      <c r="AG26">
        <f t="shared" si="39"/>
        <v>0</v>
      </c>
      <c r="AK26">
        <f t="shared" si="40"/>
        <v>0</v>
      </c>
      <c r="AL26">
        <f t="shared" si="41"/>
        <v>0</v>
      </c>
      <c r="AM26">
        <f t="shared" si="42"/>
        <v>0</v>
      </c>
      <c r="AN26">
        <f t="shared" si="43"/>
        <v>0</v>
      </c>
      <c r="AP26">
        <f t="shared" si="46"/>
        <v>0</v>
      </c>
      <c r="AQ26" s="4">
        <f t="shared" si="47"/>
        <v>0</v>
      </c>
      <c r="AR26" s="4">
        <f t="shared" si="44"/>
        <v>0</v>
      </c>
      <c r="AS26" s="4">
        <f t="shared" si="44"/>
        <v>0</v>
      </c>
      <c r="AT26" s="4">
        <f t="shared" si="44"/>
        <v>0</v>
      </c>
      <c r="AU26" s="4">
        <f t="shared" si="44"/>
        <v>0</v>
      </c>
      <c r="AV26" s="4">
        <f t="shared" si="44"/>
        <v>0</v>
      </c>
      <c r="AW26" s="4">
        <f t="shared" si="44"/>
        <v>0</v>
      </c>
      <c r="AX26" s="4">
        <f t="shared" si="44"/>
        <v>0</v>
      </c>
      <c r="AY26" s="4">
        <f t="shared" si="44"/>
        <v>0</v>
      </c>
      <c r="AZ26" s="4">
        <f t="shared" si="44"/>
        <v>0</v>
      </c>
      <c r="BA26" s="4">
        <f t="shared" si="44"/>
        <v>0</v>
      </c>
      <c r="BB26" s="4">
        <f t="shared" si="44"/>
        <v>0</v>
      </c>
      <c r="BC26" s="4">
        <f t="shared" si="44"/>
        <v>0</v>
      </c>
      <c r="BD26" s="4">
        <f t="shared" si="44"/>
        <v>0</v>
      </c>
      <c r="BE26" s="4">
        <f t="shared" si="44"/>
        <v>0</v>
      </c>
      <c r="BF26" s="4">
        <f t="shared" si="44"/>
        <v>0</v>
      </c>
      <c r="BG26" s="4">
        <f t="shared" si="44"/>
        <v>0</v>
      </c>
      <c r="BH26" s="4">
        <f t="shared" si="45"/>
        <v>0</v>
      </c>
      <c r="BI26" s="4">
        <f t="shared" si="45"/>
        <v>0</v>
      </c>
      <c r="BJ26" s="4">
        <f t="shared" si="45"/>
        <v>0</v>
      </c>
      <c r="BK26" s="4">
        <f t="shared" si="45"/>
        <v>0</v>
      </c>
      <c r="BL26" s="4">
        <f t="shared" si="45"/>
        <v>0</v>
      </c>
      <c r="BM26" s="4">
        <f t="shared" si="45"/>
        <v>0</v>
      </c>
      <c r="BN26" s="4">
        <f t="shared" si="45"/>
        <v>0</v>
      </c>
    </row>
    <row r="27" spans="1:66" x14ac:dyDescent="0.2">
      <c r="A27" t="s">
        <v>45</v>
      </c>
      <c r="D27">
        <f>AA28/A31</f>
        <v>0</v>
      </c>
      <c r="G27" t="s">
        <v>56</v>
      </c>
      <c r="K27" t="s">
        <v>57</v>
      </c>
      <c r="L27" t="s">
        <v>58</v>
      </c>
      <c r="M27" t="s">
        <v>59</v>
      </c>
      <c r="N27" t="s">
        <v>60</v>
      </c>
      <c r="P27" t="s">
        <v>57</v>
      </c>
      <c r="Q27" t="s">
        <v>58</v>
      </c>
      <c r="R27" t="s">
        <v>59</v>
      </c>
      <c r="S27" t="s">
        <v>60</v>
      </c>
      <c r="Z27">
        <f t="shared" si="35"/>
        <v>0</v>
      </c>
      <c r="AA27">
        <f t="shared" si="36"/>
        <v>0</v>
      </c>
      <c r="AE27">
        <f t="shared" si="37"/>
        <v>1</v>
      </c>
      <c r="AF27">
        <f t="shared" si="38"/>
        <v>3</v>
      </c>
      <c r="AG27">
        <f t="shared" si="39"/>
        <v>0</v>
      </c>
      <c r="AK27">
        <f t="shared" si="40"/>
        <v>0</v>
      </c>
      <c r="AL27">
        <f t="shared" si="41"/>
        <v>0</v>
      </c>
      <c r="AM27">
        <f t="shared" si="42"/>
        <v>0</v>
      </c>
      <c r="AN27">
        <f t="shared" si="43"/>
        <v>0</v>
      </c>
      <c r="AP27">
        <f t="shared" si="46"/>
        <v>0</v>
      </c>
      <c r="AQ27" s="4">
        <f t="shared" si="47"/>
        <v>0</v>
      </c>
      <c r="AR27" s="4">
        <f t="shared" si="44"/>
        <v>0</v>
      </c>
      <c r="AS27" s="4">
        <f t="shared" si="44"/>
        <v>0</v>
      </c>
      <c r="AT27" s="4">
        <f t="shared" si="44"/>
        <v>0</v>
      </c>
      <c r="AU27" s="4">
        <f t="shared" si="44"/>
        <v>0</v>
      </c>
      <c r="AV27" s="4">
        <f t="shared" si="44"/>
        <v>0</v>
      </c>
      <c r="AW27" s="4">
        <f t="shared" si="44"/>
        <v>0</v>
      </c>
      <c r="AX27" s="4">
        <f t="shared" si="44"/>
        <v>0</v>
      </c>
      <c r="AY27" s="4">
        <f t="shared" si="44"/>
        <v>0</v>
      </c>
      <c r="AZ27" s="4">
        <f t="shared" si="44"/>
        <v>0</v>
      </c>
      <c r="BA27" s="4">
        <f t="shared" si="44"/>
        <v>0</v>
      </c>
      <c r="BB27" s="4">
        <f t="shared" si="44"/>
        <v>0</v>
      </c>
      <c r="BC27" s="4">
        <f t="shared" si="44"/>
        <v>0</v>
      </c>
      <c r="BD27" s="4">
        <f t="shared" si="44"/>
        <v>0</v>
      </c>
      <c r="BE27" s="4">
        <f t="shared" si="44"/>
        <v>0</v>
      </c>
      <c r="BF27" s="4">
        <f t="shared" si="44"/>
        <v>0</v>
      </c>
      <c r="BG27" s="4">
        <f t="shared" si="44"/>
        <v>0</v>
      </c>
      <c r="BH27" s="4">
        <f t="shared" si="45"/>
        <v>0</v>
      </c>
      <c r="BI27" s="4">
        <f t="shared" si="45"/>
        <v>0</v>
      </c>
      <c r="BJ27" s="4">
        <f t="shared" si="45"/>
        <v>0</v>
      </c>
      <c r="BK27" s="4">
        <f t="shared" si="45"/>
        <v>0</v>
      </c>
      <c r="BL27" s="4">
        <f t="shared" si="45"/>
        <v>0</v>
      </c>
      <c r="BM27" s="4">
        <f t="shared" si="45"/>
        <v>0</v>
      </c>
      <c r="BN27" s="4">
        <f t="shared" si="45"/>
        <v>0</v>
      </c>
    </row>
    <row r="28" spans="1:66" x14ac:dyDescent="0.2">
      <c r="A28" t="s">
        <v>46</v>
      </c>
      <c r="D28" t="s">
        <v>202</v>
      </c>
      <c r="G28" t="s">
        <v>57</v>
      </c>
      <c r="H28" t="s">
        <v>58</v>
      </c>
      <c r="I28" t="s">
        <v>59</v>
      </c>
      <c r="J28" t="s">
        <v>60</v>
      </c>
      <c r="K28">
        <f>AVERAGE(G39:G50)</f>
        <v>0</v>
      </c>
      <c r="L28">
        <f>MEDIAN(G39:G50)</f>
        <v>0</v>
      </c>
      <c r="M28">
        <f>MAX(G39:G50)</f>
        <v>0</v>
      </c>
      <c r="N28">
        <f>_xlfn.STDEV.S(G39:G50)</f>
        <v>0</v>
      </c>
      <c r="P28">
        <f>AVERAGE(N39:N50)</f>
        <v>4.166666666666667</v>
      </c>
      <c r="Q28">
        <f>MEDIAN(N39:N50)</f>
        <v>0</v>
      </c>
      <c r="R28">
        <f>MAX(N39:N50)</f>
        <v>25</v>
      </c>
      <c r="S28">
        <f>_xlfn.STDEV.S(N39:N50)</f>
        <v>7.6376261582597333</v>
      </c>
      <c r="Y28" t="s">
        <v>33</v>
      </c>
      <c r="Z28">
        <f>SUM(Z16:Z27)</f>
        <v>0</v>
      </c>
      <c r="AA28">
        <f>SUM(AA16:AA27)</f>
        <v>0</v>
      </c>
      <c r="AE28">
        <f>SUM(AE16:AE27)</f>
        <v>1</v>
      </c>
      <c r="AF28">
        <f>SUM(AF16:AF27)</f>
        <v>4</v>
      </c>
      <c r="AG28">
        <f>SUM(AG16:AG27)</f>
        <v>0</v>
      </c>
      <c r="AK28">
        <f>SUM(AK16:AK27)</f>
        <v>0</v>
      </c>
      <c r="AL28">
        <f>SUM(AL16:AL27)</f>
        <v>0</v>
      </c>
      <c r="AM28">
        <f>SUM(AM16:AM27)</f>
        <v>0</v>
      </c>
      <c r="AN28">
        <f>SUM(AN16:AN27)</f>
        <v>0</v>
      </c>
      <c r="AP28">
        <f>SUM(AP16:AP27)</f>
        <v>0</v>
      </c>
    </row>
    <row r="29" spans="1:66" x14ac:dyDescent="0.2">
      <c r="D29">
        <f>SUM(O39:O50)/F16</f>
        <v>1</v>
      </c>
      <c r="G29">
        <f>AVERAGE(A39:A50)</f>
        <v>0.41666666666666669</v>
      </c>
      <c r="H29">
        <f>MEDIAN(A39:A50)</f>
        <v>0</v>
      </c>
      <c r="I29">
        <f>MAX(A39:A50)</f>
        <v>4</v>
      </c>
      <c r="J29">
        <f>_xlfn.STDEV.S(A39:A50)</f>
        <v>1.164500152881315</v>
      </c>
      <c r="K29" t="s">
        <v>63</v>
      </c>
      <c r="P29" t="s">
        <v>148</v>
      </c>
    </row>
    <row r="30" spans="1:66" x14ac:dyDescent="0.2">
      <c r="A30" t="s">
        <v>147</v>
      </c>
      <c r="D30" t="s">
        <v>203</v>
      </c>
      <c r="G30" t="s">
        <v>50</v>
      </c>
      <c r="H30" t="s">
        <v>51</v>
      </c>
      <c r="I30" t="s">
        <v>89</v>
      </c>
      <c r="K30" t="s">
        <v>57</v>
      </c>
      <c r="L30" t="s">
        <v>58</v>
      </c>
      <c r="M30" t="s">
        <v>59</v>
      </c>
      <c r="N30" t="s">
        <v>60</v>
      </c>
      <c r="P30" t="s">
        <v>57</v>
      </c>
      <c r="Q30" t="s">
        <v>58</v>
      </c>
      <c r="R30" t="s">
        <v>59</v>
      </c>
      <c r="S30" t="s">
        <v>60</v>
      </c>
      <c r="W30" t="s">
        <v>148</v>
      </c>
      <c r="Y30" t="s">
        <v>149</v>
      </c>
      <c r="AH30" t="s">
        <v>79</v>
      </c>
    </row>
    <row r="31" spans="1:66" x14ac:dyDescent="0.2">
      <c r="A31">
        <f>COUNT(B4:B15)</f>
        <v>12</v>
      </c>
      <c r="D31" s="2">
        <f>SUM(S39:S50)/SUM(Q39:Q50)</f>
        <v>0.5</v>
      </c>
      <c r="G31">
        <f>AE28/A31</f>
        <v>8.3333333333333329E-2</v>
      </c>
      <c r="H31">
        <f>AF28/A31</f>
        <v>0.33333333333333331</v>
      </c>
      <c r="I31">
        <f>AG28/A31</f>
        <v>0</v>
      </c>
      <c r="K31" t="e">
        <f>AVERAGE(I39:I50)</f>
        <v>#DIV/0!</v>
      </c>
      <c r="L31" t="e">
        <f>MEDIAN(I39:I50)</f>
        <v>#NUM!</v>
      </c>
      <c r="M31">
        <f>MAX(I39:I50)</f>
        <v>0</v>
      </c>
      <c r="N31" t="e">
        <f>_xlfn.STDEV.S(I39:I50)</f>
        <v>#DIV/0!</v>
      </c>
      <c r="P31" t="e">
        <f>AVERAGE(W31:W42)</f>
        <v>#DIV/0!</v>
      </c>
      <c r="Q31" t="e">
        <f>MEDIAN(W31:W42)</f>
        <v>#NUM!</v>
      </c>
      <c r="R31">
        <f>MAX(W31:W42)</f>
        <v>0</v>
      </c>
      <c r="S31" t="e">
        <f>_xlfn.STDEV.S(W31:W42)</f>
        <v>#DIV/0!</v>
      </c>
      <c r="W31" t="str">
        <f t="shared" ref="W31:W33" si="48">IF(AND(ISBLANK(Q4), ISBLANK(R4), ISBLANK(G4), ISBLANK(H4)), "", U4)</f>
        <v/>
      </c>
      <c r="Y31" t="str">
        <f t="shared" ref="Y31:Y42" si="49">IF(ISBLANK(Y4), IF(X4 = 0, "", (G4 + H4/3 + V4/9 + W4/3)), U4)</f>
        <v/>
      </c>
      <c r="AH31" t="s">
        <v>80</v>
      </c>
    </row>
    <row r="32" spans="1:66" x14ac:dyDescent="0.2">
      <c r="D32" s="3"/>
      <c r="K32" t="s">
        <v>64</v>
      </c>
      <c r="P32" t="s">
        <v>149</v>
      </c>
      <c r="W32" t="str">
        <f t="shared" si="48"/>
        <v/>
      </c>
      <c r="Y32" t="str">
        <f t="shared" si="49"/>
        <v/>
      </c>
      <c r="AH32" t="s">
        <v>81</v>
      </c>
    </row>
    <row r="33" spans="1:34" x14ac:dyDescent="0.2">
      <c r="A33" t="s">
        <v>211</v>
      </c>
      <c r="D33" s="3"/>
      <c r="K33" t="s">
        <v>57</v>
      </c>
      <c r="L33" t="s">
        <v>58</v>
      </c>
      <c r="M33" t="s">
        <v>59</v>
      </c>
      <c r="N33" t="s">
        <v>60</v>
      </c>
      <c r="P33" t="s">
        <v>57</v>
      </c>
      <c r="Q33" t="s">
        <v>58</v>
      </c>
      <c r="R33" t="s">
        <v>59</v>
      </c>
      <c r="S33" t="s">
        <v>60</v>
      </c>
      <c r="W33" t="str">
        <f t="shared" si="48"/>
        <v/>
      </c>
      <c r="Y33" t="str">
        <f t="shared" si="49"/>
        <v/>
      </c>
      <c r="AH33" t="s">
        <v>82</v>
      </c>
    </row>
    <row r="34" spans="1:34" x14ac:dyDescent="0.2">
      <c r="A34" t="s">
        <v>276</v>
      </c>
      <c r="D34" s="3"/>
      <c r="K34">
        <f>AVERAGE(K39:K50)</f>
        <v>0</v>
      </c>
      <c r="L34">
        <f>MEDIAN(K39:K50)</f>
        <v>0</v>
      </c>
      <c r="M34">
        <f>MAX(K39:K50)</f>
        <v>0</v>
      </c>
      <c r="N34">
        <f>_xlfn.STDEV.S(K39:K50)</f>
        <v>0</v>
      </c>
      <c r="P34" t="e">
        <f>AVERAGE(Y31:Y42)</f>
        <v>#DIV/0!</v>
      </c>
      <c r="Q34" t="e">
        <f>MEDIAN(Y31:Y42)</f>
        <v>#NUM!</v>
      </c>
      <c r="R34">
        <f>MAX(Y31:Y42)</f>
        <v>0</v>
      </c>
      <c r="S34" t="e">
        <f>_xlfn.STDEV.S(Y31:Y42)</f>
        <v>#DIV/0!</v>
      </c>
      <c r="W34" t="str">
        <f>IF(AND(ISBLANK(Q7), ISBLANK(R7), ISBLANK(G7), ISBLANK(H7)), "", U7)</f>
        <v/>
      </c>
      <c r="Y34" t="str">
        <f t="shared" si="49"/>
        <v/>
      </c>
      <c r="AH34" t="s">
        <v>83</v>
      </c>
    </row>
    <row r="35" spans="1:34" x14ac:dyDescent="0.2">
      <c r="A35" t="s">
        <v>323</v>
      </c>
      <c r="P35" t="s">
        <v>95</v>
      </c>
      <c r="R35" t="s">
        <v>197</v>
      </c>
      <c r="W35" t="str">
        <f t="shared" ref="W35:W42" si="50">IF(AND(ISBLANK(Q8), ISBLANK(R8), ISBLANK(G8), ISBLANK(H8)), "", U8)</f>
        <v/>
      </c>
      <c r="Y35" t="str">
        <f t="shared" si="49"/>
        <v/>
      </c>
    </row>
    <row r="36" spans="1:34" x14ac:dyDescent="0.2">
      <c r="P36" t="e">
        <f>Q16/(Q16+R16)</f>
        <v>#DIV/0!</v>
      </c>
      <c r="R36" t="e">
        <f>R16/(Q16+R16)</f>
        <v>#DIV/0!</v>
      </c>
      <c r="W36" t="str">
        <f t="shared" si="50"/>
        <v/>
      </c>
      <c r="Y36" t="str">
        <f t="shared" si="49"/>
        <v/>
      </c>
    </row>
    <row r="37" spans="1:34" x14ac:dyDescent="0.2">
      <c r="W37" t="str">
        <f t="shared" si="50"/>
        <v/>
      </c>
      <c r="Y37" t="str">
        <f t="shared" si="49"/>
        <v/>
      </c>
    </row>
    <row r="38" spans="1:34" x14ac:dyDescent="0.2">
      <c r="A38" t="s">
        <v>68</v>
      </c>
      <c r="C38" t="s">
        <v>69</v>
      </c>
      <c r="E38" t="s">
        <v>72</v>
      </c>
      <c r="G38" t="s">
        <v>250</v>
      </c>
      <c r="K38" t="s">
        <v>73</v>
      </c>
      <c r="M38" t="s">
        <v>70</v>
      </c>
      <c r="N38" t="s">
        <v>71</v>
      </c>
      <c r="O38" t="s">
        <v>199</v>
      </c>
      <c r="Q38" t="s">
        <v>200</v>
      </c>
      <c r="S38" t="s">
        <v>201</v>
      </c>
      <c r="W38" t="str">
        <f t="shared" si="50"/>
        <v/>
      </c>
      <c r="Y38" t="str">
        <f t="shared" si="49"/>
        <v/>
      </c>
    </row>
    <row r="39" spans="1:34" x14ac:dyDescent="0.2">
      <c r="A39">
        <f t="shared" ref="A39:A50" si="51">IF(ISBLANK(B4), "", SUM(AE16+AF16+AG16))</f>
        <v>0</v>
      </c>
      <c r="C39">
        <f t="shared" ref="C39:C50" si="52">IF(ISBLANK(B4), "", O4)</f>
        <v>3</v>
      </c>
      <c r="E39">
        <f t="shared" ref="E39:E50" si="53">IF(ISBLANK(B4), "", Q4)</f>
        <v>0</v>
      </c>
      <c r="G39">
        <f t="shared" ref="G39:G50" si="54">IF(ISBLANK(B4), "", R4)</f>
        <v>0</v>
      </c>
      <c r="K39">
        <f t="shared" ref="K39:K50" si="55">IF(ISBLANK(B4), "", SUM(Q4 + R4))</f>
        <v>0</v>
      </c>
      <c r="M39">
        <f t="shared" ref="M39:M50" si="56">IF(ISBLANK(B4), "", SUM(K4+M4) - O4)</f>
        <v>-1</v>
      </c>
      <c r="N39">
        <f t="shared" ref="N39:N50" si="57">IF(ISBLANK(B4), "", U4)</f>
        <v>6</v>
      </c>
      <c r="O39">
        <f t="shared" ref="O39:O50" si="58">COUNTIF(E4, "1")*COUNTIF(F4, "1")</f>
        <v>0</v>
      </c>
      <c r="Q39">
        <f t="shared" ref="Q39:Q50" si="59">COUNTIF(D4, "1")*COUNTIF(F4, "")</f>
        <v>1</v>
      </c>
      <c r="S39">
        <f t="shared" ref="S39:S50" si="60">COUNTIF(E4, "1")*COUNTIF(F4, "")</f>
        <v>0</v>
      </c>
      <c r="W39" t="str">
        <f t="shared" si="50"/>
        <v/>
      </c>
      <c r="Y39" t="str">
        <f t="shared" si="49"/>
        <v/>
      </c>
    </row>
    <row r="40" spans="1:34" x14ac:dyDescent="0.2">
      <c r="A40">
        <f t="shared" si="51"/>
        <v>0</v>
      </c>
      <c r="C40">
        <f t="shared" si="52"/>
        <v>4</v>
      </c>
      <c r="E40">
        <f t="shared" si="53"/>
        <v>0</v>
      </c>
      <c r="G40">
        <f t="shared" si="54"/>
        <v>0</v>
      </c>
      <c r="K40">
        <f t="shared" si="55"/>
        <v>0</v>
      </c>
      <c r="M40">
        <f t="shared" si="56"/>
        <v>-1</v>
      </c>
      <c r="N40">
        <f t="shared" si="57"/>
        <v>0</v>
      </c>
      <c r="O40">
        <f t="shared" si="58"/>
        <v>0</v>
      </c>
      <c r="Q40">
        <f t="shared" si="59"/>
        <v>0</v>
      </c>
      <c r="S40">
        <f t="shared" si="60"/>
        <v>0</v>
      </c>
      <c r="W40" t="str">
        <f t="shared" si="50"/>
        <v/>
      </c>
      <c r="Y40" t="str">
        <f t="shared" si="49"/>
        <v/>
      </c>
    </row>
    <row r="41" spans="1:34" x14ac:dyDescent="0.2">
      <c r="A41">
        <f t="shared" si="51"/>
        <v>0</v>
      </c>
      <c r="C41">
        <f t="shared" si="52"/>
        <v>3</v>
      </c>
      <c r="E41">
        <f t="shared" si="53"/>
        <v>0</v>
      </c>
      <c r="G41">
        <f t="shared" si="54"/>
        <v>0</v>
      </c>
      <c r="K41">
        <f t="shared" si="55"/>
        <v>0</v>
      </c>
      <c r="M41">
        <f t="shared" si="56"/>
        <v>0</v>
      </c>
      <c r="N41">
        <f t="shared" si="57"/>
        <v>2</v>
      </c>
      <c r="O41">
        <f t="shared" si="58"/>
        <v>0</v>
      </c>
      <c r="Q41">
        <f t="shared" si="59"/>
        <v>1</v>
      </c>
      <c r="S41">
        <f t="shared" si="60"/>
        <v>0</v>
      </c>
      <c r="W41" t="str">
        <f t="shared" si="50"/>
        <v/>
      </c>
      <c r="Y41" t="str">
        <f t="shared" si="49"/>
        <v/>
      </c>
    </row>
    <row r="42" spans="1:34" x14ac:dyDescent="0.2">
      <c r="A42">
        <f t="shared" si="51"/>
        <v>0</v>
      </c>
      <c r="C42">
        <f t="shared" si="52"/>
        <v>1</v>
      </c>
      <c r="E42">
        <f t="shared" si="53"/>
        <v>0</v>
      </c>
      <c r="G42">
        <f t="shared" si="54"/>
        <v>0</v>
      </c>
      <c r="K42">
        <f t="shared" si="55"/>
        <v>0</v>
      </c>
      <c r="M42">
        <f t="shared" si="56"/>
        <v>1</v>
      </c>
      <c r="N42">
        <f t="shared" si="57"/>
        <v>0</v>
      </c>
      <c r="O42">
        <f t="shared" si="58"/>
        <v>0</v>
      </c>
      <c r="Q42">
        <f t="shared" si="59"/>
        <v>1</v>
      </c>
      <c r="S42">
        <f t="shared" si="60"/>
        <v>1</v>
      </c>
      <c r="W42" t="str">
        <f t="shared" si="50"/>
        <v/>
      </c>
      <c r="Y42" t="str">
        <f t="shared" si="49"/>
        <v/>
      </c>
    </row>
    <row r="43" spans="1:34" x14ac:dyDescent="0.2">
      <c r="A43">
        <f t="shared" si="51"/>
        <v>0</v>
      </c>
      <c r="C43">
        <f t="shared" si="52"/>
        <v>3</v>
      </c>
      <c r="E43">
        <f t="shared" si="53"/>
        <v>0</v>
      </c>
      <c r="G43">
        <f t="shared" si="54"/>
        <v>0</v>
      </c>
      <c r="K43">
        <f t="shared" si="55"/>
        <v>0</v>
      </c>
      <c r="M43">
        <f t="shared" si="56"/>
        <v>0</v>
      </c>
      <c r="N43">
        <f t="shared" si="57"/>
        <v>0</v>
      </c>
      <c r="O43">
        <f t="shared" si="58"/>
        <v>1</v>
      </c>
      <c r="Q43">
        <f t="shared" si="59"/>
        <v>0</v>
      </c>
      <c r="S43">
        <f t="shared" si="60"/>
        <v>0</v>
      </c>
    </row>
    <row r="44" spans="1:34" x14ac:dyDescent="0.2">
      <c r="A44">
        <f t="shared" si="51"/>
        <v>0</v>
      </c>
      <c r="C44">
        <f t="shared" si="52"/>
        <v>0</v>
      </c>
      <c r="E44">
        <f t="shared" si="53"/>
        <v>0</v>
      </c>
      <c r="G44">
        <f t="shared" si="54"/>
        <v>0</v>
      </c>
      <c r="K44">
        <f t="shared" si="55"/>
        <v>0</v>
      </c>
      <c r="M44">
        <f t="shared" si="56"/>
        <v>0</v>
      </c>
      <c r="N44">
        <f t="shared" si="57"/>
        <v>0</v>
      </c>
      <c r="O44">
        <f t="shared" si="58"/>
        <v>0</v>
      </c>
      <c r="Q44">
        <f t="shared" si="59"/>
        <v>0</v>
      </c>
      <c r="S44">
        <f t="shared" si="60"/>
        <v>0</v>
      </c>
    </row>
    <row r="45" spans="1:34" x14ac:dyDescent="0.2">
      <c r="A45">
        <f t="shared" si="51"/>
        <v>1</v>
      </c>
      <c r="C45">
        <f t="shared" si="52"/>
        <v>4</v>
      </c>
      <c r="E45">
        <f t="shared" si="53"/>
        <v>0</v>
      </c>
      <c r="G45">
        <f t="shared" si="54"/>
        <v>0</v>
      </c>
      <c r="K45">
        <f t="shared" si="55"/>
        <v>0</v>
      </c>
      <c r="M45">
        <f t="shared" si="56"/>
        <v>0</v>
      </c>
      <c r="N45">
        <f t="shared" si="57"/>
        <v>0</v>
      </c>
      <c r="O45">
        <f t="shared" si="58"/>
        <v>1</v>
      </c>
      <c r="Q45">
        <f t="shared" si="59"/>
        <v>0</v>
      </c>
      <c r="S45">
        <f t="shared" si="60"/>
        <v>0</v>
      </c>
    </row>
    <row r="46" spans="1:34" x14ac:dyDescent="0.2">
      <c r="A46">
        <f t="shared" si="51"/>
        <v>0</v>
      </c>
      <c r="C46">
        <f t="shared" si="52"/>
        <v>3</v>
      </c>
      <c r="E46">
        <f t="shared" si="53"/>
        <v>0</v>
      </c>
      <c r="G46">
        <f t="shared" si="54"/>
        <v>0</v>
      </c>
      <c r="K46">
        <f t="shared" si="55"/>
        <v>0</v>
      </c>
      <c r="M46">
        <f t="shared" si="56"/>
        <v>0</v>
      </c>
      <c r="N46">
        <f t="shared" si="57"/>
        <v>13</v>
      </c>
      <c r="O46">
        <f t="shared" si="58"/>
        <v>1</v>
      </c>
      <c r="Q46">
        <f t="shared" si="59"/>
        <v>0</v>
      </c>
      <c r="S46">
        <f t="shared" si="60"/>
        <v>0</v>
      </c>
    </row>
    <row r="47" spans="1:34" x14ac:dyDescent="0.2">
      <c r="A47">
        <f t="shared" si="51"/>
        <v>0</v>
      </c>
      <c r="C47">
        <f t="shared" si="52"/>
        <v>3</v>
      </c>
      <c r="E47">
        <f t="shared" si="53"/>
        <v>0</v>
      </c>
      <c r="G47">
        <f t="shared" si="54"/>
        <v>0</v>
      </c>
      <c r="K47">
        <f t="shared" si="55"/>
        <v>0</v>
      </c>
      <c r="M47">
        <f t="shared" si="56"/>
        <v>1</v>
      </c>
      <c r="N47">
        <f t="shared" si="57"/>
        <v>0</v>
      </c>
      <c r="O47">
        <f t="shared" si="58"/>
        <v>1</v>
      </c>
      <c r="Q47">
        <f t="shared" si="59"/>
        <v>0</v>
      </c>
      <c r="S47">
        <f t="shared" si="60"/>
        <v>0</v>
      </c>
    </row>
    <row r="48" spans="1:34" x14ac:dyDescent="0.2">
      <c r="A48">
        <f t="shared" si="51"/>
        <v>0</v>
      </c>
      <c r="C48">
        <f t="shared" si="52"/>
        <v>2</v>
      </c>
      <c r="E48">
        <f t="shared" si="53"/>
        <v>0</v>
      </c>
      <c r="G48">
        <f t="shared" si="54"/>
        <v>0</v>
      </c>
      <c r="K48">
        <f t="shared" si="55"/>
        <v>0</v>
      </c>
      <c r="M48">
        <f t="shared" si="56"/>
        <v>0</v>
      </c>
      <c r="N48">
        <f t="shared" si="57"/>
        <v>25</v>
      </c>
      <c r="O48">
        <f t="shared" si="58"/>
        <v>1</v>
      </c>
      <c r="Q48">
        <f t="shared" si="59"/>
        <v>0</v>
      </c>
      <c r="S48">
        <f t="shared" si="60"/>
        <v>0</v>
      </c>
    </row>
    <row r="49" spans="1:19" x14ac:dyDescent="0.2">
      <c r="A49">
        <f t="shared" si="51"/>
        <v>0</v>
      </c>
      <c r="C49">
        <f t="shared" si="52"/>
        <v>4</v>
      </c>
      <c r="E49">
        <f t="shared" si="53"/>
        <v>0</v>
      </c>
      <c r="G49">
        <f t="shared" si="54"/>
        <v>0</v>
      </c>
      <c r="K49">
        <f t="shared" si="55"/>
        <v>0</v>
      </c>
      <c r="M49">
        <f t="shared" si="56"/>
        <v>0</v>
      </c>
      <c r="N49">
        <f t="shared" si="57"/>
        <v>4</v>
      </c>
      <c r="O49">
        <f t="shared" si="58"/>
        <v>1</v>
      </c>
      <c r="Q49">
        <f t="shared" si="59"/>
        <v>0</v>
      </c>
      <c r="S49">
        <f t="shared" si="60"/>
        <v>0</v>
      </c>
    </row>
    <row r="50" spans="1:19" x14ac:dyDescent="0.2">
      <c r="A50">
        <f t="shared" si="51"/>
        <v>4</v>
      </c>
      <c r="C50">
        <f t="shared" si="52"/>
        <v>3</v>
      </c>
      <c r="E50">
        <f t="shared" si="53"/>
        <v>0</v>
      </c>
      <c r="G50">
        <f t="shared" si="54"/>
        <v>0</v>
      </c>
      <c r="K50">
        <f t="shared" si="55"/>
        <v>0</v>
      </c>
      <c r="M50">
        <f t="shared" si="56"/>
        <v>0</v>
      </c>
      <c r="N50">
        <f t="shared" si="57"/>
        <v>0</v>
      </c>
      <c r="O50">
        <f t="shared" si="58"/>
        <v>0</v>
      </c>
      <c r="Q50">
        <f t="shared" si="59"/>
        <v>1</v>
      </c>
      <c r="S50">
        <f t="shared" si="60"/>
        <v>1</v>
      </c>
    </row>
  </sheetData>
  <pageMargins left="0.7" right="0.7" top="0.75" bottom="0.75" header="0.3" footer="0.3"/>
  <legacy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/>
  <dimension ref="A1:BN50"/>
  <sheetViews>
    <sheetView workbookViewId="0">
      <selection activeCell="N15" sqref="N15"/>
    </sheetView>
  </sheetViews>
  <sheetFormatPr baseColWidth="10" defaultRowHeight="15" x14ac:dyDescent="0.2"/>
  <sheetData>
    <row r="1" spans="1:66" x14ac:dyDescent="0.2">
      <c r="A1" s="1" t="s">
        <v>0</v>
      </c>
      <c r="D1" t="s">
        <v>3</v>
      </c>
      <c r="K1" t="s">
        <v>11</v>
      </c>
      <c r="N1" t="s">
        <v>12</v>
      </c>
      <c r="P1" t="s">
        <v>14</v>
      </c>
      <c r="Q1" t="s">
        <v>17</v>
      </c>
      <c r="S1" t="s">
        <v>18</v>
      </c>
      <c r="Z1" t="s">
        <v>29</v>
      </c>
      <c r="AE1" t="s">
        <v>30</v>
      </c>
      <c r="AK1" t="s">
        <v>42</v>
      </c>
    </row>
    <row r="2" spans="1:66" x14ac:dyDescent="0.2">
      <c r="A2" t="s">
        <v>1</v>
      </c>
      <c r="B2" t="s">
        <v>1</v>
      </c>
      <c r="C2" t="s">
        <v>87</v>
      </c>
      <c r="D2" t="s">
        <v>54</v>
      </c>
      <c r="E2" t="s">
        <v>13</v>
      </c>
      <c r="F2" t="s">
        <v>198</v>
      </c>
      <c r="G2" t="s">
        <v>7</v>
      </c>
      <c r="H2" t="s">
        <v>8</v>
      </c>
      <c r="I2" t="s">
        <v>179</v>
      </c>
      <c r="J2" t="s">
        <v>178</v>
      </c>
      <c r="K2" t="s">
        <v>9</v>
      </c>
      <c r="L2" t="s">
        <v>196</v>
      </c>
      <c r="M2" t="s">
        <v>10</v>
      </c>
      <c r="N2" t="s">
        <v>54</v>
      </c>
      <c r="O2" t="s">
        <v>13</v>
      </c>
      <c r="P2" t="s">
        <v>15</v>
      </c>
      <c r="Q2" t="s">
        <v>8</v>
      </c>
      <c r="R2" t="s">
        <v>7</v>
      </c>
      <c r="S2" t="s">
        <v>181</v>
      </c>
      <c r="T2" t="s">
        <v>182</v>
      </c>
      <c r="U2" t="s">
        <v>19</v>
      </c>
      <c r="V2" t="s">
        <v>191</v>
      </c>
      <c r="W2" t="s">
        <v>192</v>
      </c>
      <c r="X2" t="s">
        <v>175</v>
      </c>
      <c r="Y2" t="s">
        <v>173</v>
      </c>
      <c r="Z2" t="str">
        <f t="shared" ref="Z2:Z13" si="0">LEFT(I4, 1)</f>
        <v/>
      </c>
      <c r="AA2" t="str">
        <f t="shared" ref="AA2:AA13" si="1">MID(I4, 4, 1)</f>
        <v/>
      </c>
      <c r="AB2" t="str">
        <f t="shared" ref="AB2:AB13" si="2">MID(I4, 7, 1)</f>
        <v/>
      </c>
      <c r="AC2" t="str">
        <f t="shared" ref="AC2:AC13" si="3">MID(I4, 10, 1)</f>
        <v/>
      </c>
      <c r="AE2" t="str">
        <f t="shared" ref="AE2:AE13" si="4">LEFT(J4, 1)</f>
        <v>1</v>
      </c>
      <c r="AF2" t="str">
        <f t="shared" ref="AF2:AF13" si="5">MID(J4, 4, 1)</f>
        <v/>
      </c>
      <c r="AG2" t="str">
        <f t="shared" ref="AG2:AG13" si="6">MID(J4, 7, 1)</f>
        <v/>
      </c>
      <c r="AH2" t="str">
        <f t="shared" ref="AH2:AH13" si="7">MID(J4, 10, 1)</f>
        <v/>
      </c>
      <c r="AI2" t="str">
        <f t="shared" ref="AI2:AI13" si="8">MID(J4, 13, 1)</f>
        <v/>
      </c>
      <c r="AK2" t="str">
        <f t="shared" ref="AK2:AK13" si="9">LEFT(P4, 2)</f>
        <v/>
      </c>
      <c r="AL2" t="str">
        <f>MID($P4, 5, 2)</f>
        <v/>
      </c>
      <c r="AM2" t="str">
        <f t="shared" ref="AM2:AM13" si="10">MID($P4, 9, 2)</f>
        <v/>
      </c>
      <c r="AN2" t="str">
        <f t="shared" ref="AN2:AN13" si="11">MID($P4, 13, 2)</f>
        <v/>
      </c>
      <c r="AO2" t="str">
        <f t="shared" ref="AO2:AO13" si="12">MID($P4, 17, 2)</f>
        <v/>
      </c>
      <c r="AP2" t="str">
        <f t="shared" ref="AP2:AP13" si="13">MID($P4, 21, 2)</f>
        <v/>
      </c>
      <c r="AQ2" t="str">
        <f t="shared" ref="AQ2:AQ13" si="14">MID($P4, 25, 2)</f>
        <v/>
      </c>
      <c r="AR2" t="str">
        <f t="shared" ref="AR2:AR13" si="15">MID($P4, 29, 2)</f>
        <v/>
      </c>
      <c r="AS2" t="str">
        <f t="shared" ref="AS2:AS13" si="16">MID($P4, 33, 2)</f>
        <v/>
      </c>
      <c r="AT2" t="str">
        <f t="shared" ref="AT2:AT13" si="17">MID($P4, 37, 2)</f>
        <v/>
      </c>
      <c r="AU2" t="str">
        <f t="shared" ref="AU2:AU13" si="18">MID($P4, 41, 2)</f>
        <v/>
      </c>
      <c r="AV2" t="str">
        <f t="shared" ref="AV2:AV13" si="19">MID($P4, 45, 2)</f>
        <v/>
      </c>
      <c r="AW2" t="str">
        <f t="shared" ref="AW2:AW13" si="20">MID($P4, 49, 2)</f>
        <v/>
      </c>
      <c r="AX2" t="str">
        <f t="shared" ref="AX2:AX13" si="21">MID($P4, 53, 2)</f>
        <v/>
      </c>
      <c r="AY2" t="str">
        <f t="shared" ref="AY2:AY13" si="22">MID($P4, 57, 2)</f>
        <v/>
      </c>
      <c r="AZ2" t="str">
        <f t="shared" ref="AZ2:AZ13" si="23">MID($P4, 61, 2)</f>
        <v/>
      </c>
      <c r="BA2" t="str">
        <f t="shared" ref="BA2:BA13" si="24">MID($P4, 65, 2)</f>
        <v/>
      </c>
      <c r="BB2" t="str">
        <f t="shared" ref="BB2:BB13" si="25">MID($P4, 69, 2)</f>
        <v/>
      </c>
      <c r="BC2" t="str">
        <f t="shared" ref="BC2:BC13" si="26">MID($P4, 73, 2)</f>
        <v/>
      </c>
      <c r="BD2" t="str">
        <f t="shared" ref="BD2:BD13" si="27">MID($P4, 77, 2)</f>
        <v/>
      </c>
      <c r="BE2" t="str">
        <f t="shared" ref="BE2:BE13" si="28">MID($P4, 81, 2)</f>
        <v/>
      </c>
      <c r="BF2" t="str">
        <f t="shared" ref="BF2:BF13" si="29">MID($P4, 85, 2)</f>
        <v/>
      </c>
      <c r="BG2" t="str">
        <f t="shared" ref="BG2:BG13" si="30">MID($P4, 89, 2)</f>
        <v/>
      </c>
      <c r="BH2" t="str">
        <f t="shared" ref="BH2:BH13" si="31">MID($P4, 93, 2)</f>
        <v/>
      </c>
    </row>
    <row r="3" spans="1:66" x14ac:dyDescent="0.2">
      <c r="A3" t="s">
        <v>2</v>
      </c>
      <c r="B3" t="s">
        <v>6</v>
      </c>
      <c r="C3" t="s">
        <v>88</v>
      </c>
      <c r="D3" t="s">
        <v>6</v>
      </c>
      <c r="E3" t="s">
        <v>6</v>
      </c>
      <c r="F3" t="s">
        <v>4</v>
      </c>
      <c r="G3" t="s">
        <v>6</v>
      </c>
      <c r="H3" t="s">
        <v>6</v>
      </c>
      <c r="I3" t="s">
        <v>86</v>
      </c>
      <c r="J3" t="s">
        <v>86</v>
      </c>
      <c r="K3" t="s">
        <v>6</v>
      </c>
      <c r="L3" t="s">
        <v>6</v>
      </c>
      <c r="M3" t="s">
        <v>6</v>
      </c>
      <c r="N3" t="s">
        <v>6</v>
      </c>
      <c r="O3" t="s">
        <v>6</v>
      </c>
      <c r="P3" t="s">
        <v>16</v>
      </c>
      <c r="Q3" t="s">
        <v>6</v>
      </c>
      <c r="R3" t="s">
        <v>6</v>
      </c>
      <c r="S3" t="s">
        <v>4</v>
      </c>
      <c r="T3" t="s">
        <v>4</v>
      </c>
      <c r="U3" t="s">
        <v>6</v>
      </c>
      <c r="V3" t="s">
        <v>6</v>
      </c>
      <c r="W3" t="s">
        <v>6</v>
      </c>
      <c r="X3" t="s">
        <v>6</v>
      </c>
      <c r="Y3" t="s">
        <v>174</v>
      </c>
      <c r="Z3" t="str">
        <f t="shared" si="0"/>
        <v/>
      </c>
      <c r="AA3" t="str">
        <f t="shared" si="1"/>
        <v/>
      </c>
      <c r="AB3" t="str">
        <f t="shared" si="2"/>
        <v/>
      </c>
      <c r="AC3" t="str">
        <f t="shared" si="3"/>
        <v/>
      </c>
      <c r="AE3" t="str">
        <f t="shared" si="4"/>
        <v/>
      </c>
      <c r="AF3" t="str">
        <f t="shared" si="5"/>
        <v/>
      </c>
      <c r="AG3" t="str">
        <f t="shared" si="6"/>
        <v/>
      </c>
      <c r="AH3" t="str">
        <f t="shared" si="7"/>
        <v/>
      </c>
      <c r="AI3" t="str">
        <f t="shared" si="8"/>
        <v/>
      </c>
      <c r="AK3" t="str">
        <f t="shared" si="9"/>
        <v/>
      </c>
      <c r="AL3" t="str">
        <f t="shared" ref="AL3:AL13" si="32">MID(P5, 5, 2)</f>
        <v/>
      </c>
      <c r="AM3" t="str">
        <f t="shared" si="10"/>
        <v/>
      </c>
      <c r="AN3" t="str">
        <f t="shared" si="11"/>
        <v/>
      </c>
      <c r="AO3" t="str">
        <f t="shared" si="12"/>
        <v/>
      </c>
      <c r="AP3" t="str">
        <f t="shared" si="13"/>
        <v/>
      </c>
      <c r="AQ3" t="str">
        <f t="shared" si="14"/>
        <v/>
      </c>
      <c r="AR3" t="str">
        <f t="shared" si="15"/>
        <v/>
      </c>
      <c r="AS3" t="str">
        <f t="shared" si="16"/>
        <v/>
      </c>
      <c r="AT3" t="str">
        <f t="shared" si="17"/>
        <v/>
      </c>
      <c r="AU3" t="str">
        <f t="shared" si="18"/>
        <v/>
      </c>
      <c r="AV3" t="str">
        <f t="shared" si="19"/>
        <v/>
      </c>
      <c r="AW3" t="str">
        <f t="shared" si="20"/>
        <v/>
      </c>
      <c r="AX3" t="str">
        <f t="shared" si="21"/>
        <v/>
      </c>
      <c r="AY3" t="str">
        <f t="shared" si="22"/>
        <v/>
      </c>
      <c r="AZ3" t="str">
        <f t="shared" si="23"/>
        <v/>
      </c>
      <c r="BA3" t="str">
        <f t="shared" si="24"/>
        <v/>
      </c>
      <c r="BB3" t="str">
        <f t="shared" si="25"/>
        <v/>
      </c>
      <c r="BC3" t="str">
        <f t="shared" si="26"/>
        <v/>
      </c>
      <c r="BD3" t="str">
        <f t="shared" si="27"/>
        <v/>
      </c>
      <c r="BE3" t="str">
        <f t="shared" si="28"/>
        <v/>
      </c>
      <c r="BF3" t="str">
        <f t="shared" si="29"/>
        <v/>
      </c>
      <c r="BG3" t="str">
        <f t="shared" si="30"/>
        <v/>
      </c>
      <c r="BH3" t="str">
        <f t="shared" si="31"/>
        <v/>
      </c>
    </row>
    <row r="4" spans="1:66" x14ac:dyDescent="0.2">
      <c r="A4">
        <v>1</v>
      </c>
      <c r="B4">
        <v>6</v>
      </c>
      <c r="C4" t="s">
        <v>207</v>
      </c>
      <c r="D4">
        <v>1</v>
      </c>
      <c r="E4">
        <v>1</v>
      </c>
      <c r="F4">
        <v>1</v>
      </c>
      <c r="J4">
        <v>1</v>
      </c>
      <c r="M4">
        <v>1</v>
      </c>
      <c r="N4">
        <v>1</v>
      </c>
      <c r="O4">
        <v>1</v>
      </c>
      <c r="S4">
        <v>1</v>
      </c>
      <c r="T4">
        <v>1</v>
      </c>
      <c r="U4">
        <v>6</v>
      </c>
      <c r="X4">
        <f t="shared" ref="X4:X15" si="33">G4+H4+Q4+R4</f>
        <v>0</v>
      </c>
      <c r="Z4" t="str">
        <f t="shared" si="0"/>
        <v/>
      </c>
      <c r="AA4" t="str">
        <f t="shared" si="1"/>
        <v/>
      </c>
      <c r="AB4" t="str">
        <f t="shared" si="2"/>
        <v/>
      </c>
      <c r="AC4" t="str">
        <f t="shared" si="3"/>
        <v/>
      </c>
      <c r="AE4" t="str">
        <f t="shared" si="4"/>
        <v/>
      </c>
      <c r="AF4" t="str">
        <f t="shared" si="5"/>
        <v/>
      </c>
      <c r="AG4" t="str">
        <f t="shared" si="6"/>
        <v/>
      </c>
      <c r="AH4" t="str">
        <f t="shared" si="7"/>
        <v/>
      </c>
      <c r="AI4" t="str">
        <f t="shared" si="8"/>
        <v/>
      </c>
      <c r="AK4" t="str">
        <f t="shared" si="9"/>
        <v/>
      </c>
      <c r="AL4" t="str">
        <f t="shared" si="32"/>
        <v/>
      </c>
      <c r="AM4" t="str">
        <f t="shared" si="10"/>
        <v/>
      </c>
      <c r="AN4" t="str">
        <f t="shared" si="11"/>
        <v/>
      </c>
      <c r="AO4" t="str">
        <f t="shared" si="12"/>
        <v/>
      </c>
      <c r="AP4" t="str">
        <f t="shared" si="13"/>
        <v/>
      </c>
      <c r="AQ4" t="str">
        <f t="shared" si="14"/>
        <v/>
      </c>
      <c r="AR4" t="str">
        <f t="shared" si="15"/>
        <v/>
      </c>
      <c r="AS4" t="str">
        <f t="shared" si="16"/>
        <v/>
      </c>
      <c r="AT4" t="str">
        <f t="shared" si="17"/>
        <v/>
      </c>
      <c r="AU4" t="str">
        <f t="shared" si="18"/>
        <v/>
      </c>
      <c r="AV4" t="str">
        <f t="shared" si="19"/>
        <v/>
      </c>
      <c r="AW4" t="str">
        <f t="shared" si="20"/>
        <v/>
      </c>
      <c r="AX4" t="str">
        <f t="shared" si="21"/>
        <v/>
      </c>
      <c r="AY4" t="str">
        <f t="shared" si="22"/>
        <v/>
      </c>
      <c r="AZ4" t="str">
        <f t="shared" si="23"/>
        <v/>
      </c>
      <c r="BA4" t="str">
        <f t="shared" si="24"/>
        <v/>
      </c>
      <c r="BB4" t="str">
        <f t="shared" si="25"/>
        <v/>
      </c>
      <c r="BC4" t="str">
        <f t="shared" si="26"/>
        <v/>
      </c>
      <c r="BD4" t="str">
        <f t="shared" si="27"/>
        <v/>
      </c>
      <c r="BE4" t="str">
        <f t="shared" si="28"/>
        <v/>
      </c>
      <c r="BF4" t="str">
        <f t="shared" si="29"/>
        <v/>
      </c>
      <c r="BG4" t="str">
        <f t="shared" si="30"/>
        <v/>
      </c>
      <c r="BH4" t="str">
        <f t="shared" si="31"/>
        <v/>
      </c>
    </row>
    <row r="5" spans="1:66" x14ac:dyDescent="0.2">
      <c r="A5">
        <v>2</v>
      </c>
      <c r="B5">
        <v>12</v>
      </c>
      <c r="C5" t="s">
        <v>39</v>
      </c>
      <c r="K5">
        <v>1</v>
      </c>
      <c r="N5">
        <v>2</v>
      </c>
      <c r="O5">
        <v>2</v>
      </c>
      <c r="S5">
        <v>1</v>
      </c>
      <c r="T5">
        <v>1</v>
      </c>
      <c r="X5">
        <f t="shared" si="33"/>
        <v>0</v>
      </c>
      <c r="Z5" t="str">
        <f t="shared" si="0"/>
        <v/>
      </c>
      <c r="AA5" t="str">
        <f t="shared" si="1"/>
        <v/>
      </c>
      <c r="AB5" t="str">
        <f t="shared" si="2"/>
        <v/>
      </c>
      <c r="AC5" t="str">
        <f t="shared" si="3"/>
        <v/>
      </c>
      <c r="AE5" t="str">
        <f t="shared" si="4"/>
        <v/>
      </c>
      <c r="AF5" t="str">
        <f t="shared" si="5"/>
        <v/>
      </c>
      <c r="AG5" t="str">
        <f t="shared" si="6"/>
        <v/>
      </c>
      <c r="AH5" t="str">
        <f t="shared" si="7"/>
        <v/>
      </c>
      <c r="AI5" t="str">
        <f t="shared" si="8"/>
        <v/>
      </c>
      <c r="AK5" t="str">
        <f t="shared" si="9"/>
        <v/>
      </c>
      <c r="AL5" t="str">
        <f t="shared" si="32"/>
        <v/>
      </c>
      <c r="AM5" t="str">
        <f t="shared" si="10"/>
        <v/>
      </c>
      <c r="AN5" t="str">
        <f t="shared" si="11"/>
        <v/>
      </c>
      <c r="AO5" t="str">
        <f t="shared" si="12"/>
        <v/>
      </c>
      <c r="AP5" t="str">
        <f t="shared" si="13"/>
        <v/>
      </c>
      <c r="AQ5" t="str">
        <f t="shared" si="14"/>
        <v/>
      </c>
      <c r="AR5" t="str">
        <f t="shared" si="15"/>
        <v/>
      </c>
      <c r="AS5" t="str">
        <f t="shared" si="16"/>
        <v/>
      </c>
      <c r="AT5" t="str">
        <f t="shared" si="17"/>
        <v/>
      </c>
      <c r="AU5" t="str">
        <f t="shared" si="18"/>
        <v/>
      </c>
      <c r="AV5" t="str">
        <f t="shared" si="19"/>
        <v/>
      </c>
      <c r="AW5" t="str">
        <f t="shared" si="20"/>
        <v/>
      </c>
      <c r="AX5" t="str">
        <f t="shared" si="21"/>
        <v/>
      </c>
      <c r="AY5" t="str">
        <f t="shared" si="22"/>
        <v/>
      </c>
      <c r="AZ5" t="str">
        <f t="shared" si="23"/>
        <v/>
      </c>
      <c r="BA5" t="str">
        <f t="shared" si="24"/>
        <v/>
      </c>
      <c r="BB5" t="str">
        <f t="shared" si="25"/>
        <v/>
      </c>
      <c r="BC5" t="str">
        <f t="shared" si="26"/>
        <v/>
      </c>
      <c r="BD5" t="str">
        <f t="shared" si="27"/>
        <v/>
      </c>
      <c r="BE5" t="str">
        <f t="shared" si="28"/>
        <v/>
      </c>
      <c r="BF5" t="str">
        <f t="shared" si="29"/>
        <v/>
      </c>
      <c r="BG5" t="str">
        <f t="shared" si="30"/>
        <v/>
      </c>
      <c r="BH5" t="str">
        <f t="shared" si="31"/>
        <v/>
      </c>
    </row>
    <row r="6" spans="1:66" x14ac:dyDescent="0.2">
      <c r="A6">
        <v>3</v>
      </c>
      <c r="B6">
        <v>22</v>
      </c>
      <c r="C6" t="s">
        <v>207</v>
      </c>
      <c r="D6">
        <v>1</v>
      </c>
      <c r="F6">
        <v>1</v>
      </c>
      <c r="M6">
        <v>3</v>
      </c>
      <c r="N6">
        <v>3</v>
      </c>
      <c r="O6">
        <v>3</v>
      </c>
      <c r="S6">
        <v>1</v>
      </c>
      <c r="T6">
        <v>1</v>
      </c>
      <c r="X6">
        <f t="shared" si="33"/>
        <v>0</v>
      </c>
      <c r="Z6" t="str">
        <f t="shared" si="0"/>
        <v/>
      </c>
      <c r="AA6" t="str">
        <f t="shared" si="1"/>
        <v/>
      </c>
      <c r="AB6" t="str">
        <f t="shared" si="2"/>
        <v/>
      </c>
      <c r="AC6" t="str">
        <f t="shared" si="3"/>
        <v/>
      </c>
      <c r="AE6" t="str">
        <f t="shared" si="4"/>
        <v/>
      </c>
      <c r="AF6" t="str">
        <f t="shared" si="5"/>
        <v/>
      </c>
      <c r="AG6" t="str">
        <f t="shared" si="6"/>
        <v/>
      </c>
      <c r="AH6" t="str">
        <f t="shared" si="7"/>
        <v/>
      </c>
      <c r="AI6" t="str">
        <f t="shared" si="8"/>
        <v/>
      </c>
      <c r="AK6" t="str">
        <f t="shared" si="9"/>
        <v/>
      </c>
      <c r="AL6" t="str">
        <f t="shared" si="32"/>
        <v/>
      </c>
      <c r="AM6" t="str">
        <f t="shared" si="10"/>
        <v/>
      </c>
      <c r="AN6" t="str">
        <f t="shared" si="11"/>
        <v/>
      </c>
      <c r="AO6" t="str">
        <f t="shared" si="12"/>
        <v/>
      </c>
      <c r="AP6" t="str">
        <f t="shared" si="13"/>
        <v/>
      </c>
      <c r="AQ6" t="str">
        <f t="shared" si="14"/>
        <v/>
      </c>
      <c r="AR6" t="str">
        <f t="shared" si="15"/>
        <v/>
      </c>
      <c r="AS6" t="str">
        <f t="shared" si="16"/>
        <v/>
      </c>
      <c r="AT6" t="str">
        <f t="shared" si="17"/>
        <v/>
      </c>
      <c r="AU6" t="str">
        <f t="shared" si="18"/>
        <v/>
      </c>
      <c r="AV6" t="str">
        <f t="shared" si="19"/>
        <v/>
      </c>
      <c r="AW6" t="str">
        <f t="shared" si="20"/>
        <v/>
      </c>
      <c r="AX6" t="str">
        <f t="shared" si="21"/>
        <v/>
      </c>
      <c r="AY6" t="str">
        <f t="shared" si="22"/>
        <v/>
      </c>
      <c r="AZ6" t="str">
        <f t="shared" si="23"/>
        <v/>
      </c>
      <c r="BA6" t="str">
        <f t="shared" si="24"/>
        <v/>
      </c>
      <c r="BB6" t="str">
        <f t="shared" si="25"/>
        <v/>
      </c>
      <c r="BC6" t="str">
        <f t="shared" si="26"/>
        <v/>
      </c>
      <c r="BD6" t="str">
        <f t="shared" si="27"/>
        <v/>
      </c>
      <c r="BE6" t="str">
        <f t="shared" si="28"/>
        <v/>
      </c>
      <c r="BF6" t="str">
        <f t="shared" si="29"/>
        <v/>
      </c>
      <c r="BG6" t="str">
        <f t="shared" si="30"/>
        <v/>
      </c>
      <c r="BH6" t="str">
        <f t="shared" si="31"/>
        <v/>
      </c>
    </row>
    <row r="7" spans="1:66" x14ac:dyDescent="0.2">
      <c r="A7">
        <v>4</v>
      </c>
      <c r="B7">
        <v>31</v>
      </c>
      <c r="C7" t="s">
        <v>207</v>
      </c>
      <c r="D7">
        <v>1</v>
      </c>
      <c r="E7">
        <v>1</v>
      </c>
      <c r="F7">
        <v>1</v>
      </c>
      <c r="K7">
        <v>2</v>
      </c>
      <c r="N7">
        <v>1</v>
      </c>
      <c r="O7">
        <v>1</v>
      </c>
      <c r="X7">
        <f t="shared" si="33"/>
        <v>0</v>
      </c>
      <c r="Z7" t="str">
        <f t="shared" si="0"/>
        <v/>
      </c>
      <c r="AA7" t="str">
        <f t="shared" si="1"/>
        <v/>
      </c>
      <c r="AB7" t="str">
        <f t="shared" si="2"/>
        <v/>
      </c>
      <c r="AC7" t="str">
        <f t="shared" si="3"/>
        <v/>
      </c>
      <c r="AE7" t="str">
        <f t="shared" si="4"/>
        <v>2</v>
      </c>
      <c r="AF7" t="str">
        <f t="shared" si="5"/>
        <v/>
      </c>
      <c r="AG7" t="str">
        <f t="shared" si="6"/>
        <v/>
      </c>
      <c r="AH7" t="str">
        <f t="shared" si="7"/>
        <v/>
      </c>
      <c r="AI7" t="str">
        <f t="shared" si="8"/>
        <v/>
      </c>
      <c r="AK7" t="str">
        <f t="shared" si="9"/>
        <v/>
      </c>
      <c r="AL7" t="str">
        <f t="shared" si="32"/>
        <v/>
      </c>
      <c r="AM7" t="str">
        <f t="shared" si="10"/>
        <v/>
      </c>
      <c r="AN7" t="str">
        <f t="shared" si="11"/>
        <v/>
      </c>
      <c r="AO7" t="str">
        <f t="shared" si="12"/>
        <v/>
      </c>
      <c r="AP7" t="str">
        <f t="shared" si="13"/>
        <v/>
      </c>
      <c r="AQ7" t="str">
        <f t="shared" si="14"/>
        <v/>
      </c>
      <c r="AR7" t="str">
        <f t="shared" si="15"/>
        <v/>
      </c>
      <c r="AS7" t="str">
        <f t="shared" si="16"/>
        <v/>
      </c>
      <c r="AT7" t="str">
        <f t="shared" si="17"/>
        <v/>
      </c>
      <c r="AU7" t="str">
        <f t="shared" si="18"/>
        <v/>
      </c>
      <c r="AV7" t="str">
        <f t="shared" si="19"/>
        <v/>
      </c>
      <c r="AW7" t="str">
        <f t="shared" si="20"/>
        <v/>
      </c>
      <c r="AX7" t="str">
        <f t="shared" si="21"/>
        <v/>
      </c>
      <c r="AY7" t="str">
        <f t="shared" si="22"/>
        <v/>
      </c>
      <c r="AZ7" t="str">
        <f t="shared" si="23"/>
        <v/>
      </c>
      <c r="BA7" t="str">
        <f t="shared" si="24"/>
        <v/>
      </c>
      <c r="BB7" t="str">
        <f t="shared" si="25"/>
        <v/>
      </c>
      <c r="BC7" t="str">
        <f t="shared" si="26"/>
        <v/>
      </c>
      <c r="BD7" t="str">
        <f t="shared" si="27"/>
        <v/>
      </c>
      <c r="BE7" t="str">
        <f t="shared" si="28"/>
        <v/>
      </c>
      <c r="BF7" t="str">
        <f t="shared" si="29"/>
        <v/>
      </c>
      <c r="BG7" t="str">
        <f t="shared" si="30"/>
        <v/>
      </c>
      <c r="BH7" t="str">
        <f t="shared" si="31"/>
        <v/>
      </c>
    </row>
    <row r="8" spans="1:66" x14ac:dyDescent="0.2">
      <c r="A8">
        <v>5</v>
      </c>
      <c r="B8">
        <v>47</v>
      </c>
      <c r="C8" t="s">
        <v>39</v>
      </c>
      <c r="D8">
        <v>1</v>
      </c>
      <c r="F8">
        <v>1</v>
      </c>
      <c r="K8">
        <v>3</v>
      </c>
      <c r="N8">
        <v>2</v>
      </c>
      <c r="O8">
        <v>2</v>
      </c>
      <c r="S8">
        <v>1</v>
      </c>
      <c r="T8">
        <v>1</v>
      </c>
      <c r="U8">
        <v>1</v>
      </c>
      <c r="X8">
        <f t="shared" si="33"/>
        <v>0</v>
      </c>
      <c r="Z8" t="str">
        <f t="shared" si="0"/>
        <v/>
      </c>
      <c r="AA8" t="str">
        <f t="shared" si="1"/>
        <v/>
      </c>
      <c r="AB8" t="str">
        <f t="shared" si="2"/>
        <v/>
      </c>
      <c r="AC8" t="str">
        <f t="shared" si="3"/>
        <v/>
      </c>
      <c r="AE8" t="str">
        <f t="shared" si="4"/>
        <v>1</v>
      </c>
      <c r="AF8" t="str">
        <f t="shared" si="5"/>
        <v/>
      </c>
      <c r="AG8" t="str">
        <f t="shared" si="6"/>
        <v/>
      </c>
      <c r="AH8" t="str">
        <f t="shared" si="7"/>
        <v/>
      </c>
      <c r="AI8" t="str">
        <f t="shared" si="8"/>
        <v/>
      </c>
      <c r="AK8" t="str">
        <f t="shared" si="9"/>
        <v/>
      </c>
      <c r="AL8" t="str">
        <f t="shared" si="32"/>
        <v/>
      </c>
      <c r="AM8" t="str">
        <f t="shared" si="10"/>
        <v/>
      </c>
      <c r="AN8" t="str">
        <f t="shared" si="11"/>
        <v/>
      </c>
      <c r="AO8" t="str">
        <f t="shared" si="12"/>
        <v/>
      </c>
      <c r="AP8" t="str">
        <f t="shared" si="13"/>
        <v/>
      </c>
      <c r="AQ8" t="str">
        <f t="shared" si="14"/>
        <v/>
      </c>
      <c r="AR8" t="str">
        <f t="shared" si="15"/>
        <v/>
      </c>
      <c r="AS8" t="str">
        <f t="shared" si="16"/>
        <v/>
      </c>
      <c r="AT8" t="str">
        <f t="shared" si="17"/>
        <v/>
      </c>
      <c r="AU8" t="str">
        <f t="shared" si="18"/>
        <v/>
      </c>
      <c r="AV8" t="str">
        <f t="shared" si="19"/>
        <v/>
      </c>
      <c r="AW8" t="str">
        <f t="shared" si="20"/>
        <v/>
      </c>
      <c r="AX8" t="str">
        <f t="shared" si="21"/>
        <v/>
      </c>
      <c r="AY8" t="str">
        <f t="shared" si="22"/>
        <v/>
      </c>
      <c r="AZ8" t="str">
        <f t="shared" si="23"/>
        <v/>
      </c>
      <c r="BA8" t="str">
        <f t="shared" si="24"/>
        <v/>
      </c>
      <c r="BB8" t="str">
        <f t="shared" si="25"/>
        <v/>
      </c>
      <c r="BC8" t="str">
        <f t="shared" si="26"/>
        <v/>
      </c>
      <c r="BD8" t="str">
        <f t="shared" si="27"/>
        <v/>
      </c>
      <c r="BE8" t="str">
        <f t="shared" si="28"/>
        <v/>
      </c>
      <c r="BF8" t="str">
        <f t="shared" si="29"/>
        <v/>
      </c>
      <c r="BG8" t="str">
        <f t="shared" si="30"/>
        <v/>
      </c>
      <c r="BH8" t="str">
        <f t="shared" si="31"/>
        <v/>
      </c>
    </row>
    <row r="9" spans="1:66" x14ac:dyDescent="0.2">
      <c r="A9">
        <v>6</v>
      </c>
      <c r="B9">
        <v>53</v>
      </c>
      <c r="C9" t="s">
        <v>39</v>
      </c>
      <c r="D9">
        <v>1</v>
      </c>
      <c r="E9">
        <v>1</v>
      </c>
      <c r="F9">
        <v>1</v>
      </c>
      <c r="J9">
        <v>2</v>
      </c>
      <c r="K9">
        <v>2</v>
      </c>
      <c r="L9">
        <v>1</v>
      </c>
      <c r="N9">
        <v>1</v>
      </c>
      <c r="O9">
        <v>1</v>
      </c>
      <c r="S9">
        <v>1</v>
      </c>
      <c r="T9">
        <v>1</v>
      </c>
      <c r="U9">
        <v>17</v>
      </c>
      <c r="X9">
        <f t="shared" si="33"/>
        <v>0</v>
      </c>
      <c r="Z9" t="str">
        <f t="shared" si="0"/>
        <v/>
      </c>
      <c r="AA9" t="str">
        <f t="shared" si="1"/>
        <v/>
      </c>
      <c r="AB9" t="str">
        <f t="shared" si="2"/>
        <v/>
      </c>
      <c r="AC9" t="str">
        <f t="shared" si="3"/>
        <v/>
      </c>
      <c r="AE9" t="str">
        <f t="shared" si="4"/>
        <v/>
      </c>
      <c r="AF9" t="str">
        <f t="shared" si="5"/>
        <v/>
      </c>
      <c r="AG9" t="str">
        <f t="shared" si="6"/>
        <v/>
      </c>
      <c r="AH9" t="str">
        <f t="shared" si="7"/>
        <v/>
      </c>
      <c r="AI9" t="str">
        <f t="shared" si="8"/>
        <v/>
      </c>
      <c r="AK9" t="str">
        <f t="shared" si="9"/>
        <v/>
      </c>
      <c r="AL9" t="str">
        <f t="shared" si="32"/>
        <v/>
      </c>
      <c r="AM9" t="str">
        <f t="shared" si="10"/>
        <v/>
      </c>
      <c r="AN9" t="str">
        <f t="shared" si="11"/>
        <v/>
      </c>
      <c r="AO9" t="str">
        <f t="shared" si="12"/>
        <v/>
      </c>
      <c r="AP9" t="str">
        <f t="shared" si="13"/>
        <v/>
      </c>
      <c r="AQ9" t="str">
        <f t="shared" si="14"/>
        <v/>
      </c>
      <c r="AR9" t="str">
        <f t="shared" si="15"/>
        <v/>
      </c>
      <c r="AS9" t="str">
        <f t="shared" si="16"/>
        <v/>
      </c>
      <c r="AT9" t="str">
        <f t="shared" si="17"/>
        <v/>
      </c>
      <c r="AU9" t="str">
        <f t="shared" si="18"/>
        <v/>
      </c>
      <c r="AV9" t="str">
        <f t="shared" si="19"/>
        <v/>
      </c>
      <c r="AW9" t="str">
        <f t="shared" si="20"/>
        <v/>
      </c>
      <c r="AX9" t="str">
        <f t="shared" si="21"/>
        <v/>
      </c>
      <c r="AY9" t="str">
        <f t="shared" si="22"/>
        <v/>
      </c>
      <c r="AZ9" t="str">
        <f t="shared" si="23"/>
        <v/>
      </c>
      <c r="BA9" t="str">
        <f t="shared" si="24"/>
        <v/>
      </c>
      <c r="BB9" t="str">
        <f t="shared" si="25"/>
        <v/>
      </c>
      <c r="BC9" t="str">
        <f t="shared" si="26"/>
        <v/>
      </c>
      <c r="BD9" t="str">
        <f t="shared" si="27"/>
        <v/>
      </c>
      <c r="BE9" t="str">
        <f t="shared" si="28"/>
        <v/>
      </c>
      <c r="BF9" t="str">
        <f t="shared" si="29"/>
        <v/>
      </c>
      <c r="BG9" t="str">
        <f t="shared" si="30"/>
        <v/>
      </c>
      <c r="BH9" t="str">
        <f t="shared" si="31"/>
        <v/>
      </c>
    </row>
    <row r="10" spans="1:66" x14ac:dyDescent="0.2">
      <c r="A10">
        <v>7</v>
      </c>
      <c r="B10">
        <v>68</v>
      </c>
      <c r="C10" t="s">
        <v>39</v>
      </c>
      <c r="J10">
        <v>1</v>
      </c>
      <c r="M10">
        <v>1</v>
      </c>
      <c r="N10">
        <v>2</v>
      </c>
      <c r="O10">
        <v>2</v>
      </c>
      <c r="S10">
        <v>1</v>
      </c>
      <c r="T10">
        <v>1</v>
      </c>
      <c r="X10">
        <f t="shared" si="33"/>
        <v>0</v>
      </c>
      <c r="Z10" t="str">
        <f t="shared" si="0"/>
        <v/>
      </c>
      <c r="AA10" t="str">
        <f t="shared" si="1"/>
        <v/>
      </c>
      <c r="AB10" t="str">
        <f t="shared" si="2"/>
        <v/>
      </c>
      <c r="AC10" t="str">
        <f t="shared" si="3"/>
        <v/>
      </c>
      <c r="AE10" t="str">
        <f t="shared" si="4"/>
        <v/>
      </c>
      <c r="AF10" t="str">
        <f t="shared" si="5"/>
        <v/>
      </c>
      <c r="AG10" t="str">
        <f t="shared" si="6"/>
        <v/>
      </c>
      <c r="AH10" t="str">
        <f t="shared" si="7"/>
        <v/>
      </c>
      <c r="AI10" t="str">
        <f t="shared" si="8"/>
        <v/>
      </c>
      <c r="AK10" t="str">
        <f t="shared" si="9"/>
        <v/>
      </c>
      <c r="AL10" t="str">
        <f t="shared" si="32"/>
        <v/>
      </c>
      <c r="AM10" t="str">
        <f t="shared" si="10"/>
        <v/>
      </c>
      <c r="AN10" t="str">
        <f t="shared" si="11"/>
        <v/>
      </c>
      <c r="AO10" t="str">
        <f t="shared" si="12"/>
        <v/>
      </c>
      <c r="AP10" t="str">
        <f t="shared" si="13"/>
        <v/>
      </c>
      <c r="AQ10" t="str">
        <f t="shared" si="14"/>
        <v/>
      </c>
      <c r="AR10" t="str">
        <f t="shared" si="15"/>
        <v/>
      </c>
      <c r="AS10" t="str">
        <f t="shared" si="16"/>
        <v/>
      </c>
      <c r="AT10" t="str">
        <f t="shared" si="17"/>
        <v/>
      </c>
      <c r="AU10" t="str">
        <f t="shared" si="18"/>
        <v/>
      </c>
      <c r="AV10" t="str">
        <f t="shared" si="19"/>
        <v/>
      </c>
      <c r="AW10" t="str">
        <f t="shared" si="20"/>
        <v/>
      </c>
      <c r="AX10" t="str">
        <f t="shared" si="21"/>
        <v/>
      </c>
      <c r="AY10" t="str">
        <f t="shared" si="22"/>
        <v/>
      </c>
      <c r="AZ10" t="str">
        <f t="shared" si="23"/>
        <v/>
      </c>
      <c r="BA10" t="str">
        <f t="shared" si="24"/>
        <v/>
      </c>
      <c r="BB10" t="str">
        <f t="shared" si="25"/>
        <v/>
      </c>
      <c r="BC10" t="str">
        <f t="shared" si="26"/>
        <v/>
      </c>
      <c r="BD10" t="str">
        <f t="shared" si="27"/>
        <v/>
      </c>
      <c r="BE10" t="str">
        <f t="shared" si="28"/>
        <v/>
      </c>
      <c r="BF10" t="str">
        <f t="shared" si="29"/>
        <v/>
      </c>
      <c r="BG10" t="str">
        <f t="shared" si="30"/>
        <v/>
      </c>
      <c r="BH10" t="str">
        <f t="shared" si="31"/>
        <v/>
      </c>
    </row>
    <row r="11" spans="1:66" x14ac:dyDescent="0.2">
      <c r="A11">
        <v>8</v>
      </c>
      <c r="B11">
        <v>80</v>
      </c>
      <c r="C11" t="s">
        <v>39</v>
      </c>
      <c r="K11">
        <v>2</v>
      </c>
      <c r="N11">
        <v>3</v>
      </c>
      <c r="O11">
        <v>3</v>
      </c>
      <c r="S11">
        <v>1</v>
      </c>
      <c r="T11">
        <v>1</v>
      </c>
      <c r="X11">
        <f t="shared" si="33"/>
        <v>0</v>
      </c>
      <c r="Z11" t="str">
        <f t="shared" si="0"/>
        <v/>
      </c>
      <c r="AA11" t="str">
        <f t="shared" si="1"/>
        <v/>
      </c>
      <c r="AB11" t="str">
        <f t="shared" si="2"/>
        <v/>
      </c>
      <c r="AC11" t="str">
        <f t="shared" si="3"/>
        <v/>
      </c>
      <c r="AE11" t="str">
        <f t="shared" si="4"/>
        <v/>
      </c>
      <c r="AF11" t="str">
        <f t="shared" si="5"/>
        <v/>
      </c>
      <c r="AG11" t="str">
        <f t="shared" si="6"/>
        <v/>
      </c>
      <c r="AH11" t="str">
        <f t="shared" si="7"/>
        <v/>
      </c>
      <c r="AI11" t="str">
        <f t="shared" si="8"/>
        <v/>
      </c>
      <c r="AK11" t="str">
        <f t="shared" si="9"/>
        <v/>
      </c>
      <c r="AL11" t="str">
        <f t="shared" si="32"/>
        <v/>
      </c>
      <c r="AM11" t="str">
        <f t="shared" si="10"/>
        <v/>
      </c>
      <c r="AN11" t="str">
        <f t="shared" si="11"/>
        <v/>
      </c>
      <c r="AO11" t="str">
        <f t="shared" si="12"/>
        <v/>
      </c>
      <c r="AP11" t="str">
        <f t="shared" si="13"/>
        <v/>
      </c>
      <c r="AQ11" t="str">
        <f t="shared" si="14"/>
        <v/>
      </c>
      <c r="AR11" t="str">
        <f t="shared" si="15"/>
        <v/>
      </c>
      <c r="AS11" t="str">
        <f t="shared" si="16"/>
        <v/>
      </c>
      <c r="AT11" t="str">
        <f t="shared" si="17"/>
        <v/>
      </c>
      <c r="AU11" t="str">
        <f t="shared" si="18"/>
        <v/>
      </c>
      <c r="AV11" t="str">
        <f t="shared" si="19"/>
        <v/>
      </c>
      <c r="AW11" t="str">
        <f t="shared" si="20"/>
        <v/>
      </c>
      <c r="AX11" t="str">
        <f t="shared" si="21"/>
        <v/>
      </c>
      <c r="AY11" t="str">
        <f t="shared" si="22"/>
        <v/>
      </c>
      <c r="AZ11" t="str">
        <f t="shared" si="23"/>
        <v/>
      </c>
      <c r="BA11" t="str">
        <f t="shared" si="24"/>
        <v/>
      </c>
      <c r="BB11" t="str">
        <f t="shared" si="25"/>
        <v/>
      </c>
      <c r="BC11" t="str">
        <f t="shared" si="26"/>
        <v/>
      </c>
      <c r="BD11" t="str">
        <f t="shared" si="27"/>
        <v/>
      </c>
      <c r="BE11" t="str">
        <f t="shared" si="28"/>
        <v/>
      </c>
      <c r="BF11" t="str">
        <f t="shared" si="29"/>
        <v/>
      </c>
      <c r="BG11" t="str">
        <f t="shared" si="30"/>
        <v/>
      </c>
      <c r="BH11" t="str">
        <f t="shared" si="31"/>
        <v/>
      </c>
    </row>
    <row r="12" spans="1:66" x14ac:dyDescent="0.2">
      <c r="A12">
        <v>9</v>
      </c>
      <c r="B12">
        <v>90</v>
      </c>
      <c r="C12" t="s">
        <v>207</v>
      </c>
      <c r="D12">
        <v>1</v>
      </c>
      <c r="E12">
        <v>1</v>
      </c>
      <c r="F12">
        <v>1</v>
      </c>
      <c r="M12">
        <v>1</v>
      </c>
      <c r="N12">
        <v>1</v>
      </c>
      <c r="O12">
        <v>1</v>
      </c>
      <c r="S12">
        <v>1</v>
      </c>
      <c r="T12">
        <v>1</v>
      </c>
      <c r="U12">
        <v>13</v>
      </c>
      <c r="X12">
        <f t="shared" si="33"/>
        <v>0</v>
      </c>
      <c r="Z12" t="str">
        <f t="shared" si="0"/>
        <v/>
      </c>
      <c r="AA12" t="str">
        <f t="shared" si="1"/>
        <v/>
      </c>
      <c r="AB12" t="str">
        <f t="shared" si="2"/>
        <v/>
      </c>
      <c r="AC12" t="str">
        <f t="shared" si="3"/>
        <v/>
      </c>
      <c r="AE12" t="str">
        <f t="shared" si="4"/>
        <v/>
      </c>
      <c r="AF12" t="str">
        <f t="shared" si="5"/>
        <v/>
      </c>
      <c r="AG12" t="str">
        <f t="shared" si="6"/>
        <v/>
      </c>
      <c r="AH12" t="str">
        <f t="shared" si="7"/>
        <v/>
      </c>
      <c r="AI12" t="str">
        <f t="shared" si="8"/>
        <v/>
      </c>
      <c r="AK12" t="str">
        <f t="shared" si="9"/>
        <v/>
      </c>
      <c r="AL12" t="str">
        <f t="shared" si="32"/>
        <v/>
      </c>
      <c r="AM12" t="str">
        <f t="shared" si="10"/>
        <v/>
      </c>
      <c r="AN12" t="str">
        <f t="shared" si="11"/>
        <v/>
      </c>
      <c r="AO12" t="str">
        <f t="shared" si="12"/>
        <v/>
      </c>
      <c r="AP12" t="str">
        <f t="shared" si="13"/>
        <v/>
      </c>
      <c r="AQ12" t="str">
        <f t="shared" si="14"/>
        <v/>
      </c>
      <c r="AR12" t="str">
        <f t="shared" si="15"/>
        <v/>
      </c>
      <c r="AS12" t="str">
        <f t="shared" si="16"/>
        <v/>
      </c>
      <c r="AT12" t="str">
        <f t="shared" si="17"/>
        <v/>
      </c>
      <c r="AU12" t="str">
        <f t="shared" si="18"/>
        <v/>
      </c>
      <c r="AV12" t="str">
        <f t="shared" si="19"/>
        <v/>
      </c>
      <c r="AW12" t="str">
        <f t="shared" si="20"/>
        <v/>
      </c>
      <c r="AX12" t="str">
        <f t="shared" si="21"/>
        <v/>
      </c>
      <c r="AY12" t="str">
        <f t="shared" si="22"/>
        <v/>
      </c>
      <c r="AZ12" t="str">
        <f t="shared" si="23"/>
        <v/>
      </c>
      <c r="BA12" t="str">
        <f t="shared" si="24"/>
        <v/>
      </c>
      <c r="BB12" t="str">
        <f t="shared" si="25"/>
        <v/>
      </c>
      <c r="BC12" t="str">
        <f t="shared" si="26"/>
        <v/>
      </c>
      <c r="BD12" t="str">
        <f t="shared" si="27"/>
        <v/>
      </c>
      <c r="BE12" t="str">
        <f t="shared" si="28"/>
        <v/>
      </c>
      <c r="BF12" t="str">
        <f t="shared" si="29"/>
        <v/>
      </c>
      <c r="BG12" t="str">
        <f t="shared" si="30"/>
        <v/>
      </c>
      <c r="BH12" t="str">
        <f t="shared" si="31"/>
        <v/>
      </c>
    </row>
    <row r="13" spans="1:66" x14ac:dyDescent="0.2">
      <c r="A13">
        <v>10</v>
      </c>
      <c r="B13">
        <v>95</v>
      </c>
      <c r="C13" t="s">
        <v>207</v>
      </c>
      <c r="D13">
        <v>1</v>
      </c>
      <c r="F13">
        <v>1</v>
      </c>
      <c r="K13">
        <v>2</v>
      </c>
      <c r="M13">
        <v>1</v>
      </c>
      <c r="N13">
        <v>3</v>
      </c>
      <c r="O13">
        <v>3</v>
      </c>
      <c r="S13">
        <v>1</v>
      </c>
      <c r="T13">
        <v>1</v>
      </c>
      <c r="X13">
        <f t="shared" si="33"/>
        <v>0</v>
      </c>
      <c r="Z13" t="str">
        <f t="shared" si="0"/>
        <v/>
      </c>
      <c r="AA13" t="str">
        <f t="shared" si="1"/>
        <v/>
      </c>
      <c r="AB13" t="str">
        <f t="shared" si="2"/>
        <v/>
      </c>
      <c r="AC13" t="str">
        <f t="shared" si="3"/>
        <v/>
      </c>
      <c r="AE13" t="str">
        <f t="shared" si="4"/>
        <v/>
      </c>
      <c r="AF13" t="str">
        <f t="shared" si="5"/>
        <v/>
      </c>
      <c r="AG13" t="str">
        <f t="shared" si="6"/>
        <v/>
      </c>
      <c r="AH13" t="str">
        <f t="shared" si="7"/>
        <v/>
      </c>
      <c r="AI13" t="str">
        <f t="shared" si="8"/>
        <v/>
      </c>
      <c r="AK13" t="str">
        <f t="shared" si="9"/>
        <v/>
      </c>
      <c r="AL13" t="str">
        <f t="shared" si="32"/>
        <v/>
      </c>
      <c r="AM13" t="str">
        <f t="shared" si="10"/>
        <v/>
      </c>
      <c r="AN13" t="str">
        <f t="shared" si="11"/>
        <v/>
      </c>
      <c r="AO13" t="str">
        <f t="shared" si="12"/>
        <v/>
      </c>
      <c r="AP13" t="str">
        <f t="shared" si="13"/>
        <v/>
      </c>
      <c r="AQ13" t="str">
        <f t="shared" si="14"/>
        <v/>
      </c>
      <c r="AR13" t="str">
        <f t="shared" si="15"/>
        <v/>
      </c>
      <c r="AS13" t="str">
        <f t="shared" si="16"/>
        <v/>
      </c>
      <c r="AT13" t="str">
        <f t="shared" si="17"/>
        <v/>
      </c>
      <c r="AU13" t="str">
        <f t="shared" si="18"/>
        <v/>
      </c>
      <c r="AV13" t="str">
        <f t="shared" si="19"/>
        <v/>
      </c>
      <c r="AW13" t="str">
        <f t="shared" si="20"/>
        <v/>
      </c>
      <c r="AX13" t="str">
        <f t="shared" si="21"/>
        <v/>
      </c>
      <c r="AY13" t="str">
        <f t="shared" si="22"/>
        <v/>
      </c>
      <c r="AZ13" t="str">
        <f t="shared" si="23"/>
        <v/>
      </c>
      <c r="BA13" t="str">
        <f t="shared" si="24"/>
        <v/>
      </c>
      <c r="BB13" t="str">
        <f t="shared" si="25"/>
        <v/>
      </c>
      <c r="BC13" t="str">
        <f t="shared" si="26"/>
        <v/>
      </c>
      <c r="BD13" t="str">
        <f t="shared" si="27"/>
        <v/>
      </c>
      <c r="BE13" t="str">
        <f t="shared" si="28"/>
        <v/>
      </c>
      <c r="BF13" t="str">
        <f t="shared" si="29"/>
        <v/>
      </c>
      <c r="BG13" t="str">
        <f t="shared" si="30"/>
        <v/>
      </c>
      <c r="BH13" t="str">
        <f t="shared" si="31"/>
        <v/>
      </c>
    </row>
    <row r="14" spans="1:66" x14ac:dyDescent="0.2">
      <c r="A14">
        <v>11</v>
      </c>
      <c r="B14">
        <v>105</v>
      </c>
      <c r="C14" t="s">
        <v>207</v>
      </c>
      <c r="D14">
        <v>1</v>
      </c>
      <c r="F14">
        <v>1</v>
      </c>
      <c r="K14">
        <v>3</v>
      </c>
      <c r="N14">
        <v>1</v>
      </c>
      <c r="X14">
        <f t="shared" si="33"/>
        <v>0</v>
      </c>
      <c r="Z14" t="s">
        <v>31</v>
      </c>
      <c r="AE14" t="s">
        <v>34</v>
      </c>
      <c r="AK14" t="s">
        <v>43</v>
      </c>
      <c r="AP14" t="s">
        <v>84</v>
      </c>
    </row>
    <row r="15" spans="1:66" x14ac:dyDescent="0.2">
      <c r="A15">
        <v>12</v>
      </c>
      <c r="B15">
        <v>112</v>
      </c>
      <c r="C15" t="s">
        <v>207</v>
      </c>
      <c r="K15">
        <v>1</v>
      </c>
      <c r="M15">
        <v>1</v>
      </c>
      <c r="N15">
        <v>2</v>
      </c>
      <c r="O15">
        <v>2</v>
      </c>
      <c r="S15">
        <v>1</v>
      </c>
      <c r="T15">
        <v>1</v>
      </c>
      <c r="X15">
        <f t="shared" si="33"/>
        <v>0</v>
      </c>
      <c r="Z15" t="s">
        <v>21</v>
      </c>
      <c r="AA15" t="s">
        <v>22</v>
      </c>
      <c r="AE15" t="s">
        <v>21</v>
      </c>
      <c r="AF15" t="s">
        <v>22</v>
      </c>
      <c r="AG15" t="s">
        <v>35</v>
      </c>
      <c r="AK15" t="s">
        <v>10</v>
      </c>
      <c r="AL15" t="s">
        <v>25</v>
      </c>
      <c r="AM15" t="s">
        <v>26</v>
      </c>
      <c r="AN15" t="s">
        <v>27</v>
      </c>
      <c r="AP15" t="s">
        <v>15</v>
      </c>
      <c r="AQ15" t="s">
        <v>85</v>
      </c>
    </row>
    <row r="16" spans="1:66" x14ac:dyDescent="0.2">
      <c r="A16" t="s">
        <v>28</v>
      </c>
      <c r="D16">
        <f>SUM(D4:D15)</f>
        <v>8</v>
      </c>
      <c r="E16">
        <f>SUM(E4:E15)</f>
        <v>4</v>
      </c>
      <c r="F16">
        <f>SUM(F4:F15)</f>
        <v>8</v>
      </c>
      <c r="G16">
        <f>SUM(G4:G15)</f>
        <v>0</v>
      </c>
      <c r="H16">
        <f>SUM(H4:H15)</f>
        <v>0</v>
      </c>
      <c r="K16">
        <f>SUM(K4:K15)</f>
        <v>16</v>
      </c>
      <c r="L16">
        <f>SUM(L4:L15)</f>
        <v>1</v>
      </c>
      <c r="M16">
        <f>SUM(M4:M15)</f>
        <v>8</v>
      </c>
      <c r="N16">
        <f>SUM(N4:N15)</f>
        <v>22</v>
      </c>
      <c r="O16">
        <f>SUM(O4:O15)</f>
        <v>21</v>
      </c>
      <c r="Q16">
        <f t="shared" ref="Q16:R16" si="34">SUM(Q4:Q15)</f>
        <v>0</v>
      </c>
      <c r="R16">
        <f t="shared" si="34"/>
        <v>0</v>
      </c>
      <c r="S16">
        <f>SUM(S4:S15)</f>
        <v>10</v>
      </c>
      <c r="T16">
        <f>SUM(T4:T15)</f>
        <v>10</v>
      </c>
      <c r="U16">
        <f>SUM(U4:U15)</f>
        <v>37</v>
      </c>
      <c r="V16">
        <f>SUM(V4:V15)</f>
        <v>0</v>
      </c>
      <c r="W16">
        <f>SUM(W4:W15)</f>
        <v>0</v>
      </c>
      <c r="Z16">
        <f t="shared" ref="Z16:Z27" si="35">COUNTIF(Z2:AC2, "3")*COUNTIF(C4, "r")+COUNTIF(Z2:AC2, "5")*COUNTIF(C4, "b")</f>
        <v>0</v>
      </c>
      <c r="AA16">
        <f t="shared" ref="AA16:AA27" si="36">COUNTIF(Z2:AC2, "1")+COUNTIF(Z2:AC2, "2")+COUNTIF(Z2:AC2, "4")</f>
        <v>0</v>
      </c>
      <c r="AE16">
        <f t="shared" ref="AE16:AE27" si="37">COUNTIF(AE2:AI2, "3")*COUNTIF(C4, "r") + COUNTIF(AE2:AI2, "5")*COUNTIF(C4, "b")</f>
        <v>0</v>
      </c>
      <c r="AF16">
        <f t="shared" ref="AF16:AF27" si="38">COUNTIF(AE2:AI2, "1")+COUNTIF(AE2:AI2, "2")+COUNTIF(AE2:AI2, "4")</f>
        <v>1</v>
      </c>
      <c r="AG16">
        <f t="shared" ref="AG16:AG27" si="39">COUNTIF(AE2:AI2, "3")*COUNTIF(AE2:AI2, "b")+COUNTIF(AE2:AI2, "5")*COUNTIF(AE2:AI2, "r")</f>
        <v>0</v>
      </c>
      <c r="AK16">
        <f t="shared" ref="AK16:AK27" si="40">SUMPRODUCT(LEN($AK2:$BH2) - LEN(SUBSTITUTE($AK2:$BH2, "g", "")))</f>
        <v>0</v>
      </c>
      <c r="AL16">
        <f t="shared" ref="AL16:AL27" si="41">SUMPRODUCT(LEN($AK2:$BH2) - LEN(SUBSTITUTE($AK2:$BH2, "h", "")))</f>
        <v>0</v>
      </c>
      <c r="AM16">
        <f t="shared" ref="AM16:AM27" si="42">SUMPRODUCT(LEN($AK2:$BH2) - LEN(SUBSTITUTE($AK2:$BH2, "v", "")))</f>
        <v>0</v>
      </c>
      <c r="AN16">
        <f t="shared" ref="AN16:AN27" si="43">SUMPRODUCT(LEN($AK2:$BH2) - LEN(SUBSTITUTE($AK2:$BH2, "r", "")))</f>
        <v>0</v>
      </c>
      <c r="AP16">
        <f>MAX(AQ16:BN16)</f>
        <v>0</v>
      </c>
      <c r="AQ16" s="4">
        <f>_xlfn.NUMBERVALUE(RIGHT(AK2,1))</f>
        <v>0</v>
      </c>
      <c r="AR16" s="4">
        <f t="shared" ref="AR16:BG27" si="44">_xlfn.NUMBERVALUE(RIGHT(AL2,1))</f>
        <v>0</v>
      </c>
      <c r="AS16" s="4">
        <f t="shared" si="44"/>
        <v>0</v>
      </c>
      <c r="AT16" s="4">
        <f t="shared" si="44"/>
        <v>0</v>
      </c>
      <c r="AU16" s="4">
        <f t="shared" si="44"/>
        <v>0</v>
      </c>
      <c r="AV16" s="4">
        <f t="shared" si="44"/>
        <v>0</v>
      </c>
      <c r="AW16" s="4">
        <f t="shared" si="44"/>
        <v>0</v>
      </c>
      <c r="AX16" s="4">
        <f t="shared" si="44"/>
        <v>0</v>
      </c>
      <c r="AY16" s="4">
        <f t="shared" si="44"/>
        <v>0</v>
      </c>
      <c r="AZ16" s="4">
        <f t="shared" si="44"/>
        <v>0</v>
      </c>
      <c r="BA16" s="4">
        <f t="shared" si="44"/>
        <v>0</v>
      </c>
      <c r="BB16" s="4">
        <f t="shared" si="44"/>
        <v>0</v>
      </c>
      <c r="BC16" s="4">
        <f t="shared" si="44"/>
        <v>0</v>
      </c>
      <c r="BD16" s="4">
        <f t="shared" si="44"/>
        <v>0</v>
      </c>
      <c r="BE16" s="4">
        <f t="shared" si="44"/>
        <v>0</v>
      </c>
      <c r="BF16" s="4">
        <f t="shared" si="44"/>
        <v>0</v>
      </c>
      <c r="BG16" s="4">
        <f t="shared" si="44"/>
        <v>0</v>
      </c>
      <c r="BH16" s="4">
        <f t="shared" ref="BH16:BN27" si="45">_xlfn.NUMBERVALUE(RIGHT(BB2,1))</f>
        <v>0</v>
      </c>
      <c r="BI16" s="4">
        <f t="shared" si="45"/>
        <v>0</v>
      </c>
      <c r="BJ16" s="4">
        <f t="shared" si="45"/>
        <v>0</v>
      </c>
      <c r="BK16" s="4">
        <f t="shared" si="45"/>
        <v>0</v>
      </c>
      <c r="BL16" s="4">
        <f t="shared" si="45"/>
        <v>0</v>
      </c>
      <c r="BM16" s="4">
        <f t="shared" si="45"/>
        <v>0</v>
      </c>
      <c r="BN16" s="4">
        <f t="shared" si="45"/>
        <v>0</v>
      </c>
    </row>
    <row r="17" spans="1:66" x14ac:dyDescent="0.2">
      <c r="A17" s="1" t="s">
        <v>20</v>
      </c>
      <c r="D17" s="1" t="s">
        <v>49</v>
      </c>
      <c r="G17" s="1" t="s">
        <v>52</v>
      </c>
      <c r="K17" s="3" t="s">
        <v>74</v>
      </c>
      <c r="P17" s="1" t="s">
        <v>66</v>
      </c>
      <c r="Z17">
        <f t="shared" si="35"/>
        <v>0</v>
      </c>
      <c r="AA17">
        <f t="shared" si="36"/>
        <v>0</v>
      </c>
      <c r="AE17">
        <f t="shared" si="37"/>
        <v>0</v>
      </c>
      <c r="AF17">
        <f t="shared" si="38"/>
        <v>0</v>
      </c>
      <c r="AG17">
        <f t="shared" si="39"/>
        <v>0</v>
      </c>
      <c r="AK17">
        <f t="shared" si="40"/>
        <v>0</v>
      </c>
      <c r="AL17">
        <f t="shared" si="41"/>
        <v>0</v>
      </c>
      <c r="AM17">
        <f t="shared" si="42"/>
        <v>0</v>
      </c>
      <c r="AN17">
        <f t="shared" si="43"/>
        <v>0</v>
      </c>
      <c r="AP17">
        <f t="shared" ref="AP17:AP27" si="46">MAX(AQ17:BN17)</f>
        <v>0</v>
      </c>
      <c r="AQ17" s="4">
        <f t="shared" ref="AQ17:AQ27" si="47">_xlfn.NUMBERVALUE(RIGHT(AK3,1))</f>
        <v>0</v>
      </c>
      <c r="AR17" s="4">
        <f t="shared" si="44"/>
        <v>0</v>
      </c>
      <c r="AS17" s="4">
        <f t="shared" si="44"/>
        <v>0</v>
      </c>
      <c r="AT17" s="4">
        <f t="shared" si="44"/>
        <v>0</v>
      </c>
      <c r="AU17" s="4">
        <f t="shared" si="44"/>
        <v>0</v>
      </c>
      <c r="AV17" s="4">
        <f t="shared" si="44"/>
        <v>0</v>
      </c>
      <c r="AW17" s="4">
        <f t="shared" si="44"/>
        <v>0</v>
      </c>
      <c r="AX17" s="4">
        <f t="shared" si="44"/>
        <v>0</v>
      </c>
      <c r="AY17" s="4">
        <f t="shared" si="44"/>
        <v>0</v>
      </c>
      <c r="AZ17" s="4">
        <f t="shared" si="44"/>
        <v>0</v>
      </c>
      <c r="BA17" s="4">
        <f t="shared" si="44"/>
        <v>0</v>
      </c>
      <c r="BB17" s="4">
        <f t="shared" si="44"/>
        <v>0</v>
      </c>
      <c r="BC17" s="4">
        <f t="shared" si="44"/>
        <v>0</v>
      </c>
      <c r="BD17" s="4">
        <f t="shared" si="44"/>
        <v>0</v>
      </c>
      <c r="BE17" s="4">
        <f t="shared" si="44"/>
        <v>0</v>
      </c>
      <c r="BF17" s="4">
        <f t="shared" si="44"/>
        <v>0</v>
      </c>
      <c r="BG17" s="4">
        <f t="shared" si="44"/>
        <v>0</v>
      </c>
      <c r="BH17" s="4">
        <f t="shared" si="45"/>
        <v>0</v>
      </c>
      <c r="BI17" s="4">
        <f t="shared" si="45"/>
        <v>0</v>
      </c>
      <c r="BJ17" s="4">
        <f t="shared" si="45"/>
        <v>0</v>
      </c>
      <c r="BK17" s="4">
        <f t="shared" si="45"/>
        <v>0</v>
      </c>
      <c r="BL17" s="4">
        <f t="shared" si="45"/>
        <v>0</v>
      </c>
      <c r="BM17" s="4">
        <f t="shared" si="45"/>
        <v>0</v>
      </c>
      <c r="BN17" s="4">
        <f t="shared" si="45"/>
        <v>0</v>
      </c>
    </row>
    <row r="18" spans="1:66" x14ac:dyDescent="0.2">
      <c r="A18" t="s">
        <v>32</v>
      </c>
      <c r="B18" t="s">
        <v>21</v>
      </c>
      <c r="D18" t="s">
        <v>180</v>
      </c>
      <c r="G18" s="3" t="s">
        <v>53</v>
      </c>
      <c r="K18" t="s">
        <v>55</v>
      </c>
      <c r="M18" t="s">
        <v>65</v>
      </c>
      <c r="P18" t="s">
        <v>67</v>
      </c>
      <c r="Z18">
        <f t="shared" si="35"/>
        <v>0</v>
      </c>
      <c r="AA18">
        <f t="shared" si="36"/>
        <v>0</v>
      </c>
      <c r="AE18">
        <f t="shared" si="37"/>
        <v>0</v>
      </c>
      <c r="AF18">
        <f t="shared" si="38"/>
        <v>0</v>
      </c>
      <c r="AG18">
        <f t="shared" si="39"/>
        <v>0</v>
      </c>
      <c r="AK18">
        <f t="shared" si="40"/>
        <v>0</v>
      </c>
      <c r="AL18">
        <f t="shared" si="41"/>
        <v>0</v>
      </c>
      <c r="AM18">
        <f t="shared" si="42"/>
        <v>0</v>
      </c>
      <c r="AN18">
        <f t="shared" si="43"/>
        <v>0</v>
      </c>
      <c r="AP18">
        <f t="shared" si="46"/>
        <v>0</v>
      </c>
      <c r="AQ18" s="4">
        <f t="shared" si="47"/>
        <v>0</v>
      </c>
      <c r="AR18" s="4">
        <f t="shared" si="44"/>
        <v>0</v>
      </c>
      <c r="AS18" s="4">
        <f t="shared" si="44"/>
        <v>0</v>
      </c>
      <c r="AT18" s="4">
        <f t="shared" si="44"/>
        <v>0</v>
      </c>
      <c r="AU18" s="4">
        <f t="shared" si="44"/>
        <v>0</v>
      </c>
      <c r="AV18" s="4">
        <f t="shared" si="44"/>
        <v>0</v>
      </c>
      <c r="AW18" s="4">
        <f t="shared" si="44"/>
        <v>0</v>
      </c>
      <c r="AX18" s="4">
        <f t="shared" si="44"/>
        <v>0</v>
      </c>
      <c r="AY18" s="4">
        <f t="shared" si="44"/>
        <v>0</v>
      </c>
      <c r="AZ18" s="4">
        <f t="shared" si="44"/>
        <v>0</v>
      </c>
      <c r="BA18" s="4">
        <f t="shared" si="44"/>
        <v>0</v>
      </c>
      <c r="BB18" s="4">
        <f t="shared" si="44"/>
        <v>0</v>
      </c>
      <c r="BC18" s="4">
        <f t="shared" si="44"/>
        <v>0</v>
      </c>
      <c r="BD18" s="4">
        <f t="shared" si="44"/>
        <v>0</v>
      </c>
      <c r="BE18" s="4">
        <f t="shared" si="44"/>
        <v>0</v>
      </c>
      <c r="BF18" s="4">
        <f t="shared" si="44"/>
        <v>0</v>
      </c>
      <c r="BG18" s="4">
        <f t="shared" si="44"/>
        <v>0</v>
      </c>
      <c r="BH18" s="4">
        <f t="shared" si="45"/>
        <v>0</v>
      </c>
      <c r="BI18" s="4">
        <f t="shared" si="45"/>
        <v>0</v>
      </c>
      <c r="BJ18" s="4">
        <f t="shared" si="45"/>
        <v>0</v>
      </c>
      <c r="BK18" s="4">
        <f t="shared" si="45"/>
        <v>0</v>
      </c>
      <c r="BL18" s="4">
        <f t="shared" si="45"/>
        <v>0</v>
      </c>
      <c r="BM18" s="4">
        <f t="shared" si="45"/>
        <v>0</v>
      </c>
      <c r="BN18" s="4">
        <f t="shared" si="45"/>
        <v>0</v>
      </c>
    </row>
    <row r="19" spans="1:66" x14ac:dyDescent="0.2">
      <c r="A19" t="s">
        <v>40</v>
      </c>
      <c r="B19" t="s">
        <v>22</v>
      </c>
      <c r="D19">
        <f>E16/D16</f>
        <v>0.5</v>
      </c>
      <c r="G19" t="s">
        <v>75</v>
      </c>
      <c r="K19">
        <f>O16/N16</f>
        <v>0.95454545454545459</v>
      </c>
      <c r="M19">
        <f>SUM(M39:M50)</f>
        <v>3</v>
      </c>
      <c r="P19">
        <f>T16/S16</f>
        <v>1</v>
      </c>
      <c r="Z19">
        <f t="shared" si="35"/>
        <v>0</v>
      </c>
      <c r="AA19">
        <f t="shared" si="36"/>
        <v>0</v>
      </c>
      <c r="AE19">
        <f t="shared" si="37"/>
        <v>0</v>
      </c>
      <c r="AF19">
        <f t="shared" si="38"/>
        <v>0</v>
      </c>
      <c r="AG19">
        <f t="shared" si="39"/>
        <v>0</v>
      </c>
      <c r="AK19">
        <f t="shared" si="40"/>
        <v>0</v>
      </c>
      <c r="AL19">
        <f t="shared" si="41"/>
        <v>0</v>
      </c>
      <c r="AM19">
        <f t="shared" si="42"/>
        <v>0</v>
      </c>
      <c r="AN19">
        <f t="shared" si="43"/>
        <v>0</v>
      </c>
      <c r="AP19">
        <f t="shared" si="46"/>
        <v>0</v>
      </c>
      <c r="AQ19" s="4">
        <f t="shared" si="47"/>
        <v>0</v>
      </c>
      <c r="AR19" s="4">
        <f t="shared" si="44"/>
        <v>0</v>
      </c>
      <c r="AS19" s="4">
        <f t="shared" si="44"/>
        <v>0</v>
      </c>
      <c r="AT19" s="4">
        <f t="shared" si="44"/>
        <v>0</v>
      </c>
      <c r="AU19" s="4">
        <f t="shared" si="44"/>
        <v>0</v>
      </c>
      <c r="AV19" s="4">
        <f t="shared" si="44"/>
        <v>0</v>
      </c>
      <c r="AW19" s="4">
        <f t="shared" si="44"/>
        <v>0</v>
      </c>
      <c r="AX19" s="4">
        <f t="shared" si="44"/>
        <v>0</v>
      </c>
      <c r="AY19" s="4">
        <f t="shared" si="44"/>
        <v>0</v>
      </c>
      <c r="AZ19" s="4">
        <f t="shared" si="44"/>
        <v>0</v>
      </c>
      <c r="BA19" s="4">
        <f t="shared" si="44"/>
        <v>0</v>
      </c>
      <c r="BB19" s="4">
        <f t="shared" si="44"/>
        <v>0</v>
      </c>
      <c r="BC19" s="4">
        <f t="shared" si="44"/>
        <v>0</v>
      </c>
      <c r="BD19" s="4">
        <f t="shared" si="44"/>
        <v>0</v>
      </c>
      <c r="BE19" s="4">
        <f t="shared" si="44"/>
        <v>0</v>
      </c>
      <c r="BF19" s="4">
        <f t="shared" si="44"/>
        <v>0</v>
      </c>
      <c r="BG19" s="4">
        <f t="shared" si="44"/>
        <v>0</v>
      </c>
      <c r="BH19" s="4">
        <f t="shared" si="45"/>
        <v>0</v>
      </c>
      <c r="BI19" s="4">
        <f t="shared" si="45"/>
        <v>0</v>
      </c>
      <c r="BJ19" s="4">
        <f t="shared" si="45"/>
        <v>0</v>
      </c>
      <c r="BK19" s="4">
        <f t="shared" si="45"/>
        <v>0</v>
      </c>
      <c r="BL19" s="4">
        <f t="shared" si="45"/>
        <v>0</v>
      </c>
      <c r="BM19" s="4">
        <f t="shared" si="45"/>
        <v>0</v>
      </c>
      <c r="BN19" s="4">
        <f t="shared" si="45"/>
        <v>0</v>
      </c>
    </row>
    <row r="20" spans="1:66" x14ac:dyDescent="0.2">
      <c r="A20" t="s">
        <v>41</v>
      </c>
      <c r="B20" t="s">
        <v>23</v>
      </c>
      <c r="D20" t="s">
        <v>47</v>
      </c>
      <c r="G20" t="e">
        <f>AK28/AP28</f>
        <v>#DIV/0!</v>
      </c>
      <c r="K20" t="s">
        <v>13</v>
      </c>
      <c r="Z20">
        <f t="shared" si="35"/>
        <v>0</v>
      </c>
      <c r="AA20">
        <f t="shared" si="36"/>
        <v>0</v>
      </c>
      <c r="AE20">
        <f t="shared" si="37"/>
        <v>0</v>
      </c>
      <c r="AF20">
        <f t="shared" si="38"/>
        <v>0</v>
      </c>
      <c r="AG20">
        <f t="shared" si="39"/>
        <v>0</v>
      </c>
      <c r="AK20">
        <f t="shared" si="40"/>
        <v>0</v>
      </c>
      <c r="AL20">
        <f t="shared" si="41"/>
        <v>0</v>
      </c>
      <c r="AM20">
        <f t="shared" si="42"/>
        <v>0</v>
      </c>
      <c r="AN20">
        <f t="shared" si="43"/>
        <v>0</v>
      </c>
      <c r="AP20">
        <f t="shared" si="46"/>
        <v>0</v>
      </c>
      <c r="AQ20" s="4">
        <f t="shared" si="47"/>
        <v>0</v>
      </c>
      <c r="AR20" s="4">
        <f t="shared" si="44"/>
        <v>0</v>
      </c>
      <c r="AS20" s="4">
        <f t="shared" si="44"/>
        <v>0</v>
      </c>
      <c r="AT20" s="4">
        <f t="shared" si="44"/>
        <v>0</v>
      </c>
      <c r="AU20" s="4">
        <f t="shared" si="44"/>
        <v>0</v>
      </c>
      <c r="AV20" s="4">
        <f t="shared" si="44"/>
        <v>0</v>
      </c>
      <c r="AW20" s="4">
        <f t="shared" si="44"/>
        <v>0</v>
      </c>
      <c r="AX20" s="4">
        <f t="shared" si="44"/>
        <v>0</v>
      </c>
      <c r="AY20" s="4">
        <f t="shared" si="44"/>
        <v>0</v>
      </c>
      <c r="AZ20" s="4">
        <f t="shared" si="44"/>
        <v>0</v>
      </c>
      <c r="BA20" s="4">
        <f t="shared" si="44"/>
        <v>0</v>
      </c>
      <c r="BB20" s="4">
        <f t="shared" si="44"/>
        <v>0</v>
      </c>
      <c r="BC20" s="4">
        <f t="shared" si="44"/>
        <v>0</v>
      </c>
      <c r="BD20" s="4">
        <f t="shared" si="44"/>
        <v>0</v>
      </c>
      <c r="BE20" s="4">
        <f t="shared" si="44"/>
        <v>0</v>
      </c>
      <c r="BF20" s="4">
        <f t="shared" si="44"/>
        <v>0</v>
      </c>
      <c r="BG20" s="4">
        <f t="shared" si="44"/>
        <v>0</v>
      </c>
      <c r="BH20" s="4">
        <f t="shared" si="45"/>
        <v>0</v>
      </c>
      <c r="BI20" s="4">
        <f t="shared" si="45"/>
        <v>0</v>
      </c>
      <c r="BJ20" s="4">
        <f t="shared" si="45"/>
        <v>0</v>
      </c>
      <c r="BK20" s="4">
        <f t="shared" si="45"/>
        <v>0</v>
      </c>
      <c r="BL20" s="4">
        <f t="shared" si="45"/>
        <v>0</v>
      </c>
      <c r="BM20" s="4">
        <f t="shared" si="45"/>
        <v>0</v>
      </c>
      <c r="BN20" s="4">
        <f t="shared" si="45"/>
        <v>0</v>
      </c>
    </row>
    <row r="21" spans="1:66" x14ac:dyDescent="0.2">
      <c r="A21" s="1" t="s">
        <v>24</v>
      </c>
      <c r="D21">
        <f>G16/A31</f>
        <v>0</v>
      </c>
      <c r="G21" t="s">
        <v>76</v>
      </c>
      <c r="K21" t="s">
        <v>57</v>
      </c>
      <c r="L21" t="s">
        <v>58</v>
      </c>
      <c r="M21" t="s">
        <v>59</v>
      </c>
      <c r="N21" t="s">
        <v>60</v>
      </c>
      <c r="Z21">
        <f t="shared" si="35"/>
        <v>0</v>
      </c>
      <c r="AA21">
        <f t="shared" si="36"/>
        <v>0</v>
      </c>
      <c r="AE21">
        <f t="shared" si="37"/>
        <v>0</v>
      </c>
      <c r="AF21">
        <f t="shared" si="38"/>
        <v>1</v>
      </c>
      <c r="AG21">
        <f t="shared" si="39"/>
        <v>0</v>
      </c>
      <c r="AK21">
        <f t="shared" si="40"/>
        <v>0</v>
      </c>
      <c r="AL21">
        <f t="shared" si="41"/>
        <v>0</v>
      </c>
      <c r="AM21">
        <f t="shared" si="42"/>
        <v>0</v>
      </c>
      <c r="AN21">
        <f t="shared" si="43"/>
        <v>0</v>
      </c>
      <c r="AP21">
        <f t="shared" si="46"/>
        <v>0</v>
      </c>
      <c r="AQ21" s="4">
        <f t="shared" si="47"/>
        <v>0</v>
      </c>
      <c r="AR21" s="4">
        <f t="shared" si="44"/>
        <v>0</v>
      </c>
      <c r="AS21" s="4">
        <f t="shared" si="44"/>
        <v>0</v>
      </c>
      <c r="AT21" s="4">
        <f t="shared" si="44"/>
        <v>0</v>
      </c>
      <c r="AU21" s="4">
        <f t="shared" si="44"/>
        <v>0</v>
      </c>
      <c r="AV21" s="4">
        <f t="shared" si="44"/>
        <v>0</v>
      </c>
      <c r="AW21" s="4">
        <f t="shared" si="44"/>
        <v>0</v>
      </c>
      <c r="AX21" s="4">
        <f t="shared" si="44"/>
        <v>0</v>
      </c>
      <c r="AY21" s="4">
        <f t="shared" si="44"/>
        <v>0</v>
      </c>
      <c r="AZ21" s="4">
        <f t="shared" si="44"/>
        <v>0</v>
      </c>
      <c r="BA21" s="4">
        <f t="shared" si="44"/>
        <v>0</v>
      </c>
      <c r="BB21" s="4">
        <f t="shared" si="44"/>
        <v>0</v>
      </c>
      <c r="BC21" s="4">
        <f t="shared" si="44"/>
        <v>0</v>
      </c>
      <c r="BD21" s="4">
        <f t="shared" si="44"/>
        <v>0</v>
      </c>
      <c r="BE21" s="4">
        <f t="shared" si="44"/>
        <v>0</v>
      </c>
      <c r="BF21" s="4">
        <f t="shared" si="44"/>
        <v>0</v>
      </c>
      <c r="BG21" s="4">
        <f t="shared" si="44"/>
        <v>0</v>
      </c>
      <c r="BH21" s="4">
        <f t="shared" si="45"/>
        <v>0</v>
      </c>
      <c r="BI21" s="4">
        <f t="shared" si="45"/>
        <v>0</v>
      </c>
      <c r="BJ21" s="4">
        <f t="shared" si="45"/>
        <v>0</v>
      </c>
      <c r="BK21" s="4">
        <f t="shared" si="45"/>
        <v>0</v>
      </c>
      <c r="BL21" s="4">
        <f t="shared" si="45"/>
        <v>0</v>
      </c>
      <c r="BM21" s="4">
        <f t="shared" si="45"/>
        <v>0</v>
      </c>
      <c r="BN21" s="4">
        <f t="shared" si="45"/>
        <v>0</v>
      </c>
    </row>
    <row r="22" spans="1:66" x14ac:dyDescent="0.2">
      <c r="A22" t="s">
        <v>36</v>
      </c>
      <c r="B22" t="s">
        <v>10</v>
      </c>
      <c r="D22" t="s">
        <v>48</v>
      </c>
      <c r="G22" t="e">
        <f>AL28/AP28</f>
        <v>#DIV/0!</v>
      </c>
      <c r="K22">
        <f>AVERAGE(C39:C50)</f>
        <v>1.75</v>
      </c>
      <c r="L22">
        <f>MEDIAN(C39:C50)</f>
        <v>2</v>
      </c>
      <c r="M22">
        <f>MAX(C39:C50)</f>
        <v>3</v>
      </c>
      <c r="N22">
        <f>_xlfn.STDEV.S(C39:C50)</f>
        <v>0.96530729916342273</v>
      </c>
      <c r="Z22">
        <f t="shared" si="35"/>
        <v>0</v>
      </c>
      <c r="AA22">
        <f t="shared" si="36"/>
        <v>0</v>
      </c>
      <c r="AE22">
        <f t="shared" si="37"/>
        <v>0</v>
      </c>
      <c r="AF22">
        <f t="shared" si="38"/>
        <v>1</v>
      </c>
      <c r="AG22">
        <f t="shared" si="39"/>
        <v>0</v>
      </c>
      <c r="AK22">
        <f t="shared" si="40"/>
        <v>0</v>
      </c>
      <c r="AL22">
        <f t="shared" si="41"/>
        <v>0</v>
      </c>
      <c r="AM22">
        <f t="shared" si="42"/>
        <v>0</v>
      </c>
      <c r="AN22">
        <f t="shared" si="43"/>
        <v>0</v>
      </c>
      <c r="AP22">
        <f t="shared" si="46"/>
        <v>0</v>
      </c>
      <c r="AQ22" s="4">
        <f t="shared" si="47"/>
        <v>0</v>
      </c>
      <c r="AR22" s="4">
        <f t="shared" si="44"/>
        <v>0</v>
      </c>
      <c r="AS22" s="4">
        <f t="shared" si="44"/>
        <v>0</v>
      </c>
      <c r="AT22" s="4">
        <f t="shared" si="44"/>
        <v>0</v>
      </c>
      <c r="AU22" s="4">
        <f t="shared" si="44"/>
        <v>0</v>
      </c>
      <c r="AV22" s="4">
        <f t="shared" si="44"/>
        <v>0</v>
      </c>
      <c r="AW22" s="4">
        <f t="shared" si="44"/>
        <v>0</v>
      </c>
      <c r="AX22" s="4">
        <f t="shared" si="44"/>
        <v>0</v>
      </c>
      <c r="AY22" s="4">
        <f t="shared" si="44"/>
        <v>0</v>
      </c>
      <c r="AZ22" s="4">
        <f t="shared" si="44"/>
        <v>0</v>
      </c>
      <c r="BA22" s="4">
        <f t="shared" si="44"/>
        <v>0</v>
      </c>
      <c r="BB22" s="4">
        <f t="shared" si="44"/>
        <v>0</v>
      </c>
      <c r="BC22" s="4">
        <f t="shared" si="44"/>
        <v>0</v>
      </c>
      <c r="BD22" s="4">
        <f t="shared" si="44"/>
        <v>0</v>
      </c>
      <c r="BE22" s="4">
        <f t="shared" si="44"/>
        <v>0</v>
      </c>
      <c r="BF22" s="4">
        <f t="shared" si="44"/>
        <v>0</v>
      </c>
      <c r="BG22" s="4">
        <f t="shared" si="44"/>
        <v>0</v>
      </c>
      <c r="BH22" s="4">
        <f t="shared" si="45"/>
        <v>0</v>
      </c>
      <c r="BI22" s="4">
        <f t="shared" si="45"/>
        <v>0</v>
      </c>
      <c r="BJ22" s="4">
        <f t="shared" si="45"/>
        <v>0</v>
      </c>
      <c r="BK22" s="4">
        <f t="shared" si="45"/>
        <v>0</v>
      </c>
      <c r="BL22" s="4">
        <f t="shared" si="45"/>
        <v>0</v>
      </c>
      <c r="BM22" s="4">
        <f t="shared" si="45"/>
        <v>0</v>
      </c>
      <c r="BN22" s="4">
        <f t="shared" si="45"/>
        <v>0</v>
      </c>
    </row>
    <row r="23" spans="1:66" x14ac:dyDescent="0.2">
      <c r="A23" t="s">
        <v>37</v>
      </c>
      <c r="B23" t="s">
        <v>25</v>
      </c>
      <c r="D23">
        <f>H16/A31</f>
        <v>0</v>
      </c>
      <c r="G23" t="s">
        <v>77</v>
      </c>
      <c r="K23" t="s">
        <v>8</v>
      </c>
      <c r="Z23">
        <f t="shared" si="35"/>
        <v>0</v>
      </c>
      <c r="AA23">
        <f t="shared" si="36"/>
        <v>0</v>
      </c>
      <c r="AE23">
        <f t="shared" si="37"/>
        <v>0</v>
      </c>
      <c r="AF23">
        <f t="shared" si="38"/>
        <v>0</v>
      </c>
      <c r="AG23">
        <f t="shared" si="39"/>
        <v>0</v>
      </c>
      <c r="AK23">
        <f t="shared" si="40"/>
        <v>0</v>
      </c>
      <c r="AL23">
        <f t="shared" si="41"/>
        <v>0</v>
      </c>
      <c r="AM23">
        <f t="shared" si="42"/>
        <v>0</v>
      </c>
      <c r="AN23">
        <f t="shared" si="43"/>
        <v>0</v>
      </c>
      <c r="AP23">
        <f t="shared" si="46"/>
        <v>0</v>
      </c>
      <c r="AQ23" s="4">
        <f t="shared" si="47"/>
        <v>0</v>
      </c>
      <c r="AR23" s="4">
        <f t="shared" si="44"/>
        <v>0</v>
      </c>
      <c r="AS23" s="4">
        <f t="shared" si="44"/>
        <v>0</v>
      </c>
      <c r="AT23" s="4">
        <f t="shared" si="44"/>
        <v>0</v>
      </c>
      <c r="AU23" s="4">
        <f t="shared" si="44"/>
        <v>0</v>
      </c>
      <c r="AV23" s="4">
        <f t="shared" si="44"/>
        <v>0</v>
      </c>
      <c r="AW23" s="4">
        <f t="shared" si="44"/>
        <v>0</v>
      </c>
      <c r="AX23" s="4">
        <f t="shared" si="44"/>
        <v>0</v>
      </c>
      <c r="AY23" s="4">
        <f t="shared" si="44"/>
        <v>0</v>
      </c>
      <c r="AZ23" s="4">
        <f t="shared" si="44"/>
        <v>0</v>
      </c>
      <c r="BA23" s="4">
        <f t="shared" si="44"/>
        <v>0</v>
      </c>
      <c r="BB23" s="4">
        <f t="shared" si="44"/>
        <v>0</v>
      </c>
      <c r="BC23" s="4">
        <f t="shared" si="44"/>
        <v>0</v>
      </c>
      <c r="BD23" s="4">
        <f t="shared" si="44"/>
        <v>0</v>
      </c>
      <c r="BE23" s="4">
        <f t="shared" si="44"/>
        <v>0</v>
      </c>
      <c r="BF23" s="4">
        <f t="shared" si="44"/>
        <v>0</v>
      </c>
      <c r="BG23" s="4">
        <f t="shared" si="44"/>
        <v>0</v>
      </c>
      <c r="BH23" s="4">
        <f t="shared" si="45"/>
        <v>0</v>
      </c>
      <c r="BI23" s="4">
        <f t="shared" si="45"/>
        <v>0</v>
      </c>
      <c r="BJ23" s="4">
        <f t="shared" si="45"/>
        <v>0</v>
      </c>
      <c r="BK23" s="4">
        <f t="shared" si="45"/>
        <v>0</v>
      </c>
      <c r="BL23" s="4">
        <f t="shared" si="45"/>
        <v>0</v>
      </c>
      <c r="BM23" s="4">
        <f t="shared" si="45"/>
        <v>0</v>
      </c>
      <c r="BN23" s="4">
        <f t="shared" si="45"/>
        <v>0</v>
      </c>
    </row>
    <row r="24" spans="1:66" x14ac:dyDescent="0.2">
      <c r="A24" t="s">
        <v>38</v>
      </c>
      <c r="B24" t="s">
        <v>26</v>
      </c>
      <c r="D24" t="s">
        <v>50</v>
      </c>
      <c r="G24" t="e">
        <f>AM28/AP28</f>
        <v>#DIV/0!</v>
      </c>
      <c r="K24" t="s">
        <v>57</v>
      </c>
      <c r="L24" t="s">
        <v>61</v>
      </c>
      <c r="M24" t="s">
        <v>59</v>
      </c>
      <c r="N24" t="s">
        <v>60</v>
      </c>
      <c r="Z24">
        <f t="shared" si="35"/>
        <v>0</v>
      </c>
      <c r="AA24">
        <f t="shared" si="36"/>
        <v>0</v>
      </c>
      <c r="AE24">
        <f t="shared" si="37"/>
        <v>0</v>
      </c>
      <c r="AF24">
        <f t="shared" si="38"/>
        <v>0</v>
      </c>
      <c r="AG24">
        <f t="shared" si="39"/>
        <v>0</v>
      </c>
      <c r="AK24">
        <f t="shared" si="40"/>
        <v>0</v>
      </c>
      <c r="AL24">
        <f t="shared" si="41"/>
        <v>0</v>
      </c>
      <c r="AM24">
        <f t="shared" si="42"/>
        <v>0</v>
      </c>
      <c r="AN24">
        <f t="shared" si="43"/>
        <v>0</v>
      </c>
      <c r="AP24">
        <f t="shared" si="46"/>
        <v>0</v>
      </c>
      <c r="AQ24" s="4">
        <f t="shared" si="47"/>
        <v>0</v>
      </c>
      <c r="AR24" s="4">
        <f t="shared" si="44"/>
        <v>0</v>
      </c>
      <c r="AS24" s="4">
        <f t="shared" si="44"/>
        <v>0</v>
      </c>
      <c r="AT24" s="4">
        <f t="shared" si="44"/>
        <v>0</v>
      </c>
      <c r="AU24" s="4">
        <f t="shared" si="44"/>
        <v>0</v>
      </c>
      <c r="AV24" s="4">
        <f t="shared" si="44"/>
        <v>0</v>
      </c>
      <c r="AW24" s="4">
        <f t="shared" si="44"/>
        <v>0</v>
      </c>
      <c r="AX24" s="4">
        <f t="shared" si="44"/>
        <v>0</v>
      </c>
      <c r="AY24" s="4">
        <f t="shared" si="44"/>
        <v>0</v>
      </c>
      <c r="AZ24" s="4">
        <f t="shared" si="44"/>
        <v>0</v>
      </c>
      <c r="BA24" s="4">
        <f t="shared" si="44"/>
        <v>0</v>
      </c>
      <c r="BB24" s="4">
        <f t="shared" si="44"/>
        <v>0</v>
      </c>
      <c r="BC24" s="4">
        <f t="shared" si="44"/>
        <v>0</v>
      </c>
      <c r="BD24" s="4">
        <f t="shared" si="44"/>
        <v>0</v>
      </c>
      <c r="BE24" s="4">
        <f t="shared" si="44"/>
        <v>0</v>
      </c>
      <c r="BF24" s="4">
        <f t="shared" si="44"/>
        <v>0</v>
      </c>
      <c r="BG24" s="4">
        <f t="shared" si="44"/>
        <v>0</v>
      </c>
      <c r="BH24" s="4">
        <f t="shared" si="45"/>
        <v>0</v>
      </c>
      <c r="BI24" s="4">
        <f t="shared" si="45"/>
        <v>0</v>
      </c>
      <c r="BJ24" s="4">
        <f t="shared" si="45"/>
        <v>0</v>
      </c>
      <c r="BK24" s="4">
        <f t="shared" si="45"/>
        <v>0</v>
      </c>
      <c r="BL24" s="4">
        <f t="shared" si="45"/>
        <v>0</v>
      </c>
      <c r="BM24" s="4">
        <f t="shared" si="45"/>
        <v>0</v>
      </c>
      <c r="BN24" s="4">
        <f t="shared" si="45"/>
        <v>0</v>
      </c>
    </row>
    <row r="25" spans="1:66" x14ac:dyDescent="0.2">
      <c r="A25" t="s">
        <v>39</v>
      </c>
      <c r="B25" t="s">
        <v>27</v>
      </c>
      <c r="D25">
        <f>Z28/A31</f>
        <v>0</v>
      </c>
      <c r="G25" t="s">
        <v>78</v>
      </c>
      <c r="K25">
        <f>AVERAGE(E39:E50)</f>
        <v>0</v>
      </c>
      <c r="L25">
        <f>MEDIAN(E39:E50)</f>
        <v>0</v>
      </c>
      <c r="M25">
        <f>MAX(E39:E50)</f>
        <v>0</v>
      </c>
      <c r="N25">
        <f>_xlfn.STDEV.S(E39:E50)</f>
        <v>0</v>
      </c>
      <c r="Z25">
        <f t="shared" si="35"/>
        <v>0</v>
      </c>
      <c r="AA25">
        <f t="shared" si="36"/>
        <v>0</v>
      </c>
      <c r="AE25">
        <f t="shared" si="37"/>
        <v>0</v>
      </c>
      <c r="AF25">
        <f t="shared" si="38"/>
        <v>0</v>
      </c>
      <c r="AG25">
        <f t="shared" si="39"/>
        <v>0</v>
      </c>
      <c r="AK25">
        <f t="shared" si="40"/>
        <v>0</v>
      </c>
      <c r="AL25">
        <f t="shared" si="41"/>
        <v>0</v>
      </c>
      <c r="AM25">
        <f t="shared" si="42"/>
        <v>0</v>
      </c>
      <c r="AN25">
        <f t="shared" si="43"/>
        <v>0</v>
      </c>
      <c r="AP25">
        <f t="shared" si="46"/>
        <v>0</v>
      </c>
      <c r="AQ25" s="4">
        <f t="shared" si="47"/>
        <v>0</v>
      </c>
      <c r="AR25" s="4">
        <f t="shared" si="44"/>
        <v>0</v>
      </c>
      <c r="AS25" s="4">
        <f t="shared" si="44"/>
        <v>0</v>
      </c>
      <c r="AT25" s="4">
        <f t="shared" si="44"/>
        <v>0</v>
      </c>
      <c r="AU25" s="4">
        <f t="shared" si="44"/>
        <v>0</v>
      </c>
      <c r="AV25" s="4">
        <f t="shared" si="44"/>
        <v>0</v>
      </c>
      <c r="AW25" s="4">
        <f t="shared" si="44"/>
        <v>0</v>
      </c>
      <c r="AX25" s="4">
        <f t="shared" si="44"/>
        <v>0</v>
      </c>
      <c r="AY25" s="4">
        <f t="shared" si="44"/>
        <v>0</v>
      </c>
      <c r="AZ25" s="4">
        <f t="shared" si="44"/>
        <v>0</v>
      </c>
      <c r="BA25" s="4">
        <f t="shared" si="44"/>
        <v>0</v>
      </c>
      <c r="BB25" s="4">
        <f t="shared" si="44"/>
        <v>0</v>
      </c>
      <c r="BC25" s="4">
        <f t="shared" si="44"/>
        <v>0</v>
      </c>
      <c r="BD25" s="4">
        <f t="shared" si="44"/>
        <v>0</v>
      </c>
      <c r="BE25" s="4">
        <f t="shared" si="44"/>
        <v>0</v>
      </c>
      <c r="BF25" s="4">
        <f t="shared" si="44"/>
        <v>0</v>
      </c>
      <c r="BG25" s="4">
        <f t="shared" si="44"/>
        <v>0</v>
      </c>
      <c r="BH25" s="4">
        <f t="shared" si="45"/>
        <v>0</v>
      </c>
      <c r="BI25" s="4">
        <f t="shared" si="45"/>
        <v>0</v>
      </c>
      <c r="BJ25" s="4">
        <f t="shared" si="45"/>
        <v>0</v>
      </c>
      <c r="BK25" s="4">
        <f t="shared" si="45"/>
        <v>0</v>
      </c>
      <c r="BL25" s="4">
        <f t="shared" si="45"/>
        <v>0</v>
      </c>
      <c r="BM25" s="4">
        <f t="shared" si="45"/>
        <v>0</v>
      </c>
      <c r="BN25" s="4">
        <f t="shared" si="45"/>
        <v>0</v>
      </c>
    </row>
    <row r="26" spans="1:66" x14ac:dyDescent="0.2">
      <c r="A26" t="s">
        <v>44</v>
      </c>
      <c r="D26" t="s">
        <v>51</v>
      </c>
      <c r="G26" t="e">
        <f>AN28/AP28</f>
        <v>#DIV/0!</v>
      </c>
      <c r="K26" t="s">
        <v>62</v>
      </c>
      <c r="P26" t="s">
        <v>19</v>
      </c>
      <c r="Z26">
        <f t="shared" si="35"/>
        <v>0</v>
      </c>
      <c r="AA26">
        <f t="shared" si="36"/>
        <v>0</v>
      </c>
      <c r="AE26">
        <f t="shared" si="37"/>
        <v>0</v>
      </c>
      <c r="AF26">
        <f t="shared" si="38"/>
        <v>0</v>
      </c>
      <c r="AG26">
        <f t="shared" si="39"/>
        <v>0</v>
      </c>
      <c r="AK26">
        <f t="shared" si="40"/>
        <v>0</v>
      </c>
      <c r="AL26">
        <f t="shared" si="41"/>
        <v>0</v>
      </c>
      <c r="AM26">
        <f t="shared" si="42"/>
        <v>0</v>
      </c>
      <c r="AN26">
        <f t="shared" si="43"/>
        <v>0</v>
      </c>
      <c r="AP26">
        <f t="shared" si="46"/>
        <v>0</v>
      </c>
      <c r="AQ26" s="4">
        <f t="shared" si="47"/>
        <v>0</v>
      </c>
      <c r="AR26" s="4">
        <f t="shared" si="44"/>
        <v>0</v>
      </c>
      <c r="AS26" s="4">
        <f t="shared" si="44"/>
        <v>0</v>
      </c>
      <c r="AT26" s="4">
        <f t="shared" si="44"/>
        <v>0</v>
      </c>
      <c r="AU26" s="4">
        <f t="shared" si="44"/>
        <v>0</v>
      </c>
      <c r="AV26" s="4">
        <f t="shared" si="44"/>
        <v>0</v>
      </c>
      <c r="AW26" s="4">
        <f t="shared" si="44"/>
        <v>0</v>
      </c>
      <c r="AX26" s="4">
        <f t="shared" si="44"/>
        <v>0</v>
      </c>
      <c r="AY26" s="4">
        <f t="shared" si="44"/>
        <v>0</v>
      </c>
      <c r="AZ26" s="4">
        <f t="shared" si="44"/>
        <v>0</v>
      </c>
      <c r="BA26" s="4">
        <f t="shared" si="44"/>
        <v>0</v>
      </c>
      <c r="BB26" s="4">
        <f t="shared" si="44"/>
        <v>0</v>
      </c>
      <c r="BC26" s="4">
        <f t="shared" si="44"/>
        <v>0</v>
      </c>
      <c r="BD26" s="4">
        <f t="shared" si="44"/>
        <v>0</v>
      </c>
      <c r="BE26" s="4">
        <f t="shared" si="44"/>
        <v>0</v>
      </c>
      <c r="BF26" s="4">
        <f t="shared" si="44"/>
        <v>0</v>
      </c>
      <c r="BG26" s="4">
        <f t="shared" si="44"/>
        <v>0</v>
      </c>
      <c r="BH26" s="4">
        <f t="shared" si="45"/>
        <v>0</v>
      </c>
      <c r="BI26" s="4">
        <f t="shared" si="45"/>
        <v>0</v>
      </c>
      <c r="BJ26" s="4">
        <f t="shared" si="45"/>
        <v>0</v>
      </c>
      <c r="BK26" s="4">
        <f t="shared" si="45"/>
        <v>0</v>
      </c>
      <c r="BL26" s="4">
        <f t="shared" si="45"/>
        <v>0</v>
      </c>
      <c r="BM26" s="4">
        <f t="shared" si="45"/>
        <v>0</v>
      </c>
      <c r="BN26" s="4">
        <f t="shared" si="45"/>
        <v>0</v>
      </c>
    </row>
    <row r="27" spans="1:66" x14ac:dyDescent="0.2">
      <c r="A27" t="s">
        <v>45</v>
      </c>
      <c r="D27">
        <f>AA28/A31</f>
        <v>0</v>
      </c>
      <c r="G27" t="s">
        <v>56</v>
      </c>
      <c r="K27" t="s">
        <v>57</v>
      </c>
      <c r="L27" t="s">
        <v>58</v>
      </c>
      <c r="M27" t="s">
        <v>59</v>
      </c>
      <c r="N27" t="s">
        <v>60</v>
      </c>
      <c r="P27" t="s">
        <v>57</v>
      </c>
      <c r="Q27" t="s">
        <v>58</v>
      </c>
      <c r="R27" t="s">
        <v>59</v>
      </c>
      <c r="S27" t="s">
        <v>60</v>
      </c>
      <c r="Z27">
        <f t="shared" si="35"/>
        <v>0</v>
      </c>
      <c r="AA27">
        <f t="shared" si="36"/>
        <v>0</v>
      </c>
      <c r="AE27">
        <f t="shared" si="37"/>
        <v>0</v>
      </c>
      <c r="AF27">
        <f t="shared" si="38"/>
        <v>0</v>
      </c>
      <c r="AG27">
        <f t="shared" si="39"/>
        <v>0</v>
      </c>
      <c r="AK27">
        <f t="shared" si="40"/>
        <v>0</v>
      </c>
      <c r="AL27">
        <f t="shared" si="41"/>
        <v>0</v>
      </c>
      <c r="AM27">
        <f t="shared" si="42"/>
        <v>0</v>
      </c>
      <c r="AN27">
        <f t="shared" si="43"/>
        <v>0</v>
      </c>
      <c r="AP27">
        <f t="shared" si="46"/>
        <v>0</v>
      </c>
      <c r="AQ27" s="4">
        <f t="shared" si="47"/>
        <v>0</v>
      </c>
      <c r="AR27" s="4">
        <f t="shared" si="44"/>
        <v>0</v>
      </c>
      <c r="AS27" s="4">
        <f t="shared" si="44"/>
        <v>0</v>
      </c>
      <c r="AT27" s="4">
        <f t="shared" si="44"/>
        <v>0</v>
      </c>
      <c r="AU27" s="4">
        <f t="shared" si="44"/>
        <v>0</v>
      </c>
      <c r="AV27" s="4">
        <f t="shared" si="44"/>
        <v>0</v>
      </c>
      <c r="AW27" s="4">
        <f t="shared" si="44"/>
        <v>0</v>
      </c>
      <c r="AX27" s="4">
        <f t="shared" si="44"/>
        <v>0</v>
      </c>
      <c r="AY27" s="4">
        <f t="shared" si="44"/>
        <v>0</v>
      </c>
      <c r="AZ27" s="4">
        <f t="shared" si="44"/>
        <v>0</v>
      </c>
      <c r="BA27" s="4">
        <f t="shared" si="44"/>
        <v>0</v>
      </c>
      <c r="BB27" s="4">
        <f t="shared" si="44"/>
        <v>0</v>
      </c>
      <c r="BC27" s="4">
        <f t="shared" si="44"/>
        <v>0</v>
      </c>
      <c r="BD27" s="4">
        <f t="shared" si="44"/>
        <v>0</v>
      </c>
      <c r="BE27" s="4">
        <f t="shared" si="44"/>
        <v>0</v>
      </c>
      <c r="BF27" s="4">
        <f t="shared" si="44"/>
        <v>0</v>
      </c>
      <c r="BG27" s="4">
        <f t="shared" si="44"/>
        <v>0</v>
      </c>
      <c r="BH27" s="4">
        <f t="shared" si="45"/>
        <v>0</v>
      </c>
      <c r="BI27" s="4">
        <f t="shared" si="45"/>
        <v>0</v>
      </c>
      <c r="BJ27" s="4">
        <f t="shared" si="45"/>
        <v>0</v>
      </c>
      <c r="BK27" s="4">
        <f t="shared" si="45"/>
        <v>0</v>
      </c>
      <c r="BL27" s="4">
        <f t="shared" si="45"/>
        <v>0</v>
      </c>
      <c r="BM27" s="4">
        <f t="shared" si="45"/>
        <v>0</v>
      </c>
      <c r="BN27" s="4">
        <f t="shared" si="45"/>
        <v>0</v>
      </c>
    </row>
    <row r="28" spans="1:66" x14ac:dyDescent="0.2">
      <c r="A28" t="s">
        <v>46</v>
      </c>
      <c r="D28" t="s">
        <v>202</v>
      </c>
      <c r="G28" t="s">
        <v>57</v>
      </c>
      <c r="H28" t="s">
        <v>58</v>
      </c>
      <c r="I28" t="s">
        <v>59</v>
      </c>
      <c r="J28" t="s">
        <v>60</v>
      </c>
      <c r="K28">
        <f>AVERAGE(G39:G50)</f>
        <v>0</v>
      </c>
      <c r="L28">
        <f>MEDIAN(G39:G50)</f>
        <v>0</v>
      </c>
      <c r="M28">
        <f>MAX(G39:G50)</f>
        <v>0</v>
      </c>
      <c r="N28">
        <f>_xlfn.STDEV.S(G39:G50)</f>
        <v>0</v>
      </c>
      <c r="P28">
        <f>AVERAGE(N39:N50)</f>
        <v>3.0833333333333335</v>
      </c>
      <c r="Q28">
        <f>MEDIAN(N39:N50)</f>
        <v>0</v>
      </c>
      <c r="R28">
        <f>MAX(N39:N50)</f>
        <v>17</v>
      </c>
      <c r="S28">
        <f>_xlfn.STDEV.S(N39:N50)</f>
        <v>5.8846230022651307</v>
      </c>
      <c r="Y28" t="s">
        <v>33</v>
      </c>
      <c r="Z28">
        <f>SUM(Z16:Z27)</f>
        <v>0</v>
      </c>
      <c r="AA28">
        <f>SUM(AA16:AA27)</f>
        <v>0</v>
      </c>
      <c r="AE28">
        <f>SUM(AE16:AE27)</f>
        <v>0</v>
      </c>
      <c r="AF28">
        <f>SUM(AF16:AF27)</f>
        <v>3</v>
      </c>
      <c r="AG28">
        <f>SUM(AG16:AG27)</f>
        <v>0</v>
      </c>
      <c r="AK28">
        <f>SUM(AK16:AK27)</f>
        <v>0</v>
      </c>
      <c r="AL28">
        <f>SUM(AL16:AL27)</f>
        <v>0</v>
      </c>
      <c r="AM28">
        <f>SUM(AM16:AM27)</f>
        <v>0</v>
      </c>
      <c r="AN28">
        <f>SUM(AN16:AN27)</f>
        <v>0</v>
      </c>
      <c r="AP28">
        <f>SUM(AP16:AP27)</f>
        <v>0</v>
      </c>
    </row>
    <row r="29" spans="1:66" x14ac:dyDescent="0.2">
      <c r="D29">
        <f>SUM(O39:O50)/F16</f>
        <v>0.5</v>
      </c>
      <c r="G29">
        <f>AVERAGE(A39:A50)</f>
        <v>0.25</v>
      </c>
      <c r="H29">
        <f>MEDIAN(A39:A50)</f>
        <v>0</v>
      </c>
      <c r="I29">
        <f>MAX(A39:A50)</f>
        <v>1</v>
      </c>
      <c r="J29">
        <f>_xlfn.STDEV.S(A39:A50)</f>
        <v>0.45226701686664544</v>
      </c>
      <c r="K29" t="s">
        <v>63</v>
      </c>
      <c r="P29" t="s">
        <v>148</v>
      </c>
    </row>
    <row r="30" spans="1:66" x14ac:dyDescent="0.2">
      <c r="A30" t="s">
        <v>147</v>
      </c>
      <c r="D30" t="s">
        <v>203</v>
      </c>
      <c r="G30" t="s">
        <v>50</v>
      </c>
      <c r="H30" t="s">
        <v>51</v>
      </c>
      <c r="I30" t="s">
        <v>89</v>
      </c>
      <c r="K30" t="s">
        <v>57</v>
      </c>
      <c r="L30" t="s">
        <v>58</v>
      </c>
      <c r="M30" t="s">
        <v>59</v>
      </c>
      <c r="N30" t="s">
        <v>60</v>
      </c>
      <c r="P30" t="s">
        <v>57</v>
      </c>
      <c r="Q30" t="s">
        <v>58</v>
      </c>
      <c r="R30" t="s">
        <v>59</v>
      </c>
      <c r="S30" t="s">
        <v>60</v>
      </c>
      <c r="W30" t="s">
        <v>148</v>
      </c>
      <c r="Y30" t="s">
        <v>149</v>
      </c>
      <c r="AH30" t="s">
        <v>79</v>
      </c>
    </row>
    <row r="31" spans="1:66" x14ac:dyDescent="0.2">
      <c r="A31">
        <f>COUNT(B4:B15)</f>
        <v>12</v>
      </c>
      <c r="D31" s="2" t="e">
        <f>SUM(S39:S50)/SUM(Q39:Q50)</f>
        <v>#DIV/0!</v>
      </c>
      <c r="G31">
        <f>AE28/A31</f>
        <v>0</v>
      </c>
      <c r="H31">
        <f>AF28/A31</f>
        <v>0.25</v>
      </c>
      <c r="I31">
        <f>AG28/A31</f>
        <v>0</v>
      </c>
      <c r="K31" t="e">
        <f>AVERAGE(I39:I50)</f>
        <v>#DIV/0!</v>
      </c>
      <c r="L31" t="e">
        <f>MEDIAN(I39:I50)</f>
        <v>#NUM!</v>
      </c>
      <c r="M31">
        <f>MAX(I39:I50)</f>
        <v>0</v>
      </c>
      <c r="N31" t="e">
        <f>_xlfn.STDEV.S(I39:I50)</f>
        <v>#DIV/0!</v>
      </c>
      <c r="P31" t="e">
        <f>AVERAGE(W31:W42)</f>
        <v>#DIV/0!</v>
      </c>
      <c r="Q31" t="e">
        <f>MEDIAN(W31:W42)</f>
        <v>#NUM!</v>
      </c>
      <c r="R31">
        <f>MAX(W31:W42)</f>
        <v>0</v>
      </c>
      <c r="S31" t="e">
        <f>_xlfn.STDEV.S(W31:W42)</f>
        <v>#DIV/0!</v>
      </c>
      <c r="W31" t="str">
        <f t="shared" ref="W31:W33" si="48">IF(AND(ISBLANK(Q4), ISBLANK(R4), ISBLANK(G4), ISBLANK(H4)), "", U4)</f>
        <v/>
      </c>
      <c r="Y31" t="str">
        <f t="shared" ref="Y31:Y42" si="49">IF(ISBLANK(Y4), IF(X4 = 0, "", (G4 + H4/3 + V4/9 + W4/3)), U4)</f>
        <v/>
      </c>
      <c r="AH31" t="s">
        <v>80</v>
      </c>
    </row>
    <row r="32" spans="1:66" x14ac:dyDescent="0.2">
      <c r="A32" t="s">
        <v>223</v>
      </c>
      <c r="D32" s="3"/>
      <c r="K32" t="s">
        <v>64</v>
      </c>
      <c r="P32" t="s">
        <v>149</v>
      </c>
      <c r="W32" t="str">
        <f t="shared" si="48"/>
        <v/>
      </c>
      <c r="Y32" t="str">
        <f t="shared" si="49"/>
        <v/>
      </c>
      <c r="AH32" t="s">
        <v>81</v>
      </c>
    </row>
    <row r="33" spans="1:34" x14ac:dyDescent="0.2">
      <c r="A33" t="s">
        <v>244</v>
      </c>
      <c r="D33" s="3"/>
      <c r="K33" t="s">
        <v>57</v>
      </c>
      <c r="L33" t="s">
        <v>58</v>
      </c>
      <c r="M33" t="s">
        <v>59</v>
      </c>
      <c r="N33" t="s">
        <v>60</v>
      </c>
      <c r="P33" t="s">
        <v>57</v>
      </c>
      <c r="Q33" t="s">
        <v>58</v>
      </c>
      <c r="R33" t="s">
        <v>59</v>
      </c>
      <c r="S33" t="s">
        <v>60</v>
      </c>
      <c r="W33" t="str">
        <f t="shared" si="48"/>
        <v/>
      </c>
      <c r="Y33" t="str">
        <f t="shared" si="49"/>
        <v/>
      </c>
      <c r="AH33" t="s">
        <v>82</v>
      </c>
    </row>
    <row r="34" spans="1:34" x14ac:dyDescent="0.2">
      <c r="A34" t="s">
        <v>266</v>
      </c>
      <c r="D34" s="3"/>
      <c r="K34">
        <f>AVERAGE(K39:K50)</f>
        <v>0</v>
      </c>
      <c r="L34">
        <f>MEDIAN(K39:K50)</f>
        <v>0</v>
      </c>
      <c r="M34">
        <f>MAX(K39:K50)</f>
        <v>0</v>
      </c>
      <c r="N34">
        <f>_xlfn.STDEV.S(K39:K50)</f>
        <v>0</v>
      </c>
      <c r="P34" t="e">
        <f>AVERAGE(Y31:Y42)</f>
        <v>#DIV/0!</v>
      </c>
      <c r="Q34" t="e">
        <f>MEDIAN(Y31:Y42)</f>
        <v>#NUM!</v>
      </c>
      <c r="R34">
        <f>MAX(Y31:Y42)</f>
        <v>0</v>
      </c>
      <c r="S34" t="e">
        <f>_xlfn.STDEV.S(Y31:Y42)</f>
        <v>#DIV/0!</v>
      </c>
      <c r="W34" t="str">
        <f>IF(AND(ISBLANK(Q7), ISBLANK(R7), ISBLANK(G7), ISBLANK(H7)), "", U7)</f>
        <v/>
      </c>
      <c r="Y34" t="str">
        <f t="shared" si="49"/>
        <v/>
      </c>
      <c r="AH34" t="s">
        <v>83</v>
      </c>
    </row>
    <row r="35" spans="1:34" x14ac:dyDescent="0.2">
      <c r="A35" t="s">
        <v>273</v>
      </c>
      <c r="P35" t="s">
        <v>95</v>
      </c>
      <c r="R35" t="s">
        <v>197</v>
      </c>
      <c r="W35" t="str">
        <f t="shared" ref="W35:W42" si="50">IF(AND(ISBLANK(Q8), ISBLANK(R8), ISBLANK(G8), ISBLANK(H8)), "", U8)</f>
        <v/>
      </c>
      <c r="Y35" t="str">
        <f t="shared" si="49"/>
        <v/>
      </c>
    </row>
    <row r="36" spans="1:34" x14ac:dyDescent="0.2">
      <c r="A36" t="s">
        <v>334</v>
      </c>
      <c r="P36" t="e">
        <f>Q16/(Q16+R16)</f>
        <v>#DIV/0!</v>
      </c>
      <c r="R36" t="e">
        <f>R16/(Q16+R16)</f>
        <v>#DIV/0!</v>
      </c>
      <c r="W36" t="str">
        <f t="shared" si="50"/>
        <v/>
      </c>
      <c r="Y36" t="str">
        <f t="shared" si="49"/>
        <v/>
      </c>
    </row>
    <row r="37" spans="1:34" x14ac:dyDescent="0.2">
      <c r="W37" t="str">
        <f t="shared" si="50"/>
        <v/>
      </c>
      <c r="Y37" t="str">
        <f t="shared" si="49"/>
        <v/>
      </c>
    </row>
    <row r="38" spans="1:34" x14ac:dyDescent="0.2">
      <c r="A38" t="s">
        <v>68</v>
      </c>
      <c r="C38" t="s">
        <v>69</v>
      </c>
      <c r="E38" t="s">
        <v>72</v>
      </c>
      <c r="G38" t="s">
        <v>250</v>
      </c>
      <c r="K38" t="s">
        <v>73</v>
      </c>
      <c r="M38" t="s">
        <v>70</v>
      </c>
      <c r="N38" t="s">
        <v>71</v>
      </c>
      <c r="O38" t="s">
        <v>199</v>
      </c>
      <c r="Q38" t="s">
        <v>200</v>
      </c>
      <c r="S38" t="s">
        <v>201</v>
      </c>
      <c r="W38" t="str">
        <f t="shared" si="50"/>
        <v/>
      </c>
      <c r="Y38" t="str">
        <f t="shared" si="49"/>
        <v/>
      </c>
    </row>
    <row r="39" spans="1:34" x14ac:dyDescent="0.2">
      <c r="A39">
        <f t="shared" ref="A39:A50" si="51">IF(ISBLANK(B4), "", SUM(AE16+AF16+AG16))</f>
        <v>1</v>
      </c>
      <c r="C39">
        <f t="shared" ref="C39:C50" si="52">IF(ISBLANK(B4), "", O4)</f>
        <v>1</v>
      </c>
      <c r="E39">
        <f t="shared" ref="E39:E50" si="53">IF(ISBLANK(B4), "", Q4)</f>
        <v>0</v>
      </c>
      <c r="G39">
        <f t="shared" ref="G39:G50" si="54">IF(ISBLANK(B4), "", R4)</f>
        <v>0</v>
      </c>
      <c r="K39">
        <f t="shared" ref="K39:K50" si="55">IF(ISBLANK(B4), "", SUM(Q4 + R4))</f>
        <v>0</v>
      </c>
      <c r="M39">
        <f t="shared" ref="M39:M50" si="56">IF(ISBLANK(B4), "", SUM(K4+M4) - O4)</f>
        <v>0</v>
      </c>
      <c r="N39">
        <f t="shared" ref="N39:N50" si="57">IF(ISBLANK(B4), "", U4)</f>
        <v>6</v>
      </c>
      <c r="O39">
        <f t="shared" ref="O39:O50" si="58">COUNTIF(E4, "1")*COUNTIF(F4, "1")</f>
        <v>1</v>
      </c>
      <c r="Q39">
        <f t="shared" ref="Q39:Q50" si="59">COUNTIF(D4, "1")*COUNTIF(F4, "")</f>
        <v>0</v>
      </c>
      <c r="S39">
        <f t="shared" ref="S39:S50" si="60">COUNTIF(E4, "1")*COUNTIF(F4, "")</f>
        <v>0</v>
      </c>
      <c r="W39" t="str">
        <f t="shared" si="50"/>
        <v/>
      </c>
      <c r="Y39" t="str">
        <f t="shared" si="49"/>
        <v/>
      </c>
    </row>
    <row r="40" spans="1:34" x14ac:dyDescent="0.2">
      <c r="A40">
        <f t="shared" si="51"/>
        <v>0</v>
      </c>
      <c r="C40">
        <f t="shared" si="52"/>
        <v>2</v>
      </c>
      <c r="E40">
        <f t="shared" si="53"/>
        <v>0</v>
      </c>
      <c r="G40">
        <f t="shared" si="54"/>
        <v>0</v>
      </c>
      <c r="K40">
        <f t="shared" si="55"/>
        <v>0</v>
      </c>
      <c r="M40">
        <f t="shared" si="56"/>
        <v>-1</v>
      </c>
      <c r="N40">
        <f t="shared" si="57"/>
        <v>0</v>
      </c>
      <c r="O40">
        <f t="shared" si="58"/>
        <v>0</v>
      </c>
      <c r="Q40">
        <f t="shared" si="59"/>
        <v>0</v>
      </c>
      <c r="S40">
        <f t="shared" si="60"/>
        <v>0</v>
      </c>
      <c r="W40" t="str">
        <f t="shared" si="50"/>
        <v/>
      </c>
      <c r="Y40" t="str">
        <f t="shared" si="49"/>
        <v/>
      </c>
    </row>
    <row r="41" spans="1:34" x14ac:dyDescent="0.2">
      <c r="A41">
        <f t="shared" si="51"/>
        <v>0</v>
      </c>
      <c r="C41">
        <f t="shared" si="52"/>
        <v>3</v>
      </c>
      <c r="E41">
        <f t="shared" si="53"/>
        <v>0</v>
      </c>
      <c r="G41">
        <f t="shared" si="54"/>
        <v>0</v>
      </c>
      <c r="K41">
        <f t="shared" si="55"/>
        <v>0</v>
      </c>
      <c r="M41">
        <f t="shared" si="56"/>
        <v>0</v>
      </c>
      <c r="N41">
        <f t="shared" si="57"/>
        <v>0</v>
      </c>
      <c r="O41">
        <f t="shared" si="58"/>
        <v>0</v>
      </c>
      <c r="Q41">
        <f t="shared" si="59"/>
        <v>0</v>
      </c>
      <c r="S41">
        <f t="shared" si="60"/>
        <v>0</v>
      </c>
      <c r="W41" t="str">
        <f t="shared" si="50"/>
        <v/>
      </c>
      <c r="Y41" t="str">
        <f t="shared" si="49"/>
        <v/>
      </c>
    </row>
    <row r="42" spans="1:34" x14ac:dyDescent="0.2">
      <c r="A42">
        <f t="shared" si="51"/>
        <v>0</v>
      </c>
      <c r="C42">
        <f t="shared" si="52"/>
        <v>1</v>
      </c>
      <c r="E42">
        <f t="shared" si="53"/>
        <v>0</v>
      </c>
      <c r="G42">
        <f t="shared" si="54"/>
        <v>0</v>
      </c>
      <c r="K42">
        <f t="shared" si="55"/>
        <v>0</v>
      </c>
      <c r="M42">
        <f t="shared" si="56"/>
        <v>1</v>
      </c>
      <c r="N42">
        <f t="shared" si="57"/>
        <v>0</v>
      </c>
      <c r="O42">
        <f t="shared" si="58"/>
        <v>1</v>
      </c>
      <c r="Q42">
        <f t="shared" si="59"/>
        <v>0</v>
      </c>
      <c r="S42">
        <f t="shared" si="60"/>
        <v>0</v>
      </c>
      <c r="W42" t="str">
        <f t="shared" si="50"/>
        <v/>
      </c>
      <c r="Y42" t="str">
        <f t="shared" si="49"/>
        <v/>
      </c>
    </row>
    <row r="43" spans="1:34" x14ac:dyDescent="0.2">
      <c r="A43">
        <f t="shared" si="51"/>
        <v>0</v>
      </c>
      <c r="C43">
        <f t="shared" si="52"/>
        <v>2</v>
      </c>
      <c r="E43">
        <f t="shared" si="53"/>
        <v>0</v>
      </c>
      <c r="G43">
        <f t="shared" si="54"/>
        <v>0</v>
      </c>
      <c r="K43">
        <f t="shared" si="55"/>
        <v>0</v>
      </c>
      <c r="M43">
        <f t="shared" si="56"/>
        <v>1</v>
      </c>
      <c r="N43">
        <f t="shared" si="57"/>
        <v>1</v>
      </c>
      <c r="O43">
        <f t="shared" si="58"/>
        <v>0</v>
      </c>
      <c r="Q43">
        <f t="shared" si="59"/>
        <v>0</v>
      </c>
      <c r="S43">
        <f t="shared" si="60"/>
        <v>0</v>
      </c>
    </row>
    <row r="44" spans="1:34" x14ac:dyDescent="0.2">
      <c r="A44">
        <f t="shared" si="51"/>
        <v>1</v>
      </c>
      <c r="C44">
        <f t="shared" si="52"/>
        <v>1</v>
      </c>
      <c r="E44">
        <f t="shared" si="53"/>
        <v>0</v>
      </c>
      <c r="G44">
        <f t="shared" si="54"/>
        <v>0</v>
      </c>
      <c r="K44">
        <f t="shared" si="55"/>
        <v>0</v>
      </c>
      <c r="M44">
        <f t="shared" si="56"/>
        <v>1</v>
      </c>
      <c r="N44">
        <f t="shared" si="57"/>
        <v>17</v>
      </c>
      <c r="O44">
        <f t="shared" si="58"/>
        <v>1</v>
      </c>
      <c r="Q44">
        <f t="shared" si="59"/>
        <v>0</v>
      </c>
      <c r="S44">
        <f t="shared" si="60"/>
        <v>0</v>
      </c>
    </row>
    <row r="45" spans="1:34" x14ac:dyDescent="0.2">
      <c r="A45">
        <f t="shared" si="51"/>
        <v>1</v>
      </c>
      <c r="C45">
        <f t="shared" si="52"/>
        <v>2</v>
      </c>
      <c r="E45">
        <f t="shared" si="53"/>
        <v>0</v>
      </c>
      <c r="G45">
        <f t="shared" si="54"/>
        <v>0</v>
      </c>
      <c r="K45">
        <f t="shared" si="55"/>
        <v>0</v>
      </c>
      <c r="M45">
        <f t="shared" si="56"/>
        <v>-1</v>
      </c>
      <c r="N45">
        <f t="shared" si="57"/>
        <v>0</v>
      </c>
      <c r="O45">
        <f t="shared" si="58"/>
        <v>0</v>
      </c>
      <c r="Q45">
        <f t="shared" si="59"/>
        <v>0</v>
      </c>
      <c r="S45">
        <f t="shared" si="60"/>
        <v>0</v>
      </c>
    </row>
    <row r="46" spans="1:34" x14ac:dyDescent="0.2">
      <c r="A46">
        <f t="shared" si="51"/>
        <v>0</v>
      </c>
      <c r="C46">
        <f t="shared" si="52"/>
        <v>3</v>
      </c>
      <c r="E46">
        <f t="shared" si="53"/>
        <v>0</v>
      </c>
      <c r="G46">
        <f t="shared" si="54"/>
        <v>0</v>
      </c>
      <c r="K46">
        <f t="shared" si="55"/>
        <v>0</v>
      </c>
      <c r="M46">
        <f t="shared" si="56"/>
        <v>-1</v>
      </c>
      <c r="N46">
        <f t="shared" si="57"/>
        <v>0</v>
      </c>
      <c r="O46">
        <f t="shared" si="58"/>
        <v>0</v>
      </c>
      <c r="Q46">
        <f t="shared" si="59"/>
        <v>0</v>
      </c>
      <c r="S46">
        <f t="shared" si="60"/>
        <v>0</v>
      </c>
    </row>
    <row r="47" spans="1:34" x14ac:dyDescent="0.2">
      <c r="A47">
        <f t="shared" si="51"/>
        <v>0</v>
      </c>
      <c r="C47">
        <f t="shared" si="52"/>
        <v>1</v>
      </c>
      <c r="E47">
        <f t="shared" si="53"/>
        <v>0</v>
      </c>
      <c r="G47">
        <f t="shared" si="54"/>
        <v>0</v>
      </c>
      <c r="K47">
        <f t="shared" si="55"/>
        <v>0</v>
      </c>
      <c r="M47">
        <f t="shared" si="56"/>
        <v>0</v>
      </c>
      <c r="N47">
        <f t="shared" si="57"/>
        <v>13</v>
      </c>
      <c r="O47">
        <f t="shared" si="58"/>
        <v>1</v>
      </c>
      <c r="Q47">
        <f t="shared" si="59"/>
        <v>0</v>
      </c>
      <c r="S47">
        <f t="shared" si="60"/>
        <v>0</v>
      </c>
    </row>
    <row r="48" spans="1:34" x14ac:dyDescent="0.2">
      <c r="A48">
        <f t="shared" si="51"/>
        <v>0</v>
      </c>
      <c r="C48">
        <f t="shared" si="52"/>
        <v>3</v>
      </c>
      <c r="E48">
        <f t="shared" si="53"/>
        <v>0</v>
      </c>
      <c r="G48">
        <f t="shared" si="54"/>
        <v>0</v>
      </c>
      <c r="K48">
        <f t="shared" si="55"/>
        <v>0</v>
      </c>
      <c r="M48">
        <f t="shared" si="56"/>
        <v>0</v>
      </c>
      <c r="N48">
        <f t="shared" si="57"/>
        <v>0</v>
      </c>
      <c r="O48">
        <f t="shared" si="58"/>
        <v>0</v>
      </c>
      <c r="Q48">
        <f t="shared" si="59"/>
        <v>0</v>
      </c>
      <c r="S48">
        <f t="shared" si="60"/>
        <v>0</v>
      </c>
    </row>
    <row r="49" spans="1:19" x14ac:dyDescent="0.2">
      <c r="A49">
        <f t="shared" si="51"/>
        <v>0</v>
      </c>
      <c r="C49">
        <f t="shared" si="52"/>
        <v>0</v>
      </c>
      <c r="E49">
        <f t="shared" si="53"/>
        <v>0</v>
      </c>
      <c r="G49">
        <f t="shared" si="54"/>
        <v>0</v>
      </c>
      <c r="K49">
        <f t="shared" si="55"/>
        <v>0</v>
      </c>
      <c r="M49">
        <f t="shared" si="56"/>
        <v>3</v>
      </c>
      <c r="N49">
        <f t="shared" si="57"/>
        <v>0</v>
      </c>
      <c r="O49">
        <f t="shared" si="58"/>
        <v>0</v>
      </c>
      <c r="Q49">
        <f t="shared" si="59"/>
        <v>0</v>
      </c>
      <c r="S49">
        <f t="shared" si="60"/>
        <v>0</v>
      </c>
    </row>
    <row r="50" spans="1:19" x14ac:dyDescent="0.2">
      <c r="A50">
        <f t="shared" si="51"/>
        <v>0</v>
      </c>
      <c r="C50">
        <f t="shared" si="52"/>
        <v>2</v>
      </c>
      <c r="E50">
        <f t="shared" si="53"/>
        <v>0</v>
      </c>
      <c r="G50">
        <f t="shared" si="54"/>
        <v>0</v>
      </c>
      <c r="K50">
        <f t="shared" si="55"/>
        <v>0</v>
      </c>
      <c r="M50">
        <f t="shared" si="56"/>
        <v>0</v>
      </c>
      <c r="N50">
        <f t="shared" si="57"/>
        <v>0</v>
      </c>
      <c r="O50">
        <f t="shared" si="58"/>
        <v>0</v>
      </c>
      <c r="Q50">
        <f t="shared" si="59"/>
        <v>0</v>
      </c>
      <c r="S50">
        <f t="shared" si="60"/>
        <v>0</v>
      </c>
    </row>
  </sheetData>
  <pageMargins left="0.7" right="0.7" top="0.75" bottom="0.75" header="0.3" footer="0.3"/>
  <legacy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/>
  <dimension ref="A1:BN50"/>
  <sheetViews>
    <sheetView topLeftCell="C1" workbookViewId="0">
      <selection activeCell="V15" sqref="V15"/>
    </sheetView>
  </sheetViews>
  <sheetFormatPr baseColWidth="10" defaultRowHeight="15" x14ac:dyDescent="0.2"/>
  <sheetData>
    <row r="1" spans="1:66" x14ac:dyDescent="0.2">
      <c r="A1" s="1" t="s">
        <v>0</v>
      </c>
      <c r="D1" t="s">
        <v>3</v>
      </c>
      <c r="K1" t="s">
        <v>11</v>
      </c>
      <c r="N1" t="s">
        <v>12</v>
      </c>
      <c r="P1" t="s">
        <v>14</v>
      </c>
      <c r="Q1" t="s">
        <v>17</v>
      </c>
      <c r="S1" t="s">
        <v>18</v>
      </c>
      <c r="Z1" t="s">
        <v>29</v>
      </c>
      <c r="AE1" t="s">
        <v>30</v>
      </c>
      <c r="AK1" t="s">
        <v>42</v>
      </c>
    </row>
    <row r="2" spans="1:66" x14ac:dyDescent="0.2">
      <c r="A2" t="s">
        <v>1</v>
      </c>
      <c r="B2" t="s">
        <v>1</v>
      </c>
      <c r="C2" t="s">
        <v>87</v>
      </c>
      <c r="D2" t="s">
        <v>54</v>
      </c>
      <c r="E2" t="s">
        <v>13</v>
      </c>
      <c r="F2" t="s">
        <v>198</v>
      </c>
      <c r="G2" t="s">
        <v>7</v>
      </c>
      <c r="H2" t="s">
        <v>8</v>
      </c>
      <c r="I2" t="s">
        <v>179</v>
      </c>
      <c r="J2" t="s">
        <v>178</v>
      </c>
      <c r="K2" t="s">
        <v>9</v>
      </c>
      <c r="L2" t="s">
        <v>196</v>
      </c>
      <c r="M2" t="s">
        <v>10</v>
      </c>
      <c r="N2" t="s">
        <v>54</v>
      </c>
      <c r="O2" t="s">
        <v>13</v>
      </c>
      <c r="P2" t="s">
        <v>15</v>
      </c>
      <c r="Q2" t="s">
        <v>8</v>
      </c>
      <c r="R2" t="s">
        <v>7</v>
      </c>
      <c r="S2" t="s">
        <v>181</v>
      </c>
      <c r="T2" t="s">
        <v>182</v>
      </c>
      <c r="U2" t="s">
        <v>19</v>
      </c>
      <c r="V2" t="s">
        <v>191</v>
      </c>
      <c r="W2" t="s">
        <v>192</v>
      </c>
      <c r="X2" t="s">
        <v>175</v>
      </c>
      <c r="Y2" t="s">
        <v>173</v>
      </c>
      <c r="Z2" t="str">
        <f t="shared" ref="Z2:Z13" si="0">LEFT(I4, 1)</f>
        <v/>
      </c>
      <c r="AA2" t="str">
        <f t="shared" ref="AA2:AA13" si="1">MID(I4, 4, 1)</f>
        <v/>
      </c>
      <c r="AB2" t="str">
        <f t="shared" ref="AB2:AB13" si="2">MID(I4, 7, 1)</f>
        <v/>
      </c>
      <c r="AC2" t="str">
        <f t="shared" ref="AC2:AC13" si="3">MID(I4, 10, 1)</f>
        <v/>
      </c>
      <c r="AE2" t="str">
        <f t="shared" ref="AE2:AE13" si="4">LEFT(J4, 1)</f>
        <v/>
      </c>
      <c r="AF2" t="str">
        <f t="shared" ref="AF2:AF13" si="5">MID(J4, 4, 1)</f>
        <v/>
      </c>
      <c r="AG2" t="str">
        <f t="shared" ref="AG2:AG13" si="6">MID(J4, 7, 1)</f>
        <v/>
      </c>
      <c r="AH2" t="str">
        <f t="shared" ref="AH2:AH13" si="7">MID(J4, 10, 1)</f>
        <v/>
      </c>
      <c r="AI2" t="str">
        <f t="shared" ref="AI2:AI13" si="8">MID(J4, 13, 1)</f>
        <v/>
      </c>
      <c r="AK2" t="str">
        <f t="shared" ref="AK2:AK13" si="9">LEFT(P4, 2)</f>
        <v/>
      </c>
      <c r="AL2" t="str">
        <f>MID($P4, 5, 2)</f>
        <v/>
      </c>
      <c r="AM2" t="str">
        <f t="shared" ref="AM2:AM13" si="10">MID($P4, 9, 2)</f>
        <v/>
      </c>
      <c r="AN2" t="str">
        <f t="shared" ref="AN2:AN13" si="11">MID($P4, 13, 2)</f>
        <v/>
      </c>
      <c r="AO2" t="str">
        <f t="shared" ref="AO2:AO13" si="12">MID($P4, 17, 2)</f>
        <v/>
      </c>
      <c r="AP2" t="str">
        <f t="shared" ref="AP2:AP13" si="13">MID($P4, 21, 2)</f>
        <v/>
      </c>
      <c r="AQ2" t="str">
        <f t="shared" ref="AQ2:AQ13" si="14">MID($P4, 25, 2)</f>
        <v/>
      </c>
      <c r="AR2" t="str">
        <f t="shared" ref="AR2:AR13" si="15">MID($P4, 29, 2)</f>
        <v/>
      </c>
      <c r="AS2" t="str">
        <f t="shared" ref="AS2:AS13" si="16">MID($P4, 33, 2)</f>
        <v/>
      </c>
      <c r="AT2" t="str">
        <f t="shared" ref="AT2:AT13" si="17">MID($P4, 37, 2)</f>
        <v/>
      </c>
      <c r="AU2" t="str">
        <f t="shared" ref="AU2:AU13" si="18">MID($P4, 41, 2)</f>
        <v/>
      </c>
      <c r="AV2" t="str">
        <f t="shared" ref="AV2:AV13" si="19">MID($P4, 45, 2)</f>
        <v/>
      </c>
      <c r="AW2" t="str">
        <f t="shared" ref="AW2:AW13" si="20">MID($P4, 49, 2)</f>
        <v/>
      </c>
      <c r="AX2" t="str">
        <f t="shared" ref="AX2:AX13" si="21">MID($P4, 53, 2)</f>
        <v/>
      </c>
      <c r="AY2" t="str">
        <f t="shared" ref="AY2:AY13" si="22">MID($P4, 57, 2)</f>
        <v/>
      </c>
      <c r="AZ2" t="str">
        <f t="shared" ref="AZ2:AZ13" si="23">MID($P4, 61, 2)</f>
        <v/>
      </c>
      <c r="BA2" t="str">
        <f t="shared" ref="BA2:BA13" si="24">MID($P4, 65, 2)</f>
        <v/>
      </c>
      <c r="BB2" t="str">
        <f t="shared" ref="BB2:BB13" si="25">MID($P4, 69, 2)</f>
        <v/>
      </c>
      <c r="BC2" t="str">
        <f t="shared" ref="BC2:BC13" si="26">MID($P4, 73, 2)</f>
        <v/>
      </c>
      <c r="BD2" t="str">
        <f t="shared" ref="BD2:BD13" si="27">MID($P4, 77, 2)</f>
        <v/>
      </c>
      <c r="BE2" t="str">
        <f t="shared" ref="BE2:BE13" si="28">MID($P4, 81, 2)</f>
        <v/>
      </c>
      <c r="BF2" t="str">
        <f t="shared" ref="BF2:BF13" si="29">MID($P4, 85, 2)</f>
        <v/>
      </c>
      <c r="BG2" t="str">
        <f t="shared" ref="BG2:BG13" si="30">MID($P4, 89, 2)</f>
        <v/>
      </c>
      <c r="BH2" t="str">
        <f t="shared" ref="BH2:BH13" si="31">MID($P4, 93, 2)</f>
        <v/>
      </c>
    </row>
    <row r="3" spans="1:66" x14ac:dyDescent="0.2">
      <c r="A3" t="s">
        <v>2</v>
      </c>
      <c r="B3" t="s">
        <v>6</v>
      </c>
      <c r="C3" t="s">
        <v>88</v>
      </c>
      <c r="D3" t="s">
        <v>6</v>
      </c>
      <c r="E3" t="s">
        <v>6</v>
      </c>
      <c r="F3" t="s">
        <v>4</v>
      </c>
      <c r="G3" t="s">
        <v>6</v>
      </c>
      <c r="H3" t="s">
        <v>6</v>
      </c>
      <c r="I3" t="s">
        <v>86</v>
      </c>
      <c r="J3" t="s">
        <v>86</v>
      </c>
      <c r="K3" t="s">
        <v>6</v>
      </c>
      <c r="L3" t="s">
        <v>6</v>
      </c>
      <c r="M3" t="s">
        <v>6</v>
      </c>
      <c r="N3" t="s">
        <v>6</v>
      </c>
      <c r="O3" t="s">
        <v>6</v>
      </c>
      <c r="P3" t="s">
        <v>16</v>
      </c>
      <c r="Q3" t="s">
        <v>6</v>
      </c>
      <c r="R3" t="s">
        <v>6</v>
      </c>
      <c r="S3" t="s">
        <v>4</v>
      </c>
      <c r="T3" t="s">
        <v>4</v>
      </c>
      <c r="U3" t="s">
        <v>6</v>
      </c>
      <c r="V3" t="s">
        <v>6</v>
      </c>
      <c r="W3" t="s">
        <v>6</v>
      </c>
      <c r="X3" t="s">
        <v>6</v>
      </c>
      <c r="Y3" t="s">
        <v>174</v>
      </c>
      <c r="Z3" t="str">
        <f t="shared" si="0"/>
        <v/>
      </c>
      <c r="AA3" t="str">
        <f t="shared" si="1"/>
        <v/>
      </c>
      <c r="AB3" t="str">
        <f t="shared" si="2"/>
        <v/>
      </c>
      <c r="AC3" t="str">
        <f t="shared" si="3"/>
        <v/>
      </c>
      <c r="AE3" t="str">
        <f t="shared" si="4"/>
        <v>1</v>
      </c>
      <c r="AF3" t="str">
        <f t="shared" si="5"/>
        <v/>
      </c>
      <c r="AG3" t="str">
        <f t="shared" si="6"/>
        <v/>
      </c>
      <c r="AH3" t="str">
        <f t="shared" si="7"/>
        <v/>
      </c>
      <c r="AI3" t="str">
        <f t="shared" si="8"/>
        <v/>
      </c>
      <c r="AK3" t="str">
        <f t="shared" si="9"/>
        <v/>
      </c>
      <c r="AL3" t="str">
        <f t="shared" ref="AL3:AL13" si="32">MID(P5, 5, 2)</f>
        <v/>
      </c>
      <c r="AM3" t="str">
        <f t="shared" si="10"/>
        <v/>
      </c>
      <c r="AN3" t="str">
        <f t="shared" si="11"/>
        <v/>
      </c>
      <c r="AO3" t="str">
        <f t="shared" si="12"/>
        <v/>
      </c>
      <c r="AP3" t="str">
        <f t="shared" si="13"/>
        <v/>
      </c>
      <c r="AQ3" t="str">
        <f t="shared" si="14"/>
        <v/>
      </c>
      <c r="AR3" t="str">
        <f t="shared" si="15"/>
        <v/>
      </c>
      <c r="AS3" t="str">
        <f t="shared" si="16"/>
        <v/>
      </c>
      <c r="AT3" t="str">
        <f t="shared" si="17"/>
        <v/>
      </c>
      <c r="AU3" t="str">
        <f t="shared" si="18"/>
        <v/>
      </c>
      <c r="AV3" t="str">
        <f t="shared" si="19"/>
        <v/>
      </c>
      <c r="AW3" t="str">
        <f t="shared" si="20"/>
        <v/>
      </c>
      <c r="AX3" t="str">
        <f t="shared" si="21"/>
        <v/>
      </c>
      <c r="AY3" t="str">
        <f t="shared" si="22"/>
        <v/>
      </c>
      <c r="AZ3" t="str">
        <f t="shared" si="23"/>
        <v/>
      </c>
      <c r="BA3" t="str">
        <f t="shared" si="24"/>
        <v/>
      </c>
      <c r="BB3" t="str">
        <f t="shared" si="25"/>
        <v/>
      </c>
      <c r="BC3" t="str">
        <f t="shared" si="26"/>
        <v/>
      </c>
      <c r="BD3" t="str">
        <f t="shared" si="27"/>
        <v/>
      </c>
      <c r="BE3" t="str">
        <f t="shared" si="28"/>
        <v/>
      </c>
      <c r="BF3" t="str">
        <f t="shared" si="29"/>
        <v/>
      </c>
      <c r="BG3" t="str">
        <f t="shared" si="30"/>
        <v/>
      </c>
      <c r="BH3" t="str">
        <f t="shared" si="31"/>
        <v/>
      </c>
    </row>
    <row r="4" spans="1:66" x14ac:dyDescent="0.2">
      <c r="A4">
        <v>1</v>
      </c>
      <c r="B4">
        <v>9</v>
      </c>
      <c r="C4" t="s">
        <v>207</v>
      </c>
      <c r="D4">
        <v>1</v>
      </c>
      <c r="K4">
        <v>3</v>
      </c>
      <c r="L4">
        <v>4</v>
      </c>
      <c r="N4">
        <v>4</v>
      </c>
      <c r="O4">
        <v>4</v>
      </c>
      <c r="S4">
        <v>1</v>
      </c>
      <c r="T4">
        <v>1</v>
      </c>
      <c r="U4">
        <v>10</v>
      </c>
      <c r="X4">
        <f t="shared" ref="X4:X15" si="33">G4+H4+Q4+R4</f>
        <v>0</v>
      </c>
      <c r="Z4" t="str">
        <f t="shared" si="0"/>
        <v/>
      </c>
      <c r="AA4" t="str">
        <f t="shared" si="1"/>
        <v/>
      </c>
      <c r="AB4" t="str">
        <f t="shared" si="2"/>
        <v/>
      </c>
      <c r="AC4" t="str">
        <f t="shared" si="3"/>
        <v/>
      </c>
      <c r="AE4" t="str">
        <f t="shared" si="4"/>
        <v/>
      </c>
      <c r="AF4" t="str">
        <f t="shared" si="5"/>
        <v/>
      </c>
      <c r="AG4" t="str">
        <f t="shared" si="6"/>
        <v/>
      </c>
      <c r="AH4" t="str">
        <f t="shared" si="7"/>
        <v/>
      </c>
      <c r="AI4" t="str">
        <f t="shared" si="8"/>
        <v/>
      </c>
      <c r="AK4" t="str">
        <f t="shared" si="9"/>
        <v/>
      </c>
      <c r="AL4" t="str">
        <f t="shared" si="32"/>
        <v/>
      </c>
      <c r="AM4" t="str">
        <f t="shared" si="10"/>
        <v/>
      </c>
      <c r="AN4" t="str">
        <f t="shared" si="11"/>
        <v/>
      </c>
      <c r="AO4" t="str">
        <f t="shared" si="12"/>
        <v/>
      </c>
      <c r="AP4" t="str">
        <f t="shared" si="13"/>
        <v/>
      </c>
      <c r="AQ4" t="str">
        <f t="shared" si="14"/>
        <v/>
      </c>
      <c r="AR4" t="str">
        <f t="shared" si="15"/>
        <v/>
      </c>
      <c r="AS4" t="str">
        <f t="shared" si="16"/>
        <v/>
      </c>
      <c r="AT4" t="str">
        <f t="shared" si="17"/>
        <v/>
      </c>
      <c r="AU4" t="str">
        <f t="shared" si="18"/>
        <v/>
      </c>
      <c r="AV4" t="str">
        <f t="shared" si="19"/>
        <v/>
      </c>
      <c r="AW4" t="str">
        <f t="shared" si="20"/>
        <v/>
      </c>
      <c r="AX4" t="str">
        <f t="shared" si="21"/>
        <v/>
      </c>
      <c r="AY4" t="str">
        <f t="shared" si="22"/>
        <v/>
      </c>
      <c r="AZ4" t="str">
        <f t="shared" si="23"/>
        <v/>
      </c>
      <c r="BA4" t="str">
        <f t="shared" si="24"/>
        <v/>
      </c>
      <c r="BB4" t="str">
        <f t="shared" si="25"/>
        <v/>
      </c>
      <c r="BC4" t="str">
        <f t="shared" si="26"/>
        <v/>
      </c>
      <c r="BD4" t="str">
        <f t="shared" si="27"/>
        <v/>
      </c>
      <c r="BE4" t="str">
        <f t="shared" si="28"/>
        <v/>
      </c>
      <c r="BF4" t="str">
        <f t="shared" si="29"/>
        <v/>
      </c>
      <c r="BG4" t="str">
        <f t="shared" si="30"/>
        <v/>
      </c>
      <c r="BH4" t="str">
        <f t="shared" si="31"/>
        <v/>
      </c>
    </row>
    <row r="5" spans="1:66" x14ac:dyDescent="0.2">
      <c r="A5">
        <v>2</v>
      </c>
      <c r="B5">
        <v>17</v>
      </c>
      <c r="C5" t="s">
        <v>39</v>
      </c>
      <c r="J5">
        <v>1</v>
      </c>
      <c r="K5">
        <v>1</v>
      </c>
      <c r="L5">
        <v>3</v>
      </c>
      <c r="S5">
        <v>1</v>
      </c>
      <c r="X5">
        <f t="shared" si="33"/>
        <v>0</v>
      </c>
      <c r="Z5" t="str">
        <f t="shared" si="0"/>
        <v/>
      </c>
      <c r="AA5" t="str">
        <f t="shared" si="1"/>
        <v/>
      </c>
      <c r="AB5" t="str">
        <f t="shared" si="2"/>
        <v/>
      </c>
      <c r="AC5" t="str">
        <f t="shared" si="3"/>
        <v/>
      </c>
      <c r="AE5" t="str">
        <f t="shared" si="4"/>
        <v/>
      </c>
      <c r="AF5" t="str">
        <f t="shared" si="5"/>
        <v/>
      </c>
      <c r="AG5" t="str">
        <f t="shared" si="6"/>
        <v/>
      </c>
      <c r="AH5" t="str">
        <f t="shared" si="7"/>
        <v/>
      </c>
      <c r="AI5" t="str">
        <f t="shared" si="8"/>
        <v/>
      </c>
      <c r="AK5" t="str">
        <f t="shared" si="9"/>
        <v/>
      </c>
      <c r="AL5" t="str">
        <f t="shared" si="32"/>
        <v/>
      </c>
      <c r="AM5" t="str">
        <f t="shared" si="10"/>
        <v/>
      </c>
      <c r="AN5" t="str">
        <f t="shared" si="11"/>
        <v/>
      </c>
      <c r="AO5" t="str">
        <f t="shared" si="12"/>
        <v/>
      </c>
      <c r="AP5" t="str">
        <f t="shared" si="13"/>
        <v/>
      </c>
      <c r="AQ5" t="str">
        <f t="shared" si="14"/>
        <v/>
      </c>
      <c r="AR5" t="str">
        <f t="shared" si="15"/>
        <v/>
      </c>
      <c r="AS5" t="str">
        <f t="shared" si="16"/>
        <v/>
      </c>
      <c r="AT5" t="str">
        <f t="shared" si="17"/>
        <v/>
      </c>
      <c r="AU5" t="str">
        <f t="shared" si="18"/>
        <v/>
      </c>
      <c r="AV5" t="str">
        <f t="shared" si="19"/>
        <v/>
      </c>
      <c r="AW5" t="str">
        <f t="shared" si="20"/>
        <v/>
      </c>
      <c r="AX5" t="str">
        <f t="shared" si="21"/>
        <v/>
      </c>
      <c r="AY5" t="str">
        <f t="shared" si="22"/>
        <v/>
      </c>
      <c r="AZ5" t="str">
        <f t="shared" si="23"/>
        <v/>
      </c>
      <c r="BA5" t="str">
        <f t="shared" si="24"/>
        <v/>
      </c>
      <c r="BB5" t="str">
        <f t="shared" si="25"/>
        <v/>
      </c>
      <c r="BC5" t="str">
        <f t="shared" si="26"/>
        <v/>
      </c>
      <c r="BD5" t="str">
        <f t="shared" si="27"/>
        <v/>
      </c>
      <c r="BE5" t="str">
        <f t="shared" si="28"/>
        <v/>
      </c>
      <c r="BF5" t="str">
        <f t="shared" si="29"/>
        <v/>
      </c>
      <c r="BG5" t="str">
        <f t="shared" si="30"/>
        <v/>
      </c>
      <c r="BH5" t="str">
        <f t="shared" si="31"/>
        <v/>
      </c>
    </row>
    <row r="6" spans="1:66" x14ac:dyDescent="0.2">
      <c r="A6">
        <v>3</v>
      </c>
      <c r="B6">
        <v>22</v>
      </c>
      <c r="C6" t="s">
        <v>207</v>
      </c>
      <c r="G6">
        <v>1</v>
      </c>
      <c r="K6">
        <v>2</v>
      </c>
      <c r="N6">
        <v>3</v>
      </c>
      <c r="O6">
        <v>3</v>
      </c>
      <c r="S6">
        <v>1</v>
      </c>
      <c r="X6">
        <f t="shared" si="33"/>
        <v>1</v>
      </c>
      <c r="Y6" t="s">
        <v>174</v>
      </c>
      <c r="Z6" t="str">
        <f t="shared" si="0"/>
        <v/>
      </c>
      <c r="AA6" t="str">
        <f t="shared" si="1"/>
        <v/>
      </c>
      <c r="AB6" t="str">
        <f t="shared" si="2"/>
        <v/>
      </c>
      <c r="AC6" t="str">
        <f t="shared" si="3"/>
        <v/>
      </c>
      <c r="AE6" t="str">
        <f t="shared" si="4"/>
        <v/>
      </c>
      <c r="AF6" t="str">
        <f t="shared" si="5"/>
        <v/>
      </c>
      <c r="AG6" t="str">
        <f t="shared" si="6"/>
        <v/>
      </c>
      <c r="AH6" t="str">
        <f t="shared" si="7"/>
        <v/>
      </c>
      <c r="AI6" t="str">
        <f t="shared" si="8"/>
        <v/>
      </c>
      <c r="AK6" t="str">
        <f t="shared" si="9"/>
        <v/>
      </c>
      <c r="AL6" t="str">
        <f t="shared" si="32"/>
        <v/>
      </c>
      <c r="AM6" t="str">
        <f t="shared" si="10"/>
        <v/>
      </c>
      <c r="AN6" t="str">
        <f t="shared" si="11"/>
        <v/>
      </c>
      <c r="AO6" t="str">
        <f t="shared" si="12"/>
        <v/>
      </c>
      <c r="AP6" t="str">
        <f t="shared" si="13"/>
        <v/>
      </c>
      <c r="AQ6" t="str">
        <f t="shared" si="14"/>
        <v/>
      </c>
      <c r="AR6" t="str">
        <f t="shared" si="15"/>
        <v/>
      </c>
      <c r="AS6" t="str">
        <f t="shared" si="16"/>
        <v/>
      </c>
      <c r="AT6" t="str">
        <f t="shared" si="17"/>
        <v/>
      </c>
      <c r="AU6" t="str">
        <f t="shared" si="18"/>
        <v/>
      </c>
      <c r="AV6" t="str">
        <f t="shared" si="19"/>
        <v/>
      </c>
      <c r="AW6" t="str">
        <f t="shared" si="20"/>
        <v/>
      </c>
      <c r="AX6" t="str">
        <f t="shared" si="21"/>
        <v/>
      </c>
      <c r="AY6" t="str">
        <f t="shared" si="22"/>
        <v/>
      </c>
      <c r="AZ6" t="str">
        <f t="shared" si="23"/>
        <v/>
      </c>
      <c r="BA6" t="str">
        <f t="shared" si="24"/>
        <v/>
      </c>
      <c r="BB6" t="str">
        <f t="shared" si="25"/>
        <v/>
      </c>
      <c r="BC6" t="str">
        <f t="shared" si="26"/>
        <v/>
      </c>
      <c r="BD6" t="str">
        <f t="shared" si="27"/>
        <v/>
      </c>
      <c r="BE6" t="str">
        <f t="shared" si="28"/>
        <v/>
      </c>
      <c r="BF6" t="str">
        <f t="shared" si="29"/>
        <v/>
      </c>
      <c r="BG6" t="str">
        <f t="shared" si="30"/>
        <v/>
      </c>
      <c r="BH6" t="str">
        <f t="shared" si="31"/>
        <v/>
      </c>
    </row>
    <row r="7" spans="1:66" x14ac:dyDescent="0.2">
      <c r="A7">
        <v>4</v>
      </c>
      <c r="B7">
        <v>34</v>
      </c>
      <c r="C7" t="s">
        <v>207</v>
      </c>
      <c r="D7">
        <v>1</v>
      </c>
      <c r="E7">
        <v>1</v>
      </c>
      <c r="K7">
        <v>4</v>
      </c>
      <c r="N7">
        <v>4</v>
      </c>
      <c r="O7">
        <v>4</v>
      </c>
      <c r="S7">
        <v>1</v>
      </c>
      <c r="T7">
        <v>1</v>
      </c>
      <c r="X7">
        <f t="shared" si="33"/>
        <v>0</v>
      </c>
      <c r="Z7" t="str">
        <f t="shared" si="0"/>
        <v/>
      </c>
      <c r="AA7" t="str">
        <f t="shared" si="1"/>
        <v/>
      </c>
      <c r="AB7" t="str">
        <f t="shared" si="2"/>
        <v/>
      </c>
      <c r="AC7" t="str">
        <f t="shared" si="3"/>
        <v/>
      </c>
      <c r="AE7" t="str">
        <f t="shared" si="4"/>
        <v/>
      </c>
      <c r="AF7" t="str">
        <f t="shared" si="5"/>
        <v/>
      </c>
      <c r="AG7" t="str">
        <f t="shared" si="6"/>
        <v/>
      </c>
      <c r="AH7" t="str">
        <f t="shared" si="7"/>
        <v/>
      </c>
      <c r="AI7" t="str">
        <f t="shared" si="8"/>
        <v/>
      </c>
      <c r="AK7" t="str">
        <f t="shared" si="9"/>
        <v/>
      </c>
      <c r="AL7" t="str">
        <f t="shared" si="32"/>
        <v/>
      </c>
      <c r="AM7" t="str">
        <f t="shared" si="10"/>
        <v/>
      </c>
      <c r="AN7" t="str">
        <f t="shared" si="11"/>
        <v/>
      </c>
      <c r="AO7" t="str">
        <f t="shared" si="12"/>
        <v/>
      </c>
      <c r="AP7" t="str">
        <f t="shared" si="13"/>
        <v/>
      </c>
      <c r="AQ7" t="str">
        <f t="shared" si="14"/>
        <v/>
      </c>
      <c r="AR7" t="str">
        <f t="shared" si="15"/>
        <v/>
      </c>
      <c r="AS7" t="str">
        <f t="shared" si="16"/>
        <v/>
      </c>
      <c r="AT7" t="str">
        <f t="shared" si="17"/>
        <v/>
      </c>
      <c r="AU7" t="str">
        <f t="shared" si="18"/>
        <v/>
      </c>
      <c r="AV7" t="str">
        <f t="shared" si="19"/>
        <v/>
      </c>
      <c r="AW7" t="str">
        <f t="shared" si="20"/>
        <v/>
      </c>
      <c r="AX7" t="str">
        <f t="shared" si="21"/>
        <v/>
      </c>
      <c r="AY7" t="str">
        <f t="shared" si="22"/>
        <v/>
      </c>
      <c r="AZ7" t="str">
        <f t="shared" si="23"/>
        <v/>
      </c>
      <c r="BA7" t="str">
        <f t="shared" si="24"/>
        <v/>
      </c>
      <c r="BB7" t="str">
        <f t="shared" si="25"/>
        <v/>
      </c>
      <c r="BC7" t="str">
        <f t="shared" si="26"/>
        <v/>
      </c>
      <c r="BD7" t="str">
        <f t="shared" si="27"/>
        <v/>
      </c>
      <c r="BE7" t="str">
        <f t="shared" si="28"/>
        <v/>
      </c>
      <c r="BF7" t="str">
        <f t="shared" si="29"/>
        <v/>
      </c>
      <c r="BG7" t="str">
        <f t="shared" si="30"/>
        <v/>
      </c>
      <c r="BH7" t="str">
        <f t="shared" si="31"/>
        <v/>
      </c>
    </row>
    <row r="8" spans="1:66" x14ac:dyDescent="0.2">
      <c r="A8">
        <v>5</v>
      </c>
      <c r="B8">
        <v>48</v>
      </c>
      <c r="C8" t="s">
        <v>39</v>
      </c>
      <c r="G8">
        <v>1</v>
      </c>
      <c r="K8">
        <v>3</v>
      </c>
      <c r="L8">
        <v>1</v>
      </c>
      <c r="N8">
        <v>3</v>
      </c>
      <c r="O8">
        <v>3</v>
      </c>
      <c r="S8">
        <v>1</v>
      </c>
      <c r="T8">
        <v>1</v>
      </c>
      <c r="U8">
        <v>1</v>
      </c>
      <c r="X8">
        <f t="shared" si="33"/>
        <v>1</v>
      </c>
      <c r="Y8" t="s">
        <v>174</v>
      </c>
      <c r="Z8" t="str">
        <f t="shared" si="0"/>
        <v/>
      </c>
      <c r="AA8" t="str">
        <f t="shared" si="1"/>
        <v/>
      </c>
      <c r="AB8" t="str">
        <f t="shared" si="2"/>
        <v/>
      </c>
      <c r="AC8" t="str">
        <f t="shared" si="3"/>
        <v/>
      </c>
      <c r="AE8" t="str">
        <f t="shared" si="4"/>
        <v/>
      </c>
      <c r="AF8" t="str">
        <f t="shared" si="5"/>
        <v/>
      </c>
      <c r="AG8" t="str">
        <f t="shared" si="6"/>
        <v/>
      </c>
      <c r="AH8" t="str">
        <f t="shared" si="7"/>
        <v/>
      </c>
      <c r="AI8" t="str">
        <f t="shared" si="8"/>
        <v/>
      </c>
      <c r="AK8" t="str">
        <f t="shared" si="9"/>
        <v>h1</v>
      </c>
      <c r="AL8" t="str">
        <f t="shared" si="32"/>
        <v>g1</v>
      </c>
      <c r="AM8" t="str">
        <f t="shared" si="10"/>
        <v/>
      </c>
      <c r="AN8" t="str">
        <f t="shared" si="11"/>
        <v/>
      </c>
      <c r="AO8" t="str">
        <f t="shared" si="12"/>
        <v/>
      </c>
      <c r="AP8" t="str">
        <f t="shared" si="13"/>
        <v/>
      </c>
      <c r="AQ8" t="str">
        <f t="shared" si="14"/>
        <v/>
      </c>
      <c r="AR8" t="str">
        <f t="shared" si="15"/>
        <v/>
      </c>
      <c r="AS8" t="str">
        <f t="shared" si="16"/>
        <v/>
      </c>
      <c r="AT8" t="str">
        <f t="shared" si="17"/>
        <v/>
      </c>
      <c r="AU8" t="str">
        <f t="shared" si="18"/>
        <v/>
      </c>
      <c r="AV8" t="str">
        <f t="shared" si="19"/>
        <v/>
      </c>
      <c r="AW8" t="str">
        <f t="shared" si="20"/>
        <v/>
      </c>
      <c r="AX8" t="str">
        <f t="shared" si="21"/>
        <v/>
      </c>
      <c r="AY8" t="str">
        <f t="shared" si="22"/>
        <v/>
      </c>
      <c r="AZ8" t="str">
        <f t="shared" si="23"/>
        <v/>
      </c>
      <c r="BA8" t="str">
        <f t="shared" si="24"/>
        <v/>
      </c>
      <c r="BB8" t="str">
        <f t="shared" si="25"/>
        <v/>
      </c>
      <c r="BC8" t="str">
        <f t="shared" si="26"/>
        <v/>
      </c>
      <c r="BD8" t="str">
        <f t="shared" si="27"/>
        <v/>
      </c>
      <c r="BE8" t="str">
        <f t="shared" si="28"/>
        <v/>
      </c>
      <c r="BF8" t="str">
        <f t="shared" si="29"/>
        <v/>
      </c>
      <c r="BG8" t="str">
        <f t="shared" si="30"/>
        <v/>
      </c>
      <c r="BH8" t="str">
        <f t="shared" si="31"/>
        <v/>
      </c>
    </row>
    <row r="9" spans="1:66" x14ac:dyDescent="0.2">
      <c r="A9">
        <v>6</v>
      </c>
      <c r="B9">
        <v>54</v>
      </c>
      <c r="C9" t="s">
        <v>39</v>
      </c>
      <c r="D9">
        <v>1</v>
      </c>
      <c r="K9">
        <v>3</v>
      </c>
      <c r="L9">
        <v>2</v>
      </c>
      <c r="N9">
        <v>3</v>
      </c>
      <c r="O9">
        <v>3</v>
      </c>
      <c r="S9">
        <v>1</v>
      </c>
      <c r="X9">
        <f t="shared" si="33"/>
        <v>0</v>
      </c>
      <c r="Z9" t="str">
        <f t="shared" si="0"/>
        <v/>
      </c>
      <c r="AA9" t="str">
        <f t="shared" si="1"/>
        <v/>
      </c>
      <c r="AB9" t="str">
        <f t="shared" si="2"/>
        <v/>
      </c>
      <c r="AC9" t="str">
        <f t="shared" si="3"/>
        <v/>
      </c>
      <c r="AE9" t="str">
        <f t="shared" si="4"/>
        <v/>
      </c>
      <c r="AF9" t="str">
        <f t="shared" si="5"/>
        <v/>
      </c>
      <c r="AG9" t="str">
        <f t="shared" si="6"/>
        <v/>
      </c>
      <c r="AH9" t="str">
        <f t="shared" si="7"/>
        <v/>
      </c>
      <c r="AI9" t="str">
        <f t="shared" si="8"/>
        <v/>
      </c>
      <c r="AK9" t="str">
        <f t="shared" si="9"/>
        <v/>
      </c>
      <c r="AL9" t="str">
        <f t="shared" si="32"/>
        <v/>
      </c>
      <c r="AM9" t="str">
        <f t="shared" si="10"/>
        <v/>
      </c>
      <c r="AN9" t="str">
        <f t="shared" si="11"/>
        <v/>
      </c>
      <c r="AO9" t="str">
        <f t="shared" si="12"/>
        <v/>
      </c>
      <c r="AP9" t="str">
        <f t="shared" si="13"/>
        <v/>
      </c>
      <c r="AQ9" t="str">
        <f t="shared" si="14"/>
        <v/>
      </c>
      <c r="AR9" t="str">
        <f t="shared" si="15"/>
        <v/>
      </c>
      <c r="AS9" t="str">
        <f t="shared" si="16"/>
        <v/>
      </c>
      <c r="AT9" t="str">
        <f t="shared" si="17"/>
        <v/>
      </c>
      <c r="AU9" t="str">
        <f t="shared" si="18"/>
        <v/>
      </c>
      <c r="AV9" t="str">
        <f t="shared" si="19"/>
        <v/>
      </c>
      <c r="AW9" t="str">
        <f t="shared" si="20"/>
        <v/>
      </c>
      <c r="AX9" t="str">
        <f t="shared" si="21"/>
        <v/>
      </c>
      <c r="AY9" t="str">
        <f t="shared" si="22"/>
        <v/>
      </c>
      <c r="AZ9" t="str">
        <f t="shared" si="23"/>
        <v/>
      </c>
      <c r="BA9" t="str">
        <f t="shared" si="24"/>
        <v/>
      </c>
      <c r="BB9" t="str">
        <f t="shared" si="25"/>
        <v/>
      </c>
      <c r="BC9" t="str">
        <f t="shared" si="26"/>
        <v/>
      </c>
      <c r="BD9" t="str">
        <f t="shared" si="27"/>
        <v/>
      </c>
      <c r="BE9" t="str">
        <f t="shared" si="28"/>
        <v/>
      </c>
      <c r="BF9" t="str">
        <f t="shared" si="29"/>
        <v/>
      </c>
      <c r="BG9" t="str">
        <f t="shared" si="30"/>
        <v/>
      </c>
      <c r="BH9" t="str">
        <f t="shared" si="31"/>
        <v/>
      </c>
    </row>
    <row r="10" spans="1:66" x14ac:dyDescent="0.2">
      <c r="A10">
        <v>7</v>
      </c>
      <c r="B10">
        <v>66</v>
      </c>
      <c r="C10" t="s">
        <v>39</v>
      </c>
      <c r="G10">
        <v>6</v>
      </c>
      <c r="K10">
        <v>2</v>
      </c>
      <c r="N10">
        <v>3</v>
      </c>
      <c r="O10">
        <v>3</v>
      </c>
      <c r="P10" t="s">
        <v>282</v>
      </c>
      <c r="S10">
        <v>1</v>
      </c>
      <c r="T10">
        <v>1</v>
      </c>
      <c r="U10">
        <v>6</v>
      </c>
      <c r="X10">
        <f t="shared" si="33"/>
        <v>6</v>
      </c>
      <c r="Y10" t="s">
        <v>174</v>
      </c>
      <c r="Z10" t="str">
        <f t="shared" si="0"/>
        <v/>
      </c>
      <c r="AA10" t="str">
        <f t="shared" si="1"/>
        <v/>
      </c>
      <c r="AB10" t="str">
        <f t="shared" si="2"/>
        <v/>
      </c>
      <c r="AC10" t="str">
        <f t="shared" si="3"/>
        <v/>
      </c>
      <c r="AE10" t="str">
        <f t="shared" si="4"/>
        <v>1</v>
      </c>
      <c r="AF10" t="str">
        <f t="shared" si="5"/>
        <v>2</v>
      </c>
      <c r="AG10" t="str">
        <f t="shared" si="6"/>
        <v/>
      </c>
      <c r="AH10" t="str">
        <f t="shared" si="7"/>
        <v/>
      </c>
      <c r="AI10" t="str">
        <f t="shared" si="8"/>
        <v/>
      </c>
      <c r="AK10" t="str">
        <f t="shared" si="9"/>
        <v/>
      </c>
      <c r="AL10" t="str">
        <f t="shared" si="32"/>
        <v/>
      </c>
      <c r="AM10" t="str">
        <f t="shared" si="10"/>
        <v/>
      </c>
      <c r="AN10" t="str">
        <f t="shared" si="11"/>
        <v/>
      </c>
      <c r="AO10" t="str">
        <f t="shared" si="12"/>
        <v/>
      </c>
      <c r="AP10" t="str">
        <f t="shared" si="13"/>
        <v/>
      </c>
      <c r="AQ10" t="str">
        <f t="shared" si="14"/>
        <v/>
      </c>
      <c r="AR10" t="str">
        <f t="shared" si="15"/>
        <v/>
      </c>
      <c r="AS10" t="str">
        <f t="shared" si="16"/>
        <v/>
      </c>
      <c r="AT10" t="str">
        <f t="shared" si="17"/>
        <v/>
      </c>
      <c r="AU10" t="str">
        <f t="shared" si="18"/>
        <v/>
      </c>
      <c r="AV10" t="str">
        <f t="shared" si="19"/>
        <v/>
      </c>
      <c r="AW10" t="str">
        <f t="shared" si="20"/>
        <v/>
      </c>
      <c r="AX10" t="str">
        <f t="shared" si="21"/>
        <v/>
      </c>
      <c r="AY10" t="str">
        <f t="shared" si="22"/>
        <v/>
      </c>
      <c r="AZ10" t="str">
        <f t="shared" si="23"/>
        <v/>
      </c>
      <c r="BA10" t="str">
        <f t="shared" si="24"/>
        <v/>
      </c>
      <c r="BB10" t="str">
        <f t="shared" si="25"/>
        <v/>
      </c>
      <c r="BC10" t="str">
        <f t="shared" si="26"/>
        <v/>
      </c>
      <c r="BD10" t="str">
        <f t="shared" si="27"/>
        <v/>
      </c>
      <c r="BE10" t="str">
        <f t="shared" si="28"/>
        <v/>
      </c>
      <c r="BF10" t="str">
        <f t="shared" si="29"/>
        <v/>
      </c>
      <c r="BG10" t="str">
        <f t="shared" si="30"/>
        <v/>
      </c>
      <c r="BH10" t="str">
        <f t="shared" si="31"/>
        <v/>
      </c>
    </row>
    <row r="11" spans="1:66" x14ac:dyDescent="0.2">
      <c r="A11">
        <v>8</v>
      </c>
      <c r="B11">
        <v>72</v>
      </c>
      <c r="C11" t="s">
        <v>207</v>
      </c>
      <c r="G11">
        <v>4</v>
      </c>
      <c r="K11">
        <v>2</v>
      </c>
      <c r="L11">
        <v>1</v>
      </c>
      <c r="N11">
        <v>3</v>
      </c>
      <c r="O11">
        <v>3</v>
      </c>
      <c r="S11">
        <v>1</v>
      </c>
      <c r="T11">
        <v>1</v>
      </c>
      <c r="U11">
        <v>4</v>
      </c>
      <c r="X11">
        <f t="shared" si="33"/>
        <v>4</v>
      </c>
      <c r="Y11" t="s">
        <v>174</v>
      </c>
      <c r="Z11" t="str">
        <f t="shared" si="0"/>
        <v/>
      </c>
      <c r="AA11" t="str">
        <f t="shared" si="1"/>
        <v/>
      </c>
      <c r="AB11" t="str">
        <f t="shared" si="2"/>
        <v/>
      </c>
      <c r="AC11" t="str">
        <f t="shared" si="3"/>
        <v/>
      </c>
      <c r="AE11" t="str">
        <f t="shared" si="4"/>
        <v>5</v>
      </c>
      <c r="AF11" t="str">
        <f t="shared" si="5"/>
        <v/>
      </c>
      <c r="AG11" t="str">
        <f t="shared" si="6"/>
        <v/>
      </c>
      <c r="AH11" t="str">
        <f t="shared" si="7"/>
        <v/>
      </c>
      <c r="AI11" t="str">
        <f t="shared" si="8"/>
        <v/>
      </c>
      <c r="AK11" t="str">
        <f t="shared" si="9"/>
        <v>h1</v>
      </c>
      <c r="AL11" t="str">
        <f t="shared" si="32"/>
        <v>g1</v>
      </c>
      <c r="AM11" t="str">
        <f t="shared" si="10"/>
        <v/>
      </c>
      <c r="AN11" t="str">
        <f t="shared" si="11"/>
        <v/>
      </c>
      <c r="AO11" t="str">
        <f t="shared" si="12"/>
        <v/>
      </c>
      <c r="AP11" t="str">
        <f t="shared" si="13"/>
        <v/>
      </c>
      <c r="AQ11" t="str">
        <f t="shared" si="14"/>
        <v/>
      </c>
      <c r="AR11" t="str">
        <f t="shared" si="15"/>
        <v/>
      </c>
      <c r="AS11" t="str">
        <f t="shared" si="16"/>
        <v/>
      </c>
      <c r="AT11" t="str">
        <f t="shared" si="17"/>
        <v/>
      </c>
      <c r="AU11" t="str">
        <f t="shared" si="18"/>
        <v/>
      </c>
      <c r="AV11" t="str">
        <f t="shared" si="19"/>
        <v/>
      </c>
      <c r="AW11" t="str">
        <f t="shared" si="20"/>
        <v/>
      </c>
      <c r="AX11" t="str">
        <f t="shared" si="21"/>
        <v/>
      </c>
      <c r="AY11" t="str">
        <f t="shared" si="22"/>
        <v/>
      </c>
      <c r="AZ11" t="str">
        <f t="shared" si="23"/>
        <v/>
      </c>
      <c r="BA11" t="str">
        <f t="shared" si="24"/>
        <v/>
      </c>
      <c r="BB11" t="str">
        <f t="shared" si="25"/>
        <v/>
      </c>
      <c r="BC11" t="str">
        <f t="shared" si="26"/>
        <v/>
      </c>
      <c r="BD11" t="str">
        <f t="shared" si="27"/>
        <v/>
      </c>
      <c r="BE11" t="str">
        <f t="shared" si="28"/>
        <v/>
      </c>
      <c r="BF11" t="str">
        <f t="shared" si="29"/>
        <v/>
      </c>
      <c r="BG11" t="str">
        <f t="shared" si="30"/>
        <v/>
      </c>
      <c r="BH11" t="str">
        <f t="shared" si="31"/>
        <v/>
      </c>
    </row>
    <row r="12" spans="1:66" x14ac:dyDescent="0.2">
      <c r="A12">
        <v>9</v>
      </c>
      <c r="B12">
        <v>83</v>
      </c>
      <c r="C12" t="s">
        <v>207</v>
      </c>
      <c r="D12">
        <v>1</v>
      </c>
      <c r="J12" t="s">
        <v>261</v>
      </c>
      <c r="N12">
        <v>1</v>
      </c>
      <c r="O12">
        <v>1</v>
      </c>
      <c r="S12">
        <v>1</v>
      </c>
      <c r="T12">
        <v>1</v>
      </c>
      <c r="U12">
        <v>1</v>
      </c>
      <c r="X12">
        <f t="shared" si="33"/>
        <v>0</v>
      </c>
      <c r="Z12" t="str">
        <f t="shared" si="0"/>
        <v/>
      </c>
      <c r="AA12" t="str">
        <f t="shared" si="1"/>
        <v/>
      </c>
      <c r="AB12" t="str">
        <f t="shared" si="2"/>
        <v/>
      </c>
      <c r="AC12" t="str">
        <f t="shared" si="3"/>
        <v/>
      </c>
      <c r="AE12" t="str">
        <f t="shared" si="4"/>
        <v/>
      </c>
      <c r="AF12" t="str">
        <f t="shared" si="5"/>
        <v/>
      </c>
      <c r="AG12" t="str">
        <f t="shared" si="6"/>
        <v/>
      </c>
      <c r="AH12" t="str">
        <f t="shared" si="7"/>
        <v/>
      </c>
      <c r="AI12" t="str">
        <f t="shared" si="8"/>
        <v/>
      </c>
      <c r="AK12" t="str">
        <f t="shared" si="9"/>
        <v/>
      </c>
      <c r="AL12" t="str">
        <f t="shared" si="32"/>
        <v/>
      </c>
      <c r="AM12" t="str">
        <f t="shared" si="10"/>
        <v/>
      </c>
      <c r="AN12" t="str">
        <f t="shared" si="11"/>
        <v/>
      </c>
      <c r="AO12" t="str">
        <f t="shared" si="12"/>
        <v/>
      </c>
      <c r="AP12" t="str">
        <f t="shared" si="13"/>
        <v/>
      </c>
      <c r="AQ12" t="str">
        <f t="shared" si="14"/>
        <v/>
      </c>
      <c r="AR12" t="str">
        <f t="shared" si="15"/>
        <v/>
      </c>
      <c r="AS12" t="str">
        <f t="shared" si="16"/>
        <v/>
      </c>
      <c r="AT12" t="str">
        <f t="shared" si="17"/>
        <v/>
      </c>
      <c r="AU12" t="str">
        <f t="shared" si="18"/>
        <v/>
      </c>
      <c r="AV12" t="str">
        <f t="shared" si="19"/>
        <v/>
      </c>
      <c r="AW12" t="str">
        <f t="shared" si="20"/>
        <v/>
      </c>
      <c r="AX12" t="str">
        <f t="shared" si="21"/>
        <v/>
      </c>
      <c r="AY12" t="str">
        <f t="shared" si="22"/>
        <v/>
      </c>
      <c r="AZ12" t="str">
        <f t="shared" si="23"/>
        <v/>
      </c>
      <c r="BA12" t="str">
        <f t="shared" si="24"/>
        <v/>
      </c>
      <c r="BB12" t="str">
        <f t="shared" si="25"/>
        <v/>
      </c>
      <c r="BC12" t="str">
        <f t="shared" si="26"/>
        <v/>
      </c>
      <c r="BD12" t="str">
        <f t="shared" si="27"/>
        <v/>
      </c>
      <c r="BE12" t="str">
        <f t="shared" si="28"/>
        <v/>
      </c>
      <c r="BF12" t="str">
        <f t="shared" si="29"/>
        <v/>
      </c>
      <c r="BG12" t="str">
        <f t="shared" si="30"/>
        <v/>
      </c>
      <c r="BH12" t="str">
        <f t="shared" si="31"/>
        <v/>
      </c>
    </row>
    <row r="13" spans="1:66" x14ac:dyDescent="0.2">
      <c r="A13">
        <v>10</v>
      </c>
      <c r="B13">
        <v>92</v>
      </c>
      <c r="C13" t="s">
        <v>207</v>
      </c>
      <c r="D13">
        <v>1</v>
      </c>
      <c r="G13">
        <v>4</v>
      </c>
      <c r="J13">
        <v>5</v>
      </c>
      <c r="K13">
        <v>3</v>
      </c>
      <c r="N13">
        <v>4</v>
      </c>
      <c r="O13">
        <v>4</v>
      </c>
      <c r="P13" t="s">
        <v>282</v>
      </c>
      <c r="S13">
        <v>1</v>
      </c>
      <c r="T13">
        <v>1</v>
      </c>
      <c r="U13">
        <v>6</v>
      </c>
      <c r="X13">
        <f t="shared" si="33"/>
        <v>4</v>
      </c>
      <c r="Y13" t="s">
        <v>174</v>
      </c>
      <c r="Z13" t="str">
        <f t="shared" si="0"/>
        <v/>
      </c>
      <c r="AA13" t="str">
        <f t="shared" si="1"/>
        <v/>
      </c>
      <c r="AB13" t="str">
        <f t="shared" si="2"/>
        <v/>
      </c>
      <c r="AC13" t="str">
        <f t="shared" si="3"/>
        <v/>
      </c>
      <c r="AE13" t="str">
        <f t="shared" si="4"/>
        <v/>
      </c>
      <c r="AF13" t="str">
        <f t="shared" si="5"/>
        <v/>
      </c>
      <c r="AG13" t="str">
        <f t="shared" si="6"/>
        <v/>
      </c>
      <c r="AH13" t="str">
        <f t="shared" si="7"/>
        <v/>
      </c>
      <c r="AI13" t="str">
        <f t="shared" si="8"/>
        <v/>
      </c>
      <c r="AK13" t="str">
        <f t="shared" si="9"/>
        <v/>
      </c>
      <c r="AL13" t="str">
        <f t="shared" si="32"/>
        <v/>
      </c>
      <c r="AM13" t="str">
        <f t="shared" si="10"/>
        <v/>
      </c>
      <c r="AN13" t="str">
        <f t="shared" si="11"/>
        <v/>
      </c>
      <c r="AO13" t="str">
        <f t="shared" si="12"/>
        <v/>
      </c>
      <c r="AP13" t="str">
        <f t="shared" si="13"/>
        <v/>
      </c>
      <c r="AQ13" t="str">
        <f t="shared" si="14"/>
        <v/>
      </c>
      <c r="AR13" t="str">
        <f t="shared" si="15"/>
        <v/>
      </c>
      <c r="AS13" t="str">
        <f t="shared" si="16"/>
        <v/>
      </c>
      <c r="AT13" t="str">
        <f t="shared" si="17"/>
        <v/>
      </c>
      <c r="AU13" t="str">
        <f t="shared" si="18"/>
        <v/>
      </c>
      <c r="AV13" t="str">
        <f t="shared" si="19"/>
        <v/>
      </c>
      <c r="AW13" t="str">
        <f t="shared" si="20"/>
        <v/>
      </c>
      <c r="AX13" t="str">
        <f t="shared" si="21"/>
        <v/>
      </c>
      <c r="AY13" t="str">
        <f t="shared" si="22"/>
        <v/>
      </c>
      <c r="AZ13" t="str">
        <f t="shared" si="23"/>
        <v/>
      </c>
      <c r="BA13" t="str">
        <f t="shared" si="24"/>
        <v/>
      </c>
      <c r="BB13" t="str">
        <f t="shared" si="25"/>
        <v/>
      </c>
      <c r="BC13" t="str">
        <f t="shared" si="26"/>
        <v/>
      </c>
      <c r="BD13" t="str">
        <f t="shared" si="27"/>
        <v/>
      </c>
      <c r="BE13" t="str">
        <f t="shared" si="28"/>
        <v/>
      </c>
      <c r="BF13" t="str">
        <f t="shared" si="29"/>
        <v/>
      </c>
      <c r="BG13" t="str">
        <f t="shared" si="30"/>
        <v/>
      </c>
      <c r="BH13" t="str">
        <f t="shared" si="31"/>
        <v/>
      </c>
    </row>
    <row r="14" spans="1:66" x14ac:dyDescent="0.2">
      <c r="A14">
        <v>11</v>
      </c>
      <c r="B14">
        <v>105</v>
      </c>
      <c r="C14" t="s">
        <v>39</v>
      </c>
      <c r="G14">
        <v>4</v>
      </c>
      <c r="K14">
        <v>2</v>
      </c>
      <c r="N14">
        <v>4</v>
      </c>
      <c r="O14">
        <v>4</v>
      </c>
      <c r="S14">
        <v>1</v>
      </c>
      <c r="T14">
        <v>1</v>
      </c>
      <c r="U14">
        <v>4</v>
      </c>
      <c r="X14">
        <f t="shared" si="33"/>
        <v>4</v>
      </c>
      <c r="Z14" t="s">
        <v>31</v>
      </c>
      <c r="AE14" t="s">
        <v>34</v>
      </c>
      <c r="AK14" t="s">
        <v>43</v>
      </c>
      <c r="AP14" t="s">
        <v>84</v>
      </c>
    </row>
    <row r="15" spans="1:66" x14ac:dyDescent="0.2">
      <c r="A15">
        <v>12</v>
      </c>
      <c r="B15">
        <v>118</v>
      </c>
      <c r="C15" t="s">
        <v>207</v>
      </c>
      <c r="D15">
        <v>1</v>
      </c>
      <c r="F15">
        <v>1</v>
      </c>
      <c r="K15">
        <v>3</v>
      </c>
      <c r="L15">
        <v>1</v>
      </c>
      <c r="N15">
        <v>4</v>
      </c>
      <c r="O15">
        <v>3</v>
      </c>
      <c r="S15">
        <v>1</v>
      </c>
      <c r="T15">
        <v>1</v>
      </c>
      <c r="U15">
        <v>16</v>
      </c>
      <c r="X15">
        <f t="shared" si="33"/>
        <v>0</v>
      </c>
      <c r="Z15" t="s">
        <v>21</v>
      </c>
      <c r="AA15" t="s">
        <v>22</v>
      </c>
      <c r="AE15" t="s">
        <v>21</v>
      </c>
      <c r="AF15" t="s">
        <v>22</v>
      </c>
      <c r="AG15" t="s">
        <v>35</v>
      </c>
      <c r="AK15" t="s">
        <v>10</v>
      </c>
      <c r="AL15" t="s">
        <v>25</v>
      </c>
      <c r="AM15" t="s">
        <v>26</v>
      </c>
      <c r="AN15" t="s">
        <v>27</v>
      </c>
      <c r="AP15" t="s">
        <v>15</v>
      </c>
      <c r="AQ15" t="s">
        <v>85</v>
      </c>
    </row>
    <row r="16" spans="1:66" x14ac:dyDescent="0.2">
      <c r="A16" t="s">
        <v>28</v>
      </c>
      <c r="D16">
        <f>SUM(D4:D15)</f>
        <v>6</v>
      </c>
      <c r="E16">
        <f>SUM(E4:E15)</f>
        <v>1</v>
      </c>
      <c r="F16">
        <f>SUM(F4:F15)</f>
        <v>1</v>
      </c>
      <c r="G16">
        <f>SUM(G4:G15)</f>
        <v>20</v>
      </c>
      <c r="H16">
        <f>SUM(H4:H15)</f>
        <v>0</v>
      </c>
      <c r="K16">
        <f>SUM(K4:K15)</f>
        <v>28</v>
      </c>
      <c r="L16">
        <f>SUM(L4:L15)</f>
        <v>12</v>
      </c>
      <c r="M16">
        <f>SUM(M4:M15)</f>
        <v>0</v>
      </c>
      <c r="N16">
        <f>SUM(N4:N15)</f>
        <v>36</v>
      </c>
      <c r="O16">
        <f>SUM(O4:O15)</f>
        <v>35</v>
      </c>
      <c r="Q16">
        <f t="shared" ref="Q16:R16" si="34">SUM(Q4:Q15)</f>
        <v>0</v>
      </c>
      <c r="R16">
        <f t="shared" si="34"/>
        <v>0</v>
      </c>
      <c r="S16">
        <f>SUM(S4:S15)</f>
        <v>12</v>
      </c>
      <c r="T16">
        <f>SUM(T4:T15)</f>
        <v>9</v>
      </c>
      <c r="U16">
        <f>SUM(U4:U15)</f>
        <v>48</v>
      </c>
      <c r="V16">
        <f>SUM(V4:V15)</f>
        <v>0</v>
      </c>
      <c r="W16">
        <f>SUM(W4:W15)</f>
        <v>0</v>
      </c>
      <c r="Z16">
        <f t="shared" ref="Z16:Z27" si="35">COUNTIF(Z2:AC2, "3")*COUNTIF(C4, "r")+COUNTIF(Z2:AC2, "5")*COUNTIF(C4, "b")</f>
        <v>0</v>
      </c>
      <c r="AA16">
        <f t="shared" ref="AA16:AA27" si="36">COUNTIF(Z2:AC2, "1")+COUNTIF(Z2:AC2, "2")+COUNTIF(Z2:AC2, "4")</f>
        <v>0</v>
      </c>
      <c r="AE16">
        <f t="shared" ref="AE16:AE27" si="37">COUNTIF(AE2:AI2, "3")*COUNTIF(C4, "r") + COUNTIF(AE2:AI2, "5")*COUNTIF(C4, "b")</f>
        <v>0</v>
      </c>
      <c r="AF16">
        <f t="shared" ref="AF16:AF27" si="38">COUNTIF(AE2:AI2, "1")+COUNTIF(AE2:AI2, "2")+COUNTIF(AE2:AI2, "4")</f>
        <v>0</v>
      </c>
      <c r="AG16">
        <f t="shared" ref="AG16:AG27" si="39">COUNTIF(AE2:AI2, "3")*COUNTIF(AE2:AI2, "b")+COUNTIF(AE2:AI2, "5")*COUNTIF(AE2:AI2, "r")</f>
        <v>0</v>
      </c>
      <c r="AK16">
        <f t="shared" ref="AK16:AK27" si="40">SUMPRODUCT(LEN($AK2:$BH2) - LEN(SUBSTITUTE($AK2:$BH2, "g", "")))</f>
        <v>0</v>
      </c>
      <c r="AL16">
        <f t="shared" ref="AL16:AL27" si="41">SUMPRODUCT(LEN($AK2:$BH2) - LEN(SUBSTITUTE($AK2:$BH2, "h", "")))</f>
        <v>0</v>
      </c>
      <c r="AM16">
        <f t="shared" ref="AM16:AM27" si="42">SUMPRODUCT(LEN($AK2:$BH2) - LEN(SUBSTITUTE($AK2:$BH2, "v", "")))</f>
        <v>0</v>
      </c>
      <c r="AN16">
        <f t="shared" ref="AN16:AN27" si="43">SUMPRODUCT(LEN($AK2:$BH2) - LEN(SUBSTITUTE($AK2:$BH2, "r", "")))</f>
        <v>0</v>
      </c>
      <c r="AP16">
        <f>MAX(AQ16:BN16)</f>
        <v>0</v>
      </c>
      <c r="AQ16" s="4">
        <f>_xlfn.NUMBERVALUE(RIGHT(AK2,1))</f>
        <v>0</v>
      </c>
      <c r="AR16" s="4">
        <f t="shared" ref="AR16:BG27" si="44">_xlfn.NUMBERVALUE(RIGHT(AL2,1))</f>
        <v>0</v>
      </c>
      <c r="AS16" s="4">
        <f t="shared" si="44"/>
        <v>0</v>
      </c>
      <c r="AT16" s="4">
        <f t="shared" si="44"/>
        <v>0</v>
      </c>
      <c r="AU16" s="4">
        <f t="shared" si="44"/>
        <v>0</v>
      </c>
      <c r="AV16" s="4">
        <f t="shared" si="44"/>
        <v>0</v>
      </c>
      <c r="AW16" s="4">
        <f t="shared" si="44"/>
        <v>0</v>
      </c>
      <c r="AX16" s="4">
        <f t="shared" si="44"/>
        <v>0</v>
      </c>
      <c r="AY16" s="4">
        <f t="shared" si="44"/>
        <v>0</v>
      </c>
      <c r="AZ16" s="4">
        <f t="shared" si="44"/>
        <v>0</v>
      </c>
      <c r="BA16" s="4">
        <f t="shared" si="44"/>
        <v>0</v>
      </c>
      <c r="BB16" s="4">
        <f t="shared" si="44"/>
        <v>0</v>
      </c>
      <c r="BC16" s="4">
        <f t="shared" si="44"/>
        <v>0</v>
      </c>
      <c r="BD16" s="4">
        <f t="shared" si="44"/>
        <v>0</v>
      </c>
      <c r="BE16" s="4">
        <f t="shared" si="44"/>
        <v>0</v>
      </c>
      <c r="BF16" s="4">
        <f t="shared" si="44"/>
        <v>0</v>
      </c>
      <c r="BG16" s="4">
        <f t="shared" si="44"/>
        <v>0</v>
      </c>
      <c r="BH16" s="4">
        <f t="shared" ref="BH16:BN27" si="45">_xlfn.NUMBERVALUE(RIGHT(BB2,1))</f>
        <v>0</v>
      </c>
      <c r="BI16" s="4">
        <f t="shared" si="45"/>
        <v>0</v>
      </c>
      <c r="BJ16" s="4">
        <f t="shared" si="45"/>
        <v>0</v>
      </c>
      <c r="BK16" s="4">
        <f t="shared" si="45"/>
        <v>0</v>
      </c>
      <c r="BL16" s="4">
        <f t="shared" si="45"/>
        <v>0</v>
      </c>
      <c r="BM16" s="4">
        <f t="shared" si="45"/>
        <v>0</v>
      </c>
      <c r="BN16" s="4">
        <f t="shared" si="45"/>
        <v>0</v>
      </c>
    </row>
    <row r="17" spans="1:66" x14ac:dyDescent="0.2">
      <c r="A17" s="1" t="s">
        <v>20</v>
      </c>
      <c r="D17" s="1" t="s">
        <v>49</v>
      </c>
      <c r="G17" s="1" t="s">
        <v>52</v>
      </c>
      <c r="K17" s="3" t="s">
        <v>74</v>
      </c>
      <c r="P17" s="1" t="s">
        <v>66</v>
      </c>
      <c r="Z17">
        <f t="shared" si="35"/>
        <v>0</v>
      </c>
      <c r="AA17">
        <f t="shared" si="36"/>
        <v>0</v>
      </c>
      <c r="AE17">
        <f t="shared" si="37"/>
        <v>0</v>
      </c>
      <c r="AF17">
        <f t="shared" si="38"/>
        <v>1</v>
      </c>
      <c r="AG17">
        <f t="shared" si="39"/>
        <v>0</v>
      </c>
      <c r="AK17">
        <f t="shared" si="40"/>
        <v>0</v>
      </c>
      <c r="AL17">
        <f t="shared" si="41"/>
        <v>0</v>
      </c>
      <c r="AM17">
        <f t="shared" si="42"/>
        <v>0</v>
      </c>
      <c r="AN17">
        <f t="shared" si="43"/>
        <v>0</v>
      </c>
      <c r="AP17">
        <f t="shared" ref="AP17:AP27" si="46">MAX(AQ17:BN17)</f>
        <v>0</v>
      </c>
      <c r="AQ17" s="4">
        <f t="shared" ref="AQ17:AQ27" si="47">_xlfn.NUMBERVALUE(RIGHT(AK3,1))</f>
        <v>0</v>
      </c>
      <c r="AR17" s="4">
        <f t="shared" si="44"/>
        <v>0</v>
      </c>
      <c r="AS17" s="4">
        <f t="shared" si="44"/>
        <v>0</v>
      </c>
      <c r="AT17" s="4">
        <f t="shared" si="44"/>
        <v>0</v>
      </c>
      <c r="AU17" s="4">
        <f t="shared" si="44"/>
        <v>0</v>
      </c>
      <c r="AV17" s="4">
        <f t="shared" si="44"/>
        <v>0</v>
      </c>
      <c r="AW17" s="4">
        <f t="shared" si="44"/>
        <v>0</v>
      </c>
      <c r="AX17" s="4">
        <f t="shared" si="44"/>
        <v>0</v>
      </c>
      <c r="AY17" s="4">
        <f t="shared" si="44"/>
        <v>0</v>
      </c>
      <c r="AZ17" s="4">
        <f t="shared" si="44"/>
        <v>0</v>
      </c>
      <c r="BA17" s="4">
        <f t="shared" si="44"/>
        <v>0</v>
      </c>
      <c r="BB17" s="4">
        <f t="shared" si="44"/>
        <v>0</v>
      </c>
      <c r="BC17" s="4">
        <f t="shared" si="44"/>
        <v>0</v>
      </c>
      <c r="BD17" s="4">
        <f t="shared" si="44"/>
        <v>0</v>
      </c>
      <c r="BE17" s="4">
        <f t="shared" si="44"/>
        <v>0</v>
      </c>
      <c r="BF17" s="4">
        <f t="shared" si="44"/>
        <v>0</v>
      </c>
      <c r="BG17" s="4">
        <f t="shared" si="44"/>
        <v>0</v>
      </c>
      <c r="BH17" s="4">
        <f t="shared" si="45"/>
        <v>0</v>
      </c>
      <c r="BI17" s="4">
        <f t="shared" si="45"/>
        <v>0</v>
      </c>
      <c r="BJ17" s="4">
        <f t="shared" si="45"/>
        <v>0</v>
      </c>
      <c r="BK17" s="4">
        <f t="shared" si="45"/>
        <v>0</v>
      </c>
      <c r="BL17" s="4">
        <f t="shared" si="45"/>
        <v>0</v>
      </c>
      <c r="BM17" s="4">
        <f t="shared" si="45"/>
        <v>0</v>
      </c>
      <c r="BN17" s="4">
        <f t="shared" si="45"/>
        <v>0</v>
      </c>
    </row>
    <row r="18" spans="1:66" x14ac:dyDescent="0.2">
      <c r="A18" t="s">
        <v>32</v>
      </c>
      <c r="B18" t="s">
        <v>21</v>
      </c>
      <c r="D18" t="s">
        <v>180</v>
      </c>
      <c r="G18" s="3" t="s">
        <v>53</v>
      </c>
      <c r="K18" t="s">
        <v>55</v>
      </c>
      <c r="M18" t="s">
        <v>65</v>
      </c>
      <c r="P18" t="s">
        <v>67</v>
      </c>
      <c r="Z18">
        <f t="shared" si="35"/>
        <v>0</v>
      </c>
      <c r="AA18">
        <f t="shared" si="36"/>
        <v>0</v>
      </c>
      <c r="AE18">
        <f t="shared" si="37"/>
        <v>0</v>
      </c>
      <c r="AF18">
        <f t="shared" si="38"/>
        <v>0</v>
      </c>
      <c r="AG18">
        <f t="shared" si="39"/>
        <v>0</v>
      </c>
      <c r="AK18">
        <f t="shared" si="40"/>
        <v>0</v>
      </c>
      <c r="AL18">
        <f t="shared" si="41"/>
        <v>0</v>
      </c>
      <c r="AM18">
        <f t="shared" si="42"/>
        <v>0</v>
      </c>
      <c r="AN18">
        <f t="shared" si="43"/>
        <v>0</v>
      </c>
      <c r="AP18">
        <f t="shared" si="46"/>
        <v>0</v>
      </c>
      <c r="AQ18" s="4">
        <f t="shared" si="47"/>
        <v>0</v>
      </c>
      <c r="AR18" s="4">
        <f t="shared" si="44"/>
        <v>0</v>
      </c>
      <c r="AS18" s="4">
        <f t="shared" si="44"/>
        <v>0</v>
      </c>
      <c r="AT18" s="4">
        <f t="shared" si="44"/>
        <v>0</v>
      </c>
      <c r="AU18" s="4">
        <f t="shared" si="44"/>
        <v>0</v>
      </c>
      <c r="AV18" s="4">
        <f t="shared" si="44"/>
        <v>0</v>
      </c>
      <c r="AW18" s="4">
        <f t="shared" si="44"/>
        <v>0</v>
      </c>
      <c r="AX18" s="4">
        <f t="shared" si="44"/>
        <v>0</v>
      </c>
      <c r="AY18" s="4">
        <f t="shared" si="44"/>
        <v>0</v>
      </c>
      <c r="AZ18" s="4">
        <f t="shared" si="44"/>
        <v>0</v>
      </c>
      <c r="BA18" s="4">
        <f t="shared" si="44"/>
        <v>0</v>
      </c>
      <c r="BB18" s="4">
        <f t="shared" si="44"/>
        <v>0</v>
      </c>
      <c r="BC18" s="4">
        <f t="shared" si="44"/>
        <v>0</v>
      </c>
      <c r="BD18" s="4">
        <f t="shared" si="44"/>
        <v>0</v>
      </c>
      <c r="BE18" s="4">
        <f t="shared" si="44"/>
        <v>0</v>
      </c>
      <c r="BF18" s="4">
        <f t="shared" si="44"/>
        <v>0</v>
      </c>
      <c r="BG18" s="4">
        <f t="shared" si="44"/>
        <v>0</v>
      </c>
      <c r="BH18" s="4">
        <f t="shared" si="45"/>
        <v>0</v>
      </c>
      <c r="BI18" s="4">
        <f t="shared" si="45"/>
        <v>0</v>
      </c>
      <c r="BJ18" s="4">
        <f t="shared" si="45"/>
        <v>0</v>
      </c>
      <c r="BK18" s="4">
        <f t="shared" si="45"/>
        <v>0</v>
      </c>
      <c r="BL18" s="4">
        <f t="shared" si="45"/>
        <v>0</v>
      </c>
      <c r="BM18" s="4">
        <f t="shared" si="45"/>
        <v>0</v>
      </c>
      <c r="BN18" s="4">
        <f t="shared" si="45"/>
        <v>0</v>
      </c>
    </row>
    <row r="19" spans="1:66" x14ac:dyDescent="0.2">
      <c r="A19" t="s">
        <v>40</v>
      </c>
      <c r="B19" t="s">
        <v>22</v>
      </c>
      <c r="D19">
        <f>E16/D16</f>
        <v>0.16666666666666666</v>
      </c>
      <c r="G19" t="s">
        <v>75</v>
      </c>
      <c r="K19">
        <f>O16/N16</f>
        <v>0.97222222222222221</v>
      </c>
      <c r="M19">
        <f>SUM(M39:M50)</f>
        <v>-7</v>
      </c>
      <c r="P19">
        <f>T16/S16</f>
        <v>0.75</v>
      </c>
      <c r="Z19">
        <f t="shared" si="35"/>
        <v>0</v>
      </c>
      <c r="AA19">
        <f t="shared" si="36"/>
        <v>0</v>
      </c>
      <c r="AE19">
        <f t="shared" si="37"/>
        <v>0</v>
      </c>
      <c r="AF19">
        <f t="shared" si="38"/>
        <v>0</v>
      </c>
      <c r="AG19">
        <f t="shared" si="39"/>
        <v>0</v>
      </c>
      <c r="AK19">
        <f t="shared" si="40"/>
        <v>0</v>
      </c>
      <c r="AL19">
        <f t="shared" si="41"/>
        <v>0</v>
      </c>
      <c r="AM19">
        <f t="shared" si="42"/>
        <v>0</v>
      </c>
      <c r="AN19">
        <f t="shared" si="43"/>
        <v>0</v>
      </c>
      <c r="AP19">
        <f t="shared" si="46"/>
        <v>0</v>
      </c>
      <c r="AQ19" s="4">
        <f t="shared" si="47"/>
        <v>0</v>
      </c>
      <c r="AR19" s="4">
        <f t="shared" si="44"/>
        <v>0</v>
      </c>
      <c r="AS19" s="4">
        <f t="shared" si="44"/>
        <v>0</v>
      </c>
      <c r="AT19" s="4">
        <f t="shared" si="44"/>
        <v>0</v>
      </c>
      <c r="AU19" s="4">
        <f t="shared" si="44"/>
        <v>0</v>
      </c>
      <c r="AV19" s="4">
        <f t="shared" si="44"/>
        <v>0</v>
      </c>
      <c r="AW19" s="4">
        <f t="shared" si="44"/>
        <v>0</v>
      </c>
      <c r="AX19" s="4">
        <f t="shared" si="44"/>
        <v>0</v>
      </c>
      <c r="AY19" s="4">
        <f t="shared" si="44"/>
        <v>0</v>
      </c>
      <c r="AZ19" s="4">
        <f t="shared" si="44"/>
        <v>0</v>
      </c>
      <c r="BA19" s="4">
        <f t="shared" si="44"/>
        <v>0</v>
      </c>
      <c r="BB19" s="4">
        <f t="shared" si="44"/>
        <v>0</v>
      </c>
      <c r="BC19" s="4">
        <f t="shared" si="44"/>
        <v>0</v>
      </c>
      <c r="BD19" s="4">
        <f t="shared" si="44"/>
        <v>0</v>
      </c>
      <c r="BE19" s="4">
        <f t="shared" si="44"/>
        <v>0</v>
      </c>
      <c r="BF19" s="4">
        <f t="shared" si="44"/>
        <v>0</v>
      </c>
      <c r="BG19" s="4">
        <f t="shared" si="44"/>
        <v>0</v>
      </c>
      <c r="BH19" s="4">
        <f t="shared" si="45"/>
        <v>0</v>
      </c>
      <c r="BI19" s="4">
        <f t="shared" si="45"/>
        <v>0</v>
      </c>
      <c r="BJ19" s="4">
        <f t="shared" si="45"/>
        <v>0</v>
      </c>
      <c r="BK19" s="4">
        <f t="shared" si="45"/>
        <v>0</v>
      </c>
      <c r="BL19" s="4">
        <f t="shared" si="45"/>
        <v>0</v>
      </c>
      <c r="BM19" s="4">
        <f t="shared" si="45"/>
        <v>0</v>
      </c>
      <c r="BN19" s="4">
        <f t="shared" si="45"/>
        <v>0</v>
      </c>
    </row>
    <row r="20" spans="1:66" x14ac:dyDescent="0.2">
      <c r="A20" t="s">
        <v>41</v>
      </c>
      <c r="B20" t="s">
        <v>23</v>
      </c>
      <c r="D20" t="s">
        <v>47</v>
      </c>
      <c r="G20">
        <f>AK28/AP28</f>
        <v>1</v>
      </c>
      <c r="K20" t="s">
        <v>13</v>
      </c>
      <c r="Z20">
        <f t="shared" si="35"/>
        <v>0</v>
      </c>
      <c r="AA20">
        <f t="shared" si="36"/>
        <v>0</v>
      </c>
      <c r="AE20">
        <f t="shared" si="37"/>
        <v>0</v>
      </c>
      <c r="AF20">
        <f t="shared" si="38"/>
        <v>0</v>
      </c>
      <c r="AG20">
        <f t="shared" si="39"/>
        <v>0</v>
      </c>
      <c r="AK20">
        <f t="shared" si="40"/>
        <v>0</v>
      </c>
      <c r="AL20">
        <f t="shared" si="41"/>
        <v>0</v>
      </c>
      <c r="AM20">
        <f t="shared" si="42"/>
        <v>0</v>
      </c>
      <c r="AN20">
        <f t="shared" si="43"/>
        <v>0</v>
      </c>
      <c r="AP20">
        <f t="shared" si="46"/>
        <v>0</v>
      </c>
      <c r="AQ20" s="4">
        <f t="shared" si="47"/>
        <v>0</v>
      </c>
      <c r="AR20" s="4">
        <f t="shared" si="44"/>
        <v>0</v>
      </c>
      <c r="AS20" s="4">
        <f t="shared" si="44"/>
        <v>0</v>
      </c>
      <c r="AT20" s="4">
        <f t="shared" si="44"/>
        <v>0</v>
      </c>
      <c r="AU20" s="4">
        <f t="shared" si="44"/>
        <v>0</v>
      </c>
      <c r="AV20" s="4">
        <f t="shared" si="44"/>
        <v>0</v>
      </c>
      <c r="AW20" s="4">
        <f t="shared" si="44"/>
        <v>0</v>
      </c>
      <c r="AX20" s="4">
        <f t="shared" si="44"/>
        <v>0</v>
      </c>
      <c r="AY20" s="4">
        <f t="shared" si="44"/>
        <v>0</v>
      </c>
      <c r="AZ20" s="4">
        <f t="shared" si="44"/>
        <v>0</v>
      </c>
      <c r="BA20" s="4">
        <f t="shared" si="44"/>
        <v>0</v>
      </c>
      <c r="BB20" s="4">
        <f t="shared" si="44"/>
        <v>0</v>
      </c>
      <c r="BC20" s="4">
        <f t="shared" si="44"/>
        <v>0</v>
      </c>
      <c r="BD20" s="4">
        <f t="shared" si="44"/>
        <v>0</v>
      </c>
      <c r="BE20" s="4">
        <f t="shared" si="44"/>
        <v>0</v>
      </c>
      <c r="BF20" s="4">
        <f t="shared" si="44"/>
        <v>0</v>
      </c>
      <c r="BG20" s="4">
        <f t="shared" si="44"/>
        <v>0</v>
      </c>
      <c r="BH20" s="4">
        <f t="shared" si="45"/>
        <v>0</v>
      </c>
      <c r="BI20" s="4">
        <f t="shared" si="45"/>
        <v>0</v>
      </c>
      <c r="BJ20" s="4">
        <f t="shared" si="45"/>
        <v>0</v>
      </c>
      <c r="BK20" s="4">
        <f t="shared" si="45"/>
        <v>0</v>
      </c>
      <c r="BL20" s="4">
        <f t="shared" si="45"/>
        <v>0</v>
      </c>
      <c r="BM20" s="4">
        <f t="shared" si="45"/>
        <v>0</v>
      </c>
      <c r="BN20" s="4">
        <f t="shared" si="45"/>
        <v>0</v>
      </c>
    </row>
    <row r="21" spans="1:66" x14ac:dyDescent="0.2">
      <c r="A21" s="1" t="s">
        <v>24</v>
      </c>
      <c r="D21">
        <f>G16/A31</f>
        <v>1.6666666666666667</v>
      </c>
      <c r="G21" t="s">
        <v>76</v>
      </c>
      <c r="K21" t="s">
        <v>57</v>
      </c>
      <c r="L21" t="s">
        <v>58</v>
      </c>
      <c r="M21" t="s">
        <v>59</v>
      </c>
      <c r="N21" t="s">
        <v>60</v>
      </c>
      <c r="Z21">
        <f t="shared" si="35"/>
        <v>0</v>
      </c>
      <c r="AA21">
        <f t="shared" si="36"/>
        <v>0</v>
      </c>
      <c r="AE21">
        <f t="shared" si="37"/>
        <v>0</v>
      </c>
      <c r="AF21">
        <f t="shared" si="38"/>
        <v>0</v>
      </c>
      <c r="AG21">
        <f t="shared" si="39"/>
        <v>0</v>
      </c>
      <c r="AK21">
        <f t="shared" si="40"/>
        <v>0</v>
      </c>
      <c r="AL21">
        <f t="shared" si="41"/>
        <v>0</v>
      </c>
      <c r="AM21">
        <f t="shared" si="42"/>
        <v>0</v>
      </c>
      <c r="AN21">
        <f t="shared" si="43"/>
        <v>0</v>
      </c>
      <c r="AP21">
        <f t="shared" si="46"/>
        <v>0</v>
      </c>
      <c r="AQ21" s="4">
        <f t="shared" si="47"/>
        <v>0</v>
      </c>
      <c r="AR21" s="4">
        <f t="shared" si="44"/>
        <v>0</v>
      </c>
      <c r="AS21" s="4">
        <f t="shared" si="44"/>
        <v>0</v>
      </c>
      <c r="AT21" s="4">
        <f t="shared" si="44"/>
        <v>0</v>
      </c>
      <c r="AU21" s="4">
        <f t="shared" si="44"/>
        <v>0</v>
      </c>
      <c r="AV21" s="4">
        <f t="shared" si="44"/>
        <v>0</v>
      </c>
      <c r="AW21" s="4">
        <f t="shared" si="44"/>
        <v>0</v>
      </c>
      <c r="AX21" s="4">
        <f t="shared" si="44"/>
        <v>0</v>
      </c>
      <c r="AY21" s="4">
        <f t="shared" si="44"/>
        <v>0</v>
      </c>
      <c r="AZ21" s="4">
        <f t="shared" si="44"/>
        <v>0</v>
      </c>
      <c r="BA21" s="4">
        <f t="shared" si="44"/>
        <v>0</v>
      </c>
      <c r="BB21" s="4">
        <f t="shared" si="44"/>
        <v>0</v>
      </c>
      <c r="BC21" s="4">
        <f t="shared" si="44"/>
        <v>0</v>
      </c>
      <c r="BD21" s="4">
        <f t="shared" si="44"/>
        <v>0</v>
      </c>
      <c r="BE21" s="4">
        <f t="shared" si="44"/>
        <v>0</v>
      </c>
      <c r="BF21" s="4">
        <f t="shared" si="44"/>
        <v>0</v>
      </c>
      <c r="BG21" s="4">
        <f t="shared" si="44"/>
        <v>0</v>
      </c>
      <c r="BH21" s="4">
        <f t="shared" si="45"/>
        <v>0</v>
      </c>
      <c r="BI21" s="4">
        <f t="shared" si="45"/>
        <v>0</v>
      </c>
      <c r="BJ21" s="4">
        <f t="shared" si="45"/>
        <v>0</v>
      </c>
      <c r="BK21" s="4">
        <f t="shared" si="45"/>
        <v>0</v>
      </c>
      <c r="BL21" s="4">
        <f t="shared" si="45"/>
        <v>0</v>
      </c>
      <c r="BM21" s="4">
        <f t="shared" si="45"/>
        <v>0</v>
      </c>
      <c r="BN21" s="4">
        <f t="shared" si="45"/>
        <v>0</v>
      </c>
    </row>
    <row r="22" spans="1:66" x14ac:dyDescent="0.2">
      <c r="A22" t="s">
        <v>36</v>
      </c>
      <c r="B22" t="s">
        <v>10</v>
      </c>
      <c r="D22" t="s">
        <v>48</v>
      </c>
      <c r="G22">
        <f>AL28/AP28</f>
        <v>1</v>
      </c>
      <c r="K22">
        <f>AVERAGE(C39:C50)</f>
        <v>2.9166666666666665</v>
      </c>
      <c r="L22">
        <f>MEDIAN(C39:C50)</f>
        <v>3</v>
      </c>
      <c r="M22">
        <f>MAX(C39:C50)</f>
        <v>4</v>
      </c>
      <c r="N22">
        <f>_xlfn.STDEV.S(C39:C50)</f>
        <v>1.2401124093721456</v>
      </c>
      <c r="Z22">
        <f t="shared" si="35"/>
        <v>0</v>
      </c>
      <c r="AA22">
        <f t="shared" si="36"/>
        <v>0</v>
      </c>
      <c r="AE22">
        <f t="shared" si="37"/>
        <v>0</v>
      </c>
      <c r="AF22">
        <f t="shared" si="38"/>
        <v>0</v>
      </c>
      <c r="AG22">
        <f t="shared" si="39"/>
        <v>0</v>
      </c>
      <c r="AK22">
        <f t="shared" si="40"/>
        <v>1</v>
      </c>
      <c r="AL22">
        <f t="shared" si="41"/>
        <v>1</v>
      </c>
      <c r="AM22">
        <f t="shared" si="42"/>
        <v>0</v>
      </c>
      <c r="AN22">
        <f t="shared" si="43"/>
        <v>0</v>
      </c>
      <c r="AP22">
        <f t="shared" si="46"/>
        <v>1</v>
      </c>
      <c r="AQ22" s="4">
        <f t="shared" si="47"/>
        <v>1</v>
      </c>
      <c r="AR22" s="4">
        <f t="shared" si="44"/>
        <v>1</v>
      </c>
      <c r="AS22" s="4">
        <f t="shared" si="44"/>
        <v>0</v>
      </c>
      <c r="AT22" s="4">
        <f t="shared" si="44"/>
        <v>0</v>
      </c>
      <c r="AU22" s="4">
        <f t="shared" si="44"/>
        <v>0</v>
      </c>
      <c r="AV22" s="4">
        <f t="shared" si="44"/>
        <v>0</v>
      </c>
      <c r="AW22" s="4">
        <f t="shared" si="44"/>
        <v>0</v>
      </c>
      <c r="AX22" s="4">
        <f t="shared" si="44"/>
        <v>0</v>
      </c>
      <c r="AY22" s="4">
        <f t="shared" si="44"/>
        <v>0</v>
      </c>
      <c r="AZ22" s="4">
        <f t="shared" si="44"/>
        <v>0</v>
      </c>
      <c r="BA22" s="4">
        <f t="shared" si="44"/>
        <v>0</v>
      </c>
      <c r="BB22" s="4">
        <f t="shared" si="44"/>
        <v>0</v>
      </c>
      <c r="BC22" s="4">
        <f t="shared" si="44"/>
        <v>0</v>
      </c>
      <c r="BD22" s="4">
        <f t="shared" si="44"/>
        <v>0</v>
      </c>
      <c r="BE22" s="4">
        <f t="shared" si="44"/>
        <v>0</v>
      </c>
      <c r="BF22" s="4">
        <f t="shared" si="44"/>
        <v>0</v>
      </c>
      <c r="BG22" s="4">
        <f t="shared" si="44"/>
        <v>0</v>
      </c>
      <c r="BH22" s="4">
        <f t="shared" si="45"/>
        <v>0</v>
      </c>
      <c r="BI22" s="4">
        <f t="shared" si="45"/>
        <v>0</v>
      </c>
      <c r="BJ22" s="4">
        <f t="shared" si="45"/>
        <v>0</v>
      </c>
      <c r="BK22" s="4">
        <f t="shared" si="45"/>
        <v>0</v>
      </c>
      <c r="BL22" s="4">
        <f t="shared" si="45"/>
        <v>0</v>
      </c>
      <c r="BM22" s="4">
        <f t="shared" si="45"/>
        <v>0</v>
      </c>
      <c r="BN22" s="4">
        <f t="shared" si="45"/>
        <v>0</v>
      </c>
    </row>
    <row r="23" spans="1:66" x14ac:dyDescent="0.2">
      <c r="A23" t="s">
        <v>37</v>
      </c>
      <c r="B23" t="s">
        <v>25</v>
      </c>
      <c r="D23">
        <f>H16/A31</f>
        <v>0</v>
      </c>
      <c r="G23" t="s">
        <v>77</v>
      </c>
      <c r="K23" t="s">
        <v>8</v>
      </c>
      <c r="Z23">
        <f t="shared" si="35"/>
        <v>0</v>
      </c>
      <c r="AA23">
        <f t="shared" si="36"/>
        <v>0</v>
      </c>
      <c r="AE23">
        <f t="shared" si="37"/>
        <v>0</v>
      </c>
      <c r="AF23">
        <f t="shared" si="38"/>
        <v>0</v>
      </c>
      <c r="AG23">
        <f t="shared" si="39"/>
        <v>0</v>
      </c>
      <c r="AK23">
        <f t="shared" si="40"/>
        <v>0</v>
      </c>
      <c r="AL23">
        <f t="shared" si="41"/>
        <v>0</v>
      </c>
      <c r="AM23">
        <f t="shared" si="42"/>
        <v>0</v>
      </c>
      <c r="AN23">
        <f t="shared" si="43"/>
        <v>0</v>
      </c>
      <c r="AP23">
        <f t="shared" si="46"/>
        <v>0</v>
      </c>
      <c r="AQ23" s="4">
        <f t="shared" si="47"/>
        <v>0</v>
      </c>
      <c r="AR23" s="4">
        <f t="shared" si="44"/>
        <v>0</v>
      </c>
      <c r="AS23" s="4">
        <f t="shared" si="44"/>
        <v>0</v>
      </c>
      <c r="AT23" s="4">
        <f t="shared" si="44"/>
        <v>0</v>
      </c>
      <c r="AU23" s="4">
        <f t="shared" si="44"/>
        <v>0</v>
      </c>
      <c r="AV23" s="4">
        <f t="shared" si="44"/>
        <v>0</v>
      </c>
      <c r="AW23" s="4">
        <f t="shared" si="44"/>
        <v>0</v>
      </c>
      <c r="AX23" s="4">
        <f t="shared" si="44"/>
        <v>0</v>
      </c>
      <c r="AY23" s="4">
        <f t="shared" si="44"/>
        <v>0</v>
      </c>
      <c r="AZ23" s="4">
        <f t="shared" si="44"/>
        <v>0</v>
      </c>
      <c r="BA23" s="4">
        <f t="shared" si="44"/>
        <v>0</v>
      </c>
      <c r="BB23" s="4">
        <f t="shared" si="44"/>
        <v>0</v>
      </c>
      <c r="BC23" s="4">
        <f t="shared" si="44"/>
        <v>0</v>
      </c>
      <c r="BD23" s="4">
        <f t="shared" si="44"/>
        <v>0</v>
      </c>
      <c r="BE23" s="4">
        <f t="shared" si="44"/>
        <v>0</v>
      </c>
      <c r="BF23" s="4">
        <f t="shared" si="44"/>
        <v>0</v>
      </c>
      <c r="BG23" s="4">
        <f t="shared" si="44"/>
        <v>0</v>
      </c>
      <c r="BH23" s="4">
        <f t="shared" si="45"/>
        <v>0</v>
      </c>
      <c r="BI23" s="4">
        <f t="shared" si="45"/>
        <v>0</v>
      </c>
      <c r="BJ23" s="4">
        <f t="shared" si="45"/>
        <v>0</v>
      </c>
      <c r="BK23" s="4">
        <f t="shared" si="45"/>
        <v>0</v>
      </c>
      <c r="BL23" s="4">
        <f t="shared" si="45"/>
        <v>0</v>
      </c>
      <c r="BM23" s="4">
        <f t="shared" si="45"/>
        <v>0</v>
      </c>
      <c r="BN23" s="4">
        <f t="shared" si="45"/>
        <v>0</v>
      </c>
    </row>
    <row r="24" spans="1:66" x14ac:dyDescent="0.2">
      <c r="A24" t="s">
        <v>38</v>
      </c>
      <c r="B24" t="s">
        <v>26</v>
      </c>
      <c r="D24" t="s">
        <v>50</v>
      </c>
      <c r="G24">
        <f>AM28/AP28</f>
        <v>0</v>
      </c>
      <c r="K24" t="s">
        <v>57</v>
      </c>
      <c r="L24" t="s">
        <v>61</v>
      </c>
      <c r="M24" t="s">
        <v>59</v>
      </c>
      <c r="N24" t="s">
        <v>60</v>
      </c>
      <c r="Z24">
        <f t="shared" si="35"/>
        <v>0</v>
      </c>
      <c r="AA24">
        <f t="shared" si="36"/>
        <v>0</v>
      </c>
      <c r="AE24">
        <f t="shared" si="37"/>
        <v>0</v>
      </c>
      <c r="AF24">
        <f t="shared" si="38"/>
        <v>2</v>
      </c>
      <c r="AG24">
        <f t="shared" si="39"/>
        <v>0</v>
      </c>
      <c r="AK24">
        <f t="shared" si="40"/>
        <v>0</v>
      </c>
      <c r="AL24">
        <f t="shared" si="41"/>
        <v>0</v>
      </c>
      <c r="AM24">
        <f t="shared" si="42"/>
        <v>0</v>
      </c>
      <c r="AN24">
        <f t="shared" si="43"/>
        <v>0</v>
      </c>
      <c r="AP24">
        <f t="shared" si="46"/>
        <v>0</v>
      </c>
      <c r="AQ24" s="4">
        <f t="shared" si="47"/>
        <v>0</v>
      </c>
      <c r="AR24" s="4">
        <f t="shared" si="44"/>
        <v>0</v>
      </c>
      <c r="AS24" s="4">
        <f t="shared" si="44"/>
        <v>0</v>
      </c>
      <c r="AT24" s="4">
        <f t="shared" si="44"/>
        <v>0</v>
      </c>
      <c r="AU24" s="4">
        <f t="shared" si="44"/>
        <v>0</v>
      </c>
      <c r="AV24" s="4">
        <f t="shared" si="44"/>
        <v>0</v>
      </c>
      <c r="AW24" s="4">
        <f t="shared" si="44"/>
        <v>0</v>
      </c>
      <c r="AX24" s="4">
        <f t="shared" si="44"/>
        <v>0</v>
      </c>
      <c r="AY24" s="4">
        <f t="shared" si="44"/>
        <v>0</v>
      </c>
      <c r="AZ24" s="4">
        <f t="shared" si="44"/>
        <v>0</v>
      </c>
      <c r="BA24" s="4">
        <f t="shared" si="44"/>
        <v>0</v>
      </c>
      <c r="BB24" s="4">
        <f t="shared" si="44"/>
        <v>0</v>
      </c>
      <c r="BC24" s="4">
        <f t="shared" si="44"/>
        <v>0</v>
      </c>
      <c r="BD24" s="4">
        <f t="shared" si="44"/>
        <v>0</v>
      </c>
      <c r="BE24" s="4">
        <f t="shared" si="44"/>
        <v>0</v>
      </c>
      <c r="BF24" s="4">
        <f t="shared" si="44"/>
        <v>0</v>
      </c>
      <c r="BG24" s="4">
        <f t="shared" si="44"/>
        <v>0</v>
      </c>
      <c r="BH24" s="4">
        <f t="shared" si="45"/>
        <v>0</v>
      </c>
      <c r="BI24" s="4">
        <f t="shared" si="45"/>
        <v>0</v>
      </c>
      <c r="BJ24" s="4">
        <f t="shared" si="45"/>
        <v>0</v>
      </c>
      <c r="BK24" s="4">
        <f t="shared" si="45"/>
        <v>0</v>
      </c>
      <c r="BL24" s="4">
        <f t="shared" si="45"/>
        <v>0</v>
      </c>
      <c r="BM24" s="4">
        <f t="shared" si="45"/>
        <v>0</v>
      </c>
      <c r="BN24" s="4">
        <f t="shared" si="45"/>
        <v>0</v>
      </c>
    </row>
    <row r="25" spans="1:66" x14ac:dyDescent="0.2">
      <c r="A25" t="s">
        <v>39</v>
      </c>
      <c r="B25" t="s">
        <v>27</v>
      </c>
      <c r="D25">
        <f>Z28/A31</f>
        <v>0</v>
      </c>
      <c r="G25" t="s">
        <v>78</v>
      </c>
      <c r="K25">
        <f>AVERAGE(E39:E50)</f>
        <v>0</v>
      </c>
      <c r="L25">
        <f>MEDIAN(E39:E50)</f>
        <v>0</v>
      </c>
      <c r="M25">
        <f>MAX(E39:E50)</f>
        <v>0</v>
      </c>
      <c r="N25">
        <f>_xlfn.STDEV.S(E39:E50)</f>
        <v>0</v>
      </c>
      <c r="Z25">
        <f t="shared" si="35"/>
        <v>0</v>
      </c>
      <c r="AA25">
        <f t="shared" si="36"/>
        <v>0</v>
      </c>
      <c r="AE25">
        <f t="shared" si="37"/>
        <v>1</v>
      </c>
      <c r="AF25">
        <f t="shared" si="38"/>
        <v>0</v>
      </c>
      <c r="AG25">
        <f t="shared" si="39"/>
        <v>0</v>
      </c>
      <c r="AK25">
        <f t="shared" si="40"/>
        <v>1</v>
      </c>
      <c r="AL25">
        <f t="shared" si="41"/>
        <v>1</v>
      </c>
      <c r="AM25">
        <f t="shared" si="42"/>
        <v>0</v>
      </c>
      <c r="AN25">
        <f t="shared" si="43"/>
        <v>0</v>
      </c>
      <c r="AP25">
        <f t="shared" si="46"/>
        <v>1</v>
      </c>
      <c r="AQ25" s="4">
        <f t="shared" si="47"/>
        <v>1</v>
      </c>
      <c r="AR25" s="4">
        <f t="shared" si="44"/>
        <v>1</v>
      </c>
      <c r="AS25" s="4">
        <f t="shared" si="44"/>
        <v>0</v>
      </c>
      <c r="AT25" s="4">
        <f t="shared" si="44"/>
        <v>0</v>
      </c>
      <c r="AU25" s="4">
        <f t="shared" si="44"/>
        <v>0</v>
      </c>
      <c r="AV25" s="4">
        <f t="shared" si="44"/>
        <v>0</v>
      </c>
      <c r="AW25" s="4">
        <f t="shared" si="44"/>
        <v>0</v>
      </c>
      <c r="AX25" s="4">
        <f t="shared" si="44"/>
        <v>0</v>
      </c>
      <c r="AY25" s="4">
        <f t="shared" si="44"/>
        <v>0</v>
      </c>
      <c r="AZ25" s="4">
        <f t="shared" si="44"/>
        <v>0</v>
      </c>
      <c r="BA25" s="4">
        <f t="shared" si="44"/>
        <v>0</v>
      </c>
      <c r="BB25" s="4">
        <f t="shared" si="44"/>
        <v>0</v>
      </c>
      <c r="BC25" s="4">
        <f t="shared" si="44"/>
        <v>0</v>
      </c>
      <c r="BD25" s="4">
        <f t="shared" si="44"/>
        <v>0</v>
      </c>
      <c r="BE25" s="4">
        <f t="shared" si="44"/>
        <v>0</v>
      </c>
      <c r="BF25" s="4">
        <f t="shared" si="44"/>
        <v>0</v>
      </c>
      <c r="BG25" s="4">
        <f t="shared" si="44"/>
        <v>0</v>
      </c>
      <c r="BH25" s="4">
        <f t="shared" si="45"/>
        <v>0</v>
      </c>
      <c r="BI25" s="4">
        <f t="shared" si="45"/>
        <v>0</v>
      </c>
      <c r="BJ25" s="4">
        <f t="shared" si="45"/>
        <v>0</v>
      </c>
      <c r="BK25" s="4">
        <f t="shared" si="45"/>
        <v>0</v>
      </c>
      <c r="BL25" s="4">
        <f t="shared" si="45"/>
        <v>0</v>
      </c>
      <c r="BM25" s="4">
        <f t="shared" si="45"/>
        <v>0</v>
      </c>
      <c r="BN25" s="4">
        <f t="shared" si="45"/>
        <v>0</v>
      </c>
    </row>
    <row r="26" spans="1:66" x14ac:dyDescent="0.2">
      <c r="A26" t="s">
        <v>44</v>
      </c>
      <c r="D26" t="s">
        <v>51</v>
      </c>
      <c r="G26">
        <f>AN28/AP28</f>
        <v>0</v>
      </c>
      <c r="K26" t="s">
        <v>62</v>
      </c>
      <c r="P26" t="s">
        <v>19</v>
      </c>
      <c r="Z26">
        <f t="shared" si="35"/>
        <v>0</v>
      </c>
      <c r="AA26">
        <f t="shared" si="36"/>
        <v>0</v>
      </c>
      <c r="AE26">
        <f t="shared" si="37"/>
        <v>0</v>
      </c>
      <c r="AF26">
        <f t="shared" si="38"/>
        <v>0</v>
      </c>
      <c r="AG26">
        <f t="shared" si="39"/>
        <v>0</v>
      </c>
      <c r="AK26">
        <f t="shared" si="40"/>
        <v>0</v>
      </c>
      <c r="AL26">
        <f t="shared" si="41"/>
        <v>0</v>
      </c>
      <c r="AM26">
        <f t="shared" si="42"/>
        <v>0</v>
      </c>
      <c r="AN26">
        <f t="shared" si="43"/>
        <v>0</v>
      </c>
      <c r="AP26">
        <f t="shared" si="46"/>
        <v>0</v>
      </c>
      <c r="AQ26" s="4">
        <f t="shared" si="47"/>
        <v>0</v>
      </c>
      <c r="AR26" s="4">
        <f t="shared" si="44"/>
        <v>0</v>
      </c>
      <c r="AS26" s="4">
        <f t="shared" si="44"/>
        <v>0</v>
      </c>
      <c r="AT26" s="4">
        <f t="shared" si="44"/>
        <v>0</v>
      </c>
      <c r="AU26" s="4">
        <f t="shared" si="44"/>
        <v>0</v>
      </c>
      <c r="AV26" s="4">
        <f t="shared" si="44"/>
        <v>0</v>
      </c>
      <c r="AW26" s="4">
        <f t="shared" si="44"/>
        <v>0</v>
      </c>
      <c r="AX26" s="4">
        <f t="shared" si="44"/>
        <v>0</v>
      </c>
      <c r="AY26" s="4">
        <f t="shared" si="44"/>
        <v>0</v>
      </c>
      <c r="AZ26" s="4">
        <f t="shared" si="44"/>
        <v>0</v>
      </c>
      <c r="BA26" s="4">
        <f t="shared" si="44"/>
        <v>0</v>
      </c>
      <c r="BB26" s="4">
        <f t="shared" si="44"/>
        <v>0</v>
      </c>
      <c r="BC26" s="4">
        <f t="shared" si="44"/>
        <v>0</v>
      </c>
      <c r="BD26" s="4">
        <f t="shared" si="44"/>
        <v>0</v>
      </c>
      <c r="BE26" s="4">
        <f t="shared" si="44"/>
        <v>0</v>
      </c>
      <c r="BF26" s="4">
        <f t="shared" si="44"/>
        <v>0</v>
      </c>
      <c r="BG26" s="4">
        <f t="shared" si="44"/>
        <v>0</v>
      </c>
      <c r="BH26" s="4">
        <f t="shared" si="45"/>
        <v>0</v>
      </c>
      <c r="BI26" s="4">
        <f t="shared" si="45"/>
        <v>0</v>
      </c>
      <c r="BJ26" s="4">
        <f t="shared" si="45"/>
        <v>0</v>
      </c>
      <c r="BK26" s="4">
        <f t="shared" si="45"/>
        <v>0</v>
      </c>
      <c r="BL26" s="4">
        <f t="shared" si="45"/>
        <v>0</v>
      </c>
      <c r="BM26" s="4">
        <f t="shared" si="45"/>
        <v>0</v>
      </c>
      <c r="BN26" s="4">
        <f t="shared" si="45"/>
        <v>0</v>
      </c>
    </row>
    <row r="27" spans="1:66" x14ac:dyDescent="0.2">
      <c r="A27" t="s">
        <v>45</v>
      </c>
      <c r="D27">
        <f>AA28/A31</f>
        <v>0</v>
      </c>
      <c r="G27" t="s">
        <v>56</v>
      </c>
      <c r="K27" t="s">
        <v>57</v>
      </c>
      <c r="L27" t="s">
        <v>58</v>
      </c>
      <c r="M27" t="s">
        <v>59</v>
      </c>
      <c r="N27" t="s">
        <v>60</v>
      </c>
      <c r="P27" t="s">
        <v>57</v>
      </c>
      <c r="Q27" t="s">
        <v>58</v>
      </c>
      <c r="R27" t="s">
        <v>59</v>
      </c>
      <c r="S27" t="s">
        <v>60</v>
      </c>
      <c r="Z27">
        <f t="shared" si="35"/>
        <v>0</v>
      </c>
      <c r="AA27">
        <f t="shared" si="36"/>
        <v>0</v>
      </c>
      <c r="AE27">
        <f t="shared" si="37"/>
        <v>0</v>
      </c>
      <c r="AF27">
        <f t="shared" si="38"/>
        <v>0</v>
      </c>
      <c r="AG27">
        <f t="shared" si="39"/>
        <v>0</v>
      </c>
      <c r="AK27">
        <f t="shared" si="40"/>
        <v>0</v>
      </c>
      <c r="AL27">
        <f t="shared" si="41"/>
        <v>0</v>
      </c>
      <c r="AM27">
        <f t="shared" si="42"/>
        <v>0</v>
      </c>
      <c r="AN27">
        <f t="shared" si="43"/>
        <v>0</v>
      </c>
      <c r="AP27">
        <f t="shared" si="46"/>
        <v>0</v>
      </c>
      <c r="AQ27" s="4">
        <f t="shared" si="47"/>
        <v>0</v>
      </c>
      <c r="AR27" s="4">
        <f t="shared" si="44"/>
        <v>0</v>
      </c>
      <c r="AS27" s="4">
        <f t="shared" si="44"/>
        <v>0</v>
      </c>
      <c r="AT27" s="4">
        <f t="shared" si="44"/>
        <v>0</v>
      </c>
      <c r="AU27" s="4">
        <f t="shared" si="44"/>
        <v>0</v>
      </c>
      <c r="AV27" s="4">
        <f t="shared" si="44"/>
        <v>0</v>
      </c>
      <c r="AW27" s="4">
        <f t="shared" si="44"/>
        <v>0</v>
      </c>
      <c r="AX27" s="4">
        <f t="shared" si="44"/>
        <v>0</v>
      </c>
      <c r="AY27" s="4">
        <f t="shared" si="44"/>
        <v>0</v>
      </c>
      <c r="AZ27" s="4">
        <f t="shared" si="44"/>
        <v>0</v>
      </c>
      <c r="BA27" s="4">
        <f t="shared" si="44"/>
        <v>0</v>
      </c>
      <c r="BB27" s="4">
        <f t="shared" si="44"/>
        <v>0</v>
      </c>
      <c r="BC27" s="4">
        <f t="shared" si="44"/>
        <v>0</v>
      </c>
      <c r="BD27" s="4">
        <f t="shared" si="44"/>
        <v>0</v>
      </c>
      <c r="BE27" s="4">
        <f t="shared" si="44"/>
        <v>0</v>
      </c>
      <c r="BF27" s="4">
        <f t="shared" si="44"/>
        <v>0</v>
      </c>
      <c r="BG27" s="4">
        <f t="shared" si="44"/>
        <v>0</v>
      </c>
      <c r="BH27" s="4">
        <f t="shared" si="45"/>
        <v>0</v>
      </c>
      <c r="BI27" s="4">
        <f t="shared" si="45"/>
        <v>0</v>
      </c>
      <c r="BJ27" s="4">
        <f t="shared" si="45"/>
        <v>0</v>
      </c>
      <c r="BK27" s="4">
        <f t="shared" si="45"/>
        <v>0</v>
      </c>
      <c r="BL27" s="4">
        <f t="shared" si="45"/>
        <v>0</v>
      </c>
      <c r="BM27" s="4">
        <f t="shared" si="45"/>
        <v>0</v>
      </c>
      <c r="BN27" s="4">
        <f t="shared" si="45"/>
        <v>0</v>
      </c>
    </row>
    <row r="28" spans="1:66" x14ac:dyDescent="0.2">
      <c r="A28" t="s">
        <v>46</v>
      </c>
      <c r="D28" t="s">
        <v>202</v>
      </c>
      <c r="G28" t="s">
        <v>57</v>
      </c>
      <c r="H28" t="s">
        <v>58</v>
      </c>
      <c r="I28" t="s">
        <v>59</v>
      </c>
      <c r="J28" t="s">
        <v>60</v>
      </c>
      <c r="K28">
        <f>AVERAGE(G39:G50)</f>
        <v>0</v>
      </c>
      <c r="L28">
        <f>MEDIAN(G39:G50)</f>
        <v>0</v>
      </c>
      <c r="M28">
        <f>MAX(G39:G50)</f>
        <v>0</v>
      </c>
      <c r="N28">
        <f>_xlfn.STDEV.S(G39:G50)</f>
        <v>0</v>
      </c>
      <c r="P28">
        <f>AVERAGE(N39:N50)</f>
        <v>4</v>
      </c>
      <c r="Q28">
        <f>MEDIAN(N39:N50)</f>
        <v>2.5</v>
      </c>
      <c r="R28">
        <f>MAX(N39:N50)</f>
        <v>16</v>
      </c>
      <c r="S28">
        <f>_xlfn.STDEV.S(N39:N50)</f>
        <v>4.9543369430686228</v>
      </c>
      <c r="Y28" t="s">
        <v>33</v>
      </c>
      <c r="Z28">
        <f>SUM(Z16:Z27)</f>
        <v>0</v>
      </c>
      <c r="AA28">
        <f>SUM(AA16:AA27)</f>
        <v>0</v>
      </c>
      <c r="AE28">
        <f>SUM(AE16:AE27)</f>
        <v>1</v>
      </c>
      <c r="AF28">
        <f>SUM(AF16:AF27)</f>
        <v>3</v>
      </c>
      <c r="AG28">
        <f>SUM(AG16:AG27)</f>
        <v>0</v>
      </c>
      <c r="AK28">
        <f>SUM(AK16:AK27)</f>
        <v>2</v>
      </c>
      <c r="AL28">
        <f>SUM(AL16:AL27)</f>
        <v>2</v>
      </c>
      <c r="AM28">
        <f>SUM(AM16:AM27)</f>
        <v>0</v>
      </c>
      <c r="AN28">
        <f>SUM(AN16:AN27)</f>
        <v>0</v>
      </c>
      <c r="AP28">
        <f>SUM(AP16:AP27)</f>
        <v>2</v>
      </c>
    </row>
    <row r="29" spans="1:66" x14ac:dyDescent="0.2">
      <c r="D29">
        <f>SUM(O39:O50)/F16</f>
        <v>0</v>
      </c>
      <c r="G29">
        <f>AVERAGE(A39:A50)</f>
        <v>0.33333333333333331</v>
      </c>
      <c r="H29">
        <f>MEDIAN(A39:A50)</f>
        <v>0</v>
      </c>
      <c r="I29">
        <f>MAX(A39:A50)</f>
        <v>2</v>
      </c>
      <c r="J29">
        <f>_xlfn.STDEV.S(A39:A50)</f>
        <v>0.6513389472789296</v>
      </c>
      <c r="K29" t="s">
        <v>63</v>
      </c>
      <c r="P29" t="s">
        <v>148</v>
      </c>
    </row>
    <row r="30" spans="1:66" x14ac:dyDescent="0.2">
      <c r="A30" t="s">
        <v>147</v>
      </c>
      <c r="D30" t="s">
        <v>203</v>
      </c>
      <c r="G30" t="s">
        <v>50</v>
      </c>
      <c r="H30" t="s">
        <v>51</v>
      </c>
      <c r="I30" t="s">
        <v>89</v>
      </c>
      <c r="K30" t="s">
        <v>57</v>
      </c>
      <c r="L30" t="s">
        <v>58</v>
      </c>
      <c r="M30" t="s">
        <v>59</v>
      </c>
      <c r="N30" t="s">
        <v>60</v>
      </c>
      <c r="P30" t="s">
        <v>57</v>
      </c>
      <c r="Q30" t="s">
        <v>58</v>
      </c>
      <c r="R30" t="s">
        <v>59</v>
      </c>
      <c r="S30" t="s">
        <v>60</v>
      </c>
      <c r="W30" t="s">
        <v>148</v>
      </c>
      <c r="Y30" t="s">
        <v>149</v>
      </c>
      <c r="AH30" t="s">
        <v>79</v>
      </c>
    </row>
    <row r="31" spans="1:66" x14ac:dyDescent="0.2">
      <c r="A31">
        <f>COUNT(B4:B15)</f>
        <v>12</v>
      </c>
      <c r="D31" s="2">
        <f>SUM(S39:S50)/SUM(Q39:Q50)</f>
        <v>0.2</v>
      </c>
      <c r="G31">
        <f>AE28/A31</f>
        <v>8.3333333333333329E-2</v>
      </c>
      <c r="H31">
        <f>AF28/A31</f>
        <v>0.25</v>
      </c>
      <c r="I31">
        <f>AG28/A31</f>
        <v>0</v>
      </c>
      <c r="K31" t="e">
        <f>AVERAGE(I39:I50)</f>
        <v>#DIV/0!</v>
      </c>
      <c r="L31" t="e">
        <f>MEDIAN(I39:I50)</f>
        <v>#NUM!</v>
      </c>
      <c r="M31">
        <f>MAX(I39:I50)</f>
        <v>0</v>
      </c>
      <c r="N31" t="e">
        <f>_xlfn.STDEV.S(I39:I50)</f>
        <v>#DIV/0!</v>
      </c>
      <c r="P31">
        <f>AVERAGE(W31:W42)</f>
        <v>3.5</v>
      </c>
      <c r="Q31">
        <f>MEDIAN(W31:W42)</f>
        <v>4</v>
      </c>
      <c r="R31">
        <f>MAX(W31:W42)</f>
        <v>6</v>
      </c>
      <c r="S31">
        <f>_xlfn.STDEV.S(W31:W42)</f>
        <v>2.5099800796022267</v>
      </c>
      <c r="W31" t="str">
        <f t="shared" ref="W31:W33" si="48">IF(AND(ISBLANK(Q4), ISBLANK(R4), ISBLANK(G4), ISBLANK(H4)), "", U4)</f>
        <v/>
      </c>
      <c r="Y31" t="str">
        <f t="shared" ref="Y31:Y42" si="49">IF(ISBLANK(Y4), IF(X4 = 0, "", (G4 + H4/3 + V4/9 + W4/3)), U4)</f>
        <v/>
      </c>
      <c r="AH31" t="s">
        <v>80</v>
      </c>
    </row>
    <row r="32" spans="1:66" x14ac:dyDescent="0.2">
      <c r="A32" t="s">
        <v>335</v>
      </c>
      <c r="D32" s="3"/>
      <c r="K32" t="s">
        <v>64</v>
      </c>
      <c r="P32" t="s">
        <v>149</v>
      </c>
      <c r="W32" t="str">
        <f t="shared" si="48"/>
        <v/>
      </c>
      <c r="Y32" t="str">
        <f t="shared" si="49"/>
        <v/>
      </c>
      <c r="AH32" t="s">
        <v>81</v>
      </c>
    </row>
    <row r="33" spans="1:34" x14ac:dyDescent="0.2">
      <c r="D33" s="3"/>
      <c r="K33" t="s">
        <v>57</v>
      </c>
      <c r="L33" t="s">
        <v>58</v>
      </c>
      <c r="M33" t="s">
        <v>59</v>
      </c>
      <c r="N33" t="s">
        <v>60</v>
      </c>
      <c r="P33" t="s">
        <v>57</v>
      </c>
      <c r="Q33" t="s">
        <v>58</v>
      </c>
      <c r="R33" t="s">
        <v>59</v>
      </c>
      <c r="S33" t="s">
        <v>60</v>
      </c>
      <c r="W33">
        <f t="shared" si="48"/>
        <v>0</v>
      </c>
      <c r="Y33">
        <f t="shared" si="49"/>
        <v>0</v>
      </c>
      <c r="AH33" t="s">
        <v>82</v>
      </c>
    </row>
    <row r="34" spans="1:34" x14ac:dyDescent="0.2">
      <c r="D34" s="3"/>
      <c r="K34">
        <f>AVERAGE(K39:K50)</f>
        <v>0</v>
      </c>
      <c r="L34">
        <f>MEDIAN(K39:K50)</f>
        <v>0</v>
      </c>
      <c r="M34">
        <f>MAX(K39:K50)</f>
        <v>0</v>
      </c>
      <c r="N34">
        <f>_xlfn.STDEV.S(K39:K50)</f>
        <v>0</v>
      </c>
      <c r="P34">
        <f>AVERAGE(Y31:Y42)</f>
        <v>3.5</v>
      </c>
      <c r="Q34">
        <f>MEDIAN(Y31:Y42)</f>
        <v>4</v>
      </c>
      <c r="R34">
        <f>MAX(Y31:Y42)</f>
        <v>6</v>
      </c>
      <c r="S34">
        <f>_xlfn.STDEV.S(Y31:Y42)</f>
        <v>2.5099800796022267</v>
      </c>
      <c r="W34" t="str">
        <f>IF(AND(ISBLANK(Q7), ISBLANK(R7), ISBLANK(G7), ISBLANK(H7)), "", U7)</f>
        <v/>
      </c>
      <c r="Y34" t="str">
        <f t="shared" si="49"/>
        <v/>
      </c>
      <c r="AH34" t="s">
        <v>83</v>
      </c>
    </row>
    <row r="35" spans="1:34" x14ac:dyDescent="0.2">
      <c r="P35" t="s">
        <v>95</v>
      </c>
      <c r="R35" t="s">
        <v>197</v>
      </c>
      <c r="W35">
        <f t="shared" ref="W35:W42" si="50">IF(AND(ISBLANK(Q8), ISBLANK(R8), ISBLANK(G8), ISBLANK(H8)), "", U8)</f>
        <v>1</v>
      </c>
      <c r="Y35">
        <f t="shared" si="49"/>
        <v>1</v>
      </c>
    </row>
    <row r="36" spans="1:34" x14ac:dyDescent="0.2">
      <c r="P36" t="e">
        <f>Q16/(Q16+R16)</f>
        <v>#DIV/0!</v>
      </c>
      <c r="R36" t="e">
        <f>R16/(Q16+R16)</f>
        <v>#DIV/0!</v>
      </c>
      <c r="W36" t="str">
        <f t="shared" si="50"/>
        <v/>
      </c>
      <c r="Y36" t="str">
        <f t="shared" si="49"/>
        <v/>
      </c>
    </row>
    <row r="37" spans="1:34" x14ac:dyDescent="0.2">
      <c r="W37">
        <f t="shared" si="50"/>
        <v>6</v>
      </c>
      <c r="Y37">
        <f t="shared" si="49"/>
        <v>6</v>
      </c>
    </row>
    <row r="38" spans="1:34" x14ac:dyDescent="0.2">
      <c r="A38" t="s">
        <v>68</v>
      </c>
      <c r="C38" t="s">
        <v>69</v>
      </c>
      <c r="E38" t="s">
        <v>72</v>
      </c>
      <c r="G38" t="s">
        <v>250</v>
      </c>
      <c r="K38" t="s">
        <v>73</v>
      </c>
      <c r="M38" t="s">
        <v>70</v>
      </c>
      <c r="N38" t="s">
        <v>71</v>
      </c>
      <c r="O38" t="s">
        <v>199</v>
      </c>
      <c r="Q38" t="s">
        <v>200</v>
      </c>
      <c r="S38" t="s">
        <v>201</v>
      </c>
      <c r="W38">
        <f t="shared" si="50"/>
        <v>4</v>
      </c>
      <c r="Y38">
        <f t="shared" si="49"/>
        <v>4</v>
      </c>
    </row>
    <row r="39" spans="1:34" x14ac:dyDescent="0.2">
      <c r="A39">
        <f t="shared" ref="A39:A50" si="51">IF(ISBLANK(B4), "", SUM(AE16+AF16+AG16))</f>
        <v>0</v>
      </c>
      <c r="C39">
        <f t="shared" ref="C39:C50" si="52">IF(ISBLANK(B4), "", O4)</f>
        <v>4</v>
      </c>
      <c r="E39">
        <f t="shared" ref="E39:E50" si="53">IF(ISBLANK(B4), "", Q4)</f>
        <v>0</v>
      </c>
      <c r="G39">
        <f t="shared" ref="G39:G50" si="54">IF(ISBLANK(B4), "", R4)</f>
        <v>0</v>
      </c>
      <c r="K39">
        <f t="shared" ref="K39:K50" si="55">IF(ISBLANK(B4), "", SUM(Q4 + R4))</f>
        <v>0</v>
      </c>
      <c r="M39">
        <f t="shared" ref="M39:M50" si="56">IF(ISBLANK(B4), "", SUM(K4+M4) - O4)</f>
        <v>-1</v>
      </c>
      <c r="N39">
        <f t="shared" ref="N39:N50" si="57">IF(ISBLANK(B4), "", U4)</f>
        <v>10</v>
      </c>
      <c r="O39">
        <f t="shared" ref="O39:O50" si="58">COUNTIF(E4, "1")*COUNTIF(F4, "1")</f>
        <v>0</v>
      </c>
      <c r="Q39">
        <f t="shared" ref="Q39:Q50" si="59">COUNTIF(D4, "1")*COUNTIF(F4, "")</f>
        <v>1</v>
      </c>
      <c r="S39">
        <f t="shared" ref="S39:S50" si="60">COUNTIF(E4, "1")*COUNTIF(F4, "")</f>
        <v>0</v>
      </c>
      <c r="W39" t="str">
        <f t="shared" si="50"/>
        <v/>
      </c>
      <c r="Y39" t="str">
        <f t="shared" si="49"/>
        <v/>
      </c>
    </row>
    <row r="40" spans="1:34" x14ac:dyDescent="0.2">
      <c r="A40">
        <f t="shared" si="51"/>
        <v>1</v>
      </c>
      <c r="C40">
        <f t="shared" si="52"/>
        <v>0</v>
      </c>
      <c r="E40">
        <f t="shared" si="53"/>
        <v>0</v>
      </c>
      <c r="G40">
        <f t="shared" si="54"/>
        <v>0</v>
      </c>
      <c r="K40">
        <f t="shared" si="55"/>
        <v>0</v>
      </c>
      <c r="M40">
        <f t="shared" si="56"/>
        <v>1</v>
      </c>
      <c r="N40">
        <f t="shared" si="57"/>
        <v>0</v>
      </c>
      <c r="O40">
        <f t="shared" si="58"/>
        <v>0</v>
      </c>
      <c r="Q40">
        <f t="shared" si="59"/>
        <v>0</v>
      </c>
      <c r="S40">
        <f t="shared" si="60"/>
        <v>0</v>
      </c>
      <c r="W40">
        <f t="shared" si="50"/>
        <v>6</v>
      </c>
      <c r="Y40">
        <f t="shared" si="49"/>
        <v>6</v>
      </c>
    </row>
    <row r="41" spans="1:34" x14ac:dyDescent="0.2">
      <c r="A41">
        <f t="shared" si="51"/>
        <v>0</v>
      </c>
      <c r="C41">
        <f t="shared" si="52"/>
        <v>3</v>
      </c>
      <c r="E41">
        <f t="shared" si="53"/>
        <v>0</v>
      </c>
      <c r="G41">
        <f t="shared" si="54"/>
        <v>0</v>
      </c>
      <c r="K41">
        <f t="shared" si="55"/>
        <v>0</v>
      </c>
      <c r="M41">
        <f t="shared" si="56"/>
        <v>-1</v>
      </c>
      <c r="N41">
        <f t="shared" si="57"/>
        <v>0</v>
      </c>
      <c r="O41">
        <f t="shared" si="58"/>
        <v>0</v>
      </c>
      <c r="Q41">
        <f t="shared" si="59"/>
        <v>0</v>
      </c>
      <c r="S41">
        <f t="shared" si="60"/>
        <v>0</v>
      </c>
      <c r="W41">
        <f t="shared" si="50"/>
        <v>4</v>
      </c>
      <c r="Y41">
        <f t="shared" si="49"/>
        <v>4</v>
      </c>
    </row>
    <row r="42" spans="1:34" x14ac:dyDescent="0.2">
      <c r="A42">
        <f t="shared" si="51"/>
        <v>0</v>
      </c>
      <c r="C42">
        <f t="shared" si="52"/>
        <v>4</v>
      </c>
      <c r="E42">
        <f t="shared" si="53"/>
        <v>0</v>
      </c>
      <c r="G42">
        <f t="shared" si="54"/>
        <v>0</v>
      </c>
      <c r="K42">
        <f t="shared" si="55"/>
        <v>0</v>
      </c>
      <c r="M42">
        <f t="shared" si="56"/>
        <v>0</v>
      </c>
      <c r="N42">
        <f t="shared" si="57"/>
        <v>0</v>
      </c>
      <c r="O42">
        <f t="shared" si="58"/>
        <v>0</v>
      </c>
      <c r="Q42">
        <f t="shared" si="59"/>
        <v>1</v>
      </c>
      <c r="S42">
        <f t="shared" si="60"/>
        <v>1</v>
      </c>
      <c r="W42" t="str">
        <f t="shared" si="50"/>
        <v/>
      </c>
      <c r="Y42" t="str">
        <f t="shared" si="49"/>
        <v/>
      </c>
    </row>
    <row r="43" spans="1:34" x14ac:dyDescent="0.2">
      <c r="A43">
        <f t="shared" si="51"/>
        <v>0</v>
      </c>
      <c r="C43">
        <f t="shared" si="52"/>
        <v>3</v>
      </c>
      <c r="E43">
        <f t="shared" si="53"/>
        <v>0</v>
      </c>
      <c r="G43">
        <f t="shared" si="54"/>
        <v>0</v>
      </c>
      <c r="K43">
        <f t="shared" si="55"/>
        <v>0</v>
      </c>
      <c r="M43">
        <f t="shared" si="56"/>
        <v>0</v>
      </c>
      <c r="N43">
        <f t="shared" si="57"/>
        <v>1</v>
      </c>
      <c r="O43">
        <f t="shared" si="58"/>
        <v>0</v>
      </c>
      <c r="Q43">
        <f t="shared" si="59"/>
        <v>0</v>
      </c>
      <c r="S43">
        <f t="shared" si="60"/>
        <v>0</v>
      </c>
    </row>
    <row r="44" spans="1:34" x14ac:dyDescent="0.2">
      <c r="A44">
        <f t="shared" si="51"/>
        <v>0</v>
      </c>
      <c r="C44">
        <f t="shared" si="52"/>
        <v>3</v>
      </c>
      <c r="E44">
        <f t="shared" si="53"/>
        <v>0</v>
      </c>
      <c r="G44">
        <f t="shared" si="54"/>
        <v>0</v>
      </c>
      <c r="K44">
        <f t="shared" si="55"/>
        <v>0</v>
      </c>
      <c r="M44">
        <f t="shared" si="56"/>
        <v>0</v>
      </c>
      <c r="N44">
        <f t="shared" si="57"/>
        <v>0</v>
      </c>
      <c r="O44">
        <f t="shared" si="58"/>
        <v>0</v>
      </c>
      <c r="Q44">
        <f t="shared" si="59"/>
        <v>1</v>
      </c>
      <c r="S44">
        <f t="shared" si="60"/>
        <v>0</v>
      </c>
    </row>
    <row r="45" spans="1:34" x14ac:dyDescent="0.2">
      <c r="A45">
        <f t="shared" si="51"/>
        <v>0</v>
      </c>
      <c r="C45">
        <f t="shared" si="52"/>
        <v>3</v>
      </c>
      <c r="E45">
        <f t="shared" si="53"/>
        <v>0</v>
      </c>
      <c r="G45">
        <f t="shared" si="54"/>
        <v>0</v>
      </c>
      <c r="K45">
        <f t="shared" si="55"/>
        <v>0</v>
      </c>
      <c r="M45">
        <f t="shared" si="56"/>
        <v>-1</v>
      </c>
      <c r="N45">
        <f t="shared" si="57"/>
        <v>6</v>
      </c>
      <c r="O45">
        <f t="shared" si="58"/>
        <v>0</v>
      </c>
      <c r="Q45">
        <f t="shared" si="59"/>
        <v>0</v>
      </c>
      <c r="S45">
        <f t="shared" si="60"/>
        <v>0</v>
      </c>
    </row>
    <row r="46" spans="1:34" x14ac:dyDescent="0.2">
      <c r="A46">
        <f t="shared" si="51"/>
        <v>0</v>
      </c>
      <c r="C46">
        <f t="shared" si="52"/>
        <v>3</v>
      </c>
      <c r="E46">
        <f t="shared" si="53"/>
        <v>0</v>
      </c>
      <c r="G46">
        <f t="shared" si="54"/>
        <v>0</v>
      </c>
      <c r="K46">
        <f t="shared" si="55"/>
        <v>0</v>
      </c>
      <c r="M46">
        <f t="shared" si="56"/>
        <v>-1</v>
      </c>
      <c r="N46">
        <f t="shared" si="57"/>
        <v>4</v>
      </c>
      <c r="O46">
        <f t="shared" si="58"/>
        <v>0</v>
      </c>
      <c r="Q46">
        <f t="shared" si="59"/>
        <v>0</v>
      </c>
      <c r="S46">
        <f t="shared" si="60"/>
        <v>0</v>
      </c>
    </row>
    <row r="47" spans="1:34" x14ac:dyDescent="0.2">
      <c r="A47">
        <f t="shared" si="51"/>
        <v>2</v>
      </c>
      <c r="C47">
        <f t="shared" si="52"/>
        <v>1</v>
      </c>
      <c r="E47">
        <f t="shared" si="53"/>
        <v>0</v>
      </c>
      <c r="G47">
        <f t="shared" si="54"/>
        <v>0</v>
      </c>
      <c r="K47">
        <f t="shared" si="55"/>
        <v>0</v>
      </c>
      <c r="M47">
        <f t="shared" si="56"/>
        <v>-1</v>
      </c>
      <c r="N47">
        <f t="shared" si="57"/>
        <v>1</v>
      </c>
      <c r="O47">
        <f t="shared" si="58"/>
        <v>0</v>
      </c>
      <c r="Q47">
        <f t="shared" si="59"/>
        <v>1</v>
      </c>
      <c r="S47">
        <f t="shared" si="60"/>
        <v>0</v>
      </c>
    </row>
    <row r="48" spans="1:34" x14ac:dyDescent="0.2">
      <c r="A48">
        <f t="shared" si="51"/>
        <v>1</v>
      </c>
      <c r="C48">
        <f t="shared" si="52"/>
        <v>4</v>
      </c>
      <c r="E48">
        <f t="shared" si="53"/>
        <v>0</v>
      </c>
      <c r="G48">
        <f t="shared" si="54"/>
        <v>0</v>
      </c>
      <c r="K48">
        <f t="shared" si="55"/>
        <v>0</v>
      </c>
      <c r="M48">
        <f t="shared" si="56"/>
        <v>-1</v>
      </c>
      <c r="N48">
        <f t="shared" si="57"/>
        <v>6</v>
      </c>
      <c r="O48">
        <f t="shared" si="58"/>
        <v>0</v>
      </c>
      <c r="Q48">
        <f t="shared" si="59"/>
        <v>1</v>
      </c>
      <c r="S48">
        <f t="shared" si="60"/>
        <v>0</v>
      </c>
    </row>
    <row r="49" spans="1:19" x14ac:dyDescent="0.2">
      <c r="A49">
        <f t="shared" si="51"/>
        <v>0</v>
      </c>
      <c r="C49">
        <f t="shared" si="52"/>
        <v>4</v>
      </c>
      <c r="E49">
        <f t="shared" si="53"/>
        <v>0</v>
      </c>
      <c r="G49">
        <f t="shared" si="54"/>
        <v>0</v>
      </c>
      <c r="K49">
        <f t="shared" si="55"/>
        <v>0</v>
      </c>
      <c r="M49">
        <f t="shared" si="56"/>
        <v>-2</v>
      </c>
      <c r="N49">
        <f t="shared" si="57"/>
        <v>4</v>
      </c>
      <c r="O49">
        <f t="shared" si="58"/>
        <v>0</v>
      </c>
      <c r="Q49">
        <f t="shared" si="59"/>
        <v>0</v>
      </c>
      <c r="S49">
        <f t="shared" si="60"/>
        <v>0</v>
      </c>
    </row>
    <row r="50" spans="1:19" x14ac:dyDescent="0.2">
      <c r="A50">
        <f t="shared" si="51"/>
        <v>0</v>
      </c>
      <c r="C50">
        <f t="shared" si="52"/>
        <v>3</v>
      </c>
      <c r="E50">
        <f t="shared" si="53"/>
        <v>0</v>
      </c>
      <c r="G50">
        <f t="shared" si="54"/>
        <v>0</v>
      </c>
      <c r="K50">
        <f t="shared" si="55"/>
        <v>0</v>
      </c>
      <c r="M50">
        <f t="shared" si="56"/>
        <v>0</v>
      </c>
      <c r="N50">
        <f t="shared" si="57"/>
        <v>16</v>
      </c>
      <c r="O50">
        <f t="shared" si="58"/>
        <v>0</v>
      </c>
      <c r="Q50">
        <f t="shared" si="59"/>
        <v>0</v>
      </c>
      <c r="S50">
        <f t="shared" si="60"/>
        <v>0</v>
      </c>
    </row>
  </sheetData>
  <pageMargins left="0.7" right="0.7" top="0.75" bottom="0.75" header="0.3" footer="0.3"/>
  <legacy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/>
  <dimension ref="A1:BN50"/>
  <sheetViews>
    <sheetView topLeftCell="B1" workbookViewId="0">
      <selection activeCell="U15" sqref="U15"/>
    </sheetView>
  </sheetViews>
  <sheetFormatPr baseColWidth="10" defaultRowHeight="15" x14ac:dyDescent="0.2"/>
  <sheetData>
    <row r="1" spans="1:66" x14ac:dyDescent="0.2">
      <c r="A1" s="1" t="s">
        <v>0</v>
      </c>
      <c r="D1" t="s">
        <v>3</v>
      </c>
      <c r="K1" t="s">
        <v>11</v>
      </c>
      <c r="N1" t="s">
        <v>12</v>
      </c>
      <c r="P1" t="s">
        <v>14</v>
      </c>
      <c r="Q1" t="s">
        <v>17</v>
      </c>
      <c r="S1" t="s">
        <v>18</v>
      </c>
      <c r="Z1" t="s">
        <v>29</v>
      </c>
      <c r="AE1" t="s">
        <v>30</v>
      </c>
      <c r="AK1" t="s">
        <v>42</v>
      </c>
    </row>
    <row r="2" spans="1:66" x14ac:dyDescent="0.2">
      <c r="A2" t="s">
        <v>1</v>
      </c>
      <c r="B2" t="s">
        <v>1</v>
      </c>
      <c r="C2" t="s">
        <v>87</v>
      </c>
      <c r="D2" t="s">
        <v>54</v>
      </c>
      <c r="E2" t="s">
        <v>13</v>
      </c>
      <c r="F2" t="s">
        <v>198</v>
      </c>
      <c r="G2" t="s">
        <v>7</v>
      </c>
      <c r="H2" t="s">
        <v>8</v>
      </c>
      <c r="I2" t="s">
        <v>179</v>
      </c>
      <c r="J2" t="s">
        <v>178</v>
      </c>
      <c r="K2" t="s">
        <v>9</v>
      </c>
      <c r="L2" t="s">
        <v>196</v>
      </c>
      <c r="M2" t="s">
        <v>10</v>
      </c>
      <c r="N2" t="s">
        <v>54</v>
      </c>
      <c r="O2" t="s">
        <v>13</v>
      </c>
      <c r="P2" t="s">
        <v>15</v>
      </c>
      <c r="Q2" t="s">
        <v>8</v>
      </c>
      <c r="R2" t="s">
        <v>7</v>
      </c>
      <c r="S2" t="s">
        <v>181</v>
      </c>
      <c r="T2" t="s">
        <v>182</v>
      </c>
      <c r="U2" t="s">
        <v>19</v>
      </c>
      <c r="V2" t="s">
        <v>191</v>
      </c>
      <c r="W2" t="s">
        <v>192</v>
      </c>
      <c r="X2" t="s">
        <v>175</v>
      </c>
      <c r="Y2" t="s">
        <v>173</v>
      </c>
      <c r="Z2" t="str">
        <f t="shared" ref="Z2:Z13" si="0">LEFT(I4, 1)</f>
        <v/>
      </c>
      <c r="AA2" t="str">
        <f t="shared" ref="AA2:AA13" si="1">MID(I4, 4, 1)</f>
        <v/>
      </c>
      <c r="AB2" t="str">
        <f t="shared" ref="AB2:AB13" si="2">MID(I4, 7, 1)</f>
        <v/>
      </c>
      <c r="AC2" t="str">
        <f t="shared" ref="AC2:AC13" si="3">MID(I4, 10, 1)</f>
        <v/>
      </c>
      <c r="AE2" t="str">
        <f t="shared" ref="AE2:AE13" si="4">LEFT(J4, 1)</f>
        <v>3</v>
      </c>
      <c r="AF2" t="str">
        <f t="shared" ref="AF2:AF13" si="5">MID(J4, 4, 1)</f>
        <v/>
      </c>
      <c r="AG2" t="str">
        <f t="shared" ref="AG2:AG13" si="6">MID(J4, 7, 1)</f>
        <v/>
      </c>
      <c r="AH2" t="str">
        <f t="shared" ref="AH2:AH13" si="7">MID(J4, 10, 1)</f>
        <v/>
      </c>
      <c r="AI2" t="str">
        <f t="shared" ref="AI2:AI13" si="8">MID(J4, 13, 1)</f>
        <v/>
      </c>
      <c r="AK2" t="str">
        <f t="shared" ref="AK2:AK13" si="9">LEFT(P4, 2)</f>
        <v/>
      </c>
      <c r="AL2" t="str">
        <f>MID($P4, 5, 2)</f>
        <v/>
      </c>
      <c r="AM2" t="str">
        <f t="shared" ref="AM2:AM13" si="10">MID($P4, 9, 2)</f>
        <v/>
      </c>
      <c r="AN2" t="str">
        <f t="shared" ref="AN2:AN13" si="11">MID($P4, 13, 2)</f>
        <v/>
      </c>
      <c r="AO2" t="str">
        <f t="shared" ref="AO2:AO13" si="12">MID($P4, 17, 2)</f>
        <v/>
      </c>
      <c r="AP2" t="str">
        <f t="shared" ref="AP2:AP13" si="13">MID($P4, 21, 2)</f>
        <v/>
      </c>
      <c r="AQ2" t="str">
        <f t="shared" ref="AQ2:AQ13" si="14">MID($P4, 25, 2)</f>
        <v/>
      </c>
      <c r="AR2" t="str">
        <f t="shared" ref="AR2:AR13" si="15">MID($P4, 29, 2)</f>
        <v/>
      </c>
      <c r="AS2" t="str">
        <f t="shared" ref="AS2:AS13" si="16">MID($P4, 33, 2)</f>
        <v/>
      </c>
      <c r="AT2" t="str">
        <f t="shared" ref="AT2:AT13" si="17">MID($P4, 37, 2)</f>
        <v/>
      </c>
      <c r="AU2" t="str">
        <f t="shared" ref="AU2:AU13" si="18">MID($P4, 41, 2)</f>
        <v/>
      </c>
      <c r="AV2" t="str">
        <f t="shared" ref="AV2:AV13" si="19">MID($P4, 45, 2)</f>
        <v/>
      </c>
      <c r="AW2" t="str">
        <f t="shared" ref="AW2:AW13" si="20">MID($P4, 49, 2)</f>
        <v/>
      </c>
      <c r="AX2" t="str">
        <f t="shared" ref="AX2:AX13" si="21">MID($P4, 53, 2)</f>
        <v/>
      </c>
      <c r="AY2" t="str">
        <f t="shared" ref="AY2:AY13" si="22">MID($P4, 57, 2)</f>
        <v/>
      </c>
      <c r="AZ2" t="str">
        <f t="shared" ref="AZ2:AZ13" si="23">MID($P4, 61, 2)</f>
        <v/>
      </c>
      <c r="BA2" t="str">
        <f t="shared" ref="BA2:BA13" si="24">MID($P4, 65, 2)</f>
        <v/>
      </c>
      <c r="BB2" t="str">
        <f t="shared" ref="BB2:BB13" si="25">MID($P4, 69, 2)</f>
        <v/>
      </c>
      <c r="BC2" t="str">
        <f t="shared" ref="BC2:BC13" si="26">MID($P4, 73, 2)</f>
        <v/>
      </c>
      <c r="BD2" t="str">
        <f t="shared" ref="BD2:BD13" si="27">MID($P4, 77, 2)</f>
        <v/>
      </c>
      <c r="BE2" t="str">
        <f t="shared" ref="BE2:BE13" si="28">MID($P4, 81, 2)</f>
        <v/>
      </c>
      <c r="BF2" t="str">
        <f t="shared" ref="BF2:BF13" si="29">MID($P4, 85, 2)</f>
        <v/>
      </c>
      <c r="BG2" t="str">
        <f t="shared" ref="BG2:BG13" si="30">MID($P4, 89, 2)</f>
        <v/>
      </c>
      <c r="BH2" t="str">
        <f t="shared" ref="BH2:BH13" si="31">MID($P4, 93, 2)</f>
        <v/>
      </c>
    </row>
    <row r="3" spans="1:66" x14ac:dyDescent="0.2">
      <c r="A3" t="s">
        <v>2</v>
      </c>
      <c r="B3" t="s">
        <v>6</v>
      </c>
      <c r="C3" t="s">
        <v>88</v>
      </c>
      <c r="D3" t="s">
        <v>6</v>
      </c>
      <c r="E3" t="s">
        <v>6</v>
      </c>
      <c r="F3" t="s">
        <v>4</v>
      </c>
      <c r="G3" t="s">
        <v>6</v>
      </c>
      <c r="H3" t="s">
        <v>6</v>
      </c>
      <c r="I3" t="s">
        <v>86</v>
      </c>
      <c r="J3" t="s">
        <v>86</v>
      </c>
      <c r="K3" t="s">
        <v>6</v>
      </c>
      <c r="L3" t="s">
        <v>6</v>
      </c>
      <c r="M3" t="s">
        <v>6</v>
      </c>
      <c r="N3" t="s">
        <v>6</v>
      </c>
      <c r="O3" t="s">
        <v>6</v>
      </c>
      <c r="P3" t="s">
        <v>16</v>
      </c>
      <c r="Q3" t="s">
        <v>6</v>
      </c>
      <c r="R3" t="s">
        <v>6</v>
      </c>
      <c r="S3" t="s">
        <v>4</v>
      </c>
      <c r="T3" t="s">
        <v>4</v>
      </c>
      <c r="U3" t="s">
        <v>6</v>
      </c>
      <c r="V3" t="s">
        <v>6</v>
      </c>
      <c r="W3" t="s">
        <v>6</v>
      </c>
      <c r="X3" t="s">
        <v>6</v>
      </c>
      <c r="Y3" t="s">
        <v>174</v>
      </c>
      <c r="Z3" t="str">
        <f t="shared" si="0"/>
        <v/>
      </c>
      <c r="AA3" t="str">
        <f t="shared" si="1"/>
        <v/>
      </c>
      <c r="AB3" t="str">
        <f t="shared" si="2"/>
        <v/>
      </c>
      <c r="AC3" t="str">
        <f t="shared" si="3"/>
        <v/>
      </c>
      <c r="AE3" t="str">
        <f t="shared" si="4"/>
        <v/>
      </c>
      <c r="AF3" t="str">
        <f t="shared" si="5"/>
        <v/>
      </c>
      <c r="AG3" t="str">
        <f t="shared" si="6"/>
        <v/>
      </c>
      <c r="AH3" t="str">
        <f t="shared" si="7"/>
        <v/>
      </c>
      <c r="AI3" t="str">
        <f t="shared" si="8"/>
        <v/>
      </c>
      <c r="AK3" t="str">
        <f t="shared" si="9"/>
        <v/>
      </c>
      <c r="AL3" t="str">
        <f t="shared" ref="AL3:AL13" si="32">MID(P5, 5, 2)</f>
        <v/>
      </c>
      <c r="AM3" t="str">
        <f t="shared" si="10"/>
        <v/>
      </c>
      <c r="AN3" t="str">
        <f t="shared" si="11"/>
        <v/>
      </c>
      <c r="AO3" t="str">
        <f t="shared" si="12"/>
        <v/>
      </c>
      <c r="AP3" t="str">
        <f t="shared" si="13"/>
        <v/>
      </c>
      <c r="AQ3" t="str">
        <f t="shared" si="14"/>
        <v/>
      </c>
      <c r="AR3" t="str">
        <f t="shared" si="15"/>
        <v/>
      </c>
      <c r="AS3" t="str">
        <f t="shared" si="16"/>
        <v/>
      </c>
      <c r="AT3" t="str">
        <f t="shared" si="17"/>
        <v/>
      </c>
      <c r="AU3" t="str">
        <f t="shared" si="18"/>
        <v/>
      </c>
      <c r="AV3" t="str">
        <f t="shared" si="19"/>
        <v/>
      </c>
      <c r="AW3" t="str">
        <f t="shared" si="20"/>
        <v/>
      </c>
      <c r="AX3" t="str">
        <f t="shared" si="21"/>
        <v/>
      </c>
      <c r="AY3" t="str">
        <f t="shared" si="22"/>
        <v/>
      </c>
      <c r="AZ3" t="str">
        <f t="shared" si="23"/>
        <v/>
      </c>
      <c r="BA3" t="str">
        <f t="shared" si="24"/>
        <v/>
      </c>
      <c r="BB3" t="str">
        <f t="shared" si="25"/>
        <v/>
      </c>
      <c r="BC3" t="str">
        <f t="shared" si="26"/>
        <v/>
      </c>
      <c r="BD3" t="str">
        <f t="shared" si="27"/>
        <v/>
      </c>
      <c r="BE3" t="str">
        <f t="shared" si="28"/>
        <v/>
      </c>
      <c r="BF3" t="str">
        <f t="shared" si="29"/>
        <v/>
      </c>
      <c r="BG3" t="str">
        <f t="shared" si="30"/>
        <v/>
      </c>
      <c r="BH3" t="str">
        <f t="shared" si="31"/>
        <v/>
      </c>
    </row>
    <row r="4" spans="1:66" x14ac:dyDescent="0.2">
      <c r="A4">
        <v>1</v>
      </c>
      <c r="B4">
        <v>5</v>
      </c>
      <c r="C4" t="s">
        <v>39</v>
      </c>
      <c r="G4">
        <v>0</v>
      </c>
      <c r="J4">
        <v>3</v>
      </c>
      <c r="K4">
        <v>1</v>
      </c>
      <c r="M4">
        <v>1</v>
      </c>
      <c r="N4">
        <v>3</v>
      </c>
      <c r="O4">
        <v>3</v>
      </c>
      <c r="R4">
        <v>1</v>
      </c>
      <c r="S4">
        <v>1</v>
      </c>
      <c r="U4">
        <v>2</v>
      </c>
      <c r="W4">
        <v>6</v>
      </c>
      <c r="X4">
        <f t="shared" ref="X4:X15" si="33">G4+H4+Q4+R4</f>
        <v>1</v>
      </c>
      <c r="Y4" t="s">
        <v>174</v>
      </c>
      <c r="Z4" t="str">
        <f t="shared" si="0"/>
        <v/>
      </c>
      <c r="AA4" t="str">
        <f t="shared" si="1"/>
        <v/>
      </c>
      <c r="AB4" t="str">
        <f t="shared" si="2"/>
        <v/>
      </c>
      <c r="AC4" t="str">
        <f t="shared" si="3"/>
        <v/>
      </c>
      <c r="AE4" t="str">
        <f t="shared" si="4"/>
        <v/>
      </c>
      <c r="AF4" t="str">
        <f t="shared" si="5"/>
        <v/>
      </c>
      <c r="AG4" t="str">
        <f t="shared" si="6"/>
        <v/>
      </c>
      <c r="AH4" t="str">
        <f t="shared" si="7"/>
        <v/>
      </c>
      <c r="AI4" t="str">
        <f t="shared" si="8"/>
        <v/>
      </c>
      <c r="AK4" t="str">
        <f t="shared" si="9"/>
        <v/>
      </c>
      <c r="AL4" t="str">
        <f t="shared" si="32"/>
        <v/>
      </c>
      <c r="AM4" t="str">
        <f t="shared" si="10"/>
        <v/>
      </c>
      <c r="AN4" t="str">
        <f t="shared" si="11"/>
        <v/>
      </c>
      <c r="AO4" t="str">
        <f t="shared" si="12"/>
        <v/>
      </c>
      <c r="AP4" t="str">
        <f t="shared" si="13"/>
        <v/>
      </c>
      <c r="AQ4" t="str">
        <f t="shared" si="14"/>
        <v/>
      </c>
      <c r="AR4" t="str">
        <f t="shared" si="15"/>
        <v/>
      </c>
      <c r="AS4" t="str">
        <f t="shared" si="16"/>
        <v/>
      </c>
      <c r="AT4" t="str">
        <f t="shared" si="17"/>
        <v/>
      </c>
      <c r="AU4" t="str">
        <f t="shared" si="18"/>
        <v/>
      </c>
      <c r="AV4" t="str">
        <f t="shared" si="19"/>
        <v/>
      </c>
      <c r="AW4" t="str">
        <f t="shared" si="20"/>
        <v/>
      </c>
      <c r="AX4" t="str">
        <f t="shared" si="21"/>
        <v/>
      </c>
      <c r="AY4" t="str">
        <f t="shared" si="22"/>
        <v/>
      </c>
      <c r="AZ4" t="str">
        <f t="shared" si="23"/>
        <v/>
      </c>
      <c r="BA4" t="str">
        <f t="shared" si="24"/>
        <v/>
      </c>
      <c r="BB4" t="str">
        <f t="shared" si="25"/>
        <v/>
      </c>
      <c r="BC4" t="str">
        <f t="shared" si="26"/>
        <v/>
      </c>
      <c r="BD4" t="str">
        <f t="shared" si="27"/>
        <v/>
      </c>
      <c r="BE4" t="str">
        <f t="shared" si="28"/>
        <v/>
      </c>
      <c r="BF4" t="str">
        <f t="shared" si="29"/>
        <v/>
      </c>
      <c r="BG4" t="str">
        <f t="shared" si="30"/>
        <v/>
      </c>
      <c r="BH4" t="str">
        <f t="shared" si="31"/>
        <v/>
      </c>
    </row>
    <row r="5" spans="1:66" x14ac:dyDescent="0.2">
      <c r="A5">
        <v>2</v>
      </c>
      <c r="B5">
        <v>11</v>
      </c>
      <c r="C5" t="s">
        <v>207</v>
      </c>
      <c r="D5">
        <v>1</v>
      </c>
      <c r="E5">
        <v>1</v>
      </c>
      <c r="L5">
        <v>2</v>
      </c>
      <c r="N5">
        <v>3</v>
      </c>
      <c r="O5">
        <v>3</v>
      </c>
      <c r="S5">
        <v>1</v>
      </c>
      <c r="X5">
        <f t="shared" si="33"/>
        <v>0</v>
      </c>
      <c r="Z5" t="str">
        <f t="shared" si="0"/>
        <v/>
      </c>
      <c r="AA5" t="str">
        <f t="shared" si="1"/>
        <v/>
      </c>
      <c r="AB5" t="str">
        <f t="shared" si="2"/>
        <v/>
      </c>
      <c r="AC5" t="str">
        <f t="shared" si="3"/>
        <v/>
      </c>
      <c r="AE5" t="str">
        <f t="shared" si="4"/>
        <v/>
      </c>
      <c r="AF5" t="str">
        <f t="shared" si="5"/>
        <v/>
      </c>
      <c r="AG5" t="str">
        <f t="shared" si="6"/>
        <v/>
      </c>
      <c r="AH5" t="str">
        <f t="shared" si="7"/>
        <v/>
      </c>
      <c r="AI5" t="str">
        <f t="shared" si="8"/>
        <v/>
      </c>
      <c r="AK5" t="str">
        <f t="shared" si="9"/>
        <v/>
      </c>
      <c r="AL5" t="str">
        <f t="shared" si="32"/>
        <v/>
      </c>
      <c r="AM5" t="str">
        <f t="shared" si="10"/>
        <v/>
      </c>
      <c r="AN5" t="str">
        <f t="shared" si="11"/>
        <v/>
      </c>
      <c r="AO5" t="str">
        <f t="shared" si="12"/>
        <v/>
      </c>
      <c r="AP5" t="str">
        <f t="shared" si="13"/>
        <v/>
      </c>
      <c r="AQ5" t="str">
        <f t="shared" si="14"/>
        <v/>
      </c>
      <c r="AR5" t="str">
        <f t="shared" si="15"/>
        <v/>
      </c>
      <c r="AS5" t="str">
        <f t="shared" si="16"/>
        <v/>
      </c>
      <c r="AT5" t="str">
        <f t="shared" si="17"/>
        <v/>
      </c>
      <c r="AU5" t="str">
        <f t="shared" si="18"/>
        <v/>
      </c>
      <c r="AV5" t="str">
        <f t="shared" si="19"/>
        <v/>
      </c>
      <c r="AW5" t="str">
        <f t="shared" si="20"/>
        <v/>
      </c>
      <c r="AX5" t="str">
        <f t="shared" si="21"/>
        <v/>
      </c>
      <c r="AY5" t="str">
        <f t="shared" si="22"/>
        <v/>
      </c>
      <c r="AZ5" t="str">
        <f t="shared" si="23"/>
        <v/>
      </c>
      <c r="BA5" t="str">
        <f t="shared" si="24"/>
        <v/>
      </c>
      <c r="BB5" t="str">
        <f t="shared" si="25"/>
        <v/>
      </c>
      <c r="BC5" t="str">
        <f t="shared" si="26"/>
        <v/>
      </c>
      <c r="BD5" t="str">
        <f t="shared" si="27"/>
        <v/>
      </c>
      <c r="BE5" t="str">
        <f t="shared" si="28"/>
        <v/>
      </c>
      <c r="BF5" t="str">
        <f t="shared" si="29"/>
        <v/>
      </c>
      <c r="BG5" t="str">
        <f t="shared" si="30"/>
        <v/>
      </c>
      <c r="BH5" t="str">
        <f t="shared" si="31"/>
        <v/>
      </c>
    </row>
    <row r="6" spans="1:66" x14ac:dyDescent="0.2">
      <c r="A6">
        <v>3</v>
      </c>
      <c r="B6">
        <v>21</v>
      </c>
      <c r="C6" t="s">
        <v>39</v>
      </c>
      <c r="D6">
        <v>1</v>
      </c>
      <c r="E6">
        <v>1</v>
      </c>
      <c r="K6">
        <v>2</v>
      </c>
      <c r="M6">
        <v>1</v>
      </c>
      <c r="N6">
        <v>3</v>
      </c>
      <c r="O6">
        <v>3</v>
      </c>
      <c r="S6">
        <v>1</v>
      </c>
      <c r="T6">
        <v>1</v>
      </c>
      <c r="U6">
        <v>1</v>
      </c>
      <c r="X6">
        <f t="shared" si="33"/>
        <v>0</v>
      </c>
      <c r="Z6" t="str">
        <f t="shared" si="0"/>
        <v/>
      </c>
      <c r="AA6" t="str">
        <f t="shared" si="1"/>
        <v/>
      </c>
      <c r="AB6" t="str">
        <f t="shared" si="2"/>
        <v/>
      </c>
      <c r="AC6" t="str">
        <f t="shared" si="3"/>
        <v/>
      </c>
      <c r="AE6" t="str">
        <f t="shared" si="4"/>
        <v/>
      </c>
      <c r="AF6" t="str">
        <f t="shared" si="5"/>
        <v/>
      </c>
      <c r="AG6" t="str">
        <f t="shared" si="6"/>
        <v/>
      </c>
      <c r="AH6" t="str">
        <f t="shared" si="7"/>
        <v/>
      </c>
      <c r="AI6" t="str">
        <f t="shared" si="8"/>
        <v/>
      </c>
      <c r="AK6" t="str">
        <f t="shared" si="9"/>
        <v>h1</v>
      </c>
      <c r="AL6" t="str">
        <f t="shared" si="32"/>
        <v/>
      </c>
      <c r="AM6" t="str">
        <f t="shared" si="10"/>
        <v/>
      </c>
      <c r="AN6" t="str">
        <f t="shared" si="11"/>
        <v/>
      </c>
      <c r="AO6" t="str">
        <f t="shared" si="12"/>
        <v/>
      </c>
      <c r="AP6" t="str">
        <f t="shared" si="13"/>
        <v/>
      </c>
      <c r="AQ6" t="str">
        <f t="shared" si="14"/>
        <v/>
      </c>
      <c r="AR6" t="str">
        <f t="shared" si="15"/>
        <v/>
      </c>
      <c r="AS6" t="str">
        <f t="shared" si="16"/>
        <v/>
      </c>
      <c r="AT6" t="str">
        <f t="shared" si="17"/>
        <v/>
      </c>
      <c r="AU6" t="str">
        <f t="shared" si="18"/>
        <v/>
      </c>
      <c r="AV6" t="str">
        <f t="shared" si="19"/>
        <v/>
      </c>
      <c r="AW6" t="str">
        <f t="shared" si="20"/>
        <v/>
      </c>
      <c r="AX6" t="str">
        <f t="shared" si="21"/>
        <v/>
      </c>
      <c r="AY6" t="str">
        <f t="shared" si="22"/>
        <v/>
      </c>
      <c r="AZ6" t="str">
        <f t="shared" si="23"/>
        <v/>
      </c>
      <c r="BA6" t="str">
        <f t="shared" si="24"/>
        <v/>
      </c>
      <c r="BB6" t="str">
        <f t="shared" si="25"/>
        <v/>
      </c>
      <c r="BC6" t="str">
        <f t="shared" si="26"/>
        <v/>
      </c>
      <c r="BD6" t="str">
        <f t="shared" si="27"/>
        <v/>
      </c>
      <c r="BE6" t="str">
        <f t="shared" si="28"/>
        <v/>
      </c>
      <c r="BF6" t="str">
        <f t="shared" si="29"/>
        <v/>
      </c>
      <c r="BG6" t="str">
        <f t="shared" si="30"/>
        <v/>
      </c>
      <c r="BH6" t="str">
        <f t="shared" si="31"/>
        <v/>
      </c>
    </row>
    <row r="7" spans="1:66" x14ac:dyDescent="0.2">
      <c r="A7">
        <v>4</v>
      </c>
      <c r="B7">
        <v>38</v>
      </c>
      <c r="C7" t="s">
        <v>207</v>
      </c>
      <c r="D7">
        <v>1</v>
      </c>
      <c r="E7">
        <v>1</v>
      </c>
      <c r="K7">
        <v>4</v>
      </c>
      <c r="M7">
        <v>1</v>
      </c>
      <c r="N7">
        <v>5</v>
      </c>
      <c r="O7">
        <v>5</v>
      </c>
      <c r="S7">
        <v>1</v>
      </c>
      <c r="T7">
        <v>1</v>
      </c>
      <c r="X7">
        <f t="shared" si="33"/>
        <v>0</v>
      </c>
      <c r="Z7" t="str">
        <f t="shared" si="0"/>
        <v>3</v>
      </c>
      <c r="AA7" t="str">
        <f t="shared" si="1"/>
        <v/>
      </c>
      <c r="AB7" t="str">
        <f t="shared" si="2"/>
        <v/>
      </c>
      <c r="AC7" t="str">
        <f t="shared" si="3"/>
        <v/>
      </c>
      <c r="AE7" t="str">
        <f t="shared" si="4"/>
        <v/>
      </c>
      <c r="AF7" t="str">
        <f t="shared" si="5"/>
        <v/>
      </c>
      <c r="AG7" t="str">
        <f t="shared" si="6"/>
        <v/>
      </c>
      <c r="AH7" t="str">
        <f t="shared" si="7"/>
        <v/>
      </c>
      <c r="AI7" t="str">
        <f t="shared" si="8"/>
        <v/>
      </c>
      <c r="AK7" t="str">
        <f t="shared" si="9"/>
        <v/>
      </c>
      <c r="AL7" t="str">
        <f t="shared" si="32"/>
        <v/>
      </c>
      <c r="AM7" t="str">
        <f t="shared" si="10"/>
        <v/>
      </c>
      <c r="AN7" t="str">
        <f t="shared" si="11"/>
        <v/>
      </c>
      <c r="AO7" t="str">
        <f t="shared" si="12"/>
        <v/>
      </c>
      <c r="AP7" t="str">
        <f t="shared" si="13"/>
        <v/>
      </c>
      <c r="AQ7" t="str">
        <f t="shared" si="14"/>
        <v/>
      </c>
      <c r="AR7" t="str">
        <f t="shared" si="15"/>
        <v/>
      </c>
      <c r="AS7" t="str">
        <f t="shared" si="16"/>
        <v/>
      </c>
      <c r="AT7" t="str">
        <f t="shared" si="17"/>
        <v/>
      </c>
      <c r="AU7" t="str">
        <f t="shared" si="18"/>
        <v/>
      </c>
      <c r="AV7" t="str">
        <f t="shared" si="19"/>
        <v/>
      </c>
      <c r="AW7" t="str">
        <f t="shared" si="20"/>
        <v/>
      </c>
      <c r="AX7" t="str">
        <f t="shared" si="21"/>
        <v/>
      </c>
      <c r="AY7" t="str">
        <f t="shared" si="22"/>
        <v/>
      </c>
      <c r="AZ7" t="str">
        <f t="shared" si="23"/>
        <v/>
      </c>
      <c r="BA7" t="str">
        <f t="shared" si="24"/>
        <v/>
      </c>
      <c r="BB7" t="str">
        <f t="shared" si="25"/>
        <v/>
      </c>
      <c r="BC7" t="str">
        <f t="shared" si="26"/>
        <v/>
      </c>
      <c r="BD7" t="str">
        <f t="shared" si="27"/>
        <v/>
      </c>
      <c r="BE7" t="str">
        <f t="shared" si="28"/>
        <v/>
      </c>
      <c r="BF7" t="str">
        <f t="shared" si="29"/>
        <v/>
      </c>
      <c r="BG7" t="str">
        <f t="shared" si="30"/>
        <v/>
      </c>
      <c r="BH7" t="str">
        <f t="shared" si="31"/>
        <v/>
      </c>
    </row>
    <row r="8" spans="1:66" x14ac:dyDescent="0.2">
      <c r="A8">
        <v>5</v>
      </c>
      <c r="B8">
        <v>44</v>
      </c>
      <c r="C8" t="s">
        <v>39</v>
      </c>
      <c r="D8">
        <v>1</v>
      </c>
      <c r="K8">
        <v>2</v>
      </c>
      <c r="M8">
        <v>2</v>
      </c>
      <c r="N8">
        <v>4</v>
      </c>
      <c r="O8">
        <v>3</v>
      </c>
      <c r="P8" t="s">
        <v>209</v>
      </c>
      <c r="R8">
        <v>1</v>
      </c>
      <c r="S8">
        <v>1</v>
      </c>
      <c r="T8">
        <v>1</v>
      </c>
      <c r="U8">
        <v>0</v>
      </c>
      <c r="X8">
        <f t="shared" si="33"/>
        <v>1</v>
      </c>
      <c r="Y8" t="s">
        <v>174</v>
      </c>
      <c r="Z8" t="str">
        <f t="shared" si="0"/>
        <v>2</v>
      </c>
      <c r="AA8" t="str">
        <f t="shared" si="1"/>
        <v/>
      </c>
      <c r="AB8" t="str">
        <f t="shared" si="2"/>
        <v/>
      </c>
      <c r="AC8" t="str">
        <f t="shared" si="3"/>
        <v/>
      </c>
      <c r="AE8" t="str">
        <f t="shared" si="4"/>
        <v/>
      </c>
      <c r="AF8" t="str">
        <f t="shared" si="5"/>
        <v/>
      </c>
      <c r="AG8" t="str">
        <f t="shared" si="6"/>
        <v/>
      </c>
      <c r="AH8" t="str">
        <f t="shared" si="7"/>
        <v/>
      </c>
      <c r="AI8" t="str">
        <f t="shared" si="8"/>
        <v/>
      </c>
      <c r="AK8" t="str">
        <f t="shared" si="9"/>
        <v/>
      </c>
      <c r="AL8" t="str">
        <f t="shared" si="32"/>
        <v/>
      </c>
      <c r="AM8" t="str">
        <f t="shared" si="10"/>
        <v/>
      </c>
      <c r="AN8" t="str">
        <f t="shared" si="11"/>
        <v/>
      </c>
      <c r="AO8" t="str">
        <f t="shared" si="12"/>
        <v/>
      </c>
      <c r="AP8" t="str">
        <f t="shared" si="13"/>
        <v/>
      </c>
      <c r="AQ8" t="str">
        <f t="shared" si="14"/>
        <v/>
      </c>
      <c r="AR8" t="str">
        <f t="shared" si="15"/>
        <v/>
      </c>
      <c r="AS8" t="str">
        <f t="shared" si="16"/>
        <v/>
      </c>
      <c r="AT8" t="str">
        <f t="shared" si="17"/>
        <v/>
      </c>
      <c r="AU8" t="str">
        <f t="shared" si="18"/>
        <v/>
      </c>
      <c r="AV8" t="str">
        <f t="shared" si="19"/>
        <v/>
      </c>
      <c r="AW8" t="str">
        <f t="shared" si="20"/>
        <v/>
      </c>
      <c r="AX8" t="str">
        <f t="shared" si="21"/>
        <v/>
      </c>
      <c r="AY8" t="str">
        <f t="shared" si="22"/>
        <v/>
      </c>
      <c r="AZ8" t="str">
        <f t="shared" si="23"/>
        <v/>
      </c>
      <c r="BA8" t="str">
        <f t="shared" si="24"/>
        <v/>
      </c>
      <c r="BB8" t="str">
        <f t="shared" si="25"/>
        <v/>
      </c>
      <c r="BC8" t="str">
        <f t="shared" si="26"/>
        <v/>
      </c>
      <c r="BD8" t="str">
        <f t="shared" si="27"/>
        <v/>
      </c>
      <c r="BE8" t="str">
        <f t="shared" si="28"/>
        <v/>
      </c>
      <c r="BF8" t="str">
        <f t="shared" si="29"/>
        <v/>
      </c>
      <c r="BG8" t="str">
        <f t="shared" si="30"/>
        <v/>
      </c>
      <c r="BH8" t="str">
        <f t="shared" si="31"/>
        <v/>
      </c>
    </row>
    <row r="9" spans="1:66" x14ac:dyDescent="0.2">
      <c r="A9">
        <v>6</v>
      </c>
      <c r="B9">
        <v>53</v>
      </c>
      <c r="C9" t="s">
        <v>39</v>
      </c>
      <c r="G9">
        <v>16</v>
      </c>
      <c r="I9">
        <v>3</v>
      </c>
      <c r="K9">
        <v>2</v>
      </c>
      <c r="M9">
        <v>3</v>
      </c>
      <c r="N9">
        <v>6</v>
      </c>
      <c r="O9">
        <v>6</v>
      </c>
      <c r="S9">
        <v>1</v>
      </c>
      <c r="T9">
        <v>1</v>
      </c>
      <c r="U9">
        <v>17</v>
      </c>
      <c r="X9">
        <f t="shared" si="33"/>
        <v>16</v>
      </c>
      <c r="Y9" t="s">
        <v>174</v>
      </c>
      <c r="Z9" t="str">
        <f t="shared" si="0"/>
        <v>3</v>
      </c>
      <c r="AA9" t="str">
        <f t="shared" si="1"/>
        <v/>
      </c>
      <c r="AB9" t="str">
        <f t="shared" si="2"/>
        <v/>
      </c>
      <c r="AC9" t="str">
        <f t="shared" si="3"/>
        <v/>
      </c>
      <c r="AE9" t="str">
        <f t="shared" si="4"/>
        <v/>
      </c>
      <c r="AF9" t="str">
        <f t="shared" si="5"/>
        <v/>
      </c>
      <c r="AG9" t="str">
        <f t="shared" si="6"/>
        <v/>
      </c>
      <c r="AH9" t="str">
        <f t="shared" si="7"/>
        <v/>
      </c>
      <c r="AI9" t="str">
        <f t="shared" si="8"/>
        <v/>
      </c>
      <c r="AK9" t="str">
        <f t="shared" si="9"/>
        <v/>
      </c>
      <c r="AL9" t="str">
        <f t="shared" si="32"/>
        <v/>
      </c>
      <c r="AM9" t="str">
        <f t="shared" si="10"/>
        <v/>
      </c>
      <c r="AN9" t="str">
        <f t="shared" si="11"/>
        <v/>
      </c>
      <c r="AO9" t="str">
        <f t="shared" si="12"/>
        <v/>
      </c>
      <c r="AP9" t="str">
        <f t="shared" si="13"/>
        <v/>
      </c>
      <c r="AQ9" t="str">
        <f t="shared" si="14"/>
        <v/>
      </c>
      <c r="AR9" t="str">
        <f t="shared" si="15"/>
        <v/>
      </c>
      <c r="AS9" t="str">
        <f t="shared" si="16"/>
        <v/>
      </c>
      <c r="AT9" t="str">
        <f t="shared" si="17"/>
        <v/>
      </c>
      <c r="AU9" t="str">
        <f t="shared" si="18"/>
        <v/>
      </c>
      <c r="AV9" t="str">
        <f t="shared" si="19"/>
        <v/>
      </c>
      <c r="AW9" t="str">
        <f t="shared" si="20"/>
        <v/>
      </c>
      <c r="AX9" t="str">
        <f t="shared" si="21"/>
        <v/>
      </c>
      <c r="AY9" t="str">
        <f t="shared" si="22"/>
        <v/>
      </c>
      <c r="AZ9" t="str">
        <f t="shared" si="23"/>
        <v/>
      </c>
      <c r="BA9" t="str">
        <f t="shared" si="24"/>
        <v/>
      </c>
      <c r="BB9" t="str">
        <f t="shared" si="25"/>
        <v/>
      </c>
      <c r="BC9" t="str">
        <f t="shared" si="26"/>
        <v/>
      </c>
      <c r="BD9" t="str">
        <f t="shared" si="27"/>
        <v/>
      </c>
      <c r="BE9" t="str">
        <f t="shared" si="28"/>
        <v/>
      </c>
      <c r="BF9" t="str">
        <f t="shared" si="29"/>
        <v/>
      </c>
      <c r="BG9" t="str">
        <f t="shared" si="30"/>
        <v/>
      </c>
      <c r="BH9" t="str">
        <f t="shared" si="31"/>
        <v/>
      </c>
    </row>
    <row r="10" spans="1:66" x14ac:dyDescent="0.2">
      <c r="A10">
        <v>7</v>
      </c>
      <c r="B10">
        <v>62</v>
      </c>
      <c r="C10" t="s">
        <v>207</v>
      </c>
      <c r="G10">
        <v>6</v>
      </c>
      <c r="I10">
        <v>2</v>
      </c>
      <c r="K10">
        <v>3</v>
      </c>
      <c r="M10">
        <v>1</v>
      </c>
      <c r="N10">
        <v>5</v>
      </c>
      <c r="O10">
        <v>4</v>
      </c>
      <c r="S10">
        <v>1</v>
      </c>
      <c r="T10">
        <v>1</v>
      </c>
      <c r="U10">
        <v>6</v>
      </c>
      <c r="X10">
        <f t="shared" si="33"/>
        <v>6</v>
      </c>
      <c r="Y10" t="s">
        <v>174</v>
      </c>
      <c r="Z10" t="str">
        <f t="shared" si="0"/>
        <v/>
      </c>
      <c r="AA10" t="str">
        <f t="shared" si="1"/>
        <v/>
      </c>
      <c r="AB10" t="str">
        <f t="shared" si="2"/>
        <v/>
      </c>
      <c r="AC10" t="str">
        <f t="shared" si="3"/>
        <v/>
      </c>
      <c r="AE10" t="str">
        <f t="shared" si="4"/>
        <v>2</v>
      </c>
      <c r="AF10" t="str">
        <f t="shared" si="5"/>
        <v/>
      </c>
      <c r="AG10" t="str">
        <f t="shared" si="6"/>
        <v/>
      </c>
      <c r="AH10" t="str">
        <f t="shared" si="7"/>
        <v/>
      </c>
      <c r="AI10" t="str">
        <f t="shared" si="8"/>
        <v/>
      </c>
      <c r="AK10" t="str">
        <f t="shared" si="9"/>
        <v/>
      </c>
      <c r="AL10" t="str">
        <f t="shared" si="32"/>
        <v/>
      </c>
      <c r="AM10" t="str">
        <f t="shared" si="10"/>
        <v/>
      </c>
      <c r="AN10" t="str">
        <f t="shared" si="11"/>
        <v/>
      </c>
      <c r="AO10" t="str">
        <f t="shared" si="12"/>
        <v/>
      </c>
      <c r="AP10" t="str">
        <f t="shared" si="13"/>
        <v/>
      </c>
      <c r="AQ10" t="str">
        <f t="shared" si="14"/>
        <v/>
      </c>
      <c r="AR10" t="str">
        <f t="shared" si="15"/>
        <v/>
      </c>
      <c r="AS10" t="str">
        <f t="shared" si="16"/>
        <v/>
      </c>
      <c r="AT10" t="str">
        <f t="shared" si="17"/>
        <v/>
      </c>
      <c r="AU10" t="str">
        <f t="shared" si="18"/>
        <v/>
      </c>
      <c r="AV10" t="str">
        <f t="shared" si="19"/>
        <v/>
      </c>
      <c r="AW10" t="str">
        <f t="shared" si="20"/>
        <v/>
      </c>
      <c r="AX10" t="str">
        <f t="shared" si="21"/>
        <v/>
      </c>
      <c r="AY10" t="str">
        <f t="shared" si="22"/>
        <v/>
      </c>
      <c r="AZ10" t="str">
        <f t="shared" si="23"/>
        <v/>
      </c>
      <c r="BA10" t="str">
        <f t="shared" si="24"/>
        <v/>
      </c>
      <c r="BB10" t="str">
        <f t="shared" si="25"/>
        <v/>
      </c>
      <c r="BC10" t="str">
        <f t="shared" si="26"/>
        <v/>
      </c>
      <c r="BD10" t="str">
        <f t="shared" si="27"/>
        <v/>
      </c>
      <c r="BE10" t="str">
        <f t="shared" si="28"/>
        <v/>
      </c>
      <c r="BF10" t="str">
        <f t="shared" si="29"/>
        <v/>
      </c>
      <c r="BG10" t="str">
        <f t="shared" si="30"/>
        <v/>
      </c>
      <c r="BH10" t="str">
        <f t="shared" si="31"/>
        <v/>
      </c>
    </row>
    <row r="11" spans="1:66" x14ac:dyDescent="0.2">
      <c r="A11">
        <v>8</v>
      </c>
      <c r="B11">
        <v>72</v>
      </c>
      <c r="C11" t="s">
        <v>39</v>
      </c>
      <c r="G11">
        <v>8</v>
      </c>
      <c r="I11">
        <v>3</v>
      </c>
      <c r="K11">
        <v>2</v>
      </c>
      <c r="M11">
        <v>2</v>
      </c>
      <c r="N11">
        <v>5</v>
      </c>
      <c r="O11">
        <v>3</v>
      </c>
      <c r="S11">
        <v>1</v>
      </c>
      <c r="T11">
        <v>1</v>
      </c>
      <c r="U11">
        <v>15</v>
      </c>
      <c r="X11">
        <f t="shared" si="33"/>
        <v>8</v>
      </c>
      <c r="Z11" t="str">
        <f t="shared" si="0"/>
        <v/>
      </c>
      <c r="AA11" t="str">
        <f t="shared" si="1"/>
        <v/>
      </c>
      <c r="AB11" t="str">
        <f t="shared" si="2"/>
        <v/>
      </c>
      <c r="AC11" t="str">
        <f t="shared" si="3"/>
        <v/>
      </c>
      <c r="AE11" t="str">
        <f t="shared" si="4"/>
        <v>1</v>
      </c>
      <c r="AF11" t="str">
        <f t="shared" si="5"/>
        <v/>
      </c>
      <c r="AG11" t="str">
        <f t="shared" si="6"/>
        <v/>
      </c>
      <c r="AH11" t="str">
        <f t="shared" si="7"/>
        <v/>
      </c>
      <c r="AI11" t="str">
        <f t="shared" si="8"/>
        <v/>
      </c>
      <c r="AK11" t="str">
        <f t="shared" si="9"/>
        <v/>
      </c>
      <c r="AL11" t="str">
        <f t="shared" si="32"/>
        <v/>
      </c>
      <c r="AM11" t="str">
        <f t="shared" si="10"/>
        <v/>
      </c>
      <c r="AN11" t="str">
        <f t="shared" si="11"/>
        <v/>
      </c>
      <c r="AO11" t="str">
        <f t="shared" si="12"/>
        <v/>
      </c>
      <c r="AP11" t="str">
        <f t="shared" si="13"/>
        <v/>
      </c>
      <c r="AQ11" t="str">
        <f t="shared" si="14"/>
        <v/>
      </c>
      <c r="AR11" t="str">
        <f t="shared" si="15"/>
        <v/>
      </c>
      <c r="AS11" t="str">
        <f t="shared" si="16"/>
        <v/>
      </c>
      <c r="AT11" t="str">
        <f t="shared" si="17"/>
        <v/>
      </c>
      <c r="AU11" t="str">
        <f t="shared" si="18"/>
        <v/>
      </c>
      <c r="AV11" t="str">
        <f t="shared" si="19"/>
        <v/>
      </c>
      <c r="AW11" t="str">
        <f t="shared" si="20"/>
        <v/>
      </c>
      <c r="AX11" t="str">
        <f t="shared" si="21"/>
        <v/>
      </c>
      <c r="AY11" t="str">
        <f t="shared" si="22"/>
        <v/>
      </c>
      <c r="AZ11" t="str">
        <f t="shared" si="23"/>
        <v/>
      </c>
      <c r="BA11" t="str">
        <f t="shared" si="24"/>
        <v/>
      </c>
      <c r="BB11" t="str">
        <f t="shared" si="25"/>
        <v/>
      </c>
      <c r="BC11" t="str">
        <f t="shared" si="26"/>
        <v/>
      </c>
      <c r="BD11" t="str">
        <f t="shared" si="27"/>
        <v/>
      </c>
      <c r="BE11" t="str">
        <f t="shared" si="28"/>
        <v/>
      </c>
      <c r="BF11" t="str">
        <f t="shared" si="29"/>
        <v/>
      </c>
      <c r="BG11" t="str">
        <f t="shared" si="30"/>
        <v/>
      </c>
      <c r="BH11" t="str">
        <f t="shared" si="31"/>
        <v/>
      </c>
    </row>
    <row r="12" spans="1:66" x14ac:dyDescent="0.2">
      <c r="A12">
        <v>9</v>
      </c>
      <c r="B12">
        <v>86</v>
      </c>
      <c r="C12" t="s">
        <v>207</v>
      </c>
      <c r="D12">
        <v>1</v>
      </c>
      <c r="E12">
        <v>1</v>
      </c>
      <c r="J12">
        <v>2</v>
      </c>
      <c r="K12">
        <v>1</v>
      </c>
      <c r="M12">
        <v>3</v>
      </c>
      <c r="N12">
        <v>4</v>
      </c>
      <c r="O12">
        <v>4</v>
      </c>
      <c r="S12">
        <v>1</v>
      </c>
      <c r="T12">
        <v>1</v>
      </c>
      <c r="U12">
        <v>10</v>
      </c>
      <c r="X12">
        <f t="shared" si="33"/>
        <v>0</v>
      </c>
      <c r="Z12" t="str">
        <f t="shared" si="0"/>
        <v>5</v>
      </c>
      <c r="AA12" t="str">
        <f t="shared" si="1"/>
        <v/>
      </c>
      <c r="AB12" t="str">
        <f t="shared" si="2"/>
        <v/>
      </c>
      <c r="AC12" t="str">
        <f t="shared" si="3"/>
        <v/>
      </c>
      <c r="AE12" t="str">
        <f t="shared" si="4"/>
        <v>4</v>
      </c>
      <c r="AF12" t="str">
        <f t="shared" si="5"/>
        <v/>
      </c>
      <c r="AG12" t="str">
        <f t="shared" si="6"/>
        <v/>
      </c>
      <c r="AH12" t="str">
        <f t="shared" si="7"/>
        <v/>
      </c>
      <c r="AI12" t="str">
        <f t="shared" si="8"/>
        <v/>
      </c>
      <c r="AK12" t="str">
        <f t="shared" si="9"/>
        <v>g1</v>
      </c>
      <c r="AL12" t="str">
        <f t="shared" si="32"/>
        <v>h1</v>
      </c>
      <c r="AM12" t="str">
        <f t="shared" si="10"/>
        <v/>
      </c>
      <c r="AN12" t="str">
        <f t="shared" si="11"/>
        <v/>
      </c>
      <c r="AO12" t="str">
        <f t="shared" si="12"/>
        <v/>
      </c>
      <c r="AP12" t="str">
        <f t="shared" si="13"/>
        <v/>
      </c>
      <c r="AQ12" t="str">
        <f t="shared" si="14"/>
        <v/>
      </c>
      <c r="AR12" t="str">
        <f t="shared" si="15"/>
        <v/>
      </c>
      <c r="AS12" t="str">
        <f t="shared" si="16"/>
        <v/>
      </c>
      <c r="AT12" t="str">
        <f t="shared" si="17"/>
        <v/>
      </c>
      <c r="AU12" t="str">
        <f t="shared" si="18"/>
        <v/>
      </c>
      <c r="AV12" t="str">
        <f t="shared" si="19"/>
        <v/>
      </c>
      <c r="AW12" t="str">
        <f t="shared" si="20"/>
        <v/>
      </c>
      <c r="AX12" t="str">
        <f t="shared" si="21"/>
        <v/>
      </c>
      <c r="AY12" t="str">
        <f t="shared" si="22"/>
        <v/>
      </c>
      <c r="AZ12" t="str">
        <f t="shared" si="23"/>
        <v/>
      </c>
      <c r="BA12" t="str">
        <f t="shared" si="24"/>
        <v/>
      </c>
      <c r="BB12" t="str">
        <f t="shared" si="25"/>
        <v/>
      </c>
      <c r="BC12" t="str">
        <f t="shared" si="26"/>
        <v/>
      </c>
      <c r="BD12" t="str">
        <f t="shared" si="27"/>
        <v/>
      </c>
      <c r="BE12" t="str">
        <f t="shared" si="28"/>
        <v/>
      </c>
      <c r="BF12" t="str">
        <f t="shared" si="29"/>
        <v/>
      </c>
      <c r="BG12" t="str">
        <f t="shared" si="30"/>
        <v/>
      </c>
      <c r="BH12" t="str">
        <f t="shared" si="31"/>
        <v/>
      </c>
    </row>
    <row r="13" spans="1:66" x14ac:dyDescent="0.2">
      <c r="A13">
        <v>10</v>
      </c>
      <c r="B13">
        <v>96</v>
      </c>
      <c r="C13" t="s">
        <v>39</v>
      </c>
      <c r="G13">
        <v>4</v>
      </c>
      <c r="J13">
        <v>1</v>
      </c>
      <c r="K13">
        <v>1</v>
      </c>
      <c r="M13">
        <v>2</v>
      </c>
      <c r="N13">
        <v>4</v>
      </c>
      <c r="O13">
        <v>4</v>
      </c>
      <c r="S13">
        <v>1</v>
      </c>
      <c r="T13">
        <v>1</v>
      </c>
      <c r="U13">
        <v>4</v>
      </c>
      <c r="X13">
        <f t="shared" si="33"/>
        <v>4</v>
      </c>
      <c r="Y13" t="s">
        <v>174</v>
      </c>
      <c r="Z13" t="str">
        <f t="shared" si="0"/>
        <v>5</v>
      </c>
      <c r="AA13" t="str">
        <f t="shared" si="1"/>
        <v/>
      </c>
      <c r="AB13" t="str">
        <f t="shared" si="2"/>
        <v/>
      </c>
      <c r="AC13" t="str">
        <f t="shared" si="3"/>
        <v/>
      </c>
      <c r="AE13" t="str">
        <f t="shared" si="4"/>
        <v/>
      </c>
      <c r="AF13" t="str">
        <f t="shared" si="5"/>
        <v/>
      </c>
      <c r="AG13" t="str">
        <f t="shared" si="6"/>
        <v/>
      </c>
      <c r="AH13" t="str">
        <f t="shared" si="7"/>
        <v/>
      </c>
      <c r="AI13" t="str">
        <f t="shared" si="8"/>
        <v/>
      </c>
      <c r="AK13" t="str">
        <f t="shared" si="9"/>
        <v/>
      </c>
      <c r="AL13" t="str">
        <f t="shared" si="32"/>
        <v/>
      </c>
      <c r="AM13" t="str">
        <f t="shared" si="10"/>
        <v/>
      </c>
      <c r="AN13" t="str">
        <f t="shared" si="11"/>
        <v/>
      </c>
      <c r="AO13" t="str">
        <f t="shared" si="12"/>
        <v/>
      </c>
      <c r="AP13" t="str">
        <f t="shared" si="13"/>
        <v/>
      </c>
      <c r="AQ13" t="str">
        <f t="shared" si="14"/>
        <v/>
      </c>
      <c r="AR13" t="str">
        <f t="shared" si="15"/>
        <v/>
      </c>
      <c r="AS13" t="str">
        <f t="shared" si="16"/>
        <v/>
      </c>
      <c r="AT13" t="str">
        <f t="shared" si="17"/>
        <v/>
      </c>
      <c r="AU13" t="str">
        <f t="shared" si="18"/>
        <v/>
      </c>
      <c r="AV13" t="str">
        <f t="shared" si="19"/>
        <v/>
      </c>
      <c r="AW13" t="str">
        <f t="shared" si="20"/>
        <v/>
      </c>
      <c r="AX13" t="str">
        <f t="shared" si="21"/>
        <v/>
      </c>
      <c r="AY13" t="str">
        <f t="shared" si="22"/>
        <v/>
      </c>
      <c r="AZ13" t="str">
        <f t="shared" si="23"/>
        <v/>
      </c>
      <c r="BA13" t="str">
        <f t="shared" si="24"/>
        <v/>
      </c>
      <c r="BB13" t="str">
        <f t="shared" si="25"/>
        <v/>
      </c>
      <c r="BC13" t="str">
        <f t="shared" si="26"/>
        <v/>
      </c>
      <c r="BD13" t="str">
        <f t="shared" si="27"/>
        <v/>
      </c>
      <c r="BE13" t="str">
        <f t="shared" si="28"/>
        <v/>
      </c>
      <c r="BF13" t="str">
        <f t="shared" si="29"/>
        <v/>
      </c>
      <c r="BG13" t="str">
        <f t="shared" si="30"/>
        <v/>
      </c>
      <c r="BH13" t="str">
        <f t="shared" si="31"/>
        <v/>
      </c>
    </row>
    <row r="14" spans="1:66" x14ac:dyDescent="0.2">
      <c r="A14">
        <v>11</v>
      </c>
      <c r="B14">
        <v>103</v>
      </c>
      <c r="C14" t="s">
        <v>207</v>
      </c>
      <c r="I14">
        <v>5</v>
      </c>
      <c r="J14">
        <v>4</v>
      </c>
      <c r="M14">
        <v>4</v>
      </c>
      <c r="N14">
        <v>5</v>
      </c>
      <c r="O14">
        <v>5</v>
      </c>
      <c r="P14" t="s">
        <v>256</v>
      </c>
      <c r="R14">
        <v>1</v>
      </c>
      <c r="S14">
        <v>1</v>
      </c>
      <c r="U14">
        <v>8</v>
      </c>
      <c r="X14">
        <f t="shared" si="33"/>
        <v>1</v>
      </c>
      <c r="Z14" t="s">
        <v>31</v>
      </c>
      <c r="AE14" t="s">
        <v>34</v>
      </c>
      <c r="AK14" t="s">
        <v>43</v>
      </c>
      <c r="AP14" t="s">
        <v>84</v>
      </c>
    </row>
    <row r="15" spans="1:66" x14ac:dyDescent="0.2">
      <c r="A15">
        <v>12</v>
      </c>
      <c r="B15">
        <v>117</v>
      </c>
      <c r="C15" t="s">
        <v>207</v>
      </c>
      <c r="G15">
        <v>26</v>
      </c>
      <c r="I15">
        <v>5</v>
      </c>
      <c r="K15">
        <v>4</v>
      </c>
      <c r="M15">
        <v>1</v>
      </c>
      <c r="N15">
        <v>5</v>
      </c>
      <c r="O15">
        <v>4</v>
      </c>
      <c r="S15">
        <v>1</v>
      </c>
      <c r="T15">
        <v>1</v>
      </c>
      <c r="X15">
        <f t="shared" si="33"/>
        <v>26</v>
      </c>
      <c r="Z15" t="s">
        <v>21</v>
      </c>
      <c r="AA15" t="s">
        <v>22</v>
      </c>
      <c r="AE15" t="s">
        <v>21</v>
      </c>
      <c r="AF15" t="s">
        <v>22</v>
      </c>
      <c r="AG15" t="s">
        <v>35</v>
      </c>
      <c r="AK15" t="s">
        <v>10</v>
      </c>
      <c r="AL15" t="s">
        <v>25</v>
      </c>
      <c r="AM15" t="s">
        <v>26</v>
      </c>
      <c r="AN15" t="s">
        <v>27</v>
      </c>
      <c r="AP15" t="s">
        <v>15</v>
      </c>
      <c r="AQ15" t="s">
        <v>85</v>
      </c>
    </row>
    <row r="16" spans="1:66" x14ac:dyDescent="0.2">
      <c r="A16" t="s">
        <v>28</v>
      </c>
      <c r="D16">
        <f>SUM(D4:D15)</f>
        <v>5</v>
      </c>
      <c r="E16">
        <f>SUM(E4:E15)</f>
        <v>4</v>
      </c>
      <c r="F16">
        <f>SUM(F4:F15)</f>
        <v>0</v>
      </c>
      <c r="G16">
        <f>SUM(G4:G15)</f>
        <v>60</v>
      </c>
      <c r="H16">
        <f>SUM(H4:H15)</f>
        <v>0</v>
      </c>
      <c r="K16">
        <f>SUM(K4:K15)</f>
        <v>22</v>
      </c>
      <c r="L16">
        <f>SUM(L4:L15)</f>
        <v>2</v>
      </c>
      <c r="M16">
        <f>SUM(M4:M15)</f>
        <v>21</v>
      </c>
      <c r="N16">
        <f>SUM(N4:N15)</f>
        <v>52</v>
      </c>
      <c r="O16">
        <f>SUM(O4:O15)</f>
        <v>47</v>
      </c>
      <c r="Q16">
        <f t="shared" ref="Q16:R16" si="34">SUM(Q4:Q15)</f>
        <v>0</v>
      </c>
      <c r="R16">
        <f t="shared" si="34"/>
        <v>3</v>
      </c>
      <c r="S16">
        <f>SUM(S4:S15)</f>
        <v>12</v>
      </c>
      <c r="T16">
        <f>SUM(T4:T15)</f>
        <v>9</v>
      </c>
      <c r="U16">
        <f>SUM(U4:U15)</f>
        <v>63</v>
      </c>
      <c r="V16">
        <f>SUM(V4:V15)</f>
        <v>0</v>
      </c>
      <c r="W16">
        <f>SUM(W4:W15)</f>
        <v>6</v>
      </c>
      <c r="Z16">
        <f t="shared" ref="Z16:Z27" si="35">COUNTIF(Z2:AC2, "3")*COUNTIF(C4, "r")+COUNTIF(Z2:AC2, "5")*COUNTIF(C4, "b")</f>
        <v>0</v>
      </c>
      <c r="AA16">
        <f t="shared" ref="AA16:AA27" si="36">COUNTIF(Z2:AC2, "1")+COUNTIF(Z2:AC2, "2")+COUNTIF(Z2:AC2, "4")</f>
        <v>0</v>
      </c>
      <c r="AE16">
        <f t="shared" ref="AE16:AE27" si="37">COUNTIF(AE2:AI2, "3")*COUNTIF(C4, "r") + COUNTIF(AE2:AI2, "5")*COUNTIF(C4, "b")</f>
        <v>1</v>
      </c>
      <c r="AF16">
        <f t="shared" ref="AF16:AF27" si="38">COUNTIF(AE2:AI2, "1")+COUNTIF(AE2:AI2, "2")+COUNTIF(AE2:AI2, "4")</f>
        <v>0</v>
      </c>
      <c r="AG16">
        <f t="shared" ref="AG16:AG27" si="39">COUNTIF(AE2:AI2, "3")*COUNTIF(AE2:AI2, "b")+COUNTIF(AE2:AI2, "5")*COUNTIF(AE2:AI2, "r")</f>
        <v>0</v>
      </c>
      <c r="AK16">
        <f t="shared" ref="AK16:AK27" si="40">SUMPRODUCT(LEN($AK2:$BH2) - LEN(SUBSTITUTE($AK2:$BH2, "g", "")))</f>
        <v>0</v>
      </c>
      <c r="AL16">
        <f t="shared" ref="AL16:AL27" si="41">SUMPRODUCT(LEN($AK2:$BH2) - LEN(SUBSTITUTE($AK2:$BH2, "h", "")))</f>
        <v>0</v>
      </c>
      <c r="AM16">
        <f t="shared" ref="AM16:AM27" si="42">SUMPRODUCT(LEN($AK2:$BH2) - LEN(SUBSTITUTE($AK2:$BH2, "v", "")))</f>
        <v>0</v>
      </c>
      <c r="AN16">
        <f t="shared" ref="AN16:AN27" si="43">SUMPRODUCT(LEN($AK2:$BH2) - LEN(SUBSTITUTE($AK2:$BH2, "r", "")))</f>
        <v>0</v>
      </c>
      <c r="AP16">
        <f>MAX(AQ16:BN16)</f>
        <v>0</v>
      </c>
      <c r="AQ16" s="4">
        <f>_xlfn.NUMBERVALUE(RIGHT(AK2,1))</f>
        <v>0</v>
      </c>
      <c r="AR16" s="4">
        <f t="shared" ref="AR16:BG27" si="44">_xlfn.NUMBERVALUE(RIGHT(AL2,1))</f>
        <v>0</v>
      </c>
      <c r="AS16" s="4">
        <f t="shared" si="44"/>
        <v>0</v>
      </c>
      <c r="AT16" s="4">
        <f t="shared" si="44"/>
        <v>0</v>
      </c>
      <c r="AU16" s="4">
        <f t="shared" si="44"/>
        <v>0</v>
      </c>
      <c r="AV16" s="4">
        <f t="shared" si="44"/>
        <v>0</v>
      </c>
      <c r="AW16" s="4">
        <f t="shared" si="44"/>
        <v>0</v>
      </c>
      <c r="AX16" s="4">
        <f t="shared" si="44"/>
        <v>0</v>
      </c>
      <c r="AY16" s="4">
        <f t="shared" si="44"/>
        <v>0</v>
      </c>
      <c r="AZ16" s="4">
        <f t="shared" si="44"/>
        <v>0</v>
      </c>
      <c r="BA16" s="4">
        <f t="shared" si="44"/>
        <v>0</v>
      </c>
      <c r="BB16" s="4">
        <f t="shared" si="44"/>
        <v>0</v>
      </c>
      <c r="BC16" s="4">
        <f t="shared" si="44"/>
        <v>0</v>
      </c>
      <c r="BD16" s="4">
        <f t="shared" si="44"/>
        <v>0</v>
      </c>
      <c r="BE16" s="4">
        <f t="shared" si="44"/>
        <v>0</v>
      </c>
      <c r="BF16" s="4">
        <f t="shared" si="44"/>
        <v>0</v>
      </c>
      <c r="BG16" s="4">
        <f t="shared" si="44"/>
        <v>0</v>
      </c>
      <c r="BH16" s="4">
        <f t="shared" ref="BH16:BN27" si="45">_xlfn.NUMBERVALUE(RIGHT(BB2,1))</f>
        <v>0</v>
      </c>
      <c r="BI16" s="4">
        <f t="shared" si="45"/>
        <v>0</v>
      </c>
      <c r="BJ16" s="4">
        <f t="shared" si="45"/>
        <v>0</v>
      </c>
      <c r="BK16" s="4">
        <f t="shared" si="45"/>
        <v>0</v>
      </c>
      <c r="BL16" s="4">
        <f t="shared" si="45"/>
        <v>0</v>
      </c>
      <c r="BM16" s="4">
        <f t="shared" si="45"/>
        <v>0</v>
      </c>
      <c r="BN16" s="4">
        <f t="shared" si="45"/>
        <v>0</v>
      </c>
    </row>
    <row r="17" spans="1:66" x14ac:dyDescent="0.2">
      <c r="A17" s="1" t="s">
        <v>20</v>
      </c>
      <c r="D17" s="1" t="s">
        <v>49</v>
      </c>
      <c r="G17" s="1" t="s">
        <v>52</v>
      </c>
      <c r="K17" s="3" t="s">
        <v>74</v>
      </c>
      <c r="P17" s="1" t="s">
        <v>66</v>
      </c>
      <c r="Z17">
        <f t="shared" si="35"/>
        <v>0</v>
      </c>
      <c r="AA17">
        <f t="shared" si="36"/>
        <v>0</v>
      </c>
      <c r="AE17">
        <f t="shared" si="37"/>
        <v>0</v>
      </c>
      <c r="AF17">
        <f t="shared" si="38"/>
        <v>0</v>
      </c>
      <c r="AG17">
        <f t="shared" si="39"/>
        <v>0</v>
      </c>
      <c r="AK17">
        <f t="shared" si="40"/>
        <v>0</v>
      </c>
      <c r="AL17">
        <f t="shared" si="41"/>
        <v>0</v>
      </c>
      <c r="AM17">
        <f t="shared" si="42"/>
        <v>0</v>
      </c>
      <c r="AN17">
        <f t="shared" si="43"/>
        <v>0</v>
      </c>
      <c r="AP17">
        <f t="shared" ref="AP17:AP27" si="46">MAX(AQ17:BN17)</f>
        <v>0</v>
      </c>
      <c r="AQ17" s="4">
        <f t="shared" ref="AQ17:AQ27" si="47">_xlfn.NUMBERVALUE(RIGHT(AK3,1))</f>
        <v>0</v>
      </c>
      <c r="AR17" s="4">
        <f t="shared" si="44"/>
        <v>0</v>
      </c>
      <c r="AS17" s="4">
        <f t="shared" si="44"/>
        <v>0</v>
      </c>
      <c r="AT17" s="4">
        <f t="shared" si="44"/>
        <v>0</v>
      </c>
      <c r="AU17" s="4">
        <f t="shared" si="44"/>
        <v>0</v>
      </c>
      <c r="AV17" s="4">
        <f t="shared" si="44"/>
        <v>0</v>
      </c>
      <c r="AW17" s="4">
        <f t="shared" si="44"/>
        <v>0</v>
      </c>
      <c r="AX17" s="4">
        <f t="shared" si="44"/>
        <v>0</v>
      </c>
      <c r="AY17" s="4">
        <f t="shared" si="44"/>
        <v>0</v>
      </c>
      <c r="AZ17" s="4">
        <f t="shared" si="44"/>
        <v>0</v>
      </c>
      <c r="BA17" s="4">
        <f t="shared" si="44"/>
        <v>0</v>
      </c>
      <c r="BB17" s="4">
        <f t="shared" si="44"/>
        <v>0</v>
      </c>
      <c r="BC17" s="4">
        <f t="shared" si="44"/>
        <v>0</v>
      </c>
      <c r="BD17" s="4">
        <f t="shared" si="44"/>
        <v>0</v>
      </c>
      <c r="BE17" s="4">
        <f t="shared" si="44"/>
        <v>0</v>
      </c>
      <c r="BF17" s="4">
        <f t="shared" si="44"/>
        <v>0</v>
      </c>
      <c r="BG17" s="4">
        <f t="shared" si="44"/>
        <v>0</v>
      </c>
      <c r="BH17" s="4">
        <f t="shared" si="45"/>
        <v>0</v>
      </c>
      <c r="BI17" s="4">
        <f t="shared" si="45"/>
        <v>0</v>
      </c>
      <c r="BJ17" s="4">
        <f t="shared" si="45"/>
        <v>0</v>
      </c>
      <c r="BK17" s="4">
        <f t="shared" si="45"/>
        <v>0</v>
      </c>
      <c r="BL17" s="4">
        <f t="shared" si="45"/>
        <v>0</v>
      </c>
      <c r="BM17" s="4">
        <f t="shared" si="45"/>
        <v>0</v>
      </c>
      <c r="BN17" s="4">
        <f t="shared" si="45"/>
        <v>0</v>
      </c>
    </row>
    <row r="18" spans="1:66" x14ac:dyDescent="0.2">
      <c r="A18" t="s">
        <v>32</v>
      </c>
      <c r="B18" t="s">
        <v>21</v>
      </c>
      <c r="D18" t="s">
        <v>180</v>
      </c>
      <c r="G18" s="3" t="s">
        <v>53</v>
      </c>
      <c r="K18" t="s">
        <v>55</v>
      </c>
      <c r="M18" t="s">
        <v>65</v>
      </c>
      <c r="P18" t="s">
        <v>67</v>
      </c>
      <c r="Z18">
        <f t="shared" si="35"/>
        <v>0</v>
      </c>
      <c r="AA18">
        <f t="shared" si="36"/>
        <v>0</v>
      </c>
      <c r="AE18">
        <f t="shared" si="37"/>
        <v>0</v>
      </c>
      <c r="AF18">
        <f t="shared" si="38"/>
        <v>0</v>
      </c>
      <c r="AG18">
        <f t="shared" si="39"/>
        <v>0</v>
      </c>
      <c r="AK18">
        <f t="shared" si="40"/>
        <v>0</v>
      </c>
      <c r="AL18">
        <f t="shared" si="41"/>
        <v>0</v>
      </c>
      <c r="AM18">
        <f t="shared" si="42"/>
        <v>0</v>
      </c>
      <c r="AN18">
        <f t="shared" si="43"/>
        <v>0</v>
      </c>
      <c r="AP18">
        <f t="shared" si="46"/>
        <v>0</v>
      </c>
      <c r="AQ18" s="4">
        <f t="shared" si="47"/>
        <v>0</v>
      </c>
      <c r="AR18" s="4">
        <f t="shared" si="44"/>
        <v>0</v>
      </c>
      <c r="AS18" s="4">
        <f t="shared" si="44"/>
        <v>0</v>
      </c>
      <c r="AT18" s="4">
        <f t="shared" si="44"/>
        <v>0</v>
      </c>
      <c r="AU18" s="4">
        <f t="shared" si="44"/>
        <v>0</v>
      </c>
      <c r="AV18" s="4">
        <f t="shared" si="44"/>
        <v>0</v>
      </c>
      <c r="AW18" s="4">
        <f t="shared" si="44"/>
        <v>0</v>
      </c>
      <c r="AX18" s="4">
        <f t="shared" si="44"/>
        <v>0</v>
      </c>
      <c r="AY18" s="4">
        <f t="shared" si="44"/>
        <v>0</v>
      </c>
      <c r="AZ18" s="4">
        <f t="shared" si="44"/>
        <v>0</v>
      </c>
      <c r="BA18" s="4">
        <f t="shared" si="44"/>
        <v>0</v>
      </c>
      <c r="BB18" s="4">
        <f t="shared" si="44"/>
        <v>0</v>
      </c>
      <c r="BC18" s="4">
        <f t="shared" si="44"/>
        <v>0</v>
      </c>
      <c r="BD18" s="4">
        <f t="shared" si="44"/>
        <v>0</v>
      </c>
      <c r="BE18" s="4">
        <f t="shared" si="44"/>
        <v>0</v>
      </c>
      <c r="BF18" s="4">
        <f t="shared" si="44"/>
        <v>0</v>
      </c>
      <c r="BG18" s="4">
        <f t="shared" si="44"/>
        <v>0</v>
      </c>
      <c r="BH18" s="4">
        <f t="shared" si="45"/>
        <v>0</v>
      </c>
      <c r="BI18" s="4">
        <f t="shared" si="45"/>
        <v>0</v>
      </c>
      <c r="BJ18" s="4">
        <f t="shared" si="45"/>
        <v>0</v>
      </c>
      <c r="BK18" s="4">
        <f t="shared" si="45"/>
        <v>0</v>
      </c>
      <c r="BL18" s="4">
        <f t="shared" si="45"/>
        <v>0</v>
      </c>
      <c r="BM18" s="4">
        <f t="shared" si="45"/>
        <v>0</v>
      </c>
      <c r="BN18" s="4">
        <f t="shared" si="45"/>
        <v>0</v>
      </c>
    </row>
    <row r="19" spans="1:66" x14ac:dyDescent="0.2">
      <c r="A19" t="s">
        <v>40</v>
      </c>
      <c r="B19" t="s">
        <v>22</v>
      </c>
      <c r="D19">
        <f>E16/D16</f>
        <v>0.8</v>
      </c>
      <c r="G19" t="s">
        <v>75</v>
      </c>
      <c r="K19">
        <f>O16/N16</f>
        <v>0.90384615384615385</v>
      </c>
      <c r="M19">
        <f>SUM(M39:M50)</f>
        <v>-4</v>
      </c>
      <c r="P19">
        <f>T16/S16</f>
        <v>0.75</v>
      </c>
      <c r="Z19">
        <f t="shared" si="35"/>
        <v>0</v>
      </c>
      <c r="AA19">
        <f t="shared" si="36"/>
        <v>0</v>
      </c>
      <c r="AE19">
        <f t="shared" si="37"/>
        <v>0</v>
      </c>
      <c r="AF19">
        <f t="shared" si="38"/>
        <v>0</v>
      </c>
      <c r="AG19">
        <f t="shared" si="39"/>
        <v>0</v>
      </c>
      <c r="AK19">
        <f t="shared" si="40"/>
        <v>0</v>
      </c>
      <c r="AL19">
        <f t="shared" si="41"/>
        <v>0</v>
      </c>
      <c r="AM19">
        <f t="shared" si="42"/>
        <v>0</v>
      </c>
      <c r="AN19">
        <f t="shared" si="43"/>
        <v>0</v>
      </c>
      <c r="AP19">
        <f t="shared" si="46"/>
        <v>0</v>
      </c>
      <c r="AQ19" s="4">
        <f t="shared" si="47"/>
        <v>0</v>
      </c>
      <c r="AR19" s="4">
        <f t="shared" si="44"/>
        <v>0</v>
      </c>
      <c r="AS19" s="4">
        <f t="shared" si="44"/>
        <v>0</v>
      </c>
      <c r="AT19" s="4">
        <f t="shared" si="44"/>
        <v>0</v>
      </c>
      <c r="AU19" s="4">
        <f t="shared" si="44"/>
        <v>0</v>
      </c>
      <c r="AV19" s="4">
        <f t="shared" si="44"/>
        <v>0</v>
      </c>
      <c r="AW19" s="4">
        <f t="shared" si="44"/>
        <v>0</v>
      </c>
      <c r="AX19" s="4">
        <f t="shared" si="44"/>
        <v>0</v>
      </c>
      <c r="AY19" s="4">
        <f t="shared" si="44"/>
        <v>0</v>
      </c>
      <c r="AZ19" s="4">
        <f t="shared" si="44"/>
        <v>0</v>
      </c>
      <c r="BA19" s="4">
        <f t="shared" si="44"/>
        <v>0</v>
      </c>
      <c r="BB19" s="4">
        <f t="shared" si="44"/>
        <v>0</v>
      </c>
      <c r="BC19" s="4">
        <f t="shared" si="44"/>
        <v>0</v>
      </c>
      <c r="BD19" s="4">
        <f t="shared" si="44"/>
        <v>0</v>
      </c>
      <c r="BE19" s="4">
        <f t="shared" si="44"/>
        <v>0</v>
      </c>
      <c r="BF19" s="4">
        <f t="shared" si="44"/>
        <v>0</v>
      </c>
      <c r="BG19" s="4">
        <f t="shared" si="44"/>
        <v>0</v>
      </c>
      <c r="BH19" s="4">
        <f t="shared" si="45"/>
        <v>0</v>
      </c>
      <c r="BI19" s="4">
        <f t="shared" si="45"/>
        <v>0</v>
      </c>
      <c r="BJ19" s="4">
        <f t="shared" si="45"/>
        <v>0</v>
      </c>
      <c r="BK19" s="4">
        <f t="shared" si="45"/>
        <v>0</v>
      </c>
      <c r="BL19" s="4">
        <f t="shared" si="45"/>
        <v>0</v>
      </c>
      <c r="BM19" s="4">
        <f t="shared" si="45"/>
        <v>0</v>
      </c>
      <c r="BN19" s="4">
        <f t="shared" si="45"/>
        <v>0</v>
      </c>
    </row>
    <row r="20" spans="1:66" x14ac:dyDescent="0.2">
      <c r="A20" t="s">
        <v>41</v>
      </c>
      <c r="B20" t="s">
        <v>23</v>
      </c>
      <c r="D20" t="s">
        <v>47</v>
      </c>
      <c r="G20">
        <f>AK28/AP28</f>
        <v>0.5</v>
      </c>
      <c r="K20" t="s">
        <v>13</v>
      </c>
      <c r="Z20">
        <f t="shared" si="35"/>
        <v>0</v>
      </c>
      <c r="AA20">
        <f t="shared" si="36"/>
        <v>0</v>
      </c>
      <c r="AE20">
        <f t="shared" si="37"/>
        <v>0</v>
      </c>
      <c r="AF20">
        <f t="shared" si="38"/>
        <v>0</v>
      </c>
      <c r="AG20">
        <f t="shared" si="39"/>
        <v>0</v>
      </c>
      <c r="AK20">
        <f t="shared" si="40"/>
        <v>0</v>
      </c>
      <c r="AL20">
        <f t="shared" si="41"/>
        <v>1</v>
      </c>
      <c r="AM20">
        <f t="shared" si="42"/>
        <v>0</v>
      </c>
      <c r="AN20">
        <f t="shared" si="43"/>
        <v>0</v>
      </c>
      <c r="AP20">
        <f t="shared" si="46"/>
        <v>1</v>
      </c>
      <c r="AQ20" s="4">
        <f t="shared" si="47"/>
        <v>1</v>
      </c>
      <c r="AR20" s="4">
        <f t="shared" si="44"/>
        <v>0</v>
      </c>
      <c r="AS20" s="4">
        <f t="shared" si="44"/>
        <v>0</v>
      </c>
      <c r="AT20" s="4">
        <f t="shared" si="44"/>
        <v>0</v>
      </c>
      <c r="AU20" s="4">
        <f t="shared" si="44"/>
        <v>0</v>
      </c>
      <c r="AV20" s="4">
        <f t="shared" si="44"/>
        <v>0</v>
      </c>
      <c r="AW20" s="4">
        <f t="shared" si="44"/>
        <v>0</v>
      </c>
      <c r="AX20" s="4">
        <f t="shared" si="44"/>
        <v>0</v>
      </c>
      <c r="AY20" s="4">
        <f t="shared" si="44"/>
        <v>0</v>
      </c>
      <c r="AZ20" s="4">
        <f t="shared" si="44"/>
        <v>0</v>
      </c>
      <c r="BA20" s="4">
        <f t="shared" si="44"/>
        <v>0</v>
      </c>
      <c r="BB20" s="4">
        <f t="shared" si="44"/>
        <v>0</v>
      </c>
      <c r="BC20" s="4">
        <f t="shared" si="44"/>
        <v>0</v>
      </c>
      <c r="BD20" s="4">
        <f t="shared" si="44"/>
        <v>0</v>
      </c>
      <c r="BE20" s="4">
        <f t="shared" si="44"/>
        <v>0</v>
      </c>
      <c r="BF20" s="4">
        <f t="shared" si="44"/>
        <v>0</v>
      </c>
      <c r="BG20" s="4">
        <f t="shared" si="44"/>
        <v>0</v>
      </c>
      <c r="BH20" s="4">
        <f t="shared" si="45"/>
        <v>0</v>
      </c>
      <c r="BI20" s="4">
        <f t="shared" si="45"/>
        <v>0</v>
      </c>
      <c r="BJ20" s="4">
        <f t="shared" si="45"/>
        <v>0</v>
      </c>
      <c r="BK20" s="4">
        <f t="shared" si="45"/>
        <v>0</v>
      </c>
      <c r="BL20" s="4">
        <f t="shared" si="45"/>
        <v>0</v>
      </c>
      <c r="BM20" s="4">
        <f t="shared" si="45"/>
        <v>0</v>
      </c>
      <c r="BN20" s="4">
        <f t="shared" si="45"/>
        <v>0</v>
      </c>
    </row>
    <row r="21" spans="1:66" x14ac:dyDescent="0.2">
      <c r="A21" s="1" t="s">
        <v>24</v>
      </c>
      <c r="D21">
        <f>G16/A31</f>
        <v>5</v>
      </c>
      <c r="G21" t="s">
        <v>76</v>
      </c>
      <c r="K21" t="s">
        <v>57</v>
      </c>
      <c r="L21" t="s">
        <v>58</v>
      </c>
      <c r="M21" t="s">
        <v>59</v>
      </c>
      <c r="N21" t="s">
        <v>60</v>
      </c>
      <c r="Z21">
        <f t="shared" si="35"/>
        <v>1</v>
      </c>
      <c r="AA21">
        <f t="shared" si="36"/>
        <v>0</v>
      </c>
      <c r="AE21">
        <f t="shared" si="37"/>
        <v>0</v>
      </c>
      <c r="AF21">
        <f t="shared" si="38"/>
        <v>0</v>
      </c>
      <c r="AG21">
        <f t="shared" si="39"/>
        <v>0</v>
      </c>
      <c r="AK21">
        <f t="shared" si="40"/>
        <v>0</v>
      </c>
      <c r="AL21">
        <f t="shared" si="41"/>
        <v>0</v>
      </c>
      <c r="AM21">
        <f t="shared" si="42"/>
        <v>0</v>
      </c>
      <c r="AN21">
        <f t="shared" si="43"/>
        <v>0</v>
      </c>
      <c r="AP21">
        <f t="shared" si="46"/>
        <v>0</v>
      </c>
      <c r="AQ21" s="4">
        <f t="shared" si="47"/>
        <v>0</v>
      </c>
      <c r="AR21" s="4">
        <f t="shared" si="44"/>
        <v>0</v>
      </c>
      <c r="AS21" s="4">
        <f t="shared" si="44"/>
        <v>0</v>
      </c>
      <c r="AT21" s="4">
        <f t="shared" si="44"/>
        <v>0</v>
      </c>
      <c r="AU21" s="4">
        <f t="shared" si="44"/>
        <v>0</v>
      </c>
      <c r="AV21" s="4">
        <f t="shared" si="44"/>
        <v>0</v>
      </c>
      <c r="AW21" s="4">
        <f t="shared" si="44"/>
        <v>0</v>
      </c>
      <c r="AX21" s="4">
        <f t="shared" si="44"/>
        <v>0</v>
      </c>
      <c r="AY21" s="4">
        <f t="shared" si="44"/>
        <v>0</v>
      </c>
      <c r="AZ21" s="4">
        <f t="shared" si="44"/>
        <v>0</v>
      </c>
      <c r="BA21" s="4">
        <f t="shared" si="44"/>
        <v>0</v>
      </c>
      <c r="BB21" s="4">
        <f t="shared" si="44"/>
        <v>0</v>
      </c>
      <c r="BC21" s="4">
        <f t="shared" si="44"/>
        <v>0</v>
      </c>
      <c r="BD21" s="4">
        <f t="shared" si="44"/>
        <v>0</v>
      </c>
      <c r="BE21" s="4">
        <f t="shared" si="44"/>
        <v>0</v>
      </c>
      <c r="BF21" s="4">
        <f t="shared" si="44"/>
        <v>0</v>
      </c>
      <c r="BG21" s="4">
        <f t="shared" si="44"/>
        <v>0</v>
      </c>
      <c r="BH21" s="4">
        <f t="shared" si="45"/>
        <v>0</v>
      </c>
      <c r="BI21" s="4">
        <f t="shared" si="45"/>
        <v>0</v>
      </c>
      <c r="BJ21" s="4">
        <f t="shared" si="45"/>
        <v>0</v>
      </c>
      <c r="BK21" s="4">
        <f t="shared" si="45"/>
        <v>0</v>
      </c>
      <c r="BL21" s="4">
        <f t="shared" si="45"/>
        <v>0</v>
      </c>
      <c r="BM21" s="4">
        <f t="shared" si="45"/>
        <v>0</v>
      </c>
      <c r="BN21" s="4">
        <f t="shared" si="45"/>
        <v>0</v>
      </c>
    </row>
    <row r="22" spans="1:66" x14ac:dyDescent="0.2">
      <c r="A22" t="s">
        <v>36</v>
      </c>
      <c r="B22" t="s">
        <v>10</v>
      </c>
      <c r="D22" t="s">
        <v>48</v>
      </c>
      <c r="G22">
        <f>AL28/AP28</f>
        <v>1</v>
      </c>
      <c r="K22">
        <f>AVERAGE(C39:C50)</f>
        <v>3.9166666666666665</v>
      </c>
      <c r="L22">
        <f>MEDIAN(C39:C50)</f>
        <v>4</v>
      </c>
      <c r="M22">
        <f>MAX(C39:C50)</f>
        <v>6</v>
      </c>
      <c r="N22">
        <f>_xlfn.STDEV.S(C39:C50)</f>
        <v>0.99620491989562143</v>
      </c>
      <c r="Z22">
        <f t="shared" si="35"/>
        <v>0</v>
      </c>
      <c r="AA22">
        <f t="shared" si="36"/>
        <v>1</v>
      </c>
      <c r="AE22">
        <f t="shared" si="37"/>
        <v>0</v>
      </c>
      <c r="AF22">
        <f t="shared" si="38"/>
        <v>0</v>
      </c>
      <c r="AG22">
        <f t="shared" si="39"/>
        <v>0</v>
      </c>
      <c r="AK22">
        <f t="shared" si="40"/>
        <v>0</v>
      </c>
      <c r="AL22">
        <f t="shared" si="41"/>
        <v>0</v>
      </c>
      <c r="AM22">
        <f t="shared" si="42"/>
        <v>0</v>
      </c>
      <c r="AN22">
        <f t="shared" si="43"/>
        <v>0</v>
      </c>
      <c r="AP22">
        <f t="shared" si="46"/>
        <v>0</v>
      </c>
      <c r="AQ22" s="4">
        <f t="shared" si="47"/>
        <v>0</v>
      </c>
      <c r="AR22" s="4">
        <f t="shared" si="44"/>
        <v>0</v>
      </c>
      <c r="AS22" s="4">
        <f t="shared" si="44"/>
        <v>0</v>
      </c>
      <c r="AT22" s="4">
        <f t="shared" si="44"/>
        <v>0</v>
      </c>
      <c r="AU22" s="4">
        <f t="shared" si="44"/>
        <v>0</v>
      </c>
      <c r="AV22" s="4">
        <f t="shared" si="44"/>
        <v>0</v>
      </c>
      <c r="AW22" s="4">
        <f t="shared" si="44"/>
        <v>0</v>
      </c>
      <c r="AX22" s="4">
        <f t="shared" si="44"/>
        <v>0</v>
      </c>
      <c r="AY22" s="4">
        <f t="shared" si="44"/>
        <v>0</v>
      </c>
      <c r="AZ22" s="4">
        <f t="shared" si="44"/>
        <v>0</v>
      </c>
      <c r="BA22" s="4">
        <f t="shared" si="44"/>
        <v>0</v>
      </c>
      <c r="BB22" s="4">
        <f t="shared" si="44"/>
        <v>0</v>
      </c>
      <c r="BC22" s="4">
        <f t="shared" si="44"/>
        <v>0</v>
      </c>
      <c r="BD22" s="4">
        <f t="shared" si="44"/>
        <v>0</v>
      </c>
      <c r="BE22" s="4">
        <f t="shared" si="44"/>
        <v>0</v>
      </c>
      <c r="BF22" s="4">
        <f t="shared" si="44"/>
        <v>0</v>
      </c>
      <c r="BG22" s="4">
        <f t="shared" si="44"/>
        <v>0</v>
      </c>
      <c r="BH22" s="4">
        <f t="shared" si="45"/>
        <v>0</v>
      </c>
      <c r="BI22" s="4">
        <f t="shared" si="45"/>
        <v>0</v>
      </c>
      <c r="BJ22" s="4">
        <f t="shared" si="45"/>
        <v>0</v>
      </c>
      <c r="BK22" s="4">
        <f t="shared" si="45"/>
        <v>0</v>
      </c>
      <c r="BL22" s="4">
        <f t="shared" si="45"/>
        <v>0</v>
      </c>
      <c r="BM22" s="4">
        <f t="shared" si="45"/>
        <v>0</v>
      </c>
      <c r="BN22" s="4">
        <f t="shared" si="45"/>
        <v>0</v>
      </c>
    </row>
    <row r="23" spans="1:66" x14ac:dyDescent="0.2">
      <c r="A23" t="s">
        <v>37</v>
      </c>
      <c r="B23" t="s">
        <v>25</v>
      </c>
      <c r="D23">
        <f>H16/A31</f>
        <v>0</v>
      </c>
      <c r="G23" t="s">
        <v>77</v>
      </c>
      <c r="K23" t="s">
        <v>8</v>
      </c>
      <c r="Z23">
        <f t="shared" si="35"/>
        <v>1</v>
      </c>
      <c r="AA23">
        <f t="shared" si="36"/>
        <v>0</v>
      </c>
      <c r="AE23">
        <f t="shared" si="37"/>
        <v>0</v>
      </c>
      <c r="AF23">
        <f t="shared" si="38"/>
        <v>0</v>
      </c>
      <c r="AG23">
        <f t="shared" si="39"/>
        <v>0</v>
      </c>
      <c r="AK23">
        <f t="shared" si="40"/>
        <v>0</v>
      </c>
      <c r="AL23">
        <f t="shared" si="41"/>
        <v>0</v>
      </c>
      <c r="AM23">
        <f t="shared" si="42"/>
        <v>0</v>
      </c>
      <c r="AN23">
        <f t="shared" si="43"/>
        <v>0</v>
      </c>
      <c r="AP23">
        <f t="shared" si="46"/>
        <v>0</v>
      </c>
      <c r="AQ23" s="4">
        <f t="shared" si="47"/>
        <v>0</v>
      </c>
      <c r="AR23" s="4">
        <f t="shared" si="44"/>
        <v>0</v>
      </c>
      <c r="AS23" s="4">
        <f t="shared" si="44"/>
        <v>0</v>
      </c>
      <c r="AT23" s="4">
        <f t="shared" si="44"/>
        <v>0</v>
      </c>
      <c r="AU23" s="4">
        <f t="shared" si="44"/>
        <v>0</v>
      </c>
      <c r="AV23" s="4">
        <f t="shared" si="44"/>
        <v>0</v>
      </c>
      <c r="AW23" s="4">
        <f t="shared" si="44"/>
        <v>0</v>
      </c>
      <c r="AX23" s="4">
        <f t="shared" si="44"/>
        <v>0</v>
      </c>
      <c r="AY23" s="4">
        <f t="shared" si="44"/>
        <v>0</v>
      </c>
      <c r="AZ23" s="4">
        <f t="shared" si="44"/>
        <v>0</v>
      </c>
      <c r="BA23" s="4">
        <f t="shared" si="44"/>
        <v>0</v>
      </c>
      <c r="BB23" s="4">
        <f t="shared" si="44"/>
        <v>0</v>
      </c>
      <c r="BC23" s="4">
        <f t="shared" si="44"/>
        <v>0</v>
      </c>
      <c r="BD23" s="4">
        <f t="shared" si="44"/>
        <v>0</v>
      </c>
      <c r="BE23" s="4">
        <f t="shared" si="44"/>
        <v>0</v>
      </c>
      <c r="BF23" s="4">
        <f t="shared" si="44"/>
        <v>0</v>
      </c>
      <c r="BG23" s="4">
        <f t="shared" si="44"/>
        <v>0</v>
      </c>
      <c r="BH23" s="4">
        <f t="shared" si="45"/>
        <v>0</v>
      </c>
      <c r="BI23" s="4">
        <f t="shared" si="45"/>
        <v>0</v>
      </c>
      <c r="BJ23" s="4">
        <f t="shared" si="45"/>
        <v>0</v>
      </c>
      <c r="BK23" s="4">
        <f t="shared" si="45"/>
        <v>0</v>
      </c>
      <c r="BL23" s="4">
        <f t="shared" si="45"/>
        <v>0</v>
      </c>
      <c r="BM23" s="4">
        <f t="shared" si="45"/>
        <v>0</v>
      </c>
      <c r="BN23" s="4">
        <f t="shared" si="45"/>
        <v>0</v>
      </c>
    </row>
    <row r="24" spans="1:66" x14ac:dyDescent="0.2">
      <c r="A24" t="s">
        <v>38</v>
      </c>
      <c r="B24" t="s">
        <v>26</v>
      </c>
      <c r="D24" t="s">
        <v>50</v>
      </c>
      <c r="G24">
        <f>AM28/AP28</f>
        <v>0</v>
      </c>
      <c r="K24" t="s">
        <v>57</v>
      </c>
      <c r="L24" t="s">
        <v>61</v>
      </c>
      <c r="M24" t="s">
        <v>59</v>
      </c>
      <c r="N24" t="s">
        <v>60</v>
      </c>
      <c r="Z24">
        <f t="shared" si="35"/>
        <v>0</v>
      </c>
      <c r="AA24">
        <f t="shared" si="36"/>
        <v>0</v>
      </c>
      <c r="AE24">
        <f t="shared" si="37"/>
        <v>0</v>
      </c>
      <c r="AF24">
        <f t="shared" si="38"/>
        <v>1</v>
      </c>
      <c r="AG24">
        <f t="shared" si="39"/>
        <v>0</v>
      </c>
      <c r="AK24">
        <f t="shared" si="40"/>
        <v>0</v>
      </c>
      <c r="AL24">
        <f t="shared" si="41"/>
        <v>0</v>
      </c>
      <c r="AM24">
        <f t="shared" si="42"/>
        <v>0</v>
      </c>
      <c r="AN24">
        <f t="shared" si="43"/>
        <v>0</v>
      </c>
      <c r="AP24">
        <f t="shared" si="46"/>
        <v>0</v>
      </c>
      <c r="AQ24" s="4">
        <f t="shared" si="47"/>
        <v>0</v>
      </c>
      <c r="AR24" s="4">
        <f t="shared" si="44"/>
        <v>0</v>
      </c>
      <c r="AS24" s="4">
        <f t="shared" si="44"/>
        <v>0</v>
      </c>
      <c r="AT24" s="4">
        <f t="shared" si="44"/>
        <v>0</v>
      </c>
      <c r="AU24" s="4">
        <f t="shared" si="44"/>
        <v>0</v>
      </c>
      <c r="AV24" s="4">
        <f t="shared" si="44"/>
        <v>0</v>
      </c>
      <c r="AW24" s="4">
        <f t="shared" si="44"/>
        <v>0</v>
      </c>
      <c r="AX24" s="4">
        <f t="shared" si="44"/>
        <v>0</v>
      </c>
      <c r="AY24" s="4">
        <f t="shared" si="44"/>
        <v>0</v>
      </c>
      <c r="AZ24" s="4">
        <f t="shared" si="44"/>
        <v>0</v>
      </c>
      <c r="BA24" s="4">
        <f t="shared" si="44"/>
        <v>0</v>
      </c>
      <c r="BB24" s="4">
        <f t="shared" si="44"/>
        <v>0</v>
      </c>
      <c r="BC24" s="4">
        <f t="shared" si="44"/>
        <v>0</v>
      </c>
      <c r="BD24" s="4">
        <f t="shared" si="44"/>
        <v>0</v>
      </c>
      <c r="BE24" s="4">
        <f t="shared" si="44"/>
        <v>0</v>
      </c>
      <c r="BF24" s="4">
        <f t="shared" si="44"/>
        <v>0</v>
      </c>
      <c r="BG24" s="4">
        <f t="shared" si="44"/>
        <v>0</v>
      </c>
      <c r="BH24" s="4">
        <f t="shared" si="45"/>
        <v>0</v>
      </c>
      <c r="BI24" s="4">
        <f t="shared" si="45"/>
        <v>0</v>
      </c>
      <c r="BJ24" s="4">
        <f t="shared" si="45"/>
        <v>0</v>
      </c>
      <c r="BK24" s="4">
        <f t="shared" si="45"/>
        <v>0</v>
      </c>
      <c r="BL24" s="4">
        <f t="shared" si="45"/>
        <v>0</v>
      </c>
      <c r="BM24" s="4">
        <f t="shared" si="45"/>
        <v>0</v>
      </c>
      <c r="BN24" s="4">
        <f t="shared" si="45"/>
        <v>0</v>
      </c>
    </row>
    <row r="25" spans="1:66" x14ac:dyDescent="0.2">
      <c r="A25" t="s">
        <v>39</v>
      </c>
      <c r="B25" t="s">
        <v>27</v>
      </c>
      <c r="D25">
        <f>Z28/A31</f>
        <v>0.33333333333333331</v>
      </c>
      <c r="G25" t="s">
        <v>78</v>
      </c>
      <c r="K25">
        <f>AVERAGE(E39:E50)</f>
        <v>0</v>
      </c>
      <c r="L25">
        <f>MEDIAN(E39:E50)</f>
        <v>0</v>
      </c>
      <c r="M25">
        <f>MAX(E39:E50)</f>
        <v>0</v>
      </c>
      <c r="N25">
        <f>_xlfn.STDEV.S(E39:E50)</f>
        <v>0</v>
      </c>
      <c r="Z25">
        <f t="shared" si="35"/>
        <v>0</v>
      </c>
      <c r="AA25">
        <f t="shared" si="36"/>
        <v>0</v>
      </c>
      <c r="AE25">
        <f t="shared" si="37"/>
        <v>0</v>
      </c>
      <c r="AF25">
        <f t="shared" si="38"/>
        <v>1</v>
      </c>
      <c r="AG25">
        <f t="shared" si="39"/>
        <v>0</v>
      </c>
      <c r="AK25">
        <f t="shared" si="40"/>
        <v>0</v>
      </c>
      <c r="AL25">
        <f t="shared" si="41"/>
        <v>0</v>
      </c>
      <c r="AM25">
        <f t="shared" si="42"/>
        <v>0</v>
      </c>
      <c r="AN25">
        <f t="shared" si="43"/>
        <v>0</v>
      </c>
      <c r="AP25">
        <f t="shared" si="46"/>
        <v>0</v>
      </c>
      <c r="AQ25" s="4">
        <f t="shared" si="47"/>
        <v>0</v>
      </c>
      <c r="AR25" s="4">
        <f t="shared" si="44"/>
        <v>0</v>
      </c>
      <c r="AS25" s="4">
        <f t="shared" si="44"/>
        <v>0</v>
      </c>
      <c r="AT25" s="4">
        <f t="shared" si="44"/>
        <v>0</v>
      </c>
      <c r="AU25" s="4">
        <f t="shared" si="44"/>
        <v>0</v>
      </c>
      <c r="AV25" s="4">
        <f t="shared" si="44"/>
        <v>0</v>
      </c>
      <c r="AW25" s="4">
        <f t="shared" si="44"/>
        <v>0</v>
      </c>
      <c r="AX25" s="4">
        <f t="shared" si="44"/>
        <v>0</v>
      </c>
      <c r="AY25" s="4">
        <f t="shared" si="44"/>
        <v>0</v>
      </c>
      <c r="AZ25" s="4">
        <f t="shared" si="44"/>
        <v>0</v>
      </c>
      <c r="BA25" s="4">
        <f t="shared" si="44"/>
        <v>0</v>
      </c>
      <c r="BB25" s="4">
        <f t="shared" si="44"/>
        <v>0</v>
      </c>
      <c r="BC25" s="4">
        <f t="shared" si="44"/>
        <v>0</v>
      </c>
      <c r="BD25" s="4">
        <f t="shared" si="44"/>
        <v>0</v>
      </c>
      <c r="BE25" s="4">
        <f t="shared" si="44"/>
        <v>0</v>
      </c>
      <c r="BF25" s="4">
        <f t="shared" si="44"/>
        <v>0</v>
      </c>
      <c r="BG25" s="4">
        <f t="shared" si="44"/>
        <v>0</v>
      </c>
      <c r="BH25" s="4">
        <f t="shared" si="45"/>
        <v>0</v>
      </c>
      <c r="BI25" s="4">
        <f t="shared" si="45"/>
        <v>0</v>
      </c>
      <c r="BJ25" s="4">
        <f t="shared" si="45"/>
        <v>0</v>
      </c>
      <c r="BK25" s="4">
        <f t="shared" si="45"/>
        <v>0</v>
      </c>
      <c r="BL25" s="4">
        <f t="shared" si="45"/>
        <v>0</v>
      </c>
      <c r="BM25" s="4">
        <f t="shared" si="45"/>
        <v>0</v>
      </c>
      <c r="BN25" s="4">
        <f t="shared" si="45"/>
        <v>0</v>
      </c>
    </row>
    <row r="26" spans="1:66" x14ac:dyDescent="0.2">
      <c r="A26" t="s">
        <v>44</v>
      </c>
      <c r="D26" t="s">
        <v>51</v>
      </c>
      <c r="G26">
        <f>AN28/AP28</f>
        <v>0</v>
      </c>
      <c r="K26" t="s">
        <v>62</v>
      </c>
      <c r="P26" t="s">
        <v>19</v>
      </c>
      <c r="Z26">
        <f t="shared" si="35"/>
        <v>1</v>
      </c>
      <c r="AA26">
        <f t="shared" si="36"/>
        <v>0</v>
      </c>
      <c r="AE26">
        <f t="shared" si="37"/>
        <v>0</v>
      </c>
      <c r="AF26">
        <f t="shared" si="38"/>
        <v>1</v>
      </c>
      <c r="AG26">
        <f t="shared" si="39"/>
        <v>0</v>
      </c>
      <c r="AK26">
        <f t="shared" si="40"/>
        <v>1</v>
      </c>
      <c r="AL26">
        <f t="shared" si="41"/>
        <v>1</v>
      </c>
      <c r="AM26">
        <f t="shared" si="42"/>
        <v>0</v>
      </c>
      <c r="AN26">
        <f t="shared" si="43"/>
        <v>0</v>
      </c>
      <c r="AP26">
        <f t="shared" si="46"/>
        <v>1</v>
      </c>
      <c r="AQ26" s="4">
        <f t="shared" si="47"/>
        <v>1</v>
      </c>
      <c r="AR26" s="4">
        <f t="shared" si="44"/>
        <v>1</v>
      </c>
      <c r="AS26" s="4">
        <f t="shared" si="44"/>
        <v>0</v>
      </c>
      <c r="AT26" s="4">
        <f t="shared" si="44"/>
        <v>0</v>
      </c>
      <c r="AU26" s="4">
        <f t="shared" si="44"/>
        <v>0</v>
      </c>
      <c r="AV26" s="4">
        <f t="shared" si="44"/>
        <v>0</v>
      </c>
      <c r="AW26" s="4">
        <f t="shared" si="44"/>
        <v>0</v>
      </c>
      <c r="AX26" s="4">
        <f t="shared" si="44"/>
        <v>0</v>
      </c>
      <c r="AY26" s="4">
        <f t="shared" si="44"/>
        <v>0</v>
      </c>
      <c r="AZ26" s="4">
        <f t="shared" si="44"/>
        <v>0</v>
      </c>
      <c r="BA26" s="4">
        <f t="shared" si="44"/>
        <v>0</v>
      </c>
      <c r="BB26" s="4">
        <f t="shared" si="44"/>
        <v>0</v>
      </c>
      <c r="BC26" s="4">
        <f t="shared" si="44"/>
        <v>0</v>
      </c>
      <c r="BD26" s="4">
        <f t="shared" si="44"/>
        <v>0</v>
      </c>
      <c r="BE26" s="4">
        <f t="shared" si="44"/>
        <v>0</v>
      </c>
      <c r="BF26" s="4">
        <f t="shared" si="44"/>
        <v>0</v>
      </c>
      <c r="BG26" s="4">
        <f t="shared" si="44"/>
        <v>0</v>
      </c>
      <c r="BH26" s="4">
        <f t="shared" si="45"/>
        <v>0</v>
      </c>
      <c r="BI26" s="4">
        <f t="shared" si="45"/>
        <v>0</v>
      </c>
      <c r="BJ26" s="4">
        <f t="shared" si="45"/>
        <v>0</v>
      </c>
      <c r="BK26" s="4">
        <f t="shared" si="45"/>
        <v>0</v>
      </c>
      <c r="BL26" s="4">
        <f t="shared" si="45"/>
        <v>0</v>
      </c>
      <c r="BM26" s="4">
        <f t="shared" si="45"/>
        <v>0</v>
      </c>
      <c r="BN26" s="4">
        <f t="shared" si="45"/>
        <v>0</v>
      </c>
    </row>
    <row r="27" spans="1:66" x14ac:dyDescent="0.2">
      <c r="A27" t="s">
        <v>45</v>
      </c>
      <c r="D27">
        <f>AA28/A31</f>
        <v>8.3333333333333329E-2</v>
      </c>
      <c r="G27" t="s">
        <v>56</v>
      </c>
      <c r="K27" t="s">
        <v>57</v>
      </c>
      <c r="L27" t="s">
        <v>58</v>
      </c>
      <c r="M27" t="s">
        <v>59</v>
      </c>
      <c r="N27" t="s">
        <v>60</v>
      </c>
      <c r="P27" t="s">
        <v>57</v>
      </c>
      <c r="Q27" t="s">
        <v>58</v>
      </c>
      <c r="R27" t="s">
        <v>59</v>
      </c>
      <c r="S27" t="s">
        <v>60</v>
      </c>
      <c r="Z27">
        <f t="shared" si="35"/>
        <v>1</v>
      </c>
      <c r="AA27">
        <f t="shared" si="36"/>
        <v>0</v>
      </c>
      <c r="AE27">
        <f t="shared" si="37"/>
        <v>0</v>
      </c>
      <c r="AF27">
        <f t="shared" si="38"/>
        <v>0</v>
      </c>
      <c r="AG27">
        <f t="shared" si="39"/>
        <v>0</v>
      </c>
      <c r="AK27">
        <f t="shared" si="40"/>
        <v>0</v>
      </c>
      <c r="AL27">
        <f t="shared" si="41"/>
        <v>0</v>
      </c>
      <c r="AM27">
        <f t="shared" si="42"/>
        <v>0</v>
      </c>
      <c r="AN27">
        <f t="shared" si="43"/>
        <v>0</v>
      </c>
      <c r="AP27">
        <f t="shared" si="46"/>
        <v>0</v>
      </c>
      <c r="AQ27" s="4">
        <f t="shared" si="47"/>
        <v>0</v>
      </c>
      <c r="AR27" s="4">
        <f t="shared" si="44"/>
        <v>0</v>
      </c>
      <c r="AS27" s="4">
        <f t="shared" si="44"/>
        <v>0</v>
      </c>
      <c r="AT27" s="4">
        <f t="shared" si="44"/>
        <v>0</v>
      </c>
      <c r="AU27" s="4">
        <f t="shared" si="44"/>
        <v>0</v>
      </c>
      <c r="AV27" s="4">
        <f t="shared" si="44"/>
        <v>0</v>
      </c>
      <c r="AW27" s="4">
        <f t="shared" si="44"/>
        <v>0</v>
      </c>
      <c r="AX27" s="4">
        <f t="shared" si="44"/>
        <v>0</v>
      </c>
      <c r="AY27" s="4">
        <f t="shared" si="44"/>
        <v>0</v>
      </c>
      <c r="AZ27" s="4">
        <f t="shared" si="44"/>
        <v>0</v>
      </c>
      <c r="BA27" s="4">
        <f t="shared" si="44"/>
        <v>0</v>
      </c>
      <c r="BB27" s="4">
        <f t="shared" si="44"/>
        <v>0</v>
      </c>
      <c r="BC27" s="4">
        <f t="shared" si="44"/>
        <v>0</v>
      </c>
      <c r="BD27" s="4">
        <f t="shared" si="44"/>
        <v>0</v>
      </c>
      <c r="BE27" s="4">
        <f t="shared" si="44"/>
        <v>0</v>
      </c>
      <c r="BF27" s="4">
        <f t="shared" si="44"/>
        <v>0</v>
      </c>
      <c r="BG27" s="4">
        <f t="shared" si="44"/>
        <v>0</v>
      </c>
      <c r="BH27" s="4">
        <f t="shared" si="45"/>
        <v>0</v>
      </c>
      <c r="BI27" s="4">
        <f t="shared" si="45"/>
        <v>0</v>
      </c>
      <c r="BJ27" s="4">
        <f t="shared" si="45"/>
        <v>0</v>
      </c>
      <c r="BK27" s="4">
        <f t="shared" si="45"/>
        <v>0</v>
      </c>
      <c r="BL27" s="4">
        <f t="shared" si="45"/>
        <v>0</v>
      </c>
      <c r="BM27" s="4">
        <f t="shared" si="45"/>
        <v>0</v>
      </c>
      <c r="BN27" s="4">
        <f t="shared" si="45"/>
        <v>0</v>
      </c>
    </row>
    <row r="28" spans="1:66" x14ac:dyDescent="0.2">
      <c r="A28" t="s">
        <v>46</v>
      </c>
      <c r="D28" t="s">
        <v>202</v>
      </c>
      <c r="G28" t="s">
        <v>57</v>
      </c>
      <c r="H28" t="s">
        <v>58</v>
      </c>
      <c r="I28" t="s">
        <v>59</v>
      </c>
      <c r="J28" t="s">
        <v>60</v>
      </c>
      <c r="K28">
        <f>AVERAGE(G39:G50)</f>
        <v>0.25</v>
      </c>
      <c r="L28">
        <f>MEDIAN(G39:G50)</f>
        <v>0</v>
      </c>
      <c r="M28">
        <f>MAX(G39:G50)</f>
        <v>1</v>
      </c>
      <c r="N28">
        <f>_xlfn.STDEV.S(G39:G50)</f>
        <v>0.45226701686664544</v>
      </c>
      <c r="P28">
        <f>AVERAGE(N39:N50)</f>
        <v>5.25</v>
      </c>
      <c r="Q28">
        <f>MEDIAN(N39:N50)</f>
        <v>3</v>
      </c>
      <c r="R28">
        <f>MAX(N39:N50)</f>
        <v>17</v>
      </c>
      <c r="S28">
        <f>_xlfn.STDEV.S(N39:N50)</f>
        <v>6.0621778264910704</v>
      </c>
      <c r="Y28" t="s">
        <v>33</v>
      </c>
      <c r="Z28">
        <f>SUM(Z16:Z27)</f>
        <v>4</v>
      </c>
      <c r="AA28">
        <f>SUM(AA16:AA27)</f>
        <v>1</v>
      </c>
      <c r="AE28">
        <f>SUM(AE16:AE27)</f>
        <v>1</v>
      </c>
      <c r="AF28">
        <f>SUM(AF16:AF27)</f>
        <v>3</v>
      </c>
      <c r="AG28">
        <f>SUM(AG16:AG27)</f>
        <v>0</v>
      </c>
      <c r="AK28">
        <f>SUM(AK16:AK27)</f>
        <v>1</v>
      </c>
      <c r="AL28">
        <f>SUM(AL16:AL27)</f>
        <v>2</v>
      </c>
      <c r="AM28">
        <f>SUM(AM16:AM27)</f>
        <v>0</v>
      </c>
      <c r="AN28">
        <f>SUM(AN16:AN27)</f>
        <v>0</v>
      </c>
      <c r="AP28">
        <f>SUM(AP16:AP27)</f>
        <v>2</v>
      </c>
    </row>
    <row r="29" spans="1:66" x14ac:dyDescent="0.2">
      <c r="D29" t="e">
        <f>SUM(O39:O50)/F16</f>
        <v>#DIV/0!</v>
      </c>
      <c r="G29">
        <f>AVERAGE(A39:A50)</f>
        <v>0.33333333333333331</v>
      </c>
      <c r="H29">
        <f>MEDIAN(A39:A50)</f>
        <v>0</v>
      </c>
      <c r="I29">
        <f>MAX(A39:A50)</f>
        <v>1</v>
      </c>
      <c r="J29">
        <f>_xlfn.STDEV.S(A39:A50)</f>
        <v>0.49236596391733095</v>
      </c>
      <c r="K29" t="s">
        <v>63</v>
      </c>
      <c r="P29" t="s">
        <v>148</v>
      </c>
    </row>
    <row r="30" spans="1:66" x14ac:dyDescent="0.2">
      <c r="A30" t="s">
        <v>147</v>
      </c>
      <c r="D30" t="s">
        <v>203</v>
      </c>
      <c r="G30" t="s">
        <v>50</v>
      </c>
      <c r="H30" t="s">
        <v>51</v>
      </c>
      <c r="I30" t="s">
        <v>89</v>
      </c>
      <c r="K30" t="s">
        <v>57</v>
      </c>
      <c r="L30" t="s">
        <v>58</v>
      </c>
      <c r="M30" t="s">
        <v>59</v>
      </c>
      <c r="N30" t="s">
        <v>60</v>
      </c>
      <c r="P30" t="s">
        <v>57</v>
      </c>
      <c r="Q30" t="s">
        <v>58</v>
      </c>
      <c r="R30" t="s">
        <v>59</v>
      </c>
      <c r="S30" t="s">
        <v>60</v>
      </c>
      <c r="W30" t="s">
        <v>148</v>
      </c>
      <c r="Y30" t="s">
        <v>149</v>
      </c>
      <c r="AH30" t="s">
        <v>79</v>
      </c>
    </row>
    <row r="31" spans="1:66" x14ac:dyDescent="0.2">
      <c r="A31">
        <f>COUNT(B4:B15)</f>
        <v>12</v>
      </c>
      <c r="D31" s="2">
        <f>SUM(S39:S50)/SUM(Q39:Q50)</f>
        <v>0.8</v>
      </c>
      <c r="G31">
        <f>AE28/A31</f>
        <v>8.3333333333333329E-2</v>
      </c>
      <c r="H31">
        <f>AF28/A31</f>
        <v>0.25</v>
      </c>
      <c r="I31">
        <f>AG28/A31</f>
        <v>0</v>
      </c>
      <c r="K31" t="e">
        <f>AVERAGE(I39:I50)</f>
        <v>#DIV/0!</v>
      </c>
      <c r="L31" t="e">
        <f>MEDIAN(I39:I50)</f>
        <v>#NUM!</v>
      </c>
      <c r="M31">
        <f>MAX(I39:I50)</f>
        <v>0</v>
      </c>
      <c r="N31" t="e">
        <f>_xlfn.STDEV.S(I39:I50)</f>
        <v>#DIV/0!</v>
      </c>
      <c r="P31">
        <f>AVERAGE(W31:W42)</f>
        <v>6.5</v>
      </c>
      <c r="Q31">
        <f>MEDIAN(W31:W42)</f>
        <v>5</v>
      </c>
      <c r="R31">
        <f>MAX(W31:W42)</f>
        <v>17</v>
      </c>
      <c r="S31">
        <f>_xlfn.STDEV.S(W31:W42)</f>
        <v>6.5027466724234522</v>
      </c>
      <c r="W31">
        <f t="shared" ref="W31:W33" si="48">IF(AND(ISBLANK(Q4), ISBLANK(R4), ISBLANK(G4), ISBLANK(H4)), "", U4)</f>
        <v>2</v>
      </c>
      <c r="Y31">
        <f t="shared" ref="Y31:Y42" si="49">IF(ISBLANK(Y4), IF(X4 = 0, "", (G4 + H4/3 + V4/9 + W4/3)), U4)</f>
        <v>2</v>
      </c>
      <c r="AH31" t="s">
        <v>80</v>
      </c>
    </row>
    <row r="32" spans="1:66" x14ac:dyDescent="0.2">
      <c r="D32" s="3"/>
      <c r="K32" t="s">
        <v>64</v>
      </c>
      <c r="P32" t="s">
        <v>149</v>
      </c>
      <c r="W32" t="str">
        <f t="shared" si="48"/>
        <v/>
      </c>
      <c r="Y32" t="str">
        <f t="shared" si="49"/>
        <v/>
      </c>
      <c r="AH32" t="s">
        <v>81</v>
      </c>
    </row>
    <row r="33" spans="1:34" x14ac:dyDescent="0.2">
      <c r="D33" s="3"/>
      <c r="K33" t="s">
        <v>57</v>
      </c>
      <c r="L33" t="s">
        <v>58</v>
      </c>
      <c r="M33" t="s">
        <v>59</v>
      </c>
      <c r="N33" t="s">
        <v>60</v>
      </c>
      <c r="P33" t="s">
        <v>57</v>
      </c>
      <c r="Q33" t="s">
        <v>58</v>
      </c>
      <c r="R33" t="s">
        <v>59</v>
      </c>
      <c r="S33" t="s">
        <v>60</v>
      </c>
      <c r="W33" t="str">
        <f t="shared" si="48"/>
        <v/>
      </c>
      <c r="Y33" t="str">
        <f t="shared" si="49"/>
        <v/>
      </c>
      <c r="AH33" t="s">
        <v>82</v>
      </c>
    </row>
    <row r="34" spans="1:34" x14ac:dyDescent="0.2">
      <c r="D34" s="3"/>
      <c r="K34">
        <f>AVERAGE(K39:K50)</f>
        <v>0.25</v>
      </c>
      <c r="L34">
        <f>MEDIAN(K39:K50)</f>
        <v>0</v>
      </c>
      <c r="M34">
        <f>MAX(K39:K50)</f>
        <v>1</v>
      </c>
      <c r="N34">
        <f>_xlfn.STDEV.S(K39:K50)</f>
        <v>0.45226701686664544</v>
      </c>
      <c r="P34">
        <f>AVERAGE(Y31:Y42)</f>
        <v>7.875</v>
      </c>
      <c r="Q34">
        <f>MEDIAN(Y31:Y42)</f>
        <v>5</v>
      </c>
      <c r="R34">
        <f>MAX(Y31:Y42)</f>
        <v>26</v>
      </c>
      <c r="S34">
        <f>_xlfn.STDEV.S(Y31:Y42)</f>
        <v>9.1719681639220703</v>
      </c>
      <c r="W34" t="str">
        <f>IF(AND(ISBLANK(Q7), ISBLANK(R7), ISBLANK(G7), ISBLANK(H7)), "", U7)</f>
        <v/>
      </c>
      <c r="Y34" t="str">
        <f t="shared" si="49"/>
        <v/>
      </c>
      <c r="AH34" t="s">
        <v>83</v>
      </c>
    </row>
    <row r="35" spans="1:34" x14ac:dyDescent="0.2">
      <c r="P35" t="s">
        <v>95</v>
      </c>
      <c r="R35" t="s">
        <v>197</v>
      </c>
      <c r="W35">
        <f t="shared" ref="W35:W42" si="50">IF(AND(ISBLANK(Q8), ISBLANK(R8), ISBLANK(G8), ISBLANK(H8)), "", U8)</f>
        <v>0</v>
      </c>
      <c r="Y35">
        <f t="shared" si="49"/>
        <v>0</v>
      </c>
    </row>
    <row r="36" spans="1:34" x14ac:dyDescent="0.2">
      <c r="P36">
        <f>Q16/(Q16+R16)</f>
        <v>0</v>
      </c>
      <c r="R36">
        <f>R16/(Q16+R16)</f>
        <v>1</v>
      </c>
      <c r="W36">
        <f t="shared" si="50"/>
        <v>17</v>
      </c>
      <c r="Y36">
        <f t="shared" si="49"/>
        <v>17</v>
      </c>
    </row>
    <row r="37" spans="1:34" x14ac:dyDescent="0.2">
      <c r="W37">
        <f t="shared" si="50"/>
        <v>6</v>
      </c>
      <c r="Y37">
        <f t="shared" si="49"/>
        <v>6</v>
      </c>
    </row>
    <row r="38" spans="1:34" x14ac:dyDescent="0.2">
      <c r="A38" t="s">
        <v>68</v>
      </c>
      <c r="C38" t="s">
        <v>69</v>
      </c>
      <c r="E38" t="s">
        <v>72</v>
      </c>
      <c r="G38" t="s">
        <v>250</v>
      </c>
      <c r="K38" t="s">
        <v>73</v>
      </c>
      <c r="M38" t="s">
        <v>70</v>
      </c>
      <c r="N38" t="s">
        <v>71</v>
      </c>
      <c r="O38" t="s">
        <v>199</v>
      </c>
      <c r="Q38" t="s">
        <v>200</v>
      </c>
      <c r="S38" t="s">
        <v>201</v>
      </c>
      <c r="W38">
        <f t="shared" si="50"/>
        <v>15</v>
      </c>
      <c r="Y38">
        <f t="shared" si="49"/>
        <v>8</v>
      </c>
    </row>
    <row r="39" spans="1:34" x14ac:dyDescent="0.2">
      <c r="A39">
        <f t="shared" ref="A39:A50" si="51">IF(ISBLANK(B4), "", SUM(AE16+AF16+AG16))</f>
        <v>1</v>
      </c>
      <c r="C39">
        <f t="shared" ref="C39:C50" si="52">IF(ISBLANK(B4), "", O4)</f>
        <v>3</v>
      </c>
      <c r="E39">
        <f t="shared" ref="E39:E50" si="53">IF(ISBLANK(B4), "", Q4)</f>
        <v>0</v>
      </c>
      <c r="G39">
        <f t="shared" ref="G39:G50" si="54">IF(ISBLANK(B4), "", R4)</f>
        <v>1</v>
      </c>
      <c r="K39">
        <f t="shared" ref="K39:K50" si="55">IF(ISBLANK(B4), "", SUM(Q4 + R4))</f>
        <v>1</v>
      </c>
      <c r="M39">
        <f t="shared" ref="M39:M50" si="56">IF(ISBLANK(B4), "", SUM(K4+M4) - O4)</f>
        <v>-1</v>
      </c>
      <c r="N39">
        <f t="shared" ref="N39:N50" si="57">IF(ISBLANK(B4), "", U4)</f>
        <v>2</v>
      </c>
      <c r="O39">
        <f t="shared" ref="O39:O50" si="58">COUNTIF(E4, "1")*COUNTIF(F4, "1")</f>
        <v>0</v>
      </c>
      <c r="Q39">
        <f t="shared" ref="Q39:Q50" si="59">COUNTIF(D4, "1")*COUNTIF(F4, "")</f>
        <v>0</v>
      </c>
      <c r="S39">
        <f t="shared" ref="S39:S50" si="60">COUNTIF(E4, "1")*COUNTIF(F4, "")</f>
        <v>0</v>
      </c>
      <c r="W39" t="str">
        <f t="shared" si="50"/>
        <v/>
      </c>
      <c r="Y39" t="str">
        <f t="shared" si="49"/>
        <v/>
      </c>
    </row>
    <row r="40" spans="1:34" x14ac:dyDescent="0.2">
      <c r="A40">
        <f t="shared" si="51"/>
        <v>0</v>
      </c>
      <c r="C40">
        <f t="shared" si="52"/>
        <v>3</v>
      </c>
      <c r="E40">
        <f t="shared" si="53"/>
        <v>0</v>
      </c>
      <c r="G40">
        <f t="shared" si="54"/>
        <v>0</v>
      </c>
      <c r="K40">
        <f t="shared" si="55"/>
        <v>0</v>
      </c>
      <c r="M40">
        <f t="shared" si="56"/>
        <v>-3</v>
      </c>
      <c r="N40">
        <f t="shared" si="57"/>
        <v>0</v>
      </c>
      <c r="O40">
        <f t="shared" si="58"/>
        <v>0</v>
      </c>
      <c r="Q40">
        <f t="shared" si="59"/>
        <v>1</v>
      </c>
      <c r="S40">
        <f t="shared" si="60"/>
        <v>1</v>
      </c>
      <c r="W40">
        <f t="shared" si="50"/>
        <v>4</v>
      </c>
      <c r="Y40">
        <f t="shared" si="49"/>
        <v>4</v>
      </c>
    </row>
    <row r="41" spans="1:34" x14ac:dyDescent="0.2">
      <c r="A41">
        <f t="shared" si="51"/>
        <v>0</v>
      </c>
      <c r="C41">
        <f t="shared" si="52"/>
        <v>3</v>
      </c>
      <c r="E41">
        <f t="shared" si="53"/>
        <v>0</v>
      </c>
      <c r="G41">
        <f t="shared" si="54"/>
        <v>0</v>
      </c>
      <c r="K41">
        <f t="shared" si="55"/>
        <v>0</v>
      </c>
      <c r="M41">
        <f t="shared" si="56"/>
        <v>0</v>
      </c>
      <c r="N41">
        <f t="shared" si="57"/>
        <v>1</v>
      </c>
      <c r="O41">
        <f t="shared" si="58"/>
        <v>0</v>
      </c>
      <c r="Q41">
        <f t="shared" si="59"/>
        <v>1</v>
      </c>
      <c r="S41">
        <f t="shared" si="60"/>
        <v>1</v>
      </c>
      <c r="W41">
        <f t="shared" si="50"/>
        <v>8</v>
      </c>
      <c r="Y41">
        <f t="shared" si="49"/>
        <v>0</v>
      </c>
    </row>
    <row r="42" spans="1:34" x14ac:dyDescent="0.2">
      <c r="A42">
        <f t="shared" si="51"/>
        <v>0</v>
      </c>
      <c r="C42">
        <f t="shared" si="52"/>
        <v>5</v>
      </c>
      <c r="E42">
        <f t="shared" si="53"/>
        <v>0</v>
      </c>
      <c r="G42">
        <f t="shared" si="54"/>
        <v>0</v>
      </c>
      <c r="K42">
        <f t="shared" si="55"/>
        <v>0</v>
      </c>
      <c r="M42">
        <f t="shared" si="56"/>
        <v>0</v>
      </c>
      <c r="N42">
        <f t="shared" si="57"/>
        <v>0</v>
      </c>
      <c r="O42">
        <f t="shared" si="58"/>
        <v>0</v>
      </c>
      <c r="Q42">
        <f t="shared" si="59"/>
        <v>1</v>
      </c>
      <c r="S42">
        <f t="shared" si="60"/>
        <v>1</v>
      </c>
      <c r="W42">
        <f t="shared" si="50"/>
        <v>0</v>
      </c>
      <c r="Y42">
        <f t="shared" si="49"/>
        <v>26</v>
      </c>
    </row>
    <row r="43" spans="1:34" x14ac:dyDescent="0.2">
      <c r="A43">
        <f t="shared" si="51"/>
        <v>0</v>
      </c>
      <c r="C43">
        <f t="shared" si="52"/>
        <v>3</v>
      </c>
      <c r="E43">
        <f t="shared" si="53"/>
        <v>0</v>
      </c>
      <c r="G43">
        <f t="shared" si="54"/>
        <v>1</v>
      </c>
      <c r="K43">
        <f t="shared" si="55"/>
        <v>1</v>
      </c>
      <c r="M43">
        <f t="shared" si="56"/>
        <v>1</v>
      </c>
      <c r="N43">
        <f t="shared" si="57"/>
        <v>0</v>
      </c>
      <c r="O43">
        <f t="shared" si="58"/>
        <v>0</v>
      </c>
      <c r="Q43">
        <f t="shared" si="59"/>
        <v>1</v>
      </c>
      <c r="S43">
        <f t="shared" si="60"/>
        <v>0</v>
      </c>
    </row>
    <row r="44" spans="1:34" x14ac:dyDescent="0.2">
      <c r="A44">
        <f t="shared" si="51"/>
        <v>0</v>
      </c>
      <c r="C44">
        <f t="shared" si="52"/>
        <v>6</v>
      </c>
      <c r="E44">
        <f t="shared" si="53"/>
        <v>0</v>
      </c>
      <c r="G44">
        <f t="shared" si="54"/>
        <v>0</v>
      </c>
      <c r="K44">
        <f t="shared" si="55"/>
        <v>0</v>
      </c>
      <c r="M44">
        <f t="shared" si="56"/>
        <v>-1</v>
      </c>
      <c r="N44">
        <f t="shared" si="57"/>
        <v>17</v>
      </c>
      <c r="O44">
        <f t="shared" si="58"/>
        <v>0</v>
      </c>
      <c r="Q44">
        <f t="shared" si="59"/>
        <v>0</v>
      </c>
      <c r="S44">
        <f t="shared" si="60"/>
        <v>0</v>
      </c>
    </row>
    <row r="45" spans="1:34" x14ac:dyDescent="0.2">
      <c r="A45">
        <f t="shared" si="51"/>
        <v>0</v>
      </c>
      <c r="C45">
        <f t="shared" si="52"/>
        <v>4</v>
      </c>
      <c r="E45">
        <f t="shared" si="53"/>
        <v>0</v>
      </c>
      <c r="G45">
        <f t="shared" si="54"/>
        <v>0</v>
      </c>
      <c r="K45">
        <f t="shared" si="55"/>
        <v>0</v>
      </c>
      <c r="M45">
        <f t="shared" si="56"/>
        <v>0</v>
      </c>
      <c r="N45">
        <f t="shared" si="57"/>
        <v>6</v>
      </c>
      <c r="O45">
        <f t="shared" si="58"/>
        <v>0</v>
      </c>
      <c r="Q45">
        <f t="shared" si="59"/>
        <v>0</v>
      </c>
      <c r="S45">
        <f t="shared" si="60"/>
        <v>0</v>
      </c>
    </row>
    <row r="46" spans="1:34" x14ac:dyDescent="0.2">
      <c r="A46">
        <f t="shared" si="51"/>
        <v>0</v>
      </c>
      <c r="C46">
        <f t="shared" si="52"/>
        <v>3</v>
      </c>
      <c r="E46">
        <f t="shared" si="53"/>
        <v>0</v>
      </c>
      <c r="G46">
        <f t="shared" si="54"/>
        <v>0</v>
      </c>
      <c r="K46">
        <f t="shared" si="55"/>
        <v>0</v>
      </c>
      <c r="M46">
        <f t="shared" si="56"/>
        <v>1</v>
      </c>
      <c r="N46">
        <f t="shared" si="57"/>
        <v>15</v>
      </c>
      <c r="O46">
        <f t="shared" si="58"/>
        <v>0</v>
      </c>
      <c r="Q46">
        <f t="shared" si="59"/>
        <v>0</v>
      </c>
      <c r="S46">
        <f t="shared" si="60"/>
        <v>0</v>
      </c>
    </row>
    <row r="47" spans="1:34" x14ac:dyDescent="0.2">
      <c r="A47">
        <f t="shared" si="51"/>
        <v>1</v>
      </c>
      <c r="C47">
        <f t="shared" si="52"/>
        <v>4</v>
      </c>
      <c r="E47">
        <f t="shared" si="53"/>
        <v>0</v>
      </c>
      <c r="G47">
        <f t="shared" si="54"/>
        <v>0</v>
      </c>
      <c r="K47">
        <f t="shared" si="55"/>
        <v>0</v>
      </c>
      <c r="M47">
        <f t="shared" si="56"/>
        <v>0</v>
      </c>
      <c r="N47">
        <f t="shared" si="57"/>
        <v>10</v>
      </c>
      <c r="O47">
        <f t="shared" si="58"/>
        <v>0</v>
      </c>
      <c r="Q47">
        <f t="shared" si="59"/>
        <v>1</v>
      </c>
      <c r="S47">
        <f t="shared" si="60"/>
        <v>1</v>
      </c>
    </row>
    <row r="48" spans="1:34" x14ac:dyDescent="0.2">
      <c r="A48">
        <f t="shared" si="51"/>
        <v>1</v>
      </c>
      <c r="C48">
        <f t="shared" si="52"/>
        <v>4</v>
      </c>
      <c r="E48">
        <f t="shared" si="53"/>
        <v>0</v>
      </c>
      <c r="G48">
        <f t="shared" si="54"/>
        <v>0</v>
      </c>
      <c r="K48">
        <f t="shared" si="55"/>
        <v>0</v>
      </c>
      <c r="M48">
        <f t="shared" si="56"/>
        <v>-1</v>
      </c>
      <c r="N48">
        <f t="shared" si="57"/>
        <v>4</v>
      </c>
      <c r="O48">
        <f t="shared" si="58"/>
        <v>0</v>
      </c>
      <c r="Q48">
        <f t="shared" si="59"/>
        <v>0</v>
      </c>
      <c r="S48">
        <f t="shared" si="60"/>
        <v>0</v>
      </c>
    </row>
    <row r="49" spans="1:19" x14ac:dyDescent="0.2">
      <c r="A49">
        <f t="shared" si="51"/>
        <v>1</v>
      </c>
      <c r="C49">
        <f t="shared" si="52"/>
        <v>5</v>
      </c>
      <c r="E49">
        <f t="shared" si="53"/>
        <v>0</v>
      </c>
      <c r="G49">
        <f t="shared" si="54"/>
        <v>1</v>
      </c>
      <c r="K49">
        <f t="shared" si="55"/>
        <v>1</v>
      </c>
      <c r="M49">
        <f t="shared" si="56"/>
        <v>-1</v>
      </c>
      <c r="N49">
        <f t="shared" si="57"/>
        <v>8</v>
      </c>
      <c r="O49">
        <f t="shared" si="58"/>
        <v>0</v>
      </c>
      <c r="Q49">
        <f t="shared" si="59"/>
        <v>0</v>
      </c>
      <c r="S49">
        <f t="shared" si="60"/>
        <v>0</v>
      </c>
    </row>
    <row r="50" spans="1:19" x14ac:dyDescent="0.2">
      <c r="A50">
        <f t="shared" si="51"/>
        <v>0</v>
      </c>
      <c r="C50">
        <f t="shared" si="52"/>
        <v>4</v>
      </c>
      <c r="E50">
        <f t="shared" si="53"/>
        <v>0</v>
      </c>
      <c r="G50">
        <f t="shared" si="54"/>
        <v>0</v>
      </c>
      <c r="K50">
        <f t="shared" si="55"/>
        <v>0</v>
      </c>
      <c r="M50">
        <f t="shared" si="56"/>
        <v>1</v>
      </c>
      <c r="N50">
        <f t="shared" si="57"/>
        <v>0</v>
      </c>
      <c r="O50">
        <f t="shared" si="58"/>
        <v>0</v>
      </c>
      <c r="Q50">
        <f t="shared" si="59"/>
        <v>0</v>
      </c>
      <c r="S50">
        <f t="shared" si="60"/>
        <v>0</v>
      </c>
    </row>
  </sheetData>
  <pageMargins left="0.7" right="0.7" top="0.75" bottom="0.75" header="0.3" footer="0.3"/>
  <legacy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 enableFormatConditionsCalculation="0"/>
  <dimension ref="A1:BN50"/>
  <sheetViews>
    <sheetView workbookViewId="0">
      <selection activeCell="T15" sqref="T15"/>
    </sheetView>
  </sheetViews>
  <sheetFormatPr baseColWidth="10" defaultRowHeight="15" x14ac:dyDescent="0.2"/>
  <sheetData>
    <row r="1" spans="1:66" x14ac:dyDescent="0.2">
      <c r="A1" s="1" t="s">
        <v>0</v>
      </c>
      <c r="D1" t="s">
        <v>3</v>
      </c>
      <c r="K1" t="s">
        <v>11</v>
      </c>
      <c r="N1" t="s">
        <v>12</v>
      </c>
      <c r="P1" t="s">
        <v>14</v>
      </c>
      <c r="Q1" t="s">
        <v>17</v>
      </c>
      <c r="S1" t="s">
        <v>18</v>
      </c>
      <c r="Z1" t="s">
        <v>29</v>
      </c>
      <c r="AE1" t="s">
        <v>30</v>
      </c>
      <c r="AK1" t="s">
        <v>42</v>
      </c>
    </row>
    <row r="2" spans="1:66" x14ac:dyDescent="0.2">
      <c r="A2" t="s">
        <v>1</v>
      </c>
      <c r="B2" t="s">
        <v>1</v>
      </c>
      <c r="C2" t="s">
        <v>87</v>
      </c>
      <c r="D2" t="s">
        <v>54</v>
      </c>
      <c r="E2" t="s">
        <v>13</v>
      </c>
      <c r="F2" t="s">
        <v>198</v>
      </c>
      <c r="G2" t="s">
        <v>7</v>
      </c>
      <c r="H2" t="s">
        <v>8</v>
      </c>
      <c r="I2" t="s">
        <v>179</v>
      </c>
      <c r="J2" t="s">
        <v>178</v>
      </c>
      <c r="K2" t="s">
        <v>9</v>
      </c>
      <c r="L2" t="s">
        <v>196</v>
      </c>
      <c r="M2" t="s">
        <v>10</v>
      </c>
      <c r="N2" t="s">
        <v>54</v>
      </c>
      <c r="O2" t="s">
        <v>13</v>
      </c>
      <c r="P2" t="s">
        <v>15</v>
      </c>
      <c r="Q2" t="s">
        <v>8</v>
      </c>
      <c r="R2" t="s">
        <v>7</v>
      </c>
      <c r="S2" t="s">
        <v>181</v>
      </c>
      <c r="T2" t="s">
        <v>182</v>
      </c>
      <c r="U2" t="s">
        <v>19</v>
      </c>
      <c r="V2" t="s">
        <v>191</v>
      </c>
      <c r="W2" t="s">
        <v>192</v>
      </c>
      <c r="X2" t="s">
        <v>175</v>
      </c>
      <c r="Y2" t="s">
        <v>173</v>
      </c>
      <c r="Z2" t="str">
        <f t="shared" ref="Z2:Z13" si="0">LEFT(I4, 1)</f>
        <v/>
      </c>
      <c r="AA2" t="str">
        <f t="shared" ref="AA2:AA13" si="1">MID(I4, 4, 1)</f>
        <v/>
      </c>
      <c r="AB2" t="str">
        <f t="shared" ref="AB2:AB13" si="2">MID(I4, 7, 1)</f>
        <v/>
      </c>
      <c r="AC2" t="str">
        <f t="shared" ref="AC2:AC13" si="3">MID(I4, 10, 1)</f>
        <v/>
      </c>
      <c r="AE2" t="str">
        <f t="shared" ref="AE2:AE13" si="4">LEFT(J4, 1)</f>
        <v/>
      </c>
      <c r="AF2" t="str">
        <f t="shared" ref="AF2:AF13" si="5">MID(J4, 4, 1)</f>
        <v/>
      </c>
      <c r="AG2" t="str">
        <f t="shared" ref="AG2:AG13" si="6">MID(J4, 7, 1)</f>
        <v/>
      </c>
      <c r="AH2" t="str">
        <f t="shared" ref="AH2:AH13" si="7">MID(J4, 10, 1)</f>
        <v/>
      </c>
      <c r="AI2" t="str">
        <f t="shared" ref="AI2:AI13" si="8">MID(J4, 13, 1)</f>
        <v/>
      </c>
      <c r="AK2" t="str">
        <f t="shared" ref="AK2:AK13" si="9">LEFT(P4, 2)</f>
        <v/>
      </c>
      <c r="AL2" t="str">
        <f>MID($P4, 5, 2)</f>
        <v/>
      </c>
      <c r="AM2" t="str">
        <f t="shared" ref="AM2:AM13" si="10">MID($P4, 9, 2)</f>
        <v/>
      </c>
      <c r="AN2" t="str">
        <f t="shared" ref="AN2:AN13" si="11">MID($P4, 13, 2)</f>
        <v/>
      </c>
      <c r="AO2" t="str">
        <f t="shared" ref="AO2:AO13" si="12">MID($P4, 17, 2)</f>
        <v/>
      </c>
      <c r="AP2" t="str">
        <f t="shared" ref="AP2:AP13" si="13">MID($P4, 21, 2)</f>
        <v/>
      </c>
      <c r="AQ2" t="str">
        <f t="shared" ref="AQ2:AQ13" si="14">MID($P4, 25, 2)</f>
        <v/>
      </c>
      <c r="AR2" t="str">
        <f t="shared" ref="AR2:AR13" si="15">MID($P4, 29, 2)</f>
        <v/>
      </c>
      <c r="AS2" t="str">
        <f t="shared" ref="AS2:AS13" si="16">MID($P4, 33, 2)</f>
        <v/>
      </c>
      <c r="AT2" t="str">
        <f t="shared" ref="AT2:AT13" si="17">MID($P4, 37, 2)</f>
        <v/>
      </c>
      <c r="AU2" t="str">
        <f t="shared" ref="AU2:AU13" si="18">MID($P4, 41, 2)</f>
        <v/>
      </c>
      <c r="AV2" t="str">
        <f t="shared" ref="AV2:AV13" si="19">MID($P4, 45, 2)</f>
        <v/>
      </c>
      <c r="AW2" t="str">
        <f t="shared" ref="AW2:AW13" si="20">MID($P4, 49, 2)</f>
        <v/>
      </c>
      <c r="AX2" t="str">
        <f t="shared" ref="AX2:AX13" si="21">MID($P4, 53, 2)</f>
        <v/>
      </c>
      <c r="AY2" t="str">
        <f t="shared" ref="AY2:AY13" si="22">MID($P4, 57, 2)</f>
        <v/>
      </c>
      <c r="AZ2" t="str">
        <f t="shared" ref="AZ2:AZ13" si="23">MID($P4, 61, 2)</f>
        <v/>
      </c>
      <c r="BA2" t="str">
        <f t="shared" ref="BA2:BA13" si="24">MID($P4, 65, 2)</f>
        <v/>
      </c>
      <c r="BB2" t="str">
        <f t="shared" ref="BB2:BB13" si="25">MID($P4, 69, 2)</f>
        <v/>
      </c>
      <c r="BC2" t="str">
        <f t="shared" ref="BC2:BC13" si="26">MID($P4, 73, 2)</f>
        <v/>
      </c>
      <c r="BD2" t="str">
        <f t="shared" ref="BD2:BD13" si="27">MID($P4, 77, 2)</f>
        <v/>
      </c>
      <c r="BE2" t="str">
        <f t="shared" ref="BE2:BE13" si="28">MID($P4, 81, 2)</f>
        <v/>
      </c>
      <c r="BF2" t="str">
        <f t="shared" ref="BF2:BF13" si="29">MID($P4, 85, 2)</f>
        <v/>
      </c>
      <c r="BG2" t="str">
        <f t="shared" ref="BG2:BG13" si="30">MID($P4, 89, 2)</f>
        <v/>
      </c>
      <c r="BH2" t="str">
        <f t="shared" ref="BH2:BH13" si="31">MID($P4, 93, 2)</f>
        <v/>
      </c>
    </row>
    <row r="3" spans="1:66" x14ac:dyDescent="0.2">
      <c r="A3" t="s">
        <v>2</v>
      </c>
      <c r="B3" t="s">
        <v>6</v>
      </c>
      <c r="C3" t="s">
        <v>88</v>
      </c>
      <c r="D3" t="s">
        <v>6</v>
      </c>
      <c r="E3" t="s">
        <v>6</v>
      </c>
      <c r="F3" t="s">
        <v>4</v>
      </c>
      <c r="G3" t="s">
        <v>6</v>
      </c>
      <c r="H3" t="s">
        <v>6</v>
      </c>
      <c r="I3" t="s">
        <v>86</v>
      </c>
      <c r="J3" t="s">
        <v>86</v>
      </c>
      <c r="K3" t="s">
        <v>6</v>
      </c>
      <c r="L3" t="s">
        <v>6</v>
      </c>
      <c r="M3" t="s">
        <v>6</v>
      </c>
      <c r="N3" t="s">
        <v>6</v>
      </c>
      <c r="O3" t="s">
        <v>6</v>
      </c>
      <c r="P3" t="s">
        <v>16</v>
      </c>
      <c r="Q3" t="s">
        <v>6</v>
      </c>
      <c r="R3" t="s">
        <v>6</v>
      </c>
      <c r="S3" t="s">
        <v>4</v>
      </c>
      <c r="T3" t="s">
        <v>4</v>
      </c>
      <c r="U3" t="s">
        <v>6</v>
      </c>
      <c r="V3" t="s">
        <v>6</v>
      </c>
      <c r="W3" t="s">
        <v>6</v>
      </c>
      <c r="X3" t="s">
        <v>6</v>
      </c>
      <c r="Y3" t="s">
        <v>174</v>
      </c>
      <c r="Z3" t="str">
        <f t="shared" si="0"/>
        <v/>
      </c>
      <c r="AA3" t="str">
        <f t="shared" si="1"/>
        <v/>
      </c>
      <c r="AB3" t="str">
        <f t="shared" si="2"/>
        <v/>
      </c>
      <c r="AC3" t="str">
        <f t="shared" si="3"/>
        <v/>
      </c>
      <c r="AE3" t="str">
        <f t="shared" si="4"/>
        <v/>
      </c>
      <c r="AF3" t="str">
        <f t="shared" si="5"/>
        <v/>
      </c>
      <c r="AG3" t="str">
        <f t="shared" si="6"/>
        <v/>
      </c>
      <c r="AH3" t="str">
        <f t="shared" si="7"/>
        <v/>
      </c>
      <c r="AI3" t="str">
        <f t="shared" si="8"/>
        <v/>
      </c>
      <c r="AK3" t="str">
        <f t="shared" si="9"/>
        <v/>
      </c>
      <c r="AL3" t="str">
        <f t="shared" ref="AL3:AL13" si="32">MID(P5, 5, 2)</f>
        <v/>
      </c>
      <c r="AM3" t="str">
        <f t="shared" si="10"/>
        <v/>
      </c>
      <c r="AN3" t="str">
        <f t="shared" si="11"/>
        <v/>
      </c>
      <c r="AO3" t="str">
        <f t="shared" si="12"/>
        <v/>
      </c>
      <c r="AP3" t="str">
        <f t="shared" si="13"/>
        <v/>
      </c>
      <c r="AQ3" t="str">
        <f t="shared" si="14"/>
        <v/>
      </c>
      <c r="AR3" t="str">
        <f t="shared" si="15"/>
        <v/>
      </c>
      <c r="AS3" t="str">
        <f t="shared" si="16"/>
        <v/>
      </c>
      <c r="AT3" t="str">
        <f t="shared" si="17"/>
        <v/>
      </c>
      <c r="AU3" t="str">
        <f t="shared" si="18"/>
        <v/>
      </c>
      <c r="AV3" t="str">
        <f t="shared" si="19"/>
        <v/>
      </c>
      <c r="AW3" t="str">
        <f t="shared" si="20"/>
        <v/>
      </c>
      <c r="AX3" t="str">
        <f t="shared" si="21"/>
        <v/>
      </c>
      <c r="AY3" t="str">
        <f t="shared" si="22"/>
        <v/>
      </c>
      <c r="AZ3" t="str">
        <f t="shared" si="23"/>
        <v/>
      </c>
      <c r="BA3" t="str">
        <f t="shared" si="24"/>
        <v/>
      </c>
      <c r="BB3" t="str">
        <f t="shared" si="25"/>
        <v/>
      </c>
      <c r="BC3" t="str">
        <f t="shared" si="26"/>
        <v/>
      </c>
      <c r="BD3" t="str">
        <f t="shared" si="27"/>
        <v/>
      </c>
      <c r="BE3" t="str">
        <f t="shared" si="28"/>
        <v/>
      </c>
      <c r="BF3" t="str">
        <f t="shared" si="29"/>
        <v/>
      </c>
      <c r="BG3" t="str">
        <f t="shared" si="30"/>
        <v/>
      </c>
      <c r="BH3" t="str">
        <f t="shared" si="31"/>
        <v/>
      </c>
    </row>
    <row r="4" spans="1:66" x14ac:dyDescent="0.2">
      <c r="A4">
        <v>1</v>
      </c>
      <c r="B4">
        <v>1</v>
      </c>
      <c r="C4" t="s">
        <v>39</v>
      </c>
      <c r="D4">
        <v>1</v>
      </c>
      <c r="K4">
        <v>3</v>
      </c>
      <c r="N4">
        <v>4</v>
      </c>
      <c r="O4">
        <v>4</v>
      </c>
      <c r="S4">
        <v>1</v>
      </c>
      <c r="X4">
        <f t="shared" ref="X4:X15" si="33">G4+H4+Q4+R4</f>
        <v>0</v>
      </c>
      <c r="Z4" t="str">
        <f t="shared" si="0"/>
        <v/>
      </c>
      <c r="AA4" t="str">
        <f t="shared" si="1"/>
        <v/>
      </c>
      <c r="AB4" t="str">
        <f t="shared" si="2"/>
        <v/>
      </c>
      <c r="AC4" t="str">
        <f t="shared" si="3"/>
        <v/>
      </c>
      <c r="AE4" t="str">
        <f t="shared" si="4"/>
        <v>2</v>
      </c>
      <c r="AF4" t="str">
        <f t="shared" si="5"/>
        <v/>
      </c>
      <c r="AG4" t="str">
        <f t="shared" si="6"/>
        <v/>
      </c>
      <c r="AH4" t="str">
        <f t="shared" si="7"/>
        <v/>
      </c>
      <c r="AI4" t="str">
        <f t="shared" si="8"/>
        <v/>
      </c>
      <c r="AK4" t="str">
        <f t="shared" si="9"/>
        <v/>
      </c>
      <c r="AL4" t="str">
        <f t="shared" si="32"/>
        <v/>
      </c>
      <c r="AM4" t="str">
        <f t="shared" si="10"/>
        <v/>
      </c>
      <c r="AN4" t="str">
        <f t="shared" si="11"/>
        <v/>
      </c>
      <c r="AO4" t="str">
        <f t="shared" si="12"/>
        <v/>
      </c>
      <c r="AP4" t="str">
        <f t="shared" si="13"/>
        <v/>
      </c>
      <c r="AQ4" t="str">
        <f t="shared" si="14"/>
        <v/>
      </c>
      <c r="AR4" t="str">
        <f t="shared" si="15"/>
        <v/>
      </c>
      <c r="AS4" t="str">
        <f t="shared" si="16"/>
        <v/>
      </c>
      <c r="AT4" t="str">
        <f t="shared" si="17"/>
        <v/>
      </c>
      <c r="AU4" t="str">
        <f t="shared" si="18"/>
        <v/>
      </c>
      <c r="AV4" t="str">
        <f t="shared" si="19"/>
        <v/>
      </c>
      <c r="AW4" t="str">
        <f t="shared" si="20"/>
        <v/>
      </c>
      <c r="AX4" t="str">
        <f t="shared" si="21"/>
        <v/>
      </c>
      <c r="AY4" t="str">
        <f t="shared" si="22"/>
        <v/>
      </c>
      <c r="AZ4" t="str">
        <f t="shared" si="23"/>
        <v/>
      </c>
      <c r="BA4" t="str">
        <f t="shared" si="24"/>
        <v/>
      </c>
      <c r="BB4" t="str">
        <f t="shared" si="25"/>
        <v/>
      </c>
      <c r="BC4" t="str">
        <f t="shared" si="26"/>
        <v/>
      </c>
      <c r="BD4" t="str">
        <f t="shared" si="27"/>
        <v/>
      </c>
      <c r="BE4" t="str">
        <f t="shared" si="28"/>
        <v/>
      </c>
      <c r="BF4" t="str">
        <f t="shared" si="29"/>
        <v/>
      </c>
      <c r="BG4" t="str">
        <f t="shared" si="30"/>
        <v/>
      </c>
      <c r="BH4" t="str">
        <f t="shared" si="31"/>
        <v/>
      </c>
    </row>
    <row r="5" spans="1:66" x14ac:dyDescent="0.2">
      <c r="A5">
        <v>2</v>
      </c>
      <c r="B5">
        <v>12</v>
      </c>
      <c r="C5" t="s">
        <v>39</v>
      </c>
      <c r="K5">
        <v>2</v>
      </c>
      <c r="N5">
        <v>3</v>
      </c>
      <c r="O5">
        <v>3</v>
      </c>
      <c r="S5">
        <v>1</v>
      </c>
      <c r="T5">
        <v>1</v>
      </c>
      <c r="X5">
        <f t="shared" si="33"/>
        <v>0</v>
      </c>
      <c r="Z5" t="str">
        <f t="shared" si="0"/>
        <v/>
      </c>
      <c r="AA5" t="str">
        <f t="shared" si="1"/>
        <v/>
      </c>
      <c r="AB5" t="str">
        <f t="shared" si="2"/>
        <v/>
      </c>
      <c r="AC5" t="str">
        <f t="shared" si="3"/>
        <v/>
      </c>
      <c r="AE5" t="str">
        <f t="shared" si="4"/>
        <v/>
      </c>
      <c r="AF5" t="str">
        <f t="shared" si="5"/>
        <v/>
      </c>
      <c r="AG5" t="str">
        <f t="shared" si="6"/>
        <v/>
      </c>
      <c r="AH5" t="str">
        <f t="shared" si="7"/>
        <v/>
      </c>
      <c r="AI5" t="str">
        <f t="shared" si="8"/>
        <v/>
      </c>
      <c r="AK5" t="str">
        <f t="shared" si="9"/>
        <v/>
      </c>
      <c r="AL5" t="str">
        <f t="shared" si="32"/>
        <v/>
      </c>
      <c r="AM5" t="str">
        <f t="shared" si="10"/>
        <v/>
      </c>
      <c r="AN5" t="str">
        <f t="shared" si="11"/>
        <v/>
      </c>
      <c r="AO5" t="str">
        <f t="shared" si="12"/>
        <v/>
      </c>
      <c r="AP5" t="str">
        <f t="shared" si="13"/>
        <v/>
      </c>
      <c r="AQ5" t="str">
        <f t="shared" si="14"/>
        <v/>
      </c>
      <c r="AR5" t="str">
        <f t="shared" si="15"/>
        <v/>
      </c>
      <c r="AS5" t="str">
        <f t="shared" si="16"/>
        <v/>
      </c>
      <c r="AT5" t="str">
        <f t="shared" si="17"/>
        <v/>
      </c>
      <c r="AU5" t="str">
        <f t="shared" si="18"/>
        <v/>
      </c>
      <c r="AV5" t="str">
        <f t="shared" si="19"/>
        <v/>
      </c>
      <c r="AW5" t="str">
        <f t="shared" si="20"/>
        <v/>
      </c>
      <c r="AX5" t="str">
        <f t="shared" si="21"/>
        <v/>
      </c>
      <c r="AY5" t="str">
        <f t="shared" si="22"/>
        <v/>
      </c>
      <c r="AZ5" t="str">
        <f t="shared" si="23"/>
        <v/>
      </c>
      <c r="BA5" t="str">
        <f t="shared" si="24"/>
        <v/>
      </c>
      <c r="BB5" t="str">
        <f t="shared" si="25"/>
        <v/>
      </c>
      <c r="BC5" t="str">
        <f t="shared" si="26"/>
        <v/>
      </c>
      <c r="BD5" t="str">
        <f t="shared" si="27"/>
        <v/>
      </c>
      <c r="BE5" t="str">
        <f t="shared" si="28"/>
        <v/>
      </c>
      <c r="BF5" t="str">
        <f t="shared" si="29"/>
        <v/>
      </c>
      <c r="BG5" t="str">
        <f t="shared" si="30"/>
        <v/>
      </c>
      <c r="BH5" t="str">
        <f t="shared" si="31"/>
        <v/>
      </c>
    </row>
    <row r="6" spans="1:66" x14ac:dyDescent="0.2">
      <c r="A6">
        <v>3</v>
      </c>
      <c r="B6">
        <v>21</v>
      </c>
      <c r="C6" t="s">
        <v>207</v>
      </c>
      <c r="J6">
        <v>2</v>
      </c>
      <c r="K6">
        <v>4</v>
      </c>
      <c r="N6">
        <v>4</v>
      </c>
      <c r="O6">
        <v>4</v>
      </c>
      <c r="S6">
        <v>1</v>
      </c>
      <c r="T6">
        <v>1</v>
      </c>
      <c r="X6">
        <f t="shared" si="33"/>
        <v>0</v>
      </c>
      <c r="Z6" t="str">
        <f t="shared" si="0"/>
        <v/>
      </c>
      <c r="AA6" t="str">
        <f t="shared" si="1"/>
        <v/>
      </c>
      <c r="AB6" t="str">
        <f t="shared" si="2"/>
        <v/>
      </c>
      <c r="AC6" t="str">
        <f t="shared" si="3"/>
        <v/>
      </c>
      <c r="AE6" t="str">
        <f t="shared" si="4"/>
        <v>1</v>
      </c>
      <c r="AF6" t="str">
        <f t="shared" si="5"/>
        <v/>
      </c>
      <c r="AG6" t="str">
        <f t="shared" si="6"/>
        <v/>
      </c>
      <c r="AH6" t="str">
        <f t="shared" si="7"/>
        <v/>
      </c>
      <c r="AI6" t="str">
        <f t="shared" si="8"/>
        <v/>
      </c>
      <c r="AK6" t="str">
        <f t="shared" si="9"/>
        <v/>
      </c>
      <c r="AL6" t="str">
        <f t="shared" si="32"/>
        <v/>
      </c>
      <c r="AM6" t="str">
        <f t="shared" si="10"/>
        <v/>
      </c>
      <c r="AN6" t="str">
        <f t="shared" si="11"/>
        <v/>
      </c>
      <c r="AO6" t="str">
        <f t="shared" si="12"/>
        <v/>
      </c>
      <c r="AP6" t="str">
        <f t="shared" si="13"/>
        <v/>
      </c>
      <c r="AQ6" t="str">
        <f t="shared" si="14"/>
        <v/>
      </c>
      <c r="AR6" t="str">
        <f t="shared" si="15"/>
        <v/>
      </c>
      <c r="AS6" t="str">
        <f t="shared" si="16"/>
        <v/>
      </c>
      <c r="AT6" t="str">
        <f t="shared" si="17"/>
        <v/>
      </c>
      <c r="AU6" t="str">
        <f t="shared" si="18"/>
        <v/>
      </c>
      <c r="AV6" t="str">
        <f t="shared" si="19"/>
        <v/>
      </c>
      <c r="AW6" t="str">
        <f t="shared" si="20"/>
        <v/>
      </c>
      <c r="AX6" t="str">
        <f t="shared" si="21"/>
        <v/>
      </c>
      <c r="AY6" t="str">
        <f t="shared" si="22"/>
        <v/>
      </c>
      <c r="AZ6" t="str">
        <f t="shared" si="23"/>
        <v/>
      </c>
      <c r="BA6" t="str">
        <f t="shared" si="24"/>
        <v/>
      </c>
      <c r="BB6" t="str">
        <f t="shared" si="25"/>
        <v/>
      </c>
      <c r="BC6" t="str">
        <f t="shared" si="26"/>
        <v/>
      </c>
      <c r="BD6" t="str">
        <f t="shared" si="27"/>
        <v/>
      </c>
      <c r="BE6" t="str">
        <f t="shared" si="28"/>
        <v/>
      </c>
      <c r="BF6" t="str">
        <f t="shared" si="29"/>
        <v/>
      </c>
      <c r="BG6" t="str">
        <f t="shared" si="30"/>
        <v/>
      </c>
      <c r="BH6" t="str">
        <f t="shared" si="31"/>
        <v/>
      </c>
    </row>
    <row r="7" spans="1:66" x14ac:dyDescent="0.2">
      <c r="A7">
        <v>4</v>
      </c>
      <c r="B7">
        <v>31</v>
      </c>
      <c r="C7" t="s">
        <v>39</v>
      </c>
      <c r="K7">
        <v>3</v>
      </c>
      <c r="N7">
        <v>3</v>
      </c>
      <c r="O7">
        <v>3</v>
      </c>
      <c r="S7">
        <v>1</v>
      </c>
      <c r="T7">
        <v>1</v>
      </c>
      <c r="X7">
        <f t="shared" si="33"/>
        <v>0</v>
      </c>
      <c r="Z7" t="str">
        <f t="shared" si="0"/>
        <v/>
      </c>
      <c r="AA7" t="str">
        <f t="shared" si="1"/>
        <v/>
      </c>
      <c r="AB7" t="str">
        <f t="shared" si="2"/>
        <v/>
      </c>
      <c r="AC7" t="str">
        <f t="shared" si="3"/>
        <v/>
      </c>
      <c r="AE7" t="str">
        <f t="shared" si="4"/>
        <v/>
      </c>
      <c r="AF7" t="str">
        <f t="shared" si="5"/>
        <v/>
      </c>
      <c r="AG7" t="str">
        <f t="shared" si="6"/>
        <v/>
      </c>
      <c r="AH7" t="str">
        <f t="shared" si="7"/>
        <v/>
      </c>
      <c r="AI7" t="str">
        <f t="shared" si="8"/>
        <v/>
      </c>
      <c r="AK7" t="str">
        <f t="shared" si="9"/>
        <v/>
      </c>
      <c r="AL7" t="str">
        <f t="shared" si="32"/>
        <v/>
      </c>
      <c r="AM7" t="str">
        <f t="shared" si="10"/>
        <v/>
      </c>
      <c r="AN7" t="str">
        <f t="shared" si="11"/>
        <v/>
      </c>
      <c r="AO7" t="str">
        <f t="shared" si="12"/>
        <v/>
      </c>
      <c r="AP7" t="str">
        <f t="shared" si="13"/>
        <v/>
      </c>
      <c r="AQ7" t="str">
        <f t="shared" si="14"/>
        <v/>
      </c>
      <c r="AR7" t="str">
        <f t="shared" si="15"/>
        <v/>
      </c>
      <c r="AS7" t="str">
        <f t="shared" si="16"/>
        <v/>
      </c>
      <c r="AT7" t="str">
        <f t="shared" si="17"/>
        <v/>
      </c>
      <c r="AU7" t="str">
        <f t="shared" si="18"/>
        <v/>
      </c>
      <c r="AV7" t="str">
        <f t="shared" si="19"/>
        <v/>
      </c>
      <c r="AW7" t="str">
        <f t="shared" si="20"/>
        <v/>
      </c>
      <c r="AX7" t="str">
        <f t="shared" si="21"/>
        <v/>
      </c>
      <c r="AY7" t="str">
        <f t="shared" si="22"/>
        <v/>
      </c>
      <c r="AZ7" t="str">
        <f t="shared" si="23"/>
        <v/>
      </c>
      <c r="BA7" t="str">
        <f t="shared" si="24"/>
        <v/>
      </c>
      <c r="BB7" t="str">
        <f t="shared" si="25"/>
        <v/>
      </c>
      <c r="BC7" t="str">
        <f t="shared" si="26"/>
        <v/>
      </c>
      <c r="BD7" t="str">
        <f t="shared" si="27"/>
        <v/>
      </c>
      <c r="BE7" t="str">
        <f t="shared" si="28"/>
        <v/>
      </c>
      <c r="BF7" t="str">
        <f t="shared" si="29"/>
        <v/>
      </c>
      <c r="BG7" t="str">
        <f t="shared" si="30"/>
        <v/>
      </c>
      <c r="BH7" t="str">
        <f t="shared" si="31"/>
        <v/>
      </c>
    </row>
    <row r="8" spans="1:66" x14ac:dyDescent="0.2">
      <c r="A8">
        <v>5</v>
      </c>
      <c r="B8">
        <v>43</v>
      </c>
      <c r="C8" t="s">
        <v>207</v>
      </c>
      <c r="J8">
        <v>1</v>
      </c>
      <c r="K8">
        <v>4</v>
      </c>
      <c r="N8">
        <v>4</v>
      </c>
      <c r="O8">
        <v>4</v>
      </c>
      <c r="S8">
        <v>1</v>
      </c>
      <c r="T8">
        <v>1</v>
      </c>
      <c r="X8">
        <f t="shared" si="33"/>
        <v>0</v>
      </c>
      <c r="Z8" t="str">
        <f t="shared" si="0"/>
        <v/>
      </c>
      <c r="AA8" t="str">
        <f t="shared" si="1"/>
        <v/>
      </c>
      <c r="AB8" t="str">
        <f t="shared" si="2"/>
        <v/>
      </c>
      <c r="AC8" t="str">
        <f t="shared" si="3"/>
        <v/>
      </c>
      <c r="AE8" t="str">
        <f t="shared" si="4"/>
        <v>1</v>
      </c>
      <c r="AF8" t="str">
        <f t="shared" si="5"/>
        <v/>
      </c>
      <c r="AG8" t="str">
        <f t="shared" si="6"/>
        <v/>
      </c>
      <c r="AH8" t="str">
        <f t="shared" si="7"/>
        <v/>
      </c>
      <c r="AI8" t="str">
        <f t="shared" si="8"/>
        <v/>
      </c>
      <c r="AK8" t="str">
        <f t="shared" si="9"/>
        <v/>
      </c>
      <c r="AL8" t="str">
        <f t="shared" si="32"/>
        <v/>
      </c>
      <c r="AM8" t="str">
        <f t="shared" si="10"/>
        <v/>
      </c>
      <c r="AN8" t="str">
        <f t="shared" si="11"/>
        <v/>
      </c>
      <c r="AO8" t="str">
        <f t="shared" si="12"/>
        <v/>
      </c>
      <c r="AP8" t="str">
        <f t="shared" si="13"/>
        <v/>
      </c>
      <c r="AQ8" t="str">
        <f t="shared" si="14"/>
        <v/>
      </c>
      <c r="AR8" t="str">
        <f t="shared" si="15"/>
        <v/>
      </c>
      <c r="AS8" t="str">
        <f t="shared" si="16"/>
        <v/>
      </c>
      <c r="AT8" t="str">
        <f t="shared" si="17"/>
        <v/>
      </c>
      <c r="AU8" t="str">
        <f t="shared" si="18"/>
        <v/>
      </c>
      <c r="AV8" t="str">
        <f t="shared" si="19"/>
        <v/>
      </c>
      <c r="AW8" t="str">
        <f t="shared" si="20"/>
        <v/>
      </c>
      <c r="AX8" t="str">
        <f t="shared" si="21"/>
        <v/>
      </c>
      <c r="AY8" t="str">
        <f t="shared" si="22"/>
        <v/>
      </c>
      <c r="AZ8" t="str">
        <f t="shared" si="23"/>
        <v/>
      </c>
      <c r="BA8" t="str">
        <f t="shared" si="24"/>
        <v/>
      </c>
      <c r="BB8" t="str">
        <f t="shared" si="25"/>
        <v/>
      </c>
      <c r="BC8" t="str">
        <f t="shared" si="26"/>
        <v/>
      </c>
      <c r="BD8" t="str">
        <f t="shared" si="27"/>
        <v/>
      </c>
      <c r="BE8" t="str">
        <f t="shared" si="28"/>
        <v/>
      </c>
      <c r="BF8" t="str">
        <f t="shared" si="29"/>
        <v/>
      </c>
      <c r="BG8" t="str">
        <f t="shared" si="30"/>
        <v/>
      </c>
      <c r="BH8" t="str">
        <f t="shared" si="31"/>
        <v/>
      </c>
    </row>
    <row r="9" spans="1:66" x14ac:dyDescent="0.2">
      <c r="A9">
        <v>6</v>
      </c>
      <c r="B9">
        <v>55</v>
      </c>
      <c r="C9" t="s">
        <v>207</v>
      </c>
      <c r="K9">
        <v>3</v>
      </c>
      <c r="L9">
        <v>1</v>
      </c>
      <c r="N9">
        <v>4</v>
      </c>
      <c r="O9">
        <v>4</v>
      </c>
      <c r="S9">
        <v>1</v>
      </c>
      <c r="T9">
        <v>1</v>
      </c>
      <c r="U9">
        <v>11</v>
      </c>
      <c r="X9">
        <f t="shared" si="33"/>
        <v>0</v>
      </c>
      <c r="Z9" t="str">
        <f t="shared" si="0"/>
        <v/>
      </c>
      <c r="AA9" t="str">
        <f t="shared" si="1"/>
        <v/>
      </c>
      <c r="AB9" t="str">
        <f t="shared" si="2"/>
        <v/>
      </c>
      <c r="AC9" t="str">
        <f t="shared" si="3"/>
        <v/>
      </c>
      <c r="AE9" t="str">
        <f t="shared" si="4"/>
        <v/>
      </c>
      <c r="AF9" t="str">
        <f t="shared" si="5"/>
        <v/>
      </c>
      <c r="AG9" t="str">
        <f t="shared" si="6"/>
        <v/>
      </c>
      <c r="AH9" t="str">
        <f t="shared" si="7"/>
        <v/>
      </c>
      <c r="AI9" t="str">
        <f t="shared" si="8"/>
        <v/>
      </c>
      <c r="AK9" t="str">
        <f t="shared" si="9"/>
        <v/>
      </c>
      <c r="AL9" t="str">
        <f t="shared" si="32"/>
        <v/>
      </c>
      <c r="AM9" t="str">
        <f t="shared" si="10"/>
        <v/>
      </c>
      <c r="AN9" t="str">
        <f t="shared" si="11"/>
        <v/>
      </c>
      <c r="AO9" t="str">
        <f t="shared" si="12"/>
        <v/>
      </c>
      <c r="AP9" t="str">
        <f t="shared" si="13"/>
        <v/>
      </c>
      <c r="AQ9" t="str">
        <f t="shared" si="14"/>
        <v/>
      </c>
      <c r="AR9" t="str">
        <f t="shared" si="15"/>
        <v/>
      </c>
      <c r="AS9" t="str">
        <f t="shared" si="16"/>
        <v/>
      </c>
      <c r="AT9" t="str">
        <f t="shared" si="17"/>
        <v/>
      </c>
      <c r="AU9" t="str">
        <f t="shared" si="18"/>
        <v/>
      </c>
      <c r="AV9" t="str">
        <f t="shared" si="19"/>
        <v/>
      </c>
      <c r="AW9" t="str">
        <f t="shared" si="20"/>
        <v/>
      </c>
      <c r="AX9" t="str">
        <f t="shared" si="21"/>
        <v/>
      </c>
      <c r="AY9" t="str">
        <f t="shared" si="22"/>
        <v/>
      </c>
      <c r="AZ9" t="str">
        <f t="shared" si="23"/>
        <v/>
      </c>
      <c r="BA9" t="str">
        <f t="shared" si="24"/>
        <v/>
      </c>
      <c r="BB9" t="str">
        <f t="shared" si="25"/>
        <v/>
      </c>
      <c r="BC9" t="str">
        <f t="shared" si="26"/>
        <v/>
      </c>
      <c r="BD9" t="str">
        <f t="shared" si="27"/>
        <v/>
      </c>
      <c r="BE9" t="str">
        <f t="shared" si="28"/>
        <v/>
      </c>
      <c r="BF9" t="str">
        <f t="shared" si="29"/>
        <v/>
      </c>
      <c r="BG9" t="str">
        <f t="shared" si="30"/>
        <v/>
      </c>
      <c r="BH9" t="str">
        <f t="shared" si="31"/>
        <v/>
      </c>
    </row>
    <row r="10" spans="1:66" x14ac:dyDescent="0.2">
      <c r="A10">
        <v>7</v>
      </c>
      <c r="B10">
        <v>66</v>
      </c>
      <c r="C10" t="s">
        <v>39</v>
      </c>
      <c r="J10">
        <v>1</v>
      </c>
      <c r="K10">
        <v>3</v>
      </c>
      <c r="N10">
        <v>4</v>
      </c>
      <c r="O10">
        <v>4</v>
      </c>
      <c r="S10">
        <v>1</v>
      </c>
      <c r="U10">
        <v>6</v>
      </c>
      <c r="X10">
        <f t="shared" si="33"/>
        <v>0</v>
      </c>
      <c r="Z10" t="str">
        <f t="shared" si="0"/>
        <v/>
      </c>
      <c r="AA10" t="str">
        <f t="shared" si="1"/>
        <v/>
      </c>
      <c r="AB10" t="str">
        <f t="shared" si="2"/>
        <v/>
      </c>
      <c r="AC10" t="str">
        <f t="shared" si="3"/>
        <v/>
      </c>
      <c r="AE10" t="str">
        <f t="shared" si="4"/>
        <v/>
      </c>
      <c r="AF10" t="str">
        <f t="shared" si="5"/>
        <v/>
      </c>
      <c r="AG10" t="str">
        <f t="shared" si="6"/>
        <v/>
      </c>
      <c r="AH10" t="str">
        <f t="shared" si="7"/>
        <v/>
      </c>
      <c r="AI10" t="str">
        <f t="shared" si="8"/>
        <v/>
      </c>
      <c r="AK10" t="str">
        <f t="shared" si="9"/>
        <v/>
      </c>
      <c r="AL10" t="str">
        <f t="shared" si="32"/>
        <v/>
      </c>
      <c r="AM10" t="str">
        <f t="shared" si="10"/>
        <v/>
      </c>
      <c r="AN10" t="str">
        <f t="shared" si="11"/>
        <v/>
      </c>
      <c r="AO10" t="str">
        <f t="shared" si="12"/>
        <v/>
      </c>
      <c r="AP10" t="str">
        <f t="shared" si="13"/>
        <v/>
      </c>
      <c r="AQ10" t="str">
        <f t="shared" si="14"/>
        <v/>
      </c>
      <c r="AR10" t="str">
        <f t="shared" si="15"/>
        <v/>
      </c>
      <c r="AS10" t="str">
        <f t="shared" si="16"/>
        <v/>
      </c>
      <c r="AT10" t="str">
        <f t="shared" si="17"/>
        <v/>
      </c>
      <c r="AU10" t="str">
        <f t="shared" si="18"/>
        <v/>
      </c>
      <c r="AV10" t="str">
        <f t="shared" si="19"/>
        <v/>
      </c>
      <c r="AW10" t="str">
        <f t="shared" si="20"/>
        <v/>
      </c>
      <c r="AX10" t="str">
        <f t="shared" si="21"/>
        <v/>
      </c>
      <c r="AY10" t="str">
        <f t="shared" si="22"/>
        <v/>
      </c>
      <c r="AZ10" t="str">
        <f t="shared" si="23"/>
        <v/>
      </c>
      <c r="BA10" t="str">
        <f t="shared" si="24"/>
        <v/>
      </c>
      <c r="BB10" t="str">
        <f t="shared" si="25"/>
        <v/>
      </c>
      <c r="BC10" t="str">
        <f t="shared" si="26"/>
        <v/>
      </c>
      <c r="BD10" t="str">
        <f t="shared" si="27"/>
        <v/>
      </c>
      <c r="BE10" t="str">
        <f t="shared" si="28"/>
        <v/>
      </c>
      <c r="BF10" t="str">
        <f t="shared" si="29"/>
        <v/>
      </c>
      <c r="BG10" t="str">
        <f t="shared" si="30"/>
        <v/>
      </c>
      <c r="BH10" t="str">
        <f t="shared" si="31"/>
        <v/>
      </c>
    </row>
    <row r="11" spans="1:66" x14ac:dyDescent="0.2">
      <c r="A11">
        <v>8</v>
      </c>
      <c r="B11">
        <v>71</v>
      </c>
      <c r="C11" t="s">
        <v>207</v>
      </c>
      <c r="K11">
        <v>3</v>
      </c>
      <c r="N11">
        <v>4</v>
      </c>
      <c r="O11">
        <v>4</v>
      </c>
      <c r="S11">
        <v>1</v>
      </c>
      <c r="U11">
        <v>2</v>
      </c>
      <c r="X11">
        <f t="shared" si="33"/>
        <v>0</v>
      </c>
      <c r="Z11" t="str">
        <f t="shared" si="0"/>
        <v/>
      </c>
      <c r="AA11" t="str">
        <f t="shared" si="1"/>
        <v/>
      </c>
      <c r="AB11" t="str">
        <f t="shared" si="2"/>
        <v/>
      </c>
      <c r="AC11" t="str">
        <f t="shared" si="3"/>
        <v/>
      </c>
      <c r="AE11" t="str">
        <f t="shared" si="4"/>
        <v/>
      </c>
      <c r="AF11" t="str">
        <f t="shared" si="5"/>
        <v/>
      </c>
      <c r="AG11" t="str">
        <f t="shared" si="6"/>
        <v/>
      </c>
      <c r="AH11" t="str">
        <f t="shared" si="7"/>
        <v/>
      </c>
      <c r="AI11" t="str">
        <f t="shared" si="8"/>
        <v/>
      </c>
      <c r="AK11" t="str">
        <f t="shared" si="9"/>
        <v/>
      </c>
      <c r="AL11" t="str">
        <f t="shared" si="32"/>
        <v/>
      </c>
      <c r="AM11" t="str">
        <f t="shared" si="10"/>
        <v/>
      </c>
      <c r="AN11" t="str">
        <f t="shared" si="11"/>
        <v/>
      </c>
      <c r="AO11" t="str">
        <f t="shared" si="12"/>
        <v/>
      </c>
      <c r="AP11" t="str">
        <f t="shared" si="13"/>
        <v/>
      </c>
      <c r="AQ11" t="str">
        <f t="shared" si="14"/>
        <v/>
      </c>
      <c r="AR11" t="str">
        <f t="shared" si="15"/>
        <v/>
      </c>
      <c r="AS11" t="str">
        <f t="shared" si="16"/>
        <v/>
      </c>
      <c r="AT11" t="str">
        <f t="shared" si="17"/>
        <v/>
      </c>
      <c r="AU11" t="str">
        <f t="shared" si="18"/>
        <v/>
      </c>
      <c r="AV11" t="str">
        <f t="shared" si="19"/>
        <v/>
      </c>
      <c r="AW11" t="str">
        <f t="shared" si="20"/>
        <v/>
      </c>
      <c r="AX11" t="str">
        <f t="shared" si="21"/>
        <v/>
      </c>
      <c r="AY11" t="str">
        <f t="shared" si="22"/>
        <v/>
      </c>
      <c r="AZ11" t="str">
        <f t="shared" si="23"/>
        <v/>
      </c>
      <c r="BA11" t="str">
        <f t="shared" si="24"/>
        <v/>
      </c>
      <c r="BB11" t="str">
        <f t="shared" si="25"/>
        <v/>
      </c>
      <c r="BC11" t="str">
        <f t="shared" si="26"/>
        <v/>
      </c>
      <c r="BD11" t="str">
        <f t="shared" si="27"/>
        <v/>
      </c>
      <c r="BE11" t="str">
        <f t="shared" si="28"/>
        <v/>
      </c>
      <c r="BF11" t="str">
        <f t="shared" si="29"/>
        <v/>
      </c>
      <c r="BG11" t="str">
        <f t="shared" si="30"/>
        <v/>
      </c>
      <c r="BH11" t="str">
        <f t="shared" si="31"/>
        <v/>
      </c>
    </row>
    <row r="12" spans="1:66" x14ac:dyDescent="0.2">
      <c r="A12">
        <v>9</v>
      </c>
      <c r="B12">
        <v>89</v>
      </c>
      <c r="C12" t="s">
        <v>39</v>
      </c>
      <c r="K12">
        <v>3</v>
      </c>
      <c r="N12">
        <v>3</v>
      </c>
      <c r="O12">
        <v>2</v>
      </c>
      <c r="S12">
        <v>1</v>
      </c>
      <c r="T12">
        <v>1</v>
      </c>
      <c r="U12">
        <v>7</v>
      </c>
      <c r="X12">
        <f t="shared" si="33"/>
        <v>0</v>
      </c>
      <c r="Z12" t="str">
        <f t="shared" si="0"/>
        <v/>
      </c>
      <c r="AA12" t="str">
        <f t="shared" si="1"/>
        <v/>
      </c>
      <c r="AB12" t="str">
        <f t="shared" si="2"/>
        <v/>
      </c>
      <c r="AC12" t="str">
        <f t="shared" si="3"/>
        <v/>
      </c>
      <c r="AE12" t="str">
        <f t="shared" si="4"/>
        <v/>
      </c>
      <c r="AF12" t="str">
        <f t="shared" si="5"/>
        <v/>
      </c>
      <c r="AG12" t="str">
        <f t="shared" si="6"/>
        <v/>
      </c>
      <c r="AH12" t="str">
        <f t="shared" si="7"/>
        <v/>
      </c>
      <c r="AI12" t="str">
        <f t="shared" si="8"/>
        <v/>
      </c>
      <c r="AK12" t="str">
        <f t="shared" si="9"/>
        <v/>
      </c>
      <c r="AL12" t="str">
        <f t="shared" si="32"/>
        <v/>
      </c>
      <c r="AM12" t="str">
        <f t="shared" si="10"/>
        <v/>
      </c>
      <c r="AN12" t="str">
        <f t="shared" si="11"/>
        <v/>
      </c>
      <c r="AO12" t="str">
        <f t="shared" si="12"/>
        <v/>
      </c>
      <c r="AP12" t="str">
        <f t="shared" si="13"/>
        <v/>
      </c>
      <c r="AQ12" t="str">
        <f t="shared" si="14"/>
        <v/>
      </c>
      <c r="AR12" t="str">
        <f t="shared" si="15"/>
        <v/>
      </c>
      <c r="AS12" t="str">
        <f t="shared" si="16"/>
        <v/>
      </c>
      <c r="AT12" t="str">
        <f t="shared" si="17"/>
        <v/>
      </c>
      <c r="AU12" t="str">
        <f t="shared" si="18"/>
        <v/>
      </c>
      <c r="AV12" t="str">
        <f t="shared" si="19"/>
        <v/>
      </c>
      <c r="AW12" t="str">
        <f t="shared" si="20"/>
        <v/>
      </c>
      <c r="AX12" t="str">
        <f t="shared" si="21"/>
        <v/>
      </c>
      <c r="AY12" t="str">
        <f t="shared" si="22"/>
        <v/>
      </c>
      <c r="AZ12" t="str">
        <f t="shared" si="23"/>
        <v/>
      </c>
      <c r="BA12" t="str">
        <f t="shared" si="24"/>
        <v/>
      </c>
      <c r="BB12" t="str">
        <f t="shared" si="25"/>
        <v/>
      </c>
      <c r="BC12" t="str">
        <f t="shared" si="26"/>
        <v/>
      </c>
      <c r="BD12" t="str">
        <f t="shared" si="27"/>
        <v/>
      </c>
      <c r="BE12" t="str">
        <f t="shared" si="28"/>
        <v/>
      </c>
      <c r="BF12" t="str">
        <f t="shared" si="29"/>
        <v/>
      </c>
      <c r="BG12" t="str">
        <f t="shared" si="30"/>
        <v/>
      </c>
      <c r="BH12" t="str">
        <f t="shared" si="31"/>
        <v/>
      </c>
    </row>
    <row r="13" spans="1:66" x14ac:dyDescent="0.2">
      <c r="A13">
        <v>10</v>
      </c>
      <c r="B13">
        <v>94</v>
      </c>
      <c r="C13" t="s">
        <v>207</v>
      </c>
      <c r="K13">
        <v>3</v>
      </c>
      <c r="N13">
        <v>4</v>
      </c>
      <c r="O13">
        <v>3</v>
      </c>
      <c r="S13">
        <v>1</v>
      </c>
      <c r="T13">
        <v>1</v>
      </c>
      <c r="X13">
        <f t="shared" si="33"/>
        <v>0</v>
      </c>
      <c r="Z13" t="str">
        <f t="shared" si="0"/>
        <v/>
      </c>
      <c r="AA13" t="str">
        <f t="shared" si="1"/>
        <v/>
      </c>
      <c r="AB13" t="str">
        <f t="shared" si="2"/>
        <v/>
      </c>
      <c r="AC13" t="str">
        <f t="shared" si="3"/>
        <v/>
      </c>
      <c r="AE13" t="str">
        <f t="shared" si="4"/>
        <v/>
      </c>
      <c r="AF13" t="str">
        <f t="shared" si="5"/>
        <v/>
      </c>
      <c r="AG13" t="str">
        <f t="shared" si="6"/>
        <v/>
      </c>
      <c r="AH13" t="str">
        <f t="shared" si="7"/>
        <v/>
      </c>
      <c r="AI13" t="str">
        <f t="shared" si="8"/>
        <v/>
      </c>
      <c r="AK13" t="str">
        <f t="shared" si="9"/>
        <v/>
      </c>
      <c r="AL13" t="str">
        <f t="shared" si="32"/>
        <v/>
      </c>
      <c r="AM13" t="str">
        <f t="shared" si="10"/>
        <v/>
      </c>
      <c r="AN13" t="str">
        <f t="shared" si="11"/>
        <v/>
      </c>
      <c r="AO13" t="str">
        <f t="shared" si="12"/>
        <v/>
      </c>
      <c r="AP13" t="str">
        <f t="shared" si="13"/>
        <v/>
      </c>
      <c r="AQ13" t="str">
        <f t="shared" si="14"/>
        <v/>
      </c>
      <c r="AR13" t="str">
        <f t="shared" si="15"/>
        <v/>
      </c>
      <c r="AS13" t="str">
        <f t="shared" si="16"/>
        <v/>
      </c>
      <c r="AT13" t="str">
        <f t="shared" si="17"/>
        <v/>
      </c>
      <c r="AU13" t="str">
        <f t="shared" si="18"/>
        <v/>
      </c>
      <c r="AV13" t="str">
        <f t="shared" si="19"/>
        <v/>
      </c>
      <c r="AW13" t="str">
        <f t="shared" si="20"/>
        <v/>
      </c>
      <c r="AX13" t="str">
        <f t="shared" si="21"/>
        <v/>
      </c>
      <c r="AY13" t="str">
        <f t="shared" si="22"/>
        <v/>
      </c>
      <c r="AZ13" t="str">
        <f t="shared" si="23"/>
        <v/>
      </c>
      <c r="BA13" t="str">
        <f t="shared" si="24"/>
        <v/>
      </c>
      <c r="BB13" t="str">
        <f t="shared" si="25"/>
        <v/>
      </c>
      <c r="BC13" t="str">
        <f t="shared" si="26"/>
        <v/>
      </c>
      <c r="BD13" t="str">
        <f t="shared" si="27"/>
        <v/>
      </c>
      <c r="BE13" t="str">
        <f t="shared" si="28"/>
        <v/>
      </c>
      <c r="BF13" t="str">
        <f t="shared" si="29"/>
        <v/>
      </c>
      <c r="BG13" t="str">
        <f t="shared" si="30"/>
        <v/>
      </c>
      <c r="BH13" t="str">
        <f t="shared" si="31"/>
        <v/>
      </c>
    </row>
    <row r="14" spans="1:66" x14ac:dyDescent="0.2">
      <c r="A14">
        <v>11</v>
      </c>
      <c r="B14">
        <v>110</v>
      </c>
      <c r="C14" t="s">
        <v>39</v>
      </c>
      <c r="D14">
        <v>1</v>
      </c>
      <c r="F14">
        <v>1</v>
      </c>
      <c r="K14">
        <v>4</v>
      </c>
      <c r="N14">
        <v>3</v>
      </c>
      <c r="O14">
        <v>3</v>
      </c>
      <c r="S14">
        <v>1</v>
      </c>
      <c r="T14">
        <v>1</v>
      </c>
      <c r="U14">
        <v>9</v>
      </c>
      <c r="X14">
        <f t="shared" si="33"/>
        <v>0</v>
      </c>
      <c r="Z14" t="s">
        <v>31</v>
      </c>
      <c r="AE14" t="s">
        <v>34</v>
      </c>
      <c r="AK14" t="s">
        <v>43</v>
      </c>
      <c r="AP14" t="s">
        <v>84</v>
      </c>
    </row>
    <row r="15" spans="1:66" x14ac:dyDescent="0.2">
      <c r="A15">
        <v>12</v>
      </c>
      <c r="B15">
        <v>119</v>
      </c>
      <c r="C15" t="s">
        <v>207</v>
      </c>
      <c r="K15">
        <v>3</v>
      </c>
      <c r="N15">
        <v>3</v>
      </c>
      <c r="O15">
        <v>3</v>
      </c>
      <c r="S15">
        <v>1</v>
      </c>
      <c r="X15">
        <f t="shared" si="33"/>
        <v>0</v>
      </c>
      <c r="Z15" t="s">
        <v>21</v>
      </c>
      <c r="AA15" t="s">
        <v>22</v>
      </c>
      <c r="AE15" t="s">
        <v>21</v>
      </c>
      <c r="AF15" t="s">
        <v>22</v>
      </c>
      <c r="AG15" t="s">
        <v>35</v>
      </c>
      <c r="AK15" t="s">
        <v>10</v>
      </c>
      <c r="AL15" t="s">
        <v>25</v>
      </c>
      <c r="AM15" t="s">
        <v>26</v>
      </c>
      <c r="AN15" t="s">
        <v>27</v>
      </c>
      <c r="AP15" t="s">
        <v>15</v>
      </c>
      <c r="AQ15" t="s">
        <v>85</v>
      </c>
    </row>
    <row r="16" spans="1:66" x14ac:dyDescent="0.2">
      <c r="A16" t="s">
        <v>28</v>
      </c>
      <c r="D16">
        <f>SUM(D4:D15)</f>
        <v>2</v>
      </c>
      <c r="E16">
        <f>SUM(E4:E15)</f>
        <v>0</v>
      </c>
      <c r="F16">
        <f>SUM(F4:F15)</f>
        <v>1</v>
      </c>
      <c r="G16">
        <f>SUM(G4:G15)</f>
        <v>0</v>
      </c>
      <c r="H16">
        <f>SUM(H4:H15)</f>
        <v>0</v>
      </c>
      <c r="K16">
        <f>SUM(K4:K15)</f>
        <v>38</v>
      </c>
      <c r="L16">
        <f>SUM(L4:L15)</f>
        <v>1</v>
      </c>
      <c r="M16">
        <f>SUM(M4:M15)</f>
        <v>0</v>
      </c>
      <c r="N16">
        <f>SUM(N4:N15)</f>
        <v>43</v>
      </c>
      <c r="O16">
        <f>SUM(O4:O15)</f>
        <v>41</v>
      </c>
      <c r="Q16">
        <f t="shared" ref="Q16:R16" si="34">SUM(Q4:Q15)</f>
        <v>0</v>
      </c>
      <c r="R16">
        <f t="shared" si="34"/>
        <v>0</v>
      </c>
      <c r="S16">
        <f>SUM(S4:S15)</f>
        <v>12</v>
      </c>
      <c r="T16">
        <f>SUM(T4:T15)</f>
        <v>8</v>
      </c>
      <c r="U16">
        <f>SUM(U4:U15)</f>
        <v>35</v>
      </c>
      <c r="V16">
        <f>SUM(V4:V15)</f>
        <v>0</v>
      </c>
      <c r="W16">
        <f>SUM(W4:W15)</f>
        <v>0</v>
      </c>
      <c r="Z16">
        <f t="shared" ref="Z16:Z27" si="35">COUNTIF(Z2:AC2, "3")*COUNTIF(C4, "r")+COUNTIF(Z2:AC2, "5")*COUNTIF(C4, "b")</f>
        <v>0</v>
      </c>
      <c r="AA16">
        <f t="shared" ref="AA16:AA27" si="36">COUNTIF(Z2:AC2, "1")+COUNTIF(Z2:AC2, "2")+COUNTIF(Z2:AC2, "4")</f>
        <v>0</v>
      </c>
      <c r="AE16">
        <f t="shared" ref="AE16:AE27" si="37">COUNTIF(AE2:AI2, "3")*COUNTIF(C4, "r") + COUNTIF(AE2:AI2, "5")*COUNTIF(C4, "b")</f>
        <v>0</v>
      </c>
      <c r="AF16">
        <f t="shared" ref="AF16:AF27" si="38">COUNTIF(AE2:AI2, "1")+COUNTIF(AE2:AI2, "2")+COUNTIF(AE2:AI2, "4")</f>
        <v>0</v>
      </c>
      <c r="AG16">
        <f t="shared" ref="AG16:AG27" si="39">COUNTIF(AE2:AI2, "3")*COUNTIF(AE2:AI2, "b")+COUNTIF(AE2:AI2, "5")*COUNTIF(AE2:AI2, "r")</f>
        <v>0</v>
      </c>
      <c r="AK16">
        <f t="shared" ref="AK16:AK27" si="40">SUMPRODUCT(LEN($AK2:$BH2) - LEN(SUBSTITUTE($AK2:$BH2, "g", "")))</f>
        <v>0</v>
      </c>
      <c r="AL16">
        <f t="shared" ref="AL16:AL27" si="41">SUMPRODUCT(LEN($AK2:$BH2) - LEN(SUBSTITUTE($AK2:$BH2, "h", "")))</f>
        <v>0</v>
      </c>
      <c r="AM16">
        <f t="shared" ref="AM16:AM27" si="42">SUMPRODUCT(LEN($AK2:$BH2) - LEN(SUBSTITUTE($AK2:$BH2, "v", "")))</f>
        <v>0</v>
      </c>
      <c r="AN16">
        <f t="shared" ref="AN16:AN27" si="43">SUMPRODUCT(LEN($AK2:$BH2) - LEN(SUBSTITUTE($AK2:$BH2, "r", "")))</f>
        <v>0</v>
      </c>
      <c r="AP16">
        <f>MAX(AQ16:BN16)</f>
        <v>0</v>
      </c>
      <c r="AQ16" s="4">
        <f>_xlfn.NUMBERVALUE(RIGHT(AK2,1))</f>
        <v>0</v>
      </c>
      <c r="AR16" s="4">
        <f t="shared" ref="AR16:BG27" si="44">_xlfn.NUMBERVALUE(RIGHT(AL2,1))</f>
        <v>0</v>
      </c>
      <c r="AS16" s="4">
        <f t="shared" si="44"/>
        <v>0</v>
      </c>
      <c r="AT16" s="4">
        <f t="shared" si="44"/>
        <v>0</v>
      </c>
      <c r="AU16" s="4">
        <f t="shared" si="44"/>
        <v>0</v>
      </c>
      <c r="AV16" s="4">
        <f t="shared" si="44"/>
        <v>0</v>
      </c>
      <c r="AW16" s="4">
        <f t="shared" si="44"/>
        <v>0</v>
      </c>
      <c r="AX16" s="4">
        <f t="shared" si="44"/>
        <v>0</v>
      </c>
      <c r="AY16" s="4">
        <f t="shared" si="44"/>
        <v>0</v>
      </c>
      <c r="AZ16" s="4">
        <f t="shared" si="44"/>
        <v>0</v>
      </c>
      <c r="BA16" s="4">
        <f t="shared" si="44"/>
        <v>0</v>
      </c>
      <c r="BB16" s="4">
        <f t="shared" si="44"/>
        <v>0</v>
      </c>
      <c r="BC16" s="4">
        <f t="shared" si="44"/>
        <v>0</v>
      </c>
      <c r="BD16" s="4">
        <f t="shared" si="44"/>
        <v>0</v>
      </c>
      <c r="BE16" s="4">
        <f t="shared" si="44"/>
        <v>0</v>
      </c>
      <c r="BF16" s="4">
        <f t="shared" si="44"/>
        <v>0</v>
      </c>
      <c r="BG16" s="4">
        <f t="shared" si="44"/>
        <v>0</v>
      </c>
      <c r="BH16" s="4">
        <f t="shared" ref="BH16:BN27" si="45">_xlfn.NUMBERVALUE(RIGHT(BB2,1))</f>
        <v>0</v>
      </c>
      <c r="BI16" s="4">
        <f t="shared" si="45"/>
        <v>0</v>
      </c>
      <c r="BJ16" s="4">
        <f t="shared" si="45"/>
        <v>0</v>
      </c>
      <c r="BK16" s="4">
        <f t="shared" si="45"/>
        <v>0</v>
      </c>
      <c r="BL16" s="4">
        <f t="shared" si="45"/>
        <v>0</v>
      </c>
      <c r="BM16" s="4">
        <f t="shared" si="45"/>
        <v>0</v>
      </c>
      <c r="BN16" s="4">
        <f t="shared" si="45"/>
        <v>0</v>
      </c>
    </row>
    <row r="17" spans="1:66" x14ac:dyDescent="0.2">
      <c r="A17" s="1" t="s">
        <v>20</v>
      </c>
      <c r="D17" s="1" t="s">
        <v>49</v>
      </c>
      <c r="G17" s="1" t="s">
        <v>52</v>
      </c>
      <c r="K17" s="3" t="s">
        <v>74</v>
      </c>
      <c r="P17" s="1" t="s">
        <v>66</v>
      </c>
      <c r="Z17">
        <f t="shared" si="35"/>
        <v>0</v>
      </c>
      <c r="AA17">
        <f t="shared" si="36"/>
        <v>0</v>
      </c>
      <c r="AE17">
        <f t="shared" si="37"/>
        <v>0</v>
      </c>
      <c r="AF17">
        <f t="shared" si="38"/>
        <v>0</v>
      </c>
      <c r="AG17">
        <f t="shared" si="39"/>
        <v>0</v>
      </c>
      <c r="AK17">
        <f t="shared" si="40"/>
        <v>0</v>
      </c>
      <c r="AL17">
        <f t="shared" si="41"/>
        <v>0</v>
      </c>
      <c r="AM17">
        <f t="shared" si="42"/>
        <v>0</v>
      </c>
      <c r="AN17">
        <f t="shared" si="43"/>
        <v>0</v>
      </c>
      <c r="AP17">
        <f t="shared" ref="AP17:AP27" si="46">MAX(AQ17:BN17)</f>
        <v>0</v>
      </c>
      <c r="AQ17" s="4">
        <f t="shared" ref="AQ17:AQ27" si="47">_xlfn.NUMBERVALUE(RIGHT(AK3,1))</f>
        <v>0</v>
      </c>
      <c r="AR17" s="4">
        <f t="shared" si="44"/>
        <v>0</v>
      </c>
      <c r="AS17" s="4">
        <f t="shared" si="44"/>
        <v>0</v>
      </c>
      <c r="AT17" s="4">
        <f t="shared" si="44"/>
        <v>0</v>
      </c>
      <c r="AU17" s="4">
        <f t="shared" si="44"/>
        <v>0</v>
      </c>
      <c r="AV17" s="4">
        <f t="shared" si="44"/>
        <v>0</v>
      </c>
      <c r="AW17" s="4">
        <f t="shared" si="44"/>
        <v>0</v>
      </c>
      <c r="AX17" s="4">
        <f t="shared" si="44"/>
        <v>0</v>
      </c>
      <c r="AY17" s="4">
        <f t="shared" si="44"/>
        <v>0</v>
      </c>
      <c r="AZ17" s="4">
        <f t="shared" si="44"/>
        <v>0</v>
      </c>
      <c r="BA17" s="4">
        <f t="shared" si="44"/>
        <v>0</v>
      </c>
      <c r="BB17" s="4">
        <f t="shared" si="44"/>
        <v>0</v>
      </c>
      <c r="BC17" s="4">
        <f t="shared" si="44"/>
        <v>0</v>
      </c>
      <c r="BD17" s="4">
        <f t="shared" si="44"/>
        <v>0</v>
      </c>
      <c r="BE17" s="4">
        <f t="shared" si="44"/>
        <v>0</v>
      </c>
      <c r="BF17" s="4">
        <f t="shared" si="44"/>
        <v>0</v>
      </c>
      <c r="BG17" s="4">
        <f t="shared" si="44"/>
        <v>0</v>
      </c>
      <c r="BH17" s="4">
        <f t="shared" si="45"/>
        <v>0</v>
      </c>
      <c r="BI17" s="4">
        <f t="shared" si="45"/>
        <v>0</v>
      </c>
      <c r="BJ17" s="4">
        <f t="shared" si="45"/>
        <v>0</v>
      </c>
      <c r="BK17" s="4">
        <f t="shared" si="45"/>
        <v>0</v>
      </c>
      <c r="BL17" s="4">
        <f t="shared" si="45"/>
        <v>0</v>
      </c>
      <c r="BM17" s="4">
        <f t="shared" si="45"/>
        <v>0</v>
      </c>
      <c r="BN17" s="4">
        <f t="shared" si="45"/>
        <v>0</v>
      </c>
    </row>
    <row r="18" spans="1:66" x14ac:dyDescent="0.2">
      <c r="A18" t="s">
        <v>32</v>
      </c>
      <c r="B18" t="s">
        <v>21</v>
      </c>
      <c r="D18" t="s">
        <v>180</v>
      </c>
      <c r="G18" s="3" t="s">
        <v>53</v>
      </c>
      <c r="K18" t="s">
        <v>55</v>
      </c>
      <c r="M18" t="s">
        <v>65</v>
      </c>
      <c r="P18" t="s">
        <v>67</v>
      </c>
      <c r="Z18">
        <f t="shared" si="35"/>
        <v>0</v>
      </c>
      <c r="AA18">
        <f t="shared" si="36"/>
        <v>0</v>
      </c>
      <c r="AE18">
        <f t="shared" si="37"/>
        <v>0</v>
      </c>
      <c r="AF18">
        <f t="shared" si="38"/>
        <v>1</v>
      </c>
      <c r="AG18">
        <f t="shared" si="39"/>
        <v>0</v>
      </c>
      <c r="AK18">
        <f t="shared" si="40"/>
        <v>0</v>
      </c>
      <c r="AL18">
        <f t="shared" si="41"/>
        <v>0</v>
      </c>
      <c r="AM18">
        <f t="shared" si="42"/>
        <v>0</v>
      </c>
      <c r="AN18">
        <f t="shared" si="43"/>
        <v>0</v>
      </c>
      <c r="AP18">
        <f t="shared" si="46"/>
        <v>0</v>
      </c>
      <c r="AQ18" s="4">
        <f t="shared" si="47"/>
        <v>0</v>
      </c>
      <c r="AR18" s="4">
        <f t="shared" si="44"/>
        <v>0</v>
      </c>
      <c r="AS18" s="4">
        <f t="shared" si="44"/>
        <v>0</v>
      </c>
      <c r="AT18" s="4">
        <f t="shared" si="44"/>
        <v>0</v>
      </c>
      <c r="AU18" s="4">
        <f t="shared" si="44"/>
        <v>0</v>
      </c>
      <c r="AV18" s="4">
        <f t="shared" si="44"/>
        <v>0</v>
      </c>
      <c r="AW18" s="4">
        <f t="shared" si="44"/>
        <v>0</v>
      </c>
      <c r="AX18" s="4">
        <f t="shared" si="44"/>
        <v>0</v>
      </c>
      <c r="AY18" s="4">
        <f t="shared" si="44"/>
        <v>0</v>
      </c>
      <c r="AZ18" s="4">
        <f t="shared" si="44"/>
        <v>0</v>
      </c>
      <c r="BA18" s="4">
        <f t="shared" si="44"/>
        <v>0</v>
      </c>
      <c r="BB18" s="4">
        <f t="shared" si="44"/>
        <v>0</v>
      </c>
      <c r="BC18" s="4">
        <f t="shared" si="44"/>
        <v>0</v>
      </c>
      <c r="BD18" s="4">
        <f t="shared" si="44"/>
        <v>0</v>
      </c>
      <c r="BE18" s="4">
        <f t="shared" si="44"/>
        <v>0</v>
      </c>
      <c r="BF18" s="4">
        <f t="shared" si="44"/>
        <v>0</v>
      </c>
      <c r="BG18" s="4">
        <f t="shared" si="44"/>
        <v>0</v>
      </c>
      <c r="BH18" s="4">
        <f t="shared" si="45"/>
        <v>0</v>
      </c>
      <c r="BI18" s="4">
        <f t="shared" si="45"/>
        <v>0</v>
      </c>
      <c r="BJ18" s="4">
        <f t="shared" si="45"/>
        <v>0</v>
      </c>
      <c r="BK18" s="4">
        <f t="shared" si="45"/>
        <v>0</v>
      </c>
      <c r="BL18" s="4">
        <f t="shared" si="45"/>
        <v>0</v>
      </c>
      <c r="BM18" s="4">
        <f t="shared" si="45"/>
        <v>0</v>
      </c>
      <c r="BN18" s="4">
        <f t="shared" si="45"/>
        <v>0</v>
      </c>
    </row>
    <row r="19" spans="1:66" x14ac:dyDescent="0.2">
      <c r="A19" t="s">
        <v>40</v>
      </c>
      <c r="B19" t="s">
        <v>22</v>
      </c>
      <c r="D19">
        <f>E16/D16</f>
        <v>0</v>
      </c>
      <c r="G19" t="s">
        <v>75</v>
      </c>
      <c r="K19">
        <f>O16/N16</f>
        <v>0.95348837209302328</v>
      </c>
      <c r="M19">
        <f>SUM(M39:M50)</f>
        <v>-3</v>
      </c>
      <c r="P19">
        <f>T16/S16</f>
        <v>0.66666666666666663</v>
      </c>
      <c r="Z19">
        <f t="shared" si="35"/>
        <v>0</v>
      </c>
      <c r="AA19">
        <f t="shared" si="36"/>
        <v>0</v>
      </c>
      <c r="AE19">
        <f t="shared" si="37"/>
        <v>0</v>
      </c>
      <c r="AF19">
        <f t="shared" si="38"/>
        <v>0</v>
      </c>
      <c r="AG19">
        <f t="shared" si="39"/>
        <v>0</v>
      </c>
      <c r="AK19">
        <f t="shared" si="40"/>
        <v>0</v>
      </c>
      <c r="AL19">
        <f t="shared" si="41"/>
        <v>0</v>
      </c>
      <c r="AM19">
        <f t="shared" si="42"/>
        <v>0</v>
      </c>
      <c r="AN19">
        <f t="shared" si="43"/>
        <v>0</v>
      </c>
      <c r="AP19">
        <f t="shared" si="46"/>
        <v>0</v>
      </c>
      <c r="AQ19" s="4">
        <f t="shared" si="47"/>
        <v>0</v>
      </c>
      <c r="AR19" s="4">
        <f t="shared" si="44"/>
        <v>0</v>
      </c>
      <c r="AS19" s="4">
        <f t="shared" si="44"/>
        <v>0</v>
      </c>
      <c r="AT19" s="4">
        <f t="shared" si="44"/>
        <v>0</v>
      </c>
      <c r="AU19" s="4">
        <f t="shared" si="44"/>
        <v>0</v>
      </c>
      <c r="AV19" s="4">
        <f t="shared" si="44"/>
        <v>0</v>
      </c>
      <c r="AW19" s="4">
        <f t="shared" si="44"/>
        <v>0</v>
      </c>
      <c r="AX19" s="4">
        <f t="shared" si="44"/>
        <v>0</v>
      </c>
      <c r="AY19" s="4">
        <f t="shared" si="44"/>
        <v>0</v>
      </c>
      <c r="AZ19" s="4">
        <f t="shared" si="44"/>
        <v>0</v>
      </c>
      <c r="BA19" s="4">
        <f t="shared" si="44"/>
        <v>0</v>
      </c>
      <c r="BB19" s="4">
        <f t="shared" si="44"/>
        <v>0</v>
      </c>
      <c r="BC19" s="4">
        <f t="shared" si="44"/>
        <v>0</v>
      </c>
      <c r="BD19" s="4">
        <f t="shared" si="44"/>
        <v>0</v>
      </c>
      <c r="BE19" s="4">
        <f t="shared" si="44"/>
        <v>0</v>
      </c>
      <c r="BF19" s="4">
        <f t="shared" si="44"/>
        <v>0</v>
      </c>
      <c r="BG19" s="4">
        <f t="shared" si="44"/>
        <v>0</v>
      </c>
      <c r="BH19" s="4">
        <f t="shared" si="45"/>
        <v>0</v>
      </c>
      <c r="BI19" s="4">
        <f t="shared" si="45"/>
        <v>0</v>
      </c>
      <c r="BJ19" s="4">
        <f t="shared" si="45"/>
        <v>0</v>
      </c>
      <c r="BK19" s="4">
        <f t="shared" si="45"/>
        <v>0</v>
      </c>
      <c r="BL19" s="4">
        <f t="shared" si="45"/>
        <v>0</v>
      </c>
      <c r="BM19" s="4">
        <f t="shared" si="45"/>
        <v>0</v>
      </c>
      <c r="BN19" s="4">
        <f t="shared" si="45"/>
        <v>0</v>
      </c>
    </row>
    <row r="20" spans="1:66" x14ac:dyDescent="0.2">
      <c r="A20" t="s">
        <v>41</v>
      </c>
      <c r="B20" t="s">
        <v>23</v>
      </c>
      <c r="D20" t="s">
        <v>47</v>
      </c>
      <c r="G20" t="e">
        <f>AK28/AP28</f>
        <v>#DIV/0!</v>
      </c>
      <c r="K20" t="s">
        <v>13</v>
      </c>
      <c r="Z20">
        <f t="shared" si="35"/>
        <v>0</v>
      </c>
      <c r="AA20">
        <f t="shared" si="36"/>
        <v>0</v>
      </c>
      <c r="AE20">
        <f t="shared" si="37"/>
        <v>0</v>
      </c>
      <c r="AF20">
        <f t="shared" si="38"/>
        <v>1</v>
      </c>
      <c r="AG20">
        <f t="shared" si="39"/>
        <v>0</v>
      </c>
      <c r="AK20">
        <f t="shared" si="40"/>
        <v>0</v>
      </c>
      <c r="AL20">
        <f t="shared" si="41"/>
        <v>0</v>
      </c>
      <c r="AM20">
        <f t="shared" si="42"/>
        <v>0</v>
      </c>
      <c r="AN20">
        <f t="shared" si="43"/>
        <v>0</v>
      </c>
      <c r="AP20">
        <f t="shared" si="46"/>
        <v>0</v>
      </c>
      <c r="AQ20" s="4">
        <f t="shared" si="47"/>
        <v>0</v>
      </c>
      <c r="AR20" s="4">
        <f t="shared" si="44"/>
        <v>0</v>
      </c>
      <c r="AS20" s="4">
        <f t="shared" si="44"/>
        <v>0</v>
      </c>
      <c r="AT20" s="4">
        <f t="shared" si="44"/>
        <v>0</v>
      </c>
      <c r="AU20" s="4">
        <f t="shared" si="44"/>
        <v>0</v>
      </c>
      <c r="AV20" s="4">
        <f t="shared" si="44"/>
        <v>0</v>
      </c>
      <c r="AW20" s="4">
        <f t="shared" si="44"/>
        <v>0</v>
      </c>
      <c r="AX20" s="4">
        <f t="shared" si="44"/>
        <v>0</v>
      </c>
      <c r="AY20" s="4">
        <f t="shared" si="44"/>
        <v>0</v>
      </c>
      <c r="AZ20" s="4">
        <f t="shared" si="44"/>
        <v>0</v>
      </c>
      <c r="BA20" s="4">
        <f t="shared" si="44"/>
        <v>0</v>
      </c>
      <c r="BB20" s="4">
        <f t="shared" si="44"/>
        <v>0</v>
      </c>
      <c r="BC20" s="4">
        <f t="shared" si="44"/>
        <v>0</v>
      </c>
      <c r="BD20" s="4">
        <f t="shared" si="44"/>
        <v>0</v>
      </c>
      <c r="BE20" s="4">
        <f t="shared" si="44"/>
        <v>0</v>
      </c>
      <c r="BF20" s="4">
        <f t="shared" si="44"/>
        <v>0</v>
      </c>
      <c r="BG20" s="4">
        <f t="shared" si="44"/>
        <v>0</v>
      </c>
      <c r="BH20" s="4">
        <f t="shared" si="45"/>
        <v>0</v>
      </c>
      <c r="BI20" s="4">
        <f t="shared" si="45"/>
        <v>0</v>
      </c>
      <c r="BJ20" s="4">
        <f t="shared" si="45"/>
        <v>0</v>
      </c>
      <c r="BK20" s="4">
        <f t="shared" si="45"/>
        <v>0</v>
      </c>
      <c r="BL20" s="4">
        <f t="shared" si="45"/>
        <v>0</v>
      </c>
      <c r="BM20" s="4">
        <f t="shared" si="45"/>
        <v>0</v>
      </c>
      <c r="BN20" s="4">
        <f t="shared" si="45"/>
        <v>0</v>
      </c>
    </row>
    <row r="21" spans="1:66" x14ac:dyDescent="0.2">
      <c r="A21" s="1" t="s">
        <v>24</v>
      </c>
      <c r="D21">
        <f>G16/A31</f>
        <v>0</v>
      </c>
      <c r="G21" t="s">
        <v>76</v>
      </c>
      <c r="K21" t="s">
        <v>57</v>
      </c>
      <c r="L21" t="s">
        <v>58</v>
      </c>
      <c r="M21" t="s">
        <v>59</v>
      </c>
      <c r="N21" t="s">
        <v>60</v>
      </c>
      <c r="Z21">
        <f t="shared" si="35"/>
        <v>0</v>
      </c>
      <c r="AA21">
        <f t="shared" si="36"/>
        <v>0</v>
      </c>
      <c r="AE21">
        <f t="shared" si="37"/>
        <v>0</v>
      </c>
      <c r="AF21">
        <f t="shared" si="38"/>
        <v>0</v>
      </c>
      <c r="AG21">
        <f t="shared" si="39"/>
        <v>0</v>
      </c>
      <c r="AK21">
        <f t="shared" si="40"/>
        <v>0</v>
      </c>
      <c r="AL21">
        <f t="shared" si="41"/>
        <v>0</v>
      </c>
      <c r="AM21">
        <f t="shared" si="42"/>
        <v>0</v>
      </c>
      <c r="AN21">
        <f t="shared" si="43"/>
        <v>0</v>
      </c>
      <c r="AP21">
        <f t="shared" si="46"/>
        <v>0</v>
      </c>
      <c r="AQ21" s="4">
        <f t="shared" si="47"/>
        <v>0</v>
      </c>
      <c r="AR21" s="4">
        <f t="shared" si="44"/>
        <v>0</v>
      </c>
      <c r="AS21" s="4">
        <f t="shared" si="44"/>
        <v>0</v>
      </c>
      <c r="AT21" s="4">
        <f t="shared" si="44"/>
        <v>0</v>
      </c>
      <c r="AU21" s="4">
        <f t="shared" si="44"/>
        <v>0</v>
      </c>
      <c r="AV21" s="4">
        <f t="shared" si="44"/>
        <v>0</v>
      </c>
      <c r="AW21" s="4">
        <f t="shared" si="44"/>
        <v>0</v>
      </c>
      <c r="AX21" s="4">
        <f t="shared" si="44"/>
        <v>0</v>
      </c>
      <c r="AY21" s="4">
        <f t="shared" si="44"/>
        <v>0</v>
      </c>
      <c r="AZ21" s="4">
        <f t="shared" si="44"/>
        <v>0</v>
      </c>
      <c r="BA21" s="4">
        <f t="shared" si="44"/>
        <v>0</v>
      </c>
      <c r="BB21" s="4">
        <f t="shared" si="44"/>
        <v>0</v>
      </c>
      <c r="BC21" s="4">
        <f t="shared" si="44"/>
        <v>0</v>
      </c>
      <c r="BD21" s="4">
        <f t="shared" si="44"/>
        <v>0</v>
      </c>
      <c r="BE21" s="4">
        <f t="shared" si="44"/>
        <v>0</v>
      </c>
      <c r="BF21" s="4">
        <f t="shared" si="44"/>
        <v>0</v>
      </c>
      <c r="BG21" s="4">
        <f t="shared" si="44"/>
        <v>0</v>
      </c>
      <c r="BH21" s="4">
        <f t="shared" si="45"/>
        <v>0</v>
      </c>
      <c r="BI21" s="4">
        <f t="shared" si="45"/>
        <v>0</v>
      </c>
      <c r="BJ21" s="4">
        <f t="shared" si="45"/>
        <v>0</v>
      </c>
      <c r="BK21" s="4">
        <f t="shared" si="45"/>
        <v>0</v>
      </c>
      <c r="BL21" s="4">
        <f t="shared" si="45"/>
        <v>0</v>
      </c>
      <c r="BM21" s="4">
        <f t="shared" si="45"/>
        <v>0</v>
      </c>
      <c r="BN21" s="4">
        <f t="shared" si="45"/>
        <v>0</v>
      </c>
    </row>
    <row r="22" spans="1:66" x14ac:dyDescent="0.2">
      <c r="A22" t="s">
        <v>36</v>
      </c>
      <c r="B22" t="s">
        <v>10</v>
      </c>
      <c r="D22" t="s">
        <v>48</v>
      </c>
      <c r="G22" t="e">
        <f>AL28/AP28</f>
        <v>#DIV/0!</v>
      </c>
      <c r="K22">
        <f>AVERAGE(C39:C50)</f>
        <v>3.4166666666666665</v>
      </c>
      <c r="L22">
        <f>MEDIAN(C39:C50)</f>
        <v>3.5</v>
      </c>
      <c r="M22">
        <f>MAX(C39:C50)</f>
        <v>4</v>
      </c>
      <c r="N22">
        <f>_xlfn.STDEV.S(C39:C50)</f>
        <v>0.66855792342152087</v>
      </c>
      <c r="Z22">
        <f t="shared" si="35"/>
        <v>0</v>
      </c>
      <c r="AA22">
        <f t="shared" si="36"/>
        <v>0</v>
      </c>
      <c r="AE22">
        <f t="shared" si="37"/>
        <v>0</v>
      </c>
      <c r="AF22">
        <f t="shared" si="38"/>
        <v>1</v>
      </c>
      <c r="AG22">
        <f t="shared" si="39"/>
        <v>0</v>
      </c>
      <c r="AK22">
        <f t="shared" si="40"/>
        <v>0</v>
      </c>
      <c r="AL22">
        <f t="shared" si="41"/>
        <v>0</v>
      </c>
      <c r="AM22">
        <f t="shared" si="42"/>
        <v>0</v>
      </c>
      <c r="AN22">
        <f t="shared" si="43"/>
        <v>0</v>
      </c>
      <c r="AP22">
        <f t="shared" si="46"/>
        <v>0</v>
      </c>
      <c r="AQ22" s="4">
        <f t="shared" si="47"/>
        <v>0</v>
      </c>
      <c r="AR22" s="4">
        <f t="shared" si="44"/>
        <v>0</v>
      </c>
      <c r="AS22" s="4">
        <f t="shared" si="44"/>
        <v>0</v>
      </c>
      <c r="AT22" s="4">
        <f t="shared" si="44"/>
        <v>0</v>
      </c>
      <c r="AU22" s="4">
        <f t="shared" si="44"/>
        <v>0</v>
      </c>
      <c r="AV22" s="4">
        <f t="shared" si="44"/>
        <v>0</v>
      </c>
      <c r="AW22" s="4">
        <f t="shared" si="44"/>
        <v>0</v>
      </c>
      <c r="AX22" s="4">
        <f t="shared" si="44"/>
        <v>0</v>
      </c>
      <c r="AY22" s="4">
        <f t="shared" si="44"/>
        <v>0</v>
      </c>
      <c r="AZ22" s="4">
        <f t="shared" si="44"/>
        <v>0</v>
      </c>
      <c r="BA22" s="4">
        <f t="shared" si="44"/>
        <v>0</v>
      </c>
      <c r="BB22" s="4">
        <f t="shared" si="44"/>
        <v>0</v>
      </c>
      <c r="BC22" s="4">
        <f t="shared" si="44"/>
        <v>0</v>
      </c>
      <c r="BD22" s="4">
        <f t="shared" si="44"/>
        <v>0</v>
      </c>
      <c r="BE22" s="4">
        <f t="shared" si="44"/>
        <v>0</v>
      </c>
      <c r="BF22" s="4">
        <f t="shared" si="44"/>
        <v>0</v>
      </c>
      <c r="BG22" s="4">
        <f t="shared" si="44"/>
        <v>0</v>
      </c>
      <c r="BH22" s="4">
        <f t="shared" si="45"/>
        <v>0</v>
      </c>
      <c r="BI22" s="4">
        <f t="shared" si="45"/>
        <v>0</v>
      </c>
      <c r="BJ22" s="4">
        <f t="shared" si="45"/>
        <v>0</v>
      </c>
      <c r="BK22" s="4">
        <f t="shared" si="45"/>
        <v>0</v>
      </c>
      <c r="BL22" s="4">
        <f t="shared" si="45"/>
        <v>0</v>
      </c>
      <c r="BM22" s="4">
        <f t="shared" si="45"/>
        <v>0</v>
      </c>
      <c r="BN22" s="4">
        <f t="shared" si="45"/>
        <v>0</v>
      </c>
    </row>
    <row r="23" spans="1:66" x14ac:dyDescent="0.2">
      <c r="A23" t="s">
        <v>37</v>
      </c>
      <c r="B23" t="s">
        <v>25</v>
      </c>
      <c r="D23">
        <f>H16/A31</f>
        <v>0</v>
      </c>
      <c r="G23" t="s">
        <v>77</v>
      </c>
      <c r="K23" t="s">
        <v>8</v>
      </c>
      <c r="Z23">
        <f t="shared" si="35"/>
        <v>0</v>
      </c>
      <c r="AA23">
        <f t="shared" si="36"/>
        <v>0</v>
      </c>
      <c r="AE23">
        <f t="shared" si="37"/>
        <v>0</v>
      </c>
      <c r="AF23">
        <f t="shared" si="38"/>
        <v>0</v>
      </c>
      <c r="AG23">
        <f t="shared" si="39"/>
        <v>0</v>
      </c>
      <c r="AK23">
        <f t="shared" si="40"/>
        <v>0</v>
      </c>
      <c r="AL23">
        <f t="shared" si="41"/>
        <v>0</v>
      </c>
      <c r="AM23">
        <f t="shared" si="42"/>
        <v>0</v>
      </c>
      <c r="AN23">
        <f t="shared" si="43"/>
        <v>0</v>
      </c>
      <c r="AP23">
        <f t="shared" si="46"/>
        <v>0</v>
      </c>
      <c r="AQ23" s="4">
        <f t="shared" si="47"/>
        <v>0</v>
      </c>
      <c r="AR23" s="4">
        <f t="shared" si="44"/>
        <v>0</v>
      </c>
      <c r="AS23" s="4">
        <f t="shared" si="44"/>
        <v>0</v>
      </c>
      <c r="AT23" s="4">
        <f t="shared" si="44"/>
        <v>0</v>
      </c>
      <c r="AU23" s="4">
        <f t="shared" si="44"/>
        <v>0</v>
      </c>
      <c r="AV23" s="4">
        <f t="shared" si="44"/>
        <v>0</v>
      </c>
      <c r="AW23" s="4">
        <f t="shared" si="44"/>
        <v>0</v>
      </c>
      <c r="AX23" s="4">
        <f t="shared" si="44"/>
        <v>0</v>
      </c>
      <c r="AY23" s="4">
        <f t="shared" si="44"/>
        <v>0</v>
      </c>
      <c r="AZ23" s="4">
        <f t="shared" si="44"/>
        <v>0</v>
      </c>
      <c r="BA23" s="4">
        <f t="shared" si="44"/>
        <v>0</v>
      </c>
      <c r="BB23" s="4">
        <f t="shared" si="44"/>
        <v>0</v>
      </c>
      <c r="BC23" s="4">
        <f t="shared" si="44"/>
        <v>0</v>
      </c>
      <c r="BD23" s="4">
        <f t="shared" si="44"/>
        <v>0</v>
      </c>
      <c r="BE23" s="4">
        <f t="shared" si="44"/>
        <v>0</v>
      </c>
      <c r="BF23" s="4">
        <f t="shared" si="44"/>
        <v>0</v>
      </c>
      <c r="BG23" s="4">
        <f t="shared" si="44"/>
        <v>0</v>
      </c>
      <c r="BH23" s="4">
        <f t="shared" si="45"/>
        <v>0</v>
      </c>
      <c r="BI23" s="4">
        <f t="shared" si="45"/>
        <v>0</v>
      </c>
      <c r="BJ23" s="4">
        <f t="shared" si="45"/>
        <v>0</v>
      </c>
      <c r="BK23" s="4">
        <f t="shared" si="45"/>
        <v>0</v>
      </c>
      <c r="BL23" s="4">
        <f t="shared" si="45"/>
        <v>0</v>
      </c>
      <c r="BM23" s="4">
        <f t="shared" si="45"/>
        <v>0</v>
      </c>
      <c r="BN23" s="4">
        <f t="shared" si="45"/>
        <v>0</v>
      </c>
    </row>
    <row r="24" spans="1:66" x14ac:dyDescent="0.2">
      <c r="A24" t="s">
        <v>38</v>
      </c>
      <c r="B24" t="s">
        <v>26</v>
      </c>
      <c r="D24" t="s">
        <v>50</v>
      </c>
      <c r="G24" t="e">
        <f>AM28/AP28</f>
        <v>#DIV/0!</v>
      </c>
      <c r="K24" t="s">
        <v>57</v>
      </c>
      <c r="L24" t="s">
        <v>61</v>
      </c>
      <c r="M24" t="s">
        <v>59</v>
      </c>
      <c r="N24" t="s">
        <v>60</v>
      </c>
      <c r="Z24">
        <f t="shared" si="35"/>
        <v>0</v>
      </c>
      <c r="AA24">
        <f t="shared" si="36"/>
        <v>0</v>
      </c>
      <c r="AE24">
        <f t="shared" si="37"/>
        <v>0</v>
      </c>
      <c r="AF24">
        <f t="shared" si="38"/>
        <v>0</v>
      </c>
      <c r="AG24">
        <f t="shared" si="39"/>
        <v>0</v>
      </c>
      <c r="AK24">
        <f t="shared" si="40"/>
        <v>0</v>
      </c>
      <c r="AL24">
        <f t="shared" si="41"/>
        <v>0</v>
      </c>
      <c r="AM24">
        <f t="shared" si="42"/>
        <v>0</v>
      </c>
      <c r="AN24">
        <f t="shared" si="43"/>
        <v>0</v>
      </c>
      <c r="AP24">
        <f t="shared" si="46"/>
        <v>0</v>
      </c>
      <c r="AQ24" s="4">
        <f t="shared" si="47"/>
        <v>0</v>
      </c>
      <c r="AR24" s="4">
        <f t="shared" si="44"/>
        <v>0</v>
      </c>
      <c r="AS24" s="4">
        <f t="shared" si="44"/>
        <v>0</v>
      </c>
      <c r="AT24" s="4">
        <f t="shared" si="44"/>
        <v>0</v>
      </c>
      <c r="AU24" s="4">
        <f t="shared" si="44"/>
        <v>0</v>
      </c>
      <c r="AV24" s="4">
        <f t="shared" si="44"/>
        <v>0</v>
      </c>
      <c r="AW24" s="4">
        <f t="shared" si="44"/>
        <v>0</v>
      </c>
      <c r="AX24" s="4">
        <f t="shared" si="44"/>
        <v>0</v>
      </c>
      <c r="AY24" s="4">
        <f t="shared" si="44"/>
        <v>0</v>
      </c>
      <c r="AZ24" s="4">
        <f t="shared" si="44"/>
        <v>0</v>
      </c>
      <c r="BA24" s="4">
        <f t="shared" si="44"/>
        <v>0</v>
      </c>
      <c r="BB24" s="4">
        <f t="shared" si="44"/>
        <v>0</v>
      </c>
      <c r="BC24" s="4">
        <f t="shared" si="44"/>
        <v>0</v>
      </c>
      <c r="BD24" s="4">
        <f t="shared" si="44"/>
        <v>0</v>
      </c>
      <c r="BE24" s="4">
        <f t="shared" si="44"/>
        <v>0</v>
      </c>
      <c r="BF24" s="4">
        <f t="shared" si="44"/>
        <v>0</v>
      </c>
      <c r="BG24" s="4">
        <f t="shared" si="44"/>
        <v>0</v>
      </c>
      <c r="BH24" s="4">
        <f t="shared" si="45"/>
        <v>0</v>
      </c>
      <c r="BI24" s="4">
        <f t="shared" si="45"/>
        <v>0</v>
      </c>
      <c r="BJ24" s="4">
        <f t="shared" si="45"/>
        <v>0</v>
      </c>
      <c r="BK24" s="4">
        <f t="shared" si="45"/>
        <v>0</v>
      </c>
      <c r="BL24" s="4">
        <f t="shared" si="45"/>
        <v>0</v>
      </c>
      <c r="BM24" s="4">
        <f t="shared" si="45"/>
        <v>0</v>
      </c>
      <c r="BN24" s="4">
        <f t="shared" si="45"/>
        <v>0</v>
      </c>
    </row>
    <row r="25" spans="1:66" x14ac:dyDescent="0.2">
      <c r="A25" t="s">
        <v>39</v>
      </c>
      <c r="B25" t="s">
        <v>27</v>
      </c>
      <c r="D25">
        <f>Z28/A31</f>
        <v>0</v>
      </c>
      <c r="G25" t="s">
        <v>78</v>
      </c>
      <c r="K25">
        <f>AVERAGE(E39:E50)</f>
        <v>0</v>
      </c>
      <c r="L25">
        <f>MEDIAN(E39:E50)</f>
        <v>0</v>
      </c>
      <c r="M25">
        <f>MAX(E39:E50)</f>
        <v>0</v>
      </c>
      <c r="N25">
        <f>_xlfn.STDEV.S(E39:E50)</f>
        <v>0</v>
      </c>
      <c r="Z25">
        <f t="shared" si="35"/>
        <v>0</v>
      </c>
      <c r="AA25">
        <f t="shared" si="36"/>
        <v>0</v>
      </c>
      <c r="AE25">
        <f t="shared" si="37"/>
        <v>0</v>
      </c>
      <c r="AF25">
        <f t="shared" si="38"/>
        <v>0</v>
      </c>
      <c r="AG25">
        <f t="shared" si="39"/>
        <v>0</v>
      </c>
      <c r="AK25">
        <f t="shared" si="40"/>
        <v>0</v>
      </c>
      <c r="AL25">
        <f t="shared" si="41"/>
        <v>0</v>
      </c>
      <c r="AM25">
        <f t="shared" si="42"/>
        <v>0</v>
      </c>
      <c r="AN25">
        <f t="shared" si="43"/>
        <v>0</v>
      </c>
      <c r="AP25">
        <f t="shared" si="46"/>
        <v>0</v>
      </c>
      <c r="AQ25" s="4">
        <f t="shared" si="47"/>
        <v>0</v>
      </c>
      <c r="AR25" s="4">
        <f t="shared" si="44"/>
        <v>0</v>
      </c>
      <c r="AS25" s="4">
        <f t="shared" si="44"/>
        <v>0</v>
      </c>
      <c r="AT25" s="4">
        <f t="shared" si="44"/>
        <v>0</v>
      </c>
      <c r="AU25" s="4">
        <f t="shared" si="44"/>
        <v>0</v>
      </c>
      <c r="AV25" s="4">
        <f t="shared" si="44"/>
        <v>0</v>
      </c>
      <c r="AW25" s="4">
        <f t="shared" si="44"/>
        <v>0</v>
      </c>
      <c r="AX25" s="4">
        <f t="shared" si="44"/>
        <v>0</v>
      </c>
      <c r="AY25" s="4">
        <f t="shared" si="44"/>
        <v>0</v>
      </c>
      <c r="AZ25" s="4">
        <f t="shared" si="44"/>
        <v>0</v>
      </c>
      <c r="BA25" s="4">
        <f t="shared" si="44"/>
        <v>0</v>
      </c>
      <c r="BB25" s="4">
        <f t="shared" si="44"/>
        <v>0</v>
      </c>
      <c r="BC25" s="4">
        <f t="shared" si="44"/>
        <v>0</v>
      </c>
      <c r="BD25" s="4">
        <f t="shared" si="44"/>
        <v>0</v>
      </c>
      <c r="BE25" s="4">
        <f t="shared" si="44"/>
        <v>0</v>
      </c>
      <c r="BF25" s="4">
        <f t="shared" si="44"/>
        <v>0</v>
      </c>
      <c r="BG25" s="4">
        <f t="shared" si="44"/>
        <v>0</v>
      </c>
      <c r="BH25" s="4">
        <f t="shared" si="45"/>
        <v>0</v>
      </c>
      <c r="BI25" s="4">
        <f t="shared" si="45"/>
        <v>0</v>
      </c>
      <c r="BJ25" s="4">
        <f t="shared" si="45"/>
        <v>0</v>
      </c>
      <c r="BK25" s="4">
        <f t="shared" si="45"/>
        <v>0</v>
      </c>
      <c r="BL25" s="4">
        <f t="shared" si="45"/>
        <v>0</v>
      </c>
      <c r="BM25" s="4">
        <f t="shared" si="45"/>
        <v>0</v>
      </c>
      <c r="BN25" s="4">
        <f t="shared" si="45"/>
        <v>0</v>
      </c>
    </row>
    <row r="26" spans="1:66" x14ac:dyDescent="0.2">
      <c r="A26" t="s">
        <v>44</v>
      </c>
      <c r="D26" t="s">
        <v>51</v>
      </c>
      <c r="G26" t="e">
        <f>AN28/AP28</f>
        <v>#DIV/0!</v>
      </c>
      <c r="K26" t="s">
        <v>62</v>
      </c>
      <c r="P26" t="s">
        <v>19</v>
      </c>
      <c r="Z26">
        <f t="shared" si="35"/>
        <v>0</v>
      </c>
      <c r="AA26">
        <f t="shared" si="36"/>
        <v>0</v>
      </c>
      <c r="AE26">
        <f t="shared" si="37"/>
        <v>0</v>
      </c>
      <c r="AF26">
        <f t="shared" si="38"/>
        <v>0</v>
      </c>
      <c r="AG26">
        <f t="shared" si="39"/>
        <v>0</v>
      </c>
      <c r="AK26">
        <f t="shared" si="40"/>
        <v>0</v>
      </c>
      <c r="AL26">
        <f t="shared" si="41"/>
        <v>0</v>
      </c>
      <c r="AM26">
        <f t="shared" si="42"/>
        <v>0</v>
      </c>
      <c r="AN26">
        <f t="shared" si="43"/>
        <v>0</v>
      </c>
      <c r="AP26">
        <f t="shared" si="46"/>
        <v>0</v>
      </c>
      <c r="AQ26" s="4">
        <f t="shared" si="47"/>
        <v>0</v>
      </c>
      <c r="AR26" s="4">
        <f t="shared" si="44"/>
        <v>0</v>
      </c>
      <c r="AS26" s="4">
        <f t="shared" si="44"/>
        <v>0</v>
      </c>
      <c r="AT26" s="4">
        <f t="shared" si="44"/>
        <v>0</v>
      </c>
      <c r="AU26" s="4">
        <f t="shared" si="44"/>
        <v>0</v>
      </c>
      <c r="AV26" s="4">
        <f t="shared" si="44"/>
        <v>0</v>
      </c>
      <c r="AW26" s="4">
        <f t="shared" si="44"/>
        <v>0</v>
      </c>
      <c r="AX26" s="4">
        <f t="shared" si="44"/>
        <v>0</v>
      </c>
      <c r="AY26" s="4">
        <f t="shared" si="44"/>
        <v>0</v>
      </c>
      <c r="AZ26" s="4">
        <f t="shared" si="44"/>
        <v>0</v>
      </c>
      <c r="BA26" s="4">
        <f t="shared" si="44"/>
        <v>0</v>
      </c>
      <c r="BB26" s="4">
        <f t="shared" si="44"/>
        <v>0</v>
      </c>
      <c r="BC26" s="4">
        <f t="shared" si="44"/>
        <v>0</v>
      </c>
      <c r="BD26" s="4">
        <f t="shared" si="44"/>
        <v>0</v>
      </c>
      <c r="BE26" s="4">
        <f t="shared" si="44"/>
        <v>0</v>
      </c>
      <c r="BF26" s="4">
        <f t="shared" si="44"/>
        <v>0</v>
      </c>
      <c r="BG26" s="4">
        <f t="shared" si="44"/>
        <v>0</v>
      </c>
      <c r="BH26" s="4">
        <f t="shared" si="45"/>
        <v>0</v>
      </c>
      <c r="BI26" s="4">
        <f t="shared" si="45"/>
        <v>0</v>
      </c>
      <c r="BJ26" s="4">
        <f t="shared" si="45"/>
        <v>0</v>
      </c>
      <c r="BK26" s="4">
        <f t="shared" si="45"/>
        <v>0</v>
      </c>
      <c r="BL26" s="4">
        <f t="shared" si="45"/>
        <v>0</v>
      </c>
      <c r="BM26" s="4">
        <f t="shared" si="45"/>
        <v>0</v>
      </c>
      <c r="BN26" s="4">
        <f t="shared" si="45"/>
        <v>0</v>
      </c>
    </row>
    <row r="27" spans="1:66" x14ac:dyDescent="0.2">
      <c r="A27" t="s">
        <v>45</v>
      </c>
      <c r="D27">
        <f>AA28/A31</f>
        <v>0</v>
      </c>
      <c r="G27" t="s">
        <v>56</v>
      </c>
      <c r="K27" t="s">
        <v>57</v>
      </c>
      <c r="L27" t="s">
        <v>58</v>
      </c>
      <c r="M27" t="s">
        <v>59</v>
      </c>
      <c r="N27" t="s">
        <v>60</v>
      </c>
      <c r="P27" t="s">
        <v>57</v>
      </c>
      <c r="Q27" t="s">
        <v>58</v>
      </c>
      <c r="R27" t="s">
        <v>59</v>
      </c>
      <c r="S27" t="s">
        <v>60</v>
      </c>
      <c r="Z27">
        <f t="shared" si="35"/>
        <v>0</v>
      </c>
      <c r="AA27">
        <f t="shared" si="36"/>
        <v>0</v>
      </c>
      <c r="AE27">
        <f t="shared" si="37"/>
        <v>0</v>
      </c>
      <c r="AF27">
        <f t="shared" si="38"/>
        <v>0</v>
      </c>
      <c r="AG27">
        <f t="shared" si="39"/>
        <v>0</v>
      </c>
      <c r="AK27">
        <f t="shared" si="40"/>
        <v>0</v>
      </c>
      <c r="AL27">
        <f t="shared" si="41"/>
        <v>0</v>
      </c>
      <c r="AM27">
        <f t="shared" si="42"/>
        <v>0</v>
      </c>
      <c r="AN27">
        <f t="shared" si="43"/>
        <v>0</v>
      </c>
      <c r="AP27">
        <f t="shared" si="46"/>
        <v>0</v>
      </c>
      <c r="AQ27" s="4">
        <f t="shared" si="47"/>
        <v>0</v>
      </c>
      <c r="AR27" s="4">
        <f t="shared" si="44"/>
        <v>0</v>
      </c>
      <c r="AS27" s="4">
        <f t="shared" si="44"/>
        <v>0</v>
      </c>
      <c r="AT27" s="4">
        <f t="shared" si="44"/>
        <v>0</v>
      </c>
      <c r="AU27" s="4">
        <f t="shared" si="44"/>
        <v>0</v>
      </c>
      <c r="AV27" s="4">
        <f t="shared" si="44"/>
        <v>0</v>
      </c>
      <c r="AW27" s="4">
        <f t="shared" si="44"/>
        <v>0</v>
      </c>
      <c r="AX27" s="4">
        <f t="shared" si="44"/>
        <v>0</v>
      </c>
      <c r="AY27" s="4">
        <f t="shared" si="44"/>
        <v>0</v>
      </c>
      <c r="AZ27" s="4">
        <f t="shared" si="44"/>
        <v>0</v>
      </c>
      <c r="BA27" s="4">
        <f t="shared" si="44"/>
        <v>0</v>
      </c>
      <c r="BB27" s="4">
        <f t="shared" si="44"/>
        <v>0</v>
      </c>
      <c r="BC27" s="4">
        <f t="shared" si="44"/>
        <v>0</v>
      </c>
      <c r="BD27" s="4">
        <f t="shared" si="44"/>
        <v>0</v>
      </c>
      <c r="BE27" s="4">
        <f t="shared" si="44"/>
        <v>0</v>
      </c>
      <c r="BF27" s="4">
        <f t="shared" si="44"/>
        <v>0</v>
      </c>
      <c r="BG27" s="4">
        <f t="shared" si="44"/>
        <v>0</v>
      </c>
      <c r="BH27" s="4">
        <f t="shared" si="45"/>
        <v>0</v>
      </c>
      <c r="BI27" s="4">
        <f t="shared" si="45"/>
        <v>0</v>
      </c>
      <c r="BJ27" s="4">
        <f t="shared" si="45"/>
        <v>0</v>
      </c>
      <c r="BK27" s="4">
        <f t="shared" si="45"/>
        <v>0</v>
      </c>
      <c r="BL27" s="4">
        <f t="shared" si="45"/>
        <v>0</v>
      </c>
      <c r="BM27" s="4">
        <f t="shared" si="45"/>
        <v>0</v>
      </c>
      <c r="BN27" s="4">
        <f t="shared" si="45"/>
        <v>0</v>
      </c>
    </row>
    <row r="28" spans="1:66" x14ac:dyDescent="0.2">
      <c r="A28" t="s">
        <v>46</v>
      </c>
      <c r="D28" t="s">
        <v>202</v>
      </c>
      <c r="G28" t="s">
        <v>57</v>
      </c>
      <c r="H28" t="s">
        <v>58</v>
      </c>
      <c r="I28" t="s">
        <v>59</v>
      </c>
      <c r="J28" t="s">
        <v>60</v>
      </c>
      <c r="K28">
        <f>AVERAGE(G39:G50)</f>
        <v>0</v>
      </c>
      <c r="L28">
        <f>MEDIAN(G39:G50)</f>
        <v>0</v>
      </c>
      <c r="M28">
        <f>MAX(G39:G50)</f>
        <v>0</v>
      </c>
      <c r="N28">
        <f>_xlfn.STDEV.S(G39:G50)</f>
        <v>0</v>
      </c>
      <c r="P28">
        <f>AVERAGE(N39:N50)</f>
        <v>2.9166666666666665</v>
      </c>
      <c r="Q28">
        <f>MEDIAN(N39:N50)</f>
        <v>0</v>
      </c>
      <c r="R28">
        <f>MAX(N39:N50)</f>
        <v>11</v>
      </c>
      <c r="S28">
        <f>_xlfn.STDEV.S(N39:N50)</f>
        <v>4.1441817556958602</v>
      </c>
      <c r="Y28" t="s">
        <v>33</v>
      </c>
      <c r="Z28">
        <f>SUM(Z16:Z27)</f>
        <v>0</v>
      </c>
      <c r="AA28">
        <f>SUM(AA16:AA27)</f>
        <v>0</v>
      </c>
      <c r="AE28">
        <f>SUM(AE16:AE27)</f>
        <v>0</v>
      </c>
      <c r="AF28">
        <f>SUM(AF16:AF27)</f>
        <v>3</v>
      </c>
      <c r="AG28">
        <f>SUM(AG16:AG27)</f>
        <v>0</v>
      </c>
      <c r="AK28">
        <f>SUM(AK16:AK27)</f>
        <v>0</v>
      </c>
      <c r="AL28">
        <f>SUM(AL16:AL27)</f>
        <v>0</v>
      </c>
      <c r="AM28">
        <f>SUM(AM16:AM27)</f>
        <v>0</v>
      </c>
      <c r="AN28">
        <f>SUM(AN16:AN27)</f>
        <v>0</v>
      </c>
      <c r="AP28">
        <f>SUM(AP16:AP27)</f>
        <v>0</v>
      </c>
    </row>
    <row r="29" spans="1:66" x14ac:dyDescent="0.2">
      <c r="D29">
        <f>SUM(O39:O50)/F16</f>
        <v>0</v>
      </c>
      <c r="G29">
        <f>AVERAGE(A39:A50)</f>
        <v>0.25</v>
      </c>
      <c r="H29">
        <f>MEDIAN(A39:A50)</f>
        <v>0</v>
      </c>
      <c r="I29">
        <f>MAX(A39:A50)</f>
        <v>1</v>
      </c>
      <c r="J29">
        <f>_xlfn.STDEV.S(A39:A50)</f>
        <v>0.45226701686664544</v>
      </c>
      <c r="K29" t="s">
        <v>63</v>
      </c>
      <c r="P29" t="s">
        <v>148</v>
      </c>
    </row>
    <row r="30" spans="1:66" x14ac:dyDescent="0.2">
      <c r="A30" t="s">
        <v>147</v>
      </c>
      <c r="D30" t="s">
        <v>203</v>
      </c>
      <c r="G30" t="s">
        <v>50</v>
      </c>
      <c r="H30" t="s">
        <v>51</v>
      </c>
      <c r="I30" t="s">
        <v>89</v>
      </c>
      <c r="K30" t="s">
        <v>57</v>
      </c>
      <c r="L30" t="s">
        <v>58</v>
      </c>
      <c r="M30" t="s">
        <v>59</v>
      </c>
      <c r="N30" t="s">
        <v>60</v>
      </c>
      <c r="P30" t="s">
        <v>57</v>
      </c>
      <c r="Q30" t="s">
        <v>58</v>
      </c>
      <c r="R30" t="s">
        <v>59</v>
      </c>
      <c r="S30" t="s">
        <v>60</v>
      </c>
      <c r="W30" t="s">
        <v>148</v>
      </c>
      <c r="Y30" t="s">
        <v>149</v>
      </c>
      <c r="AH30" t="s">
        <v>79</v>
      </c>
    </row>
    <row r="31" spans="1:66" x14ac:dyDescent="0.2">
      <c r="A31">
        <f>COUNT(B4:B15)</f>
        <v>12</v>
      </c>
      <c r="D31" s="2">
        <f>SUM(S39:S50)/SUM(Q39:Q50)</f>
        <v>0</v>
      </c>
      <c r="G31">
        <f>AE28/A31</f>
        <v>0</v>
      </c>
      <c r="H31">
        <f>AF28/A31</f>
        <v>0.25</v>
      </c>
      <c r="I31">
        <f>AG28/A31</f>
        <v>0</v>
      </c>
      <c r="K31" t="e">
        <f>AVERAGE(I39:I50)</f>
        <v>#DIV/0!</v>
      </c>
      <c r="L31" t="e">
        <f>MEDIAN(I39:I50)</f>
        <v>#NUM!</v>
      </c>
      <c r="M31">
        <f>MAX(I39:I50)</f>
        <v>0</v>
      </c>
      <c r="N31" t="e">
        <f>_xlfn.STDEV.S(I39:I50)</f>
        <v>#DIV/0!</v>
      </c>
      <c r="P31" t="e">
        <f>AVERAGE(W31:W42)</f>
        <v>#DIV/0!</v>
      </c>
      <c r="Q31" t="e">
        <f>MEDIAN(W31:W42)</f>
        <v>#NUM!</v>
      </c>
      <c r="R31">
        <f>MAX(W31:W42)</f>
        <v>0</v>
      </c>
      <c r="S31" t="e">
        <f>_xlfn.STDEV.S(W31:W42)</f>
        <v>#DIV/0!</v>
      </c>
      <c r="W31" t="str">
        <f t="shared" ref="W31:W33" si="48">IF(AND(ISBLANK(Q4), ISBLANK(R4), ISBLANK(G4), ISBLANK(H4)), "", U4)</f>
        <v/>
      </c>
      <c r="Y31" t="str">
        <f t="shared" ref="Y31:Y42" si="49">IF(ISBLANK(Y4), IF(X4 = 0, "", (G4 + H4/3 + V4/9 + W4/3)), U4)</f>
        <v/>
      </c>
      <c r="AH31" t="s">
        <v>80</v>
      </c>
    </row>
    <row r="32" spans="1:66" x14ac:dyDescent="0.2">
      <c r="D32" s="3"/>
      <c r="K32" t="s">
        <v>64</v>
      </c>
      <c r="P32" t="s">
        <v>149</v>
      </c>
      <c r="W32" t="str">
        <f t="shared" si="48"/>
        <v/>
      </c>
      <c r="Y32" t="str">
        <f t="shared" si="49"/>
        <v/>
      </c>
      <c r="AH32" t="s">
        <v>81</v>
      </c>
    </row>
    <row r="33" spans="1:34" x14ac:dyDescent="0.2">
      <c r="D33" s="3"/>
      <c r="K33" t="s">
        <v>57</v>
      </c>
      <c r="L33" t="s">
        <v>58</v>
      </c>
      <c r="M33" t="s">
        <v>59</v>
      </c>
      <c r="N33" t="s">
        <v>60</v>
      </c>
      <c r="P33" t="s">
        <v>57</v>
      </c>
      <c r="Q33" t="s">
        <v>58</v>
      </c>
      <c r="R33" t="s">
        <v>59</v>
      </c>
      <c r="S33" t="s">
        <v>60</v>
      </c>
      <c r="W33" t="str">
        <f t="shared" si="48"/>
        <v/>
      </c>
      <c r="Y33" t="str">
        <f t="shared" si="49"/>
        <v/>
      </c>
      <c r="AH33" t="s">
        <v>82</v>
      </c>
    </row>
    <row r="34" spans="1:34" x14ac:dyDescent="0.2">
      <c r="D34" s="3"/>
      <c r="K34">
        <f>AVERAGE(K39:K50)</f>
        <v>0</v>
      </c>
      <c r="L34">
        <f>MEDIAN(K39:K50)</f>
        <v>0</v>
      </c>
      <c r="M34">
        <f>MAX(K39:K50)</f>
        <v>0</v>
      </c>
      <c r="N34">
        <f>_xlfn.STDEV.S(K39:K50)</f>
        <v>0</v>
      </c>
      <c r="P34" t="e">
        <f>AVERAGE(Y31:Y42)</f>
        <v>#DIV/0!</v>
      </c>
      <c r="Q34" t="e">
        <f>MEDIAN(Y31:Y42)</f>
        <v>#NUM!</v>
      </c>
      <c r="R34">
        <f>MAX(Y31:Y42)</f>
        <v>0</v>
      </c>
      <c r="S34" t="e">
        <f>_xlfn.STDEV.S(Y31:Y42)</f>
        <v>#DIV/0!</v>
      </c>
      <c r="W34" t="str">
        <f>IF(AND(ISBLANK(Q7), ISBLANK(R7), ISBLANK(G7), ISBLANK(H7)), "", U7)</f>
        <v/>
      </c>
      <c r="Y34" t="str">
        <f t="shared" si="49"/>
        <v/>
      </c>
      <c r="AH34" t="s">
        <v>83</v>
      </c>
    </row>
    <row r="35" spans="1:34" x14ac:dyDescent="0.2">
      <c r="P35" t="s">
        <v>95</v>
      </c>
      <c r="R35" t="s">
        <v>197</v>
      </c>
      <c r="W35" t="str">
        <f t="shared" ref="W35:W42" si="50">IF(AND(ISBLANK(Q8), ISBLANK(R8), ISBLANK(G8), ISBLANK(H8)), "", U8)</f>
        <v/>
      </c>
      <c r="Y35" t="str">
        <f t="shared" si="49"/>
        <v/>
      </c>
    </row>
    <row r="36" spans="1:34" x14ac:dyDescent="0.2">
      <c r="P36" t="e">
        <f>Q16/(Q16+R16)</f>
        <v>#DIV/0!</v>
      </c>
      <c r="R36" t="e">
        <f>R16/(Q16+R16)</f>
        <v>#DIV/0!</v>
      </c>
      <c r="W36" t="str">
        <f t="shared" si="50"/>
        <v/>
      </c>
      <c r="Y36" t="str">
        <f t="shared" si="49"/>
        <v/>
      </c>
    </row>
    <row r="37" spans="1:34" x14ac:dyDescent="0.2">
      <c r="W37" t="str">
        <f t="shared" si="50"/>
        <v/>
      </c>
      <c r="Y37" t="str">
        <f t="shared" si="49"/>
        <v/>
      </c>
    </row>
    <row r="38" spans="1:34" x14ac:dyDescent="0.2">
      <c r="A38" t="s">
        <v>68</v>
      </c>
      <c r="C38" t="s">
        <v>69</v>
      </c>
      <c r="E38" t="s">
        <v>72</v>
      </c>
      <c r="G38" t="s">
        <v>250</v>
      </c>
      <c r="K38" t="s">
        <v>73</v>
      </c>
      <c r="M38" t="s">
        <v>70</v>
      </c>
      <c r="N38" t="s">
        <v>71</v>
      </c>
      <c r="O38" t="s">
        <v>199</v>
      </c>
      <c r="Q38" t="s">
        <v>200</v>
      </c>
      <c r="S38" t="s">
        <v>201</v>
      </c>
      <c r="W38" t="str">
        <f t="shared" si="50"/>
        <v/>
      </c>
      <c r="Y38" t="str">
        <f t="shared" si="49"/>
        <v/>
      </c>
    </row>
    <row r="39" spans="1:34" x14ac:dyDescent="0.2">
      <c r="A39">
        <f t="shared" ref="A39:A50" si="51">IF(ISBLANK(B4), "", SUM(AE16+AF16+AG16))</f>
        <v>0</v>
      </c>
      <c r="C39">
        <f t="shared" ref="C39:C50" si="52">IF(ISBLANK(B4), "", O4)</f>
        <v>4</v>
      </c>
      <c r="E39">
        <f t="shared" ref="E39:E50" si="53">IF(ISBLANK(B4), "", Q4)</f>
        <v>0</v>
      </c>
      <c r="G39">
        <f t="shared" ref="G39:G50" si="54">IF(ISBLANK(B4), "", R4)</f>
        <v>0</v>
      </c>
      <c r="K39">
        <f t="shared" ref="K39:K50" si="55">IF(ISBLANK(B4), "", SUM(Q4 + R4))</f>
        <v>0</v>
      </c>
      <c r="M39">
        <f t="shared" ref="M39:M50" si="56">IF(ISBLANK(B4), "", SUM(K4+M4) - O4)</f>
        <v>-1</v>
      </c>
      <c r="N39">
        <f t="shared" ref="N39:N50" si="57">IF(ISBLANK(B4), "", U4)</f>
        <v>0</v>
      </c>
      <c r="O39">
        <f t="shared" ref="O39:O50" si="58">COUNTIF(E4, "1")*COUNTIF(F4, "1")</f>
        <v>0</v>
      </c>
      <c r="Q39">
        <f t="shared" ref="Q39:Q50" si="59">COUNTIF(D4, "1")*COUNTIF(F4, "")</f>
        <v>1</v>
      </c>
      <c r="S39">
        <f t="shared" ref="S39:S50" si="60">COUNTIF(E4, "1")*COUNTIF(F4, "")</f>
        <v>0</v>
      </c>
      <c r="W39" t="str">
        <f t="shared" si="50"/>
        <v/>
      </c>
      <c r="Y39" t="str">
        <f t="shared" si="49"/>
        <v/>
      </c>
    </row>
    <row r="40" spans="1:34" x14ac:dyDescent="0.2">
      <c r="A40">
        <f t="shared" si="51"/>
        <v>0</v>
      </c>
      <c r="C40">
        <f t="shared" si="52"/>
        <v>3</v>
      </c>
      <c r="E40">
        <f t="shared" si="53"/>
        <v>0</v>
      </c>
      <c r="G40">
        <f t="shared" si="54"/>
        <v>0</v>
      </c>
      <c r="K40">
        <f t="shared" si="55"/>
        <v>0</v>
      </c>
      <c r="M40">
        <f t="shared" si="56"/>
        <v>-1</v>
      </c>
      <c r="N40">
        <f t="shared" si="57"/>
        <v>0</v>
      </c>
      <c r="O40">
        <f t="shared" si="58"/>
        <v>0</v>
      </c>
      <c r="Q40">
        <f t="shared" si="59"/>
        <v>0</v>
      </c>
      <c r="S40">
        <f t="shared" si="60"/>
        <v>0</v>
      </c>
      <c r="W40" t="str">
        <f t="shared" si="50"/>
        <v/>
      </c>
      <c r="Y40" t="str">
        <f t="shared" si="49"/>
        <v/>
      </c>
    </row>
    <row r="41" spans="1:34" x14ac:dyDescent="0.2">
      <c r="A41">
        <f t="shared" si="51"/>
        <v>1</v>
      </c>
      <c r="C41">
        <f t="shared" si="52"/>
        <v>4</v>
      </c>
      <c r="E41">
        <f t="shared" si="53"/>
        <v>0</v>
      </c>
      <c r="G41">
        <f t="shared" si="54"/>
        <v>0</v>
      </c>
      <c r="K41">
        <f t="shared" si="55"/>
        <v>0</v>
      </c>
      <c r="M41">
        <f t="shared" si="56"/>
        <v>0</v>
      </c>
      <c r="N41">
        <f t="shared" si="57"/>
        <v>0</v>
      </c>
      <c r="O41">
        <f t="shared" si="58"/>
        <v>0</v>
      </c>
      <c r="Q41">
        <f t="shared" si="59"/>
        <v>0</v>
      </c>
      <c r="S41">
        <f t="shared" si="60"/>
        <v>0</v>
      </c>
      <c r="W41" t="str">
        <f t="shared" si="50"/>
        <v/>
      </c>
      <c r="Y41" t="str">
        <f t="shared" si="49"/>
        <v/>
      </c>
    </row>
    <row r="42" spans="1:34" x14ac:dyDescent="0.2">
      <c r="A42">
        <f t="shared" si="51"/>
        <v>0</v>
      </c>
      <c r="C42">
        <f t="shared" si="52"/>
        <v>3</v>
      </c>
      <c r="E42">
        <f t="shared" si="53"/>
        <v>0</v>
      </c>
      <c r="G42">
        <f t="shared" si="54"/>
        <v>0</v>
      </c>
      <c r="K42">
        <f t="shared" si="55"/>
        <v>0</v>
      </c>
      <c r="M42">
        <f t="shared" si="56"/>
        <v>0</v>
      </c>
      <c r="N42">
        <f t="shared" si="57"/>
        <v>0</v>
      </c>
      <c r="O42">
        <f t="shared" si="58"/>
        <v>0</v>
      </c>
      <c r="Q42">
        <f t="shared" si="59"/>
        <v>0</v>
      </c>
      <c r="S42">
        <f t="shared" si="60"/>
        <v>0</v>
      </c>
      <c r="W42" t="str">
        <f t="shared" si="50"/>
        <v/>
      </c>
      <c r="Y42" t="str">
        <f t="shared" si="49"/>
        <v/>
      </c>
    </row>
    <row r="43" spans="1:34" x14ac:dyDescent="0.2">
      <c r="A43">
        <f t="shared" si="51"/>
        <v>1</v>
      </c>
      <c r="C43">
        <f t="shared" si="52"/>
        <v>4</v>
      </c>
      <c r="E43">
        <f t="shared" si="53"/>
        <v>0</v>
      </c>
      <c r="G43">
        <f t="shared" si="54"/>
        <v>0</v>
      </c>
      <c r="K43">
        <f t="shared" si="55"/>
        <v>0</v>
      </c>
      <c r="M43">
        <f t="shared" si="56"/>
        <v>0</v>
      </c>
      <c r="N43">
        <f t="shared" si="57"/>
        <v>0</v>
      </c>
      <c r="O43">
        <f t="shared" si="58"/>
        <v>0</v>
      </c>
      <c r="Q43">
        <f t="shared" si="59"/>
        <v>0</v>
      </c>
      <c r="S43">
        <f t="shared" si="60"/>
        <v>0</v>
      </c>
    </row>
    <row r="44" spans="1:34" x14ac:dyDescent="0.2">
      <c r="A44">
        <f t="shared" si="51"/>
        <v>0</v>
      </c>
      <c r="C44">
        <f t="shared" si="52"/>
        <v>4</v>
      </c>
      <c r="E44">
        <f t="shared" si="53"/>
        <v>0</v>
      </c>
      <c r="G44">
        <f t="shared" si="54"/>
        <v>0</v>
      </c>
      <c r="K44">
        <f t="shared" si="55"/>
        <v>0</v>
      </c>
      <c r="M44">
        <f t="shared" si="56"/>
        <v>-1</v>
      </c>
      <c r="N44">
        <f t="shared" si="57"/>
        <v>11</v>
      </c>
      <c r="O44">
        <f t="shared" si="58"/>
        <v>0</v>
      </c>
      <c r="Q44">
        <f t="shared" si="59"/>
        <v>0</v>
      </c>
      <c r="S44">
        <f t="shared" si="60"/>
        <v>0</v>
      </c>
    </row>
    <row r="45" spans="1:34" x14ac:dyDescent="0.2">
      <c r="A45">
        <f t="shared" si="51"/>
        <v>1</v>
      </c>
      <c r="C45">
        <f t="shared" si="52"/>
        <v>4</v>
      </c>
      <c r="E45">
        <f t="shared" si="53"/>
        <v>0</v>
      </c>
      <c r="G45">
        <f t="shared" si="54"/>
        <v>0</v>
      </c>
      <c r="K45">
        <f t="shared" si="55"/>
        <v>0</v>
      </c>
      <c r="M45">
        <f t="shared" si="56"/>
        <v>-1</v>
      </c>
      <c r="N45">
        <f t="shared" si="57"/>
        <v>6</v>
      </c>
      <c r="O45">
        <f t="shared" si="58"/>
        <v>0</v>
      </c>
      <c r="Q45">
        <f t="shared" si="59"/>
        <v>0</v>
      </c>
      <c r="S45">
        <f t="shared" si="60"/>
        <v>0</v>
      </c>
    </row>
    <row r="46" spans="1:34" x14ac:dyDescent="0.2">
      <c r="A46">
        <f t="shared" si="51"/>
        <v>0</v>
      </c>
      <c r="C46">
        <f t="shared" si="52"/>
        <v>4</v>
      </c>
      <c r="E46">
        <f t="shared" si="53"/>
        <v>0</v>
      </c>
      <c r="G46">
        <f t="shared" si="54"/>
        <v>0</v>
      </c>
      <c r="K46">
        <f t="shared" si="55"/>
        <v>0</v>
      </c>
      <c r="M46">
        <f t="shared" si="56"/>
        <v>-1</v>
      </c>
      <c r="N46">
        <f t="shared" si="57"/>
        <v>2</v>
      </c>
      <c r="O46">
        <f t="shared" si="58"/>
        <v>0</v>
      </c>
      <c r="Q46">
        <f t="shared" si="59"/>
        <v>0</v>
      </c>
      <c r="S46">
        <f t="shared" si="60"/>
        <v>0</v>
      </c>
    </row>
    <row r="47" spans="1:34" x14ac:dyDescent="0.2">
      <c r="A47">
        <f t="shared" si="51"/>
        <v>0</v>
      </c>
      <c r="C47">
        <f t="shared" si="52"/>
        <v>2</v>
      </c>
      <c r="E47">
        <f t="shared" si="53"/>
        <v>0</v>
      </c>
      <c r="G47">
        <f t="shared" si="54"/>
        <v>0</v>
      </c>
      <c r="K47">
        <f t="shared" si="55"/>
        <v>0</v>
      </c>
      <c r="M47">
        <f t="shared" si="56"/>
        <v>1</v>
      </c>
      <c r="N47">
        <f t="shared" si="57"/>
        <v>7</v>
      </c>
      <c r="O47">
        <f t="shared" si="58"/>
        <v>0</v>
      </c>
      <c r="Q47">
        <f t="shared" si="59"/>
        <v>0</v>
      </c>
      <c r="S47">
        <f t="shared" si="60"/>
        <v>0</v>
      </c>
    </row>
    <row r="48" spans="1:34" x14ac:dyDescent="0.2">
      <c r="A48">
        <f t="shared" si="51"/>
        <v>0</v>
      </c>
      <c r="C48">
        <f t="shared" si="52"/>
        <v>3</v>
      </c>
      <c r="E48">
        <f t="shared" si="53"/>
        <v>0</v>
      </c>
      <c r="G48">
        <f t="shared" si="54"/>
        <v>0</v>
      </c>
      <c r="K48">
        <f t="shared" si="55"/>
        <v>0</v>
      </c>
      <c r="M48">
        <f t="shared" si="56"/>
        <v>0</v>
      </c>
      <c r="N48">
        <f t="shared" si="57"/>
        <v>0</v>
      </c>
      <c r="O48">
        <f t="shared" si="58"/>
        <v>0</v>
      </c>
      <c r="Q48">
        <f t="shared" si="59"/>
        <v>0</v>
      </c>
      <c r="S48">
        <f t="shared" si="60"/>
        <v>0</v>
      </c>
    </row>
    <row r="49" spans="1:19" x14ac:dyDescent="0.2">
      <c r="A49">
        <f t="shared" si="51"/>
        <v>0</v>
      </c>
      <c r="C49">
        <f t="shared" si="52"/>
        <v>3</v>
      </c>
      <c r="E49">
        <f t="shared" si="53"/>
        <v>0</v>
      </c>
      <c r="G49">
        <f t="shared" si="54"/>
        <v>0</v>
      </c>
      <c r="K49">
        <f t="shared" si="55"/>
        <v>0</v>
      </c>
      <c r="M49">
        <f t="shared" si="56"/>
        <v>1</v>
      </c>
      <c r="N49">
        <f t="shared" si="57"/>
        <v>9</v>
      </c>
      <c r="O49">
        <f t="shared" si="58"/>
        <v>0</v>
      </c>
      <c r="Q49">
        <f t="shared" si="59"/>
        <v>0</v>
      </c>
      <c r="S49">
        <f t="shared" si="60"/>
        <v>0</v>
      </c>
    </row>
    <row r="50" spans="1:19" x14ac:dyDescent="0.2">
      <c r="A50">
        <f t="shared" si="51"/>
        <v>0</v>
      </c>
      <c r="C50">
        <f t="shared" si="52"/>
        <v>3</v>
      </c>
      <c r="E50">
        <f t="shared" si="53"/>
        <v>0</v>
      </c>
      <c r="G50">
        <f t="shared" si="54"/>
        <v>0</v>
      </c>
      <c r="K50">
        <f t="shared" si="55"/>
        <v>0</v>
      </c>
      <c r="M50">
        <f t="shared" si="56"/>
        <v>0</v>
      </c>
      <c r="N50">
        <f t="shared" si="57"/>
        <v>0</v>
      </c>
      <c r="O50">
        <f t="shared" si="58"/>
        <v>0</v>
      </c>
      <c r="Q50">
        <f t="shared" si="59"/>
        <v>0</v>
      </c>
      <c r="S50">
        <f t="shared" si="60"/>
        <v>0</v>
      </c>
    </row>
  </sheetData>
  <pageMargins left="0.7" right="0.7" top="0.75" bottom="0.75" header="0.3" footer="0.3"/>
  <legacy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 enableFormatConditionsCalculation="0"/>
  <dimension ref="A1:BN50"/>
  <sheetViews>
    <sheetView topLeftCell="A10" workbookViewId="0">
      <selection activeCell="U15" sqref="U15"/>
    </sheetView>
  </sheetViews>
  <sheetFormatPr baseColWidth="10" defaultRowHeight="15" x14ac:dyDescent="0.2"/>
  <sheetData>
    <row r="1" spans="1:66" x14ac:dyDescent="0.2">
      <c r="A1" s="1" t="s">
        <v>0</v>
      </c>
      <c r="D1" t="s">
        <v>3</v>
      </c>
      <c r="K1" t="s">
        <v>11</v>
      </c>
      <c r="N1" t="s">
        <v>12</v>
      </c>
      <c r="P1" t="s">
        <v>14</v>
      </c>
      <c r="Q1" t="s">
        <v>17</v>
      </c>
      <c r="S1" t="s">
        <v>18</v>
      </c>
      <c r="Z1" t="s">
        <v>29</v>
      </c>
      <c r="AE1" t="s">
        <v>30</v>
      </c>
      <c r="AK1" t="s">
        <v>42</v>
      </c>
    </row>
    <row r="2" spans="1:66" x14ac:dyDescent="0.2">
      <c r="A2" t="s">
        <v>1</v>
      </c>
      <c r="B2" t="s">
        <v>1</v>
      </c>
      <c r="C2" t="s">
        <v>87</v>
      </c>
      <c r="D2" t="s">
        <v>54</v>
      </c>
      <c r="E2" t="s">
        <v>13</v>
      </c>
      <c r="F2" t="s">
        <v>198</v>
      </c>
      <c r="G2" t="s">
        <v>7</v>
      </c>
      <c r="H2" t="s">
        <v>8</v>
      </c>
      <c r="I2" t="s">
        <v>179</v>
      </c>
      <c r="J2" t="s">
        <v>178</v>
      </c>
      <c r="K2" t="s">
        <v>9</v>
      </c>
      <c r="L2" t="s">
        <v>196</v>
      </c>
      <c r="M2" t="s">
        <v>10</v>
      </c>
      <c r="N2" t="s">
        <v>54</v>
      </c>
      <c r="O2" t="s">
        <v>13</v>
      </c>
      <c r="P2" t="s">
        <v>15</v>
      </c>
      <c r="Q2" t="s">
        <v>8</v>
      </c>
      <c r="R2" t="s">
        <v>7</v>
      </c>
      <c r="S2" t="s">
        <v>181</v>
      </c>
      <c r="T2" t="s">
        <v>182</v>
      </c>
      <c r="U2" t="s">
        <v>19</v>
      </c>
      <c r="V2" t="s">
        <v>191</v>
      </c>
      <c r="W2" t="s">
        <v>192</v>
      </c>
      <c r="X2" t="s">
        <v>175</v>
      </c>
      <c r="Y2" t="s">
        <v>173</v>
      </c>
      <c r="Z2" t="str">
        <f t="shared" ref="Z2:Z13" si="0">LEFT(I4, 1)</f>
        <v/>
      </c>
      <c r="AA2" t="str">
        <f t="shared" ref="AA2:AA13" si="1">MID(I4, 4, 1)</f>
        <v/>
      </c>
      <c r="AB2" t="str">
        <f t="shared" ref="AB2:AB13" si="2">MID(I4, 7, 1)</f>
        <v/>
      </c>
      <c r="AC2" t="str">
        <f t="shared" ref="AC2:AC13" si="3">MID(I4, 10, 1)</f>
        <v/>
      </c>
      <c r="AE2" t="str">
        <f t="shared" ref="AE2:AE13" si="4">LEFT(J4, 1)</f>
        <v/>
      </c>
      <c r="AF2" t="str">
        <f t="shared" ref="AF2:AF13" si="5">MID(J4, 4, 1)</f>
        <v/>
      </c>
      <c r="AG2" t="str">
        <f t="shared" ref="AG2:AG13" si="6">MID(J4, 7, 1)</f>
        <v/>
      </c>
      <c r="AH2" t="str">
        <f t="shared" ref="AH2:AH13" si="7">MID(J4, 10, 1)</f>
        <v/>
      </c>
      <c r="AI2" t="str">
        <f t="shared" ref="AI2:AI13" si="8">MID(J4, 13, 1)</f>
        <v/>
      </c>
      <c r="AK2" t="str">
        <f t="shared" ref="AK2:AK13" si="9">LEFT(P4, 2)</f>
        <v/>
      </c>
      <c r="AL2" t="str">
        <f>MID($P4, 5, 2)</f>
        <v/>
      </c>
      <c r="AM2" t="str">
        <f t="shared" ref="AM2:AM13" si="10">MID($P4, 9, 2)</f>
        <v/>
      </c>
      <c r="AN2" t="str">
        <f t="shared" ref="AN2:AN13" si="11">MID($P4, 13, 2)</f>
        <v/>
      </c>
      <c r="AO2" t="str">
        <f t="shared" ref="AO2:AO13" si="12">MID($P4, 17, 2)</f>
        <v/>
      </c>
      <c r="AP2" t="str">
        <f t="shared" ref="AP2:AP13" si="13">MID($P4, 21, 2)</f>
        <v/>
      </c>
      <c r="AQ2" t="str">
        <f t="shared" ref="AQ2:AQ13" si="14">MID($P4, 25, 2)</f>
        <v/>
      </c>
      <c r="AR2" t="str">
        <f t="shared" ref="AR2:AR13" si="15">MID($P4, 29, 2)</f>
        <v/>
      </c>
      <c r="AS2" t="str">
        <f t="shared" ref="AS2:AS13" si="16">MID($P4, 33, 2)</f>
        <v/>
      </c>
      <c r="AT2" t="str">
        <f t="shared" ref="AT2:AT13" si="17">MID($P4, 37, 2)</f>
        <v/>
      </c>
      <c r="AU2" t="str">
        <f t="shared" ref="AU2:AU13" si="18">MID($P4, 41, 2)</f>
        <v/>
      </c>
      <c r="AV2" t="str">
        <f t="shared" ref="AV2:AV13" si="19">MID($P4, 45, 2)</f>
        <v/>
      </c>
      <c r="AW2" t="str">
        <f t="shared" ref="AW2:AW13" si="20">MID($P4, 49, 2)</f>
        <v/>
      </c>
      <c r="AX2" t="str">
        <f t="shared" ref="AX2:AX13" si="21">MID($P4, 53, 2)</f>
        <v/>
      </c>
      <c r="AY2" t="str">
        <f t="shared" ref="AY2:AY13" si="22">MID($P4, 57, 2)</f>
        <v/>
      </c>
      <c r="AZ2" t="str">
        <f t="shared" ref="AZ2:AZ13" si="23">MID($P4, 61, 2)</f>
        <v/>
      </c>
      <c r="BA2" t="str">
        <f t="shared" ref="BA2:BA13" si="24">MID($P4, 65, 2)</f>
        <v/>
      </c>
      <c r="BB2" t="str">
        <f t="shared" ref="BB2:BB13" si="25">MID($P4, 69, 2)</f>
        <v/>
      </c>
      <c r="BC2" t="str">
        <f t="shared" ref="BC2:BC13" si="26">MID($P4, 73, 2)</f>
        <v/>
      </c>
      <c r="BD2" t="str">
        <f t="shared" ref="BD2:BD13" si="27">MID($P4, 77, 2)</f>
        <v/>
      </c>
      <c r="BE2" t="str">
        <f t="shared" ref="BE2:BE13" si="28">MID($P4, 81, 2)</f>
        <v/>
      </c>
      <c r="BF2" t="str">
        <f t="shared" ref="BF2:BF13" si="29">MID($P4, 85, 2)</f>
        <v/>
      </c>
      <c r="BG2" t="str">
        <f t="shared" ref="BG2:BG13" si="30">MID($P4, 89, 2)</f>
        <v/>
      </c>
      <c r="BH2" t="str">
        <f t="shared" ref="BH2:BH13" si="31">MID($P4, 93, 2)</f>
        <v/>
      </c>
    </row>
    <row r="3" spans="1:66" x14ac:dyDescent="0.2">
      <c r="A3" t="s">
        <v>2</v>
      </c>
      <c r="B3" t="s">
        <v>6</v>
      </c>
      <c r="C3" t="s">
        <v>88</v>
      </c>
      <c r="D3" t="s">
        <v>6</v>
      </c>
      <c r="E3" t="s">
        <v>6</v>
      </c>
      <c r="F3" t="s">
        <v>4</v>
      </c>
      <c r="G3" t="s">
        <v>6</v>
      </c>
      <c r="H3" t="s">
        <v>6</v>
      </c>
      <c r="I3" t="s">
        <v>86</v>
      </c>
      <c r="J3" t="s">
        <v>86</v>
      </c>
      <c r="K3" t="s">
        <v>6</v>
      </c>
      <c r="L3" t="s">
        <v>6</v>
      </c>
      <c r="M3" t="s">
        <v>6</v>
      </c>
      <c r="N3" t="s">
        <v>6</v>
      </c>
      <c r="O3" t="s">
        <v>6</v>
      </c>
      <c r="P3" t="s">
        <v>16</v>
      </c>
      <c r="Q3" t="s">
        <v>6</v>
      </c>
      <c r="R3" t="s">
        <v>6</v>
      </c>
      <c r="S3" t="s">
        <v>4</v>
      </c>
      <c r="T3" t="s">
        <v>4</v>
      </c>
      <c r="U3" t="s">
        <v>6</v>
      </c>
      <c r="V3" t="s">
        <v>6</v>
      </c>
      <c r="W3" t="s">
        <v>6</v>
      </c>
      <c r="X3" t="s">
        <v>6</v>
      </c>
      <c r="Y3" t="s">
        <v>174</v>
      </c>
      <c r="Z3" t="str">
        <f t="shared" si="0"/>
        <v/>
      </c>
      <c r="AA3" t="str">
        <f t="shared" si="1"/>
        <v/>
      </c>
      <c r="AB3" t="str">
        <f t="shared" si="2"/>
        <v/>
      </c>
      <c r="AC3" t="str">
        <f t="shared" si="3"/>
        <v/>
      </c>
      <c r="AE3" t="str">
        <f t="shared" si="4"/>
        <v/>
      </c>
      <c r="AF3" t="str">
        <f t="shared" si="5"/>
        <v/>
      </c>
      <c r="AG3" t="str">
        <f t="shared" si="6"/>
        <v/>
      </c>
      <c r="AH3" t="str">
        <f t="shared" si="7"/>
        <v/>
      </c>
      <c r="AI3" t="str">
        <f t="shared" si="8"/>
        <v/>
      </c>
      <c r="AK3" t="str">
        <f t="shared" si="9"/>
        <v/>
      </c>
      <c r="AL3" t="str">
        <f t="shared" ref="AL3:AL13" si="32">MID(P5, 5, 2)</f>
        <v/>
      </c>
      <c r="AM3" t="str">
        <f t="shared" si="10"/>
        <v/>
      </c>
      <c r="AN3" t="str">
        <f t="shared" si="11"/>
        <v/>
      </c>
      <c r="AO3" t="str">
        <f t="shared" si="12"/>
        <v/>
      </c>
      <c r="AP3" t="str">
        <f t="shared" si="13"/>
        <v/>
      </c>
      <c r="AQ3" t="str">
        <f t="shared" si="14"/>
        <v/>
      </c>
      <c r="AR3" t="str">
        <f t="shared" si="15"/>
        <v/>
      </c>
      <c r="AS3" t="str">
        <f t="shared" si="16"/>
        <v/>
      </c>
      <c r="AT3" t="str">
        <f t="shared" si="17"/>
        <v/>
      </c>
      <c r="AU3" t="str">
        <f t="shared" si="18"/>
        <v/>
      </c>
      <c r="AV3" t="str">
        <f t="shared" si="19"/>
        <v/>
      </c>
      <c r="AW3" t="str">
        <f t="shared" si="20"/>
        <v/>
      </c>
      <c r="AX3" t="str">
        <f t="shared" si="21"/>
        <v/>
      </c>
      <c r="AY3" t="str">
        <f t="shared" si="22"/>
        <v/>
      </c>
      <c r="AZ3" t="str">
        <f t="shared" si="23"/>
        <v/>
      </c>
      <c r="BA3" t="str">
        <f t="shared" si="24"/>
        <v/>
      </c>
      <c r="BB3" t="str">
        <f t="shared" si="25"/>
        <v/>
      </c>
      <c r="BC3" t="str">
        <f t="shared" si="26"/>
        <v/>
      </c>
      <c r="BD3" t="str">
        <f t="shared" si="27"/>
        <v/>
      </c>
      <c r="BE3" t="str">
        <f t="shared" si="28"/>
        <v/>
      </c>
      <c r="BF3" t="str">
        <f t="shared" si="29"/>
        <v/>
      </c>
      <c r="BG3" t="str">
        <f t="shared" si="30"/>
        <v/>
      </c>
      <c r="BH3" t="str">
        <f t="shared" si="31"/>
        <v/>
      </c>
    </row>
    <row r="4" spans="1:66" x14ac:dyDescent="0.2">
      <c r="A4">
        <v>1</v>
      </c>
      <c r="B4">
        <v>5</v>
      </c>
      <c r="C4" t="s">
        <v>207</v>
      </c>
      <c r="D4">
        <v>1</v>
      </c>
      <c r="K4">
        <v>2</v>
      </c>
      <c r="M4">
        <v>2</v>
      </c>
      <c r="N4">
        <v>4</v>
      </c>
      <c r="O4">
        <v>4</v>
      </c>
      <c r="S4">
        <v>1</v>
      </c>
      <c r="T4">
        <v>1</v>
      </c>
      <c r="U4">
        <v>6</v>
      </c>
      <c r="X4">
        <f t="shared" ref="X4:X15" si="33">G4+H4+Q4+R4</f>
        <v>0</v>
      </c>
      <c r="Z4" t="str">
        <f t="shared" si="0"/>
        <v/>
      </c>
      <c r="AA4" t="str">
        <f t="shared" si="1"/>
        <v/>
      </c>
      <c r="AB4" t="str">
        <f t="shared" si="2"/>
        <v/>
      </c>
      <c r="AC4" t="str">
        <f t="shared" si="3"/>
        <v/>
      </c>
      <c r="AE4" t="str">
        <f t="shared" si="4"/>
        <v>2</v>
      </c>
      <c r="AF4" t="str">
        <f t="shared" si="5"/>
        <v/>
      </c>
      <c r="AG4" t="str">
        <f t="shared" si="6"/>
        <v/>
      </c>
      <c r="AH4" t="str">
        <f t="shared" si="7"/>
        <v/>
      </c>
      <c r="AI4" t="str">
        <f t="shared" si="8"/>
        <v/>
      </c>
      <c r="AK4" t="str">
        <f t="shared" si="9"/>
        <v/>
      </c>
      <c r="AL4" t="str">
        <f t="shared" si="32"/>
        <v/>
      </c>
      <c r="AM4" t="str">
        <f t="shared" si="10"/>
        <v/>
      </c>
      <c r="AN4" t="str">
        <f t="shared" si="11"/>
        <v/>
      </c>
      <c r="AO4" t="str">
        <f t="shared" si="12"/>
        <v/>
      </c>
      <c r="AP4" t="str">
        <f t="shared" si="13"/>
        <v/>
      </c>
      <c r="AQ4" t="str">
        <f t="shared" si="14"/>
        <v/>
      </c>
      <c r="AR4" t="str">
        <f t="shared" si="15"/>
        <v/>
      </c>
      <c r="AS4" t="str">
        <f t="shared" si="16"/>
        <v/>
      </c>
      <c r="AT4" t="str">
        <f t="shared" si="17"/>
        <v/>
      </c>
      <c r="AU4" t="str">
        <f t="shared" si="18"/>
        <v/>
      </c>
      <c r="AV4" t="str">
        <f t="shared" si="19"/>
        <v/>
      </c>
      <c r="AW4" t="str">
        <f t="shared" si="20"/>
        <v/>
      </c>
      <c r="AX4" t="str">
        <f t="shared" si="21"/>
        <v/>
      </c>
      <c r="AY4" t="str">
        <f t="shared" si="22"/>
        <v/>
      </c>
      <c r="AZ4" t="str">
        <f t="shared" si="23"/>
        <v/>
      </c>
      <c r="BA4" t="str">
        <f t="shared" si="24"/>
        <v/>
      </c>
      <c r="BB4" t="str">
        <f t="shared" si="25"/>
        <v/>
      </c>
      <c r="BC4" t="str">
        <f t="shared" si="26"/>
        <v/>
      </c>
      <c r="BD4" t="str">
        <f t="shared" si="27"/>
        <v/>
      </c>
      <c r="BE4" t="str">
        <f t="shared" si="28"/>
        <v/>
      </c>
      <c r="BF4" t="str">
        <f t="shared" si="29"/>
        <v/>
      </c>
      <c r="BG4" t="str">
        <f t="shared" si="30"/>
        <v/>
      </c>
      <c r="BH4" t="str">
        <f t="shared" si="31"/>
        <v/>
      </c>
    </row>
    <row r="5" spans="1:66" x14ac:dyDescent="0.2">
      <c r="A5">
        <v>2</v>
      </c>
      <c r="B5">
        <v>13</v>
      </c>
      <c r="C5" t="s">
        <v>207</v>
      </c>
      <c r="D5">
        <v>1</v>
      </c>
      <c r="E5">
        <v>1</v>
      </c>
      <c r="F5">
        <v>1</v>
      </c>
      <c r="K5">
        <v>4</v>
      </c>
      <c r="N5">
        <v>4</v>
      </c>
      <c r="O5">
        <v>4</v>
      </c>
      <c r="S5">
        <v>1</v>
      </c>
      <c r="T5">
        <v>1</v>
      </c>
      <c r="X5">
        <f t="shared" si="33"/>
        <v>0</v>
      </c>
      <c r="Z5" t="str">
        <f t="shared" si="0"/>
        <v/>
      </c>
      <c r="AA5" t="str">
        <f t="shared" si="1"/>
        <v/>
      </c>
      <c r="AB5" t="str">
        <f t="shared" si="2"/>
        <v/>
      </c>
      <c r="AC5" t="str">
        <f t="shared" si="3"/>
        <v/>
      </c>
      <c r="AE5" t="str">
        <f t="shared" si="4"/>
        <v/>
      </c>
      <c r="AF5" t="str">
        <f t="shared" si="5"/>
        <v/>
      </c>
      <c r="AG5" t="str">
        <f t="shared" si="6"/>
        <v/>
      </c>
      <c r="AH5" t="str">
        <f t="shared" si="7"/>
        <v/>
      </c>
      <c r="AI5" t="str">
        <f t="shared" si="8"/>
        <v/>
      </c>
      <c r="AK5" t="str">
        <f t="shared" si="9"/>
        <v/>
      </c>
      <c r="AL5" t="str">
        <f t="shared" si="32"/>
        <v/>
      </c>
      <c r="AM5" t="str">
        <f t="shared" si="10"/>
        <v/>
      </c>
      <c r="AN5" t="str">
        <f t="shared" si="11"/>
        <v/>
      </c>
      <c r="AO5" t="str">
        <f t="shared" si="12"/>
        <v/>
      </c>
      <c r="AP5" t="str">
        <f t="shared" si="13"/>
        <v/>
      </c>
      <c r="AQ5" t="str">
        <f t="shared" si="14"/>
        <v/>
      </c>
      <c r="AR5" t="str">
        <f t="shared" si="15"/>
        <v/>
      </c>
      <c r="AS5" t="str">
        <f t="shared" si="16"/>
        <v/>
      </c>
      <c r="AT5" t="str">
        <f t="shared" si="17"/>
        <v/>
      </c>
      <c r="AU5" t="str">
        <f t="shared" si="18"/>
        <v/>
      </c>
      <c r="AV5" t="str">
        <f t="shared" si="19"/>
        <v/>
      </c>
      <c r="AW5" t="str">
        <f t="shared" si="20"/>
        <v/>
      </c>
      <c r="AX5" t="str">
        <f t="shared" si="21"/>
        <v/>
      </c>
      <c r="AY5" t="str">
        <f t="shared" si="22"/>
        <v/>
      </c>
      <c r="AZ5" t="str">
        <f t="shared" si="23"/>
        <v/>
      </c>
      <c r="BA5" t="str">
        <f t="shared" si="24"/>
        <v/>
      </c>
      <c r="BB5" t="str">
        <f t="shared" si="25"/>
        <v/>
      </c>
      <c r="BC5" t="str">
        <f t="shared" si="26"/>
        <v/>
      </c>
      <c r="BD5" t="str">
        <f t="shared" si="27"/>
        <v/>
      </c>
      <c r="BE5" t="str">
        <f t="shared" si="28"/>
        <v/>
      </c>
      <c r="BF5" t="str">
        <f t="shared" si="29"/>
        <v/>
      </c>
      <c r="BG5" t="str">
        <f t="shared" si="30"/>
        <v/>
      </c>
      <c r="BH5" t="str">
        <f t="shared" si="31"/>
        <v/>
      </c>
    </row>
    <row r="6" spans="1:66" x14ac:dyDescent="0.2">
      <c r="A6">
        <v>3</v>
      </c>
      <c r="B6">
        <v>21</v>
      </c>
      <c r="C6" t="s">
        <v>39</v>
      </c>
      <c r="D6">
        <v>1</v>
      </c>
      <c r="E6">
        <v>1</v>
      </c>
      <c r="F6">
        <v>1</v>
      </c>
      <c r="J6">
        <v>2</v>
      </c>
      <c r="K6">
        <v>4</v>
      </c>
      <c r="L6">
        <v>1</v>
      </c>
      <c r="N6">
        <v>3</v>
      </c>
      <c r="O6">
        <v>3</v>
      </c>
      <c r="S6">
        <v>1</v>
      </c>
      <c r="U6">
        <v>1</v>
      </c>
      <c r="X6">
        <f t="shared" si="33"/>
        <v>0</v>
      </c>
      <c r="Z6" t="str">
        <f t="shared" si="0"/>
        <v/>
      </c>
      <c r="AA6" t="str">
        <f t="shared" si="1"/>
        <v/>
      </c>
      <c r="AB6" t="str">
        <f t="shared" si="2"/>
        <v/>
      </c>
      <c r="AC6" t="str">
        <f t="shared" si="3"/>
        <v/>
      </c>
      <c r="AE6" t="str">
        <f t="shared" si="4"/>
        <v/>
      </c>
      <c r="AF6" t="str">
        <f t="shared" si="5"/>
        <v/>
      </c>
      <c r="AG6" t="str">
        <f t="shared" si="6"/>
        <v/>
      </c>
      <c r="AH6" t="str">
        <f t="shared" si="7"/>
        <v/>
      </c>
      <c r="AI6" t="str">
        <f t="shared" si="8"/>
        <v/>
      </c>
      <c r="AK6" t="str">
        <f t="shared" si="9"/>
        <v/>
      </c>
      <c r="AL6" t="str">
        <f t="shared" si="32"/>
        <v/>
      </c>
      <c r="AM6" t="str">
        <f t="shared" si="10"/>
        <v/>
      </c>
      <c r="AN6" t="str">
        <f t="shared" si="11"/>
        <v/>
      </c>
      <c r="AO6" t="str">
        <f t="shared" si="12"/>
        <v/>
      </c>
      <c r="AP6" t="str">
        <f t="shared" si="13"/>
        <v/>
      </c>
      <c r="AQ6" t="str">
        <f t="shared" si="14"/>
        <v/>
      </c>
      <c r="AR6" t="str">
        <f t="shared" si="15"/>
        <v/>
      </c>
      <c r="AS6" t="str">
        <f t="shared" si="16"/>
        <v/>
      </c>
      <c r="AT6" t="str">
        <f t="shared" si="17"/>
        <v/>
      </c>
      <c r="AU6" t="str">
        <f t="shared" si="18"/>
        <v/>
      </c>
      <c r="AV6" t="str">
        <f t="shared" si="19"/>
        <v/>
      </c>
      <c r="AW6" t="str">
        <f t="shared" si="20"/>
        <v/>
      </c>
      <c r="AX6" t="str">
        <f t="shared" si="21"/>
        <v/>
      </c>
      <c r="AY6" t="str">
        <f t="shared" si="22"/>
        <v/>
      </c>
      <c r="AZ6" t="str">
        <f t="shared" si="23"/>
        <v/>
      </c>
      <c r="BA6" t="str">
        <f t="shared" si="24"/>
        <v/>
      </c>
      <c r="BB6" t="str">
        <f t="shared" si="25"/>
        <v/>
      </c>
      <c r="BC6" t="str">
        <f t="shared" si="26"/>
        <v/>
      </c>
      <c r="BD6" t="str">
        <f t="shared" si="27"/>
        <v/>
      </c>
      <c r="BE6" t="str">
        <f t="shared" si="28"/>
        <v/>
      </c>
      <c r="BF6" t="str">
        <f t="shared" si="29"/>
        <v/>
      </c>
      <c r="BG6" t="str">
        <f t="shared" si="30"/>
        <v/>
      </c>
      <c r="BH6" t="str">
        <f t="shared" si="31"/>
        <v/>
      </c>
    </row>
    <row r="7" spans="1:66" x14ac:dyDescent="0.2">
      <c r="A7">
        <v>4</v>
      </c>
      <c r="B7">
        <v>32</v>
      </c>
      <c r="C7" t="s">
        <v>39</v>
      </c>
      <c r="D7">
        <v>1</v>
      </c>
      <c r="F7">
        <v>1</v>
      </c>
      <c r="K7">
        <v>2</v>
      </c>
      <c r="N7">
        <v>3</v>
      </c>
      <c r="O7">
        <v>3</v>
      </c>
      <c r="S7">
        <v>1</v>
      </c>
      <c r="T7">
        <v>1</v>
      </c>
      <c r="X7">
        <f t="shared" si="33"/>
        <v>0</v>
      </c>
      <c r="Z7" t="str">
        <f t="shared" si="0"/>
        <v/>
      </c>
      <c r="AA7" t="str">
        <f t="shared" si="1"/>
        <v/>
      </c>
      <c r="AB7" t="str">
        <f t="shared" si="2"/>
        <v/>
      </c>
      <c r="AC7" t="str">
        <f t="shared" si="3"/>
        <v/>
      </c>
      <c r="AE7" t="str">
        <f t="shared" si="4"/>
        <v/>
      </c>
      <c r="AF7" t="str">
        <f t="shared" si="5"/>
        <v/>
      </c>
      <c r="AG7" t="str">
        <f t="shared" si="6"/>
        <v/>
      </c>
      <c r="AH7" t="str">
        <f t="shared" si="7"/>
        <v/>
      </c>
      <c r="AI7" t="str">
        <f t="shared" si="8"/>
        <v/>
      </c>
      <c r="AK7" t="str">
        <f t="shared" si="9"/>
        <v/>
      </c>
      <c r="AL7" t="str">
        <f t="shared" si="32"/>
        <v/>
      </c>
      <c r="AM7" t="str">
        <f t="shared" si="10"/>
        <v/>
      </c>
      <c r="AN7" t="str">
        <f t="shared" si="11"/>
        <v/>
      </c>
      <c r="AO7" t="str">
        <f t="shared" si="12"/>
        <v/>
      </c>
      <c r="AP7" t="str">
        <f t="shared" si="13"/>
        <v/>
      </c>
      <c r="AQ7" t="str">
        <f t="shared" si="14"/>
        <v/>
      </c>
      <c r="AR7" t="str">
        <f t="shared" si="15"/>
        <v/>
      </c>
      <c r="AS7" t="str">
        <f t="shared" si="16"/>
        <v/>
      </c>
      <c r="AT7" t="str">
        <f t="shared" si="17"/>
        <v/>
      </c>
      <c r="AU7" t="str">
        <f t="shared" si="18"/>
        <v/>
      </c>
      <c r="AV7" t="str">
        <f t="shared" si="19"/>
        <v/>
      </c>
      <c r="AW7" t="str">
        <f t="shared" si="20"/>
        <v/>
      </c>
      <c r="AX7" t="str">
        <f t="shared" si="21"/>
        <v/>
      </c>
      <c r="AY7" t="str">
        <f t="shared" si="22"/>
        <v/>
      </c>
      <c r="AZ7" t="str">
        <f t="shared" si="23"/>
        <v/>
      </c>
      <c r="BA7" t="str">
        <f t="shared" si="24"/>
        <v/>
      </c>
      <c r="BB7" t="str">
        <f t="shared" si="25"/>
        <v/>
      </c>
      <c r="BC7" t="str">
        <f t="shared" si="26"/>
        <v/>
      </c>
      <c r="BD7" t="str">
        <f t="shared" si="27"/>
        <v/>
      </c>
      <c r="BE7" t="str">
        <f t="shared" si="28"/>
        <v/>
      </c>
      <c r="BF7" t="str">
        <f t="shared" si="29"/>
        <v/>
      </c>
      <c r="BG7" t="str">
        <f t="shared" si="30"/>
        <v/>
      </c>
      <c r="BH7" t="str">
        <f t="shared" si="31"/>
        <v/>
      </c>
    </row>
    <row r="8" spans="1:66" x14ac:dyDescent="0.2">
      <c r="A8">
        <v>5</v>
      </c>
      <c r="B8">
        <v>42</v>
      </c>
      <c r="C8" t="s">
        <v>39</v>
      </c>
      <c r="D8">
        <v>1</v>
      </c>
      <c r="K8">
        <v>4</v>
      </c>
      <c r="M8">
        <v>1</v>
      </c>
      <c r="N8">
        <v>5</v>
      </c>
      <c r="O8">
        <v>5</v>
      </c>
      <c r="S8">
        <v>1</v>
      </c>
      <c r="T8">
        <v>1</v>
      </c>
      <c r="X8">
        <f t="shared" si="33"/>
        <v>0</v>
      </c>
      <c r="Z8" t="str">
        <f t="shared" si="0"/>
        <v/>
      </c>
      <c r="AA8" t="str">
        <f t="shared" si="1"/>
        <v/>
      </c>
      <c r="AB8" t="str">
        <f t="shared" si="2"/>
        <v/>
      </c>
      <c r="AC8" t="str">
        <f t="shared" si="3"/>
        <v/>
      </c>
      <c r="AE8" t="str">
        <f t="shared" si="4"/>
        <v/>
      </c>
      <c r="AF8" t="str">
        <f t="shared" si="5"/>
        <v/>
      </c>
      <c r="AG8" t="str">
        <f t="shared" si="6"/>
        <v/>
      </c>
      <c r="AH8" t="str">
        <f t="shared" si="7"/>
        <v/>
      </c>
      <c r="AI8" t="str">
        <f t="shared" si="8"/>
        <v/>
      </c>
      <c r="AK8" t="str">
        <f t="shared" si="9"/>
        <v/>
      </c>
      <c r="AL8" t="str">
        <f t="shared" si="32"/>
        <v/>
      </c>
      <c r="AM8" t="str">
        <f t="shared" si="10"/>
        <v/>
      </c>
      <c r="AN8" t="str">
        <f t="shared" si="11"/>
        <v/>
      </c>
      <c r="AO8" t="str">
        <f t="shared" si="12"/>
        <v/>
      </c>
      <c r="AP8" t="str">
        <f t="shared" si="13"/>
        <v/>
      </c>
      <c r="AQ8" t="str">
        <f t="shared" si="14"/>
        <v/>
      </c>
      <c r="AR8" t="str">
        <f t="shared" si="15"/>
        <v/>
      </c>
      <c r="AS8" t="str">
        <f t="shared" si="16"/>
        <v/>
      </c>
      <c r="AT8" t="str">
        <f t="shared" si="17"/>
        <v/>
      </c>
      <c r="AU8" t="str">
        <f t="shared" si="18"/>
        <v/>
      </c>
      <c r="AV8" t="str">
        <f t="shared" si="19"/>
        <v/>
      </c>
      <c r="AW8" t="str">
        <f t="shared" si="20"/>
        <v/>
      </c>
      <c r="AX8" t="str">
        <f t="shared" si="21"/>
        <v/>
      </c>
      <c r="AY8" t="str">
        <f t="shared" si="22"/>
        <v/>
      </c>
      <c r="AZ8" t="str">
        <f t="shared" si="23"/>
        <v/>
      </c>
      <c r="BA8" t="str">
        <f t="shared" si="24"/>
        <v/>
      </c>
      <c r="BB8" t="str">
        <f t="shared" si="25"/>
        <v/>
      </c>
      <c r="BC8" t="str">
        <f t="shared" si="26"/>
        <v/>
      </c>
      <c r="BD8" t="str">
        <f t="shared" si="27"/>
        <v/>
      </c>
      <c r="BE8" t="str">
        <f t="shared" si="28"/>
        <v/>
      </c>
      <c r="BF8" t="str">
        <f t="shared" si="29"/>
        <v/>
      </c>
      <c r="BG8" t="str">
        <f t="shared" si="30"/>
        <v/>
      </c>
      <c r="BH8" t="str">
        <f t="shared" si="31"/>
        <v/>
      </c>
    </row>
    <row r="9" spans="1:66" x14ac:dyDescent="0.2">
      <c r="A9">
        <v>6</v>
      </c>
      <c r="B9">
        <v>60</v>
      </c>
      <c r="C9" t="s">
        <v>39</v>
      </c>
      <c r="K9">
        <v>2</v>
      </c>
      <c r="M9">
        <v>1</v>
      </c>
      <c r="N9">
        <v>4</v>
      </c>
      <c r="O9">
        <v>4</v>
      </c>
      <c r="S9">
        <v>1</v>
      </c>
      <c r="X9">
        <f t="shared" si="33"/>
        <v>0</v>
      </c>
      <c r="Z9" t="str">
        <f t="shared" si="0"/>
        <v/>
      </c>
      <c r="AA9" t="str">
        <f t="shared" si="1"/>
        <v/>
      </c>
      <c r="AB9" t="str">
        <f t="shared" si="2"/>
        <v/>
      </c>
      <c r="AC9" t="str">
        <f t="shared" si="3"/>
        <v/>
      </c>
      <c r="AE9" t="str">
        <f t="shared" si="4"/>
        <v/>
      </c>
      <c r="AF9" t="str">
        <f t="shared" si="5"/>
        <v/>
      </c>
      <c r="AG9" t="str">
        <f t="shared" si="6"/>
        <v/>
      </c>
      <c r="AH9" t="str">
        <f t="shared" si="7"/>
        <v/>
      </c>
      <c r="AI9" t="str">
        <f t="shared" si="8"/>
        <v/>
      </c>
      <c r="AK9" t="str">
        <f t="shared" si="9"/>
        <v/>
      </c>
      <c r="AL9" t="str">
        <f t="shared" si="32"/>
        <v/>
      </c>
      <c r="AM9" t="str">
        <f t="shared" si="10"/>
        <v/>
      </c>
      <c r="AN9" t="str">
        <f t="shared" si="11"/>
        <v/>
      </c>
      <c r="AO9" t="str">
        <f t="shared" si="12"/>
        <v/>
      </c>
      <c r="AP9" t="str">
        <f t="shared" si="13"/>
        <v/>
      </c>
      <c r="AQ9" t="str">
        <f t="shared" si="14"/>
        <v/>
      </c>
      <c r="AR9" t="str">
        <f t="shared" si="15"/>
        <v/>
      </c>
      <c r="AS9" t="str">
        <f t="shared" si="16"/>
        <v/>
      </c>
      <c r="AT9" t="str">
        <f t="shared" si="17"/>
        <v/>
      </c>
      <c r="AU9" t="str">
        <f t="shared" si="18"/>
        <v/>
      </c>
      <c r="AV9" t="str">
        <f t="shared" si="19"/>
        <v/>
      </c>
      <c r="AW9" t="str">
        <f t="shared" si="20"/>
        <v/>
      </c>
      <c r="AX9" t="str">
        <f t="shared" si="21"/>
        <v/>
      </c>
      <c r="AY9" t="str">
        <f t="shared" si="22"/>
        <v/>
      </c>
      <c r="AZ9" t="str">
        <f t="shared" si="23"/>
        <v/>
      </c>
      <c r="BA9" t="str">
        <f t="shared" si="24"/>
        <v/>
      </c>
      <c r="BB9" t="str">
        <f t="shared" si="25"/>
        <v/>
      </c>
      <c r="BC9" t="str">
        <f t="shared" si="26"/>
        <v/>
      </c>
      <c r="BD9" t="str">
        <f t="shared" si="27"/>
        <v/>
      </c>
      <c r="BE9" t="str">
        <f t="shared" si="28"/>
        <v/>
      </c>
      <c r="BF9" t="str">
        <f t="shared" si="29"/>
        <v/>
      </c>
      <c r="BG9" t="str">
        <f t="shared" si="30"/>
        <v/>
      </c>
      <c r="BH9" t="str">
        <f t="shared" si="31"/>
        <v/>
      </c>
    </row>
    <row r="10" spans="1:66" x14ac:dyDescent="0.2">
      <c r="A10">
        <v>7</v>
      </c>
      <c r="B10">
        <v>69</v>
      </c>
      <c r="C10" t="s">
        <v>207</v>
      </c>
      <c r="D10">
        <v>1</v>
      </c>
      <c r="K10">
        <v>4</v>
      </c>
      <c r="L10">
        <v>1</v>
      </c>
      <c r="N10">
        <v>4</v>
      </c>
      <c r="O10">
        <v>4</v>
      </c>
      <c r="S10">
        <v>1</v>
      </c>
      <c r="T10">
        <v>1</v>
      </c>
      <c r="X10">
        <f t="shared" si="33"/>
        <v>0</v>
      </c>
      <c r="Z10" t="str">
        <f t="shared" si="0"/>
        <v/>
      </c>
      <c r="AA10" t="str">
        <f t="shared" si="1"/>
        <v/>
      </c>
      <c r="AB10" t="str">
        <f t="shared" si="2"/>
        <v/>
      </c>
      <c r="AC10" t="str">
        <f t="shared" si="3"/>
        <v/>
      </c>
      <c r="AE10" t="str">
        <f t="shared" si="4"/>
        <v/>
      </c>
      <c r="AF10" t="str">
        <f t="shared" si="5"/>
        <v/>
      </c>
      <c r="AG10" t="str">
        <f t="shared" si="6"/>
        <v/>
      </c>
      <c r="AH10" t="str">
        <f t="shared" si="7"/>
        <v/>
      </c>
      <c r="AI10" t="str">
        <f t="shared" si="8"/>
        <v/>
      </c>
      <c r="AK10" t="str">
        <f t="shared" si="9"/>
        <v/>
      </c>
      <c r="AL10" t="str">
        <f t="shared" si="32"/>
        <v/>
      </c>
      <c r="AM10" t="str">
        <f t="shared" si="10"/>
        <v/>
      </c>
      <c r="AN10" t="str">
        <f t="shared" si="11"/>
        <v/>
      </c>
      <c r="AO10" t="str">
        <f t="shared" si="12"/>
        <v/>
      </c>
      <c r="AP10" t="str">
        <f t="shared" si="13"/>
        <v/>
      </c>
      <c r="AQ10" t="str">
        <f t="shared" si="14"/>
        <v/>
      </c>
      <c r="AR10" t="str">
        <f t="shared" si="15"/>
        <v/>
      </c>
      <c r="AS10" t="str">
        <f t="shared" si="16"/>
        <v/>
      </c>
      <c r="AT10" t="str">
        <f t="shared" si="17"/>
        <v/>
      </c>
      <c r="AU10" t="str">
        <f t="shared" si="18"/>
        <v/>
      </c>
      <c r="AV10" t="str">
        <f t="shared" si="19"/>
        <v/>
      </c>
      <c r="AW10" t="str">
        <f t="shared" si="20"/>
        <v/>
      </c>
      <c r="AX10" t="str">
        <f t="shared" si="21"/>
        <v/>
      </c>
      <c r="AY10" t="str">
        <f t="shared" si="22"/>
        <v/>
      </c>
      <c r="AZ10" t="str">
        <f t="shared" si="23"/>
        <v/>
      </c>
      <c r="BA10" t="str">
        <f t="shared" si="24"/>
        <v/>
      </c>
      <c r="BB10" t="str">
        <f t="shared" si="25"/>
        <v/>
      </c>
      <c r="BC10" t="str">
        <f t="shared" si="26"/>
        <v/>
      </c>
      <c r="BD10" t="str">
        <f t="shared" si="27"/>
        <v/>
      </c>
      <c r="BE10" t="str">
        <f t="shared" si="28"/>
        <v/>
      </c>
      <c r="BF10" t="str">
        <f t="shared" si="29"/>
        <v/>
      </c>
      <c r="BG10" t="str">
        <f t="shared" si="30"/>
        <v/>
      </c>
      <c r="BH10" t="str">
        <f t="shared" si="31"/>
        <v/>
      </c>
    </row>
    <row r="11" spans="1:66" x14ac:dyDescent="0.2">
      <c r="A11">
        <v>8</v>
      </c>
      <c r="B11">
        <v>79</v>
      </c>
      <c r="C11" t="s">
        <v>207</v>
      </c>
      <c r="D11">
        <v>1</v>
      </c>
      <c r="F11">
        <v>1</v>
      </c>
      <c r="K11">
        <v>3</v>
      </c>
      <c r="M11">
        <v>2</v>
      </c>
      <c r="N11">
        <v>5</v>
      </c>
      <c r="O11">
        <v>5</v>
      </c>
      <c r="S11">
        <v>1</v>
      </c>
      <c r="T11">
        <v>1</v>
      </c>
      <c r="X11">
        <f t="shared" si="33"/>
        <v>0</v>
      </c>
      <c r="Z11" t="str">
        <f t="shared" si="0"/>
        <v/>
      </c>
      <c r="AA11" t="str">
        <f t="shared" si="1"/>
        <v/>
      </c>
      <c r="AB11" t="str">
        <f t="shared" si="2"/>
        <v/>
      </c>
      <c r="AC11" t="str">
        <f t="shared" si="3"/>
        <v/>
      </c>
      <c r="AE11" t="str">
        <f t="shared" si="4"/>
        <v/>
      </c>
      <c r="AF11" t="str">
        <f t="shared" si="5"/>
        <v/>
      </c>
      <c r="AG11" t="str">
        <f t="shared" si="6"/>
        <v/>
      </c>
      <c r="AH11" t="str">
        <f t="shared" si="7"/>
        <v/>
      </c>
      <c r="AI11" t="str">
        <f t="shared" si="8"/>
        <v/>
      </c>
      <c r="AK11" t="str">
        <f t="shared" si="9"/>
        <v/>
      </c>
      <c r="AL11" t="str">
        <f t="shared" si="32"/>
        <v/>
      </c>
      <c r="AM11" t="str">
        <f t="shared" si="10"/>
        <v/>
      </c>
      <c r="AN11" t="str">
        <f t="shared" si="11"/>
        <v/>
      </c>
      <c r="AO11" t="str">
        <f t="shared" si="12"/>
        <v/>
      </c>
      <c r="AP11" t="str">
        <f t="shared" si="13"/>
        <v/>
      </c>
      <c r="AQ11" t="str">
        <f t="shared" si="14"/>
        <v/>
      </c>
      <c r="AR11" t="str">
        <f t="shared" si="15"/>
        <v/>
      </c>
      <c r="AS11" t="str">
        <f t="shared" si="16"/>
        <v/>
      </c>
      <c r="AT11" t="str">
        <f t="shared" si="17"/>
        <v/>
      </c>
      <c r="AU11" t="str">
        <f t="shared" si="18"/>
        <v/>
      </c>
      <c r="AV11" t="str">
        <f t="shared" si="19"/>
        <v/>
      </c>
      <c r="AW11" t="str">
        <f t="shared" si="20"/>
        <v/>
      </c>
      <c r="AX11" t="str">
        <f t="shared" si="21"/>
        <v/>
      </c>
      <c r="AY11" t="str">
        <f t="shared" si="22"/>
        <v/>
      </c>
      <c r="AZ11" t="str">
        <f t="shared" si="23"/>
        <v/>
      </c>
      <c r="BA11" t="str">
        <f t="shared" si="24"/>
        <v/>
      </c>
      <c r="BB11" t="str">
        <f t="shared" si="25"/>
        <v/>
      </c>
      <c r="BC11" t="str">
        <f t="shared" si="26"/>
        <v/>
      </c>
      <c r="BD11" t="str">
        <f t="shared" si="27"/>
        <v/>
      </c>
      <c r="BE11" t="str">
        <f t="shared" si="28"/>
        <v/>
      </c>
      <c r="BF11" t="str">
        <f t="shared" si="29"/>
        <v/>
      </c>
      <c r="BG11" t="str">
        <f t="shared" si="30"/>
        <v/>
      </c>
      <c r="BH11" t="str">
        <f t="shared" si="31"/>
        <v/>
      </c>
    </row>
    <row r="12" spans="1:66" x14ac:dyDescent="0.2">
      <c r="A12">
        <v>9</v>
      </c>
      <c r="B12">
        <v>88</v>
      </c>
      <c r="C12" t="s">
        <v>207</v>
      </c>
      <c r="D12">
        <v>1</v>
      </c>
      <c r="E12">
        <v>1</v>
      </c>
      <c r="F12">
        <v>1</v>
      </c>
      <c r="K12">
        <v>3</v>
      </c>
      <c r="N12">
        <v>3</v>
      </c>
      <c r="O12">
        <v>3</v>
      </c>
      <c r="S12">
        <v>1</v>
      </c>
      <c r="T12">
        <v>1</v>
      </c>
      <c r="U12">
        <v>8</v>
      </c>
      <c r="X12">
        <f t="shared" si="33"/>
        <v>0</v>
      </c>
      <c r="Z12" t="str">
        <f t="shared" si="0"/>
        <v/>
      </c>
      <c r="AA12" t="str">
        <f t="shared" si="1"/>
        <v/>
      </c>
      <c r="AB12" t="str">
        <f t="shared" si="2"/>
        <v/>
      </c>
      <c r="AC12" t="str">
        <f t="shared" si="3"/>
        <v/>
      </c>
      <c r="AE12" t="str">
        <f t="shared" si="4"/>
        <v/>
      </c>
      <c r="AF12" t="str">
        <f t="shared" si="5"/>
        <v/>
      </c>
      <c r="AG12" t="str">
        <f t="shared" si="6"/>
        <v/>
      </c>
      <c r="AH12" t="str">
        <f t="shared" si="7"/>
        <v/>
      </c>
      <c r="AI12" t="str">
        <f t="shared" si="8"/>
        <v/>
      </c>
      <c r="AK12" t="str">
        <f t="shared" si="9"/>
        <v/>
      </c>
      <c r="AL12" t="str">
        <f t="shared" si="32"/>
        <v/>
      </c>
      <c r="AM12" t="str">
        <f t="shared" si="10"/>
        <v/>
      </c>
      <c r="AN12" t="str">
        <f t="shared" si="11"/>
        <v/>
      </c>
      <c r="AO12" t="str">
        <f t="shared" si="12"/>
        <v/>
      </c>
      <c r="AP12" t="str">
        <f t="shared" si="13"/>
        <v/>
      </c>
      <c r="AQ12" t="str">
        <f t="shared" si="14"/>
        <v/>
      </c>
      <c r="AR12" t="str">
        <f t="shared" si="15"/>
        <v/>
      </c>
      <c r="AS12" t="str">
        <f t="shared" si="16"/>
        <v/>
      </c>
      <c r="AT12" t="str">
        <f t="shared" si="17"/>
        <v/>
      </c>
      <c r="AU12" t="str">
        <f t="shared" si="18"/>
        <v/>
      </c>
      <c r="AV12" t="str">
        <f t="shared" si="19"/>
        <v/>
      </c>
      <c r="AW12" t="str">
        <f t="shared" si="20"/>
        <v/>
      </c>
      <c r="AX12" t="str">
        <f t="shared" si="21"/>
        <v/>
      </c>
      <c r="AY12" t="str">
        <f t="shared" si="22"/>
        <v/>
      </c>
      <c r="AZ12" t="str">
        <f t="shared" si="23"/>
        <v/>
      </c>
      <c r="BA12" t="str">
        <f t="shared" si="24"/>
        <v/>
      </c>
      <c r="BB12" t="str">
        <f t="shared" si="25"/>
        <v/>
      </c>
      <c r="BC12" t="str">
        <f t="shared" si="26"/>
        <v/>
      </c>
      <c r="BD12" t="str">
        <f t="shared" si="27"/>
        <v/>
      </c>
      <c r="BE12" t="str">
        <f t="shared" si="28"/>
        <v/>
      </c>
      <c r="BF12" t="str">
        <f t="shared" si="29"/>
        <v/>
      </c>
      <c r="BG12" t="str">
        <f t="shared" si="30"/>
        <v/>
      </c>
      <c r="BH12" t="str">
        <f t="shared" si="31"/>
        <v/>
      </c>
    </row>
    <row r="13" spans="1:66" x14ac:dyDescent="0.2">
      <c r="A13">
        <v>10</v>
      </c>
      <c r="B13">
        <v>100</v>
      </c>
      <c r="C13" t="s">
        <v>207</v>
      </c>
      <c r="D13">
        <v>1</v>
      </c>
      <c r="K13">
        <v>3</v>
      </c>
      <c r="M13">
        <v>2</v>
      </c>
      <c r="N13">
        <v>5</v>
      </c>
      <c r="O13">
        <v>5</v>
      </c>
      <c r="S13">
        <v>1</v>
      </c>
      <c r="T13">
        <v>1</v>
      </c>
      <c r="U13">
        <v>9</v>
      </c>
      <c r="X13">
        <f t="shared" si="33"/>
        <v>0</v>
      </c>
      <c r="Z13" t="str">
        <f t="shared" si="0"/>
        <v/>
      </c>
      <c r="AA13" t="str">
        <f t="shared" si="1"/>
        <v/>
      </c>
      <c r="AB13" t="str">
        <f t="shared" si="2"/>
        <v/>
      </c>
      <c r="AC13" t="str">
        <f t="shared" si="3"/>
        <v/>
      </c>
      <c r="AE13" t="str">
        <f t="shared" si="4"/>
        <v>2</v>
      </c>
      <c r="AF13" t="str">
        <f t="shared" si="5"/>
        <v/>
      </c>
      <c r="AG13" t="str">
        <f t="shared" si="6"/>
        <v/>
      </c>
      <c r="AH13" t="str">
        <f t="shared" si="7"/>
        <v/>
      </c>
      <c r="AI13" t="str">
        <f t="shared" si="8"/>
        <v/>
      </c>
      <c r="AK13" t="str">
        <f t="shared" si="9"/>
        <v/>
      </c>
      <c r="AL13" t="str">
        <f t="shared" si="32"/>
        <v/>
      </c>
      <c r="AM13" t="str">
        <f t="shared" si="10"/>
        <v/>
      </c>
      <c r="AN13" t="str">
        <f t="shared" si="11"/>
        <v/>
      </c>
      <c r="AO13" t="str">
        <f t="shared" si="12"/>
        <v/>
      </c>
      <c r="AP13" t="str">
        <f t="shared" si="13"/>
        <v/>
      </c>
      <c r="AQ13" t="str">
        <f t="shared" si="14"/>
        <v/>
      </c>
      <c r="AR13" t="str">
        <f t="shared" si="15"/>
        <v/>
      </c>
      <c r="AS13" t="str">
        <f t="shared" si="16"/>
        <v/>
      </c>
      <c r="AT13" t="str">
        <f t="shared" si="17"/>
        <v/>
      </c>
      <c r="AU13" t="str">
        <f t="shared" si="18"/>
        <v/>
      </c>
      <c r="AV13" t="str">
        <f t="shared" si="19"/>
        <v/>
      </c>
      <c r="AW13" t="str">
        <f t="shared" si="20"/>
        <v/>
      </c>
      <c r="AX13" t="str">
        <f t="shared" si="21"/>
        <v/>
      </c>
      <c r="AY13" t="str">
        <f t="shared" si="22"/>
        <v/>
      </c>
      <c r="AZ13" t="str">
        <f t="shared" si="23"/>
        <v/>
      </c>
      <c r="BA13" t="str">
        <f t="shared" si="24"/>
        <v/>
      </c>
      <c r="BB13" t="str">
        <f t="shared" si="25"/>
        <v/>
      </c>
      <c r="BC13" t="str">
        <f t="shared" si="26"/>
        <v/>
      </c>
      <c r="BD13" t="str">
        <f t="shared" si="27"/>
        <v/>
      </c>
      <c r="BE13" t="str">
        <f t="shared" si="28"/>
        <v/>
      </c>
      <c r="BF13" t="str">
        <f t="shared" si="29"/>
        <v/>
      </c>
      <c r="BG13" t="str">
        <f t="shared" si="30"/>
        <v/>
      </c>
      <c r="BH13" t="str">
        <f t="shared" si="31"/>
        <v/>
      </c>
    </row>
    <row r="14" spans="1:66" x14ac:dyDescent="0.2">
      <c r="A14">
        <v>11</v>
      </c>
      <c r="B14">
        <v>109</v>
      </c>
      <c r="C14" t="s">
        <v>39</v>
      </c>
      <c r="D14">
        <v>1</v>
      </c>
      <c r="F14">
        <v>1</v>
      </c>
      <c r="K14">
        <v>4</v>
      </c>
      <c r="L14">
        <v>1</v>
      </c>
      <c r="N14">
        <v>3</v>
      </c>
      <c r="O14">
        <v>3</v>
      </c>
      <c r="S14">
        <v>1</v>
      </c>
      <c r="T14">
        <v>1</v>
      </c>
      <c r="X14">
        <f t="shared" si="33"/>
        <v>0</v>
      </c>
      <c r="Z14" t="s">
        <v>31</v>
      </c>
      <c r="AE14" t="s">
        <v>34</v>
      </c>
      <c r="AK14" t="s">
        <v>43</v>
      </c>
      <c r="AP14" t="s">
        <v>84</v>
      </c>
    </row>
    <row r="15" spans="1:66" x14ac:dyDescent="0.2">
      <c r="A15">
        <v>12</v>
      </c>
      <c r="B15">
        <v>120</v>
      </c>
      <c r="C15" t="s">
        <v>207</v>
      </c>
      <c r="D15">
        <v>1</v>
      </c>
      <c r="J15">
        <v>2</v>
      </c>
      <c r="K15">
        <v>3</v>
      </c>
      <c r="M15">
        <v>1</v>
      </c>
      <c r="N15">
        <v>4</v>
      </c>
      <c r="O15">
        <v>4</v>
      </c>
      <c r="S15">
        <v>1</v>
      </c>
      <c r="T15">
        <v>1</v>
      </c>
      <c r="X15">
        <f t="shared" si="33"/>
        <v>0</v>
      </c>
      <c r="Z15" t="s">
        <v>21</v>
      </c>
      <c r="AA15" t="s">
        <v>22</v>
      </c>
      <c r="AE15" t="s">
        <v>21</v>
      </c>
      <c r="AF15" t="s">
        <v>22</v>
      </c>
      <c r="AG15" t="s">
        <v>35</v>
      </c>
      <c r="AK15" t="s">
        <v>10</v>
      </c>
      <c r="AL15" t="s">
        <v>25</v>
      </c>
      <c r="AM15" t="s">
        <v>26</v>
      </c>
      <c r="AN15" t="s">
        <v>27</v>
      </c>
      <c r="AP15" t="s">
        <v>15</v>
      </c>
      <c r="AQ15" t="s">
        <v>85</v>
      </c>
    </row>
    <row r="16" spans="1:66" x14ac:dyDescent="0.2">
      <c r="A16" t="s">
        <v>28</v>
      </c>
      <c r="D16">
        <f>SUM(D4:D15)</f>
        <v>11</v>
      </c>
      <c r="E16">
        <f>SUM(E4:E15)</f>
        <v>3</v>
      </c>
      <c r="F16">
        <f>SUM(F4:F15)</f>
        <v>6</v>
      </c>
      <c r="G16">
        <f>SUM(G4:G15)</f>
        <v>0</v>
      </c>
      <c r="H16">
        <f>SUM(H4:H15)</f>
        <v>0</v>
      </c>
      <c r="K16">
        <f>SUM(K4:K15)</f>
        <v>38</v>
      </c>
      <c r="L16">
        <f>SUM(L4:L15)</f>
        <v>3</v>
      </c>
      <c r="M16">
        <f>SUM(M4:M15)</f>
        <v>9</v>
      </c>
      <c r="N16">
        <f>SUM(N4:N15)</f>
        <v>47</v>
      </c>
      <c r="O16">
        <f>SUM(O4:O15)</f>
        <v>47</v>
      </c>
      <c r="Q16">
        <f t="shared" ref="Q16:R16" si="34">SUM(Q4:Q15)</f>
        <v>0</v>
      </c>
      <c r="R16">
        <f t="shared" si="34"/>
        <v>0</v>
      </c>
      <c r="S16">
        <f>SUM(S4:S15)</f>
        <v>12</v>
      </c>
      <c r="T16">
        <f>SUM(T4:T15)</f>
        <v>10</v>
      </c>
      <c r="U16">
        <f>SUM(U4:U15)</f>
        <v>24</v>
      </c>
      <c r="V16">
        <f>SUM(V4:V15)</f>
        <v>0</v>
      </c>
      <c r="W16">
        <f>SUM(W4:W15)</f>
        <v>0</v>
      </c>
      <c r="Z16">
        <f t="shared" ref="Z16:Z27" si="35">COUNTIF(Z2:AC2, "3")*COUNTIF(C4, "r")+COUNTIF(Z2:AC2, "5")*COUNTIF(C4, "b")</f>
        <v>0</v>
      </c>
      <c r="AA16">
        <f t="shared" ref="AA16:AA27" si="36">COUNTIF(Z2:AC2, "1")+COUNTIF(Z2:AC2, "2")+COUNTIF(Z2:AC2, "4")</f>
        <v>0</v>
      </c>
      <c r="AE16">
        <f t="shared" ref="AE16:AE27" si="37">COUNTIF(AE2:AI2, "3")*COUNTIF(C4, "r") + COUNTIF(AE2:AI2, "5")*COUNTIF(C4, "b")</f>
        <v>0</v>
      </c>
      <c r="AF16">
        <f t="shared" ref="AF16:AF27" si="38">COUNTIF(AE2:AI2, "1")+COUNTIF(AE2:AI2, "2")+COUNTIF(AE2:AI2, "4")</f>
        <v>0</v>
      </c>
      <c r="AG16">
        <f t="shared" ref="AG16:AG27" si="39">COUNTIF(AE2:AI2, "3")*COUNTIF(AE2:AI2, "b")+COUNTIF(AE2:AI2, "5")*COUNTIF(AE2:AI2, "r")</f>
        <v>0</v>
      </c>
      <c r="AK16">
        <f t="shared" ref="AK16:AK27" si="40">SUMPRODUCT(LEN($AK2:$BH2) - LEN(SUBSTITUTE($AK2:$BH2, "g", "")))</f>
        <v>0</v>
      </c>
      <c r="AL16">
        <f t="shared" ref="AL16:AL27" si="41">SUMPRODUCT(LEN($AK2:$BH2) - LEN(SUBSTITUTE($AK2:$BH2, "h", "")))</f>
        <v>0</v>
      </c>
      <c r="AM16">
        <f t="shared" ref="AM16:AM27" si="42">SUMPRODUCT(LEN($AK2:$BH2) - LEN(SUBSTITUTE($AK2:$BH2, "v", "")))</f>
        <v>0</v>
      </c>
      <c r="AN16">
        <f t="shared" ref="AN16:AN27" si="43">SUMPRODUCT(LEN($AK2:$BH2) - LEN(SUBSTITUTE($AK2:$BH2, "r", "")))</f>
        <v>0</v>
      </c>
      <c r="AP16">
        <f>MAX(AQ16:BN16)</f>
        <v>0</v>
      </c>
      <c r="AQ16" s="4">
        <f>_xlfn.NUMBERVALUE(RIGHT(AK2,1))</f>
        <v>0</v>
      </c>
      <c r="AR16" s="4">
        <f t="shared" ref="AR16:BG27" si="44">_xlfn.NUMBERVALUE(RIGHT(AL2,1))</f>
        <v>0</v>
      </c>
      <c r="AS16" s="4">
        <f t="shared" si="44"/>
        <v>0</v>
      </c>
      <c r="AT16" s="4">
        <f t="shared" si="44"/>
        <v>0</v>
      </c>
      <c r="AU16" s="4">
        <f t="shared" si="44"/>
        <v>0</v>
      </c>
      <c r="AV16" s="4">
        <f t="shared" si="44"/>
        <v>0</v>
      </c>
      <c r="AW16" s="4">
        <f t="shared" si="44"/>
        <v>0</v>
      </c>
      <c r="AX16" s="4">
        <f t="shared" si="44"/>
        <v>0</v>
      </c>
      <c r="AY16" s="4">
        <f t="shared" si="44"/>
        <v>0</v>
      </c>
      <c r="AZ16" s="4">
        <f t="shared" si="44"/>
        <v>0</v>
      </c>
      <c r="BA16" s="4">
        <f t="shared" si="44"/>
        <v>0</v>
      </c>
      <c r="BB16" s="4">
        <f t="shared" si="44"/>
        <v>0</v>
      </c>
      <c r="BC16" s="4">
        <f t="shared" si="44"/>
        <v>0</v>
      </c>
      <c r="BD16" s="4">
        <f t="shared" si="44"/>
        <v>0</v>
      </c>
      <c r="BE16" s="4">
        <f t="shared" si="44"/>
        <v>0</v>
      </c>
      <c r="BF16" s="4">
        <f t="shared" si="44"/>
        <v>0</v>
      </c>
      <c r="BG16" s="4">
        <f t="shared" si="44"/>
        <v>0</v>
      </c>
      <c r="BH16" s="4">
        <f t="shared" ref="BH16:BN27" si="45">_xlfn.NUMBERVALUE(RIGHT(BB2,1))</f>
        <v>0</v>
      </c>
      <c r="BI16" s="4">
        <f t="shared" si="45"/>
        <v>0</v>
      </c>
      <c r="BJ16" s="4">
        <f t="shared" si="45"/>
        <v>0</v>
      </c>
      <c r="BK16" s="4">
        <f t="shared" si="45"/>
        <v>0</v>
      </c>
      <c r="BL16" s="4">
        <f t="shared" si="45"/>
        <v>0</v>
      </c>
      <c r="BM16" s="4">
        <f t="shared" si="45"/>
        <v>0</v>
      </c>
      <c r="BN16" s="4">
        <f t="shared" si="45"/>
        <v>0</v>
      </c>
    </row>
    <row r="17" spans="1:66" x14ac:dyDescent="0.2">
      <c r="A17" s="1" t="s">
        <v>20</v>
      </c>
      <c r="D17" s="1" t="s">
        <v>49</v>
      </c>
      <c r="G17" s="1" t="s">
        <v>52</v>
      </c>
      <c r="K17" s="3" t="s">
        <v>74</v>
      </c>
      <c r="P17" s="1" t="s">
        <v>66</v>
      </c>
      <c r="Z17">
        <f t="shared" si="35"/>
        <v>0</v>
      </c>
      <c r="AA17">
        <f t="shared" si="36"/>
        <v>0</v>
      </c>
      <c r="AE17">
        <f t="shared" si="37"/>
        <v>0</v>
      </c>
      <c r="AF17">
        <f t="shared" si="38"/>
        <v>0</v>
      </c>
      <c r="AG17">
        <f t="shared" si="39"/>
        <v>0</v>
      </c>
      <c r="AK17">
        <f t="shared" si="40"/>
        <v>0</v>
      </c>
      <c r="AL17">
        <f t="shared" si="41"/>
        <v>0</v>
      </c>
      <c r="AM17">
        <f t="shared" si="42"/>
        <v>0</v>
      </c>
      <c r="AN17">
        <f t="shared" si="43"/>
        <v>0</v>
      </c>
      <c r="AP17">
        <f t="shared" ref="AP17:AP27" si="46">MAX(AQ17:BN17)</f>
        <v>0</v>
      </c>
      <c r="AQ17" s="4">
        <f t="shared" ref="AQ17:AQ27" si="47">_xlfn.NUMBERVALUE(RIGHT(AK3,1))</f>
        <v>0</v>
      </c>
      <c r="AR17" s="4">
        <f t="shared" si="44"/>
        <v>0</v>
      </c>
      <c r="AS17" s="4">
        <f t="shared" si="44"/>
        <v>0</v>
      </c>
      <c r="AT17" s="4">
        <f t="shared" si="44"/>
        <v>0</v>
      </c>
      <c r="AU17" s="4">
        <f t="shared" si="44"/>
        <v>0</v>
      </c>
      <c r="AV17" s="4">
        <f t="shared" si="44"/>
        <v>0</v>
      </c>
      <c r="AW17" s="4">
        <f t="shared" si="44"/>
        <v>0</v>
      </c>
      <c r="AX17" s="4">
        <f t="shared" si="44"/>
        <v>0</v>
      </c>
      <c r="AY17" s="4">
        <f t="shared" si="44"/>
        <v>0</v>
      </c>
      <c r="AZ17" s="4">
        <f t="shared" si="44"/>
        <v>0</v>
      </c>
      <c r="BA17" s="4">
        <f t="shared" si="44"/>
        <v>0</v>
      </c>
      <c r="BB17" s="4">
        <f t="shared" si="44"/>
        <v>0</v>
      </c>
      <c r="BC17" s="4">
        <f t="shared" si="44"/>
        <v>0</v>
      </c>
      <c r="BD17" s="4">
        <f t="shared" si="44"/>
        <v>0</v>
      </c>
      <c r="BE17" s="4">
        <f t="shared" si="44"/>
        <v>0</v>
      </c>
      <c r="BF17" s="4">
        <f t="shared" si="44"/>
        <v>0</v>
      </c>
      <c r="BG17" s="4">
        <f t="shared" si="44"/>
        <v>0</v>
      </c>
      <c r="BH17" s="4">
        <f t="shared" si="45"/>
        <v>0</v>
      </c>
      <c r="BI17" s="4">
        <f t="shared" si="45"/>
        <v>0</v>
      </c>
      <c r="BJ17" s="4">
        <f t="shared" si="45"/>
        <v>0</v>
      </c>
      <c r="BK17" s="4">
        <f t="shared" si="45"/>
        <v>0</v>
      </c>
      <c r="BL17" s="4">
        <f t="shared" si="45"/>
        <v>0</v>
      </c>
      <c r="BM17" s="4">
        <f t="shared" si="45"/>
        <v>0</v>
      </c>
      <c r="BN17" s="4">
        <f t="shared" si="45"/>
        <v>0</v>
      </c>
    </row>
    <row r="18" spans="1:66" x14ac:dyDescent="0.2">
      <c r="A18" t="s">
        <v>32</v>
      </c>
      <c r="B18" t="s">
        <v>21</v>
      </c>
      <c r="D18" t="s">
        <v>180</v>
      </c>
      <c r="G18" s="3" t="s">
        <v>53</v>
      </c>
      <c r="K18" t="s">
        <v>55</v>
      </c>
      <c r="M18" t="s">
        <v>65</v>
      </c>
      <c r="P18" t="s">
        <v>67</v>
      </c>
      <c r="Z18">
        <f t="shared" si="35"/>
        <v>0</v>
      </c>
      <c r="AA18">
        <f t="shared" si="36"/>
        <v>0</v>
      </c>
      <c r="AE18">
        <f t="shared" si="37"/>
        <v>0</v>
      </c>
      <c r="AF18">
        <f t="shared" si="38"/>
        <v>1</v>
      </c>
      <c r="AG18">
        <f t="shared" si="39"/>
        <v>0</v>
      </c>
      <c r="AK18">
        <f t="shared" si="40"/>
        <v>0</v>
      </c>
      <c r="AL18">
        <f t="shared" si="41"/>
        <v>0</v>
      </c>
      <c r="AM18">
        <f t="shared" si="42"/>
        <v>0</v>
      </c>
      <c r="AN18">
        <f t="shared" si="43"/>
        <v>0</v>
      </c>
      <c r="AP18">
        <f t="shared" si="46"/>
        <v>0</v>
      </c>
      <c r="AQ18" s="4">
        <f t="shared" si="47"/>
        <v>0</v>
      </c>
      <c r="AR18" s="4">
        <f t="shared" si="44"/>
        <v>0</v>
      </c>
      <c r="AS18" s="4">
        <f t="shared" si="44"/>
        <v>0</v>
      </c>
      <c r="AT18" s="4">
        <f t="shared" si="44"/>
        <v>0</v>
      </c>
      <c r="AU18" s="4">
        <f t="shared" si="44"/>
        <v>0</v>
      </c>
      <c r="AV18" s="4">
        <f t="shared" si="44"/>
        <v>0</v>
      </c>
      <c r="AW18" s="4">
        <f t="shared" si="44"/>
        <v>0</v>
      </c>
      <c r="AX18" s="4">
        <f t="shared" si="44"/>
        <v>0</v>
      </c>
      <c r="AY18" s="4">
        <f t="shared" si="44"/>
        <v>0</v>
      </c>
      <c r="AZ18" s="4">
        <f t="shared" si="44"/>
        <v>0</v>
      </c>
      <c r="BA18" s="4">
        <f t="shared" si="44"/>
        <v>0</v>
      </c>
      <c r="BB18" s="4">
        <f t="shared" si="44"/>
        <v>0</v>
      </c>
      <c r="BC18" s="4">
        <f t="shared" si="44"/>
        <v>0</v>
      </c>
      <c r="BD18" s="4">
        <f t="shared" si="44"/>
        <v>0</v>
      </c>
      <c r="BE18" s="4">
        <f t="shared" si="44"/>
        <v>0</v>
      </c>
      <c r="BF18" s="4">
        <f t="shared" si="44"/>
        <v>0</v>
      </c>
      <c r="BG18" s="4">
        <f t="shared" si="44"/>
        <v>0</v>
      </c>
      <c r="BH18" s="4">
        <f t="shared" si="45"/>
        <v>0</v>
      </c>
      <c r="BI18" s="4">
        <f t="shared" si="45"/>
        <v>0</v>
      </c>
      <c r="BJ18" s="4">
        <f t="shared" si="45"/>
        <v>0</v>
      </c>
      <c r="BK18" s="4">
        <f t="shared" si="45"/>
        <v>0</v>
      </c>
      <c r="BL18" s="4">
        <f t="shared" si="45"/>
        <v>0</v>
      </c>
      <c r="BM18" s="4">
        <f t="shared" si="45"/>
        <v>0</v>
      </c>
      <c r="BN18" s="4">
        <f t="shared" si="45"/>
        <v>0</v>
      </c>
    </row>
    <row r="19" spans="1:66" x14ac:dyDescent="0.2">
      <c r="A19" t="s">
        <v>40</v>
      </c>
      <c r="B19" t="s">
        <v>22</v>
      </c>
      <c r="D19">
        <f>E16/D16</f>
        <v>0.27272727272727271</v>
      </c>
      <c r="G19" t="s">
        <v>75</v>
      </c>
      <c r="K19">
        <f>O16/N16</f>
        <v>1</v>
      </c>
      <c r="M19">
        <f>SUM(M39:M50)</f>
        <v>0</v>
      </c>
      <c r="P19">
        <f>T16/S16</f>
        <v>0.83333333333333337</v>
      </c>
      <c r="Z19">
        <f t="shared" si="35"/>
        <v>0</v>
      </c>
      <c r="AA19">
        <f t="shared" si="36"/>
        <v>0</v>
      </c>
      <c r="AE19">
        <f t="shared" si="37"/>
        <v>0</v>
      </c>
      <c r="AF19">
        <f t="shared" si="38"/>
        <v>0</v>
      </c>
      <c r="AG19">
        <f t="shared" si="39"/>
        <v>0</v>
      </c>
      <c r="AK19">
        <f t="shared" si="40"/>
        <v>0</v>
      </c>
      <c r="AL19">
        <f t="shared" si="41"/>
        <v>0</v>
      </c>
      <c r="AM19">
        <f t="shared" si="42"/>
        <v>0</v>
      </c>
      <c r="AN19">
        <f t="shared" si="43"/>
        <v>0</v>
      </c>
      <c r="AP19">
        <f t="shared" si="46"/>
        <v>0</v>
      </c>
      <c r="AQ19" s="4">
        <f t="shared" si="47"/>
        <v>0</v>
      </c>
      <c r="AR19" s="4">
        <f t="shared" si="44"/>
        <v>0</v>
      </c>
      <c r="AS19" s="4">
        <f t="shared" si="44"/>
        <v>0</v>
      </c>
      <c r="AT19" s="4">
        <f t="shared" si="44"/>
        <v>0</v>
      </c>
      <c r="AU19" s="4">
        <f t="shared" si="44"/>
        <v>0</v>
      </c>
      <c r="AV19" s="4">
        <f t="shared" si="44"/>
        <v>0</v>
      </c>
      <c r="AW19" s="4">
        <f t="shared" si="44"/>
        <v>0</v>
      </c>
      <c r="AX19" s="4">
        <f t="shared" si="44"/>
        <v>0</v>
      </c>
      <c r="AY19" s="4">
        <f t="shared" si="44"/>
        <v>0</v>
      </c>
      <c r="AZ19" s="4">
        <f t="shared" si="44"/>
        <v>0</v>
      </c>
      <c r="BA19" s="4">
        <f t="shared" si="44"/>
        <v>0</v>
      </c>
      <c r="BB19" s="4">
        <f t="shared" si="44"/>
        <v>0</v>
      </c>
      <c r="BC19" s="4">
        <f t="shared" si="44"/>
        <v>0</v>
      </c>
      <c r="BD19" s="4">
        <f t="shared" si="44"/>
        <v>0</v>
      </c>
      <c r="BE19" s="4">
        <f t="shared" si="44"/>
        <v>0</v>
      </c>
      <c r="BF19" s="4">
        <f t="shared" si="44"/>
        <v>0</v>
      </c>
      <c r="BG19" s="4">
        <f t="shared" si="44"/>
        <v>0</v>
      </c>
      <c r="BH19" s="4">
        <f t="shared" si="45"/>
        <v>0</v>
      </c>
      <c r="BI19" s="4">
        <f t="shared" si="45"/>
        <v>0</v>
      </c>
      <c r="BJ19" s="4">
        <f t="shared" si="45"/>
        <v>0</v>
      </c>
      <c r="BK19" s="4">
        <f t="shared" si="45"/>
        <v>0</v>
      </c>
      <c r="BL19" s="4">
        <f t="shared" si="45"/>
        <v>0</v>
      </c>
      <c r="BM19" s="4">
        <f t="shared" si="45"/>
        <v>0</v>
      </c>
      <c r="BN19" s="4">
        <f t="shared" si="45"/>
        <v>0</v>
      </c>
    </row>
    <row r="20" spans="1:66" x14ac:dyDescent="0.2">
      <c r="A20" t="s">
        <v>41</v>
      </c>
      <c r="B20" t="s">
        <v>23</v>
      </c>
      <c r="D20" t="s">
        <v>47</v>
      </c>
      <c r="G20" t="e">
        <f>AK28/AP28</f>
        <v>#DIV/0!</v>
      </c>
      <c r="K20" t="s">
        <v>13</v>
      </c>
      <c r="Z20">
        <f t="shared" si="35"/>
        <v>0</v>
      </c>
      <c r="AA20">
        <f t="shared" si="36"/>
        <v>0</v>
      </c>
      <c r="AE20">
        <f t="shared" si="37"/>
        <v>0</v>
      </c>
      <c r="AF20">
        <f t="shared" si="38"/>
        <v>0</v>
      </c>
      <c r="AG20">
        <f t="shared" si="39"/>
        <v>0</v>
      </c>
      <c r="AK20">
        <f t="shared" si="40"/>
        <v>0</v>
      </c>
      <c r="AL20">
        <f t="shared" si="41"/>
        <v>0</v>
      </c>
      <c r="AM20">
        <f t="shared" si="42"/>
        <v>0</v>
      </c>
      <c r="AN20">
        <f t="shared" si="43"/>
        <v>0</v>
      </c>
      <c r="AP20">
        <f t="shared" si="46"/>
        <v>0</v>
      </c>
      <c r="AQ20" s="4">
        <f t="shared" si="47"/>
        <v>0</v>
      </c>
      <c r="AR20" s="4">
        <f t="shared" si="44"/>
        <v>0</v>
      </c>
      <c r="AS20" s="4">
        <f t="shared" si="44"/>
        <v>0</v>
      </c>
      <c r="AT20" s="4">
        <f t="shared" si="44"/>
        <v>0</v>
      </c>
      <c r="AU20" s="4">
        <f t="shared" si="44"/>
        <v>0</v>
      </c>
      <c r="AV20" s="4">
        <f t="shared" si="44"/>
        <v>0</v>
      </c>
      <c r="AW20" s="4">
        <f t="shared" si="44"/>
        <v>0</v>
      </c>
      <c r="AX20" s="4">
        <f t="shared" si="44"/>
        <v>0</v>
      </c>
      <c r="AY20" s="4">
        <f t="shared" si="44"/>
        <v>0</v>
      </c>
      <c r="AZ20" s="4">
        <f t="shared" si="44"/>
        <v>0</v>
      </c>
      <c r="BA20" s="4">
        <f t="shared" si="44"/>
        <v>0</v>
      </c>
      <c r="BB20" s="4">
        <f t="shared" si="44"/>
        <v>0</v>
      </c>
      <c r="BC20" s="4">
        <f t="shared" si="44"/>
        <v>0</v>
      </c>
      <c r="BD20" s="4">
        <f t="shared" si="44"/>
        <v>0</v>
      </c>
      <c r="BE20" s="4">
        <f t="shared" si="44"/>
        <v>0</v>
      </c>
      <c r="BF20" s="4">
        <f t="shared" si="44"/>
        <v>0</v>
      </c>
      <c r="BG20" s="4">
        <f t="shared" si="44"/>
        <v>0</v>
      </c>
      <c r="BH20" s="4">
        <f t="shared" si="45"/>
        <v>0</v>
      </c>
      <c r="BI20" s="4">
        <f t="shared" si="45"/>
        <v>0</v>
      </c>
      <c r="BJ20" s="4">
        <f t="shared" si="45"/>
        <v>0</v>
      </c>
      <c r="BK20" s="4">
        <f t="shared" si="45"/>
        <v>0</v>
      </c>
      <c r="BL20" s="4">
        <f t="shared" si="45"/>
        <v>0</v>
      </c>
      <c r="BM20" s="4">
        <f t="shared" si="45"/>
        <v>0</v>
      </c>
      <c r="BN20" s="4">
        <f t="shared" si="45"/>
        <v>0</v>
      </c>
    </row>
    <row r="21" spans="1:66" x14ac:dyDescent="0.2">
      <c r="A21" s="1" t="s">
        <v>24</v>
      </c>
      <c r="D21">
        <f>G16/A31</f>
        <v>0</v>
      </c>
      <c r="G21" t="s">
        <v>76</v>
      </c>
      <c r="K21" t="s">
        <v>57</v>
      </c>
      <c r="L21" t="s">
        <v>58</v>
      </c>
      <c r="M21" t="s">
        <v>59</v>
      </c>
      <c r="N21" t="s">
        <v>60</v>
      </c>
      <c r="Z21">
        <f t="shared" si="35"/>
        <v>0</v>
      </c>
      <c r="AA21">
        <f t="shared" si="36"/>
        <v>0</v>
      </c>
      <c r="AE21">
        <f t="shared" si="37"/>
        <v>0</v>
      </c>
      <c r="AF21">
        <f t="shared" si="38"/>
        <v>0</v>
      </c>
      <c r="AG21">
        <f t="shared" si="39"/>
        <v>0</v>
      </c>
      <c r="AK21">
        <f t="shared" si="40"/>
        <v>0</v>
      </c>
      <c r="AL21">
        <f t="shared" si="41"/>
        <v>0</v>
      </c>
      <c r="AM21">
        <f t="shared" si="42"/>
        <v>0</v>
      </c>
      <c r="AN21">
        <f t="shared" si="43"/>
        <v>0</v>
      </c>
      <c r="AP21">
        <f t="shared" si="46"/>
        <v>0</v>
      </c>
      <c r="AQ21" s="4">
        <f t="shared" si="47"/>
        <v>0</v>
      </c>
      <c r="AR21" s="4">
        <f t="shared" si="44"/>
        <v>0</v>
      </c>
      <c r="AS21" s="4">
        <f t="shared" si="44"/>
        <v>0</v>
      </c>
      <c r="AT21" s="4">
        <f t="shared" si="44"/>
        <v>0</v>
      </c>
      <c r="AU21" s="4">
        <f t="shared" si="44"/>
        <v>0</v>
      </c>
      <c r="AV21" s="4">
        <f t="shared" si="44"/>
        <v>0</v>
      </c>
      <c r="AW21" s="4">
        <f t="shared" si="44"/>
        <v>0</v>
      </c>
      <c r="AX21" s="4">
        <f t="shared" si="44"/>
        <v>0</v>
      </c>
      <c r="AY21" s="4">
        <f t="shared" si="44"/>
        <v>0</v>
      </c>
      <c r="AZ21" s="4">
        <f t="shared" si="44"/>
        <v>0</v>
      </c>
      <c r="BA21" s="4">
        <f t="shared" si="44"/>
        <v>0</v>
      </c>
      <c r="BB21" s="4">
        <f t="shared" si="44"/>
        <v>0</v>
      </c>
      <c r="BC21" s="4">
        <f t="shared" si="44"/>
        <v>0</v>
      </c>
      <c r="BD21" s="4">
        <f t="shared" si="44"/>
        <v>0</v>
      </c>
      <c r="BE21" s="4">
        <f t="shared" si="44"/>
        <v>0</v>
      </c>
      <c r="BF21" s="4">
        <f t="shared" si="44"/>
        <v>0</v>
      </c>
      <c r="BG21" s="4">
        <f t="shared" si="44"/>
        <v>0</v>
      </c>
      <c r="BH21" s="4">
        <f t="shared" si="45"/>
        <v>0</v>
      </c>
      <c r="BI21" s="4">
        <f t="shared" si="45"/>
        <v>0</v>
      </c>
      <c r="BJ21" s="4">
        <f t="shared" si="45"/>
        <v>0</v>
      </c>
      <c r="BK21" s="4">
        <f t="shared" si="45"/>
        <v>0</v>
      </c>
      <c r="BL21" s="4">
        <f t="shared" si="45"/>
        <v>0</v>
      </c>
      <c r="BM21" s="4">
        <f t="shared" si="45"/>
        <v>0</v>
      </c>
      <c r="BN21" s="4">
        <f t="shared" si="45"/>
        <v>0</v>
      </c>
    </row>
    <row r="22" spans="1:66" x14ac:dyDescent="0.2">
      <c r="A22" t="s">
        <v>36</v>
      </c>
      <c r="B22" t="s">
        <v>10</v>
      </c>
      <c r="D22" t="s">
        <v>48</v>
      </c>
      <c r="G22" t="e">
        <f>AL28/AP28</f>
        <v>#DIV/0!</v>
      </c>
      <c r="K22">
        <f>AVERAGE(C39:C50)</f>
        <v>3.9166666666666665</v>
      </c>
      <c r="L22">
        <f>MEDIAN(C39:C50)</f>
        <v>4</v>
      </c>
      <c r="M22">
        <f>MAX(C39:C50)</f>
        <v>5</v>
      </c>
      <c r="N22">
        <f>_xlfn.STDEV.S(C39:C50)</f>
        <v>0.79296146109875854</v>
      </c>
      <c r="Z22">
        <f t="shared" si="35"/>
        <v>0</v>
      </c>
      <c r="AA22">
        <f t="shared" si="36"/>
        <v>0</v>
      </c>
      <c r="AE22">
        <f t="shared" si="37"/>
        <v>0</v>
      </c>
      <c r="AF22">
        <f t="shared" si="38"/>
        <v>0</v>
      </c>
      <c r="AG22">
        <f t="shared" si="39"/>
        <v>0</v>
      </c>
      <c r="AK22">
        <f t="shared" si="40"/>
        <v>0</v>
      </c>
      <c r="AL22">
        <f t="shared" si="41"/>
        <v>0</v>
      </c>
      <c r="AM22">
        <f t="shared" si="42"/>
        <v>0</v>
      </c>
      <c r="AN22">
        <f t="shared" si="43"/>
        <v>0</v>
      </c>
      <c r="AP22">
        <f t="shared" si="46"/>
        <v>0</v>
      </c>
      <c r="AQ22" s="4">
        <f t="shared" si="47"/>
        <v>0</v>
      </c>
      <c r="AR22" s="4">
        <f t="shared" si="44"/>
        <v>0</v>
      </c>
      <c r="AS22" s="4">
        <f t="shared" si="44"/>
        <v>0</v>
      </c>
      <c r="AT22" s="4">
        <f t="shared" si="44"/>
        <v>0</v>
      </c>
      <c r="AU22" s="4">
        <f t="shared" si="44"/>
        <v>0</v>
      </c>
      <c r="AV22" s="4">
        <f t="shared" si="44"/>
        <v>0</v>
      </c>
      <c r="AW22" s="4">
        <f t="shared" si="44"/>
        <v>0</v>
      </c>
      <c r="AX22" s="4">
        <f t="shared" si="44"/>
        <v>0</v>
      </c>
      <c r="AY22" s="4">
        <f t="shared" si="44"/>
        <v>0</v>
      </c>
      <c r="AZ22" s="4">
        <f t="shared" si="44"/>
        <v>0</v>
      </c>
      <c r="BA22" s="4">
        <f t="shared" si="44"/>
        <v>0</v>
      </c>
      <c r="BB22" s="4">
        <f t="shared" si="44"/>
        <v>0</v>
      </c>
      <c r="BC22" s="4">
        <f t="shared" si="44"/>
        <v>0</v>
      </c>
      <c r="BD22" s="4">
        <f t="shared" si="44"/>
        <v>0</v>
      </c>
      <c r="BE22" s="4">
        <f t="shared" si="44"/>
        <v>0</v>
      </c>
      <c r="BF22" s="4">
        <f t="shared" si="44"/>
        <v>0</v>
      </c>
      <c r="BG22" s="4">
        <f t="shared" si="44"/>
        <v>0</v>
      </c>
      <c r="BH22" s="4">
        <f t="shared" si="45"/>
        <v>0</v>
      </c>
      <c r="BI22" s="4">
        <f t="shared" si="45"/>
        <v>0</v>
      </c>
      <c r="BJ22" s="4">
        <f t="shared" si="45"/>
        <v>0</v>
      </c>
      <c r="BK22" s="4">
        <f t="shared" si="45"/>
        <v>0</v>
      </c>
      <c r="BL22" s="4">
        <f t="shared" si="45"/>
        <v>0</v>
      </c>
      <c r="BM22" s="4">
        <f t="shared" si="45"/>
        <v>0</v>
      </c>
      <c r="BN22" s="4">
        <f t="shared" si="45"/>
        <v>0</v>
      </c>
    </row>
    <row r="23" spans="1:66" x14ac:dyDescent="0.2">
      <c r="A23" t="s">
        <v>37</v>
      </c>
      <c r="B23" t="s">
        <v>25</v>
      </c>
      <c r="D23">
        <f>H16/A31</f>
        <v>0</v>
      </c>
      <c r="G23" t="s">
        <v>77</v>
      </c>
      <c r="K23" t="s">
        <v>8</v>
      </c>
      <c r="Z23">
        <f t="shared" si="35"/>
        <v>0</v>
      </c>
      <c r="AA23">
        <f t="shared" si="36"/>
        <v>0</v>
      </c>
      <c r="AE23">
        <f t="shared" si="37"/>
        <v>0</v>
      </c>
      <c r="AF23">
        <f t="shared" si="38"/>
        <v>0</v>
      </c>
      <c r="AG23">
        <f t="shared" si="39"/>
        <v>0</v>
      </c>
      <c r="AK23">
        <f t="shared" si="40"/>
        <v>0</v>
      </c>
      <c r="AL23">
        <f t="shared" si="41"/>
        <v>0</v>
      </c>
      <c r="AM23">
        <f t="shared" si="42"/>
        <v>0</v>
      </c>
      <c r="AN23">
        <f t="shared" si="43"/>
        <v>0</v>
      </c>
      <c r="AP23">
        <f t="shared" si="46"/>
        <v>0</v>
      </c>
      <c r="AQ23" s="4">
        <f t="shared" si="47"/>
        <v>0</v>
      </c>
      <c r="AR23" s="4">
        <f t="shared" si="44"/>
        <v>0</v>
      </c>
      <c r="AS23" s="4">
        <f t="shared" si="44"/>
        <v>0</v>
      </c>
      <c r="AT23" s="4">
        <f t="shared" si="44"/>
        <v>0</v>
      </c>
      <c r="AU23" s="4">
        <f t="shared" si="44"/>
        <v>0</v>
      </c>
      <c r="AV23" s="4">
        <f t="shared" si="44"/>
        <v>0</v>
      </c>
      <c r="AW23" s="4">
        <f t="shared" si="44"/>
        <v>0</v>
      </c>
      <c r="AX23" s="4">
        <f t="shared" si="44"/>
        <v>0</v>
      </c>
      <c r="AY23" s="4">
        <f t="shared" si="44"/>
        <v>0</v>
      </c>
      <c r="AZ23" s="4">
        <f t="shared" si="44"/>
        <v>0</v>
      </c>
      <c r="BA23" s="4">
        <f t="shared" si="44"/>
        <v>0</v>
      </c>
      <c r="BB23" s="4">
        <f t="shared" si="44"/>
        <v>0</v>
      </c>
      <c r="BC23" s="4">
        <f t="shared" si="44"/>
        <v>0</v>
      </c>
      <c r="BD23" s="4">
        <f t="shared" si="44"/>
        <v>0</v>
      </c>
      <c r="BE23" s="4">
        <f t="shared" si="44"/>
        <v>0</v>
      </c>
      <c r="BF23" s="4">
        <f t="shared" si="44"/>
        <v>0</v>
      </c>
      <c r="BG23" s="4">
        <f t="shared" si="44"/>
        <v>0</v>
      </c>
      <c r="BH23" s="4">
        <f t="shared" si="45"/>
        <v>0</v>
      </c>
      <c r="BI23" s="4">
        <f t="shared" si="45"/>
        <v>0</v>
      </c>
      <c r="BJ23" s="4">
        <f t="shared" si="45"/>
        <v>0</v>
      </c>
      <c r="BK23" s="4">
        <f t="shared" si="45"/>
        <v>0</v>
      </c>
      <c r="BL23" s="4">
        <f t="shared" si="45"/>
        <v>0</v>
      </c>
      <c r="BM23" s="4">
        <f t="shared" si="45"/>
        <v>0</v>
      </c>
      <c r="BN23" s="4">
        <f t="shared" si="45"/>
        <v>0</v>
      </c>
    </row>
    <row r="24" spans="1:66" x14ac:dyDescent="0.2">
      <c r="A24" t="s">
        <v>38</v>
      </c>
      <c r="B24" t="s">
        <v>26</v>
      </c>
      <c r="D24" t="s">
        <v>50</v>
      </c>
      <c r="G24" t="e">
        <f>AM28/AP28</f>
        <v>#DIV/0!</v>
      </c>
      <c r="K24" t="s">
        <v>57</v>
      </c>
      <c r="L24" t="s">
        <v>61</v>
      </c>
      <c r="M24" t="s">
        <v>59</v>
      </c>
      <c r="N24" t="s">
        <v>60</v>
      </c>
      <c r="Z24">
        <f t="shared" si="35"/>
        <v>0</v>
      </c>
      <c r="AA24">
        <f t="shared" si="36"/>
        <v>0</v>
      </c>
      <c r="AE24">
        <f t="shared" si="37"/>
        <v>0</v>
      </c>
      <c r="AF24">
        <f t="shared" si="38"/>
        <v>0</v>
      </c>
      <c r="AG24">
        <f t="shared" si="39"/>
        <v>0</v>
      </c>
      <c r="AK24">
        <f t="shared" si="40"/>
        <v>0</v>
      </c>
      <c r="AL24">
        <f t="shared" si="41"/>
        <v>0</v>
      </c>
      <c r="AM24">
        <f t="shared" si="42"/>
        <v>0</v>
      </c>
      <c r="AN24">
        <f t="shared" si="43"/>
        <v>0</v>
      </c>
      <c r="AP24">
        <f t="shared" si="46"/>
        <v>0</v>
      </c>
      <c r="AQ24" s="4">
        <f t="shared" si="47"/>
        <v>0</v>
      </c>
      <c r="AR24" s="4">
        <f t="shared" si="44"/>
        <v>0</v>
      </c>
      <c r="AS24" s="4">
        <f t="shared" si="44"/>
        <v>0</v>
      </c>
      <c r="AT24" s="4">
        <f t="shared" si="44"/>
        <v>0</v>
      </c>
      <c r="AU24" s="4">
        <f t="shared" si="44"/>
        <v>0</v>
      </c>
      <c r="AV24" s="4">
        <f t="shared" si="44"/>
        <v>0</v>
      </c>
      <c r="AW24" s="4">
        <f t="shared" si="44"/>
        <v>0</v>
      </c>
      <c r="AX24" s="4">
        <f t="shared" si="44"/>
        <v>0</v>
      </c>
      <c r="AY24" s="4">
        <f t="shared" si="44"/>
        <v>0</v>
      </c>
      <c r="AZ24" s="4">
        <f t="shared" si="44"/>
        <v>0</v>
      </c>
      <c r="BA24" s="4">
        <f t="shared" si="44"/>
        <v>0</v>
      </c>
      <c r="BB24" s="4">
        <f t="shared" si="44"/>
        <v>0</v>
      </c>
      <c r="BC24" s="4">
        <f t="shared" si="44"/>
        <v>0</v>
      </c>
      <c r="BD24" s="4">
        <f t="shared" si="44"/>
        <v>0</v>
      </c>
      <c r="BE24" s="4">
        <f t="shared" si="44"/>
        <v>0</v>
      </c>
      <c r="BF24" s="4">
        <f t="shared" si="44"/>
        <v>0</v>
      </c>
      <c r="BG24" s="4">
        <f t="shared" si="44"/>
        <v>0</v>
      </c>
      <c r="BH24" s="4">
        <f t="shared" si="45"/>
        <v>0</v>
      </c>
      <c r="BI24" s="4">
        <f t="shared" si="45"/>
        <v>0</v>
      </c>
      <c r="BJ24" s="4">
        <f t="shared" si="45"/>
        <v>0</v>
      </c>
      <c r="BK24" s="4">
        <f t="shared" si="45"/>
        <v>0</v>
      </c>
      <c r="BL24" s="4">
        <f t="shared" si="45"/>
        <v>0</v>
      </c>
      <c r="BM24" s="4">
        <f t="shared" si="45"/>
        <v>0</v>
      </c>
      <c r="BN24" s="4">
        <f t="shared" si="45"/>
        <v>0</v>
      </c>
    </row>
    <row r="25" spans="1:66" x14ac:dyDescent="0.2">
      <c r="A25" t="s">
        <v>39</v>
      </c>
      <c r="B25" t="s">
        <v>27</v>
      </c>
      <c r="D25">
        <f>Z28/A31</f>
        <v>0</v>
      </c>
      <c r="G25" t="s">
        <v>78</v>
      </c>
      <c r="K25">
        <f>AVERAGE(E39:E50)</f>
        <v>0</v>
      </c>
      <c r="L25">
        <f>MEDIAN(E39:E50)</f>
        <v>0</v>
      </c>
      <c r="M25">
        <f>MAX(E39:E50)</f>
        <v>0</v>
      </c>
      <c r="N25">
        <f>_xlfn.STDEV.S(E39:E50)</f>
        <v>0</v>
      </c>
      <c r="Z25">
        <f t="shared" si="35"/>
        <v>0</v>
      </c>
      <c r="AA25">
        <f t="shared" si="36"/>
        <v>0</v>
      </c>
      <c r="AE25">
        <f t="shared" si="37"/>
        <v>0</v>
      </c>
      <c r="AF25">
        <f t="shared" si="38"/>
        <v>0</v>
      </c>
      <c r="AG25">
        <f t="shared" si="39"/>
        <v>0</v>
      </c>
      <c r="AK25">
        <f t="shared" si="40"/>
        <v>0</v>
      </c>
      <c r="AL25">
        <f t="shared" si="41"/>
        <v>0</v>
      </c>
      <c r="AM25">
        <f t="shared" si="42"/>
        <v>0</v>
      </c>
      <c r="AN25">
        <f t="shared" si="43"/>
        <v>0</v>
      </c>
      <c r="AP25">
        <f t="shared" si="46"/>
        <v>0</v>
      </c>
      <c r="AQ25" s="4">
        <f t="shared" si="47"/>
        <v>0</v>
      </c>
      <c r="AR25" s="4">
        <f t="shared" si="44"/>
        <v>0</v>
      </c>
      <c r="AS25" s="4">
        <f t="shared" si="44"/>
        <v>0</v>
      </c>
      <c r="AT25" s="4">
        <f t="shared" si="44"/>
        <v>0</v>
      </c>
      <c r="AU25" s="4">
        <f t="shared" si="44"/>
        <v>0</v>
      </c>
      <c r="AV25" s="4">
        <f t="shared" si="44"/>
        <v>0</v>
      </c>
      <c r="AW25" s="4">
        <f t="shared" si="44"/>
        <v>0</v>
      </c>
      <c r="AX25" s="4">
        <f t="shared" si="44"/>
        <v>0</v>
      </c>
      <c r="AY25" s="4">
        <f t="shared" si="44"/>
        <v>0</v>
      </c>
      <c r="AZ25" s="4">
        <f t="shared" si="44"/>
        <v>0</v>
      </c>
      <c r="BA25" s="4">
        <f t="shared" si="44"/>
        <v>0</v>
      </c>
      <c r="BB25" s="4">
        <f t="shared" si="44"/>
        <v>0</v>
      </c>
      <c r="BC25" s="4">
        <f t="shared" si="44"/>
        <v>0</v>
      </c>
      <c r="BD25" s="4">
        <f t="shared" si="44"/>
        <v>0</v>
      </c>
      <c r="BE25" s="4">
        <f t="shared" si="44"/>
        <v>0</v>
      </c>
      <c r="BF25" s="4">
        <f t="shared" si="44"/>
        <v>0</v>
      </c>
      <c r="BG25" s="4">
        <f t="shared" si="44"/>
        <v>0</v>
      </c>
      <c r="BH25" s="4">
        <f t="shared" si="45"/>
        <v>0</v>
      </c>
      <c r="BI25" s="4">
        <f t="shared" si="45"/>
        <v>0</v>
      </c>
      <c r="BJ25" s="4">
        <f t="shared" si="45"/>
        <v>0</v>
      </c>
      <c r="BK25" s="4">
        <f t="shared" si="45"/>
        <v>0</v>
      </c>
      <c r="BL25" s="4">
        <f t="shared" si="45"/>
        <v>0</v>
      </c>
      <c r="BM25" s="4">
        <f t="shared" si="45"/>
        <v>0</v>
      </c>
      <c r="BN25" s="4">
        <f t="shared" si="45"/>
        <v>0</v>
      </c>
    </row>
    <row r="26" spans="1:66" x14ac:dyDescent="0.2">
      <c r="A26" t="s">
        <v>44</v>
      </c>
      <c r="D26" t="s">
        <v>51</v>
      </c>
      <c r="G26" t="e">
        <f>AN28/AP28</f>
        <v>#DIV/0!</v>
      </c>
      <c r="K26" t="s">
        <v>62</v>
      </c>
      <c r="P26" t="s">
        <v>19</v>
      </c>
      <c r="Z26">
        <f t="shared" si="35"/>
        <v>0</v>
      </c>
      <c r="AA26">
        <f t="shared" si="36"/>
        <v>0</v>
      </c>
      <c r="AE26">
        <f t="shared" si="37"/>
        <v>0</v>
      </c>
      <c r="AF26">
        <f t="shared" si="38"/>
        <v>0</v>
      </c>
      <c r="AG26">
        <f t="shared" si="39"/>
        <v>0</v>
      </c>
      <c r="AK26">
        <f t="shared" si="40"/>
        <v>0</v>
      </c>
      <c r="AL26">
        <f t="shared" si="41"/>
        <v>0</v>
      </c>
      <c r="AM26">
        <f t="shared" si="42"/>
        <v>0</v>
      </c>
      <c r="AN26">
        <f t="shared" si="43"/>
        <v>0</v>
      </c>
      <c r="AP26">
        <f t="shared" si="46"/>
        <v>0</v>
      </c>
      <c r="AQ26" s="4">
        <f t="shared" si="47"/>
        <v>0</v>
      </c>
      <c r="AR26" s="4">
        <f t="shared" si="44"/>
        <v>0</v>
      </c>
      <c r="AS26" s="4">
        <f t="shared" si="44"/>
        <v>0</v>
      </c>
      <c r="AT26" s="4">
        <f t="shared" si="44"/>
        <v>0</v>
      </c>
      <c r="AU26" s="4">
        <f t="shared" si="44"/>
        <v>0</v>
      </c>
      <c r="AV26" s="4">
        <f t="shared" si="44"/>
        <v>0</v>
      </c>
      <c r="AW26" s="4">
        <f t="shared" si="44"/>
        <v>0</v>
      </c>
      <c r="AX26" s="4">
        <f t="shared" si="44"/>
        <v>0</v>
      </c>
      <c r="AY26" s="4">
        <f t="shared" si="44"/>
        <v>0</v>
      </c>
      <c r="AZ26" s="4">
        <f t="shared" si="44"/>
        <v>0</v>
      </c>
      <c r="BA26" s="4">
        <f t="shared" si="44"/>
        <v>0</v>
      </c>
      <c r="BB26" s="4">
        <f t="shared" si="44"/>
        <v>0</v>
      </c>
      <c r="BC26" s="4">
        <f t="shared" si="44"/>
        <v>0</v>
      </c>
      <c r="BD26" s="4">
        <f t="shared" si="44"/>
        <v>0</v>
      </c>
      <c r="BE26" s="4">
        <f t="shared" si="44"/>
        <v>0</v>
      </c>
      <c r="BF26" s="4">
        <f t="shared" si="44"/>
        <v>0</v>
      </c>
      <c r="BG26" s="4">
        <f t="shared" si="44"/>
        <v>0</v>
      </c>
      <c r="BH26" s="4">
        <f t="shared" si="45"/>
        <v>0</v>
      </c>
      <c r="BI26" s="4">
        <f t="shared" si="45"/>
        <v>0</v>
      </c>
      <c r="BJ26" s="4">
        <f t="shared" si="45"/>
        <v>0</v>
      </c>
      <c r="BK26" s="4">
        <f t="shared" si="45"/>
        <v>0</v>
      </c>
      <c r="BL26" s="4">
        <f t="shared" si="45"/>
        <v>0</v>
      </c>
      <c r="BM26" s="4">
        <f t="shared" si="45"/>
        <v>0</v>
      </c>
      <c r="BN26" s="4">
        <f t="shared" si="45"/>
        <v>0</v>
      </c>
    </row>
    <row r="27" spans="1:66" x14ac:dyDescent="0.2">
      <c r="A27" t="s">
        <v>45</v>
      </c>
      <c r="D27">
        <f>AA28/A31</f>
        <v>0</v>
      </c>
      <c r="G27" t="s">
        <v>56</v>
      </c>
      <c r="K27" t="s">
        <v>57</v>
      </c>
      <c r="L27" t="s">
        <v>58</v>
      </c>
      <c r="M27" t="s">
        <v>59</v>
      </c>
      <c r="N27" t="s">
        <v>60</v>
      </c>
      <c r="P27" t="s">
        <v>57</v>
      </c>
      <c r="Q27" t="s">
        <v>58</v>
      </c>
      <c r="R27" t="s">
        <v>59</v>
      </c>
      <c r="S27" t="s">
        <v>60</v>
      </c>
      <c r="Z27">
        <f t="shared" si="35"/>
        <v>0</v>
      </c>
      <c r="AA27">
        <f t="shared" si="36"/>
        <v>0</v>
      </c>
      <c r="AE27">
        <f t="shared" si="37"/>
        <v>0</v>
      </c>
      <c r="AF27">
        <f t="shared" si="38"/>
        <v>1</v>
      </c>
      <c r="AG27">
        <f t="shared" si="39"/>
        <v>0</v>
      </c>
      <c r="AK27">
        <f t="shared" si="40"/>
        <v>0</v>
      </c>
      <c r="AL27">
        <f t="shared" si="41"/>
        <v>0</v>
      </c>
      <c r="AM27">
        <f t="shared" si="42"/>
        <v>0</v>
      </c>
      <c r="AN27">
        <f t="shared" si="43"/>
        <v>0</v>
      </c>
      <c r="AP27">
        <f t="shared" si="46"/>
        <v>0</v>
      </c>
      <c r="AQ27" s="4">
        <f t="shared" si="47"/>
        <v>0</v>
      </c>
      <c r="AR27" s="4">
        <f t="shared" si="44"/>
        <v>0</v>
      </c>
      <c r="AS27" s="4">
        <f t="shared" si="44"/>
        <v>0</v>
      </c>
      <c r="AT27" s="4">
        <f t="shared" si="44"/>
        <v>0</v>
      </c>
      <c r="AU27" s="4">
        <f t="shared" si="44"/>
        <v>0</v>
      </c>
      <c r="AV27" s="4">
        <f t="shared" si="44"/>
        <v>0</v>
      </c>
      <c r="AW27" s="4">
        <f t="shared" si="44"/>
        <v>0</v>
      </c>
      <c r="AX27" s="4">
        <f t="shared" si="44"/>
        <v>0</v>
      </c>
      <c r="AY27" s="4">
        <f t="shared" si="44"/>
        <v>0</v>
      </c>
      <c r="AZ27" s="4">
        <f t="shared" si="44"/>
        <v>0</v>
      </c>
      <c r="BA27" s="4">
        <f t="shared" si="44"/>
        <v>0</v>
      </c>
      <c r="BB27" s="4">
        <f t="shared" si="44"/>
        <v>0</v>
      </c>
      <c r="BC27" s="4">
        <f t="shared" si="44"/>
        <v>0</v>
      </c>
      <c r="BD27" s="4">
        <f t="shared" si="44"/>
        <v>0</v>
      </c>
      <c r="BE27" s="4">
        <f t="shared" si="44"/>
        <v>0</v>
      </c>
      <c r="BF27" s="4">
        <f t="shared" si="44"/>
        <v>0</v>
      </c>
      <c r="BG27" s="4">
        <f t="shared" si="44"/>
        <v>0</v>
      </c>
      <c r="BH27" s="4">
        <f t="shared" si="45"/>
        <v>0</v>
      </c>
      <c r="BI27" s="4">
        <f t="shared" si="45"/>
        <v>0</v>
      </c>
      <c r="BJ27" s="4">
        <f t="shared" si="45"/>
        <v>0</v>
      </c>
      <c r="BK27" s="4">
        <f t="shared" si="45"/>
        <v>0</v>
      </c>
      <c r="BL27" s="4">
        <f t="shared" si="45"/>
        <v>0</v>
      </c>
      <c r="BM27" s="4">
        <f t="shared" si="45"/>
        <v>0</v>
      </c>
      <c r="BN27" s="4">
        <f t="shared" si="45"/>
        <v>0</v>
      </c>
    </row>
    <row r="28" spans="1:66" x14ac:dyDescent="0.2">
      <c r="A28" t="s">
        <v>46</v>
      </c>
      <c r="D28" t="s">
        <v>202</v>
      </c>
      <c r="G28" t="s">
        <v>57</v>
      </c>
      <c r="H28" t="s">
        <v>58</v>
      </c>
      <c r="I28" t="s">
        <v>59</v>
      </c>
      <c r="J28" t="s">
        <v>60</v>
      </c>
      <c r="K28">
        <f>AVERAGE(G39:G50)</f>
        <v>0</v>
      </c>
      <c r="L28">
        <f>MEDIAN(G39:G50)</f>
        <v>0</v>
      </c>
      <c r="M28">
        <f>MAX(G39:G50)</f>
        <v>0</v>
      </c>
      <c r="N28">
        <f>_xlfn.STDEV.S(G39:G50)</f>
        <v>0</v>
      </c>
      <c r="P28">
        <f>AVERAGE(N39:N50)</f>
        <v>2</v>
      </c>
      <c r="Q28">
        <f>MEDIAN(N39:N50)</f>
        <v>0</v>
      </c>
      <c r="R28">
        <f>MAX(N39:N50)</f>
        <v>9</v>
      </c>
      <c r="S28">
        <f>_xlfn.STDEV.S(N39:N50)</f>
        <v>3.4902461491731755</v>
      </c>
      <c r="Y28" t="s">
        <v>33</v>
      </c>
      <c r="Z28">
        <f>SUM(Z16:Z27)</f>
        <v>0</v>
      </c>
      <c r="AA28">
        <f>SUM(AA16:AA27)</f>
        <v>0</v>
      </c>
      <c r="AE28">
        <f>SUM(AE16:AE27)</f>
        <v>0</v>
      </c>
      <c r="AF28">
        <f>SUM(AF16:AF27)</f>
        <v>2</v>
      </c>
      <c r="AG28">
        <f>SUM(AG16:AG27)</f>
        <v>0</v>
      </c>
      <c r="AK28">
        <f>SUM(AK16:AK27)</f>
        <v>0</v>
      </c>
      <c r="AL28">
        <f>SUM(AL16:AL27)</f>
        <v>0</v>
      </c>
      <c r="AM28">
        <f>SUM(AM16:AM27)</f>
        <v>0</v>
      </c>
      <c r="AN28">
        <f>SUM(AN16:AN27)</f>
        <v>0</v>
      </c>
      <c r="AP28">
        <f>SUM(AP16:AP27)</f>
        <v>0</v>
      </c>
    </row>
    <row r="29" spans="1:66" x14ac:dyDescent="0.2">
      <c r="D29">
        <f>SUM(O39:O50)/F16</f>
        <v>0.5</v>
      </c>
      <c r="G29">
        <f>AVERAGE(A39:A50)</f>
        <v>0.16666666666666666</v>
      </c>
      <c r="H29">
        <f>MEDIAN(A39:A50)</f>
        <v>0</v>
      </c>
      <c r="I29">
        <f>MAX(A39:A50)</f>
        <v>1</v>
      </c>
      <c r="J29">
        <f>_xlfn.STDEV.S(A39:A50)</f>
        <v>0.38924947208076149</v>
      </c>
      <c r="K29" t="s">
        <v>63</v>
      </c>
      <c r="P29" t="s">
        <v>148</v>
      </c>
    </row>
    <row r="30" spans="1:66" x14ac:dyDescent="0.2">
      <c r="A30" t="s">
        <v>147</v>
      </c>
      <c r="D30" t="s">
        <v>203</v>
      </c>
      <c r="G30" t="s">
        <v>50</v>
      </c>
      <c r="H30" t="s">
        <v>51</v>
      </c>
      <c r="I30" t="s">
        <v>89</v>
      </c>
      <c r="K30" t="s">
        <v>57</v>
      </c>
      <c r="L30" t="s">
        <v>58</v>
      </c>
      <c r="M30" t="s">
        <v>59</v>
      </c>
      <c r="N30" t="s">
        <v>60</v>
      </c>
      <c r="P30" t="s">
        <v>57</v>
      </c>
      <c r="Q30" t="s">
        <v>58</v>
      </c>
      <c r="R30" t="s">
        <v>59</v>
      </c>
      <c r="S30" t="s">
        <v>60</v>
      </c>
      <c r="W30" t="s">
        <v>148</v>
      </c>
      <c r="Y30" t="s">
        <v>149</v>
      </c>
      <c r="AH30" t="s">
        <v>79</v>
      </c>
    </row>
    <row r="31" spans="1:66" x14ac:dyDescent="0.2">
      <c r="A31">
        <f>COUNT(B4:B15)</f>
        <v>12</v>
      </c>
      <c r="D31" s="2">
        <f>SUM(S39:S50)/SUM(Q39:Q50)</f>
        <v>0</v>
      </c>
      <c r="G31">
        <f>AE28/A31</f>
        <v>0</v>
      </c>
      <c r="H31">
        <f>AF28/A31</f>
        <v>0.16666666666666666</v>
      </c>
      <c r="I31">
        <f>AG28/A31</f>
        <v>0</v>
      </c>
      <c r="K31" t="e">
        <f>AVERAGE(I39:I50)</f>
        <v>#DIV/0!</v>
      </c>
      <c r="L31" t="e">
        <f>MEDIAN(I39:I50)</f>
        <v>#NUM!</v>
      </c>
      <c r="M31">
        <f>MAX(I39:I50)</f>
        <v>0</v>
      </c>
      <c r="N31" t="e">
        <f>_xlfn.STDEV.S(I39:I50)</f>
        <v>#DIV/0!</v>
      </c>
      <c r="P31" t="e">
        <f>AVERAGE(W31:W42)</f>
        <v>#DIV/0!</v>
      </c>
      <c r="Q31" t="e">
        <f>MEDIAN(W31:W42)</f>
        <v>#NUM!</v>
      </c>
      <c r="R31">
        <f>MAX(W31:W42)</f>
        <v>0</v>
      </c>
      <c r="S31" t="e">
        <f>_xlfn.STDEV.S(W31:W42)</f>
        <v>#DIV/0!</v>
      </c>
      <c r="W31" t="str">
        <f t="shared" ref="W31:W33" si="48">IF(AND(ISBLANK(Q4), ISBLANK(R4), ISBLANK(G4), ISBLANK(H4)), "", U4)</f>
        <v/>
      </c>
      <c r="Y31" t="str">
        <f t="shared" ref="Y31:Y42" si="49">IF(ISBLANK(Y4), IF(X4 = 0, "", (G4 + H4/3 + V4/9 + W4/3)), U4)</f>
        <v/>
      </c>
      <c r="AH31" t="s">
        <v>80</v>
      </c>
    </row>
    <row r="32" spans="1:66" x14ac:dyDescent="0.2">
      <c r="D32" s="3"/>
      <c r="K32" t="s">
        <v>64</v>
      </c>
      <c r="P32" t="s">
        <v>149</v>
      </c>
      <c r="W32" t="str">
        <f t="shared" si="48"/>
        <v/>
      </c>
      <c r="Y32" t="str">
        <f t="shared" si="49"/>
        <v/>
      </c>
      <c r="AH32" t="s">
        <v>81</v>
      </c>
    </row>
    <row r="33" spans="1:34" x14ac:dyDescent="0.2">
      <c r="D33" s="3"/>
      <c r="K33" t="s">
        <v>57</v>
      </c>
      <c r="L33" t="s">
        <v>58</v>
      </c>
      <c r="M33" t="s">
        <v>59</v>
      </c>
      <c r="N33" t="s">
        <v>60</v>
      </c>
      <c r="P33" t="s">
        <v>57</v>
      </c>
      <c r="Q33" t="s">
        <v>58</v>
      </c>
      <c r="R33" t="s">
        <v>59</v>
      </c>
      <c r="S33" t="s">
        <v>60</v>
      </c>
      <c r="W33" t="str">
        <f t="shared" si="48"/>
        <v/>
      </c>
      <c r="Y33" t="str">
        <f t="shared" si="49"/>
        <v/>
      </c>
      <c r="AH33" t="s">
        <v>82</v>
      </c>
    </row>
    <row r="34" spans="1:34" x14ac:dyDescent="0.2">
      <c r="D34" s="3"/>
      <c r="K34">
        <f>AVERAGE(K39:K50)</f>
        <v>0</v>
      </c>
      <c r="L34">
        <f>MEDIAN(K39:K50)</f>
        <v>0</v>
      </c>
      <c r="M34">
        <f>MAX(K39:K50)</f>
        <v>0</v>
      </c>
      <c r="N34">
        <f>_xlfn.STDEV.S(K39:K50)</f>
        <v>0</v>
      </c>
      <c r="P34" t="e">
        <f>AVERAGE(Y31:Y42)</f>
        <v>#DIV/0!</v>
      </c>
      <c r="Q34" t="e">
        <f>MEDIAN(Y31:Y42)</f>
        <v>#NUM!</v>
      </c>
      <c r="R34">
        <f>MAX(Y31:Y42)</f>
        <v>0</v>
      </c>
      <c r="S34" t="e">
        <f>_xlfn.STDEV.S(Y31:Y42)</f>
        <v>#DIV/0!</v>
      </c>
      <c r="W34" t="str">
        <f>IF(AND(ISBLANK(Q7), ISBLANK(R7), ISBLANK(G7), ISBLANK(H7)), "", U7)</f>
        <v/>
      </c>
      <c r="Y34" t="str">
        <f t="shared" si="49"/>
        <v/>
      </c>
      <c r="AH34" t="s">
        <v>83</v>
      </c>
    </row>
    <row r="35" spans="1:34" x14ac:dyDescent="0.2">
      <c r="P35" t="s">
        <v>95</v>
      </c>
      <c r="R35" t="s">
        <v>197</v>
      </c>
      <c r="W35" t="str">
        <f t="shared" ref="W35:W42" si="50">IF(AND(ISBLANK(Q8), ISBLANK(R8), ISBLANK(G8), ISBLANK(H8)), "", U8)</f>
        <v/>
      </c>
      <c r="Y35" t="str">
        <f t="shared" si="49"/>
        <v/>
      </c>
    </row>
    <row r="36" spans="1:34" x14ac:dyDescent="0.2">
      <c r="P36" t="e">
        <f>Q16/(Q16+R16)</f>
        <v>#DIV/0!</v>
      </c>
      <c r="R36" t="e">
        <f>R16/(Q16+R16)</f>
        <v>#DIV/0!</v>
      </c>
      <c r="W36" t="str">
        <f t="shared" si="50"/>
        <v/>
      </c>
      <c r="Y36" t="str">
        <f t="shared" si="49"/>
        <v/>
      </c>
    </row>
    <row r="37" spans="1:34" x14ac:dyDescent="0.2">
      <c r="W37" t="str">
        <f t="shared" si="50"/>
        <v/>
      </c>
      <c r="Y37" t="str">
        <f t="shared" si="49"/>
        <v/>
      </c>
    </row>
    <row r="38" spans="1:34" x14ac:dyDescent="0.2">
      <c r="A38" t="s">
        <v>68</v>
      </c>
      <c r="C38" t="s">
        <v>69</v>
      </c>
      <c r="E38" t="s">
        <v>72</v>
      </c>
      <c r="G38" t="s">
        <v>250</v>
      </c>
      <c r="K38" t="s">
        <v>73</v>
      </c>
      <c r="M38" t="s">
        <v>70</v>
      </c>
      <c r="N38" t="s">
        <v>71</v>
      </c>
      <c r="O38" t="s">
        <v>199</v>
      </c>
      <c r="Q38" t="s">
        <v>200</v>
      </c>
      <c r="S38" t="s">
        <v>201</v>
      </c>
      <c r="W38" t="str">
        <f t="shared" si="50"/>
        <v/>
      </c>
      <c r="Y38" t="str">
        <f t="shared" si="49"/>
        <v/>
      </c>
    </row>
    <row r="39" spans="1:34" x14ac:dyDescent="0.2">
      <c r="A39">
        <f t="shared" ref="A39:A50" si="51">IF(ISBLANK(B4), "", SUM(AE16+AF16+AG16))</f>
        <v>0</v>
      </c>
      <c r="C39">
        <f t="shared" ref="C39:C50" si="52">IF(ISBLANK(B4), "", O4)</f>
        <v>4</v>
      </c>
      <c r="E39">
        <f t="shared" ref="E39:E50" si="53">IF(ISBLANK(B4), "", Q4)</f>
        <v>0</v>
      </c>
      <c r="G39">
        <f t="shared" ref="G39:G50" si="54">IF(ISBLANK(B4), "", R4)</f>
        <v>0</v>
      </c>
      <c r="K39">
        <f t="shared" ref="K39:K50" si="55">IF(ISBLANK(B4), "", SUM(Q4 + R4))</f>
        <v>0</v>
      </c>
      <c r="M39">
        <f t="shared" ref="M39:M50" si="56">IF(ISBLANK(B4), "", SUM(K4+M4) - O4)</f>
        <v>0</v>
      </c>
      <c r="N39">
        <f t="shared" ref="N39:N50" si="57">IF(ISBLANK(B4), "", U4)</f>
        <v>6</v>
      </c>
      <c r="O39">
        <f t="shared" ref="O39:O50" si="58">COUNTIF(E4, "1")*COUNTIF(F4, "1")</f>
        <v>0</v>
      </c>
      <c r="Q39">
        <f t="shared" ref="Q39:Q50" si="59">COUNTIF(D4, "1")*COUNTIF(F4, "")</f>
        <v>1</v>
      </c>
      <c r="S39">
        <f t="shared" ref="S39:S50" si="60">COUNTIF(E4, "1")*COUNTIF(F4, "")</f>
        <v>0</v>
      </c>
      <c r="W39" t="str">
        <f t="shared" si="50"/>
        <v/>
      </c>
      <c r="Y39" t="str">
        <f t="shared" si="49"/>
        <v/>
      </c>
    </row>
    <row r="40" spans="1:34" x14ac:dyDescent="0.2">
      <c r="A40">
        <f t="shared" si="51"/>
        <v>0</v>
      </c>
      <c r="C40">
        <f t="shared" si="52"/>
        <v>4</v>
      </c>
      <c r="E40">
        <f t="shared" si="53"/>
        <v>0</v>
      </c>
      <c r="G40">
        <f t="shared" si="54"/>
        <v>0</v>
      </c>
      <c r="K40">
        <f t="shared" si="55"/>
        <v>0</v>
      </c>
      <c r="M40">
        <f t="shared" si="56"/>
        <v>0</v>
      </c>
      <c r="N40">
        <f t="shared" si="57"/>
        <v>0</v>
      </c>
      <c r="O40">
        <f t="shared" si="58"/>
        <v>1</v>
      </c>
      <c r="Q40">
        <f t="shared" si="59"/>
        <v>0</v>
      </c>
      <c r="S40">
        <f t="shared" si="60"/>
        <v>0</v>
      </c>
      <c r="W40" t="str">
        <f t="shared" si="50"/>
        <v/>
      </c>
      <c r="Y40" t="str">
        <f t="shared" si="49"/>
        <v/>
      </c>
    </row>
    <row r="41" spans="1:34" x14ac:dyDescent="0.2">
      <c r="A41">
        <f t="shared" si="51"/>
        <v>1</v>
      </c>
      <c r="C41">
        <f t="shared" si="52"/>
        <v>3</v>
      </c>
      <c r="E41">
        <f t="shared" si="53"/>
        <v>0</v>
      </c>
      <c r="G41">
        <f t="shared" si="54"/>
        <v>0</v>
      </c>
      <c r="K41">
        <f t="shared" si="55"/>
        <v>0</v>
      </c>
      <c r="M41">
        <f t="shared" si="56"/>
        <v>1</v>
      </c>
      <c r="N41">
        <f t="shared" si="57"/>
        <v>1</v>
      </c>
      <c r="O41">
        <f t="shared" si="58"/>
        <v>1</v>
      </c>
      <c r="Q41">
        <f t="shared" si="59"/>
        <v>0</v>
      </c>
      <c r="S41">
        <f t="shared" si="60"/>
        <v>0</v>
      </c>
      <c r="W41" t="str">
        <f t="shared" si="50"/>
        <v/>
      </c>
      <c r="Y41" t="str">
        <f t="shared" si="49"/>
        <v/>
      </c>
    </row>
    <row r="42" spans="1:34" x14ac:dyDescent="0.2">
      <c r="A42">
        <f t="shared" si="51"/>
        <v>0</v>
      </c>
      <c r="C42">
        <f t="shared" si="52"/>
        <v>3</v>
      </c>
      <c r="E42">
        <f t="shared" si="53"/>
        <v>0</v>
      </c>
      <c r="G42">
        <f t="shared" si="54"/>
        <v>0</v>
      </c>
      <c r="K42">
        <f t="shared" si="55"/>
        <v>0</v>
      </c>
      <c r="M42">
        <f t="shared" si="56"/>
        <v>-1</v>
      </c>
      <c r="N42">
        <f t="shared" si="57"/>
        <v>0</v>
      </c>
      <c r="O42">
        <f t="shared" si="58"/>
        <v>0</v>
      </c>
      <c r="Q42">
        <f t="shared" si="59"/>
        <v>0</v>
      </c>
      <c r="S42">
        <f t="shared" si="60"/>
        <v>0</v>
      </c>
      <c r="W42" t="str">
        <f t="shared" si="50"/>
        <v/>
      </c>
      <c r="Y42" t="str">
        <f t="shared" si="49"/>
        <v/>
      </c>
    </row>
    <row r="43" spans="1:34" x14ac:dyDescent="0.2">
      <c r="A43">
        <f t="shared" si="51"/>
        <v>0</v>
      </c>
      <c r="C43">
        <f t="shared" si="52"/>
        <v>5</v>
      </c>
      <c r="E43">
        <f t="shared" si="53"/>
        <v>0</v>
      </c>
      <c r="G43">
        <f t="shared" si="54"/>
        <v>0</v>
      </c>
      <c r="K43">
        <f t="shared" si="55"/>
        <v>0</v>
      </c>
      <c r="M43">
        <f t="shared" si="56"/>
        <v>0</v>
      </c>
      <c r="N43">
        <f t="shared" si="57"/>
        <v>0</v>
      </c>
      <c r="O43">
        <f t="shared" si="58"/>
        <v>0</v>
      </c>
      <c r="Q43">
        <f t="shared" si="59"/>
        <v>1</v>
      </c>
      <c r="S43">
        <f t="shared" si="60"/>
        <v>0</v>
      </c>
    </row>
    <row r="44" spans="1:34" x14ac:dyDescent="0.2">
      <c r="A44">
        <f t="shared" si="51"/>
        <v>0</v>
      </c>
      <c r="C44">
        <f t="shared" si="52"/>
        <v>4</v>
      </c>
      <c r="E44">
        <f t="shared" si="53"/>
        <v>0</v>
      </c>
      <c r="G44">
        <f t="shared" si="54"/>
        <v>0</v>
      </c>
      <c r="K44">
        <f t="shared" si="55"/>
        <v>0</v>
      </c>
      <c r="M44">
        <f t="shared" si="56"/>
        <v>-1</v>
      </c>
      <c r="N44">
        <f t="shared" si="57"/>
        <v>0</v>
      </c>
      <c r="O44">
        <f t="shared" si="58"/>
        <v>0</v>
      </c>
      <c r="Q44">
        <f t="shared" si="59"/>
        <v>0</v>
      </c>
      <c r="S44">
        <f t="shared" si="60"/>
        <v>0</v>
      </c>
    </row>
    <row r="45" spans="1:34" x14ac:dyDescent="0.2">
      <c r="A45">
        <f t="shared" si="51"/>
        <v>0</v>
      </c>
      <c r="C45">
        <f t="shared" si="52"/>
        <v>4</v>
      </c>
      <c r="E45">
        <f t="shared" si="53"/>
        <v>0</v>
      </c>
      <c r="G45">
        <f t="shared" si="54"/>
        <v>0</v>
      </c>
      <c r="K45">
        <f t="shared" si="55"/>
        <v>0</v>
      </c>
      <c r="M45">
        <f t="shared" si="56"/>
        <v>0</v>
      </c>
      <c r="N45">
        <f t="shared" si="57"/>
        <v>0</v>
      </c>
      <c r="O45">
        <f t="shared" si="58"/>
        <v>0</v>
      </c>
      <c r="Q45">
        <f t="shared" si="59"/>
        <v>1</v>
      </c>
      <c r="S45">
        <f t="shared" si="60"/>
        <v>0</v>
      </c>
    </row>
    <row r="46" spans="1:34" x14ac:dyDescent="0.2">
      <c r="A46">
        <f t="shared" si="51"/>
        <v>0</v>
      </c>
      <c r="C46">
        <f t="shared" si="52"/>
        <v>5</v>
      </c>
      <c r="E46">
        <f t="shared" si="53"/>
        <v>0</v>
      </c>
      <c r="G46">
        <f t="shared" si="54"/>
        <v>0</v>
      </c>
      <c r="K46">
        <f t="shared" si="55"/>
        <v>0</v>
      </c>
      <c r="M46">
        <f t="shared" si="56"/>
        <v>0</v>
      </c>
      <c r="N46">
        <f t="shared" si="57"/>
        <v>0</v>
      </c>
      <c r="O46">
        <f t="shared" si="58"/>
        <v>0</v>
      </c>
      <c r="Q46">
        <f t="shared" si="59"/>
        <v>0</v>
      </c>
      <c r="S46">
        <f t="shared" si="60"/>
        <v>0</v>
      </c>
    </row>
    <row r="47" spans="1:34" x14ac:dyDescent="0.2">
      <c r="A47">
        <f t="shared" si="51"/>
        <v>0</v>
      </c>
      <c r="C47">
        <f t="shared" si="52"/>
        <v>3</v>
      </c>
      <c r="E47">
        <f t="shared" si="53"/>
        <v>0</v>
      </c>
      <c r="G47">
        <f t="shared" si="54"/>
        <v>0</v>
      </c>
      <c r="K47">
        <f t="shared" si="55"/>
        <v>0</v>
      </c>
      <c r="M47">
        <f t="shared" si="56"/>
        <v>0</v>
      </c>
      <c r="N47">
        <f t="shared" si="57"/>
        <v>8</v>
      </c>
      <c r="O47">
        <f t="shared" si="58"/>
        <v>1</v>
      </c>
      <c r="Q47">
        <f t="shared" si="59"/>
        <v>0</v>
      </c>
      <c r="S47">
        <f t="shared" si="60"/>
        <v>0</v>
      </c>
    </row>
    <row r="48" spans="1:34" x14ac:dyDescent="0.2">
      <c r="A48">
        <f t="shared" si="51"/>
        <v>0</v>
      </c>
      <c r="C48">
        <f t="shared" si="52"/>
        <v>5</v>
      </c>
      <c r="E48">
        <f t="shared" si="53"/>
        <v>0</v>
      </c>
      <c r="G48">
        <f t="shared" si="54"/>
        <v>0</v>
      </c>
      <c r="K48">
        <f t="shared" si="55"/>
        <v>0</v>
      </c>
      <c r="M48">
        <f t="shared" si="56"/>
        <v>0</v>
      </c>
      <c r="N48">
        <f t="shared" si="57"/>
        <v>9</v>
      </c>
      <c r="O48">
        <f t="shared" si="58"/>
        <v>0</v>
      </c>
      <c r="Q48">
        <f t="shared" si="59"/>
        <v>1</v>
      </c>
      <c r="S48">
        <f t="shared" si="60"/>
        <v>0</v>
      </c>
    </row>
    <row r="49" spans="1:19" x14ac:dyDescent="0.2">
      <c r="A49">
        <f t="shared" si="51"/>
        <v>0</v>
      </c>
      <c r="C49">
        <f t="shared" si="52"/>
        <v>3</v>
      </c>
      <c r="E49">
        <f t="shared" si="53"/>
        <v>0</v>
      </c>
      <c r="G49">
        <f t="shared" si="54"/>
        <v>0</v>
      </c>
      <c r="K49">
        <f t="shared" si="55"/>
        <v>0</v>
      </c>
      <c r="M49">
        <f t="shared" si="56"/>
        <v>1</v>
      </c>
      <c r="N49">
        <f t="shared" si="57"/>
        <v>0</v>
      </c>
      <c r="O49">
        <f t="shared" si="58"/>
        <v>0</v>
      </c>
      <c r="Q49">
        <f t="shared" si="59"/>
        <v>0</v>
      </c>
      <c r="S49">
        <f t="shared" si="60"/>
        <v>0</v>
      </c>
    </row>
    <row r="50" spans="1:19" x14ac:dyDescent="0.2">
      <c r="A50">
        <f t="shared" si="51"/>
        <v>1</v>
      </c>
      <c r="C50">
        <f t="shared" si="52"/>
        <v>4</v>
      </c>
      <c r="E50">
        <f t="shared" si="53"/>
        <v>0</v>
      </c>
      <c r="G50">
        <f t="shared" si="54"/>
        <v>0</v>
      </c>
      <c r="K50">
        <f t="shared" si="55"/>
        <v>0</v>
      </c>
      <c r="M50">
        <f t="shared" si="56"/>
        <v>0</v>
      </c>
      <c r="N50">
        <f t="shared" si="57"/>
        <v>0</v>
      </c>
      <c r="O50">
        <f t="shared" si="58"/>
        <v>0</v>
      </c>
      <c r="Q50">
        <f t="shared" si="59"/>
        <v>1</v>
      </c>
      <c r="S50">
        <f t="shared" si="60"/>
        <v>0</v>
      </c>
    </row>
  </sheetData>
  <pageMargins left="0.7" right="0.7" top="0.75" bottom="0.75" header="0.3" footer="0.3"/>
  <legacy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7" enableFormatConditionsCalculation="0"/>
  <dimension ref="A1:BN50"/>
  <sheetViews>
    <sheetView topLeftCell="C1" workbookViewId="0">
      <selection activeCell="V15" sqref="V15"/>
    </sheetView>
  </sheetViews>
  <sheetFormatPr baseColWidth="10" defaultRowHeight="15" x14ac:dyDescent="0.2"/>
  <sheetData>
    <row r="1" spans="1:66" x14ac:dyDescent="0.2">
      <c r="A1" s="1" t="s">
        <v>0</v>
      </c>
      <c r="D1" t="s">
        <v>3</v>
      </c>
      <c r="K1" t="s">
        <v>11</v>
      </c>
      <c r="N1" t="s">
        <v>12</v>
      </c>
      <c r="P1" t="s">
        <v>14</v>
      </c>
      <c r="Q1" t="s">
        <v>17</v>
      </c>
      <c r="S1" t="s">
        <v>18</v>
      </c>
      <c r="Z1" t="s">
        <v>29</v>
      </c>
      <c r="AE1" t="s">
        <v>30</v>
      </c>
      <c r="AK1" t="s">
        <v>42</v>
      </c>
    </row>
    <row r="2" spans="1:66" x14ac:dyDescent="0.2">
      <c r="A2" t="s">
        <v>1</v>
      </c>
      <c r="B2" t="s">
        <v>1</v>
      </c>
      <c r="C2" t="s">
        <v>87</v>
      </c>
      <c r="D2" t="s">
        <v>54</v>
      </c>
      <c r="E2" t="s">
        <v>13</v>
      </c>
      <c r="F2" t="s">
        <v>198</v>
      </c>
      <c r="G2" t="s">
        <v>7</v>
      </c>
      <c r="H2" t="s">
        <v>8</v>
      </c>
      <c r="I2" t="s">
        <v>179</v>
      </c>
      <c r="J2" t="s">
        <v>178</v>
      </c>
      <c r="K2" t="s">
        <v>9</v>
      </c>
      <c r="L2" t="s">
        <v>196</v>
      </c>
      <c r="M2" t="s">
        <v>10</v>
      </c>
      <c r="N2" t="s">
        <v>54</v>
      </c>
      <c r="O2" t="s">
        <v>13</v>
      </c>
      <c r="P2" t="s">
        <v>15</v>
      </c>
      <c r="Q2" t="s">
        <v>8</v>
      </c>
      <c r="R2" t="s">
        <v>7</v>
      </c>
      <c r="S2" t="s">
        <v>181</v>
      </c>
      <c r="T2" t="s">
        <v>182</v>
      </c>
      <c r="U2" t="s">
        <v>19</v>
      </c>
      <c r="V2" t="s">
        <v>191</v>
      </c>
      <c r="W2" t="s">
        <v>192</v>
      </c>
      <c r="X2" t="s">
        <v>175</v>
      </c>
      <c r="Y2" t="s">
        <v>173</v>
      </c>
      <c r="Z2" t="str">
        <f t="shared" ref="Z2:Z13" si="0">LEFT(I4, 1)</f>
        <v/>
      </c>
      <c r="AA2" t="str">
        <f t="shared" ref="AA2:AA13" si="1">MID(I4, 4, 1)</f>
        <v/>
      </c>
      <c r="AB2" t="str">
        <f t="shared" ref="AB2:AB13" si="2">MID(I4, 7, 1)</f>
        <v/>
      </c>
      <c r="AC2" t="str">
        <f t="shared" ref="AC2:AC13" si="3">MID(I4, 10, 1)</f>
        <v/>
      </c>
      <c r="AE2" t="str">
        <f t="shared" ref="AE2:AE13" si="4">LEFT(J4, 1)</f>
        <v/>
      </c>
      <c r="AF2" t="str">
        <f t="shared" ref="AF2:AF13" si="5">MID(J4, 4, 1)</f>
        <v/>
      </c>
      <c r="AG2" t="str">
        <f t="shared" ref="AG2:AG13" si="6">MID(J4, 7, 1)</f>
        <v/>
      </c>
      <c r="AH2" t="str">
        <f t="shared" ref="AH2:AH13" si="7">MID(J4, 10, 1)</f>
        <v/>
      </c>
      <c r="AI2" t="str">
        <f t="shared" ref="AI2:AI13" si="8">MID(J4, 13, 1)</f>
        <v/>
      </c>
      <c r="AK2" t="str">
        <f t="shared" ref="AK2:AK13" si="9">LEFT(P4, 2)</f>
        <v/>
      </c>
      <c r="AL2" t="str">
        <f>MID($P4, 5, 2)</f>
        <v/>
      </c>
      <c r="AM2" t="str">
        <f t="shared" ref="AM2:AM13" si="10">MID($P4, 9, 2)</f>
        <v/>
      </c>
      <c r="AN2" t="str">
        <f t="shared" ref="AN2:AN13" si="11">MID($P4, 13, 2)</f>
        <v/>
      </c>
      <c r="AO2" t="str">
        <f t="shared" ref="AO2:AO13" si="12">MID($P4, 17, 2)</f>
        <v/>
      </c>
      <c r="AP2" t="str">
        <f t="shared" ref="AP2:AP13" si="13">MID($P4, 21, 2)</f>
        <v/>
      </c>
      <c r="AQ2" t="str">
        <f t="shared" ref="AQ2:AQ13" si="14">MID($P4, 25, 2)</f>
        <v/>
      </c>
      <c r="AR2" t="str">
        <f t="shared" ref="AR2:AR13" si="15">MID($P4, 29, 2)</f>
        <v/>
      </c>
      <c r="AS2" t="str">
        <f t="shared" ref="AS2:AS13" si="16">MID($P4, 33, 2)</f>
        <v/>
      </c>
      <c r="AT2" t="str">
        <f t="shared" ref="AT2:AT13" si="17">MID($P4, 37, 2)</f>
        <v/>
      </c>
      <c r="AU2" t="str">
        <f t="shared" ref="AU2:AU13" si="18">MID($P4, 41, 2)</f>
        <v/>
      </c>
      <c r="AV2" t="str">
        <f t="shared" ref="AV2:AV13" si="19">MID($P4, 45, 2)</f>
        <v/>
      </c>
      <c r="AW2" t="str">
        <f t="shared" ref="AW2:AW13" si="20">MID($P4, 49, 2)</f>
        <v/>
      </c>
      <c r="AX2" t="str">
        <f t="shared" ref="AX2:AX13" si="21">MID($P4, 53, 2)</f>
        <v/>
      </c>
      <c r="AY2" t="str">
        <f t="shared" ref="AY2:AY13" si="22">MID($P4, 57, 2)</f>
        <v/>
      </c>
      <c r="AZ2" t="str">
        <f t="shared" ref="AZ2:AZ13" si="23">MID($P4, 61, 2)</f>
        <v/>
      </c>
      <c r="BA2" t="str">
        <f t="shared" ref="BA2:BA13" si="24">MID($P4, 65, 2)</f>
        <v/>
      </c>
      <c r="BB2" t="str">
        <f t="shared" ref="BB2:BB13" si="25">MID($P4, 69, 2)</f>
        <v/>
      </c>
      <c r="BC2" t="str">
        <f t="shared" ref="BC2:BC13" si="26">MID($P4, 73, 2)</f>
        <v/>
      </c>
      <c r="BD2" t="str">
        <f t="shared" ref="BD2:BD13" si="27">MID($P4, 77, 2)</f>
        <v/>
      </c>
      <c r="BE2" t="str">
        <f t="shared" ref="BE2:BE13" si="28">MID($P4, 81, 2)</f>
        <v/>
      </c>
      <c r="BF2" t="str">
        <f t="shared" ref="BF2:BF13" si="29">MID($P4, 85, 2)</f>
        <v/>
      </c>
      <c r="BG2" t="str">
        <f t="shared" ref="BG2:BG13" si="30">MID($P4, 89, 2)</f>
        <v/>
      </c>
      <c r="BH2" t="str">
        <f t="shared" ref="BH2:BH13" si="31">MID($P4, 93, 2)</f>
        <v/>
      </c>
    </row>
    <row r="3" spans="1:66" x14ac:dyDescent="0.2">
      <c r="A3" t="s">
        <v>2</v>
      </c>
      <c r="B3" t="s">
        <v>6</v>
      </c>
      <c r="C3" t="s">
        <v>88</v>
      </c>
      <c r="D3" t="s">
        <v>6</v>
      </c>
      <c r="E3" t="s">
        <v>6</v>
      </c>
      <c r="F3" t="s">
        <v>4</v>
      </c>
      <c r="G3" t="s">
        <v>6</v>
      </c>
      <c r="H3" t="s">
        <v>6</v>
      </c>
      <c r="I3" t="s">
        <v>86</v>
      </c>
      <c r="J3" t="s">
        <v>86</v>
      </c>
      <c r="K3" t="s">
        <v>6</v>
      </c>
      <c r="L3" t="s">
        <v>6</v>
      </c>
      <c r="M3" t="s">
        <v>6</v>
      </c>
      <c r="N3" t="s">
        <v>6</v>
      </c>
      <c r="O3" t="s">
        <v>6</v>
      </c>
      <c r="P3" t="s">
        <v>16</v>
      </c>
      <c r="Q3" t="s">
        <v>6</v>
      </c>
      <c r="R3" t="s">
        <v>6</v>
      </c>
      <c r="S3" t="s">
        <v>4</v>
      </c>
      <c r="T3" t="s">
        <v>4</v>
      </c>
      <c r="U3" t="s">
        <v>6</v>
      </c>
      <c r="V3" t="s">
        <v>6</v>
      </c>
      <c r="W3" t="s">
        <v>6</v>
      </c>
      <c r="X3" t="s">
        <v>6</v>
      </c>
      <c r="Y3" t="s">
        <v>174</v>
      </c>
      <c r="Z3" t="str">
        <f t="shared" si="0"/>
        <v/>
      </c>
      <c r="AA3" t="str">
        <f t="shared" si="1"/>
        <v/>
      </c>
      <c r="AB3" t="str">
        <f t="shared" si="2"/>
        <v/>
      </c>
      <c r="AC3" t="str">
        <f t="shared" si="3"/>
        <v/>
      </c>
      <c r="AE3" t="str">
        <f t="shared" si="4"/>
        <v/>
      </c>
      <c r="AF3" t="str">
        <f t="shared" si="5"/>
        <v/>
      </c>
      <c r="AG3" t="str">
        <f t="shared" si="6"/>
        <v/>
      </c>
      <c r="AH3" t="str">
        <f t="shared" si="7"/>
        <v/>
      </c>
      <c r="AI3" t="str">
        <f t="shared" si="8"/>
        <v/>
      </c>
      <c r="AK3" t="str">
        <f t="shared" si="9"/>
        <v/>
      </c>
      <c r="AL3" t="str">
        <f t="shared" ref="AL3:AL13" si="32">MID(P5, 5, 2)</f>
        <v/>
      </c>
      <c r="AM3" t="str">
        <f t="shared" si="10"/>
        <v/>
      </c>
      <c r="AN3" t="str">
        <f t="shared" si="11"/>
        <v/>
      </c>
      <c r="AO3" t="str">
        <f t="shared" si="12"/>
        <v/>
      </c>
      <c r="AP3" t="str">
        <f t="shared" si="13"/>
        <v/>
      </c>
      <c r="AQ3" t="str">
        <f t="shared" si="14"/>
        <v/>
      </c>
      <c r="AR3" t="str">
        <f t="shared" si="15"/>
        <v/>
      </c>
      <c r="AS3" t="str">
        <f t="shared" si="16"/>
        <v/>
      </c>
      <c r="AT3" t="str">
        <f t="shared" si="17"/>
        <v/>
      </c>
      <c r="AU3" t="str">
        <f t="shared" si="18"/>
        <v/>
      </c>
      <c r="AV3" t="str">
        <f t="shared" si="19"/>
        <v/>
      </c>
      <c r="AW3" t="str">
        <f t="shared" si="20"/>
        <v/>
      </c>
      <c r="AX3" t="str">
        <f t="shared" si="21"/>
        <v/>
      </c>
      <c r="AY3" t="str">
        <f t="shared" si="22"/>
        <v/>
      </c>
      <c r="AZ3" t="str">
        <f t="shared" si="23"/>
        <v/>
      </c>
      <c r="BA3" t="str">
        <f t="shared" si="24"/>
        <v/>
      </c>
      <c r="BB3" t="str">
        <f t="shared" si="25"/>
        <v/>
      </c>
      <c r="BC3" t="str">
        <f t="shared" si="26"/>
        <v/>
      </c>
      <c r="BD3" t="str">
        <f t="shared" si="27"/>
        <v/>
      </c>
      <c r="BE3" t="str">
        <f t="shared" si="28"/>
        <v/>
      </c>
      <c r="BF3" t="str">
        <f t="shared" si="29"/>
        <v/>
      </c>
      <c r="BG3" t="str">
        <f t="shared" si="30"/>
        <v/>
      </c>
      <c r="BH3" t="str">
        <f t="shared" si="31"/>
        <v/>
      </c>
    </row>
    <row r="4" spans="1:66" x14ac:dyDescent="0.2">
      <c r="A4">
        <v>1</v>
      </c>
      <c r="B4">
        <v>4</v>
      </c>
      <c r="C4" t="s">
        <v>39</v>
      </c>
      <c r="D4">
        <v>1</v>
      </c>
      <c r="E4">
        <v>1</v>
      </c>
      <c r="K4">
        <v>4</v>
      </c>
      <c r="N4">
        <v>3</v>
      </c>
      <c r="O4">
        <v>3</v>
      </c>
      <c r="S4">
        <v>1</v>
      </c>
      <c r="T4">
        <v>1</v>
      </c>
      <c r="U4">
        <v>8</v>
      </c>
      <c r="X4">
        <f t="shared" ref="X4:X15" si="33">G4+H4+Q4+R4</f>
        <v>0</v>
      </c>
      <c r="Z4" t="str">
        <f t="shared" si="0"/>
        <v/>
      </c>
      <c r="AA4" t="str">
        <f t="shared" si="1"/>
        <v/>
      </c>
      <c r="AB4" t="str">
        <f t="shared" si="2"/>
        <v/>
      </c>
      <c r="AC4" t="str">
        <f t="shared" si="3"/>
        <v/>
      </c>
      <c r="AE4" t="str">
        <f t="shared" si="4"/>
        <v/>
      </c>
      <c r="AF4" t="str">
        <f t="shared" si="5"/>
        <v/>
      </c>
      <c r="AG4" t="str">
        <f t="shared" si="6"/>
        <v/>
      </c>
      <c r="AH4" t="str">
        <f t="shared" si="7"/>
        <v/>
      </c>
      <c r="AI4" t="str">
        <f t="shared" si="8"/>
        <v/>
      </c>
      <c r="AK4" t="str">
        <f t="shared" si="9"/>
        <v/>
      </c>
      <c r="AL4" t="str">
        <f t="shared" si="32"/>
        <v/>
      </c>
      <c r="AM4" t="str">
        <f t="shared" si="10"/>
        <v/>
      </c>
      <c r="AN4" t="str">
        <f t="shared" si="11"/>
        <v/>
      </c>
      <c r="AO4" t="str">
        <f t="shared" si="12"/>
        <v/>
      </c>
      <c r="AP4" t="str">
        <f t="shared" si="13"/>
        <v/>
      </c>
      <c r="AQ4" t="str">
        <f t="shared" si="14"/>
        <v/>
      </c>
      <c r="AR4" t="str">
        <f t="shared" si="15"/>
        <v/>
      </c>
      <c r="AS4" t="str">
        <f t="shared" si="16"/>
        <v/>
      </c>
      <c r="AT4" t="str">
        <f t="shared" si="17"/>
        <v/>
      </c>
      <c r="AU4" t="str">
        <f t="shared" si="18"/>
        <v/>
      </c>
      <c r="AV4" t="str">
        <f t="shared" si="19"/>
        <v/>
      </c>
      <c r="AW4" t="str">
        <f t="shared" si="20"/>
        <v/>
      </c>
      <c r="AX4" t="str">
        <f t="shared" si="21"/>
        <v/>
      </c>
      <c r="AY4" t="str">
        <f t="shared" si="22"/>
        <v/>
      </c>
      <c r="AZ4" t="str">
        <f t="shared" si="23"/>
        <v/>
      </c>
      <c r="BA4" t="str">
        <f t="shared" si="24"/>
        <v/>
      </c>
      <c r="BB4" t="str">
        <f t="shared" si="25"/>
        <v/>
      </c>
      <c r="BC4" t="str">
        <f t="shared" si="26"/>
        <v/>
      </c>
      <c r="BD4" t="str">
        <f t="shared" si="27"/>
        <v/>
      </c>
      <c r="BE4" t="str">
        <f t="shared" si="28"/>
        <v/>
      </c>
      <c r="BF4" t="str">
        <f t="shared" si="29"/>
        <v/>
      </c>
      <c r="BG4" t="str">
        <f t="shared" si="30"/>
        <v/>
      </c>
      <c r="BH4" t="str">
        <f t="shared" si="31"/>
        <v/>
      </c>
    </row>
    <row r="5" spans="1:66" x14ac:dyDescent="0.2">
      <c r="A5">
        <v>2</v>
      </c>
      <c r="B5">
        <v>14</v>
      </c>
      <c r="C5" t="s">
        <v>207</v>
      </c>
      <c r="D5">
        <v>1</v>
      </c>
      <c r="F5">
        <v>1</v>
      </c>
      <c r="K5">
        <v>1</v>
      </c>
      <c r="N5">
        <v>1</v>
      </c>
      <c r="O5">
        <v>1</v>
      </c>
      <c r="S5">
        <v>1</v>
      </c>
      <c r="U5">
        <v>3</v>
      </c>
      <c r="X5">
        <f t="shared" si="33"/>
        <v>0</v>
      </c>
      <c r="Z5" t="str">
        <f t="shared" ref="Z5:Z11" si="34">LEFT(I8, 1)</f>
        <v/>
      </c>
      <c r="AA5" t="str">
        <f t="shared" ref="AA5:AA11" si="35">MID(I8, 4, 1)</f>
        <v/>
      </c>
      <c r="AB5" t="str">
        <f t="shared" ref="AB5:AB11" si="36">MID(I8, 7, 1)</f>
        <v/>
      </c>
      <c r="AC5" t="str">
        <f t="shared" ref="AC5:AC11" si="37">MID(I8, 10, 1)</f>
        <v/>
      </c>
      <c r="AE5" t="str">
        <f t="shared" ref="AE5:AE11" si="38">LEFT(J8, 1)</f>
        <v/>
      </c>
      <c r="AF5" t="str">
        <f t="shared" ref="AF5:AF11" si="39">MID(J8, 4, 1)</f>
        <v/>
      </c>
      <c r="AG5" t="str">
        <f t="shared" ref="AG5:AG11" si="40">MID(J8, 7, 1)</f>
        <v/>
      </c>
      <c r="AH5" t="str">
        <f t="shared" ref="AH5:AH11" si="41">MID(J8, 10, 1)</f>
        <v/>
      </c>
      <c r="AI5" t="str">
        <f t="shared" ref="AI5:AI11" si="42">MID(J8, 13, 1)</f>
        <v/>
      </c>
      <c r="AK5" t="str">
        <f t="shared" ref="AK5:AK11" si="43">LEFT(P8, 2)</f>
        <v/>
      </c>
      <c r="AL5" t="str">
        <f t="shared" ref="AL5:AL11" si="44">MID(P8, 5, 2)</f>
        <v/>
      </c>
      <c r="AM5" t="str">
        <f t="shared" ref="AM5:AM11" si="45">MID($P8, 9, 2)</f>
        <v/>
      </c>
      <c r="AN5" t="str">
        <f t="shared" ref="AN5:AN11" si="46">MID($P8, 13, 2)</f>
        <v/>
      </c>
      <c r="AO5" t="str">
        <f t="shared" ref="AO5:AO11" si="47">MID($P8, 17, 2)</f>
        <v/>
      </c>
      <c r="AP5" t="str">
        <f t="shared" ref="AP5:AP11" si="48">MID($P8, 21, 2)</f>
        <v/>
      </c>
      <c r="AQ5" t="str">
        <f t="shared" ref="AQ5:AQ11" si="49">MID($P8, 25, 2)</f>
        <v/>
      </c>
      <c r="AR5" t="str">
        <f t="shared" ref="AR5:AR11" si="50">MID($P8, 29, 2)</f>
        <v/>
      </c>
      <c r="AS5" t="str">
        <f t="shared" ref="AS5:AS11" si="51">MID($P8, 33, 2)</f>
        <v/>
      </c>
      <c r="AT5" t="str">
        <f t="shared" ref="AT5:AT11" si="52">MID($P8, 37, 2)</f>
        <v/>
      </c>
      <c r="AU5" t="str">
        <f t="shared" ref="AU5:AU11" si="53">MID($P8, 41, 2)</f>
        <v/>
      </c>
      <c r="AV5" t="str">
        <f t="shared" ref="AV5:AV11" si="54">MID($P8, 45, 2)</f>
        <v/>
      </c>
      <c r="AW5" t="str">
        <f t="shared" ref="AW5:AW11" si="55">MID($P8, 49, 2)</f>
        <v/>
      </c>
      <c r="AX5" t="str">
        <f t="shared" ref="AX5:AX11" si="56">MID($P8, 53, 2)</f>
        <v/>
      </c>
      <c r="AY5" t="str">
        <f t="shared" ref="AY5:AY11" si="57">MID($P8, 57, 2)</f>
        <v/>
      </c>
      <c r="AZ5" t="str">
        <f t="shared" ref="AZ5:AZ11" si="58">MID($P8, 61, 2)</f>
        <v/>
      </c>
      <c r="BA5" t="str">
        <f t="shared" ref="BA5:BA11" si="59">MID($P8, 65, 2)</f>
        <v/>
      </c>
      <c r="BB5" t="str">
        <f t="shared" ref="BB5:BB11" si="60">MID($P8, 69, 2)</f>
        <v/>
      </c>
      <c r="BC5" t="str">
        <f t="shared" ref="BC5:BC11" si="61">MID($P8, 73, 2)</f>
        <v/>
      </c>
      <c r="BD5" t="str">
        <f t="shared" ref="BD5:BD11" si="62">MID($P8, 77, 2)</f>
        <v/>
      </c>
      <c r="BE5" t="str">
        <f t="shared" ref="BE5:BE11" si="63">MID($P8, 81, 2)</f>
        <v/>
      </c>
      <c r="BF5" t="str">
        <f t="shared" ref="BF5:BF11" si="64">MID($P8, 85, 2)</f>
        <v/>
      </c>
      <c r="BG5" t="str">
        <f t="shared" ref="BG5:BG11" si="65">MID($P8, 89, 2)</f>
        <v/>
      </c>
      <c r="BH5" t="str">
        <f t="shared" ref="BH5:BH11" si="66">MID($P8, 93, 2)</f>
        <v/>
      </c>
    </row>
    <row r="6" spans="1:66" x14ac:dyDescent="0.2">
      <c r="A6">
        <v>3</v>
      </c>
      <c r="B6">
        <v>30</v>
      </c>
      <c r="C6" t="s">
        <v>39</v>
      </c>
      <c r="D6">
        <v>1</v>
      </c>
      <c r="K6">
        <v>3</v>
      </c>
      <c r="L6">
        <v>2</v>
      </c>
      <c r="N6">
        <v>4</v>
      </c>
      <c r="O6">
        <v>4</v>
      </c>
      <c r="S6">
        <v>1</v>
      </c>
      <c r="T6">
        <v>1</v>
      </c>
      <c r="X6">
        <f t="shared" si="33"/>
        <v>0</v>
      </c>
      <c r="Z6" t="str">
        <f t="shared" si="34"/>
        <v/>
      </c>
      <c r="AA6" t="str">
        <f t="shared" si="35"/>
        <v/>
      </c>
      <c r="AB6" t="str">
        <f t="shared" si="36"/>
        <v/>
      </c>
      <c r="AC6" t="str">
        <f t="shared" si="37"/>
        <v/>
      </c>
      <c r="AE6" t="str">
        <f t="shared" si="38"/>
        <v/>
      </c>
      <c r="AF6" t="str">
        <f t="shared" si="39"/>
        <v/>
      </c>
      <c r="AG6" t="str">
        <f t="shared" si="40"/>
        <v/>
      </c>
      <c r="AH6" t="str">
        <f t="shared" si="41"/>
        <v/>
      </c>
      <c r="AI6" t="str">
        <f t="shared" si="42"/>
        <v/>
      </c>
      <c r="AK6" t="str">
        <f t="shared" si="43"/>
        <v/>
      </c>
      <c r="AL6" t="str">
        <f t="shared" si="44"/>
        <v/>
      </c>
      <c r="AM6" t="str">
        <f t="shared" si="45"/>
        <v/>
      </c>
      <c r="AN6" t="str">
        <f t="shared" si="46"/>
        <v/>
      </c>
      <c r="AO6" t="str">
        <f t="shared" si="47"/>
        <v/>
      </c>
      <c r="AP6" t="str">
        <f t="shared" si="48"/>
        <v/>
      </c>
      <c r="AQ6" t="str">
        <f t="shared" si="49"/>
        <v/>
      </c>
      <c r="AR6" t="str">
        <f t="shared" si="50"/>
        <v/>
      </c>
      <c r="AS6" t="str">
        <f t="shared" si="51"/>
        <v/>
      </c>
      <c r="AT6" t="str">
        <f t="shared" si="52"/>
        <v/>
      </c>
      <c r="AU6" t="str">
        <f t="shared" si="53"/>
        <v/>
      </c>
      <c r="AV6" t="str">
        <f t="shared" si="54"/>
        <v/>
      </c>
      <c r="AW6" t="str">
        <f t="shared" si="55"/>
        <v/>
      </c>
      <c r="AX6" t="str">
        <f t="shared" si="56"/>
        <v/>
      </c>
      <c r="AY6" t="str">
        <f t="shared" si="57"/>
        <v/>
      </c>
      <c r="AZ6" t="str">
        <f t="shared" si="58"/>
        <v/>
      </c>
      <c r="BA6" t="str">
        <f t="shared" si="59"/>
        <v/>
      </c>
      <c r="BB6" t="str">
        <f t="shared" si="60"/>
        <v/>
      </c>
      <c r="BC6" t="str">
        <f t="shared" si="61"/>
        <v/>
      </c>
      <c r="BD6" t="str">
        <f t="shared" si="62"/>
        <v/>
      </c>
      <c r="BE6" t="str">
        <f t="shared" si="63"/>
        <v/>
      </c>
      <c r="BF6" t="str">
        <f t="shared" si="64"/>
        <v/>
      </c>
      <c r="BG6" t="str">
        <f t="shared" si="65"/>
        <v/>
      </c>
      <c r="BH6" t="str">
        <f t="shared" si="66"/>
        <v/>
      </c>
    </row>
    <row r="7" spans="1:66" x14ac:dyDescent="0.2">
      <c r="A7">
        <v>4</v>
      </c>
      <c r="B7">
        <v>36</v>
      </c>
      <c r="C7" t="s">
        <v>207</v>
      </c>
      <c r="D7">
        <v>1</v>
      </c>
      <c r="E7">
        <v>1</v>
      </c>
      <c r="K7">
        <v>4</v>
      </c>
      <c r="N7">
        <v>4</v>
      </c>
      <c r="O7">
        <v>4</v>
      </c>
      <c r="S7">
        <v>1</v>
      </c>
      <c r="T7">
        <v>1</v>
      </c>
      <c r="U7">
        <v>9</v>
      </c>
      <c r="X7">
        <f t="shared" ref="X7:X13" si="67">G8+H8+Q8+R8</f>
        <v>0</v>
      </c>
      <c r="Z7" t="str">
        <f t="shared" si="34"/>
        <v/>
      </c>
      <c r="AA7" t="str">
        <f t="shared" si="35"/>
        <v/>
      </c>
      <c r="AB7" t="str">
        <f t="shared" si="36"/>
        <v/>
      </c>
      <c r="AC7" t="str">
        <f t="shared" si="37"/>
        <v/>
      </c>
      <c r="AE7" t="str">
        <f t="shared" si="38"/>
        <v/>
      </c>
      <c r="AF7" t="str">
        <f t="shared" si="39"/>
        <v/>
      </c>
      <c r="AG7" t="str">
        <f t="shared" si="40"/>
        <v/>
      </c>
      <c r="AH7" t="str">
        <f t="shared" si="41"/>
        <v/>
      </c>
      <c r="AI7" t="str">
        <f t="shared" si="42"/>
        <v/>
      </c>
      <c r="AK7" t="str">
        <f t="shared" si="43"/>
        <v/>
      </c>
      <c r="AL7" t="str">
        <f t="shared" si="44"/>
        <v/>
      </c>
      <c r="AM7" t="str">
        <f t="shared" si="45"/>
        <v/>
      </c>
      <c r="AN7" t="str">
        <f t="shared" si="46"/>
        <v/>
      </c>
      <c r="AO7" t="str">
        <f t="shared" si="47"/>
        <v/>
      </c>
      <c r="AP7" t="str">
        <f t="shared" si="48"/>
        <v/>
      </c>
      <c r="AQ7" t="str">
        <f t="shared" si="49"/>
        <v/>
      </c>
      <c r="AR7" t="str">
        <f t="shared" si="50"/>
        <v/>
      </c>
      <c r="AS7" t="str">
        <f t="shared" si="51"/>
        <v/>
      </c>
      <c r="AT7" t="str">
        <f t="shared" si="52"/>
        <v/>
      </c>
      <c r="AU7" t="str">
        <f t="shared" si="53"/>
        <v/>
      </c>
      <c r="AV7" t="str">
        <f t="shared" si="54"/>
        <v/>
      </c>
      <c r="AW7" t="str">
        <f t="shared" si="55"/>
        <v/>
      </c>
      <c r="AX7" t="str">
        <f t="shared" si="56"/>
        <v/>
      </c>
      <c r="AY7" t="str">
        <f t="shared" si="57"/>
        <v/>
      </c>
      <c r="AZ7" t="str">
        <f t="shared" si="58"/>
        <v/>
      </c>
      <c r="BA7" t="str">
        <f t="shared" si="59"/>
        <v/>
      </c>
      <c r="BB7" t="str">
        <f t="shared" si="60"/>
        <v/>
      </c>
      <c r="BC7" t="str">
        <f t="shared" si="61"/>
        <v/>
      </c>
      <c r="BD7" t="str">
        <f t="shared" si="62"/>
        <v/>
      </c>
      <c r="BE7" t="str">
        <f t="shared" si="63"/>
        <v/>
      </c>
      <c r="BF7" t="str">
        <f t="shared" si="64"/>
        <v/>
      </c>
      <c r="BG7" t="str">
        <f t="shared" si="65"/>
        <v/>
      </c>
      <c r="BH7" t="str">
        <f t="shared" si="66"/>
        <v/>
      </c>
    </row>
    <row r="8" spans="1:66" x14ac:dyDescent="0.2">
      <c r="A8">
        <v>5</v>
      </c>
      <c r="B8">
        <v>41</v>
      </c>
      <c r="C8" t="s">
        <v>39</v>
      </c>
      <c r="D8">
        <v>1</v>
      </c>
      <c r="E8">
        <v>1</v>
      </c>
      <c r="F8">
        <v>1</v>
      </c>
      <c r="K8">
        <v>4</v>
      </c>
      <c r="N8">
        <v>4</v>
      </c>
      <c r="O8">
        <v>4</v>
      </c>
      <c r="S8">
        <v>1</v>
      </c>
      <c r="T8">
        <v>1</v>
      </c>
      <c r="X8">
        <f t="shared" si="67"/>
        <v>0</v>
      </c>
      <c r="Z8" t="str">
        <f t="shared" si="34"/>
        <v/>
      </c>
      <c r="AA8" t="str">
        <f t="shared" si="35"/>
        <v/>
      </c>
      <c r="AB8" t="str">
        <f t="shared" si="36"/>
        <v/>
      </c>
      <c r="AC8" t="str">
        <f t="shared" si="37"/>
        <v/>
      </c>
      <c r="AE8" t="str">
        <f t="shared" si="38"/>
        <v/>
      </c>
      <c r="AF8" t="str">
        <f t="shared" si="39"/>
        <v/>
      </c>
      <c r="AG8" t="str">
        <f t="shared" si="40"/>
        <v/>
      </c>
      <c r="AH8" t="str">
        <f t="shared" si="41"/>
        <v/>
      </c>
      <c r="AI8" t="str">
        <f t="shared" si="42"/>
        <v/>
      </c>
      <c r="AK8" t="str">
        <f t="shared" si="43"/>
        <v/>
      </c>
      <c r="AL8" t="str">
        <f t="shared" si="44"/>
        <v/>
      </c>
      <c r="AM8" t="str">
        <f t="shared" si="45"/>
        <v/>
      </c>
      <c r="AN8" t="str">
        <f t="shared" si="46"/>
        <v/>
      </c>
      <c r="AO8" t="str">
        <f t="shared" si="47"/>
        <v/>
      </c>
      <c r="AP8" t="str">
        <f t="shared" si="48"/>
        <v/>
      </c>
      <c r="AQ8" t="str">
        <f t="shared" si="49"/>
        <v/>
      </c>
      <c r="AR8" t="str">
        <f t="shared" si="50"/>
        <v/>
      </c>
      <c r="AS8" t="str">
        <f t="shared" si="51"/>
        <v/>
      </c>
      <c r="AT8" t="str">
        <f t="shared" si="52"/>
        <v/>
      </c>
      <c r="AU8" t="str">
        <f t="shared" si="53"/>
        <v/>
      </c>
      <c r="AV8" t="str">
        <f t="shared" si="54"/>
        <v/>
      </c>
      <c r="AW8" t="str">
        <f t="shared" si="55"/>
        <v/>
      </c>
      <c r="AX8" t="str">
        <f t="shared" si="56"/>
        <v/>
      </c>
      <c r="AY8" t="str">
        <f t="shared" si="57"/>
        <v/>
      </c>
      <c r="AZ8" t="str">
        <f t="shared" si="58"/>
        <v/>
      </c>
      <c r="BA8" t="str">
        <f t="shared" si="59"/>
        <v/>
      </c>
      <c r="BB8" t="str">
        <f t="shared" si="60"/>
        <v/>
      </c>
      <c r="BC8" t="str">
        <f t="shared" si="61"/>
        <v/>
      </c>
      <c r="BD8" t="str">
        <f t="shared" si="62"/>
        <v/>
      </c>
      <c r="BE8" t="str">
        <f t="shared" si="63"/>
        <v/>
      </c>
      <c r="BF8" t="str">
        <f t="shared" si="64"/>
        <v/>
      </c>
      <c r="BG8" t="str">
        <f t="shared" si="65"/>
        <v/>
      </c>
      <c r="BH8" t="str">
        <f t="shared" si="66"/>
        <v/>
      </c>
    </row>
    <row r="9" spans="1:66" x14ac:dyDescent="0.2">
      <c r="A9">
        <v>6</v>
      </c>
      <c r="B9">
        <v>60</v>
      </c>
      <c r="C9" t="s">
        <v>39</v>
      </c>
      <c r="D9">
        <v>1</v>
      </c>
      <c r="K9">
        <v>4</v>
      </c>
      <c r="N9">
        <v>5</v>
      </c>
      <c r="O9">
        <v>5</v>
      </c>
      <c r="S9">
        <v>1</v>
      </c>
      <c r="T9">
        <v>1</v>
      </c>
      <c r="X9">
        <f t="shared" si="67"/>
        <v>0</v>
      </c>
      <c r="Z9" t="str">
        <f t="shared" si="34"/>
        <v/>
      </c>
      <c r="AA9" t="str">
        <f t="shared" si="35"/>
        <v/>
      </c>
      <c r="AB9" t="str">
        <f t="shared" si="36"/>
        <v/>
      </c>
      <c r="AC9" t="str">
        <f t="shared" si="37"/>
        <v/>
      </c>
      <c r="AE9" t="str">
        <f t="shared" si="38"/>
        <v/>
      </c>
      <c r="AF9" t="str">
        <f t="shared" si="39"/>
        <v/>
      </c>
      <c r="AG9" t="str">
        <f t="shared" si="40"/>
        <v/>
      </c>
      <c r="AH9" t="str">
        <f t="shared" si="41"/>
        <v/>
      </c>
      <c r="AI9" t="str">
        <f t="shared" si="42"/>
        <v/>
      </c>
      <c r="AK9" t="str">
        <f t="shared" si="43"/>
        <v/>
      </c>
      <c r="AL9" t="str">
        <f t="shared" si="44"/>
        <v/>
      </c>
      <c r="AM9" t="str">
        <f t="shared" si="45"/>
        <v/>
      </c>
      <c r="AN9" t="str">
        <f t="shared" si="46"/>
        <v/>
      </c>
      <c r="AO9" t="str">
        <f t="shared" si="47"/>
        <v/>
      </c>
      <c r="AP9" t="str">
        <f t="shared" si="48"/>
        <v/>
      </c>
      <c r="AQ9" t="str">
        <f t="shared" si="49"/>
        <v/>
      </c>
      <c r="AR9" t="str">
        <f t="shared" si="50"/>
        <v/>
      </c>
      <c r="AS9" t="str">
        <f t="shared" si="51"/>
        <v/>
      </c>
      <c r="AT9" t="str">
        <f t="shared" si="52"/>
        <v/>
      </c>
      <c r="AU9" t="str">
        <f t="shared" si="53"/>
        <v/>
      </c>
      <c r="AV9" t="str">
        <f t="shared" si="54"/>
        <v/>
      </c>
      <c r="AW9" t="str">
        <f t="shared" si="55"/>
        <v/>
      </c>
      <c r="AX9" t="str">
        <f t="shared" si="56"/>
        <v/>
      </c>
      <c r="AY9" t="str">
        <f t="shared" si="57"/>
        <v/>
      </c>
      <c r="AZ9" t="str">
        <f t="shared" si="58"/>
        <v/>
      </c>
      <c r="BA9" t="str">
        <f t="shared" si="59"/>
        <v/>
      </c>
      <c r="BB9" t="str">
        <f t="shared" si="60"/>
        <v/>
      </c>
      <c r="BC9" t="str">
        <f t="shared" si="61"/>
        <v/>
      </c>
      <c r="BD9" t="str">
        <f t="shared" si="62"/>
        <v/>
      </c>
      <c r="BE9" t="str">
        <f t="shared" si="63"/>
        <v/>
      </c>
      <c r="BF9" t="str">
        <f t="shared" si="64"/>
        <v/>
      </c>
      <c r="BG9" t="str">
        <f t="shared" si="65"/>
        <v/>
      </c>
      <c r="BH9" t="str">
        <f t="shared" si="66"/>
        <v/>
      </c>
    </row>
    <row r="10" spans="1:66" x14ac:dyDescent="0.2">
      <c r="A10">
        <v>7</v>
      </c>
      <c r="B10">
        <v>67</v>
      </c>
      <c r="C10" t="s">
        <v>207</v>
      </c>
      <c r="D10">
        <v>1</v>
      </c>
      <c r="E10">
        <v>1</v>
      </c>
      <c r="K10">
        <v>3</v>
      </c>
      <c r="N10">
        <v>3</v>
      </c>
      <c r="O10">
        <v>3</v>
      </c>
      <c r="S10">
        <v>1</v>
      </c>
      <c r="X10">
        <f t="shared" si="67"/>
        <v>0</v>
      </c>
      <c r="Z10" t="str">
        <f t="shared" si="34"/>
        <v/>
      </c>
      <c r="AA10" t="str">
        <f t="shared" si="35"/>
        <v/>
      </c>
      <c r="AB10" t="str">
        <f t="shared" si="36"/>
        <v/>
      </c>
      <c r="AC10" t="str">
        <f t="shared" si="37"/>
        <v/>
      </c>
      <c r="AE10" t="str">
        <f t="shared" si="38"/>
        <v/>
      </c>
      <c r="AF10" t="str">
        <f t="shared" si="39"/>
        <v/>
      </c>
      <c r="AG10" t="str">
        <f t="shared" si="40"/>
        <v/>
      </c>
      <c r="AH10" t="str">
        <f t="shared" si="41"/>
        <v/>
      </c>
      <c r="AI10" t="str">
        <f t="shared" si="42"/>
        <v/>
      </c>
      <c r="AK10" t="str">
        <f t="shared" si="43"/>
        <v/>
      </c>
      <c r="AL10" t="str">
        <f t="shared" si="44"/>
        <v/>
      </c>
      <c r="AM10" t="str">
        <f t="shared" si="45"/>
        <v/>
      </c>
      <c r="AN10" t="str">
        <f t="shared" si="46"/>
        <v/>
      </c>
      <c r="AO10" t="str">
        <f t="shared" si="47"/>
        <v/>
      </c>
      <c r="AP10" t="str">
        <f t="shared" si="48"/>
        <v/>
      </c>
      <c r="AQ10" t="str">
        <f t="shared" si="49"/>
        <v/>
      </c>
      <c r="AR10" t="str">
        <f t="shared" si="50"/>
        <v/>
      </c>
      <c r="AS10" t="str">
        <f t="shared" si="51"/>
        <v/>
      </c>
      <c r="AT10" t="str">
        <f t="shared" si="52"/>
        <v/>
      </c>
      <c r="AU10" t="str">
        <f t="shared" si="53"/>
        <v/>
      </c>
      <c r="AV10" t="str">
        <f t="shared" si="54"/>
        <v/>
      </c>
      <c r="AW10" t="str">
        <f t="shared" si="55"/>
        <v/>
      </c>
      <c r="AX10" t="str">
        <f t="shared" si="56"/>
        <v/>
      </c>
      <c r="AY10" t="str">
        <f t="shared" si="57"/>
        <v/>
      </c>
      <c r="AZ10" t="str">
        <f t="shared" si="58"/>
        <v/>
      </c>
      <c r="BA10" t="str">
        <f t="shared" si="59"/>
        <v/>
      </c>
      <c r="BB10" t="str">
        <f t="shared" si="60"/>
        <v/>
      </c>
      <c r="BC10" t="str">
        <f t="shared" si="61"/>
        <v/>
      </c>
      <c r="BD10" t="str">
        <f t="shared" si="62"/>
        <v/>
      </c>
      <c r="BE10" t="str">
        <f t="shared" si="63"/>
        <v/>
      </c>
      <c r="BF10" t="str">
        <f t="shared" si="64"/>
        <v/>
      </c>
      <c r="BG10" t="str">
        <f t="shared" si="65"/>
        <v/>
      </c>
      <c r="BH10" t="str">
        <f t="shared" si="66"/>
        <v/>
      </c>
    </row>
    <row r="11" spans="1:66" x14ac:dyDescent="0.2">
      <c r="A11">
        <v>8</v>
      </c>
      <c r="B11">
        <v>72</v>
      </c>
      <c r="C11" t="s">
        <v>39</v>
      </c>
      <c r="D11">
        <v>1</v>
      </c>
      <c r="K11">
        <v>4</v>
      </c>
      <c r="N11">
        <v>5</v>
      </c>
      <c r="O11">
        <v>5</v>
      </c>
      <c r="S11">
        <v>1</v>
      </c>
      <c r="U11">
        <v>15</v>
      </c>
      <c r="X11">
        <f t="shared" si="67"/>
        <v>0</v>
      </c>
      <c r="Z11" t="str">
        <f t="shared" si="34"/>
        <v/>
      </c>
      <c r="AA11" t="str">
        <f t="shared" si="35"/>
        <v/>
      </c>
      <c r="AB11" t="str">
        <f t="shared" si="36"/>
        <v/>
      </c>
      <c r="AC11" t="str">
        <f t="shared" si="37"/>
        <v/>
      </c>
      <c r="AE11" t="str">
        <f t="shared" si="38"/>
        <v/>
      </c>
      <c r="AF11" t="str">
        <f t="shared" si="39"/>
        <v/>
      </c>
      <c r="AG11" t="str">
        <f t="shared" si="40"/>
        <v/>
      </c>
      <c r="AH11" t="str">
        <f t="shared" si="41"/>
        <v/>
      </c>
      <c r="AI11" t="str">
        <f t="shared" si="42"/>
        <v/>
      </c>
      <c r="AK11" t="str">
        <f t="shared" si="43"/>
        <v/>
      </c>
      <c r="AL11" t="str">
        <f t="shared" si="44"/>
        <v/>
      </c>
      <c r="AM11" t="str">
        <f t="shared" si="45"/>
        <v/>
      </c>
      <c r="AN11" t="str">
        <f t="shared" si="46"/>
        <v/>
      </c>
      <c r="AO11" t="str">
        <f t="shared" si="47"/>
        <v/>
      </c>
      <c r="AP11" t="str">
        <f t="shared" si="48"/>
        <v/>
      </c>
      <c r="AQ11" t="str">
        <f t="shared" si="49"/>
        <v/>
      </c>
      <c r="AR11" t="str">
        <f t="shared" si="50"/>
        <v/>
      </c>
      <c r="AS11" t="str">
        <f t="shared" si="51"/>
        <v/>
      </c>
      <c r="AT11" t="str">
        <f t="shared" si="52"/>
        <v/>
      </c>
      <c r="AU11" t="str">
        <f t="shared" si="53"/>
        <v/>
      </c>
      <c r="AV11" t="str">
        <f t="shared" si="54"/>
        <v/>
      </c>
      <c r="AW11" t="str">
        <f t="shared" si="55"/>
        <v/>
      </c>
      <c r="AX11" t="str">
        <f t="shared" si="56"/>
        <v/>
      </c>
      <c r="AY11" t="str">
        <f t="shared" si="57"/>
        <v/>
      </c>
      <c r="AZ11" t="str">
        <f t="shared" si="58"/>
        <v/>
      </c>
      <c r="BA11" t="str">
        <f t="shared" si="59"/>
        <v/>
      </c>
      <c r="BB11" t="str">
        <f t="shared" si="60"/>
        <v/>
      </c>
      <c r="BC11" t="str">
        <f t="shared" si="61"/>
        <v/>
      </c>
      <c r="BD11" t="str">
        <f t="shared" si="62"/>
        <v/>
      </c>
      <c r="BE11" t="str">
        <f t="shared" si="63"/>
        <v/>
      </c>
      <c r="BF11" t="str">
        <f t="shared" si="64"/>
        <v/>
      </c>
      <c r="BG11" t="str">
        <f t="shared" si="65"/>
        <v/>
      </c>
      <c r="BH11" t="str">
        <f t="shared" si="66"/>
        <v/>
      </c>
    </row>
    <row r="12" spans="1:66" x14ac:dyDescent="0.2">
      <c r="A12">
        <v>9</v>
      </c>
      <c r="B12">
        <v>82</v>
      </c>
      <c r="C12" t="s">
        <v>207</v>
      </c>
      <c r="K12">
        <v>3</v>
      </c>
      <c r="N12">
        <v>3</v>
      </c>
      <c r="O12">
        <v>3</v>
      </c>
      <c r="S12">
        <v>1</v>
      </c>
      <c r="T12">
        <v>1</v>
      </c>
      <c r="X12">
        <f t="shared" si="67"/>
        <v>0</v>
      </c>
      <c r="Z12" t="str">
        <f t="shared" si="0"/>
        <v/>
      </c>
      <c r="AA12" t="str">
        <f t="shared" si="1"/>
        <v/>
      </c>
      <c r="AB12" t="str">
        <f t="shared" si="2"/>
        <v/>
      </c>
      <c r="AC12" t="str">
        <f t="shared" si="3"/>
        <v/>
      </c>
      <c r="AE12" t="str">
        <f t="shared" si="4"/>
        <v/>
      </c>
      <c r="AF12" t="str">
        <f t="shared" si="5"/>
        <v/>
      </c>
      <c r="AG12" t="str">
        <f t="shared" si="6"/>
        <v/>
      </c>
      <c r="AH12" t="str">
        <f t="shared" si="7"/>
        <v/>
      </c>
      <c r="AI12" t="str">
        <f t="shared" si="8"/>
        <v/>
      </c>
      <c r="AK12" t="str">
        <f t="shared" si="9"/>
        <v/>
      </c>
      <c r="AL12" t="str">
        <f t="shared" si="32"/>
        <v/>
      </c>
      <c r="AM12" t="str">
        <f t="shared" si="10"/>
        <v/>
      </c>
      <c r="AN12" t="str">
        <f t="shared" si="11"/>
        <v/>
      </c>
      <c r="AO12" t="str">
        <f t="shared" si="12"/>
        <v/>
      </c>
      <c r="AP12" t="str">
        <f t="shared" si="13"/>
        <v/>
      </c>
      <c r="AQ12" t="str">
        <f t="shared" si="14"/>
        <v/>
      </c>
      <c r="AR12" t="str">
        <f t="shared" si="15"/>
        <v/>
      </c>
      <c r="AS12" t="str">
        <f t="shared" si="16"/>
        <v/>
      </c>
      <c r="AT12" t="str">
        <f t="shared" si="17"/>
        <v/>
      </c>
      <c r="AU12" t="str">
        <f t="shared" si="18"/>
        <v/>
      </c>
      <c r="AV12" t="str">
        <f t="shared" si="19"/>
        <v/>
      </c>
      <c r="AW12" t="str">
        <f t="shared" si="20"/>
        <v/>
      </c>
      <c r="AX12" t="str">
        <f t="shared" si="21"/>
        <v/>
      </c>
      <c r="AY12" t="str">
        <f t="shared" si="22"/>
        <v/>
      </c>
      <c r="AZ12" t="str">
        <f t="shared" si="23"/>
        <v/>
      </c>
      <c r="BA12" t="str">
        <f t="shared" si="24"/>
        <v/>
      </c>
      <c r="BB12" t="str">
        <f t="shared" si="25"/>
        <v/>
      </c>
      <c r="BC12" t="str">
        <f t="shared" si="26"/>
        <v/>
      </c>
      <c r="BD12" t="str">
        <f t="shared" si="27"/>
        <v/>
      </c>
      <c r="BE12" t="str">
        <f t="shared" si="28"/>
        <v/>
      </c>
      <c r="BF12" t="str">
        <f t="shared" si="29"/>
        <v/>
      </c>
      <c r="BG12" t="str">
        <f t="shared" si="30"/>
        <v/>
      </c>
      <c r="BH12" t="str">
        <f t="shared" si="31"/>
        <v/>
      </c>
    </row>
    <row r="13" spans="1:66" x14ac:dyDescent="0.2">
      <c r="A13">
        <v>10</v>
      </c>
      <c r="B13">
        <v>95</v>
      </c>
      <c r="C13" t="s">
        <v>39</v>
      </c>
      <c r="D13">
        <v>1</v>
      </c>
      <c r="E13">
        <v>1</v>
      </c>
      <c r="K13">
        <v>5</v>
      </c>
      <c r="N13">
        <v>4</v>
      </c>
      <c r="O13">
        <v>4</v>
      </c>
      <c r="S13">
        <v>1</v>
      </c>
      <c r="T13">
        <v>1</v>
      </c>
      <c r="U13">
        <v>36</v>
      </c>
      <c r="X13">
        <f t="shared" si="67"/>
        <v>0</v>
      </c>
      <c r="Z13" t="str">
        <f t="shared" si="0"/>
        <v/>
      </c>
      <c r="AA13" t="str">
        <f t="shared" si="1"/>
        <v/>
      </c>
      <c r="AB13" t="str">
        <f t="shared" si="2"/>
        <v/>
      </c>
      <c r="AC13" t="str">
        <f t="shared" si="3"/>
        <v/>
      </c>
      <c r="AE13" t="str">
        <f t="shared" si="4"/>
        <v/>
      </c>
      <c r="AF13" t="str">
        <f t="shared" si="5"/>
        <v/>
      </c>
      <c r="AG13" t="str">
        <f t="shared" si="6"/>
        <v/>
      </c>
      <c r="AH13" t="str">
        <f t="shared" si="7"/>
        <v/>
      </c>
      <c r="AI13" t="str">
        <f t="shared" si="8"/>
        <v/>
      </c>
      <c r="AK13" t="str">
        <f t="shared" si="9"/>
        <v/>
      </c>
      <c r="AL13" t="str">
        <f t="shared" si="32"/>
        <v/>
      </c>
      <c r="AM13" t="str">
        <f t="shared" si="10"/>
        <v/>
      </c>
      <c r="AN13" t="str">
        <f t="shared" si="11"/>
        <v/>
      </c>
      <c r="AO13" t="str">
        <f t="shared" si="12"/>
        <v/>
      </c>
      <c r="AP13" t="str">
        <f t="shared" si="13"/>
        <v/>
      </c>
      <c r="AQ13" t="str">
        <f t="shared" si="14"/>
        <v/>
      </c>
      <c r="AR13" t="str">
        <f t="shared" si="15"/>
        <v/>
      </c>
      <c r="AS13" t="str">
        <f t="shared" si="16"/>
        <v/>
      </c>
      <c r="AT13" t="str">
        <f t="shared" si="17"/>
        <v/>
      </c>
      <c r="AU13" t="str">
        <f t="shared" si="18"/>
        <v/>
      </c>
      <c r="AV13" t="str">
        <f t="shared" si="19"/>
        <v/>
      </c>
      <c r="AW13" t="str">
        <f t="shared" si="20"/>
        <v/>
      </c>
      <c r="AX13" t="str">
        <f t="shared" si="21"/>
        <v/>
      </c>
      <c r="AY13" t="str">
        <f t="shared" si="22"/>
        <v/>
      </c>
      <c r="AZ13" t="str">
        <f t="shared" si="23"/>
        <v/>
      </c>
      <c r="BA13" t="str">
        <f t="shared" si="24"/>
        <v/>
      </c>
      <c r="BB13" t="str">
        <f t="shared" si="25"/>
        <v/>
      </c>
      <c r="BC13" t="str">
        <f t="shared" si="26"/>
        <v/>
      </c>
      <c r="BD13" t="str">
        <f t="shared" si="27"/>
        <v/>
      </c>
      <c r="BE13" t="str">
        <f t="shared" si="28"/>
        <v/>
      </c>
      <c r="BF13" t="str">
        <f t="shared" si="29"/>
        <v/>
      </c>
      <c r="BG13" t="str">
        <f t="shared" si="30"/>
        <v/>
      </c>
      <c r="BH13" t="str">
        <f t="shared" si="31"/>
        <v/>
      </c>
    </row>
    <row r="14" spans="1:66" x14ac:dyDescent="0.2">
      <c r="A14">
        <v>11</v>
      </c>
      <c r="B14">
        <v>110</v>
      </c>
      <c r="C14" t="s">
        <v>39</v>
      </c>
      <c r="D14">
        <v>1</v>
      </c>
      <c r="E14">
        <v>1</v>
      </c>
      <c r="K14">
        <v>4</v>
      </c>
      <c r="N14">
        <v>4</v>
      </c>
      <c r="O14">
        <v>3</v>
      </c>
      <c r="S14">
        <v>1</v>
      </c>
      <c r="T14">
        <v>1</v>
      </c>
      <c r="U14">
        <v>9</v>
      </c>
      <c r="X14">
        <f t="shared" si="33"/>
        <v>0</v>
      </c>
      <c r="Z14" t="s">
        <v>31</v>
      </c>
      <c r="AE14" t="s">
        <v>34</v>
      </c>
      <c r="AK14" t="s">
        <v>43</v>
      </c>
      <c r="AP14" t="s">
        <v>84</v>
      </c>
    </row>
    <row r="15" spans="1:66" x14ac:dyDescent="0.2">
      <c r="A15">
        <v>12</v>
      </c>
      <c r="B15">
        <v>118</v>
      </c>
      <c r="C15" t="s">
        <v>207</v>
      </c>
      <c r="D15">
        <v>1</v>
      </c>
      <c r="E15">
        <v>1</v>
      </c>
      <c r="K15">
        <v>5</v>
      </c>
      <c r="L15">
        <v>1</v>
      </c>
      <c r="N15">
        <v>5</v>
      </c>
      <c r="O15">
        <v>5</v>
      </c>
      <c r="S15">
        <v>1</v>
      </c>
      <c r="U15">
        <v>16</v>
      </c>
      <c r="X15">
        <f t="shared" si="33"/>
        <v>0</v>
      </c>
      <c r="Z15" t="s">
        <v>21</v>
      </c>
      <c r="AA15" t="s">
        <v>22</v>
      </c>
      <c r="AE15" t="s">
        <v>21</v>
      </c>
      <c r="AF15" t="s">
        <v>22</v>
      </c>
      <c r="AG15" t="s">
        <v>35</v>
      </c>
      <c r="AK15" t="s">
        <v>10</v>
      </c>
      <c r="AL15" t="s">
        <v>25</v>
      </c>
      <c r="AM15" t="s">
        <v>26</v>
      </c>
      <c r="AN15" t="s">
        <v>27</v>
      </c>
      <c r="AP15" t="s">
        <v>15</v>
      </c>
      <c r="AQ15" t="s">
        <v>85</v>
      </c>
    </row>
    <row r="16" spans="1:66" x14ac:dyDescent="0.2">
      <c r="A16" t="s">
        <v>28</v>
      </c>
      <c r="D16">
        <f>SUM(D4:D15)</f>
        <v>11</v>
      </c>
      <c r="E16">
        <f>SUM(E4:E15)</f>
        <v>7</v>
      </c>
      <c r="F16">
        <f>SUM(F4:F15)</f>
        <v>2</v>
      </c>
      <c r="G16">
        <f>SUM(G4:G15)</f>
        <v>0</v>
      </c>
      <c r="H16">
        <f>SUM(H4:H15)</f>
        <v>0</v>
      </c>
      <c r="K16">
        <f>SUM(K4:K15)</f>
        <v>44</v>
      </c>
      <c r="L16">
        <f>SUM(L4:L15)</f>
        <v>3</v>
      </c>
      <c r="M16">
        <f>SUM(M4:M15)</f>
        <v>0</v>
      </c>
      <c r="N16">
        <f>SUM(N4:N15)</f>
        <v>45</v>
      </c>
      <c r="O16">
        <f>SUM(O4:O15)</f>
        <v>44</v>
      </c>
      <c r="Q16">
        <f t="shared" ref="Q16:R16" si="68">SUM(Q4:Q15)</f>
        <v>0</v>
      </c>
      <c r="R16">
        <f t="shared" si="68"/>
        <v>0</v>
      </c>
      <c r="S16">
        <f>SUM(S4:S15)</f>
        <v>12</v>
      </c>
      <c r="T16">
        <f>SUM(T4:T15)</f>
        <v>8</v>
      </c>
      <c r="U16">
        <f>SUM(U4:U15)</f>
        <v>96</v>
      </c>
      <c r="V16">
        <f>SUM(V4:V15)</f>
        <v>0</v>
      </c>
      <c r="W16">
        <f>SUM(W4:W15)</f>
        <v>0</v>
      </c>
      <c r="Z16">
        <f t="shared" ref="Z16:Z27" si="69">COUNTIF(Z2:AC2, "3")*COUNTIF(C4, "r")+COUNTIF(Z2:AC2, "5")*COUNTIF(C4, "b")</f>
        <v>0</v>
      </c>
      <c r="AA16">
        <f t="shared" ref="AA16:AA27" si="70">COUNTIF(Z2:AC2, "1")+COUNTIF(Z2:AC2, "2")+COUNTIF(Z2:AC2, "4")</f>
        <v>0</v>
      </c>
      <c r="AE16">
        <f t="shared" ref="AE16:AE27" si="71">COUNTIF(AE2:AI2, "3")*COUNTIF(C4, "r") + COUNTIF(AE2:AI2, "5")*COUNTIF(C4, "b")</f>
        <v>0</v>
      </c>
      <c r="AF16">
        <f t="shared" ref="AF16:AF27" si="72">COUNTIF(AE2:AI2, "1")+COUNTIF(AE2:AI2, "2")+COUNTIF(AE2:AI2, "4")</f>
        <v>0</v>
      </c>
      <c r="AG16">
        <f t="shared" ref="AG16:AG27" si="73">COUNTIF(AE2:AI2, "3")*COUNTIF(AE2:AI2, "b")+COUNTIF(AE2:AI2, "5")*COUNTIF(AE2:AI2, "r")</f>
        <v>0</v>
      </c>
      <c r="AK16">
        <f t="shared" ref="AK16:AK27" si="74">SUMPRODUCT(LEN($AK2:$BH2) - LEN(SUBSTITUTE($AK2:$BH2, "g", "")))</f>
        <v>0</v>
      </c>
      <c r="AL16">
        <f t="shared" ref="AL16:AL27" si="75">SUMPRODUCT(LEN($AK2:$BH2) - LEN(SUBSTITUTE($AK2:$BH2, "h", "")))</f>
        <v>0</v>
      </c>
      <c r="AM16">
        <f t="shared" ref="AM16:AM27" si="76">SUMPRODUCT(LEN($AK2:$BH2) - LEN(SUBSTITUTE($AK2:$BH2, "v", "")))</f>
        <v>0</v>
      </c>
      <c r="AN16">
        <f t="shared" ref="AN16:AN27" si="77">SUMPRODUCT(LEN($AK2:$BH2) - LEN(SUBSTITUTE($AK2:$BH2, "r", "")))</f>
        <v>0</v>
      </c>
      <c r="AP16">
        <f>MAX(AQ16:BN16)</f>
        <v>0</v>
      </c>
      <c r="AQ16" s="4">
        <f>_xlfn.NUMBERVALUE(RIGHT(AK2,1))</f>
        <v>0</v>
      </c>
      <c r="AR16" s="4">
        <f t="shared" ref="AR16:BG27" si="78">_xlfn.NUMBERVALUE(RIGHT(AL2,1))</f>
        <v>0</v>
      </c>
      <c r="AS16" s="4">
        <f t="shared" si="78"/>
        <v>0</v>
      </c>
      <c r="AT16" s="4">
        <f t="shared" si="78"/>
        <v>0</v>
      </c>
      <c r="AU16" s="4">
        <f t="shared" si="78"/>
        <v>0</v>
      </c>
      <c r="AV16" s="4">
        <f t="shared" si="78"/>
        <v>0</v>
      </c>
      <c r="AW16" s="4">
        <f t="shared" si="78"/>
        <v>0</v>
      </c>
      <c r="AX16" s="4">
        <f t="shared" si="78"/>
        <v>0</v>
      </c>
      <c r="AY16" s="4">
        <f t="shared" si="78"/>
        <v>0</v>
      </c>
      <c r="AZ16" s="4">
        <f t="shared" si="78"/>
        <v>0</v>
      </c>
      <c r="BA16" s="4">
        <f t="shared" si="78"/>
        <v>0</v>
      </c>
      <c r="BB16" s="4">
        <f t="shared" si="78"/>
        <v>0</v>
      </c>
      <c r="BC16" s="4">
        <f t="shared" si="78"/>
        <v>0</v>
      </c>
      <c r="BD16" s="4">
        <f t="shared" si="78"/>
        <v>0</v>
      </c>
      <c r="BE16" s="4">
        <f t="shared" si="78"/>
        <v>0</v>
      </c>
      <c r="BF16" s="4">
        <f t="shared" si="78"/>
        <v>0</v>
      </c>
      <c r="BG16" s="4">
        <f t="shared" si="78"/>
        <v>0</v>
      </c>
      <c r="BH16" s="4">
        <f t="shared" ref="BH16:BN27" si="79">_xlfn.NUMBERVALUE(RIGHT(BB2,1))</f>
        <v>0</v>
      </c>
      <c r="BI16" s="4">
        <f t="shared" si="79"/>
        <v>0</v>
      </c>
      <c r="BJ16" s="4">
        <f t="shared" si="79"/>
        <v>0</v>
      </c>
      <c r="BK16" s="4">
        <f t="shared" si="79"/>
        <v>0</v>
      </c>
      <c r="BL16" s="4">
        <f t="shared" si="79"/>
        <v>0</v>
      </c>
      <c r="BM16" s="4">
        <f t="shared" si="79"/>
        <v>0</v>
      </c>
      <c r="BN16" s="4">
        <f t="shared" si="79"/>
        <v>0</v>
      </c>
    </row>
    <row r="17" spans="1:66" x14ac:dyDescent="0.2">
      <c r="A17" s="1" t="s">
        <v>20</v>
      </c>
      <c r="D17" s="1" t="s">
        <v>49</v>
      </c>
      <c r="G17" s="1" t="s">
        <v>52</v>
      </c>
      <c r="K17" s="3" t="s">
        <v>74</v>
      </c>
      <c r="P17" s="1" t="s">
        <v>66</v>
      </c>
      <c r="Z17">
        <f t="shared" si="69"/>
        <v>0</v>
      </c>
      <c r="AA17">
        <f t="shared" si="70"/>
        <v>0</v>
      </c>
      <c r="AE17">
        <f t="shared" si="71"/>
        <v>0</v>
      </c>
      <c r="AF17">
        <f t="shared" si="72"/>
        <v>0</v>
      </c>
      <c r="AG17">
        <f t="shared" si="73"/>
        <v>0</v>
      </c>
      <c r="AK17">
        <f t="shared" si="74"/>
        <v>0</v>
      </c>
      <c r="AL17">
        <f t="shared" si="75"/>
        <v>0</v>
      </c>
      <c r="AM17">
        <f t="shared" si="76"/>
        <v>0</v>
      </c>
      <c r="AN17">
        <f t="shared" si="77"/>
        <v>0</v>
      </c>
      <c r="AP17">
        <f t="shared" ref="AP17:AP27" si="80">MAX(AQ17:BN17)</f>
        <v>0</v>
      </c>
      <c r="AQ17" s="4">
        <f t="shared" ref="AQ17:AQ27" si="81">_xlfn.NUMBERVALUE(RIGHT(AK3,1))</f>
        <v>0</v>
      </c>
      <c r="AR17" s="4">
        <f t="shared" si="78"/>
        <v>0</v>
      </c>
      <c r="AS17" s="4">
        <f t="shared" si="78"/>
        <v>0</v>
      </c>
      <c r="AT17" s="4">
        <f t="shared" si="78"/>
        <v>0</v>
      </c>
      <c r="AU17" s="4">
        <f t="shared" si="78"/>
        <v>0</v>
      </c>
      <c r="AV17" s="4">
        <f t="shared" si="78"/>
        <v>0</v>
      </c>
      <c r="AW17" s="4">
        <f t="shared" si="78"/>
        <v>0</v>
      </c>
      <c r="AX17" s="4">
        <f t="shared" si="78"/>
        <v>0</v>
      </c>
      <c r="AY17" s="4">
        <f t="shared" si="78"/>
        <v>0</v>
      </c>
      <c r="AZ17" s="4">
        <f t="shared" si="78"/>
        <v>0</v>
      </c>
      <c r="BA17" s="4">
        <f t="shared" si="78"/>
        <v>0</v>
      </c>
      <c r="BB17" s="4">
        <f t="shared" si="78"/>
        <v>0</v>
      </c>
      <c r="BC17" s="4">
        <f t="shared" si="78"/>
        <v>0</v>
      </c>
      <c r="BD17" s="4">
        <f t="shared" si="78"/>
        <v>0</v>
      </c>
      <c r="BE17" s="4">
        <f t="shared" si="78"/>
        <v>0</v>
      </c>
      <c r="BF17" s="4">
        <f t="shared" si="78"/>
        <v>0</v>
      </c>
      <c r="BG17" s="4">
        <f t="shared" si="78"/>
        <v>0</v>
      </c>
      <c r="BH17" s="4">
        <f t="shared" si="79"/>
        <v>0</v>
      </c>
      <c r="BI17" s="4">
        <f t="shared" si="79"/>
        <v>0</v>
      </c>
      <c r="BJ17" s="4">
        <f t="shared" si="79"/>
        <v>0</v>
      </c>
      <c r="BK17" s="4">
        <f t="shared" si="79"/>
        <v>0</v>
      </c>
      <c r="BL17" s="4">
        <f t="shared" si="79"/>
        <v>0</v>
      </c>
      <c r="BM17" s="4">
        <f t="shared" si="79"/>
        <v>0</v>
      </c>
      <c r="BN17" s="4">
        <f t="shared" si="79"/>
        <v>0</v>
      </c>
    </row>
    <row r="18" spans="1:66" x14ac:dyDescent="0.2">
      <c r="A18" t="s">
        <v>32</v>
      </c>
      <c r="B18" t="s">
        <v>21</v>
      </c>
      <c r="D18" t="s">
        <v>180</v>
      </c>
      <c r="G18" s="3" t="s">
        <v>53</v>
      </c>
      <c r="K18" t="s">
        <v>55</v>
      </c>
      <c r="M18" t="s">
        <v>65</v>
      </c>
      <c r="P18" t="s">
        <v>67</v>
      </c>
      <c r="Z18">
        <f t="shared" si="69"/>
        <v>0</v>
      </c>
      <c r="AA18">
        <f t="shared" si="70"/>
        <v>0</v>
      </c>
      <c r="AE18">
        <f t="shared" si="71"/>
        <v>0</v>
      </c>
      <c r="AF18">
        <f t="shared" si="72"/>
        <v>0</v>
      </c>
      <c r="AG18">
        <f t="shared" si="73"/>
        <v>0</v>
      </c>
      <c r="AK18">
        <f t="shared" si="74"/>
        <v>0</v>
      </c>
      <c r="AL18">
        <f t="shared" si="75"/>
        <v>0</v>
      </c>
      <c r="AM18">
        <f t="shared" si="76"/>
        <v>0</v>
      </c>
      <c r="AN18">
        <f t="shared" si="77"/>
        <v>0</v>
      </c>
      <c r="AP18">
        <f t="shared" si="80"/>
        <v>0</v>
      </c>
      <c r="AQ18" s="4">
        <f t="shared" si="81"/>
        <v>0</v>
      </c>
      <c r="AR18" s="4">
        <f t="shared" si="78"/>
        <v>0</v>
      </c>
      <c r="AS18" s="4">
        <f t="shared" si="78"/>
        <v>0</v>
      </c>
      <c r="AT18" s="4">
        <f t="shared" si="78"/>
        <v>0</v>
      </c>
      <c r="AU18" s="4">
        <f t="shared" si="78"/>
        <v>0</v>
      </c>
      <c r="AV18" s="4">
        <f t="shared" si="78"/>
        <v>0</v>
      </c>
      <c r="AW18" s="4">
        <f t="shared" si="78"/>
        <v>0</v>
      </c>
      <c r="AX18" s="4">
        <f t="shared" si="78"/>
        <v>0</v>
      </c>
      <c r="AY18" s="4">
        <f t="shared" si="78"/>
        <v>0</v>
      </c>
      <c r="AZ18" s="4">
        <f t="shared" si="78"/>
        <v>0</v>
      </c>
      <c r="BA18" s="4">
        <f t="shared" si="78"/>
        <v>0</v>
      </c>
      <c r="BB18" s="4">
        <f t="shared" si="78"/>
        <v>0</v>
      </c>
      <c r="BC18" s="4">
        <f t="shared" si="78"/>
        <v>0</v>
      </c>
      <c r="BD18" s="4">
        <f t="shared" si="78"/>
        <v>0</v>
      </c>
      <c r="BE18" s="4">
        <f t="shared" si="78"/>
        <v>0</v>
      </c>
      <c r="BF18" s="4">
        <f t="shared" si="78"/>
        <v>0</v>
      </c>
      <c r="BG18" s="4">
        <f t="shared" si="78"/>
        <v>0</v>
      </c>
      <c r="BH18" s="4">
        <f t="shared" si="79"/>
        <v>0</v>
      </c>
      <c r="BI18" s="4">
        <f t="shared" si="79"/>
        <v>0</v>
      </c>
      <c r="BJ18" s="4">
        <f t="shared" si="79"/>
        <v>0</v>
      </c>
      <c r="BK18" s="4">
        <f t="shared" si="79"/>
        <v>0</v>
      </c>
      <c r="BL18" s="4">
        <f t="shared" si="79"/>
        <v>0</v>
      </c>
      <c r="BM18" s="4">
        <f t="shared" si="79"/>
        <v>0</v>
      </c>
      <c r="BN18" s="4">
        <f t="shared" si="79"/>
        <v>0</v>
      </c>
    </row>
    <row r="19" spans="1:66" x14ac:dyDescent="0.2">
      <c r="A19" t="s">
        <v>40</v>
      </c>
      <c r="B19" t="s">
        <v>22</v>
      </c>
      <c r="D19">
        <f>E16/D16</f>
        <v>0.63636363636363635</v>
      </c>
      <c r="G19" t="s">
        <v>75</v>
      </c>
      <c r="K19">
        <f>O16/N16</f>
        <v>0.97777777777777775</v>
      </c>
      <c r="M19">
        <f>SUM(M39:M50)</f>
        <v>1</v>
      </c>
      <c r="P19">
        <f>T16/S16</f>
        <v>0.66666666666666663</v>
      </c>
      <c r="Z19">
        <f t="shared" ref="Z19:Z25" si="82">COUNTIF(Z5:AC5, "3")*COUNTIF(C8, "r")+COUNTIF(Z5:AC5, "5")*COUNTIF(C8, "b")</f>
        <v>0</v>
      </c>
      <c r="AA19">
        <f t="shared" si="70"/>
        <v>0</v>
      </c>
      <c r="AE19">
        <f t="shared" ref="AE19:AE25" si="83">COUNTIF(AE5:AI5, "3")*COUNTIF(C8, "r") + COUNTIF(AE5:AI5, "5")*COUNTIF(C8, "b")</f>
        <v>0</v>
      </c>
      <c r="AF19">
        <f t="shared" si="72"/>
        <v>0</v>
      </c>
      <c r="AG19">
        <f t="shared" si="73"/>
        <v>0</v>
      </c>
      <c r="AK19">
        <f t="shared" si="74"/>
        <v>0</v>
      </c>
      <c r="AL19">
        <f t="shared" si="75"/>
        <v>0</v>
      </c>
      <c r="AM19">
        <f t="shared" si="76"/>
        <v>0</v>
      </c>
      <c r="AN19">
        <f t="shared" si="77"/>
        <v>0</v>
      </c>
      <c r="AP19">
        <f t="shared" si="80"/>
        <v>0</v>
      </c>
      <c r="AQ19" s="4">
        <f t="shared" si="81"/>
        <v>0</v>
      </c>
      <c r="AR19" s="4">
        <f t="shared" si="78"/>
        <v>0</v>
      </c>
      <c r="AS19" s="4">
        <f t="shared" si="78"/>
        <v>0</v>
      </c>
      <c r="AT19" s="4">
        <f t="shared" si="78"/>
        <v>0</v>
      </c>
      <c r="AU19" s="4">
        <f t="shared" si="78"/>
        <v>0</v>
      </c>
      <c r="AV19" s="4">
        <f t="shared" si="78"/>
        <v>0</v>
      </c>
      <c r="AW19" s="4">
        <f t="shared" si="78"/>
        <v>0</v>
      </c>
      <c r="AX19" s="4">
        <f t="shared" si="78"/>
        <v>0</v>
      </c>
      <c r="AY19" s="4">
        <f t="shared" si="78"/>
        <v>0</v>
      </c>
      <c r="AZ19" s="4">
        <f t="shared" si="78"/>
        <v>0</v>
      </c>
      <c r="BA19" s="4">
        <f t="shared" si="78"/>
        <v>0</v>
      </c>
      <c r="BB19" s="4">
        <f t="shared" si="78"/>
        <v>0</v>
      </c>
      <c r="BC19" s="4">
        <f t="shared" si="78"/>
        <v>0</v>
      </c>
      <c r="BD19" s="4">
        <f t="shared" si="78"/>
        <v>0</v>
      </c>
      <c r="BE19" s="4">
        <f t="shared" si="78"/>
        <v>0</v>
      </c>
      <c r="BF19" s="4">
        <f t="shared" si="78"/>
        <v>0</v>
      </c>
      <c r="BG19" s="4">
        <f t="shared" si="78"/>
        <v>0</v>
      </c>
      <c r="BH19" s="4">
        <f t="shared" si="79"/>
        <v>0</v>
      </c>
      <c r="BI19" s="4">
        <f t="shared" si="79"/>
        <v>0</v>
      </c>
      <c r="BJ19" s="4">
        <f t="shared" si="79"/>
        <v>0</v>
      </c>
      <c r="BK19" s="4">
        <f t="shared" si="79"/>
        <v>0</v>
      </c>
      <c r="BL19" s="4">
        <f t="shared" si="79"/>
        <v>0</v>
      </c>
      <c r="BM19" s="4">
        <f t="shared" si="79"/>
        <v>0</v>
      </c>
      <c r="BN19" s="4">
        <f t="shared" si="79"/>
        <v>0</v>
      </c>
    </row>
    <row r="20" spans="1:66" x14ac:dyDescent="0.2">
      <c r="A20" t="s">
        <v>41</v>
      </c>
      <c r="B20" t="s">
        <v>23</v>
      </c>
      <c r="D20" t="s">
        <v>47</v>
      </c>
      <c r="G20" t="e">
        <f>AK28/AP28</f>
        <v>#DIV/0!</v>
      </c>
      <c r="K20" t="s">
        <v>13</v>
      </c>
      <c r="Z20">
        <f t="shared" si="82"/>
        <v>0</v>
      </c>
      <c r="AA20">
        <f t="shared" si="70"/>
        <v>0</v>
      </c>
      <c r="AE20">
        <f t="shared" si="83"/>
        <v>0</v>
      </c>
      <c r="AF20">
        <f t="shared" si="72"/>
        <v>0</v>
      </c>
      <c r="AG20">
        <f t="shared" si="73"/>
        <v>0</v>
      </c>
      <c r="AK20">
        <f t="shared" si="74"/>
        <v>0</v>
      </c>
      <c r="AL20">
        <f t="shared" si="75"/>
        <v>0</v>
      </c>
      <c r="AM20">
        <f t="shared" si="76"/>
        <v>0</v>
      </c>
      <c r="AN20">
        <f t="shared" si="77"/>
        <v>0</v>
      </c>
      <c r="AP20">
        <f t="shared" si="80"/>
        <v>0</v>
      </c>
      <c r="AQ20" s="4">
        <f t="shared" si="81"/>
        <v>0</v>
      </c>
      <c r="AR20" s="4">
        <f t="shared" si="78"/>
        <v>0</v>
      </c>
      <c r="AS20" s="4">
        <f t="shared" si="78"/>
        <v>0</v>
      </c>
      <c r="AT20" s="4">
        <f t="shared" si="78"/>
        <v>0</v>
      </c>
      <c r="AU20" s="4">
        <f t="shared" si="78"/>
        <v>0</v>
      </c>
      <c r="AV20" s="4">
        <f t="shared" si="78"/>
        <v>0</v>
      </c>
      <c r="AW20" s="4">
        <f t="shared" si="78"/>
        <v>0</v>
      </c>
      <c r="AX20" s="4">
        <f t="shared" si="78"/>
        <v>0</v>
      </c>
      <c r="AY20" s="4">
        <f t="shared" si="78"/>
        <v>0</v>
      </c>
      <c r="AZ20" s="4">
        <f t="shared" si="78"/>
        <v>0</v>
      </c>
      <c r="BA20" s="4">
        <f t="shared" si="78"/>
        <v>0</v>
      </c>
      <c r="BB20" s="4">
        <f t="shared" si="78"/>
        <v>0</v>
      </c>
      <c r="BC20" s="4">
        <f t="shared" si="78"/>
        <v>0</v>
      </c>
      <c r="BD20" s="4">
        <f t="shared" si="78"/>
        <v>0</v>
      </c>
      <c r="BE20" s="4">
        <f t="shared" si="78"/>
        <v>0</v>
      </c>
      <c r="BF20" s="4">
        <f t="shared" si="78"/>
        <v>0</v>
      </c>
      <c r="BG20" s="4">
        <f t="shared" si="78"/>
        <v>0</v>
      </c>
      <c r="BH20" s="4">
        <f t="shared" si="79"/>
        <v>0</v>
      </c>
      <c r="BI20" s="4">
        <f t="shared" si="79"/>
        <v>0</v>
      </c>
      <c r="BJ20" s="4">
        <f t="shared" si="79"/>
        <v>0</v>
      </c>
      <c r="BK20" s="4">
        <f t="shared" si="79"/>
        <v>0</v>
      </c>
      <c r="BL20" s="4">
        <f t="shared" si="79"/>
        <v>0</v>
      </c>
      <c r="BM20" s="4">
        <f t="shared" si="79"/>
        <v>0</v>
      </c>
      <c r="BN20" s="4">
        <f t="shared" si="79"/>
        <v>0</v>
      </c>
    </row>
    <row r="21" spans="1:66" x14ac:dyDescent="0.2">
      <c r="A21" s="1" t="s">
        <v>24</v>
      </c>
      <c r="D21">
        <f>G16/A31</f>
        <v>0</v>
      </c>
      <c r="G21" t="s">
        <v>76</v>
      </c>
      <c r="K21" t="s">
        <v>57</v>
      </c>
      <c r="L21" t="s">
        <v>58</v>
      </c>
      <c r="M21" t="s">
        <v>59</v>
      </c>
      <c r="N21" t="s">
        <v>60</v>
      </c>
      <c r="Z21">
        <f t="shared" si="82"/>
        <v>0</v>
      </c>
      <c r="AA21">
        <f t="shared" si="70"/>
        <v>0</v>
      </c>
      <c r="AE21">
        <f t="shared" si="83"/>
        <v>0</v>
      </c>
      <c r="AF21">
        <f t="shared" si="72"/>
        <v>0</v>
      </c>
      <c r="AG21">
        <f t="shared" si="73"/>
        <v>0</v>
      </c>
      <c r="AK21">
        <f t="shared" si="74"/>
        <v>0</v>
      </c>
      <c r="AL21">
        <f t="shared" si="75"/>
        <v>0</v>
      </c>
      <c r="AM21">
        <f t="shared" si="76"/>
        <v>0</v>
      </c>
      <c r="AN21">
        <f t="shared" si="77"/>
        <v>0</v>
      </c>
      <c r="AP21">
        <f t="shared" si="80"/>
        <v>0</v>
      </c>
      <c r="AQ21" s="4">
        <f t="shared" si="81"/>
        <v>0</v>
      </c>
      <c r="AR21" s="4">
        <f t="shared" si="78"/>
        <v>0</v>
      </c>
      <c r="AS21" s="4">
        <f t="shared" si="78"/>
        <v>0</v>
      </c>
      <c r="AT21" s="4">
        <f t="shared" si="78"/>
        <v>0</v>
      </c>
      <c r="AU21" s="4">
        <f t="shared" si="78"/>
        <v>0</v>
      </c>
      <c r="AV21" s="4">
        <f t="shared" si="78"/>
        <v>0</v>
      </c>
      <c r="AW21" s="4">
        <f t="shared" si="78"/>
        <v>0</v>
      </c>
      <c r="AX21" s="4">
        <f t="shared" si="78"/>
        <v>0</v>
      </c>
      <c r="AY21" s="4">
        <f t="shared" si="78"/>
        <v>0</v>
      </c>
      <c r="AZ21" s="4">
        <f t="shared" si="78"/>
        <v>0</v>
      </c>
      <c r="BA21" s="4">
        <f t="shared" si="78"/>
        <v>0</v>
      </c>
      <c r="BB21" s="4">
        <f t="shared" si="78"/>
        <v>0</v>
      </c>
      <c r="BC21" s="4">
        <f t="shared" si="78"/>
        <v>0</v>
      </c>
      <c r="BD21" s="4">
        <f t="shared" si="78"/>
        <v>0</v>
      </c>
      <c r="BE21" s="4">
        <f t="shared" si="78"/>
        <v>0</v>
      </c>
      <c r="BF21" s="4">
        <f t="shared" si="78"/>
        <v>0</v>
      </c>
      <c r="BG21" s="4">
        <f t="shared" si="78"/>
        <v>0</v>
      </c>
      <c r="BH21" s="4">
        <f t="shared" si="79"/>
        <v>0</v>
      </c>
      <c r="BI21" s="4">
        <f t="shared" si="79"/>
        <v>0</v>
      </c>
      <c r="BJ21" s="4">
        <f t="shared" si="79"/>
        <v>0</v>
      </c>
      <c r="BK21" s="4">
        <f t="shared" si="79"/>
        <v>0</v>
      </c>
      <c r="BL21" s="4">
        <f t="shared" si="79"/>
        <v>0</v>
      </c>
      <c r="BM21" s="4">
        <f t="shared" si="79"/>
        <v>0</v>
      </c>
      <c r="BN21" s="4">
        <f t="shared" si="79"/>
        <v>0</v>
      </c>
    </row>
    <row r="22" spans="1:66" x14ac:dyDescent="0.2">
      <c r="A22" t="s">
        <v>36</v>
      </c>
      <c r="B22" t="s">
        <v>10</v>
      </c>
      <c r="D22" t="s">
        <v>48</v>
      </c>
      <c r="G22" t="e">
        <f>AL28/AP28</f>
        <v>#DIV/0!</v>
      </c>
      <c r="K22">
        <f>AVERAGE(C39:C50)</f>
        <v>3.5833333333333335</v>
      </c>
      <c r="L22">
        <f>MEDIAN(C39:C50)</f>
        <v>3.5</v>
      </c>
      <c r="M22">
        <f>MAX(C39:C50)</f>
        <v>5</v>
      </c>
      <c r="N22">
        <f>_xlfn.STDEV.S(C39:C50)</f>
        <v>1.1645001528813146</v>
      </c>
      <c r="Z22">
        <f t="shared" si="82"/>
        <v>0</v>
      </c>
      <c r="AA22">
        <f t="shared" si="70"/>
        <v>0</v>
      </c>
      <c r="AE22">
        <f t="shared" si="83"/>
        <v>0</v>
      </c>
      <c r="AF22">
        <f t="shared" si="72"/>
        <v>0</v>
      </c>
      <c r="AG22">
        <f t="shared" si="73"/>
        <v>0</v>
      </c>
      <c r="AK22">
        <f t="shared" si="74"/>
        <v>0</v>
      </c>
      <c r="AL22">
        <f t="shared" si="75"/>
        <v>0</v>
      </c>
      <c r="AM22">
        <f t="shared" si="76"/>
        <v>0</v>
      </c>
      <c r="AN22">
        <f t="shared" si="77"/>
        <v>0</v>
      </c>
      <c r="AP22">
        <f t="shared" si="80"/>
        <v>0</v>
      </c>
      <c r="AQ22" s="4">
        <f t="shared" si="81"/>
        <v>0</v>
      </c>
      <c r="AR22" s="4">
        <f t="shared" si="78"/>
        <v>0</v>
      </c>
      <c r="AS22" s="4">
        <f t="shared" si="78"/>
        <v>0</v>
      </c>
      <c r="AT22" s="4">
        <f t="shared" si="78"/>
        <v>0</v>
      </c>
      <c r="AU22" s="4">
        <f t="shared" si="78"/>
        <v>0</v>
      </c>
      <c r="AV22" s="4">
        <f t="shared" si="78"/>
        <v>0</v>
      </c>
      <c r="AW22" s="4">
        <f t="shared" si="78"/>
        <v>0</v>
      </c>
      <c r="AX22" s="4">
        <f t="shared" si="78"/>
        <v>0</v>
      </c>
      <c r="AY22" s="4">
        <f t="shared" si="78"/>
        <v>0</v>
      </c>
      <c r="AZ22" s="4">
        <f t="shared" si="78"/>
        <v>0</v>
      </c>
      <c r="BA22" s="4">
        <f t="shared" si="78"/>
        <v>0</v>
      </c>
      <c r="BB22" s="4">
        <f t="shared" si="78"/>
        <v>0</v>
      </c>
      <c r="BC22" s="4">
        <f t="shared" si="78"/>
        <v>0</v>
      </c>
      <c r="BD22" s="4">
        <f t="shared" si="78"/>
        <v>0</v>
      </c>
      <c r="BE22" s="4">
        <f t="shared" si="78"/>
        <v>0</v>
      </c>
      <c r="BF22" s="4">
        <f t="shared" si="78"/>
        <v>0</v>
      </c>
      <c r="BG22" s="4">
        <f t="shared" si="78"/>
        <v>0</v>
      </c>
      <c r="BH22" s="4">
        <f t="shared" si="79"/>
        <v>0</v>
      </c>
      <c r="BI22" s="4">
        <f t="shared" si="79"/>
        <v>0</v>
      </c>
      <c r="BJ22" s="4">
        <f t="shared" si="79"/>
        <v>0</v>
      </c>
      <c r="BK22" s="4">
        <f t="shared" si="79"/>
        <v>0</v>
      </c>
      <c r="BL22" s="4">
        <f t="shared" si="79"/>
        <v>0</v>
      </c>
      <c r="BM22" s="4">
        <f t="shared" si="79"/>
        <v>0</v>
      </c>
      <c r="BN22" s="4">
        <f t="shared" si="79"/>
        <v>0</v>
      </c>
    </row>
    <row r="23" spans="1:66" x14ac:dyDescent="0.2">
      <c r="A23" t="s">
        <v>37</v>
      </c>
      <c r="B23" t="s">
        <v>25</v>
      </c>
      <c r="D23">
        <f>H16/A31</f>
        <v>0</v>
      </c>
      <c r="G23" t="s">
        <v>77</v>
      </c>
      <c r="K23" t="s">
        <v>8</v>
      </c>
      <c r="Z23">
        <f t="shared" si="82"/>
        <v>0</v>
      </c>
      <c r="AA23">
        <f t="shared" si="70"/>
        <v>0</v>
      </c>
      <c r="AE23">
        <f t="shared" si="83"/>
        <v>0</v>
      </c>
      <c r="AF23">
        <f t="shared" si="72"/>
        <v>0</v>
      </c>
      <c r="AG23">
        <f t="shared" si="73"/>
        <v>0</v>
      </c>
      <c r="AK23">
        <f t="shared" si="74"/>
        <v>0</v>
      </c>
      <c r="AL23">
        <f t="shared" si="75"/>
        <v>0</v>
      </c>
      <c r="AM23">
        <f t="shared" si="76"/>
        <v>0</v>
      </c>
      <c r="AN23">
        <f t="shared" si="77"/>
        <v>0</v>
      </c>
      <c r="AP23">
        <f t="shared" si="80"/>
        <v>0</v>
      </c>
      <c r="AQ23" s="4">
        <f t="shared" si="81"/>
        <v>0</v>
      </c>
      <c r="AR23" s="4">
        <f t="shared" si="78"/>
        <v>0</v>
      </c>
      <c r="AS23" s="4">
        <f t="shared" si="78"/>
        <v>0</v>
      </c>
      <c r="AT23" s="4">
        <f t="shared" si="78"/>
        <v>0</v>
      </c>
      <c r="AU23" s="4">
        <f t="shared" si="78"/>
        <v>0</v>
      </c>
      <c r="AV23" s="4">
        <f t="shared" si="78"/>
        <v>0</v>
      </c>
      <c r="AW23" s="4">
        <f t="shared" si="78"/>
        <v>0</v>
      </c>
      <c r="AX23" s="4">
        <f t="shared" si="78"/>
        <v>0</v>
      </c>
      <c r="AY23" s="4">
        <f t="shared" si="78"/>
        <v>0</v>
      </c>
      <c r="AZ23" s="4">
        <f t="shared" si="78"/>
        <v>0</v>
      </c>
      <c r="BA23" s="4">
        <f t="shared" si="78"/>
        <v>0</v>
      </c>
      <c r="BB23" s="4">
        <f t="shared" si="78"/>
        <v>0</v>
      </c>
      <c r="BC23" s="4">
        <f t="shared" si="78"/>
        <v>0</v>
      </c>
      <c r="BD23" s="4">
        <f t="shared" si="78"/>
        <v>0</v>
      </c>
      <c r="BE23" s="4">
        <f t="shared" si="78"/>
        <v>0</v>
      </c>
      <c r="BF23" s="4">
        <f t="shared" si="78"/>
        <v>0</v>
      </c>
      <c r="BG23" s="4">
        <f t="shared" si="78"/>
        <v>0</v>
      </c>
      <c r="BH23" s="4">
        <f t="shared" si="79"/>
        <v>0</v>
      </c>
      <c r="BI23" s="4">
        <f t="shared" si="79"/>
        <v>0</v>
      </c>
      <c r="BJ23" s="4">
        <f t="shared" si="79"/>
        <v>0</v>
      </c>
      <c r="BK23" s="4">
        <f t="shared" si="79"/>
        <v>0</v>
      </c>
      <c r="BL23" s="4">
        <f t="shared" si="79"/>
        <v>0</v>
      </c>
      <c r="BM23" s="4">
        <f t="shared" si="79"/>
        <v>0</v>
      </c>
      <c r="BN23" s="4">
        <f t="shared" si="79"/>
        <v>0</v>
      </c>
    </row>
    <row r="24" spans="1:66" x14ac:dyDescent="0.2">
      <c r="A24" t="s">
        <v>38</v>
      </c>
      <c r="B24" t="s">
        <v>26</v>
      </c>
      <c r="D24" t="s">
        <v>50</v>
      </c>
      <c r="G24" t="e">
        <f>AM28/AP28</f>
        <v>#DIV/0!</v>
      </c>
      <c r="K24" t="s">
        <v>57</v>
      </c>
      <c r="L24" t="s">
        <v>61</v>
      </c>
      <c r="M24" t="s">
        <v>59</v>
      </c>
      <c r="N24" t="s">
        <v>60</v>
      </c>
      <c r="Z24">
        <f t="shared" si="82"/>
        <v>0</v>
      </c>
      <c r="AA24">
        <f t="shared" si="70"/>
        <v>0</v>
      </c>
      <c r="AE24">
        <f t="shared" si="83"/>
        <v>0</v>
      </c>
      <c r="AF24">
        <f t="shared" si="72"/>
        <v>0</v>
      </c>
      <c r="AG24">
        <f t="shared" si="73"/>
        <v>0</v>
      </c>
      <c r="AK24">
        <f t="shared" si="74"/>
        <v>0</v>
      </c>
      <c r="AL24">
        <f t="shared" si="75"/>
        <v>0</v>
      </c>
      <c r="AM24">
        <f t="shared" si="76"/>
        <v>0</v>
      </c>
      <c r="AN24">
        <f t="shared" si="77"/>
        <v>0</v>
      </c>
      <c r="AP24">
        <f t="shared" si="80"/>
        <v>0</v>
      </c>
      <c r="AQ24" s="4">
        <f t="shared" si="81"/>
        <v>0</v>
      </c>
      <c r="AR24" s="4">
        <f t="shared" si="78"/>
        <v>0</v>
      </c>
      <c r="AS24" s="4">
        <f t="shared" si="78"/>
        <v>0</v>
      </c>
      <c r="AT24" s="4">
        <f t="shared" si="78"/>
        <v>0</v>
      </c>
      <c r="AU24" s="4">
        <f t="shared" si="78"/>
        <v>0</v>
      </c>
      <c r="AV24" s="4">
        <f t="shared" si="78"/>
        <v>0</v>
      </c>
      <c r="AW24" s="4">
        <f t="shared" si="78"/>
        <v>0</v>
      </c>
      <c r="AX24" s="4">
        <f t="shared" si="78"/>
        <v>0</v>
      </c>
      <c r="AY24" s="4">
        <f t="shared" si="78"/>
        <v>0</v>
      </c>
      <c r="AZ24" s="4">
        <f t="shared" si="78"/>
        <v>0</v>
      </c>
      <c r="BA24" s="4">
        <f t="shared" si="78"/>
        <v>0</v>
      </c>
      <c r="BB24" s="4">
        <f t="shared" si="78"/>
        <v>0</v>
      </c>
      <c r="BC24" s="4">
        <f t="shared" si="78"/>
        <v>0</v>
      </c>
      <c r="BD24" s="4">
        <f t="shared" si="78"/>
        <v>0</v>
      </c>
      <c r="BE24" s="4">
        <f t="shared" si="78"/>
        <v>0</v>
      </c>
      <c r="BF24" s="4">
        <f t="shared" si="78"/>
        <v>0</v>
      </c>
      <c r="BG24" s="4">
        <f t="shared" si="78"/>
        <v>0</v>
      </c>
      <c r="BH24" s="4">
        <f t="shared" si="79"/>
        <v>0</v>
      </c>
      <c r="BI24" s="4">
        <f t="shared" si="79"/>
        <v>0</v>
      </c>
      <c r="BJ24" s="4">
        <f t="shared" si="79"/>
        <v>0</v>
      </c>
      <c r="BK24" s="4">
        <f t="shared" si="79"/>
        <v>0</v>
      </c>
      <c r="BL24" s="4">
        <f t="shared" si="79"/>
        <v>0</v>
      </c>
      <c r="BM24" s="4">
        <f t="shared" si="79"/>
        <v>0</v>
      </c>
      <c r="BN24" s="4">
        <f t="shared" si="79"/>
        <v>0</v>
      </c>
    </row>
    <row r="25" spans="1:66" x14ac:dyDescent="0.2">
      <c r="A25" t="s">
        <v>39</v>
      </c>
      <c r="B25" t="s">
        <v>27</v>
      </c>
      <c r="D25">
        <f>Z28/A31</f>
        <v>0</v>
      </c>
      <c r="G25" t="s">
        <v>78</v>
      </c>
      <c r="K25">
        <f>AVERAGE(E39:E50)</f>
        <v>0</v>
      </c>
      <c r="L25">
        <f>MEDIAN(E39:E50)</f>
        <v>0</v>
      </c>
      <c r="M25">
        <f>MAX(E39:E50)</f>
        <v>0</v>
      </c>
      <c r="N25">
        <f>_xlfn.STDEV.S(E39:E50)</f>
        <v>0</v>
      </c>
      <c r="Z25">
        <f t="shared" si="82"/>
        <v>0</v>
      </c>
      <c r="AA25">
        <f t="shared" si="70"/>
        <v>0</v>
      </c>
      <c r="AE25">
        <f t="shared" si="83"/>
        <v>0</v>
      </c>
      <c r="AF25">
        <f t="shared" si="72"/>
        <v>0</v>
      </c>
      <c r="AG25">
        <f t="shared" si="73"/>
        <v>0</v>
      </c>
      <c r="AK25">
        <f t="shared" si="74"/>
        <v>0</v>
      </c>
      <c r="AL25">
        <f t="shared" si="75"/>
        <v>0</v>
      </c>
      <c r="AM25">
        <f t="shared" si="76"/>
        <v>0</v>
      </c>
      <c r="AN25">
        <f t="shared" si="77"/>
        <v>0</v>
      </c>
      <c r="AP25">
        <f t="shared" si="80"/>
        <v>0</v>
      </c>
      <c r="AQ25" s="4">
        <f t="shared" si="81"/>
        <v>0</v>
      </c>
      <c r="AR25" s="4">
        <f t="shared" si="78"/>
        <v>0</v>
      </c>
      <c r="AS25" s="4">
        <f t="shared" si="78"/>
        <v>0</v>
      </c>
      <c r="AT25" s="4">
        <f t="shared" si="78"/>
        <v>0</v>
      </c>
      <c r="AU25" s="4">
        <f t="shared" si="78"/>
        <v>0</v>
      </c>
      <c r="AV25" s="4">
        <f t="shared" si="78"/>
        <v>0</v>
      </c>
      <c r="AW25" s="4">
        <f t="shared" si="78"/>
        <v>0</v>
      </c>
      <c r="AX25" s="4">
        <f t="shared" si="78"/>
        <v>0</v>
      </c>
      <c r="AY25" s="4">
        <f t="shared" si="78"/>
        <v>0</v>
      </c>
      <c r="AZ25" s="4">
        <f t="shared" si="78"/>
        <v>0</v>
      </c>
      <c r="BA25" s="4">
        <f t="shared" si="78"/>
        <v>0</v>
      </c>
      <c r="BB25" s="4">
        <f t="shared" si="78"/>
        <v>0</v>
      </c>
      <c r="BC25" s="4">
        <f t="shared" si="78"/>
        <v>0</v>
      </c>
      <c r="BD25" s="4">
        <f t="shared" si="78"/>
        <v>0</v>
      </c>
      <c r="BE25" s="4">
        <f t="shared" si="78"/>
        <v>0</v>
      </c>
      <c r="BF25" s="4">
        <f t="shared" si="78"/>
        <v>0</v>
      </c>
      <c r="BG25" s="4">
        <f t="shared" si="78"/>
        <v>0</v>
      </c>
      <c r="BH25" s="4">
        <f t="shared" si="79"/>
        <v>0</v>
      </c>
      <c r="BI25" s="4">
        <f t="shared" si="79"/>
        <v>0</v>
      </c>
      <c r="BJ25" s="4">
        <f t="shared" si="79"/>
        <v>0</v>
      </c>
      <c r="BK25" s="4">
        <f t="shared" si="79"/>
        <v>0</v>
      </c>
      <c r="BL25" s="4">
        <f t="shared" si="79"/>
        <v>0</v>
      </c>
      <c r="BM25" s="4">
        <f t="shared" si="79"/>
        <v>0</v>
      </c>
      <c r="BN25" s="4">
        <f t="shared" si="79"/>
        <v>0</v>
      </c>
    </row>
    <row r="26" spans="1:66" x14ac:dyDescent="0.2">
      <c r="A26" t="s">
        <v>44</v>
      </c>
      <c r="D26" t="s">
        <v>51</v>
      </c>
      <c r="G26" t="e">
        <f>AN28/AP28</f>
        <v>#DIV/0!</v>
      </c>
      <c r="K26" t="s">
        <v>62</v>
      </c>
      <c r="P26" t="s">
        <v>19</v>
      </c>
      <c r="Z26">
        <f t="shared" si="69"/>
        <v>0</v>
      </c>
      <c r="AA26">
        <f t="shared" si="70"/>
        <v>0</v>
      </c>
      <c r="AE26">
        <f t="shared" si="71"/>
        <v>0</v>
      </c>
      <c r="AF26">
        <f t="shared" si="72"/>
        <v>0</v>
      </c>
      <c r="AG26">
        <f t="shared" si="73"/>
        <v>0</v>
      </c>
      <c r="AK26">
        <f t="shared" si="74"/>
        <v>0</v>
      </c>
      <c r="AL26">
        <f t="shared" si="75"/>
        <v>0</v>
      </c>
      <c r="AM26">
        <f t="shared" si="76"/>
        <v>0</v>
      </c>
      <c r="AN26">
        <f t="shared" si="77"/>
        <v>0</v>
      </c>
      <c r="AP26">
        <f t="shared" si="80"/>
        <v>0</v>
      </c>
      <c r="AQ26" s="4">
        <f t="shared" si="81"/>
        <v>0</v>
      </c>
      <c r="AR26" s="4">
        <f t="shared" si="78"/>
        <v>0</v>
      </c>
      <c r="AS26" s="4">
        <f t="shared" si="78"/>
        <v>0</v>
      </c>
      <c r="AT26" s="4">
        <f t="shared" si="78"/>
        <v>0</v>
      </c>
      <c r="AU26" s="4">
        <f t="shared" si="78"/>
        <v>0</v>
      </c>
      <c r="AV26" s="4">
        <f t="shared" si="78"/>
        <v>0</v>
      </c>
      <c r="AW26" s="4">
        <f t="shared" si="78"/>
        <v>0</v>
      </c>
      <c r="AX26" s="4">
        <f t="shared" si="78"/>
        <v>0</v>
      </c>
      <c r="AY26" s="4">
        <f t="shared" si="78"/>
        <v>0</v>
      </c>
      <c r="AZ26" s="4">
        <f t="shared" si="78"/>
        <v>0</v>
      </c>
      <c r="BA26" s="4">
        <f t="shared" si="78"/>
        <v>0</v>
      </c>
      <c r="BB26" s="4">
        <f t="shared" si="78"/>
        <v>0</v>
      </c>
      <c r="BC26" s="4">
        <f t="shared" si="78"/>
        <v>0</v>
      </c>
      <c r="BD26" s="4">
        <f t="shared" si="78"/>
        <v>0</v>
      </c>
      <c r="BE26" s="4">
        <f t="shared" si="78"/>
        <v>0</v>
      </c>
      <c r="BF26" s="4">
        <f t="shared" si="78"/>
        <v>0</v>
      </c>
      <c r="BG26" s="4">
        <f t="shared" si="78"/>
        <v>0</v>
      </c>
      <c r="BH26" s="4">
        <f t="shared" si="79"/>
        <v>0</v>
      </c>
      <c r="BI26" s="4">
        <f t="shared" si="79"/>
        <v>0</v>
      </c>
      <c r="BJ26" s="4">
        <f t="shared" si="79"/>
        <v>0</v>
      </c>
      <c r="BK26" s="4">
        <f t="shared" si="79"/>
        <v>0</v>
      </c>
      <c r="BL26" s="4">
        <f t="shared" si="79"/>
        <v>0</v>
      </c>
      <c r="BM26" s="4">
        <f t="shared" si="79"/>
        <v>0</v>
      </c>
      <c r="BN26" s="4">
        <f t="shared" si="79"/>
        <v>0</v>
      </c>
    </row>
    <row r="27" spans="1:66" x14ac:dyDescent="0.2">
      <c r="A27" t="s">
        <v>45</v>
      </c>
      <c r="D27">
        <f>AA28/A31</f>
        <v>0</v>
      </c>
      <c r="G27" t="s">
        <v>56</v>
      </c>
      <c r="K27" t="s">
        <v>57</v>
      </c>
      <c r="L27" t="s">
        <v>58</v>
      </c>
      <c r="M27" t="s">
        <v>59</v>
      </c>
      <c r="N27" t="s">
        <v>60</v>
      </c>
      <c r="P27" t="s">
        <v>57</v>
      </c>
      <c r="Q27" t="s">
        <v>58</v>
      </c>
      <c r="R27" t="s">
        <v>59</v>
      </c>
      <c r="S27" t="s">
        <v>60</v>
      </c>
      <c r="Z27">
        <f t="shared" si="69"/>
        <v>0</v>
      </c>
      <c r="AA27">
        <f t="shared" si="70"/>
        <v>0</v>
      </c>
      <c r="AE27">
        <f t="shared" si="71"/>
        <v>0</v>
      </c>
      <c r="AF27">
        <f t="shared" si="72"/>
        <v>0</v>
      </c>
      <c r="AG27">
        <f t="shared" si="73"/>
        <v>0</v>
      </c>
      <c r="AK27">
        <f t="shared" si="74"/>
        <v>0</v>
      </c>
      <c r="AL27">
        <f t="shared" si="75"/>
        <v>0</v>
      </c>
      <c r="AM27">
        <f t="shared" si="76"/>
        <v>0</v>
      </c>
      <c r="AN27">
        <f t="shared" si="77"/>
        <v>0</v>
      </c>
      <c r="AP27">
        <f t="shared" si="80"/>
        <v>0</v>
      </c>
      <c r="AQ27" s="4">
        <f t="shared" si="81"/>
        <v>0</v>
      </c>
      <c r="AR27" s="4">
        <f t="shared" si="78"/>
        <v>0</v>
      </c>
      <c r="AS27" s="4">
        <f t="shared" si="78"/>
        <v>0</v>
      </c>
      <c r="AT27" s="4">
        <f t="shared" si="78"/>
        <v>0</v>
      </c>
      <c r="AU27" s="4">
        <f t="shared" si="78"/>
        <v>0</v>
      </c>
      <c r="AV27" s="4">
        <f t="shared" si="78"/>
        <v>0</v>
      </c>
      <c r="AW27" s="4">
        <f t="shared" si="78"/>
        <v>0</v>
      </c>
      <c r="AX27" s="4">
        <f t="shared" si="78"/>
        <v>0</v>
      </c>
      <c r="AY27" s="4">
        <f t="shared" si="78"/>
        <v>0</v>
      </c>
      <c r="AZ27" s="4">
        <f t="shared" si="78"/>
        <v>0</v>
      </c>
      <c r="BA27" s="4">
        <f t="shared" si="78"/>
        <v>0</v>
      </c>
      <c r="BB27" s="4">
        <f t="shared" si="78"/>
        <v>0</v>
      </c>
      <c r="BC27" s="4">
        <f t="shared" si="78"/>
        <v>0</v>
      </c>
      <c r="BD27" s="4">
        <f t="shared" si="78"/>
        <v>0</v>
      </c>
      <c r="BE27" s="4">
        <f t="shared" si="78"/>
        <v>0</v>
      </c>
      <c r="BF27" s="4">
        <f t="shared" si="78"/>
        <v>0</v>
      </c>
      <c r="BG27" s="4">
        <f t="shared" si="78"/>
        <v>0</v>
      </c>
      <c r="BH27" s="4">
        <f t="shared" si="79"/>
        <v>0</v>
      </c>
      <c r="BI27" s="4">
        <f t="shared" si="79"/>
        <v>0</v>
      </c>
      <c r="BJ27" s="4">
        <f t="shared" si="79"/>
        <v>0</v>
      </c>
      <c r="BK27" s="4">
        <f t="shared" si="79"/>
        <v>0</v>
      </c>
      <c r="BL27" s="4">
        <f t="shared" si="79"/>
        <v>0</v>
      </c>
      <c r="BM27" s="4">
        <f t="shared" si="79"/>
        <v>0</v>
      </c>
      <c r="BN27" s="4">
        <f t="shared" si="79"/>
        <v>0</v>
      </c>
    </row>
    <row r="28" spans="1:66" x14ac:dyDescent="0.2">
      <c r="A28" t="s">
        <v>46</v>
      </c>
      <c r="D28" t="s">
        <v>202</v>
      </c>
      <c r="G28" t="s">
        <v>57</v>
      </c>
      <c r="H28" t="s">
        <v>58</v>
      </c>
      <c r="I28" t="s">
        <v>59</v>
      </c>
      <c r="J28" t="s">
        <v>60</v>
      </c>
      <c r="K28">
        <f>AVERAGE(G39:G50)</f>
        <v>0</v>
      </c>
      <c r="L28">
        <f>MEDIAN(G39:G50)</f>
        <v>0</v>
      </c>
      <c r="M28">
        <f>MAX(G39:G50)</f>
        <v>0</v>
      </c>
      <c r="N28">
        <f>_xlfn.STDEV.S(G39:G50)</f>
        <v>0</v>
      </c>
      <c r="P28">
        <f>AVERAGE(N39:N50)</f>
        <v>8</v>
      </c>
      <c r="Q28">
        <f>MEDIAN(N39:N50)</f>
        <v>5.5</v>
      </c>
      <c r="R28">
        <f>MAX(N39:N50)</f>
        <v>36</v>
      </c>
      <c r="S28">
        <f>_xlfn.STDEV.S(N39:N50)</f>
        <v>10.634420957010734</v>
      </c>
      <c r="Y28" t="s">
        <v>33</v>
      </c>
      <c r="Z28">
        <f>SUM(Z16:Z27)</f>
        <v>0</v>
      </c>
      <c r="AA28">
        <f>SUM(AA16:AA27)</f>
        <v>0</v>
      </c>
      <c r="AE28">
        <f>SUM(AE16:AE27)</f>
        <v>0</v>
      </c>
      <c r="AF28">
        <f>SUM(AF16:AF27)</f>
        <v>0</v>
      </c>
      <c r="AG28">
        <f>SUM(AG16:AG27)</f>
        <v>0</v>
      </c>
      <c r="AK28">
        <f>SUM(AK16:AK27)</f>
        <v>0</v>
      </c>
      <c r="AL28">
        <f>SUM(AL16:AL27)</f>
        <v>0</v>
      </c>
      <c r="AM28">
        <f>SUM(AM16:AM27)</f>
        <v>0</v>
      </c>
      <c r="AN28">
        <f>SUM(AN16:AN27)</f>
        <v>0</v>
      </c>
      <c r="AP28">
        <f>SUM(AP16:AP27)</f>
        <v>0</v>
      </c>
    </row>
    <row r="29" spans="1:66" x14ac:dyDescent="0.2">
      <c r="D29">
        <f>SUM(O39:O50)/F16</f>
        <v>0.5</v>
      </c>
      <c r="G29">
        <f>AVERAGE(A39:A50)</f>
        <v>0</v>
      </c>
      <c r="H29">
        <f>MEDIAN(A39:A50)</f>
        <v>0</v>
      </c>
      <c r="I29">
        <f>MAX(A39:A50)</f>
        <v>0</v>
      </c>
      <c r="J29">
        <f>_xlfn.STDEV.S(A39:A50)</f>
        <v>0</v>
      </c>
      <c r="K29" t="s">
        <v>63</v>
      </c>
      <c r="P29" t="s">
        <v>148</v>
      </c>
    </row>
    <row r="30" spans="1:66" x14ac:dyDescent="0.2">
      <c r="A30" t="s">
        <v>147</v>
      </c>
      <c r="D30" t="s">
        <v>203</v>
      </c>
      <c r="G30" t="s">
        <v>50</v>
      </c>
      <c r="H30" t="s">
        <v>51</v>
      </c>
      <c r="I30" t="s">
        <v>89</v>
      </c>
      <c r="K30" t="s">
        <v>57</v>
      </c>
      <c r="L30" t="s">
        <v>58</v>
      </c>
      <c r="M30" t="s">
        <v>59</v>
      </c>
      <c r="N30" t="s">
        <v>60</v>
      </c>
      <c r="P30" t="s">
        <v>57</v>
      </c>
      <c r="Q30" t="s">
        <v>58</v>
      </c>
      <c r="R30" t="s">
        <v>59</v>
      </c>
      <c r="S30" t="s">
        <v>60</v>
      </c>
      <c r="W30" t="s">
        <v>148</v>
      </c>
      <c r="Y30" t="s">
        <v>149</v>
      </c>
      <c r="AH30" t="s">
        <v>79</v>
      </c>
    </row>
    <row r="31" spans="1:66" x14ac:dyDescent="0.2">
      <c r="A31">
        <f>COUNT(B4:B15)</f>
        <v>12</v>
      </c>
      <c r="D31" s="2">
        <f>SUM(S39:S50)/SUM(Q39:Q50)</f>
        <v>0.66666666666666663</v>
      </c>
      <c r="G31">
        <f>AE28/A31</f>
        <v>0</v>
      </c>
      <c r="H31">
        <f>AF28/A31</f>
        <v>0</v>
      </c>
      <c r="I31">
        <f>AG28/A31</f>
        <v>0</v>
      </c>
      <c r="K31" t="e">
        <f>AVERAGE(I39:I50)</f>
        <v>#DIV/0!</v>
      </c>
      <c r="L31" t="e">
        <f>MEDIAN(I39:I50)</f>
        <v>#NUM!</v>
      </c>
      <c r="M31">
        <f>MAX(I39:I50)</f>
        <v>0</v>
      </c>
      <c r="N31" t="e">
        <f>_xlfn.STDEV.S(I39:I50)</f>
        <v>#DIV/0!</v>
      </c>
      <c r="P31" t="e">
        <f>AVERAGE(W31:W42)</f>
        <v>#REF!</v>
      </c>
      <c r="Q31" t="e">
        <f>MEDIAN(W31:W42)</f>
        <v>#REF!</v>
      </c>
      <c r="R31" t="e">
        <f>MAX(W31:W42)</f>
        <v>#REF!</v>
      </c>
      <c r="S31" t="e">
        <f>_xlfn.STDEV.S(W31:W42)</f>
        <v>#REF!</v>
      </c>
      <c r="W31" t="str">
        <f t="shared" ref="W31:W33" si="84">IF(AND(ISBLANK(Q4), ISBLANK(R4), ISBLANK(G4), ISBLANK(H4)), "", U4)</f>
        <v/>
      </c>
      <c r="Y31" t="str">
        <f t="shared" ref="Y31:Y42" si="85">IF(ISBLANK(Y4), IF(X4 = 0, "", (G4 + H4/3 + V4/9 + W4/3)), U4)</f>
        <v/>
      </c>
      <c r="AH31" t="s">
        <v>80</v>
      </c>
    </row>
    <row r="32" spans="1:66" x14ac:dyDescent="0.2">
      <c r="D32" s="3"/>
      <c r="K32" t="s">
        <v>64</v>
      </c>
      <c r="P32" t="s">
        <v>149</v>
      </c>
      <c r="W32" t="str">
        <f t="shared" si="84"/>
        <v/>
      </c>
      <c r="Y32" t="str">
        <f t="shared" si="85"/>
        <v/>
      </c>
      <c r="AH32" t="s">
        <v>81</v>
      </c>
    </row>
    <row r="33" spans="1:34" x14ac:dyDescent="0.2">
      <c r="A33" t="s">
        <v>226</v>
      </c>
      <c r="D33" s="3"/>
      <c r="K33" t="s">
        <v>57</v>
      </c>
      <c r="L33" t="s">
        <v>58</v>
      </c>
      <c r="M33" t="s">
        <v>59</v>
      </c>
      <c r="N33" t="s">
        <v>60</v>
      </c>
      <c r="P33" t="s">
        <v>57</v>
      </c>
      <c r="Q33" t="s">
        <v>58</v>
      </c>
      <c r="R33" t="s">
        <v>59</v>
      </c>
      <c r="S33" t="s">
        <v>60</v>
      </c>
      <c r="W33" t="str">
        <f t="shared" si="84"/>
        <v/>
      </c>
      <c r="Y33" t="str">
        <f t="shared" si="85"/>
        <v/>
      </c>
      <c r="AH33" t="s">
        <v>82</v>
      </c>
    </row>
    <row r="34" spans="1:34" x14ac:dyDescent="0.2">
      <c r="D34" s="3"/>
      <c r="K34">
        <f>AVERAGE(K39:K50)</f>
        <v>0</v>
      </c>
      <c r="L34">
        <f>MEDIAN(K39:K50)</f>
        <v>0</v>
      </c>
      <c r="M34">
        <f>MAX(K39:K50)</f>
        <v>0</v>
      </c>
      <c r="N34">
        <f>_xlfn.STDEV.S(K39:K50)</f>
        <v>0</v>
      </c>
      <c r="P34" t="e">
        <f>AVERAGE(Y31:Y42)</f>
        <v>#DIV/0!</v>
      </c>
      <c r="Q34" t="e">
        <f>MEDIAN(Y31:Y42)</f>
        <v>#NUM!</v>
      </c>
      <c r="R34">
        <f>MAX(Y31:Y42)</f>
        <v>0</v>
      </c>
      <c r="S34" t="e">
        <f>_xlfn.STDEV.S(Y31:Y42)</f>
        <v>#DIV/0!</v>
      </c>
      <c r="W34" t="str">
        <f t="shared" ref="W34:W39" si="86">IF(AND(ISBLANK(Q8), ISBLANK(R8), ISBLANK(G8), ISBLANK(H8)), "", U8)</f>
        <v/>
      </c>
      <c r="Y34" t="str">
        <f>IF(ISBLANK(Y7), IF(X7 = 0, "", (G8 + H8/3 +#REF!/ 9 + W7/3)), U8)</f>
        <v/>
      </c>
      <c r="AH34" t="s">
        <v>83</v>
      </c>
    </row>
    <row r="35" spans="1:34" x14ac:dyDescent="0.2">
      <c r="P35" t="s">
        <v>95</v>
      </c>
      <c r="R35" t="s">
        <v>197</v>
      </c>
      <c r="W35" t="str">
        <f t="shared" si="86"/>
        <v/>
      </c>
      <c r="Y35" t="str">
        <f>IF(ISBLANK(Y8), IF(X8 = 0, "", (G9 + H9/3 + V8/9 + W8/3)), U9)</f>
        <v/>
      </c>
    </row>
    <row r="36" spans="1:34" x14ac:dyDescent="0.2">
      <c r="P36" t="e">
        <f>Q16/(Q16+R16)</f>
        <v>#DIV/0!</v>
      </c>
      <c r="R36" t="e">
        <f>R16/(Q16+R16)</f>
        <v>#DIV/0!</v>
      </c>
      <c r="W36" t="str">
        <f t="shared" si="86"/>
        <v/>
      </c>
      <c r="Y36" t="str">
        <f>IF(ISBLANK(Y9), IF(X9 = 0, "", (G10 + H10/3 + V9/9 + W9/3)), U10)</f>
        <v/>
      </c>
    </row>
    <row r="37" spans="1:34" x14ac:dyDescent="0.2">
      <c r="W37" t="str">
        <f t="shared" si="86"/>
        <v/>
      </c>
      <c r="Y37" t="str">
        <f>IF(ISBLANK(Y10), IF(X10 = 0, "", (G11 + H11/3 + V10/9 + W10/3)), U11)</f>
        <v/>
      </c>
    </row>
    <row r="38" spans="1:34" x14ac:dyDescent="0.2">
      <c r="A38" t="s">
        <v>68</v>
      </c>
      <c r="C38" t="s">
        <v>69</v>
      </c>
      <c r="E38" t="s">
        <v>72</v>
      </c>
      <c r="G38" t="s">
        <v>250</v>
      </c>
      <c r="K38" t="s">
        <v>73</v>
      </c>
      <c r="M38" t="s">
        <v>70</v>
      </c>
      <c r="N38" t="s">
        <v>71</v>
      </c>
      <c r="O38" t="s">
        <v>199</v>
      </c>
      <c r="Q38" t="s">
        <v>200</v>
      </c>
      <c r="S38" t="s">
        <v>201</v>
      </c>
      <c r="W38" t="str">
        <f t="shared" si="86"/>
        <v/>
      </c>
      <c r="Y38" t="str">
        <f>IF(ISBLANK(Y11), IF(X11 = 0, "", (G12 + H12/3 + V11/9 + W11/3)), U12)</f>
        <v/>
      </c>
    </row>
    <row r="39" spans="1:34" x14ac:dyDescent="0.2">
      <c r="A39">
        <f t="shared" ref="A39:A50" si="87">IF(ISBLANK(B4), "", SUM(AE16+AF16+AG16))</f>
        <v>0</v>
      </c>
      <c r="C39">
        <f t="shared" ref="C39:C50" si="88">IF(ISBLANK(B4), "", O4)</f>
        <v>3</v>
      </c>
      <c r="E39">
        <f t="shared" ref="E39:E50" si="89">IF(ISBLANK(B4), "", Q4)</f>
        <v>0</v>
      </c>
      <c r="G39">
        <f t="shared" ref="G39:G50" si="90">IF(ISBLANK(B4), "", R4)</f>
        <v>0</v>
      </c>
      <c r="K39">
        <f t="shared" ref="K39:K50" si="91">IF(ISBLANK(B4), "", SUM(Q4 + R4))</f>
        <v>0</v>
      </c>
      <c r="M39">
        <f t="shared" ref="M39:M50" si="92">IF(ISBLANK(B4), "", SUM(K4+M4) - O4)</f>
        <v>1</v>
      </c>
      <c r="N39">
        <f t="shared" ref="N39:N50" si="93">IF(ISBLANK(B4), "", U4)</f>
        <v>8</v>
      </c>
      <c r="O39">
        <f t="shared" ref="O39:O50" si="94">COUNTIF(E4, "1")*COUNTIF(F4, "1")</f>
        <v>0</v>
      </c>
      <c r="Q39">
        <f t="shared" ref="Q39:Q50" si="95">COUNTIF(D4, "1")*COUNTIF(F4, "")</f>
        <v>1</v>
      </c>
      <c r="S39">
        <f t="shared" ref="S39:S50" si="96">COUNTIF(E4, "1")*COUNTIF(F4, "")</f>
        <v>1</v>
      </c>
      <c r="W39" t="str">
        <f t="shared" si="86"/>
        <v/>
      </c>
      <c r="Y39" t="str">
        <f>IF(ISBLANK(Y12), IF(X12 = 0, "", (G13 + H13/3 + V12/9 + W12/3)), U13)</f>
        <v/>
      </c>
    </row>
    <row r="40" spans="1:34" x14ac:dyDescent="0.2">
      <c r="A40">
        <f t="shared" si="87"/>
        <v>0</v>
      </c>
      <c r="C40">
        <f t="shared" si="88"/>
        <v>1</v>
      </c>
      <c r="E40">
        <f t="shared" si="89"/>
        <v>0</v>
      </c>
      <c r="G40">
        <f t="shared" si="90"/>
        <v>0</v>
      </c>
      <c r="K40">
        <f t="shared" si="91"/>
        <v>0</v>
      </c>
      <c r="M40">
        <f t="shared" si="92"/>
        <v>0</v>
      </c>
      <c r="N40">
        <f t="shared" si="93"/>
        <v>3</v>
      </c>
      <c r="O40">
        <f t="shared" si="94"/>
        <v>0</v>
      </c>
      <c r="Q40">
        <f t="shared" si="95"/>
        <v>0</v>
      </c>
      <c r="S40">
        <f t="shared" si="96"/>
        <v>0</v>
      </c>
      <c r="W40" t="e">
        <f xml:space="preserve"> IF(AND(ISBLANK(#REF!), ISBLANK(#REF!), ISBLANK(#REF!), ISBLANK(#REF!)), "",#REF!)</f>
        <v>#REF!</v>
      </c>
      <c r="Y40" t="str">
        <f xml:space="preserve"> IF(ISBLANK(Y13), IF(X13 = 0, "", (#REF! +#REF!/ 3 + V13/9 + W13/3)),#REF!)</f>
        <v/>
      </c>
    </row>
    <row r="41" spans="1:34" x14ac:dyDescent="0.2">
      <c r="A41">
        <f t="shared" si="87"/>
        <v>0</v>
      </c>
      <c r="C41">
        <f t="shared" si="88"/>
        <v>4</v>
      </c>
      <c r="E41">
        <f t="shared" si="89"/>
        <v>0</v>
      </c>
      <c r="G41">
        <f t="shared" si="90"/>
        <v>0</v>
      </c>
      <c r="K41">
        <f t="shared" si="91"/>
        <v>0</v>
      </c>
      <c r="M41">
        <f t="shared" si="92"/>
        <v>-1</v>
      </c>
      <c r="N41">
        <f t="shared" si="93"/>
        <v>0</v>
      </c>
      <c r="O41">
        <f t="shared" si="94"/>
        <v>0</v>
      </c>
      <c r="Q41">
        <f t="shared" si="95"/>
        <v>1</v>
      </c>
      <c r="S41">
        <f t="shared" si="96"/>
        <v>0</v>
      </c>
      <c r="W41" t="str">
        <f t="shared" ref="W41:W42" si="97">IF(AND(ISBLANK(Q14), ISBLANK(R14), ISBLANK(G14), ISBLANK(H14)), "", U14)</f>
        <v/>
      </c>
      <c r="Y41" t="str">
        <f t="shared" si="85"/>
        <v/>
      </c>
    </row>
    <row r="42" spans="1:34" x14ac:dyDescent="0.2">
      <c r="A42">
        <f t="shared" ref="A42:A48" si="98">IF(ISBLANK(B8), "", SUM(AE19+AF19+AG19))</f>
        <v>0</v>
      </c>
      <c r="C42">
        <f t="shared" ref="C42:C48" si="99">IF(ISBLANK(B8), "", O8)</f>
        <v>4</v>
      </c>
      <c r="E42">
        <f t="shared" ref="E42:E48" si="100">IF(ISBLANK(B8), "", Q8)</f>
        <v>0</v>
      </c>
      <c r="G42">
        <f t="shared" ref="G42:G48" si="101">IF(ISBLANK(B8), "", R8)</f>
        <v>0</v>
      </c>
      <c r="K42">
        <f t="shared" ref="K42:K48" si="102">IF(ISBLANK(B8), "", SUM(Q8 + R8))</f>
        <v>0</v>
      </c>
      <c r="M42">
        <f t="shared" ref="M42:M48" si="103">IF(ISBLANK(B8), "", SUM(K8+M8) - O8)</f>
        <v>0</v>
      </c>
      <c r="N42">
        <f t="shared" ref="N42:N48" si="104">IF(ISBLANK(B8), "", U8)</f>
        <v>0</v>
      </c>
      <c r="O42">
        <f t="shared" ref="O42:O48" si="105">COUNTIF(E8, "1")*COUNTIF(F8, "1")</f>
        <v>1</v>
      </c>
      <c r="Q42">
        <f t="shared" ref="Q42:Q48" si="106">COUNTIF(D8, "1")*COUNTIF(F8, "")</f>
        <v>0</v>
      </c>
      <c r="S42">
        <f t="shared" ref="S42:S48" si="107">COUNTIF(E8, "1")*COUNTIF(F8, "")</f>
        <v>0</v>
      </c>
      <c r="W42" t="str">
        <f t="shared" si="97"/>
        <v/>
      </c>
      <c r="Y42" t="str">
        <f t="shared" si="85"/>
        <v/>
      </c>
    </row>
    <row r="43" spans="1:34" x14ac:dyDescent="0.2">
      <c r="A43">
        <f t="shared" si="98"/>
        <v>0</v>
      </c>
      <c r="C43">
        <f t="shared" si="99"/>
        <v>5</v>
      </c>
      <c r="E43">
        <f t="shared" si="100"/>
        <v>0</v>
      </c>
      <c r="G43">
        <f t="shared" si="101"/>
        <v>0</v>
      </c>
      <c r="K43">
        <f t="shared" si="102"/>
        <v>0</v>
      </c>
      <c r="M43">
        <f t="shared" si="103"/>
        <v>-1</v>
      </c>
      <c r="N43">
        <f t="shared" si="104"/>
        <v>0</v>
      </c>
      <c r="O43">
        <f t="shared" si="105"/>
        <v>0</v>
      </c>
      <c r="Q43">
        <f t="shared" si="106"/>
        <v>1</v>
      </c>
      <c r="S43">
        <f t="shared" si="107"/>
        <v>0</v>
      </c>
    </row>
    <row r="44" spans="1:34" x14ac:dyDescent="0.2">
      <c r="A44">
        <f t="shared" si="98"/>
        <v>0</v>
      </c>
      <c r="C44">
        <f t="shared" si="99"/>
        <v>3</v>
      </c>
      <c r="E44">
        <f t="shared" si="100"/>
        <v>0</v>
      </c>
      <c r="G44">
        <f t="shared" si="101"/>
        <v>0</v>
      </c>
      <c r="K44">
        <f t="shared" si="102"/>
        <v>0</v>
      </c>
      <c r="M44">
        <f t="shared" si="103"/>
        <v>0</v>
      </c>
      <c r="N44">
        <f t="shared" si="104"/>
        <v>0</v>
      </c>
      <c r="O44">
        <f t="shared" si="105"/>
        <v>0</v>
      </c>
      <c r="Q44">
        <f t="shared" si="106"/>
        <v>1</v>
      </c>
      <c r="S44">
        <f t="shared" si="107"/>
        <v>1</v>
      </c>
    </row>
    <row r="45" spans="1:34" x14ac:dyDescent="0.2">
      <c r="A45">
        <f t="shared" si="98"/>
        <v>0</v>
      </c>
      <c r="C45">
        <f t="shared" si="99"/>
        <v>5</v>
      </c>
      <c r="E45">
        <f t="shared" si="100"/>
        <v>0</v>
      </c>
      <c r="G45">
        <f t="shared" si="101"/>
        <v>0</v>
      </c>
      <c r="K45">
        <f t="shared" si="102"/>
        <v>0</v>
      </c>
      <c r="M45">
        <f t="shared" si="103"/>
        <v>-1</v>
      </c>
      <c r="N45">
        <f t="shared" si="104"/>
        <v>15</v>
      </c>
      <c r="O45">
        <f t="shared" si="105"/>
        <v>0</v>
      </c>
      <c r="Q45">
        <f t="shared" si="106"/>
        <v>1</v>
      </c>
      <c r="S45">
        <f t="shared" si="107"/>
        <v>0</v>
      </c>
    </row>
    <row r="46" spans="1:34" x14ac:dyDescent="0.2">
      <c r="A46">
        <f t="shared" si="98"/>
        <v>0</v>
      </c>
      <c r="C46">
        <f t="shared" si="99"/>
        <v>3</v>
      </c>
      <c r="E46">
        <f t="shared" si="100"/>
        <v>0</v>
      </c>
      <c r="G46">
        <f t="shared" si="101"/>
        <v>0</v>
      </c>
      <c r="K46">
        <f t="shared" si="102"/>
        <v>0</v>
      </c>
      <c r="M46">
        <f t="shared" si="103"/>
        <v>0</v>
      </c>
      <c r="N46">
        <f t="shared" si="104"/>
        <v>0</v>
      </c>
      <c r="O46">
        <f t="shared" si="105"/>
        <v>0</v>
      </c>
      <c r="Q46">
        <f t="shared" si="106"/>
        <v>0</v>
      </c>
      <c r="S46">
        <f t="shared" si="107"/>
        <v>0</v>
      </c>
    </row>
    <row r="47" spans="1:34" x14ac:dyDescent="0.2">
      <c r="A47">
        <f t="shared" si="98"/>
        <v>0</v>
      </c>
      <c r="C47">
        <f t="shared" si="99"/>
        <v>4</v>
      </c>
      <c r="E47">
        <f t="shared" si="100"/>
        <v>0</v>
      </c>
      <c r="G47">
        <f t="shared" si="101"/>
        <v>0</v>
      </c>
      <c r="K47">
        <f t="shared" si="102"/>
        <v>0</v>
      </c>
      <c r="M47">
        <f t="shared" si="103"/>
        <v>1</v>
      </c>
      <c r="N47">
        <f t="shared" si="104"/>
        <v>36</v>
      </c>
      <c r="O47">
        <f t="shared" si="105"/>
        <v>0</v>
      </c>
      <c r="Q47">
        <f t="shared" si="106"/>
        <v>1</v>
      </c>
      <c r="S47">
        <f t="shared" si="107"/>
        <v>1</v>
      </c>
    </row>
    <row r="48" spans="1:34" x14ac:dyDescent="0.2">
      <c r="A48">
        <f t="shared" si="98"/>
        <v>0</v>
      </c>
      <c r="C48">
        <f t="shared" si="99"/>
        <v>3</v>
      </c>
      <c r="E48">
        <f t="shared" si="100"/>
        <v>0</v>
      </c>
      <c r="G48">
        <f t="shared" si="101"/>
        <v>0</v>
      </c>
      <c r="K48">
        <f t="shared" si="102"/>
        <v>0</v>
      </c>
      <c r="M48">
        <f t="shared" si="103"/>
        <v>1</v>
      </c>
      <c r="N48">
        <f t="shared" si="104"/>
        <v>9</v>
      </c>
      <c r="O48">
        <f t="shared" si="105"/>
        <v>0</v>
      </c>
      <c r="Q48">
        <f t="shared" si="106"/>
        <v>1</v>
      </c>
      <c r="S48">
        <f t="shared" si="107"/>
        <v>1</v>
      </c>
    </row>
    <row r="49" spans="1:19" x14ac:dyDescent="0.2">
      <c r="A49">
        <f t="shared" si="87"/>
        <v>0</v>
      </c>
      <c r="C49">
        <f t="shared" si="88"/>
        <v>3</v>
      </c>
      <c r="E49">
        <f t="shared" si="89"/>
        <v>0</v>
      </c>
      <c r="G49">
        <f t="shared" si="90"/>
        <v>0</v>
      </c>
      <c r="K49">
        <f t="shared" si="91"/>
        <v>0</v>
      </c>
      <c r="M49">
        <f t="shared" si="92"/>
        <v>1</v>
      </c>
      <c r="N49">
        <f t="shared" si="93"/>
        <v>9</v>
      </c>
      <c r="O49">
        <f t="shared" si="94"/>
        <v>0</v>
      </c>
      <c r="Q49">
        <f t="shared" si="95"/>
        <v>1</v>
      </c>
      <c r="S49">
        <f t="shared" si="96"/>
        <v>1</v>
      </c>
    </row>
    <row r="50" spans="1:19" x14ac:dyDescent="0.2">
      <c r="A50">
        <f t="shared" si="87"/>
        <v>0</v>
      </c>
      <c r="C50">
        <f t="shared" si="88"/>
        <v>5</v>
      </c>
      <c r="E50">
        <f t="shared" si="89"/>
        <v>0</v>
      </c>
      <c r="G50">
        <f t="shared" si="90"/>
        <v>0</v>
      </c>
      <c r="K50">
        <f t="shared" si="91"/>
        <v>0</v>
      </c>
      <c r="M50">
        <f t="shared" si="92"/>
        <v>0</v>
      </c>
      <c r="N50">
        <f t="shared" si="93"/>
        <v>16</v>
      </c>
      <c r="O50">
        <f t="shared" si="94"/>
        <v>0</v>
      </c>
      <c r="Q50">
        <f t="shared" si="95"/>
        <v>1</v>
      </c>
      <c r="S50">
        <f t="shared" si="96"/>
        <v>1</v>
      </c>
    </row>
  </sheetData>
  <pageMargins left="0.7" right="0.7" top="0.75" bottom="0.75" header="0.3" footer="0.3"/>
  <legacy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/>
  <dimension ref="A1:BN50"/>
  <sheetViews>
    <sheetView workbookViewId="0">
      <selection activeCell="E15" sqref="E15"/>
    </sheetView>
  </sheetViews>
  <sheetFormatPr baseColWidth="10" defaultRowHeight="15" x14ac:dyDescent="0.2"/>
  <sheetData>
    <row r="1" spans="1:66" x14ac:dyDescent="0.2">
      <c r="A1" s="1" t="s">
        <v>0</v>
      </c>
      <c r="D1" t="s">
        <v>3</v>
      </c>
      <c r="K1" t="s">
        <v>11</v>
      </c>
      <c r="N1" t="s">
        <v>12</v>
      </c>
      <c r="P1" t="s">
        <v>14</v>
      </c>
      <c r="Q1" t="s">
        <v>17</v>
      </c>
      <c r="S1" t="s">
        <v>18</v>
      </c>
      <c r="Z1" t="s">
        <v>29</v>
      </c>
      <c r="AE1" t="s">
        <v>30</v>
      </c>
      <c r="AK1" t="s">
        <v>42</v>
      </c>
    </row>
    <row r="2" spans="1:66" x14ac:dyDescent="0.2">
      <c r="A2" t="s">
        <v>1</v>
      </c>
      <c r="B2" t="s">
        <v>1</v>
      </c>
      <c r="C2" t="s">
        <v>87</v>
      </c>
      <c r="D2" t="s">
        <v>54</v>
      </c>
      <c r="E2" t="s">
        <v>13</v>
      </c>
      <c r="F2" t="s">
        <v>198</v>
      </c>
      <c r="G2" t="s">
        <v>7</v>
      </c>
      <c r="H2" t="s">
        <v>8</v>
      </c>
      <c r="I2" t="s">
        <v>179</v>
      </c>
      <c r="J2" t="s">
        <v>178</v>
      </c>
      <c r="K2" t="s">
        <v>9</v>
      </c>
      <c r="L2" t="s">
        <v>196</v>
      </c>
      <c r="M2" t="s">
        <v>10</v>
      </c>
      <c r="N2" t="s">
        <v>54</v>
      </c>
      <c r="O2" t="s">
        <v>13</v>
      </c>
      <c r="P2" t="s">
        <v>15</v>
      </c>
      <c r="Q2" t="s">
        <v>8</v>
      </c>
      <c r="R2" t="s">
        <v>7</v>
      </c>
      <c r="S2" t="s">
        <v>181</v>
      </c>
      <c r="T2" t="s">
        <v>182</v>
      </c>
      <c r="U2" t="s">
        <v>19</v>
      </c>
      <c r="V2" t="s">
        <v>191</v>
      </c>
      <c r="W2" t="s">
        <v>192</v>
      </c>
      <c r="X2" t="s">
        <v>175</v>
      </c>
      <c r="Y2" t="s">
        <v>173</v>
      </c>
      <c r="Z2" t="str">
        <f t="shared" ref="Z2:Z13" si="0">LEFT(I4, 1)</f>
        <v/>
      </c>
      <c r="AA2" t="str">
        <f t="shared" ref="AA2:AA13" si="1">MID(I4, 4, 1)</f>
        <v/>
      </c>
      <c r="AB2" t="str">
        <f t="shared" ref="AB2:AB13" si="2">MID(I4, 7, 1)</f>
        <v/>
      </c>
      <c r="AC2" t="str">
        <f t="shared" ref="AC2:AC13" si="3">MID(I4, 10, 1)</f>
        <v/>
      </c>
      <c r="AE2" t="str">
        <f t="shared" ref="AE2:AE13" si="4">LEFT(J4, 1)</f>
        <v/>
      </c>
      <c r="AF2" t="str">
        <f t="shared" ref="AF2:AF13" si="5">MID(J4, 4, 1)</f>
        <v/>
      </c>
      <c r="AG2" t="str">
        <f t="shared" ref="AG2:AG13" si="6">MID(J4, 7, 1)</f>
        <v/>
      </c>
      <c r="AH2" t="str">
        <f t="shared" ref="AH2:AH13" si="7">MID(J4, 10, 1)</f>
        <v/>
      </c>
      <c r="AI2" t="str">
        <f t="shared" ref="AI2:AI13" si="8">MID(J4, 13, 1)</f>
        <v/>
      </c>
      <c r="AK2" t="str">
        <f t="shared" ref="AK2:AK13" si="9">LEFT(P4, 2)</f>
        <v/>
      </c>
      <c r="AL2" t="str">
        <f>MID($P4, 5, 2)</f>
        <v/>
      </c>
      <c r="AM2" t="str">
        <f t="shared" ref="AM2:AM13" si="10">MID($P4, 9, 2)</f>
        <v/>
      </c>
      <c r="AN2" t="str">
        <f t="shared" ref="AN2:AN13" si="11">MID($P4, 13, 2)</f>
        <v/>
      </c>
      <c r="AO2" t="str">
        <f t="shared" ref="AO2:AO13" si="12">MID($P4, 17, 2)</f>
        <v/>
      </c>
      <c r="AP2" t="str">
        <f t="shared" ref="AP2:AP13" si="13">MID($P4, 21, 2)</f>
        <v/>
      </c>
      <c r="AQ2" t="str">
        <f t="shared" ref="AQ2:AQ13" si="14">MID($P4, 25, 2)</f>
        <v/>
      </c>
      <c r="AR2" t="str">
        <f t="shared" ref="AR2:AR13" si="15">MID($P4, 29, 2)</f>
        <v/>
      </c>
      <c r="AS2" t="str">
        <f t="shared" ref="AS2:AS13" si="16">MID($P4, 33, 2)</f>
        <v/>
      </c>
      <c r="AT2" t="str">
        <f t="shared" ref="AT2:AT13" si="17">MID($P4, 37, 2)</f>
        <v/>
      </c>
      <c r="AU2" t="str">
        <f t="shared" ref="AU2:AU13" si="18">MID($P4, 41, 2)</f>
        <v/>
      </c>
      <c r="AV2" t="str">
        <f t="shared" ref="AV2:AV13" si="19">MID($P4, 45, 2)</f>
        <v/>
      </c>
      <c r="AW2" t="str">
        <f t="shared" ref="AW2:AW13" si="20">MID($P4, 49, 2)</f>
        <v/>
      </c>
      <c r="AX2" t="str">
        <f t="shared" ref="AX2:AX13" si="21">MID($P4, 53, 2)</f>
        <v/>
      </c>
      <c r="AY2" t="str">
        <f t="shared" ref="AY2:AY13" si="22">MID($P4, 57, 2)</f>
        <v/>
      </c>
      <c r="AZ2" t="str">
        <f t="shared" ref="AZ2:AZ13" si="23">MID($P4, 61, 2)</f>
        <v/>
      </c>
      <c r="BA2" t="str">
        <f t="shared" ref="BA2:BA13" si="24">MID($P4, 65, 2)</f>
        <v/>
      </c>
      <c r="BB2" t="str">
        <f t="shared" ref="BB2:BB13" si="25">MID($P4, 69, 2)</f>
        <v/>
      </c>
      <c r="BC2" t="str">
        <f t="shared" ref="BC2:BC13" si="26">MID($P4, 73, 2)</f>
        <v/>
      </c>
      <c r="BD2" t="str">
        <f t="shared" ref="BD2:BD13" si="27">MID($P4, 77, 2)</f>
        <v/>
      </c>
      <c r="BE2" t="str">
        <f t="shared" ref="BE2:BE13" si="28">MID($P4, 81, 2)</f>
        <v/>
      </c>
      <c r="BF2" t="str">
        <f t="shared" ref="BF2:BF13" si="29">MID($P4, 85, 2)</f>
        <v/>
      </c>
      <c r="BG2" t="str">
        <f t="shared" ref="BG2:BG13" si="30">MID($P4, 89, 2)</f>
        <v/>
      </c>
      <c r="BH2" t="str">
        <f t="shared" ref="BH2:BH13" si="31">MID($P4, 93, 2)</f>
        <v/>
      </c>
    </row>
    <row r="3" spans="1:66" x14ac:dyDescent="0.2">
      <c r="A3" t="s">
        <v>2</v>
      </c>
      <c r="B3" t="s">
        <v>6</v>
      </c>
      <c r="C3" t="s">
        <v>88</v>
      </c>
      <c r="D3" t="s">
        <v>6</v>
      </c>
      <c r="E3" t="s">
        <v>6</v>
      </c>
      <c r="F3" t="s">
        <v>4</v>
      </c>
      <c r="G3" t="s">
        <v>6</v>
      </c>
      <c r="H3" t="s">
        <v>6</v>
      </c>
      <c r="I3" t="s">
        <v>86</v>
      </c>
      <c r="J3" t="s">
        <v>86</v>
      </c>
      <c r="K3" t="s">
        <v>6</v>
      </c>
      <c r="L3" t="s">
        <v>6</v>
      </c>
      <c r="M3" t="s">
        <v>6</v>
      </c>
      <c r="N3" t="s">
        <v>6</v>
      </c>
      <c r="O3" t="s">
        <v>6</v>
      </c>
      <c r="P3" t="s">
        <v>16</v>
      </c>
      <c r="Q3" t="s">
        <v>6</v>
      </c>
      <c r="R3" t="s">
        <v>6</v>
      </c>
      <c r="S3" t="s">
        <v>4</v>
      </c>
      <c r="T3" t="s">
        <v>4</v>
      </c>
      <c r="U3" t="s">
        <v>6</v>
      </c>
      <c r="V3" t="s">
        <v>6</v>
      </c>
      <c r="W3" t="s">
        <v>6</v>
      </c>
      <c r="X3" t="s">
        <v>6</v>
      </c>
      <c r="Y3" t="s">
        <v>174</v>
      </c>
      <c r="Z3" t="str">
        <f t="shared" si="0"/>
        <v/>
      </c>
      <c r="AA3" t="str">
        <f t="shared" si="1"/>
        <v/>
      </c>
      <c r="AB3" t="str">
        <f t="shared" si="2"/>
        <v/>
      </c>
      <c r="AC3" t="str">
        <f t="shared" si="3"/>
        <v/>
      </c>
      <c r="AE3" t="str">
        <f t="shared" si="4"/>
        <v/>
      </c>
      <c r="AF3" t="str">
        <f t="shared" si="5"/>
        <v/>
      </c>
      <c r="AG3" t="str">
        <f t="shared" si="6"/>
        <v/>
      </c>
      <c r="AH3" t="str">
        <f t="shared" si="7"/>
        <v/>
      </c>
      <c r="AI3" t="str">
        <f t="shared" si="8"/>
        <v/>
      </c>
      <c r="AK3" t="str">
        <f t="shared" si="9"/>
        <v/>
      </c>
      <c r="AL3" t="str">
        <f t="shared" ref="AL3:AL13" si="32">MID(P5, 5, 2)</f>
        <v/>
      </c>
      <c r="AM3" t="str">
        <f t="shared" si="10"/>
        <v/>
      </c>
      <c r="AN3" t="str">
        <f t="shared" si="11"/>
        <v/>
      </c>
      <c r="AO3" t="str">
        <f t="shared" si="12"/>
        <v/>
      </c>
      <c r="AP3" t="str">
        <f t="shared" si="13"/>
        <v/>
      </c>
      <c r="AQ3" t="str">
        <f t="shared" si="14"/>
        <v/>
      </c>
      <c r="AR3" t="str">
        <f t="shared" si="15"/>
        <v/>
      </c>
      <c r="AS3" t="str">
        <f t="shared" si="16"/>
        <v/>
      </c>
      <c r="AT3" t="str">
        <f t="shared" si="17"/>
        <v/>
      </c>
      <c r="AU3" t="str">
        <f t="shared" si="18"/>
        <v/>
      </c>
      <c r="AV3" t="str">
        <f t="shared" si="19"/>
        <v/>
      </c>
      <c r="AW3" t="str">
        <f t="shared" si="20"/>
        <v/>
      </c>
      <c r="AX3" t="str">
        <f t="shared" si="21"/>
        <v/>
      </c>
      <c r="AY3" t="str">
        <f t="shared" si="22"/>
        <v/>
      </c>
      <c r="AZ3" t="str">
        <f t="shared" si="23"/>
        <v/>
      </c>
      <c r="BA3" t="str">
        <f t="shared" si="24"/>
        <v/>
      </c>
      <c r="BB3" t="str">
        <f t="shared" si="25"/>
        <v/>
      </c>
      <c r="BC3" t="str">
        <f t="shared" si="26"/>
        <v/>
      </c>
      <c r="BD3" t="str">
        <f t="shared" si="27"/>
        <v/>
      </c>
      <c r="BE3" t="str">
        <f t="shared" si="28"/>
        <v/>
      </c>
      <c r="BF3" t="str">
        <f t="shared" si="29"/>
        <v/>
      </c>
      <c r="BG3" t="str">
        <f t="shared" si="30"/>
        <v/>
      </c>
      <c r="BH3" t="str">
        <f t="shared" si="31"/>
        <v/>
      </c>
    </row>
    <row r="4" spans="1:66" x14ac:dyDescent="0.2">
      <c r="A4">
        <v>1</v>
      </c>
      <c r="B4">
        <v>4</v>
      </c>
      <c r="C4" t="s">
        <v>207</v>
      </c>
      <c r="K4">
        <v>2</v>
      </c>
      <c r="L4">
        <v>2</v>
      </c>
      <c r="N4">
        <v>3</v>
      </c>
      <c r="O4">
        <v>3</v>
      </c>
      <c r="S4">
        <v>1</v>
      </c>
      <c r="X4">
        <f t="shared" ref="X4:X15" si="33">G4+H4+Q4+R4</f>
        <v>0</v>
      </c>
      <c r="Z4" t="str">
        <f t="shared" si="0"/>
        <v/>
      </c>
      <c r="AA4" t="str">
        <f t="shared" si="1"/>
        <v/>
      </c>
      <c r="AB4" t="str">
        <f t="shared" si="2"/>
        <v/>
      </c>
      <c r="AC4" t="str">
        <f t="shared" si="3"/>
        <v/>
      </c>
      <c r="AE4" t="str">
        <f t="shared" si="4"/>
        <v/>
      </c>
      <c r="AF4" t="str">
        <f t="shared" si="5"/>
        <v/>
      </c>
      <c r="AG4" t="str">
        <f t="shared" si="6"/>
        <v/>
      </c>
      <c r="AH4" t="str">
        <f t="shared" si="7"/>
        <v/>
      </c>
      <c r="AI4" t="str">
        <f t="shared" si="8"/>
        <v/>
      </c>
      <c r="AK4" t="str">
        <f t="shared" si="9"/>
        <v/>
      </c>
      <c r="AL4" t="str">
        <f t="shared" si="32"/>
        <v/>
      </c>
      <c r="AM4" t="str">
        <f t="shared" si="10"/>
        <v/>
      </c>
      <c r="AN4" t="str">
        <f t="shared" si="11"/>
        <v/>
      </c>
      <c r="AO4" t="str">
        <f t="shared" si="12"/>
        <v/>
      </c>
      <c r="AP4" t="str">
        <f t="shared" si="13"/>
        <v/>
      </c>
      <c r="AQ4" t="str">
        <f t="shared" si="14"/>
        <v/>
      </c>
      <c r="AR4" t="str">
        <f t="shared" si="15"/>
        <v/>
      </c>
      <c r="AS4" t="str">
        <f t="shared" si="16"/>
        <v/>
      </c>
      <c r="AT4" t="str">
        <f t="shared" si="17"/>
        <v/>
      </c>
      <c r="AU4" t="str">
        <f t="shared" si="18"/>
        <v/>
      </c>
      <c r="AV4" t="str">
        <f t="shared" si="19"/>
        <v/>
      </c>
      <c r="AW4" t="str">
        <f t="shared" si="20"/>
        <v/>
      </c>
      <c r="AX4" t="str">
        <f t="shared" si="21"/>
        <v/>
      </c>
      <c r="AY4" t="str">
        <f t="shared" si="22"/>
        <v/>
      </c>
      <c r="AZ4" t="str">
        <f t="shared" si="23"/>
        <v/>
      </c>
      <c r="BA4" t="str">
        <f t="shared" si="24"/>
        <v/>
      </c>
      <c r="BB4" t="str">
        <f t="shared" si="25"/>
        <v/>
      </c>
      <c r="BC4" t="str">
        <f t="shared" si="26"/>
        <v/>
      </c>
      <c r="BD4" t="str">
        <f t="shared" si="27"/>
        <v/>
      </c>
      <c r="BE4" t="str">
        <f t="shared" si="28"/>
        <v/>
      </c>
      <c r="BF4" t="str">
        <f t="shared" si="29"/>
        <v/>
      </c>
      <c r="BG4" t="str">
        <f t="shared" si="30"/>
        <v/>
      </c>
      <c r="BH4" t="str">
        <f t="shared" si="31"/>
        <v/>
      </c>
    </row>
    <row r="5" spans="1:66" x14ac:dyDescent="0.2">
      <c r="A5">
        <v>2</v>
      </c>
      <c r="B5">
        <v>19</v>
      </c>
      <c r="C5" t="s">
        <v>207</v>
      </c>
      <c r="K5">
        <v>2</v>
      </c>
      <c r="N5">
        <v>2</v>
      </c>
      <c r="O5">
        <v>2</v>
      </c>
      <c r="S5">
        <v>1</v>
      </c>
      <c r="T5">
        <v>1</v>
      </c>
      <c r="X5">
        <f t="shared" si="33"/>
        <v>0</v>
      </c>
      <c r="Z5" t="str">
        <f t="shared" si="0"/>
        <v/>
      </c>
      <c r="AA5" t="str">
        <f t="shared" si="1"/>
        <v/>
      </c>
      <c r="AB5" t="str">
        <f t="shared" si="2"/>
        <v/>
      </c>
      <c r="AC5" t="str">
        <f t="shared" si="3"/>
        <v/>
      </c>
      <c r="AE5" t="str">
        <f t="shared" si="4"/>
        <v/>
      </c>
      <c r="AF5" t="str">
        <f t="shared" si="5"/>
        <v/>
      </c>
      <c r="AG5" t="str">
        <f t="shared" si="6"/>
        <v/>
      </c>
      <c r="AH5" t="str">
        <f t="shared" si="7"/>
        <v/>
      </c>
      <c r="AI5" t="str">
        <f t="shared" si="8"/>
        <v/>
      </c>
      <c r="AK5" t="str">
        <f t="shared" si="9"/>
        <v/>
      </c>
      <c r="AL5" t="str">
        <f t="shared" si="32"/>
        <v/>
      </c>
      <c r="AM5" t="str">
        <f t="shared" si="10"/>
        <v/>
      </c>
      <c r="AN5" t="str">
        <f t="shared" si="11"/>
        <v/>
      </c>
      <c r="AO5" t="str">
        <f t="shared" si="12"/>
        <v/>
      </c>
      <c r="AP5" t="str">
        <f t="shared" si="13"/>
        <v/>
      </c>
      <c r="AQ5" t="str">
        <f t="shared" si="14"/>
        <v/>
      </c>
      <c r="AR5" t="str">
        <f t="shared" si="15"/>
        <v/>
      </c>
      <c r="AS5" t="str">
        <f t="shared" si="16"/>
        <v/>
      </c>
      <c r="AT5" t="str">
        <f t="shared" si="17"/>
        <v/>
      </c>
      <c r="AU5" t="str">
        <f t="shared" si="18"/>
        <v/>
      </c>
      <c r="AV5" t="str">
        <f t="shared" si="19"/>
        <v/>
      </c>
      <c r="AW5" t="str">
        <f t="shared" si="20"/>
        <v/>
      </c>
      <c r="AX5" t="str">
        <f t="shared" si="21"/>
        <v/>
      </c>
      <c r="AY5" t="str">
        <f t="shared" si="22"/>
        <v/>
      </c>
      <c r="AZ5" t="str">
        <f t="shared" si="23"/>
        <v/>
      </c>
      <c r="BA5" t="str">
        <f t="shared" si="24"/>
        <v/>
      </c>
      <c r="BB5" t="str">
        <f t="shared" si="25"/>
        <v/>
      </c>
      <c r="BC5" t="str">
        <f t="shared" si="26"/>
        <v/>
      </c>
      <c r="BD5" t="str">
        <f t="shared" si="27"/>
        <v/>
      </c>
      <c r="BE5" t="str">
        <f t="shared" si="28"/>
        <v/>
      </c>
      <c r="BF5" t="str">
        <f t="shared" si="29"/>
        <v/>
      </c>
      <c r="BG5" t="str">
        <f t="shared" si="30"/>
        <v/>
      </c>
      <c r="BH5" t="str">
        <f t="shared" si="31"/>
        <v/>
      </c>
    </row>
    <row r="6" spans="1:66" x14ac:dyDescent="0.2">
      <c r="A6">
        <v>3</v>
      </c>
      <c r="B6">
        <v>30</v>
      </c>
      <c r="C6" t="s">
        <v>39</v>
      </c>
      <c r="K6">
        <v>2</v>
      </c>
      <c r="N6">
        <v>3</v>
      </c>
      <c r="O6">
        <v>3</v>
      </c>
      <c r="S6">
        <v>1</v>
      </c>
      <c r="T6">
        <v>1</v>
      </c>
      <c r="X6">
        <f t="shared" si="33"/>
        <v>0</v>
      </c>
      <c r="Z6" t="str">
        <f t="shared" si="0"/>
        <v/>
      </c>
      <c r="AA6" t="str">
        <f t="shared" si="1"/>
        <v/>
      </c>
      <c r="AB6" t="str">
        <f t="shared" si="2"/>
        <v/>
      </c>
      <c r="AC6" t="str">
        <f t="shared" si="3"/>
        <v/>
      </c>
      <c r="AE6" t="str">
        <f t="shared" si="4"/>
        <v/>
      </c>
      <c r="AF6" t="str">
        <f t="shared" si="5"/>
        <v/>
      </c>
      <c r="AG6" t="str">
        <f t="shared" si="6"/>
        <v/>
      </c>
      <c r="AH6" t="str">
        <f t="shared" si="7"/>
        <v/>
      </c>
      <c r="AI6" t="str">
        <f t="shared" si="8"/>
        <v/>
      </c>
      <c r="AK6" t="str">
        <f t="shared" si="9"/>
        <v/>
      </c>
      <c r="AL6" t="str">
        <f t="shared" si="32"/>
        <v/>
      </c>
      <c r="AM6" t="str">
        <f t="shared" si="10"/>
        <v/>
      </c>
      <c r="AN6" t="str">
        <f t="shared" si="11"/>
        <v/>
      </c>
      <c r="AO6" t="str">
        <f t="shared" si="12"/>
        <v/>
      </c>
      <c r="AP6" t="str">
        <f t="shared" si="13"/>
        <v/>
      </c>
      <c r="AQ6" t="str">
        <f t="shared" si="14"/>
        <v/>
      </c>
      <c r="AR6" t="str">
        <f t="shared" si="15"/>
        <v/>
      </c>
      <c r="AS6" t="str">
        <f t="shared" si="16"/>
        <v/>
      </c>
      <c r="AT6" t="str">
        <f t="shared" si="17"/>
        <v/>
      </c>
      <c r="AU6" t="str">
        <f t="shared" si="18"/>
        <v/>
      </c>
      <c r="AV6" t="str">
        <f t="shared" si="19"/>
        <v/>
      </c>
      <c r="AW6" t="str">
        <f t="shared" si="20"/>
        <v/>
      </c>
      <c r="AX6" t="str">
        <f t="shared" si="21"/>
        <v/>
      </c>
      <c r="AY6" t="str">
        <f t="shared" si="22"/>
        <v/>
      </c>
      <c r="AZ6" t="str">
        <f t="shared" si="23"/>
        <v/>
      </c>
      <c r="BA6" t="str">
        <f t="shared" si="24"/>
        <v/>
      </c>
      <c r="BB6" t="str">
        <f t="shared" si="25"/>
        <v/>
      </c>
      <c r="BC6" t="str">
        <f t="shared" si="26"/>
        <v/>
      </c>
      <c r="BD6" t="str">
        <f t="shared" si="27"/>
        <v/>
      </c>
      <c r="BE6" t="str">
        <f t="shared" si="28"/>
        <v/>
      </c>
      <c r="BF6" t="str">
        <f t="shared" si="29"/>
        <v/>
      </c>
      <c r="BG6" t="str">
        <f t="shared" si="30"/>
        <v/>
      </c>
      <c r="BH6" t="str">
        <f t="shared" si="31"/>
        <v/>
      </c>
    </row>
    <row r="7" spans="1:66" x14ac:dyDescent="0.2">
      <c r="A7">
        <v>4</v>
      </c>
      <c r="B7">
        <v>40</v>
      </c>
      <c r="C7" t="s">
        <v>207</v>
      </c>
      <c r="K7">
        <v>3</v>
      </c>
      <c r="N7">
        <v>4</v>
      </c>
      <c r="O7">
        <v>4</v>
      </c>
      <c r="S7">
        <v>1</v>
      </c>
      <c r="X7">
        <f t="shared" si="33"/>
        <v>0</v>
      </c>
      <c r="Z7" t="str">
        <f t="shared" si="0"/>
        <v/>
      </c>
      <c r="AA7" t="str">
        <f t="shared" si="1"/>
        <v/>
      </c>
      <c r="AB7" t="str">
        <f t="shared" si="2"/>
        <v/>
      </c>
      <c r="AC7" t="str">
        <f t="shared" si="3"/>
        <v/>
      </c>
      <c r="AE7" t="str">
        <f t="shared" si="4"/>
        <v/>
      </c>
      <c r="AF7" t="str">
        <f t="shared" si="5"/>
        <v/>
      </c>
      <c r="AG7" t="str">
        <f t="shared" si="6"/>
        <v/>
      </c>
      <c r="AH7" t="str">
        <f t="shared" si="7"/>
        <v/>
      </c>
      <c r="AI7" t="str">
        <f t="shared" si="8"/>
        <v/>
      </c>
      <c r="AK7" t="str">
        <f t="shared" si="9"/>
        <v/>
      </c>
      <c r="AL7" t="str">
        <f t="shared" si="32"/>
        <v/>
      </c>
      <c r="AM7" t="str">
        <f t="shared" si="10"/>
        <v/>
      </c>
      <c r="AN7" t="str">
        <f t="shared" si="11"/>
        <v/>
      </c>
      <c r="AO7" t="str">
        <f t="shared" si="12"/>
        <v/>
      </c>
      <c r="AP7" t="str">
        <f t="shared" si="13"/>
        <v/>
      </c>
      <c r="AQ7" t="str">
        <f t="shared" si="14"/>
        <v/>
      </c>
      <c r="AR7" t="str">
        <f t="shared" si="15"/>
        <v/>
      </c>
      <c r="AS7" t="str">
        <f t="shared" si="16"/>
        <v/>
      </c>
      <c r="AT7" t="str">
        <f t="shared" si="17"/>
        <v/>
      </c>
      <c r="AU7" t="str">
        <f t="shared" si="18"/>
        <v/>
      </c>
      <c r="AV7" t="str">
        <f t="shared" si="19"/>
        <v/>
      </c>
      <c r="AW7" t="str">
        <f t="shared" si="20"/>
        <v/>
      </c>
      <c r="AX7" t="str">
        <f t="shared" si="21"/>
        <v/>
      </c>
      <c r="AY7" t="str">
        <f t="shared" si="22"/>
        <v/>
      </c>
      <c r="AZ7" t="str">
        <f t="shared" si="23"/>
        <v/>
      </c>
      <c r="BA7" t="str">
        <f t="shared" si="24"/>
        <v/>
      </c>
      <c r="BB7" t="str">
        <f t="shared" si="25"/>
        <v/>
      </c>
      <c r="BC7" t="str">
        <f t="shared" si="26"/>
        <v/>
      </c>
      <c r="BD7" t="str">
        <f t="shared" si="27"/>
        <v/>
      </c>
      <c r="BE7" t="str">
        <f t="shared" si="28"/>
        <v/>
      </c>
      <c r="BF7" t="str">
        <f t="shared" si="29"/>
        <v/>
      </c>
      <c r="BG7" t="str">
        <f t="shared" si="30"/>
        <v/>
      </c>
      <c r="BH7" t="str">
        <f t="shared" si="31"/>
        <v/>
      </c>
    </row>
    <row r="8" spans="1:66" x14ac:dyDescent="0.2">
      <c r="A8">
        <v>5</v>
      </c>
      <c r="B8">
        <v>50</v>
      </c>
      <c r="C8" t="s">
        <v>207</v>
      </c>
      <c r="K8">
        <v>1</v>
      </c>
      <c r="L8">
        <v>3</v>
      </c>
      <c r="N8">
        <v>2</v>
      </c>
      <c r="O8">
        <v>2</v>
      </c>
      <c r="X8">
        <f t="shared" si="33"/>
        <v>0</v>
      </c>
      <c r="Z8" t="str">
        <f t="shared" si="0"/>
        <v/>
      </c>
      <c r="AA8" t="str">
        <f t="shared" si="1"/>
        <v/>
      </c>
      <c r="AB8" t="str">
        <f t="shared" si="2"/>
        <v/>
      </c>
      <c r="AC8" t="str">
        <f t="shared" si="3"/>
        <v/>
      </c>
      <c r="AE8" t="str">
        <f t="shared" si="4"/>
        <v/>
      </c>
      <c r="AF8" t="str">
        <f t="shared" si="5"/>
        <v/>
      </c>
      <c r="AG8" t="str">
        <f t="shared" si="6"/>
        <v/>
      </c>
      <c r="AH8" t="str">
        <f t="shared" si="7"/>
        <v/>
      </c>
      <c r="AI8" t="str">
        <f t="shared" si="8"/>
        <v/>
      </c>
      <c r="AK8" t="str">
        <f t="shared" si="9"/>
        <v/>
      </c>
      <c r="AL8" t="str">
        <f t="shared" si="32"/>
        <v/>
      </c>
      <c r="AM8" t="str">
        <f t="shared" si="10"/>
        <v/>
      </c>
      <c r="AN8" t="str">
        <f t="shared" si="11"/>
        <v/>
      </c>
      <c r="AO8" t="str">
        <f t="shared" si="12"/>
        <v/>
      </c>
      <c r="AP8" t="str">
        <f t="shared" si="13"/>
        <v/>
      </c>
      <c r="AQ8" t="str">
        <f t="shared" si="14"/>
        <v/>
      </c>
      <c r="AR8" t="str">
        <f t="shared" si="15"/>
        <v/>
      </c>
      <c r="AS8" t="str">
        <f t="shared" si="16"/>
        <v/>
      </c>
      <c r="AT8" t="str">
        <f t="shared" si="17"/>
        <v/>
      </c>
      <c r="AU8" t="str">
        <f t="shared" si="18"/>
        <v/>
      </c>
      <c r="AV8" t="str">
        <f t="shared" si="19"/>
        <v/>
      </c>
      <c r="AW8" t="str">
        <f t="shared" si="20"/>
        <v/>
      </c>
      <c r="AX8" t="str">
        <f t="shared" si="21"/>
        <v/>
      </c>
      <c r="AY8" t="str">
        <f t="shared" si="22"/>
        <v/>
      </c>
      <c r="AZ8" t="str">
        <f t="shared" si="23"/>
        <v/>
      </c>
      <c r="BA8" t="str">
        <f t="shared" si="24"/>
        <v/>
      </c>
      <c r="BB8" t="str">
        <f t="shared" si="25"/>
        <v/>
      </c>
      <c r="BC8" t="str">
        <f t="shared" si="26"/>
        <v/>
      </c>
      <c r="BD8" t="str">
        <f t="shared" si="27"/>
        <v/>
      </c>
      <c r="BE8" t="str">
        <f t="shared" si="28"/>
        <v/>
      </c>
      <c r="BF8" t="str">
        <f t="shared" si="29"/>
        <v/>
      </c>
      <c r="BG8" t="str">
        <f t="shared" si="30"/>
        <v/>
      </c>
      <c r="BH8" t="str">
        <f t="shared" si="31"/>
        <v/>
      </c>
    </row>
    <row r="9" spans="1:66" x14ac:dyDescent="0.2">
      <c r="A9">
        <v>6</v>
      </c>
      <c r="B9">
        <v>55</v>
      </c>
      <c r="C9" t="s">
        <v>39</v>
      </c>
      <c r="K9">
        <v>2</v>
      </c>
      <c r="N9">
        <v>3</v>
      </c>
      <c r="O9">
        <v>3</v>
      </c>
      <c r="S9">
        <v>1</v>
      </c>
      <c r="T9">
        <v>1</v>
      </c>
      <c r="X9">
        <f t="shared" si="33"/>
        <v>0</v>
      </c>
      <c r="Z9" t="str">
        <f t="shared" si="0"/>
        <v/>
      </c>
      <c r="AA9" t="str">
        <f t="shared" si="1"/>
        <v/>
      </c>
      <c r="AB9" t="str">
        <f t="shared" si="2"/>
        <v/>
      </c>
      <c r="AC9" t="str">
        <f t="shared" si="3"/>
        <v/>
      </c>
      <c r="AE9" t="str">
        <f t="shared" si="4"/>
        <v/>
      </c>
      <c r="AF9" t="str">
        <f t="shared" si="5"/>
        <v/>
      </c>
      <c r="AG9" t="str">
        <f t="shared" si="6"/>
        <v/>
      </c>
      <c r="AH9" t="str">
        <f t="shared" si="7"/>
        <v/>
      </c>
      <c r="AI9" t="str">
        <f t="shared" si="8"/>
        <v/>
      </c>
      <c r="AK9" t="str">
        <f t="shared" si="9"/>
        <v/>
      </c>
      <c r="AL9" t="str">
        <f t="shared" si="32"/>
        <v/>
      </c>
      <c r="AM9" t="str">
        <f t="shared" si="10"/>
        <v/>
      </c>
      <c r="AN9" t="str">
        <f t="shared" si="11"/>
        <v/>
      </c>
      <c r="AO9" t="str">
        <f t="shared" si="12"/>
        <v/>
      </c>
      <c r="AP9" t="str">
        <f t="shared" si="13"/>
        <v/>
      </c>
      <c r="AQ9" t="str">
        <f t="shared" si="14"/>
        <v/>
      </c>
      <c r="AR9" t="str">
        <f t="shared" si="15"/>
        <v/>
      </c>
      <c r="AS9" t="str">
        <f t="shared" si="16"/>
        <v/>
      </c>
      <c r="AT9" t="str">
        <f t="shared" si="17"/>
        <v/>
      </c>
      <c r="AU9" t="str">
        <f t="shared" si="18"/>
        <v/>
      </c>
      <c r="AV9" t="str">
        <f t="shared" si="19"/>
        <v/>
      </c>
      <c r="AW9" t="str">
        <f t="shared" si="20"/>
        <v/>
      </c>
      <c r="AX9" t="str">
        <f t="shared" si="21"/>
        <v/>
      </c>
      <c r="AY9" t="str">
        <f t="shared" si="22"/>
        <v/>
      </c>
      <c r="AZ9" t="str">
        <f t="shared" si="23"/>
        <v/>
      </c>
      <c r="BA9" t="str">
        <f t="shared" si="24"/>
        <v/>
      </c>
      <c r="BB9" t="str">
        <f t="shared" si="25"/>
        <v/>
      </c>
      <c r="BC9" t="str">
        <f t="shared" si="26"/>
        <v/>
      </c>
      <c r="BD9" t="str">
        <f t="shared" si="27"/>
        <v/>
      </c>
      <c r="BE9" t="str">
        <f t="shared" si="28"/>
        <v/>
      </c>
      <c r="BF9" t="str">
        <f t="shared" si="29"/>
        <v/>
      </c>
      <c r="BG9" t="str">
        <f t="shared" si="30"/>
        <v/>
      </c>
      <c r="BH9" t="str">
        <f t="shared" si="31"/>
        <v/>
      </c>
    </row>
    <row r="10" spans="1:66" x14ac:dyDescent="0.2">
      <c r="A10">
        <v>7</v>
      </c>
      <c r="B10">
        <v>61</v>
      </c>
      <c r="C10" t="s">
        <v>39</v>
      </c>
      <c r="K10">
        <v>1</v>
      </c>
      <c r="N10">
        <v>1</v>
      </c>
      <c r="S10">
        <v>1</v>
      </c>
      <c r="X10">
        <f t="shared" si="33"/>
        <v>0</v>
      </c>
      <c r="Z10" t="str">
        <f t="shared" si="0"/>
        <v/>
      </c>
      <c r="AA10" t="str">
        <f t="shared" si="1"/>
        <v/>
      </c>
      <c r="AB10" t="str">
        <f t="shared" si="2"/>
        <v/>
      </c>
      <c r="AC10" t="str">
        <f t="shared" si="3"/>
        <v/>
      </c>
      <c r="AE10" t="str">
        <f t="shared" si="4"/>
        <v/>
      </c>
      <c r="AF10" t="str">
        <f t="shared" si="5"/>
        <v/>
      </c>
      <c r="AG10" t="str">
        <f t="shared" si="6"/>
        <v/>
      </c>
      <c r="AH10" t="str">
        <f t="shared" si="7"/>
        <v/>
      </c>
      <c r="AI10" t="str">
        <f t="shared" si="8"/>
        <v/>
      </c>
      <c r="AK10" t="str">
        <f t="shared" si="9"/>
        <v/>
      </c>
      <c r="AL10" t="str">
        <f t="shared" si="32"/>
        <v/>
      </c>
      <c r="AM10" t="str">
        <f t="shared" si="10"/>
        <v/>
      </c>
      <c r="AN10" t="str">
        <f t="shared" si="11"/>
        <v/>
      </c>
      <c r="AO10" t="str">
        <f t="shared" si="12"/>
        <v/>
      </c>
      <c r="AP10" t="str">
        <f t="shared" si="13"/>
        <v/>
      </c>
      <c r="AQ10" t="str">
        <f t="shared" si="14"/>
        <v/>
      </c>
      <c r="AR10" t="str">
        <f t="shared" si="15"/>
        <v/>
      </c>
      <c r="AS10" t="str">
        <f t="shared" si="16"/>
        <v/>
      </c>
      <c r="AT10" t="str">
        <f t="shared" si="17"/>
        <v/>
      </c>
      <c r="AU10" t="str">
        <f t="shared" si="18"/>
        <v/>
      </c>
      <c r="AV10" t="str">
        <f t="shared" si="19"/>
        <v/>
      </c>
      <c r="AW10" t="str">
        <f t="shared" si="20"/>
        <v/>
      </c>
      <c r="AX10" t="str">
        <f t="shared" si="21"/>
        <v/>
      </c>
      <c r="AY10" t="str">
        <f t="shared" si="22"/>
        <v/>
      </c>
      <c r="AZ10" t="str">
        <f t="shared" si="23"/>
        <v/>
      </c>
      <c r="BA10" t="str">
        <f t="shared" si="24"/>
        <v/>
      </c>
      <c r="BB10" t="str">
        <f t="shared" si="25"/>
        <v/>
      </c>
      <c r="BC10" t="str">
        <f t="shared" si="26"/>
        <v/>
      </c>
      <c r="BD10" t="str">
        <f t="shared" si="27"/>
        <v/>
      </c>
      <c r="BE10" t="str">
        <f t="shared" si="28"/>
        <v/>
      </c>
      <c r="BF10" t="str">
        <f t="shared" si="29"/>
        <v/>
      </c>
      <c r="BG10" t="str">
        <f t="shared" si="30"/>
        <v/>
      </c>
      <c r="BH10" t="str">
        <f t="shared" si="31"/>
        <v/>
      </c>
    </row>
    <row r="11" spans="1:66" x14ac:dyDescent="0.2">
      <c r="A11">
        <v>8</v>
      </c>
      <c r="B11">
        <v>73</v>
      </c>
      <c r="C11" t="s">
        <v>207</v>
      </c>
      <c r="K11">
        <v>2</v>
      </c>
      <c r="L11">
        <v>2</v>
      </c>
      <c r="N11">
        <v>3</v>
      </c>
      <c r="O11">
        <v>2</v>
      </c>
      <c r="S11">
        <v>1</v>
      </c>
      <c r="T11">
        <v>1</v>
      </c>
      <c r="U11">
        <v>3</v>
      </c>
      <c r="X11">
        <f t="shared" si="33"/>
        <v>0</v>
      </c>
      <c r="Z11" t="str">
        <f t="shared" si="0"/>
        <v/>
      </c>
      <c r="AA11" t="str">
        <f t="shared" si="1"/>
        <v/>
      </c>
      <c r="AB11" t="str">
        <f t="shared" si="2"/>
        <v/>
      </c>
      <c r="AC11" t="str">
        <f t="shared" si="3"/>
        <v/>
      </c>
      <c r="AE11" t="str">
        <f t="shared" si="4"/>
        <v/>
      </c>
      <c r="AF11" t="str">
        <f t="shared" si="5"/>
        <v/>
      </c>
      <c r="AG11" t="str">
        <f t="shared" si="6"/>
        <v/>
      </c>
      <c r="AH11" t="str">
        <f t="shared" si="7"/>
        <v/>
      </c>
      <c r="AI11" t="str">
        <f t="shared" si="8"/>
        <v/>
      </c>
      <c r="AK11" t="str">
        <f t="shared" si="9"/>
        <v/>
      </c>
      <c r="AL11" t="str">
        <f t="shared" si="32"/>
        <v/>
      </c>
      <c r="AM11" t="str">
        <f t="shared" si="10"/>
        <v/>
      </c>
      <c r="AN11" t="str">
        <f t="shared" si="11"/>
        <v/>
      </c>
      <c r="AO11" t="str">
        <f t="shared" si="12"/>
        <v/>
      </c>
      <c r="AP11" t="str">
        <f t="shared" si="13"/>
        <v/>
      </c>
      <c r="AQ11" t="str">
        <f t="shared" si="14"/>
        <v/>
      </c>
      <c r="AR11" t="str">
        <f t="shared" si="15"/>
        <v/>
      </c>
      <c r="AS11" t="str">
        <f t="shared" si="16"/>
        <v/>
      </c>
      <c r="AT11" t="str">
        <f t="shared" si="17"/>
        <v/>
      </c>
      <c r="AU11" t="str">
        <f t="shared" si="18"/>
        <v/>
      </c>
      <c r="AV11" t="str">
        <f t="shared" si="19"/>
        <v/>
      </c>
      <c r="AW11" t="str">
        <f t="shared" si="20"/>
        <v/>
      </c>
      <c r="AX11" t="str">
        <f t="shared" si="21"/>
        <v/>
      </c>
      <c r="AY11" t="str">
        <f t="shared" si="22"/>
        <v/>
      </c>
      <c r="AZ11" t="str">
        <f t="shared" si="23"/>
        <v/>
      </c>
      <c r="BA11" t="str">
        <f t="shared" si="24"/>
        <v/>
      </c>
      <c r="BB11" t="str">
        <f t="shared" si="25"/>
        <v/>
      </c>
      <c r="BC11" t="str">
        <f t="shared" si="26"/>
        <v/>
      </c>
      <c r="BD11" t="str">
        <f t="shared" si="27"/>
        <v/>
      </c>
      <c r="BE11" t="str">
        <f t="shared" si="28"/>
        <v/>
      </c>
      <c r="BF11" t="str">
        <f t="shared" si="29"/>
        <v/>
      </c>
      <c r="BG11" t="str">
        <f t="shared" si="30"/>
        <v/>
      </c>
      <c r="BH11" t="str">
        <f t="shared" si="31"/>
        <v/>
      </c>
    </row>
    <row r="12" spans="1:66" x14ac:dyDescent="0.2">
      <c r="A12">
        <v>9</v>
      </c>
      <c r="B12">
        <v>84</v>
      </c>
      <c r="C12" t="s">
        <v>39</v>
      </c>
      <c r="K12">
        <v>2</v>
      </c>
      <c r="N12">
        <v>3</v>
      </c>
      <c r="O12">
        <v>1</v>
      </c>
      <c r="S12">
        <v>1</v>
      </c>
      <c r="T12">
        <v>1</v>
      </c>
      <c r="X12">
        <f t="shared" si="33"/>
        <v>0</v>
      </c>
      <c r="Z12" t="str">
        <f t="shared" si="0"/>
        <v/>
      </c>
      <c r="AA12" t="str">
        <f t="shared" si="1"/>
        <v/>
      </c>
      <c r="AB12" t="str">
        <f t="shared" si="2"/>
        <v/>
      </c>
      <c r="AC12" t="str">
        <f t="shared" si="3"/>
        <v/>
      </c>
      <c r="AE12" t="str">
        <f t="shared" si="4"/>
        <v/>
      </c>
      <c r="AF12" t="str">
        <f t="shared" si="5"/>
        <v/>
      </c>
      <c r="AG12" t="str">
        <f t="shared" si="6"/>
        <v/>
      </c>
      <c r="AH12" t="str">
        <f t="shared" si="7"/>
        <v/>
      </c>
      <c r="AI12" t="str">
        <f t="shared" si="8"/>
        <v/>
      </c>
      <c r="AK12" t="str">
        <f t="shared" si="9"/>
        <v/>
      </c>
      <c r="AL12" t="str">
        <f t="shared" si="32"/>
        <v/>
      </c>
      <c r="AM12" t="str">
        <f t="shared" si="10"/>
        <v/>
      </c>
      <c r="AN12" t="str">
        <f t="shared" si="11"/>
        <v/>
      </c>
      <c r="AO12" t="str">
        <f t="shared" si="12"/>
        <v/>
      </c>
      <c r="AP12" t="str">
        <f t="shared" si="13"/>
        <v/>
      </c>
      <c r="AQ12" t="str">
        <f t="shared" si="14"/>
        <v/>
      </c>
      <c r="AR12" t="str">
        <f t="shared" si="15"/>
        <v/>
      </c>
      <c r="AS12" t="str">
        <f t="shared" si="16"/>
        <v/>
      </c>
      <c r="AT12" t="str">
        <f t="shared" si="17"/>
        <v/>
      </c>
      <c r="AU12" t="str">
        <f t="shared" si="18"/>
        <v/>
      </c>
      <c r="AV12" t="str">
        <f t="shared" si="19"/>
        <v/>
      </c>
      <c r="AW12" t="str">
        <f t="shared" si="20"/>
        <v/>
      </c>
      <c r="AX12" t="str">
        <f t="shared" si="21"/>
        <v/>
      </c>
      <c r="AY12" t="str">
        <f t="shared" si="22"/>
        <v/>
      </c>
      <c r="AZ12" t="str">
        <f t="shared" si="23"/>
        <v/>
      </c>
      <c r="BA12" t="str">
        <f t="shared" si="24"/>
        <v/>
      </c>
      <c r="BB12" t="str">
        <f t="shared" si="25"/>
        <v/>
      </c>
      <c r="BC12" t="str">
        <f t="shared" si="26"/>
        <v/>
      </c>
      <c r="BD12" t="str">
        <f t="shared" si="27"/>
        <v/>
      </c>
      <c r="BE12" t="str">
        <f t="shared" si="28"/>
        <v/>
      </c>
      <c r="BF12" t="str">
        <f t="shared" si="29"/>
        <v/>
      </c>
      <c r="BG12" t="str">
        <f t="shared" si="30"/>
        <v/>
      </c>
      <c r="BH12" t="str">
        <f t="shared" si="31"/>
        <v/>
      </c>
    </row>
    <row r="13" spans="1:66" x14ac:dyDescent="0.2">
      <c r="A13">
        <v>10</v>
      </c>
      <c r="B13">
        <v>100</v>
      </c>
      <c r="C13" t="s">
        <v>39</v>
      </c>
      <c r="K13">
        <v>2</v>
      </c>
      <c r="L13">
        <v>1</v>
      </c>
      <c r="N13">
        <v>3</v>
      </c>
      <c r="O13">
        <v>3</v>
      </c>
      <c r="S13">
        <v>1</v>
      </c>
      <c r="T13">
        <v>1</v>
      </c>
      <c r="U13">
        <v>3</v>
      </c>
      <c r="X13">
        <f t="shared" si="33"/>
        <v>0</v>
      </c>
      <c r="Z13" t="str">
        <f t="shared" si="0"/>
        <v/>
      </c>
      <c r="AA13" t="str">
        <f t="shared" si="1"/>
        <v/>
      </c>
      <c r="AB13" t="str">
        <f t="shared" si="2"/>
        <v/>
      </c>
      <c r="AC13" t="str">
        <f t="shared" si="3"/>
        <v/>
      </c>
      <c r="AE13" t="str">
        <f t="shared" si="4"/>
        <v/>
      </c>
      <c r="AF13" t="str">
        <f t="shared" si="5"/>
        <v/>
      </c>
      <c r="AG13" t="str">
        <f t="shared" si="6"/>
        <v/>
      </c>
      <c r="AH13" t="str">
        <f t="shared" si="7"/>
        <v/>
      </c>
      <c r="AI13" t="str">
        <f t="shared" si="8"/>
        <v/>
      </c>
      <c r="AK13" t="str">
        <f t="shared" si="9"/>
        <v/>
      </c>
      <c r="AL13" t="str">
        <f t="shared" si="32"/>
        <v/>
      </c>
      <c r="AM13" t="str">
        <f t="shared" si="10"/>
        <v/>
      </c>
      <c r="AN13" t="str">
        <f t="shared" si="11"/>
        <v/>
      </c>
      <c r="AO13" t="str">
        <f t="shared" si="12"/>
        <v/>
      </c>
      <c r="AP13" t="str">
        <f t="shared" si="13"/>
        <v/>
      </c>
      <c r="AQ13" t="str">
        <f t="shared" si="14"/>
        <v/>
      </c>
      <c r="AR13" t="str">
        <f t="shared" si="15"/>
        <v/>
      </c>
      <c r="AS13" t="str">
        <f t="shared" si="16"/>
        <v/>
      </c>
      <c r="AT13" t="str">
        <f t="shared" si="17"/>
        <v/>
      </c>
      <c r="AU13" t="str">
        <f t="shared" si="18"/>
        <v/>
      </c>
      <c r="AV13" t="str">
        <f t="shared" si="19"/>
        <v/>
      </c>
      <c r="AW13" t="str">
        <f t="shared" si="20"/>
        <v/>
      </c>
      <c r="AX13" t="str">
        <f t="shared" si="21"/>
        <v/>
      </c>
      <c r="AY13" t="str">
        <f t="shared" si="22"/>
        <v/>
      </c>
      <c r="AZ13" t="str">
        <f t="shared" si="23"/>
        <v/>
      </c>
      <c r="BA13" t="str">
        <f t="shared" si="24"/>
        <v/>
      </c>
      <c r="BB13" t="str">
        <f t="shared" si="25"/>
        <v/>
      </c>
      <c r="BC13" t="str">
        <f t="shared" si="26"/>
        <v/>
      </c>
      <c r="BD13" t="str">
        <f t="shared" si="27"/>
        <v/>
      </c>
      <c r="BE13" t="str">
        <f t="shared" si="28"/>
        <v/>
      </c>
      <c r="BF13" t="str">
        <f t="shared" si="29"/>
        <v/>
      </c>
      <c r="BG13" t="str">
        <f t="shared" si="30"/>
        <v/>
      </c>
      <c r="BH13" t="str">
        <f t="shared" si="31"/>
        <v/>
      </c>
    </row>
    <row r="14" spans="1:66" x14ac:dyDescent="0.2">
      <c r="A14">
        <v>11</v>
      </c>
      <c r="B14">
        <v>106</v>
      </c>
      <c r="C14" t="s">
        <v>39</v>
      </c>
      <c r="K14">
        <v>4</v>
      </c>
      <c r="N14">
        <v>5</v>
      </c>
      <c r="O14">
        <v>5</v>
      </c>
      <c r="S14">
        <v>1</v>
      </c>
      <c r="T14">
        <v>1</v>
      </c>
      <c r="U14">
        <v>6</v>
      </c>
      <c r="X14">
        <f t="shared" si="33"/>
        <v>0</v>
      </c>
      <c r="Z14" t="s">
        <v>31</v>
      </c>
      <c r="AE14" t="s">
        <v>34</v>
      </c>
      <c r="AK14" t="s">
        <v>43</v>
      </c>
      <c r="AP14" t="s">
        <v>84</v>
      </c>
    </row>
    <row r="15" spans="1:66" x14ac:dyDescent="0.2">
      <c r="A15">
        <v>12</v>
      </c>
      <c r="B15">
        <v>116</v>
      </c>
      <c r="K15">
        <v>3</v>
      </c>
      <c r="N15">
        <v>4</v>
      </c>
      <c r="O15">
        <v>4</v>
      </c>
      <c r="S15">
        <v>1</v>
      </c>
      <c r="T15">
        <v>1</v>
      </c>
      <c r="X15">
        <f t="shared" si="33"/>
        <v>0</v>
      </c>
      <c r="Z15" t="s">
        <v>21</v>
      </c>
      <c r="AA15" t="s">
        <v>22</v>
      </c>
      <c r="AE15" t="s">
        <v>21</v>
      </c>
      <c r="AF15" t="s">
        <v>22</v>
      </c>
      <c r="AG15" t="s">
        <v>35</v>
      </c>
      <c r="AK15" t="s">
        <v>10</v>
      </c>
      <c r="AL15" t="s">
        <v>25</v>
      </c>
      <c r="AM15" t="s">
        <v>26</v>
      </c>
      <c r="AN15" t="s">
        <v>27</v>
      </c>
      <c r="AP15" t="s">
        <v>15</v>
      </c>
      <c r="AQ15" t="s">
        <v>85</v>
      </c>
    </row>
    <row r="16" spans="1:66" x14ac:dyDescent="0.2">
      <c r="A16" t="s">
        <v>28</v>
      </c>
      <c r="D16">
        <f>SUM(D4:D15)</f>
        <v>0</v>
      </c>
      <c r="E16">
        <f>SUM(E4:E15)</f>
        <v>0</v>
      </c>
      <c r="F16">
        <f>SUM(F4:F15)</f>
        <v>0</v>
      </c>
      <c r="G16">
        <f>SUM(G4:G15)</f>
        <v>0</v>
      </c>
      <c r="H16">
        <f>SUM(H4:H15)</f>
        <v>0</v>
      </c>
      <c r="K16">
        <f>SUM(K4:K15)</f>
        <v>26</v>
      </c>
      <c r="L16">
        <f>SUM(L4:L15)</f>
        <v>8</v>
      </c>
      <c r="M16">
        <f>SUM(M4:M15)</f>
        <v>0</v>
      </c>
      <c r="N16">
        <f>SUM(N4:N15)</f>
        <v>36</v>
      </c>
      <c r="O16">
        <f>SUM(O4:O15)</f>
        <v>32</v>
      </c>
      <c r="Q16">
        <f t="shared" ref="Q16:R16" si="34">SUM(Q4:Q15)</f>
        <v>0</v>
      </c>
      <c r="R16">
        <f t="shared" si="34"/>
        <v>0</v>
      </c>
      <c r="S16">
        <f>SUM(S4:S15)</f>
        <v>11</v>
      </c>
      <c r="T16">
        <f>SUM(T4:T15)</f>
        <v>8</v>
      </c>
      <c r="U16">
        <f>SUM(U4:U15)</f>
        <v>12</v>
      </c>
      <c r="V16">
        <f>SUM(V4:V15)</f>
        <v>0</v>
      </c>
      <c r="W16">
        <f>SUM(W4:W15)</f>
        <v>0</v>
      </c>
      <c r="Z16">
        <f t="shared" ref="Z16:Z27" si="35">COUNTIF(Z2:AC2, "3")*COUNTIF(C4, "r")+COUNTIF(Z2:AC2, "5")*COUNTIF(C4, "b")</f>
        <v>0</v>
      </c>
      <c r="AA16">
        <f t="shared" ref="AA16:AA27" si="36">COUNTIF(Z2:AC2, "1")+COUNTIF(Z2:AC2, "2")+COUNTIF(Z2:AC2, "4")</f>
        <v>0</v>
      </c>
      <c r="AE16">
        <f t="shared" ref="AE16:AE27" si="37">COUNTIF(AE2:AI2, "3")*COUNTIF(C4, "r") + COUNTIF(AE2:AI2, "5")*COUNTIF(C4, "b")</f>
        <v>0</v>
      </c>
      <c r="AF16">
        <f t="shared" ref="AF16:AF27" si="38">COUNTIF(AE2:AI2, "1")+COUNTIF(AE2:AI2, "2")+COUNTIF(AE2:AI2, "4")</f>
        <v>0</v>
      </c>
      <c r="AG16">
        <f t="shared" ref="AG16:AG27" si="39">COUNTIF(AE2:AI2, "3")*COUNTIF(AE2:AI2, "b")+COUNTIF(AE2:AI2, "5")*COUNTIF(AE2:AI2, "r")</f>
        <v>0</v>
      </c>
      <c r="AK16">
        <f t="shared" ref="AK16:AK27" si="40">SUMPRODUCT(LEN($AK2:$BH2) - LEN(SUBSTITUTE($AK2:$BH2, "g", "")))</f>
        <v>0</v>
      </c>
      <c r="AL16">
        <f t="shared" ref="AL16:AL27" si="41">SUMPRODUCT(LEN($AK2:$BH2) - LEN(SUBSTITUTE($AK2:$BH2, "h", "")))</f>
        <v>0</v>
      </c>
      <c r="AM16">
        <f t="shared" ref="AM16:AM27" si="42">SUMPRODUCT(LEN($AK2:$BH2) - LEN(SUBSTITUTE($AK2:$BH2, "v", "")))</f>
        <v>0</v>
      </c>
      <c r="AN16">
        <f t="shared" ref="AN16:AN27" si="43">SUMPRODUCT(LEN($AK2:$BH2) - LEN(SUBSTITUTE($AK2:$BH2, "r", "")))</f>
        <v>0</v>
      </c>
      <c r="AP16">
        <f>MAX(AQ16:BN16)</f>
        <v>0</v>
      </c>
      <c r="AQ16" s="4">
        <f>_xlfn.NUMBERVALUE(RIGHT(AK2,1))</f>
        <v>0</v>
      </c>
      <c r="AR16" s="4">
        <f t="shared" ref="AR16:BG27" si="44">_xlfn.NUMBERVALUE(RIGHT(AL2,1))</f>
        <v>0</v>
      </c>
      <c r="AS16" s="4">
        <f t="shared" si="44"/>
        <v>0</v>
      </c>
      <c r="AT16" s="4">
        <f t="shared" si="44"/>
        <v>0</v>
      </c>
      <c r="AU16" s="4">
        <f t="shared" si="44"/>
        <v>0</v>
      </c>
      <c r="AV16" s="4">
        <f t="shared" si="44"/>
        <v>0</v>
      </c>
      <c r="AW16" s="4">
        <f t="shared" si="44"/>
        <v>0</v>
      </c>
      <c r="AX16" s="4">
        <f t="shared" si="44"/>
        <v>0</v>
      </c>
      <c r="AY16" s="4">
        <f t="shared" si="44"/>
        <v>0</v>
      </c>
      <c r="AZ16" s="4">
        <f t="shared" si="44"/>
        <v>0</v>
      </c>
      <c r="BA16" s="4">
        <f t="shared" si="44"/>
        <v>0</v>
      </c>
      <c r="BB16" s="4">
        <f t="shared" si="44"/>
        <v>0</v>
      </c>
      <c r="BC16" s="4">
        <f t="shared" si="44"/>
        <v>0</v>
      </c>
      <c r="BD16" s="4">
        <f t="shared" si="44"/>
        <v>0</v>
      </c>
      <c r="BE16" s="4">
        <f t="shared" si="44"/>
        <v>0</v>
      </c>
      <c r="BF16" s="4">
        <f t="shared" si="44"/>
        <v>0</v>
      </c>
      <c r="BG16" s="4">
        <f t="shared" si="44"/>
        <v>0</v>
      </c>
      <c r="BH16" s="4">
        <f t="shared" ref="BH16:BN27" si="45">_xlfn.NUMBERVALUE(RIGHT(BB2,1))</f>
        <v>0</v>
      </c>
      <c r="BI16" s="4">
        <f t="shared" si="45"/>
        <v>0</v>
      </c>
      <c r="BJ16" s="4">
        <f t="shared" si="45"/>
        <v>0</v>
      </c>
      <c r="BK16" s="4">
        <f t="shared" si="45"/>
        <v>0</v>
      </c>
      <c r="BL16" s="4">
        <f t="shared" si="45"/>
        <v>0</v>
      </c>
      <c r="BM16" s="4">
        <f t="shared" si="45"/>
        <v>0</v>
      </c>
      <c r="BN16" s="4">
        <f t="shared" si="45"/>
        <v>0</v>
      </c>
    </row>
    <row r="17" spans="1:66" x14ac:dyDescent="0.2">
      <c r="A17" s="1" t="s">
        <v>20</v>
      </c>
      <c r="D17" s="1" t="s">
        <v>49</v>
      </c>
      <c r="G17" s="1" t="s">
        <v>52</v>
      </c>
      <c r="K17" s="3" t="s">
        <v>74</v>
      </c>
      <c r="P17" s="1" t="s">
        <v>66</v>
      </c>
      <c r="Z17">
        <f t="shared" si="35"/>
        <v>0</v>
      </c>
      <c r="AA17">
        <f t="shared" si="36"/>
        <v>0</v>
      </c>
      <c r="AE17">
        <f t="shared" si="37"/>
        <v>0</v>
      </c>
      <c r="AF17">
        <f t="shared" si="38"/>
        <v>0</v>
      </c>
      <c r="AG17">
        <f t="shared" si="39"/>
        <v>0</v>
      </c>
      <c r="AK17">
        <f t="shared" si="40"/>
        <v>0</v>
      </c>
      <c r="AL17">
        <f t="shared" si="41"/>
        <v>0</v>
      </c>
      <c r="AM17">
        <f t="shared" si="42"/>
        <v>0</v>
      </c>
      <c r="AN17">
        <f t="shared" si="43"/>
        <v>0</v>
      </c>
      <c r="AP17">
        <f t="shared" ref="AP17:AP27" si="46">MAX(AQ17:BN17)</f>
        <v>0</v>
      </c>
      <c r="AQ17" s="4">
        <f t="shared" ref="AQ17:AQ27" si="47">_xlfn.NUMBERVALUE(RIGHT(AK3,1))</f>
        <v>0</v>
      </c>
      <c r="AR17" s="4">
        <f t="shared" si="44"/>
        <v>0</v>
      </c>
      <c r="AS17" s="4">
        <f t="shared" si="44"/>
        <v>0</v>
      </c>
      <c r="AT17" s="4">
        <f t="shared" si="44"/>
        <v>0</v>
      </c>
      <c r="AU17" s="4">
        <f t="shared" si="44"/>
        <v>0</v>
      </c>
      <c r="AV17" s="4">
        <f t="shared" si="44"/>
        <v>0</v>
      </c>
      <c r="AW17" s="4">
        <f t="shared" si="44"/>
        <v>0</v>
      </c>
      <c r="AX17" s="4">
        <f t="shared" si="44"/>
        <v>0</v>
      </c>
      <c r="AY17" s="4">
        <f t="shared" si="44"/>
        <v>0</v>
      </c>
      <c r="AZ17" s="4">
        <f t="shared" si="44"/>
        <v>0</v>
      </c>
      <c r="BA17" s="4">
        <f t="shared" si="44"/>
        <v>0</v>
      </c>
      <c r="BB17" s="4">
        <f t="shared" si="44"/>
        <v>0</v>
      </c>
      <c r="BC17" s="4">
        <f t="shared" si="44"/>
        <v>0</v>
      </c>
      <c r="BD17" s="4">
        <f t="shared" si="44"/>
        <v>0</v>
      </c>
      <c r="BE17" s="4">
        <f t="shared" si="44"/>
        <v>0</v>
      </c>
      <c r="BF17" s="4">
        <f t="shared" si="44"/>
        <v>0</v>
      </c>
      <c r="BG17" s="4">
        <f t="shared" si="44"/>
        <v>0</v>
      </c>
      <c r="BH17" s="4">
        <f t="shared" si="45"/>
        <v>0</v>
      </c>
      <c r="BI17" s="4">
        <f t="shared" si="45"/>
        <v>0</v>
      </c>
      <c r="BJ17" s="4">
        <f t="shared" si="45"/>
        <v>0</v>
      </c>
      <c r="BK17" s="4">
        <f t="shared" si="45"/>
        <v>0</v>
      </c>
      <c r="BL17" s="4">
        <f t="shared" si="45"/>
        <v>0</v>
      </c>
      <c r="BM17" s="4">
        <f t="shared" si="45"/>
        <v>0</v>
      </c>
      <c r="BN17" s="4">
        <f t="shared" si="45"/>
        <v>0</v>
      </c>
    </row>
    <row r="18" spans="1:66" x14ac:dyDescent="0.2">
      <c r="A18" t="s">
        <v>32</v>
      </c>
      <c r="B18" t="s">
        <v>21</v>
      </c>
      <c r="D18" t="s">
        <v>180</v>
      </c>
      <c r="G18" s="3" t="s">
        <v>53</v>
      </c>
      <c r="K18" t="s">
        <v>55</v>
      </c>
      <c r="M18" t="s">
        <v>65</v>
      </c>
      <c r="P18" t="s">
        <v>67</v>
      </c>
      <c r="Z18">
        <f t="shared" si="35"/>
        <v>0</v>
      </c>
      <c r="AA18">
        <f t="shared" si="36"/>
        <v>0</v>
      </c>
      <c r="AE18">
        <f t="shared" si="37"/>
        <v>0</v>
      </c>
      <c r="AF18">
        <f t="shared" si="38"/>
        <v>0</v>
      </c>
      <c r="AG18">
        <f t="shared" si="39"/>
        <v>0</v>
      </c>
      <c r="AK18">
        <f t="shared" si="40"/>
        <v>0</v>
      </c>
      <c r="AL18">
        <f t="shared" si="41"/>
        <v>0</v>
      </c>
      <c r="AM18">
        <f t="shared" si="42"/>
        <v>0</v>
      </c>
      <c r="AN18">
        <f t="shared" si="43"/>
        <v>0</v>
      </c>
      <c r="AP18">
        <f t="shared" si="46"/>
        <v>0</v>
      </c>
      <c r="AQ18" s="4">
        <f t="shared" si="47"/>
        <v>0</v>
      </c>
      <c r="AR18" s="4">
        <f t="shared" si="44"/>
        <v>0</v>
      </c>
      <c r="AS18" s="4">
        <f t="shared" si="44"/>
        <v>0</v>
      </c>
      <c r="AT18" s="4">
        <f t="shared" si="44"/>
        <v>0</v>
      </c>
      <c r="AU18" s="4">
        <f t="shared" si="44"/>
        <v>0</v>
      </c>
      <c r="AV18" s="4">
        <f t="shared" si="44"/>
        <v>0</v>
      </c>
      <c r="AW18" s="4">
        <f t="shared" si="44"/>
        <v>0</v>
      </c>
      <c r="AX18" s="4">
        <f t="shared" si="44"/>
        <v>0</v>
      </c>
      <c r="AY18" s="4">
        <f t="shared" si="44"/>
        <v>0</v>
      </c>
      <c r="AZ18" s="4">
        <f t="shared" si="44"/>
        <v>0</v>
      </c>
      <c r="BA18" s="4">
        <f t="shared" si="44"/>
        <v>0</v>
      </c>
      <c r="BB18" s="4">
        <f t="shared" si="44"/>
        <v>0</v>
      </c>
      <c r="BC18" s="4">
        <f t="shared" si="44"/>
        <v>0</v>
      </c>
      <c r="BD18" s="4">
        <f t="shared" si="44"/>
        <v>0</v>
      </c>
      <c r="BE18" s="4">
        <f t="shared" si="44"/>
        <v>0</v>
      </c>
      <c r="BF18" s="4">
        <f t="shared" si="44"/>
        <v>0</v>
      </c>
      <c r="BG18" s="4">
        <f t="shared" si="44"/>
        <v>0</v>
      </c>
      <c r="BH18" s="4">
        <f t="shared" si="45"/>
        <v>0</v>
      </c>
      <c r="BI18" s="4">
        <f t="shared" si="45"/>
        <v>0</v>
      </c>
      <c r="BJ18" s="4">
        <f t="shared" si="45"/>
        <v>0</v>
      </c>
      <c r="BK18" s="4">
        <f t="shared" si="45"/>
        <v>0</v>
      </c>
      <c r="BL18" s="4">
        <f t="shared" si="45"/>
        <v>0</v>
      </c>
      <c r="BM18" s="4">
        <f t="shared" si="45"/>
        <v>0</v>
      </c>
      <c r="BN18" s="4">
        <f t="shared" si="45"/>
        <v>0</v>
      </c>
    </row>
    <row r="19" spans="1:66" x14ac:dyDescent="0.2">
      <c r="A19" t="s">
        <v>40</v>
      </c>
      <c r="B19" t="s">
        <v>22</v>
      </c>
      <c r="D19" t="e">
        <f>E16/D16</f>
        <v>#DIV/0!</v>
      </c>
      <c r="G19" t="s">
        <v>75</v>
      </c>
      <c r="K19">
        <f>O16/N16</f>
        <v>0.88888888888888884</v>
      </c>
      <c r="M19">
        <f>SUM(M39:M50)</f>
        <v>-6</v>
      </c>
      <c r="P19">
        <f>T16/S16</f>
        <v>0.72727272727272729</v>
      </c>
      <c r="Z19">
        <f t="shared" si="35"/>
        <v>0</v>
      </c>
      <c r="AA19">
        <f t="shared" si="36"/>
        <v>0</v>
      </c>
      <c r="AE19">
        <f t="shared" si="37"/>
        <v>0</v>
      </c>
      <c r="AF19">
        <f t="shared" si="38"/>
        <v>0</v>
      </c>
      <c r="AG19">
        <f t="shared" si="39"/>
        <v>0</v>
      </c>
      <c r="AK19">
        <f t="shared" si="40"/>
        <v>0</v>
      </c>
      <c r="AL19">
        <f t="shared" si="41"/>
        <v>0</v>
      </c>
      <c r="AM19">
        <f t="shared" si="42"/>
        <v>0</v>
      </c>
      <c r="AN19">
        <f t="shared" si="43"/>
        <v>0</v>
      </c>
      <c r="AP19">
        <f t="shared" si="46"/>
        <v>0</v>
      </c>
      <c r="AQ19" s="4">
        <f t="shared" si="47"/>
        <v>0</v>
      </c>
      <c r="AR19" s="4">
        <f t="shared" si="44"/>
        <v>0</v>
      </c>
      <c r="AS19" s="4">
        <f t="shared" si="44"/>
        <v>0</v>
      </c>
      <c r="AT19" s="4">
        <f t="shared" si="44"/>
        <v>0</v>
      </c>
      <c r="AU19" s="4">
        <f t="shared" si="44"/>
        <v>0</v>
      </c>
      <c r="AV19" s="4">
        <f t="shared" si="44"/>
        <v>0</v>
      </c>
      <c r="AW19" s="4">
        <f t="shared" si="44"/>
        <v>0</v>
      </c>
      <c r="AX19" s="4">
        <f t="shared" si="44"/>
        <v>0</v>
      </c>
      <c r="AY19" s="4">
        <f t="shared" si="44"/>
        <v>0</v>
      </c>
      <c r="AZ19" s="4">
        <f t="shared" si="44"/>
        <v>0</v>
      </c>
      <c r="BA19" s="4">
        <f t="shared" si="44"/>
        <v>0</v>
      </c>
      <c r="BB19" s="4">
        <f t="shared" si="44"/>
        <v>0</v>
      </c>
      <c r="BC19" s="4">
        <f t="shared" si="44"/>
        <v>0</v>
      </c>
      <c r="BD19" s="4">
        <f t="shared" si="44"/>
        <v>0</v>
      </c>
      <c r="BE19" s="4">
        <f t="shared" si="44"/>
        <v>0</v>
      </c>
      <c r="BF19" s="4">
        <f t="shared" si="44"/>
        <v>0</v>
      </c>
      <c r="BG19" s="4">
        <f t="shared" si="44"/>
        <v>0</v>
      </c>
      <c r="BH19" s="4">
        <f t="shared" si="45"/>
        <v>0</v>
      </c>
      <c r="BI19" s="4">
        <f t="shared" si="45"/>
        <v>0</v>
      </c>
      <c r="BJ19" s="4">
        <f t="shared" si="45"/>
        <v>0</v>
      </c>
      <c r="BK19" s="4">
        <f t="shared" si="45"/>
        <v>0</v>
      </c>
      <c r="BL19" s="4">
        <f t="shared" si="45"/>
        <v>0</v>
      </c>
      <c r="BM19" s="4">
        <f t="shared" si="45"/>
        <v>0</v>
      </c>
      <c r="BN19" s="4">
        <f t="shared" si="45"/>
        <v>0</v>
      </c>
    </row>
    <row r="20" spans="1:66" x14ac:dyDescent="0.2">
      <c r="A20" t="s">
        <v>41</v>
      </c>
      <c r="B20" t="s">
        <v>23</v>
      </c>
      <c r="D20" t="s">
        <v>47</v>
      </c>
      <c r="G20" t="e">
        <f>AK28/AP28</f>
        <v>#DIV/0!</v>
      </c>
      <c r="K20" t="s">
        <v>13</v>
      </c>
      <c r="Z20">
        <f t="shared" si="35"/>
        <v>0</v>
      </c>
      <c r="AA20">
        <f t="shared" si="36"/>
        <v>0</v>
      </c>
      <c r="AE20">
        <f t="shared" si="37"/>
        <v>0</v>
      </c>
      <c r="AF20">
        <f t="shared" si="38"/>
        <v>0</v>
      </c>
      <c r="AG20">
        <f t="shared" si="39"/>
        <v>0</v>
      </c>
      <c r="AK20">
        <f t="shared" si="40"/>
        <v>0</v>
      </c>
      <c r="AL20">
        <f t="shared" si="41"/>
        <v>0</v>
      </c>
      <c r="AM20">
        <f t="shared" si="42"/>
        <v>0</v>
      </c>
      <c r="AN20">
        <f t="shared" si="43"/>
        <v>0</v>
      </c>
      <c r="AP20">
        <f t="shared" si="46"/>
        <v>0</v>
      </c>
      <c r="AQ20" s="4">
        <f t="shared" si="47"/>
        <v>0</v>
      </c>
      <c r="AR20" s="4">
        <f t="shared" si="44"/>
        <v>0</v>
      </c>
      <c r="AS20" s="4">
        <f t="shared" si="44"/>
        <v>0</v>
      </c>
      <c r="AT20" s="4">
        <f t="shared" si="44"/>
        <v>0</v>
      </c>
      <c r="AU20" s="4">
        <f t="shared" si="44"/>
        <v>0</v>
      </c>
      <c r="AV20" s="4">
        <f t="shared" si="44"/>
        <v>0</v>
      </c>
      <c r="AW20" s="4">
        <f t="shared" si="44"/>
        <v>0</v>
      </c>
      <c r="AX20" s="4">
        <f t="shared" si="44"/>
        <v>0</v>
      </c>
      <c r="AY20" s="4">
        <f t="shared" si="44"/>
        <v>0</v>
      </c>
      <c r="AZ20" s="4">
        <f t="shared" si="44"/>
        <v>0</v>
      </c>
      <c r="BA20" s="4">
        <f t="shared" si="44"/>
        <v>0</v>
      </c>
      <c r="BB20" s="4">
        <f t="shared" si="44"/>
        <v>0</v>
      </c>
      <c r="BC20" s="4">
        <f t="shared" si="44"/>
        <v>0</v>
      </c>
      <c r="BD20" s="4">
        <f t="shared" si="44"/>
        <v>0</v>
      </c>
      <c r="BE20" s="4">
        <f t="shared" si="44"/>
        <v>0</v>
      </c>
      <c r="BF20" s="4">
        <f t="shared" si="44"/>
        <v>0</v>
      </c>
      <c r="BG20" s="4">
        <f t="shared" si="44"/>
        <v>0</v>
      </c>
      <c r="BH20" s="4">
        <f t="shared" si="45"/>
        <v>0</v>
      </c>
      <c r="BI20" s="4">
        <f t="shared" si="45"/>
        <v>0</v>
      </c>
      <c r="BJ20" s="4">
        <f t="shared" si="45"/>
        <v>0</v>
      </c>
      <c r="BK20" s="4">
        <f t="shared" si="45"/>
        <v>0</v>
      </c>
      <c r="BL20" s="4">
        <f t="shared" si="45"/>
        <v>0</v>
      </c>
      <c r="BM20" s="4">
        <f t="shared" si="45"/>
        <v>0</v>
      </c>
      <c r="BN20" s="4">
        <f t="shared" si="45"/>
        <v>0</v>
      </c>
    </row>
    <row r="21" spans="1:66" x14ac:dyDescent="0.2">
      <c r="A21" s="1" t="s">
        <v>24</v>
      </c>
      <c r="D21">
        <f>G16/A31</f>
        <v>0</v>
      </c>
      <c r="G21" t="s">
        <v>76</v>
      </c>
      <c r="K21" t="s">
        <v>57</v>
      </c>
      <c r="L21" t="s">
        <v>58</v>
      </c>
      <c r="M21" t="s">
        <v>59</v>
      </c>
      <c r="N21" t="s">
        <v>60</v>
      </c>
      <c r="Z21">
        <f t="shared" si="35"/>
        <v>0</v>
      </c>
      <c r="AA21">
        <f t="shared" si="36"/>
        <v>0</v>
      </c>
      <c r="AE21">
        <f t="shared" si="37"/>
        <v>0</v>
      </c>
      <c r="AF21">
        <f t="shared" si="38"/>
        <v>0</v>
      </c>
      <c r="AG21">
        <f t="shared" si="39"/>
        <v>0</v>
      </c>
      <c r="AK21">
        <f t="shared" si="40"/>
        <v>0</v>
      </c>
      <c r="AL21">
        <f t="shared" si="41"/>
        <v>0</v>
      </c>
      <c r="AM21">
        <f t="shared" si="42"/>
        <v>0</v>
      </c>
      <c r="AN21">
        <f t="shared" si="43"/>
        <v>0</v>
      </c>
      <c r="AP21">
        <f t="shared" si="46"/>
        <v>0</v>
      </c>
      <c r="AQ21" s="4">
        <f t="shared" si="47"/>
        <v>0</v>
      </c>
      <c r="AR21" s="4">
        <f t="shared" si="44"/>
        <v>0</v>
      </c>
      <c r="AS21" s="4">
        <f t="shared" si="44"/>
        <v>0</v>
      </c>
      <c r="AT21" s="4">
        <f t="shared" si="44"/>
        <v>0</v>
      </c>
      <c r="AU21" s="4">
        <f t="shared" si="44"/>
        <v>0</v>
      </c>
      <c r="AV21" s="4">
        <f t="shared" si="44"/>
        <v>0</v>
      </c>
      <c r="AW21" s="4">
        <f t="shared" si="44"/>
        <v>0</v>
      </c>
      <c r="AX21" s="4">
        <f t="shared" si="44"/>
        <v>0</v>
      </c>
      <c r="AY21" s="4">
        <f t="shared" si="44"/>
        <v>0</v>
      </c>
      <c r="AZ21" s="4">
        <f t="shared" si="44"/>
        <v>0</v>
      </c>
      <c r="BA21" s="4">
        <f t="shared" si="44"/>
        <v>0</v>
      </c>
      <c r="BB21" s="4">
        <f t="shared" si="44"/>
        <v>0</v>
      </c>
      <c r="BC21" s="4">
        <f t="shared" si="44"/>
        <v>0</v>
      </c>
      <c r="BD21" s="4">
        <f t="shared" si="44"/>
        <v>0</v>
      </c>
      <c r="BE21" s="4">
        <f t="shared" si="44"/>
        <v>0</v>
      </c>
      <c r="BF21" s="4">
        <f t="shared" si="44"/>
        <v>0</v>
      </c>
      <c r="BG21" s="4">
        <f t="shared" si="44"/>
        <v>0</v>
      </c>
      <c r="BH21" s="4">
        <f t="shared" si="45"/>
        <v>0</v>
      </c>
      <c r="BI21" s="4">
        <f t="shared" si="45"/>
        <v>0</v>
      </c>
      <c r="BJ21" s="4">
        <f t="shared" si="45"/>
        <v>0</v>
      </c>
      <c r="BK21" s="4">
        <f t="shared" si="45"/>
        <v>0</v>
      </c>
      <c r="BL21" s="4">
        <f t="shared" si="45"/>
        <v>0</v>
      </c>
      <c r="BM21" s="4">
        <f t="shared" si="45"/>
        <v>0</v>
      </c>
      <c r="BN21" s="4">
        <f t="shared" si="45"/>
        <v>0</v>
      </c>
    </row>
    <row r="22" spans="1:66" x14ac:dyDescent="0.2">
      <c r="A22" t="s">
        <v>36</v>
      </c>
      <c r="B22" t="s">
        <v>10</v>
      </c>
      <c r="D22" t="s">
        <v>48</v>
      </c>
      <c r="G22" t="e">
        <f>AL28/AP28</f>
        <v>#DIV/0!</v>
      </c>
      <c r="K22">
        <f>AVERAGE(C39:C50)</f>
        <v>2.6666666666666665</v>
      </c>
      <c r="L22">
        <f>MEDIAN(C39:C50)</f>
        <v>3</v>
      </c>
      <c r="M22">
        <f>MAX(C39:C50)</f>
        <v>5</v>
      </c>
      <c r="N22">
        <f>_xlfn.STDEV.S(C39:C50)</f>
        <v>1.3706888336846839</v>
      </c>
      <c r="Z22">
        <f t="shared" si="35"/>
        <v>0</v>
      </c>
      <c r="AA22">
        <f t="shared" si="36"/>
        <v>0</v>
      </c>
      <c r="AE22">
        <f t="shared" si="37"/>
        <v>0</v>
      </c>
      <c r="AF22">
        <f t="shared" si="38"/>
        <v>0</v>
      </c>
      <c r="AG22">
        <f t="shared" si="39"/>
        <v>0</v>
      </c>
      <c r="AK22">
        <f t="shared" si="40"/>
        <v>0</v>
      </c>
      <c r="AL22">
        <f t="shared" si="41"/>
        <v>0</v>
      </c>
      <c r="AM22">
        <f t="shared" si="42"/>
        <v>0</v>
      </c>
      <c r="AN22">
        <f t="shared" si="43"/>
        <v>0</v>
      </c>
      <c r="AP22">
        <f t="shared" si="46"/>
        <v>0</v>
      </c>
      <c r="AQ22" s="4">
        <f t="shared" si="47"/>
        <v>0</v>
      </c>
      <c r="AR22" s="4">
        <f t="shared" si="44"/>
        <v>0</v>
      </c>
      <c r="AS22" s="4">
        <f t="shared" si="44"/>
        <v>0</v>
      </c>
      <c r="AT22" s="4">
        <f t="shared" si="44"/>
        <v>0</v>
      </c>
      <c r="AU22" s="4">
        <f t="shared" si="44"/>
        <v>0</v>
      </c>
      <c r="AV22" s="4">
        <f t="shared" si="44"/>
        <v>0</v>
      </c>
      <c r="AW22" s="4">
        <f t="shared" si="44"/>
        <v>0</v>
      </c>
      <c r="AX22" s="4">
        <f t="shared" si="44"/>
        <v>0</v>
      </c>
      <c r="AY22" s="4">
        <f t="shared" si="44"/>
        <v>0</v>
      </c>
      <c r="AZ22" s="4">
        <f t="shared" si="44"/>
        <v>0</v>
      </c>
      <c r="BA22" s="4">
        <f t="shared" si="44"/>
        <v>0</v>
      </c>
      <c r="BB22" s="4">
        <f t="shared" si="44"/>
        <v>0</v>
      </c>
      <c r="BC22" s="4">
        <f t="shared" si="44"/>
        <v>0</v>
      </c>
      <c r="BD22" s="4">
        <f t="shared" si="44"/>
        <v>0</v>
      </c>
      <c r="BE22" s="4">
        <f t="shared" si="44"/>
        <v>0</v>
      </c>
      <c r="BF22" s="4">
        <f t="shared" si="44"/>
        <v>0</v>
      </c>
      <c r="BG22" s="4">
        <f t="shared" si="44"/>
        <v>0</v>
      </c>
      <c r="BH22" s="4">
        <f t="shared" si="45"/>
        <v>0</v>
      </c>
      <c r="BI22" s="4">
        <f t="shared" si="45"/>
        <v>0</v>
      </c>
      <c r="BJ22" s="4">
        <f t="shared" si="45"/>
        <v>0</v>
      </c>
      <c r="BK22" s="4">
        <f t="shared" si="45"/>
        <v>0</v>
      </c>
      <c r="BL22" s="4">
        <f t="shared" si="45"/>
        <v>0</v>
      </c>
      <c r="BM22" s="4">
        <f t="shared" si="45"/>
        <v>0</v>
      </c>
      <c r="BN22" s="4">
        <f t="shared" si="45"/>
        <v>0</v>
      </c>
    </row>
    <row r="23" spans="1:66" x14ac:dyDescent="0.2">
      <c r="A23" t="s">
        <v>37</v>
      </c>
      <c r="B23" t="s">
        <v>25</v>
      </c>
      <c r="D23">
        <f>H16/A31</f>
        <v>0</v>
      </c>
      <c r="G23" t="s">
        <v>77</v>
      </c>
      <c r="K23" t="s">
        <v>8</v>
      </c>
      <c r="Z23">
        <f t="shared" si="35"/>
        <v>0</v>
      </c>
      <c r="AA23">
        <f t="shared" si="36"/>
        <v>0</v>
      </c>
      <c r="AE23">
        <f t="shared" si="37"/>
        <v>0</v>
      </c>
      <c r="AF23">
        <f t="shared" si="38"/>
        <v>0</v>
      </c>
      <c r="AG23">
        <f t="shared" si="39"/>
        <v>0</v>
      </c>
      <c r="AK23">
        <f t="shared" si="40"/>
        <v>0</v>
      </c>
      <c r="AL23">
        <f t="shared" si="41"/>
        <v>0</v>
      </c>
      <c r="AM23">
        <f t="shared" si="42"/>
        <v>0</v>
      </c>
      <c r="AN23">
        <f t="shared" si="43"/>
        <v>0</v>
      </c>
      <c r="AP23">
        <f t="shared" si="46"/>
        <v>0</v>
      </c>
      <c r="AQ23" s="4">
        <f t="shared" si="47"/>
        <v>0</v>
      </c>
      <c r="AR23" s="4">
        <f t="shared" si="44"/>
        <v>0</v>
      </c>
      <c r="AS23" s="4">
        <f t="shared" si="44"/>
        <v>0</v>
      </c>
      <c r="AT23" s="4">
        <f t="shared" si="44"/>
        <v>0</v>
      </c>
      <c r="AU23" s="4">
        <f t="shared" si="44"/>
        <v>0</v>
      </c>
      <c r="AV23" s="4">
        <f t="shared" si="44"/>
        <v>0</v>
      </c>
      <c r="AW23" s="4">
        <f t="shared" si="44"/>
        <v>0</v>
      </c>
      <c r="AX23" s="4">
        <f t="shared" si="44"/>
        <v>0</v>
      </c>
      <c r="AY23" s="4">
        <f t="shared" si="44"/>
        <v>0</v>
      </c>
      <c r="AZ23" s="4">
        <f t="shared" si="44"/>
        <v>0</v>
      </c>
      <c r="BA23" s="4">
        <f t="shared" si="44"/>
        <v>0</v>
      </c>
      <c r="BB23" s="4">
        <f t="shared" si="44"/>
        <v>0</v>
      </c>
      <c r="BC23" s="4">
        <f t="shared" si="44"/>
        <v>0</v>
      </c>
      <c r="BD23" s="4">
        <f t="shared" si="44"/>
        <v>0</v>
      </c>
      <c r="BE23" s="4">
        <f t="shared" si="44"/>
        <v>0</v>
      </c>
      <c r="BF23" s="4">
        <f t="shared" si="44"/>
        <v>0</v>
      </c>
      <c r="BG23" s="4">
        <f t="shared" si="44"/>
        <v>0</v>
      </c>
      <c r="BH23" s="4">
        <f t="shared" si="45"/>
        <v>0</v>
      </c>
      <c r="BI23" s="4">
        <f t="shared" si="45"/>
        <v>0</v>
      </c>
      <c r="BJ23" s="4">
        <f t="shared" si="45"/>
        <v>0</v>
      </c>
      <c r="BK23" s="4">
        <f t="shared" si="45"/>
        <v>0</v>
      </c>
      <c r="BL23" s="4">
        <f t="shared" si="45"/>
        <v>0</v>
      </c>
      <c r="BM23" s="4">
        <f t="shared" si="45"/>
        <v>0</v>
      </c>
      <c r="BN23" s="4">
        <f t="shared" si="45"/>
        <v>0</v>
      </c>
    </row>
    <row r="24" spans="1:66" x14ac:dyDescent="0.2">
      <c r="A24" t="s">
        <v>38</v>
      </c>
      <c r="B24" t="s">
        <v>26</v>
      </c>
      <c r="D24" t="s">
        <v>50</v>
      </c>
      <c r="G24" t="e">
        <f>AM28/AP28</f>
        <v>#DIV/0!</v>
      </c>
      <c r="K24" t="s">
        <v>57</v>
      </c>
      <c r="L24" t="s">
        <v>61</v>
      </c>
      <c r="M24" t="s">
        <v>59</v>
      </c>
      <c r="N24" t="s">
        <v>60</v>
      </c>
      <c r="Z24">
        <f t="shared" si="35"/>
        <v>0</v>
      </c>
      <c r="AA24">
        <f t="shared" si="36"/>
        <v>0</v>
      </c>
      <c r="AE24">
        <f t="shared" si="37"/>
        <v>0</v>
      </c>
      <c r="AF24">
        <f t="shared" si="38"/>
        <v>0</v>
      </c>
      <c r="AG24">
        <f t="shared" si="39"/>
        <v>0</v>
      </c>
      <c r="AK24">
        <f t="shared" si="40"/>
        <v>0</v>
      </c>
      <c r="AL24">
        <f t="shared" si="41"/>
        <v>0</v>
      </c>
      <c r="AM24">
        <f t="shared" si="42"/>
        <v>0</v>
      </c>
      <c r="AN24">
        <f t="shared" si="43"/>
        <v>0</v>
      </c>
      <c r="AP24">
        <f t="shared" si="46"/>
        <v>0</v>
      </c>
      <c r="AQ24" s="4">
        <f t="shared" si="47"/>
        <v>0</v>
      </c>
      <c r="AR24" s="4">
        <f t="shared" si="44"/>
        <v>0</v>
      </c>
      <c r="AS24" s="4">
        <f t="shared" si="44"/>
        <v>0</v>
      </c>
      <c r="AT24" s="4">
        <f t="shared" si="44"/>
        <v>0</v>
      </c>
      <c r="AU24" s="4">
        <f t="shared" si="44"/>
        <v>0</v>
      </c>
      <c r="AV24" s="4">
        <f t="shared" si="44"/>
        <v>0</v>
      </c>
      <c r="AW24" s="4">
        <f t="shared" si="44"/>
        <v>0</v>
      </c>
      <c r="AX24" s="4">
        <f t="shared" si="44"/>
        <v>0</v>
      </c>
      <c r="AY24" s="4">
        <f t="shared" si="44"/>
        <v>0</v>
      </c>
      <c r="AZ24" s="4">
        <f t="shared" si="44"/>
        <v>0</v>
      </c>
      <c r="BA24" s="4">
        <f t="shared" si="44"/>
        <v>0</v>
      </c>
      <c r="BB24" s="4">
        <f t="shared" si="44"/>
        <v>0</v>
      </c>
      <c r="BC24" s="4">
        <f t="shared" si="44"/>
        <v>0</v>
      </c>
      <c r="BD24" s="4">
        <f t="shared" si="44"/>
        <v>0</v>
      </c>
      <c r="BE24" s="4">
        <f t="shared" si="44"/>
        <v>0</v>
      </c>
      <c r="BF24" s="4">
        <f t="shared" si="44"/>
        <v>0</v>
      </c>
      <c r="BG24" s="4">
        <f t="shared" si="44"/>
        <v>0</v>
      </c>
      <c r="BH24" s="4">
        <f t="shared" si="45"/>
        <v>0</v>
      </c>
      <c r="BI24" s="4">
        <f t="shared" si="45"/>
        <v>0</v>
      </c>
      <c r="BJ24" s="4">
        <f t="shared" si="45"/>
        <v>0</v>
      </c>
      <c r="BK24" s="4">
        <f t="shared" si="45"/>
        <v>0</v>
      </c>
      <c r="BL24" s="4">
        <f t="shared" si="45"/>
        <v>0</v>
      </c>
      <c r="BM24" s="4">
        <f t="shared" si="45"/>
        <v>0</v>
      </c>
      <c r="BN24" s="4">
        <f t="shared" si="45"/>
        <v>0</v>
      </c>
    </row>
    <row r="25" spans="1:66" x14ac:dyDescent="0.2">
      <c r="A25" t="s">
        <v>39</v>
      </c>
      <c r="B25" t="s">
        <v>27</v>
      </c>
      <c r="D25">
        <f>Z28/A31</f>
        <v>0</v>
      </c>
      <c r="G25" t="s">
        <v>78</v>
      </c>
      <c r="K25">
        <f>AVERAGE(E39:E50)</f>
        <v>0</v>
      </c>
      <c r="L25">
        <f>MEDIAN(E39:E50)</f>
        <v>0</v>
      </c>
      <c r="M25">
        <f>MAX(E39:E50)</f>
        <v>0</v>
      </c>
      <c r="N25">
        <f>_xlfn.STDEV.S(E39:E50)</f>
        <v>0</v>
      </c>
      <c r="Z25">
        <f t="shared" si="35"/>
        <v>0</v>
      </c>
      <c r="AA25">
        <f t="shared" si="36"/>
        <v>0</v>
      </c>
      <c r="AE25">
        <f t="shared" si="37"/>
        <v>0</v>
      </c>
      <c r="AF25">
        <f t="shared" si="38"/>
        <v>0</v>
      </c>
      <c r="AG25">
        <f t="shared" si="39"/>
        <v>0</v>
      </c>
      <c r="AK25">
        <f t="shared" si="40"/>
        <v>0</v>
      </c>
      <c r="AL25">
        <f t="shared" si="41"/>
        <v>0</v>
      </c>
      <c r="AM25">
        <f t="shared" si="42"/>
        <v>0</v>
      </c>
      <c r="AN25">
        <f t="shared" si="43"/>
        <v>0</v>
      </c>
      <c r="AP25">
        <f t="shared" si="46"/>
        <v>0</v>
      </c>
      <c r="AQ25" s="4">
        <f t="shared" si="47"/>
        <v>0</v>
      </c>
      <c r="AR25" s="4">
        <f t="shared" si="44"/>
        <v>0</v>
      </c>
      <c r="AS25" s="4">
        <f t="shared" si="44"/>
        <v>0</v>
      </c>
      <c r="AT25" s="4">
        <f t="shared" si="44"/>
        <v>0</v>
      </c>
      <c r="AU25" s="4">
        <f t="shared" si="44"/>
        <v>0</v>
      </c>
      <c r="AV25" s="4">
        <f t="shared" si="44"/>
        <v>0</v>
      </c>
      <c r="AW25" s="4">
        <f t="shared" si="44"/>
        <v>0</v>
      </c>
      <c r="AX25" s="4">
        <f t="shared" si="44"/>
        <v>0</v>
      </c>
      <c r="AY25" s="4">
        <f t="shared" si="44"/>
        <v>0</v>
      </c>
      <c r="AZ25" s="4">
        <f t="shared" si="44"/>
        <v>0</v>
      </c>
      <c r="BA25" s="4">
        <f t="shared" si="44"/>
        <v>0</v>
      </c>
      <c r="BB25" s="4">
        <f t="shared" si="44"/>
        <v>0</v>
      </c>
      <c r="BC25" s="4">
        <f t="shared" si="44"/>
        <v>0</v>
      </c>
      <c r="BD25" s="4">
        <f t="shared" si="44"/>
        <v>0</v>
      </c>
      <c r="BE25" s="4">
        <f t="shared" si="44"/>
        <v>0</v>
      </c>
      <c r="BF25" s="4">
        <f t="shared" si="44"/>
        <v>0</v>
      </c>
      <c r="BG25" s="4">
        <f t="shared" si="44"/>
        <v>0</v>
      </c>
      <c r="BH25" s="4">
        <f t="shared" si="45"/>
        <v>0</v>
      </c>
      <c r="BI25" s="4">
        <f t="shared" si="45"/>
        <v>0</v>
      </c>
      <c r="BJ25" s="4">
        <f t="shared" si="45"/>
        <v>0</v>
      </c>
      <c r="BK25" s="4">
        <f t="shared" si="45"/>
        <v>0</v>
      </c>
      <c r="BL25" s="4">
        <f t="shared" si="45"/>
        <v>0</v>
      </c>
      <c r="BM25" s="4">
        <f t="shared" si="45"/>
        <v>0</v>
      </c>
      <c r="BN25" s="4">
        <f t="shared" si="45"/>
        <v>0</v>
      </c>
    </row>
    <row r="26" spans="1:66" x14ac:dyDescent="0.2">
      <c r="A26" t="s">
        <v>44</v>
      </c>
      <c r="D26" t="s">
        <v>51</v>
      </c>
      <c r="G26" t="e">
        <f>AN28/AP28</f>
        <v>#DIV/0!</v>
      </c>
      <c r="K26" t="s">
        <v>62</v>
      </c>
      <c r="P26" t="s">
        <v>19</v>
      </c>
      <c r="Z26">
        <f t="shared" si="35"/>
        <v>0</v>
      </c>
      <c r="AA26">
        <f t="shared" si="36"/>
        <v>0</v>
      </c>
      <c r="AE26">
        <f t="shared" si="37"/>
        <v>0</v>
      </c>
      <c r="AF26">
        <f t="shared" si="38"/>
        <v>0</v>
      </c>
      <c r="AG26">
        <f t="shared" si="39"/>
        <v>0</v>
      </c>
      <c r="AK26">
        <f t="shared" si="40"/>
        <v>0</v>
      </c>
      <c r="AL26">
        <f t="shared" si="41"/>
        <v>0</v>
      </c>
      <c r="AM26">
        <f t="shared" si="42"/>
        <v>0</v>
      </c>
      <c r="AN26">
        <f t="shared" si="43"/>
        <v>0</v>
      </c>
      <c r="AP26">
        <f t="shared" si="46"/>
        <v>0</v>
      </c>
      <c r="AQ26" s="4">
        <f t="shared" si="47"/>
        <v>0</v>
      </c>
      <c r="AR26" s="4">
        <f t="shared" si="44"/>
        <v>0</v>
      </c>
      <c r="AS26" s="4">
        <f t="shared" si="44"/>
        <v>0</v>
      </c>
      <c r="AT26" s="4">
        <f t="shared" si="44"/>
        <v>0</v>
      </c>
      <c r="AU26" s="4">
        <f t="shared" si="44"/>
        <v>0</v>
      </c>
      <c r="AV26" s="4">
        <f t="shared" si="44"/>
        <v>0</v>
      </c>
      <c r="AW26" s="4">
        <f t="shared" si="44"/>
        <v>0</v>
      </c>
      <c r="AX26" s="4">
        <f t="shared" si="44"/>
        <v>0</v>
      </c>
      <c r="AY26" s="4">
        <f t="shared" si="44"/>
        <v>0</v>
      </c>
      <c r="AZ26" s="4">
        <f t="shared" si="44"/>
        <v>0</v>
      </c>
      <c r="BA26" s="4">
        <f t="shared" si="44"/>
        <v>0</v>
      </c>
      <c r="BB26" s="4">
        <f t="shared" si="44"/>
        <v>0</v>
      </c>
      <c r="BC26" s="4">
        <f t="shared" si="44"/>
        <v>0</v>
      </c>
      <c r="BD26" s="4">
        <f t="shared" si="44"/>
        <v>0</v>
      </c>
      <c r="BE26" s="4">
        <f t="shared" si="44"/>
        <v>0</v>
      </c>
      <c r="BF26" s="4">
        <f t="shared" si="44"/>
        <v>0</v>
      </c>
      <c r="BG26" s="4">
        <f t="shared" si="44"/>
        <v>0</v>
      </c>
      <c r="BH26" s="4">
        <f t="shared" si="45"/>
        <v>0</v>
      </c>
      <c r="BI26" s="4">
        <f t="shared" si="45"/>
        <v>0</v>
      </c>
      <c r="BJ26" s="4">
        <f t="shared" si="45"/>
        <v>0</v>
      </c>
      <c r="BK26" s="4">
        <f t="shared" si="45"/>
        <v>0</v>
      </c>
      <c r="BL26" s="4">
        <f t="shared" si="45"/>
        <v>0</v>
      </c>
      <c r="BM26" s="4">
        <f t="shared" si="45"/>
        <v>0</v>
      </c>
      <c r="BN26" s="4">
        <f t="shared" si="45"/>
        <v>0</v>
      </c>
    </row>
    <row r="27" spans="1:66" x14ac:dyDescent="0.2">
      <c r="A27" t="s">
        <v>45</v>
      </c>
      <c r="D27">
        <f>AA28/A31</f>
        <v>0</v>
      </c>
      <c r="G27" t="s">
        <v>56</v>
      </c>
      <c r="K27" t="s">
        <v>57</v>
      </c>
      <c r="L27" t="s">
        <v>58</v>
      </c>
      <c r="M27" t="s">
        <v>59</v>
      </c>
      <c r="N27" t="s">
        <v>60</v>
      </c>
      <c r="P27" t="s">
        <v>57</v>
      </c>
      <c r="Q27" t="s">
        <v>58</v>
      </c>
      <c r="R27" t="s">
        <v>59</v>
      </c>
      <c r="S27" t="s">
        <v>60</v>
      </c>
      <c r="Z27">
        <f t="shared" si="35"/>
        <v>0</v>
      </c>
      <c r="AA27">
        <f t="shared" si="36"/>
        <v>0</v>
      </c>
      <c r="AE27">
        <f t="shared" si="37"/>
        <v>0</v>
      </c>
      <c r="AF27">
        <f t="shared" si="38"/>
        <v>0</v>
      </c>
      <c r="AG27">
        <f t="shared" si="39"/>
        <v>0</v>
      </c>
      <c r="AK27">
        <f t="shared" si="40"/>
        <v>0</v>
      </c>
      <c r="AL27">
        <f t="shared" si="41"/>
        <v>0</v>
      </c>
      <c r="AM27">
        <f t="shared" si="42"/>
        <v>0</v>
      </c>
      <c r="AN27">
        <f t="shared" si="43"/>
        <v>0</v>
      </c>
      <c r="AP27">
        <f t="shared" si="46"/>
        <v>0</v>
      </c>
      <c r="AQ27" s="4">
        <f t="shared" si="47"/>
        <v>0</v>
      </c>
      <c r="AR27" s="4">
        <f t="shared" si="44"/>
        <v>0</v>
      </c>
      <c r="AS27" s="4">
        <f t="shared" si="44"/>
        <v>0</v>
      </c>
      <c r="AT27" s="4">
        <f t="shared" si="44"/>
        <v>0</v>
      </c>
      <c r="AU27" s="4">
        <f t="shared" si="44"/>
        <v>0</v>
      </c>
      <c r="AV27" s="4">
        <f t="shared" si="44"/>
        <v>0</v>
      </c>
      <c r="AW27" s="4">
        <f t="shared" si="44"/>
        <v>0</v>
      </c>
      <c r="AX27" s="4">
        <f t="shared" si="44"/>
        <v>0</v>
      </c>
      <c r="AY27" s="4">
        <f t="shared" si="44"/>
        <v>0</v>
      </c>
      <c r="AZ27" s="4">
        <f t="shared" si="44"/>
        <v>0</v>
      </c>
      <c r="BA27" s="4">
        <f t="shared" si="44"/>
        <v>0</v>
      </c>
      <c r="BB27" s="4">
        <f t="shared" si="44"/>
        <v>0</v>
      </c>
      <c r="BC27" s="4">
        <f t="shared" si="44"/>
        <v>0</v>
      </c>
      <c r="BD27" s="4">
        <f t="shared" si="44"/>
        <v>0</v>
      </c>
      <c r="BE27" s="4">
        <f t="shared" si="44"/>
        <v>0</v>
      </c>
      <c r="BF27" s="4">
        <f t="shared" si="44"/>
        <v>0</v>
      </c>
      <c r="BG27" s="4">
        <f t="shared" si="44"/>
        <v>0</v>
      </c>
      <c r="BH27" s="4">
        <f t="shared" si="45"/>
        <v>0</v>
      </c>
      <c r="BI27" s="4">
        <f t="shared" si="45"/>
        <v>0</v>
      </c>
      <c r="BJ27" s="4">
        <f t="shared" si="45"/>
        <v>0</v>
      </c>
      <c r="BK27" s="4">
        <f t="shared" si="45"/>
        <v>0</v>
      </c>
      <c r="BL27" s="4">
        <f t="shared" si="45"/>
        <v>0</v>
      </c>
      <c r="BM27" s="4">
        <f t="shared" si="45"/>
        <v>0</v>
      </c>
      <c r="BN27" s="4">
        <f t="shared" si="45"/>
        <v>0</v>
      </c>
    </row>
    <row r="28" spans="1:66" x14ac:dyDescent="0.2">
      <c r="A28" t="s">
        <v>46</v>
      </c>
      <c r="D28" t="s">
        <v>202</v>
      </c>
      <c r="G28" t="s">
        <v>57</v>
      </c>
      <c r="H28" t="s">
        <v>58</v>
      </c>
      <c r="I28" t="s">
        <v>59</v>
      </c>
      <c r="J28" t="s">
        <v>60</v>
      </c>
      <c r="K28">
        <f>AVERAGE(G39:G50)</f>
        <v>0</v>
      </c>
      <c r="L28">
        <f>MEDIAN(G39:G50)</f>
        <v>0</v>
      </c>
      <c r="M28">
        <f>MAX(G39:G50)</f>
        <v>0</v>
      </c>
      <c r="N28">
        <f>_xlfn.STDEV.S(G39:G50)</f>
        <v>0</v>
      </c>
      <c r="P28">
        <f>AVERAGE(N39:N50)</f>
        <v>1</v>
      </c>
      <c r="Q28">
        <f>MEDIAN(N39:N50)</f>
        <v>0</v>
      </c>
      <c r="R28">
        <f>MAX(N39:N50)</f>
        <v>6</v>
      </c>
      <c r="S28">
        <f>_xlfn.STDEV.S(N39:N50)</f>
        <v>1.9540168418367889</v>
      </c>
      <c r="Y28" t="s">
        <v>33</v>
      </c>
      <c r="Z28">
        <f>SUM(Z16:Z27)</f>
        <v>0</v>
      </c>
      <c r="AA28">
        <f>SUM(AA16:AA27)</f>
        <v>0</v>
      </c>
      <c r="AE28">
        <f>SUM(AE16:AE27)</f>
        <v>0</v>
      </c>
      <c r="AF28">
        <f>SUM(AF16:AF27)</f>
        <v>0</v>
      </c>
      <c r="AG28">
        <f>SUM(AG16:AG27)</f>
        <v>0</v>
      </c>
      <c r="AK28">
        <f>SUM(AK16:AK27)</f>
        <v>0</v>
      </c>
      <c r="AL28">
        <f>SUM(AL16:AL27)</f>
        <v>0</v>
      </c>
      <c r="AM28">
        <f>SUM(AM16:AM27)</f>
        <v>0</v>
      </c>
      <c r="AN28">
        <f>SUM(AN16:AN27)</f>
        <v>0</v>
      </c>
      <c r="AP28">
        <f>SUM(AP16:AP27)</f>
        <v>0</v>
      </c>
    </row>
    <row r="29" spans="1:66" x14ac:dyDescent="0.2">
      <c r="D29" t="e">
        <f>SUM(O39:O50)/F16</f>
        <v>#DIV/0!</v>
      </c>
      <c r="G29">
        <f>AVERAGE(A39:A50)</f>
        <v>0</v>
      </c>
      <c r="H29">
        <f>MEDIAN(A39:A50)</f>
        <v>0</v>
      </c>
      <c r="I29">
        <f>MAX(A39:A50)</f>
        <v>0</v>
      </c>
      <c r="J29">
        <f>_xlfn.STDEV.S(A39:A50)</f>
        <v>0</v>
      </c>
      <c r="K29" t="s">
        <v>63</v>
      </c>
      <c r="P29" t="s">
        <v>148</v>
      </c>
    </row>
    <row r="30" spans="1:66" x14ac:dyDescent="0.2">
      <c r="A30" t="s">
        <v>147</v>
      </c>
      <c r="D30" t="s">
        <v>203</v>
      </c>
      <c r="G30" t="s">
        <v>50</v>
      </c>
      <c r="H30" t="s">
        <v>51</v>
      </c>
      <c r="I30" t="s">
        <v>89</v>
      </c>
      <c r="K30" t="s">
        <v>57</v>
      </c>
      <c r="L30" t="s">
        <v>58</v>
      </c>
      <c r="M30" t="s">
        <v>59</v>
      </c>
      <c r="N30" t="s">
        <v>60</v>
      </c>
      <c r="P30" t="s">
        <v>57</v>
      </c>
      <c r="Q30" t="s">
        <v>58</v>
      </c>
      <c r="R30" t="s">
        <v>59</v>
      </c>
      <c r="S30" t="s">
        <v>60</v>
      </c>
      <c r="W30" t="s">
        <v>148</v>
      </c>
      <c r="Y30" t="s">
        <v>149</v>
      </c>
      <c r="AH30" t="s">
        <v>79</v>
      </c>
    </row>
    <row r="31" spans="1:66" x14ac:dyDescent="0.2">
      <c r="A31">
        <f>COUNT(B4:B15)</f>
        <v>12</v>
      </c>
      <c r="D31" s="2" t="e">
        <f>SUM(S39:S50)/SUM(Q39:Q50)</f>
        <v>#DIV/0!</v>
      </c>
      <c r="G31">
        <f>AE28/A31</f>
        <v>0</v>
      </c>
      <c r="H31">
        <f>AF28/A31</f>
        <v>0</v>
      </c>
      <c r="I31">
        <f>AG28/A31</f>
        <v>0</v>
      </c>
      <c r="K31" t="e">
        <f>AVERAGE(I39:I50)</f>
        <v>#DIV/0!</v>
      </c>
      <c r="L31" t="e">
        <f>MEDIAN(I39:I50)</f>
        <v>#NUM!</v>
      </c>
      <c r="M31">
        <f>MAX(I39:I50)</f>
        <v>0</v>
      </c>
      <c r="N31" t="e">
        <f>_xlfn.STDEV.S(I39:I50)</f>
        <v>#DIV/0!</v>
      </c>
      <c r="P31" t="e">
        <f>AVERAGE(W31:W42)</f>
        <v>#DIV/0!</v>
      </c>
      <c r="Q31" t="e">
        <f>MEDIAN(W31:W42)</f>
        <v>#NUM!</v>
      </c>
      <c r="R31">
        <f>MAX(W31:W42)</f>
        <v>0</v>
      </c>
      <c r="S31" t="e">
        <f>_xlfn.STDEV.S(W31:W42)</f>
        <v>#DIV/0!</v>
      </c>
      <c r="W31" t="str">
        <f t="shared" ref="W31:W33" si="48">IF(AND(ISBLANK(Q4), ISBLANK(R4), ISBLANK(G4), ISBLANK(H4)), "", U4)</f>
        <v/>
      </c>
      <c r="Y31" t="str">
        <f t="shared" ref="Y31:Y42" si="49">IF(ISBLANK(Y4), IF(X4 = 0, "", (G4 + H4/3 + V4/9 + W4/3)), U4)</f>
        <v/>
      </c>
      <c r="AH31" t="s">
        <v>80</v>
      </c>
    </row>
    <row r="32" spans="1:66" x14ac:dyDescent="0.2">
      <c r="D32" s="3"/>
      <c r="K32" t="s">
        <v>64</v>
      </c>
      <c r="P32" t="s">
        <v>149</v>
      </c>
      <c r="W32" t="str">
        <f t="shared" si="48"/>
        <v/>
      </c>
      <c r="Y32" t="str">
        <f t="shared" si="49"/>
        <v/>
      </c>
      <c r="AH32" t="s">
        <v>81</v>
      </c>
    </row>
    <row r="33" spans="1:34" x14ac:dyDescent="0.2">
      <c r="D33" s="3"/>
      <c r="K33" t="s">
        <v>57</v>
      </c>
      <c r="L33" t="s">
        <v>58</v>
      </c>
      <c r="M33" t="s">
        <v>59</v>
      </c>
      <c r="N33" t="s">
        <v>60</v>
      </c>
      <c r="P33" t="s">
        <v>57</v>
      </c>
      <c r="Q33" t="s">
        <v>58</v>
      </c>
      <c r="R33" t="s">
        <v>59</v>
      </c>
      <c r="S33" t="s">
        <v>60</v>
      </c>
      <c r="W33" t="str">
        <f t="shared" si="48"/>
        <v/>
      </c>
      <c r="Y33" t="str">
        <f t="shared" si="49"/>
        <v/>
      </c>
      <c r="AH33" t="s">
        <v>82</v>
      </c>
    </row>
    <row r="34" spans="1:34" x14ac:dyDescent="0.2">
      <c r="D34" s="3"/>
      <c r="K34">
        <f>AVERAGE(K39:K50)</f>
        <v>0</v>
      </c>
      <c r="L34">
        <f>MEDIAN(K39:K50)</f>
        <v>0</v>
      </c>
      <c r="M34">
        <f>MAX(K39:K50)</f>
        <v>0</v>
      </c>
      <c r="N34">
        <f>_xlfn.STDEV.S(K39:K50)</f>
        <v>0</v>
      </c>
      <c r="P34" t="e">
        <f>AVERAGE(Y31:Y42)</f>
        <v>#DIV/0!</v>
      </c>
      <c r="Q34" t="e">
        <f>MEDIAN(Y31:Y42)</f>
        <v>#NUM!</v>
      </c>
      <c r="R34">
        <f>MAX(Y31:Y42)</f>
        <v>0</v>
      </c>
      <c r="S34" t="e">
        <f>_xlfn.STDEV.S(Y31:Y42)</f>
        <v>#DIV/0!</v>
      </c>
      <c r="W34" t="str">
        <f>IF(AND(ISBLANK(Q7), ISBLANK(R7), ISBLANK(G7), ISBLANK(H7)), "", U7)</f>
        <v/>
      </c>
      <c r="Y34" t="str">
        <f t="shared" si="49"/>
        <v/>
      </c>
      <c r="AH34" t="s">
        <v>83</v>
      </c>
    </row>
    <row r="35" spans="1:34" x14ac:dyDescent="0.2">
      <c r="P35" t="s">
        <v>95</v>
      </c>
      <c r="R35" t="s">
        <v>197</v>
      </c>
      <c r="W35" t="str">
        <f t="shared" ref="W35:W42" si="50">IF(AND(ISBLANK(Q8), ISBLANK(R8), ISBLANK(G8), ISBLANK(H8)), "", U8)</f>
        <v/>
      </c>
      <c r="Y35" t="str">
        <f t="shared" si="49"/>
        <v/>
      </c>
    </row>
    <row r="36" spans="1:34" x14ac:dyDescent="0.2">
      <c r="P36" t="e">
        <f>Q16/(Q16+R16)</f>
        <v>#DIV/0!</v>
      </c>
      <c r="R36" t="e">
        <f>R16/(Q16+R16)</f>
        <v>#DIV/0!</v>
      </c>
      <c r="W36" t="str">
        <f t="shared" si="50"/>
        <v/>
      </c>
      <c r="Y36" t="str">
        <f t="shared" si="49"/>
        <v/>
      </c>
    </row>
    <row r="37" spans="1:34" x14ac:dyDescent="0.2">
      <c r="W37" t="str">
        <f t="shared" si="50"/>
        <v/>
      </c>
      <c r="Y37" t="str">
        <f t="shared" si="49"/>
        <v/>
      </c>
    </row>
    <row r="38" spans="1:34" x14ac:dyDescent="0.2">
      <c r="A38" t="s">
        <v>68</v>
      </c>
      <c r="C38" t="s">
        <v>69</v>
      </c>
      <c r="E38" t="s">
        <v>72</v>
      </c>
      <c r="G38" t="s">
        <v>250</v>
      </c>
      <c r="K38" t="s">
        <v>73</v>
      </c>
      <c r="M38" t="s">
        <v>70</v>
      </c>
      <c r="N38" t="s">
        <v>71</v>
      </c>
      <c r="O38" t="s">
        <v>199</v>
      </c>
      <c r="Q38" t="s">
        <v>200</v>
      </c>
      <c r="S38" t="s">
        <v>201</v>
      </c>
      <c r="W38" t="str">
        <f t="shared" si="50"/>
        <v/>
      </c>
      <c r="Y38" t="str">
        <f t="shared" si="49"/>
        <v/>
      </c>
    </row>
    <row r="39" spans="1:34" x14ac:dyDescent="0.2">
      <c r="A39">
        <f t="shared" ref="A39:A50" si="51">IF(ISBLANK(B4), "", SUM(AE16+AF16+AG16))</f>
        <v>0</v>
      </c>
      <c r="C39">
        <f t="shared" ref="C39:C50" si="52">IF(ISBLANK(B4), "", O4)</f>
        <v>3</v>
      </c>
      <c r="E39">
        <f t="shared" ref="E39:E50" si="53">IF(ISBLANK(B4), "", Q4)</f>
        <v>0</v>
      </c>
      <c r="G39">
        <f t="shared" ref="G39:G50" si="54">IF(ISBLANK(B4), "", R4)</f>
        <v>0</v>
      </c>
      <c r="K39">
        <f t="shared" ref="K39:K50" si="55">IF(ISBLANK(B4), "", SUM(Q4 + R4))</f>
        <v>0</v>
      </c>
      <c r="M39">
        <f t="shared" ref="M39:M50" si="56">IF(ISBLANK(B4), "", SUM(K4+M4) - O4)</f>
        <v>-1</v>
      </c>
      <c r="N39">
        <f t="shared" ref="N39:N50" si="57">IF(ISBLANK(B4), "", U4)</f>
        <v>0</v>
      </c>
      <c r="O39">
        <f t="shared" ref="O39:O50" si="58">COUNTIF(E4, "1")*COUNTIF(F4, "1")</f>
        <v>0</v>
      </c>
      <c r="Q39">
        <f t="shared" ref="Q39:Q50" si="59">COUNTIF(D4, "1")*COUNTIF(F4, "")</f>
        <v>0</v>
      </c>
      <c r="S39">
        <f t="shared" ref="S39:S50" si="60">COUNTIF(E4, "1")*COUNTIF(F4, "")</f>
        <v>0</v>
      </c>
      <c r="W39" t="str">
        <f t="shared" si="50"/>
        <v/>
      </c>
      <c r="Y39" t="str">
        <f t="shared" si="49"/>
        <v/>
      </c>
    </row>
    <row r="40" spans="1:34" x14ac:dyDescent="0.2">
      <c r="A40">
        <f t="shared" si="51"/>
        <v>0</v>
      </c>
      <c r="C40">
        <f t="shared" si="52"/>
        <v>2</v>
      </c>
      <c r="E40">
        <f t="shared" si="53"/>
        <v>0</v>
      </c>
      <c r="G40">
        <f t="shared" si="54"/>
        <v>0</v>
      </c>
      <c r="K40">
        <f t="shared" si="55"/>
        <v>0</v>
      </c>
      <c r="M40">
        <f t="shared" si="56"/>
        <v>0</v>
      </c>
      <c r="N40">
        <f t="shared" si="57"/>
        <v>0</v>
      </c>
      <c r="O40">
        <f t="shared" si="58"/>
        <v>0</v>
      </c>
      <c r="Q40">
        <f t="shared" si="59"/>
        <v>0</v>
      </c>
      <c r="S40">
        <f t="shared" si="60"/>
        <v>0</v>
      </c>
      <c r="W40" t="str">
        <f t="shared" si="50"/>
        <v/>
      </c>
      <c r="Y40" t="str">
        <f t="shared" si="49"/>
        <v/>
      </c>
    </row>
    <row r="41" spans="1:34" x14ac:dyDescent="0.2">
      <c r="A41">
        <f t="shared" si="51"/>
        <v>0</v>
      </c>
      <c r="C41">
        <f t="shared" si="52"/>
        <v>3</v>
      </c>
      <c r="E41">
        <f t="shared" si="53"/>
        <v>0</v>
      </c>
      <c r="G41">
        <f t="shared" si="54"/>
        <v>0</v>
      </c>
      <c r="K41">
        <f t="shared" si="55"/>
        <v>0</v>
      </c>
      <c r="M41">
        <f t="shared" si="56"/>
        <v>-1</v>
      </c>
      <c r="N41">
        <f t="shared" si="57"/>
        <v>0</v>
      </c>
      <c r="O41">
        <f t="shared" si="58"/>
        <v>0</v>
      </c>
      <c r="Q41">
        <f t="shared" si="59"/>
        <v>0</v>
      </c>
      <c r="S41">
        <f t="shared" si="60"/>
        <v>0</v>
      </c>
      <c r="W41" t="str">
        <f t="shared" si="50"/>
        <v/>
      </c>
      <c r="Y41" t="str">
        <f t="shared" si="49"/>
        <v/>
      </c>
    </row>
    <row r="42" spans="1:34" x14ac:dyDescent="0.2">
      <c r="A42">
        <f t="shared" si="51"/>
        <v>0</v>
      </c>
      <c r="C42">
        <f t="shared" si="52"/>
        <v>4</v>
      </c>
      <c r="E42">
        <f t="shared" si="53"/>
        <v>0</v>
      </c>
      <c r="G42">
        <f t="shared" si="54"/>
        <v>0</v>
      </c>
      <c r="K42">
        <f t="shared" si="55"/>
        <v>0</v>
      </c>
      <c r="M42">
        <f t="shared" si="56"/>
        <v>-1</v>
      </c>
      <c r="N42">
        <f t="shared" si="57"/>
        <v>0</v>
      </c>
      <c r="O42">
        <f t="shared" si="58"/>
        <v>0</v>
      </c>
      <c r="Q42">
        <f t="shared" si="59"/>
        <v>0</v>
      </c>
      <c r="S42">
        <f t="shared" si="60"/>
        <v>0</v>
      </c>
      <c r="W42" t="str">
        <f t="shared" si="50"/>
        <v/>
      </c>
      <c r="Y42" t="str">
        <f t="shared" si="49"/>
        <v/>
      </c>
    </row>
    <row r="43" spans="1:34" x14ac:dyDescent="0.2">
      <c r="A43">
        <f t="shared" si="51"/>
        <v>0</v>
      </c>
      <c r="C43">
        <f t="shared" si="52"/>
        <v>2</v>
      </c>
      <c r="E43">
        <f t="shared" si="53"/>
        <v>0</v>
      </c>
      <c r="G43">
        <f t="shared" si="54"/>
        <v>0</v>
      </c>
      <c r="K43">
        <f t="shared" si="55"/>
        <v>0</v>
      </c>
      <c r="M43">
        <f t="shared" si="56"/>
        <v>-1</v>
      </c>
      <c r="N43">
        <f t="shared" si="57"/>
        <v>0</v>
      </c>
      <c r="O43">
        <f t="shared" si="58"/>
        <v>0</v>
      </c>
      <c r="Q43">
        <f t="shared" si="59"/>
        <v>0</v>
      </c>
      <c r="S43">
        <f t="shared" si="60"/>
        <v>0</v>
      </c>
    </row>
    <row r="44" spans="1:34" x14ac:dyDescent="0.2">
      <c r="A44">
        <f t="shared" si="51"/>
        <v>0</v>
      </c>
      <c r="C44">
        <f t="shared" si="52"/>
        <v>3</v>
      </c>
      <c r="E44">
        <f t="shared" si="53"/>
        <v>0</v>
      </c>
      <c r="G44">
        <f t="shared" si="54"/>
        <v>0</v>
      </c>
      <c r="K44">
        <f t="shared" si="55"/>
        <v>0</v>
      </c>
      <c r="M44">
        <f t="shared" si="56"/>
        <v>-1</v>
      </c>
      <c r="N44">
        <f t="shared" si="57"/>
        <v>0</v>
      </c>
      <c r="O44">
        <f t="shared" si="58"/>
        <v>0</v>
      </c>
      <c r="Q44">
        <f t="shared" si="59"/>
        <v>0</v>
      </c>
      <c r="S44">
        <f t="shared" si="60"/>
        <v>0</v>
      </c>
    </row>
    <row r="45" spans="1:34" x14ac:dyDescent="0.2">
      <c r="A45">
        <f t="shared" si="51"/>
        <v>0</v>
      </c>
      <c r="C45">
        <f t="shared" si="52"/>
        <v>0</v>
      </c>
      <c r="E45">
        <f t="shared" si="53"/>
        <v>0</v>
      </c>
      <c r="G45">
        <f t="shared" si="54"/>
        <v>0</v>
      </c>
      <c r="K45">
        <f t="shared" si="55"/>
        <v>0</v>
      </c>
      <c r="M45">
        <f t="shared" si="56"/>
        <v>1</v>
      </c>
      <c r="N45">
        <f t="shared" si="57"/>
        <v>0</v>
      </c>
      <c r="O45">
        <f t="shared" si="58"/>
        <v>0</v>
      </c>
      <c r="Q45">
        <f t="shared" si="59"/>
        <v>0</v>
      </c>
      <c r="S45">
        <f t="shared" si="60"/>
        <v>0</v>
      </c>
    </row>
    <row r="46" spans="1:34" x14ac:dyDescent="0.2">
      <c r="A46">
        <f t="shared" si="51"/>
        <v>0</v>
      </c>
      <c r="C46">
        <f t="shared" si="52"/>
        <v>2</v>
      </c>
      <c r="E46">
        <f t="shared" si="53"/>
        <v>0</v>
      </c>
      <c r="G46">
        <f t="shared" si="54"/>
        <v>0</v>
      </c>
      <c r="K46">
        <f t="shared" si="55"/>
        <v>0</v>
      </c>
      <c r="M46">
        <f t="shared" si="56"/>
        <v>0</v>
      </c>
      <c r="N46">
        <f t="shared" si="57"/>
        <v>3</v>
      </c>
      <c r="O46">
        <f t="shared" si="58"/>
        <v>0</v>
      </c>
      <c r="Q46">
        <f t="shared" si="59"/>
        <v>0</v>
      </c>
      <c r="S46">
        <f t="shared" si="60"/>
        <v>0</v>
      </c>
    </row>
    <row r="47" spans="1:34" x14ac:dyDescent="0.2">
      <c r="A47">
        <f t="shared" si="51"/>
        <v>0</v>
      </c>
      <c r="C47">
        <f t="shared" si="52"/>
        <v>1</v>
      </c>
      <c r="E47">
        <f t="shared" si="53"/>
        <v>0</v>
      </c>
      <c r="G47">
        <f t="shared" si="54"/>
        <v>0</v>
      </c>
      <c r="K47">
        <f t="shared" si="55"/>
        <v>0</v>
      </c>
      <c r="M47">
        <f t="shared" si="56"/>
        <v>1</v>
      </c>
      <c r="N47">
        <f t="shared" si="57"/>
        <v>0</v>
      </c>
      <c r="O47">
        <f t="shared" si="58"/>
        <v>0</v>
      </c>
      <c r="Q47">
        <f t="shared" si="59"/>
        <v>0</v>
      </c>
      <c r="S47">
        <f t="shared" si="60"/>
        <v>0</v>
      </c>
    </row>
    <row r="48" spans="1:34" x14ac:dyDescent="0.2">
      <c r="A48">
        <f t="shared" si="51"/>
        <v>0</v>
      </c>
      <c r="C48">
        <f t="shared" si="52"/>
        <v>3</v>
      </c>
      <c r="E48">
        <f t="shared" si="53"/>
        <v>0</v>
      </c>
      <c r="G48">
        <f t="shared" si="54"/>
        <v>0</v>
      </c>
      <c r="K48">
        <f t="shared" si="55"/>
        <v>0</v>
      </c>
      <c r="M48">
        <f t="shared" si="56"/>
        <v>-1</v>
      </c>
      <c r="N48">
        <f t="shared" si="57"/>
        <v>3</v>
      </c>
      <c r="O48">
        <f t="shared" si="58"/>
        <v>0</v>
      </c>
      <c r="Q48">
        <f t="shared" si="59"/>
        <v>0</v>
      </c>
      <c r="S48">
        <f t="shared" si="60"/>
        <v>0</v>
      </c>
    </row>
    <row r="49" spans="1:19" x14ac:dyDescent="0.2">
      <c r="A49">
        <f t="shared" si="51"/>
        <v>0</v>
      </c>
      <c r="C49">
        <f t="shared" si="52"/>
        <v>5</v>
      </c>
      <c r="E49">
        <f t="shared" si="53"/>
        <v>0</v>
      </c>
      <c r="G49">
        <f t="shared" si="54"/>
        <v>0</v>
      </c>
      <c r="K49">
        <f t="shared" si="55"/>
        <v>0</v>
      </c>
      <c r="M49">
        <f t="shared" si="56"/>
        <v>-1</v>
      </c>
      <c r="N49">
        <f t="shared" si="57"/>
        <v>6</v>
      </c>
      <c r="O49">
        <f t="shared" si="58"/>
        <v>0</v>
      </c>
      <c r="Q49">
        <f t="shared" si="59"/>
        <v>0</v>
      </c>
      <c r="S49">
        <f t="shared" si="60"/>
        <v>0</v>
      </c>
    </row>
    <row r="50" spans="1:19" x14ac:dyDescent="0.2">
      <c r="A50">
        <f t="shared" si="51"/>
        <v>0</v>
      </c>
      <c r="C50">
        <f t="shared" si="52"/>
        <v>4</v>
      </c>
      <c r="E50">
        <f t="shared" si="53"/>
        <v>0</v>
      </c>
      <c r="G50">
        <f t="shared" si="54"/>
        <v>0</v>
      </c>
      <c r="K50">
        <f t="shared" si="55"/>
        <v>0</v>
      </c>
      <c r="M50">
        <f t="shared" si="56"/>
        <v>-1</v>
      </c>
      <c r="N50">
        <f t="shared" si="57"/>
        <v>0</v>
      </c>
      <c r="O50">
        <f t="shared" si="58"/>
        <v>0</v>
      </c>
      <c r="Q50">
        <f t="shared" si="59"/>
        <v>0</v>
      </c>
      <c r="S50">
        <f t="shared" si="60"/>
        <v>0</v>
      </c>
    </row>
  </sheetData>
  <pageMargins left="0.7" right="0.7" top="0.75" bottom="0.75" header="0.3" footer="0.3"/>
  <legacy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/>
  <dimension ref="A1:BN50"/>
  <sheetViews>
    <sheetView workbookViewId="0">
      <selection activeCell="U16" sqref="U16"/>
    </sheetView>
  </sheetViews>
  <sheetFormatPr baseColWidth="10" defaultRowHeight="15" x14ac:dyDescent="0.2"/>
  <sheetData>
    <row r="1" spans="1:66" x14ac:dyDescent="0.2">
      <c r="A1" s="1" t="s">
        <v>0</v>
      </c>
      <c r="D1" t="s">
        <v>3</v>
      </c>
      <c r="K1" t="s">
        <v>11</v>
      </c>
      <c r="N1" t="s">
        <v>12</v>
      </c>
      <c r="P1" t="s">
        <v>14</v>
      </c>
      <c r="Q1" t="s">
        <v>17</v>
      </c>
      <c r="S1" t="s">
        <v>18</v>
      </c>
      <c r="Z1" t="s">
        <v>29</v>
      </c>
      <c r="AE1" t="s">
        <v>30</v>
      </c>
      <c r="AK1" t="s">
        <v>42</v>
      </c>
    </row>
    <row r="2" spans="1:66" x14ac:dyDescent="0.2">
      <c r="A2" t="s">
        <v>1</v>
      </c>
      <c r="B2" t="s">
        <v>1</v>
      </c>
      <c r="C2" t="s">
        <v>87</v>
      </c>
      <c r="D2" t="s">
        <v>54</v>
      </c>
      <c r="E2" t="s">
        <v>13</v>
      </c>
      <c r="F2" t="s">
        <v>198</v>
      </c>
      <c r="G2" t="s">
        <v>7</v>
      </c>
      <c r="H2" t="s">
        <v>8</v>
      </c>
      <c r="I2" t="s">
        <v>179</v>
      </c>
      <c r="J2" t="s">
        <v>178</v>
      </c>
      <c r="K2" t="s">
        <v>9</v>
      </c>
      <c r="L2" t="s">
        <v>196</v>
      </c>
      <c r="M2" t="s">
        <v>10</v>
      </c>
      <c r="N2" t="s">
        <v>54</v>
      </c>
      <c r="O2" t="s">
        <v>13</v>
      </c>
      <c r="P2" t="s">
        <v>15</v>
      </c>
      <c r="Q2" t="s">
        <v>8</v>
      </c>
      <c r="R2" t="s">
        <v>7</v>
      </c>
      <c r="S2" t="s">
        <v>181</v>
      </c>
      <c r="T2" t="s">
        <v>182</v>
      </c>
      <c r="U2" t="s">
        <v>19</v>
      </c>
      <c r="V2" t="s">
        <v>191</v>
      </c>
      <c r="W2" t="s">
        <v>192</v>
      </c>
      <c r="X2" t="s">
        <v>175</v>
      </c>
      <c r="Y2" t="s">
        <v>173</v>
      </c>
      <c r="Z2" t="str">
        <f t="shared" ref="Z2:Z13" si="0">LEFT(I4, 1)</f>
        <v/>
      </c>
      <c r="AA2" t="str">
        <f t="shared" ref="AA2:AA13" si="1">MID(I4, 4, 1)</f>
        <v/>
      </c>
      <c r="AB2" t="str">
        <f t="shared" ref="AB2:AB13" si="2">MID(I4, 7, 1)</f>
        <v/>
      </c>
      <c r="AC2" t="str">
        <f t="shared" ref="AC2:AC13" si="3">MID(I4, 10, 1)</f>
        <v/>
      </c>
      <c r="AE2" t="str">
        <f t="shared" ref="AE2:AE13" si="4">LEFT(J4, 1)</f>
        <v/>
      </c>
      <c r="AF2" t="str">
        <f t="shared" ref="AF2:AF13" si="5">MID(J4, 4, 1)</f>
        <v/>
      </c>
      <c r="AG2" t="str">
        <f t="shared" ref="AG2:AG13" si="6">MID(J4, 7, 1)</f>
        <v/>
      </c>
      <c r="AH2" t="str">
        <f t="shared" ref="AH2:AH13" si="7">MID(J4, 10, 1)</f>
        <v/>
      </c>
      <c r="AI2" t="str">
        <f t="shared" ref="AI2:AI13" si="8">MID(J4, 13, 1)</f>
        <v/>
      </c>
      <c r="AK2" t="str">
        <f t="shared" ref="AK2:AK13" si="9">LEFT(P4, 2)</f>
        <v/>
      </c>
      <c r="AL2" t="str">
        <f>MID($P4, 5, 2)</f>
        <v/>
      </c>
      <c r="AM2" t="str">
        <f t="shared" ref="AM2:AM13" si="10">MID($P4, 9, 2)</f>
        <v/>
      </c>
      <c r="AN2" t="str">
        <f t="shared" ref="AN2:AN13" si="11">MID($P4, 13, 2)</f>
        <v/>
      </c>
      <c r="AO2" t="str">
        <f t="shared" ref="AO2:AO13" si="12">MID($P4, 17, 2)</f>
        <v/>
      </c>
      <c r="AP2" t="str">
        <f t="shared" ref="AP2:AP13" si="13">MID($P4, 21, 2)</f>
        <v/>
      </c>
      <c r="AQ2" t="str">
        <f t="shared" ref="AQ2:AQ13" si="14">MID($P4, 25, 2)</f>
        <v/>
      </c>
      <c r="AR2" t="str">
        <f t="shared" ref="AR2:AR13" si="15">MID($P4, 29, 2)</f>
        <v/>
      </c>
      <c r="AS2" t="str">
        <f t="shared" ref="AS2:AS13" si="16">MID($P4, 33, 2)</f>
        <v/>
      </c>
      <c r="AT2" t="str">
        <f t="shared" ref="AT2:AT13" si="17">MID($P4, 37, 2)</f>
        <v/>
      </c>
      <c r="AU2" t="str">
        <f t="shared" ref="AU2:AU13" si="18">MID($P4, 41, 2)</f>
        <v/>
      </c>
      <c r="AV2" t="str">
        <f t="shared" ref="AV2:AV13" si="19">MID($P4, 45, 2)</f>
        <v/>
      </c>
      <c r="AW2" t="str">
        <f t="shared" ref="AW2:AW13" si="20">MID($P4, 49, 2)</f>
        <v/>
      </c>
      <c r="AX2" t="str">
        <f t="shared" ref="AX2:AX13" si="21">MID($P4, 53, 2)</f>
        <v/>
      </c>
      <c r="AY2" t="str">
        <f t="shared" ref="AY2:AY13" si="22">MID($P4, 57, 2)</f>
        <v/>
      </c>
      <c r="AZ2" t="str">
        <f t="shared" ref="AZ2:AZ13" si="23">MID($P4, 61, 2)</f>
        <v/>
      </c>
      <c r="BA2" t="str">
        <f t="shared" ref="BA2:BA13" si="24">MID($P4, 65, 2)</f>
        <v/>
      </c>
      <c r="BB2" t="str">
        <f t="shared" ref="BB2:BB13" si="25">MID($P4, 69, 2)</f>
        <v/>
      </c>
      <c r="BC2" t="str">
        <f t="shared" ref="BC2:BC13" si="26">MID($P4, 73, 2)</f>
        <v/>
      </c>
      <c r="BD2" t="str">
        <f t="shared" ref="BD2:BD13" si="27">MID($P4, 77, 2)</f>
        <v/>
      </c>
      <c r="BE2" t="str">
        <f t="shared" ref="BE2:BE13" si="28">MID($P4, 81, 2)</f>
        <v/>
      </c>
      <c r="BF2" t="str">
        <f t="shared" ref="BF2:BF13" si="29">MID($P4, 85, 2)</f>
        <v/>
      </c>
      <c r="BG2" t="str">
        <f t="shared" ref="BG2:BG13" si="30">MID($P4, 89, 2)</f>
        <v/>
      </c>
      <c r="BH2" t="str">
        <f t="shared" ref="BH2:BH13" si="31">MID($P4, 93, 2)</f>
        <v/>
      </c>
    </row>
    <row r="3" spans="1:66" x14ac:dyDescent="0.2">
      <c r="A3" t="s">
        <v>2</v>
      </c>
      <c r="B3" t="s">
        <v>6</v>
      </c>
      <c r="C3" t="s">
        <v>88</v>
      </c>
      <c r="D3" t="s">
        <v>6</v>
      </c>
      <c r="E3" t="s">
        <v>6</v>
      </c>
      <c r="F3" t="s">
        <v>4</v>
      </c>
      <c r="G3" t="s">
        <v>6</v>
      </c>
      <c r="H3" t="s">
        <v>6</v>
      </c>
      <c r="I3" t="s">
        <v>86</v>
      </c>
      <c r="J3" t="s">
        <v>86</v>
      </c>
      <c r="K3" t="s">
        <v>6</v>
      </c>
      <c r="L3" t="s">
        <v>6</v>
      </c>
      <c r="M3" t="s">
        <v>6</v>
      </c>
      <c r="N3" t="s">
        <v>6</v>
      </c>
      <c r="O3" t="s">
        <v>6</v>
      </c>
      <c r="P3" t="s">
        <v>16</v>
      </c>
      <c r="Q3" t="s">
        <v>6</v>
      </c>
      <c r="R3" t="s">
        <v>6</v>
      </c>
      <c r="S3" t="s">
        <v>4</v>
      </c>
      <c r="T3" t="s">
        <v>4</v>
      </c>
      <c r="U3" t="s">
        <v>6</v>
      </c>
      <c r="V3" t="s">
        <v>6</v>
      </c>
      <c r="W3" t="s">
        <v>6</v>
      </c>
      <c r="X3" t="s">
        <v>6</v>
      </c>
      <c r="Y3" t="s">
        <v>174</v>
      </c>
      <c r="Z3" t="str">
        <f t="shared" si="0"/>
        <v/>
      </c>
      <c r="AA3" t="str">
        <f t="shared" si="1"/>
        <v/>
      </c>
      <c r="AB3" t="str">
        <f t="shared" si="2"/>
        <v/>
      </c>
      <c r="AC3" t="str">
        <f t="shared" si="3"/>
        <v/>
      </c>
      <c r="AE3" t="str">
        <f t="shared" si="4"/>
        <v/>
      </c>
      <c r="AF3" t="str">
        <f t="shared" si="5"/>
        <v/>
      </c>
      <c r="AG3" t="str">
        <f t="shared" si="6"/>
        <v/>
      </c>
      <c r="AH3" t="str">
        <f t="shared" si="7"/>
        <v/>
      </c>
      <c r="AI3" t="str">
        <f t="shared" si="8"/>
        <v/>
      </c>
      <c r="AK3" t="str">
        <f t="shared" si="9"/>
        <v/>
      </c>
      <c r="AL3" t="str">
        <f t="shared" ref="AL3:AL13" si="32">MID(P5, 5, 2)</f>
        <v/>
      </c>
      <c r="AM3" t="str">
        <f t="shared" si="10"/>
        <v/>
      </c>
      <c r="AN3" t="str">
        <f t="shared" si="11"/>
        <v/>
      </c>
      <c r="AO3" t="str">
        <f t="shared" si="12"/>
        <v/>
      </c>
      <c r="AP3" t="str">
        <f t="shared" si="13"/>
        <v/>
      </c>
      <c r="AQ3" t="str">
        <f t="shared" si="14"/>
        <v/>
      </c>
      <c r="AR3" t="str">
        <f t="shared" si="15"/>
        <v/>
      </c>
      <c r="AS3" t="str">
        <f t="shared" si="16"/>
        <v/>
      </c>
      <c r="AT3" t="str">
        <f t="shared" si="17"/>
        <v/>
      </c>
      <c r="AU3" t="str">
        <f t="shared" si="18"/>
        <v/>
      </c>
      <c r="AV3" t="str">
        <f t="shared" si="19"/>
        <v/>
      </c>
      <c r="AW3" t="str">
        <f t="shared" si="20"/>
        <v/>
      </c>
      <c r="AX3" t="str">
        <f t="shared" si="21"/>
        <v/>
      </c>
      <c r="AY3" t="str">
        <f t="shared" si="22"/>
        <v/>
      </c>
      <c r="AZ3" t="str">
        <f t="shared" si="23"/>
        <v/>
      </c>
      <c r="BA3" t="str">
        <f t="shared" si="24"/>
        <v/>
      </c>
      <c r="BB3" t="str">
        <f t="shared" si="25"/>
        <v/>
      </c>
      <c r="BC3" t="str">
        <f t="shared" si="26"/>
        <v/>
      </c>
      <c r="BD3" t="str">
        <f t="shared" si="27"/>
        <v/>
      </c>
      <c r="BE3" t="str">
        <f t="shared" si="28"/>
        <v/>
      </c>
      <c r="BF3" t="str">
        <f t="shared" si="29"/>
        <v/>
      </c>
      <c r="BG3" t="str">
        <f t="shared" si="30"/>
        <v/>
      </c>
      <c r="BH3" t="str">
        <f t="shared" si="31"/>
        <v/>
      </c>
    </row>
    <row r="4" spans="1:66" x14ac:dyDescent="0.2">
      <c r="A4">
        <v>1</v>
      </c>
      <c r="B4">
        <v>5</v>
      </c>
      <c r="C4" t="s">
        <v>207</v>
      </c>
      <c r="D4">
        <v>1</v>
      </c>
      <c r="E4">
        <v>1</v>
      </c>
      <c r="G4">
        <v>5</v>
      </c>
      <c r="K4">
        <v>4</v>
      </c>
      <c r="N4">
        <v>4</v>
      </c>
      <c r="O4">
        <v>4</v>
      </c>
      <c r="S4">
        <v>1</v>
      </c>
      <c r="T4">
        <v>1</v>
      </c>
      <c r="X4">
        <f t="shared" ref="X4:X15" si="33">G4+H4+Q4+R4</f>
        <v>5</v>
      </c>
      <c r="Y4" t="s">
        <v>174</v>
      </c>
      <c r="Z4" t="str">
        <f t="shared" si="0"/>
        <v/>
      </c>
      <c r="AA4" t="str">
        <f t="shared" si="1"/>
        <v/>
      </c>
      <c r="AB4" t="str">
        <f t="shared" si="2"/>
        <v/>
      </c>
      <c r="AC4" t="str">
        <f t="shared" si="3"/>
        <v/>
      </c>
      <c r="AE4" t="str">
        <f t="shared" si="4"/>
        <v/>
      </c>
      <c r="AF4" t="str">
        <f t="shared" si="5"/>
        <v/>
      </c>
      <c r="AG4" t="str">
        <f t="shared" si="6"/>
        <v/>
      </c>
      <c r="AH4" t="str">
        <f t="shared" si="7"/>
        <v/>
      </c>
      <c r="AI4" t="str">
        <f t="shared" si="8"/>
        <v/>
      </c>
      <c r="AK4" t="str">
        <f t="shared" si="9"/>
        <v/>
      </c>
      <c r="AL4" t="str">
        <f t="shared" si="32"/>
        <v/>
      </c>
      <c r="AM4" t="str">
        <f t="shared" si="10"/>
        <v/>
      </c>
      <c r="AN4" t="str">
        <f t="shared" si="11"/>
        <v/>
      </c>
      <c r="AO4" t="str">
        <f t="shared" si="12"/>
        <v/>
      </c>
      <c r="AP4" t="str">
        <f t="shared" si="13"/>
        <v/>
      </c>
      <c r="AQ4" t="str">
        <f t="shared" si="14"/>
        <v/>
      </c>
      <c r="AR4" t="str">
        <f t="shared" si="15"/>
        <v/>
      </c>
      <c r="AS4" t="str">
        <f t="shared" si="16"/>
        <v/>
      </c>
      <c r="AT4" t="str">
        <f t="shared" si="17"/>
        <v/>
      </c>
      <c r="AU4" t="str">
        <f t="shared" si="18"/>
        <v/>
      </c>
      <c r="AV4" t="str">
        <f t="shared" si="19"/>
        <v/>
      </c>
      <c r="AW4" t="str">
        <f t="shared" si="20"/>
        <v/>
      </c>
      <c r="AX4" t="str">
        <f t="shared" si="21"/>
        <v/>
      </c>
      <c r="AY4" t="str">
        <f t="shared" si="22"/>
        <v/>
      </c>
      <c r="AZ4" t="str">
        <f t="shared" si="23"/>
        <v/>
      </c>
      <c r="BA4" t="str">
        <f t="shared" si="24"/>
        <v/>
      </c>
      <c r="BB4" t="str">
        <f t="shared" si="25"/>
        <v/>
      </c>
      <c r="BC4" t="str">
        <f t="shared" si="26"/>
        <v/>
      </c>
      <c r="BD4" t="str">
        <f t="shared" si="27"/>
        <v/>
      </c>
      <c r="BE4" t="str">
        <f t="shared" si="28"/>
        <v/>
      </c>
      <c r="BF4" t="str">
        <f t="shared" si="29"/>
        <v/>
      </c>
      <c r="BG4" t="str">
        <f t="shared" si="30"/>
        <v/>
      </c>
      <c r="BH4" t="str">
        <f t="shared" si="31"/>
        <v/>
      </c>
    </row>
    <row r="5" spans="1:66" x14ac:dyDescent="0.2">
      <c r="A5">
        <v>2</v>
      </c>
      <c r="B5">
        <v>19</v>
      </c>
      <c r="C5" t="s">
        <v>39</v>
      </c>
      <c r="D5">
        <v>1</v>
      </c>
      <c r="E5">
        <v>1</v>
      </c>
      <c r="G5">
        <v>4</v>
      </c>
      <c r="K5">
        <v>3</v>
      </c>
      <c r="N5">
        <v>3</v>
      </c>
      <c r="O5">
        <v>3</v>
      </c>
      <c r="S5">
        <v>1</v>
      </c>
      <c r="T5">
        <v>1</v>
      </c>
      <c r="U5">
        <v>4</v>
      </c>
      <c r="X5">
        <f t="shared" si="33"/>
        <v>4</v>
      </c>
      <c r="Y5" t="s">
        <v>174</v>
      </c>
      <c r="Z5" t="str">
        <f t="shared" si="0"/>
        <v/>
      </c>
      <c r="AA5" t="str">
        <f t="shared" si="1"/>
        <v/>
      </c>
      <c r="AB5" t="str">
        <f t="shared" si="2"/>
        <v/>
      </c>
      <c r="AC5" t="str">
        <f t="shared" si="3"/>
        <v/>
      </c>
      <c r="AE5" t="str">
        <f t="shared" si="4"/>
        <v/>
      </c>
      <c r="AF5" t="str">
        <f t="shared" si="5"/>
        <v/>
      </c>
      <c r="AG5" t="str">
        <f t="shared" si="6"/>
        <v/>
      </c>
      <c r="AH5" t="str">
        <f t="shared" si="7"/>
        <v/>
      </c>
      <c r="AI5" t="str">
        <f t="shared" si="8"/>
        <v/>
      </c>
      <c r="AK5" t="str">
        <f t="shared" si="9"/>
        <v/>
      </c>
      <c r="AL5" t="str">
        <f t="shared" si="32"/>
        <v/>
      </c>
      <c r="AM5" t="str">
        <f t="shared" si="10"/>
        <v/>
      </c>
      <c r="AN5" t="str">
        <f t="shared" si="11"/>
        <v/>
      </c>
      <c r="AO5" t="str">
        <f t="shared" si="12"/>
        <v/>
      </c>
      <c r="AP5" t="str">
        <f t="shared" si="13"/>
        <v/>
      </c>
      <c r="AQ5" t="str">
        <f t="shared" si="14"/>
        <v/>
      </c>
      <c r="AR5" t="str">
        <f t="shared" si="15"/>
        <v/>
      </c>
      <c r="AS5" t="str">
        <f t="shared" si="16"/>
        <v/>
      </c>
      <c r="AT5" t="str">
        <f t="shared" si="17"/>
        <v/>
      </c>
      <c r="AU5" t="str">
        <f t="shared" si="18"/>
        <v/>
      </c>
      <c r="AV5" t="str">
        <f t="shared" si="19"/>
        <v/>
      </c>
      <c r="AW5" t="str">
        <f t="shared" si="20"/>
        <v/>
      </c>
      <c r="AX5" t="str">
        <f t="shared" si="21"/>
        <v/>
      </c>
      <c r="AY5" t="str">
        <f t="shared" si="22"/>
        <v/>
      </c>
      <c r="AZ5" t="str">
        <f t="shared" si="23"/>
        <v/>
      </c>
      <c r="BA5" t="str">
        <f t="shared" si="24"/>
        <v/>
      </c>
      <c r="BB5" t="str">
        <f t="shared" si="25"/>
        <v/>
      </c>
      <c r="BC5" t="str">
        <f t="shared" si="26"/>
        <v/>
      </c>
      <c r="BD5" t="str">
        <f t="shared" si="27"/>
        <v/>
      </c>
      <c r="BE5" t="str">
        <f t="shared" si="28"/>
        <v/>
      </c>
      <c r="BF5" t="str">
        <f t="shared" si="29"/>
        <v/>
      </c>
      <c r="BG5" t="str">
        <f t="shared" si="30"/>
        <v/>
      </c>
      <c r="BH5" t="str">
        <f t="shared" si="31"/>
        <v/>
      </c>
    </row>
    <row r="6" spans="1:66" x14ac:dyDescent="0.2">
      <c r="A6">
        <v>3</v>
      </c>
      <c r="B6">
        <v>28</v>
      </c>
      <c r="C6" t="s">
        <v>39</v>
      </c>
      <c r="D6">
        <v>1</v>
      </c>
      <c r="G6">
        <v>5</v>
      </c>
      <c r="K6">
        <v>3</v>
      </c>
      <c r="N6">
        <v>3</v>
      </c>
      <c r="O6">
        <v>3</v>
      </c>
      <c r="U6">
        <v>5</v>
      </c>
      <c r="X6">
        <f t="shared" si="33"/>
        <v>5</v>
      </c>
      <c r="Y6" t="s">
        <v>174</v>
      </c>
      <c r="Z6" t="str">
        <f t="shared" si="0"/>
        <v/>
      </c>
      <c r="AA6" t="str">
        <f t="shared" si="1"/>
        <v/>
      </c>
      <c r="AB6" t="str">
        <f t="shared" si="2"/>
        <v/>
      </c>
      <c r="AC6" t="str">
        <f t="shared" si="3"/>
        <v/>
      </c>
      <c r="AE6" t="str">
        <f t="shared" si="4"/>
        <v/>
      </c>
      <c r="AF6" t="str">
        <f t="shared" si="5"/>
        <v/>
      </c>
      <c r="AG6" t="str">
        <f t="shared" si="6"/>
        <v/>
      </c>
      <c r="AH6" t="str">
        <f t="shared" si="7"/>
        <v/>
      </c>
      <c r="AI6" t="str">
        <f t="shared" si="8"/>
        <v/>
      </c>
      <c r="AK6" t="str">
        <f t="shared" si="9"/>
        <v/>
      </c>
      <c r="AL6" t="str">
        <f t="shared" si="32"/>
        <v/>
      </c>
      <c r="AM6" t="str">
        <f t="shared" si="10"/>
        <v/>
      </c>
      <c r="AN6" t="str">
        <f t="shared" si="11"/>
        <v/>
      </c>
      <c r="AO6" t="str">
        <f t="shared" si="12"/>
        <v/>
      </c>
      <c r="AP6" t="str">
        <f t="shared" si="13"/>
        <v/>
      </c>
      <c r="AQ6" t="str">
        <f t="shared" si="14"/>
        <v/>
      </c>
      <c r="AR6" t="str">
        <f t="shared" si="15"/>
        <v/>
      </c>
      <c r="AS6" t="str">
        <f t="shared" si="16"/>
        <v/>
      </c>
      <c r="AT6" t="str">
        <f t="shared" si="17"/>
        <v/>
      </c>
      <c r="AU6" t="str">
        <f t="shared" si="18"/>
        <v/>
      </c>
      <c r="AV6" t="str">
        <f t="shared" si="19"/>
        <v/>
      </c>
      <c r="AW6" t="str">
        <f t="shared" si="20"/>
        <v/>
      </c>
      <c r="AX6" t="str">
        <f t="shared" si="21"/>
        <v/>
      </c>
      <c r="AY6" t="str">
        <f t="shared" si="22"/>
        <v/>
      </c>
      <c r="AZ6" t="str">
        <f t="shared" si="23"/>
        <v/>
      </c>
      <c r="BA6" t="str">
        <f t="shared" si="24"/>
        <v/>
      </c>
      <c r="BB6" t="str">
        <f t="shared" si="25"/>
        <v/>
      </c>
      <c r="BC6" t="str">
        <f t="shared" si="26"/>
        <v/>
      </c>
      <c r="BD6" t="str">
        <f t="shared" si="27"/>
        <v/>
      </c>
      <c r="BE6" t="str">
        <f t="shared" si="28"/>
        <v/>
      </c>
      <c r="BF6" t="str">
        <f t="shared" si="29"/>
        <v/>
      </c>
      <c r="BG6" t="str">
        <f t="shared" si="30"/>
        <v/>
      </c>
      <c r="BH6" t="str">
        <f t="shared" si="31"/>
        <v/>
      </c>
    </row>
    <row r="7" spans="1:66" x14ac:dyDescent="0.2">
      <c r="A7">
        <v>4</v>
      </c>
      <c r="B7">
        <v>36</v>
      </c>
      <c r="C7" t="s">
        <v>39</v>
      </c>
      <c r="D7">
        <v>1</v>
      </c>
      <c r="E7">
        <v>1</v>
      </c>
      <c r="G7">
        <v>6</v>
      </c>
      <c r="K7">
        <v>4</v>
      </c>
      <c r="N7">
        <v>4</v>
      </c>
      <c r="O7">
        <v>4</v>
      </c>
      <c r="S7">
        <v>1</v>
      </c>
      <c r="T7">
        <v>1</v>
      </c>
      <c r="U7">
        <v>6</v>
      </c>
      <c r="X7">
        <f t="shared" si="33"/>
        <v>6</v>
      </c>
      <c r="Y7" t="s">
        <v>174</v>
      </c>
      <c r="Z7" t="str">
        <f t="shared" si="0"/>
        <v/>
      </c>
      <c r="AA7" t="str">
        <f t="shared" si="1"/>
        <v/>
      </c>
      <c r="AB7" t="str">
        <f t="shared" si="2"/>
        <v/>
      </c>
      <c r="AC7" t="str">
        <f t="shared" si="3"/>
        <v/>
      </c>
      <c r="AE7" t="str">
        <f t="shared" si="4"/>
        <v/>
      </c>
      <c r="AF7" t="str">
        <f t="shared" si="5"/>
        <v/>
      </c>
      <c r="AG7" t="str">
        <f t="shared" si="6"/>
        <v/>
      </c>
      <c r="AH7" t="str">
        <f t="shared" si="7"/>
        <v/>
      </c>
      <c r="AI7" t="str">
        <f t="shared" si="8"/>
        <v/>
      </c>
      <c r="AK7" t="str">
        <f t="shared" si="9"/>
        <v>g1</v>
      </c>
      <c r="AL7" t="str">
        <f t="shared" si="32"/>
        <v/>
      </c>
      <c r="AM7" t="str">
        <f t="shared" si="10"/>
        <v/>
      </c>
      <c r="AN7" t="str">
        <f t="shared" si="11"/>
        <v/>
      </c>
      <c r="AO7" t="str">
        <f t="shared" si="12"/>
        <v/>
      </c>
      <c r="AP7" t="str">
        <f t="shared" si="13"/>
        <v/>
      </c>
      <c r="AQ7" t="str">
        <f t="shared" si="14"/>
        <v/>
      </c>
      <c r="AR7" t="str">
        <f t="shared" si="15"/>
        <v/>
      </c>
      <c r="AS7" t="str">
        <f t="shared" si="16"/>
        <v/>
      </c>
      <c r="AT7" t="str">
        <f t="shared" si="17"/>
        <v/>
      </c>
      <c r="AU7" t="str">
        <f t="shared" si="18"/>
        <v/>
      </c>
      <c r="AV7" t="str">
        <f t="shared" si="19"/>
        <v/>
      </c>
      <c r="AW7" t="str">
        <f t="shared" si="20"/>
        <v/>
      </c>
      <c r="AX7" t="str">
        <f t="shared" si="21"/>
        <v/>
      </c>
      <c r="AY7" t="str">
        <f t="shared" si="22"/>
        <v/>
      </c>
      <c r="AZ7" t="str">
        <f t="shared" si="23"/>
        <v/>
      </c>
      <c r="BA7" t="str">
        <f t="shared" si="24"/>
        <v/>
      </c>
      <c r="BB7" t="str">
        <f t="shared" si="25"/>
        <v/>
      </c>
      <c r="BC7" t="str">
        <f t="shared" si="26"/>
        <v/>
      </c>
      <c r="BD7" t="str">
        <f t="shared" si="27"/>
        <v/>
      </c>
      <c r="BE7" t="str">
        <f t="shared" si="28"/>
        <v/>
      </c>
      <c r="BF7" t="str">
        <f t="shared" si="29"/>
        <v/>
      </c>
      <c r="BG7" t="str">
        <f t="shared" si="30"/>
        <v/>
      </c>
      <c r="BH7" t="str">
        <f t="shared" si="31"/>
        <v/>
      </c>
    </row>
    <row r="8" spans="1:66" x14ac:dyDescent="0.2">
      <c r="A8">
        <v>5</v>
      </c>
      <c r="B8">
        <v>49</v>
      </c>
      <c r="C8" t="s">
        <v>207</v>
      </c>
      <c r="D8">
        <v>1</v>
      </c>
      <c r="E8">
        <v>1</v>
      </c>
      <c r="G8">
        <v>3</v>
      </c>
      <c r="K8">
        <v>4</v>
      </c>
      <c r="N8">
        <v>4</v>
      </c>
      <c r="O8">
        <v>3</v>
      </c>
      <c r="S8">
        <v>1</v>
      </c>
      <c r="T8">
        <v>1</v>
      </c>
      <c r="U8">
        <v>10</v>
      </c>
      <c r="X8">
        <f t="shared" si="33"/>
        <v>3</v>
      </c>
      <c r="Z8" t="str">
        <f t="shared" si="0"/>
        <v/>
      </c>
      <c r="AA8" t="str">
        <f t="shared" si="1"/>
        <v/>
      </c>
      <c r="AB8" t="str">
        <f t="shared" si="2"/>
        <v/>
      </c>
      <c r="AC8" t="str">
        <f t="shared" si="3"/>
        <v/>
      </c>
      <c r="AE8" t="str">
        <f t="shared" si="4"/>
        <v>2</v>
      </c>
      <c r="AF8" t="str">
        <f t="shared" si="5"/>
        <v>3</v>
      </c>
      <c r="AG8" t="str">
        <f t="shared" si="6"/>
        <v/>
      </c>
      <c r="AH8" t="str">
        <f t="shared" si="7"/>
        <v/>
      </c>
      <c r="AI8" t="str">
        <f t="shared" si="8"/>
        <v/>
      </c>
      <c r="AK8" t="str">
        <f t="shared" si="9"/>
        <v>h1</v>
      </c>
      <c r="AL8" t="str">
        <f t="shared" si="32"/>
        <v>h2</v>
      </c>
      <c r="AM8" t="str">
        <f t="shared" si="10"/>
        <v/>
      </c>
      <c r="AN8" t="str">
        <f t="shared" si="11"/>
        <v/>
      </c>
      <c r="AO8" t="str">
        <f t="shared" si="12"/>
        <v/>
      </c>
      <c r="AP8" t="str">
        <f t="shared" si="13"/>
        <v/>
      </c>
      <c r="AQ8" t="str">
        <f t="shared" si="14"/>
        <v/>
      </c>
      <c r="AR8" t="str">
        <f t="shared" si="15"/>
        <v/>
      </c>
      <c r="AS8" t="str">
        <f t="shared" si="16"/>
        <v/>
      </c>
      <c r="AT8" t="str">
        <f t="shared" si="17"/>
        <v/>
      </c>
      <c r="AU8" t="str">
        <f t="shared" si="18"/>
        <v/>
      </c>
      <c r="AV8" t="str">
        <f t="shared" si="19"/>
        <v/>
      </c>
      <c r="AW8" t="str">
        <f t="shared" si="20"/>
        <v/>
      </c>
      <c r="AX8" t="str">
        <f t="shared" si="21"/>
        <v/>
      </c>
      <c r="AY8" t="str">
        <f t="shared" si="22"/>
        <v/>
      </c>
      <c r="AZ8" t="str">
        <f t="shared" si="23"/>
        <v/>
      </c>
      <c r="BA8" t="str">
        <f t="shared" si="24"/>
        <v/>
      </c>
      <c r="BB8" t="str">
        <f t="shared" si="25"/>
        <v/>
      </c>
      <c r="BC8" t="str">
        <f t="shared" si="26"/>
        <v/>
      </c>
      <c r="BD8" t="str">
        <f t="shared" si="27"/>
        <v/>
      </c>
      <c r="BE8" t="str">
        <f t="shared" si="28"/>
        <v/>
      </c>
      <c r="BF8" t="str">
        <f t="shared" si="29"/>
        <v/>
      </c>
      <c r="BG8" t="str">
        <f t="shared" si="30"/>
        <v/>
      </c>
      <c r="BH8" t="str">
        <f t="shared" si="31"/>
        <v/>
      </c>
    </row>
    <row r="9" spans="1:66" x14ac:dyDescent="0.2">
      <c r="A9">
        <v>6</v>
      </c>
      <c r="B9">
        <v>59</v>
      </c>
      <c r="C9" t="s">
        <v>207</v>
      </c>
      <c r="D9">
        <v>1</v>
      </c>
      <c r="E9">
        <v>1</v>
      </c>
      <c r="G9">
        <v>6</v>
      </c>
      <c r="K9">
        <v>1</v>
      </c>
      <c r="N9">
        <v>1</v>
      </c>
      <c r="O9">
        <v>1</v>
      </c>
      <c r="P9" t="s">
        <v>228</v>
      </c>
      <c r="S9">
        <v>1</v>
      </c>
      <c r="U9">
        <v>22</v>
      </c>
      <c r="X9">
        <f t="shared" si="33"/>
        <v>6</v>
      </c>
      <c r="Y9" t="s">
        <v>174</v>
      </c>
      <c r="Z9" t="str">
        <f t="shared" si="0"/>
        <v/>
      </c>
      <c r="AA9" t="str">
        <f t="shared" si="1"/>
        <v/>
      </c>
      <c r="AB9" t="str">
        <f t="shared" si="2"/>
        <v/>
      </c>
      <c r="AC9" t="str">
        <f t="shared" si="3"/>
        <v/>
      </c>
      <c r="AE9" t="str">
        <f t="shared" si="4"/>
        <v/>
      </c>
      <c r="AF9" t="str">
        <f t="shared" si="5"/>
        <v/>
      </c>
      <c r="AG9" t="str">
        <f t="shared" si="6"/>
        <v/>
      </c>
      <c r="AH9" t="str">
        <f t="shared" si="7"/>
        <v/>
      </c>
      <c r="AI9" t="str">
        <f t="shared" si="8"/>
        <v/>
      </c>
      <c r="AK9" t="str">
        <f t="shared" si="9"/>
        <v/>
      </c>
      <c r="AL9" t="str">
        <f t="shared" si="32"/>
        <v/>
      </c>
      <c r="AM9" t="str">
        <f t="shared" si="10"/>
        <v/>
      </c>
      <c r="AN9" t="str">
        <f t="shared" si="11"/>
        <v/>
      </c>
      <c r="AO9" t="str">
        <f t="shared" si="12"/>
        <v/>
      </c>
      <c r="AP9" t="str">
        <f t="shared" si="13"/>
        <v/>
      </c>
      <c r="AQ9" t="str">
        <f t="shared" si="14"/>
        <v/>
      </c>
      <c r="AR9" t="str">
        <f t="shared" si="15"/>
        <v/>
      </c>
      <c r="AS9" t="str">
        <f t="shared" si="16"/>
        <v/>
      </c>
      <c r="AT9" t="str">
        <f t="shared" si="17"/>
        <v/>
      </c>
      <c r="AU9" t="str">
        <f t="shared" si="18"/>
        <v/>
      </c>
      <c r="AV9" t="str">
        <f t="shared" si="19"/>
        <v/>
      </c>
      <c r="AW9" t="str">
        <f t="shared" si="20"/>
        <v/>
      </c>
      <c r="AX9" t="str">
        <f t="shared" si="21"/>
        <v/>
      </c>
      <c r="AY9" t="str">
        <f t="shared" si="22"/>
        <v/>
      </c>
      <c r="AZ9" t="str">
        <f t="shared" si="23"/>
        <v/>
      </c>
      <c r="BA9" t="str">
        <f t="shared" si="24"/>
        <v/>
      </c>
      <c r="BB9" t="str">
        <f t="shared" si="25"/>
        <v/>
      </c>
      <c r="BC9" t="str">
        <f t="shared" si="26"/>
        <v/>
      </c>
      <c r="BD9" t="str">
        <f t="shared" si="27"/>
        <v/>
      </c>
      <c r="BE9" t="str">
        <f t="shared" si="28"/>
        <v/>
      </c>
      <c r="BF9" t="str">
        <f t="shared" si="29"/>
        <v/>
      </c>
      <c r="BG9" t="str">
        <f t="shared" si="30"/>
        <v/>
      </c>
      <c r="BH9" t="str">
        <f t="shared" si="31"/>
        <v/>
      </c>
    </row>
    <row r="10" spans="1:66" x14ac:dyDescent="0.2">
      <c r="A10">
        <v>7</v>
      </c>
      <c r="B10">
        <v>64</v>
      </c>
      <c r="C10" t="s">
        <v>39</v>
      </c>
      <c r="D10">
        <v>1</v>
      </c>
      <c r="E10">
        <v>1</v>
      </c>
      <c r="G10">
        <v>9</v>
      </c>
      <c r="J10" t="s">
        <v>280</v>
      </c>
      <c r="K10">
        <v>2</v>
      </c>
      <c r="N10">
        <v>1</v>
      </c>
      <c r="O10">
        <v>1</v>
      </c>
      <c r="P10" t="s">
        <v>275</v>
      </c>
      <c r="R10">
        <v>1</v>
      </c>
      <c r="S10">
        <v>1</v>
      </c>
      <c r="T10">
        <v>1</v>
      </c>
      <c r="U10">
        <v>15</v>
      </c>
      <c r="W10">
        <v>18</v>
      </c>
      <c r="X10">
        <f t="shared" si="33"/>
        <v>10</v>
      </c>
      <c r="Y10" t="s">
        <v>174</v>
      </c>
      <c r="Z10" t="str">
        <f t="shared" si="0"/>
        <v/>
      </c>
      <c r="AA10" t="str">
        <f t="shared" si="1"/>
        <v/>
      </c>
      <c r="AB10" t="str">
        <f t="shared" si="2"/>
        <v/>
      </c>
      <c r="AC10" t="str">
        <f t="shared" si="3"/>
        <v/>
      </c>
      <c r="AE10" t="str">
        <f t="shared" si="4"/>
        <v/>
      </c>
      <c r="AF10" t="str">
        <f t="shared" si="5"/>
        <v/>
      </c>
      <c r="AG10" t="str">
        <f t="shared" si="6"/>
        <v/>
      </c>
      <c r="AH10" t="str">
        <f t="shared" si="7"/>
        <v/>
      </c>
      <c r="AI10" t="str">
        <f t="shared" si="8"/>
        <v/>
      </c>
      <c r="AK10" t="str">
        <f t="shared" si="9"/>
        <v>h1</v>
      </c>
      <c r="AL10" t="str">
        <f t="shared" si="32"/>
        <v/>
      </c>
      <c r="AM10" t="str">
        <f t="shared" si="10"/>
        <v/>
      </c>
      <c r="AN10" t="str">
        <f t="shared" si="11"/>
        <v/>
      </c>
      <c r="AO10" t="str">
        <f t="shared" si="12"/>
        <v/>
      </c>
      <c r="AP10" t="str">
        <f t="shared" si="13"/>
        <v/>
      </c>
      <c r="AQ10" t="str">
        <f t="shared" si="14"/>
        <v/>
      </c>
      <c r="AR10" t="str">
        <f t="shared" si="15"/>
        <v/>
      </c>
      <c r="AS10" t="str">
        <f t="shared" si="16"/>
        <v/>
      </c>
      <c r="AT10" t="str">
        <f t="shared" si="17"/>
        <v/>
      </c>
      <c r="AU10" t="str">
        <f t="shared" si="18"/>
        <v/>
      </c>
      <c r="AV10" t="str">
        <f t="shared" si="19"/>
        <v/>
      </c>
      <c r="AW10" t="str">
        <f t="shared" si="20"/>
        <v/>
      </c>
      <c r="AX10" t="str">
        <f t="shared" si="21"/>
        <v/>
      </c>
      <c r="AY10" t="str">
        <f t="shared" si="22"/>
        <v/>
      </c>
      <c r="AZ10" t="str">
        <f t="shared" si="23"/>
        <v/>
      </c>
      <c r="BA10" t="str">
        <f t="shared" si="24"/>
        <v/>
      </c>
      <c r="BB10" t="str">
        <f t="shared" si="25"/>
        <v/>
      </c>
      <c r="BC10" t="str">
        <f t="shared" si="26"/>
        <v/>
      </c>
      <c r="BD10" t="str">
        <f t="shared" si="27"/>
        <v/>
      </c>
      <c r="BE10" t="str">
        <f t="shared" si="28"/>
        <v/>
      </c>
      <c r="BF10" t="str">
        <f t="shared" si="29"/>
        <v/>
      </c>
      <c r="BG10" t="str">
        <f t="shared" si="30"/>
        <v/>
      </c>
      <c r="BH10" t="str">
        <f t="shared" si="31"/>
        <v/>
      </c>
    </row>
    <row r="11" spans="1:66" x14ac:dyDescent="0.2">
      <c r="A11">
        <v>8</v>
      </c>
      <c r="B11">
        <v>79</v>
      </c>
      <c r="C11" t="s">
        <v>39</v>
      </c>
      <c r="D11">
        <v>1</v>
      </c>
      <c r="E11">
        <v>1</v>
      </c>
      <c r="F11">
        <v>1</v>
      </c>
      <c r="G11">
        <v>4</v>
      </c>
      <c r="K11">
        <v>2</v>
      </c>
      <c r="N11">
        <v>2</v>
      </c>
      <c r="O11">
        <v>2</v>
      </c>
      <c r="S11">
        <v>1</v>
      </c>
      <c r="T11">
        <v>1</v>
      </c>
      <c r="U11">
        <v>4</v>
      </c>
      <c r="X11">
        <f t="shared" si="33"/>
        <v>4</v>
      </c>
      <c r="Y11" t="s">
        <v>174</v>
      </c>
      <c r="Z11" t="str">
        <f t="shared" si="0"/>
        <v/>
      </c>
      <c r="AA11" t="str">
        <f t="shared" si="1"/>
        <v/>
      </c>
      <c r="AB11" t="str">
        <f t="shared" si="2"/>
        <v/>
      </c>
      <c r="AC11" t="str">
        <f t="shared" si="3"/>
        <v/>
      </c>
      <c r="AE11" t="str">
        <f t="shared" si="4"/>
        <v/>
      </c>
      <c r="AF11" t="str">
        <f t="shared" si="5"/>
        <v/>
      </c>
      <c r="AG11" t="str">
        <f t="shared" si="6"/>
        <v/>
      </c>
      <c r="AH11" t="str">
        <f t="shared" si="7"/>
        <v/>
      </c>
      <c r="AI11" t="str">
        <f t="shared" si="8"/>
        <v/>
      </c>
      <c r="AK11" t="str">
        <f t="shared" si="9"/>
        <v/>
      </c>
      <c r="AL11" t="str">
        <f t="shared" si="32"/>
        <v/>
      </c>
      <c r="AM11" t="str">
        <f t="shared" si="10"/>
        <v/>
      </c>
      <c r="AN11" t="str">
        <f t="shared" si="11"/>
        <v/>
      </c>
      <c r="AO11" t="str">
        <f t="shared" si="12"/>
        <v/>
      </c>
      <c r="AP11" t="str">
        <f t="shared" si="13"/>
        <v/>
      </c>
      <c r="AQ11" t="str">
        <f t="shared" si="14"/>
        <v/>
      </c>
      <c r="AR11" t="str">
        <f t="shared" si="15"/>
        <v/>
      </c>
      <c r="AS11" t="str">
        <f t="shared" si="16"/>
        <v/>
      </c>
      <c r="AT11" t="str">
        <f t="shared" si="17"/>
        <v/>
      </c>
      <c r="AU11" t="str">
        <f t="shared" si="18"/>
        <v/>
      </c>
      <c r="AV11" t="str">
        <f t="shared" si="19"/>
        <v/>
      </c>
      <c r="AW11" t="str">
        <f t="shared" si="20"/>
        <v/>
      </c>
      <c r="AX11" t="str">
        <f t="shared" si="21"/>
        <v/>
      </c>
      <c r="AY11" t="str">
        <f t="shared" si="22"/>
        <v/>
      </c>
      <c r="AZ11" t="str">
        <f t="shared" si="23"/>
        <v/>
      </c>
      <c r="BA11" t="str">
        <f t="shared" si="24"/>
        <v/>
      </c>
      <c r="BB11" t="str">
        <f t="shared" si="25"/>
        <v/>
      </c>
      <c r="BC11" t="str">
        <f t="shared" si="26"/>
        <v/>
      </c>
      <c r="BD11" t="str">
        <f t="shared" si="27"/>
        <v/>
      </c>
      <c r="BE11" t="str">
        <f t="shared" si="28"/>
        <v/>
      </c>
      <c r="BF11" t="str">
        <f t="shared" si="29"/>
        <v/>
      </c>
      <c r="BG11" t="str">
        <f t="shared" si="30"/>
        <v/>
      </c>
      <c r="BH11" t="str">
        <f t="shared" si="31"/>
        <v/>
      </c>
    </row>
    <row r="12" spans="1:66" x14ac:dyDescent="0.2">
      <c r="A12">
        <v>9</v>
      </c>
      <c r="B12">
        <v>89</v>
      </c>
      <c r="C12" t="s">
        <v>207</v>
      </c>
      <c r="D12">
        <v>1</v>
      </c>
      <c r="E12">
        <v>1</v>
      </c>
      <c r="G12">
        <v>3</v>
      </c>
      <c r="K12">
        <v>3</v>
      </c>
      <c r="N12">
        <v>2</v>
      </c>
      <c r="O12">
        <v>2</v>
      </c>
      <c r="P12" t="s">
        <v>209</v>
      </c>
      <c r="R12">
        <v>1</v>
      </c>
      <c r="S12">
        <v>1</v>
      </c>
      <c r="T12">
        <v>1</v>
      </c>
      <c r="U12">
        <v>4</v>
      </c>
      <c r="W12">
        <v>3</v>
      </c>
      <c r="X12">
        <f t="shared" si="33"/>
        <v>4</v>
      </c>
      <c r="Y12" t="s">
        <v>174</v>
      </c>
      <c r="Z12" t="str">
        <f t="shared" si="0"/>
        <v/>
      </c>
      <c r="AA12" t="str">
        <f t="shared" si="1"/>
        <v/>
      </c>
      <c r="AB12" t="str">
        <f t="shared" si="2"/>
        <v/>
      </c>
      <c r="AC12" t="str">
        <f t="shared" si="3"/>
        <v/>
      </c>
      <c r="AE12" t="str">
        <f t="shared" si="4"/>
        <v/>
      </c>
      <c r="AF12" t="str">
        <f t="shared" si="5"/>
        <v/>
      </c>
      <c r="AG12" t="str">
        <f t="shared" si="6"/>
        <v/>
      </c>
      <c r="AH12" t="str">
        <f t="shared" si="7"/>
        <v/>
      </c>
      <c r="AI12" t="str">
        <f t="shared" si="8"/>
        <v/>
      </c>
      <c r="AK12" t="str">
        <f t="shared" si="9"/>
        <v/>
      </c>
      <c r="AL12" t="str">
        <f t="shared" si="32"/>
        <v/>
      </c>
      <c r="AM12" t="str">
        <f t="shared" si="10"/>
        <v/>
      </c>
      <c r="AN12" t="str">
        <f t="shared" si="11"/>
        <v/>
      </c>
      <c r="AO12" t="str">
        <f t="shared" si="12"/>
        <v/>
      </c>
      <c r="AP12" t="str">
        <f t="shared" si="13"/>
        <v/>
      </c>
      <c r="AQ12" t="str">
        <f t="shared" si="14"/>
        <v/>
      </c>
      <c r="AR12" t="str">
        <f t="shared" si="15"/>
        <v/>
      </c>
      <c r="AS12" t="str">
        <f t="shared" si="16"/>
        <v/>
      </c>
      <c r="AT12" t="str">
        <f t="shared" si="17"/>
        <v/>
      </c>
      <c r="AU12" t="str">
        <f t="shared" si="18"/>
        <v/>
      </c>
      <c r="AV12" t="str">
        <f t="shared" si="19"/>
        <v/>
      </c>
      <c r="AW12" t="str">
        <f t="shared" si="20"/>
        <v/>
      </c>
      <c r="AX12" t="str">
        <f t="shared" si="21"/>
        <v/>
      </c>
      <c r="AY12" t="str">
        <f t="shared" si="22"/>
        <v/>
      </c>
      <c r="AZ12" t="str">
        <f t="shared" si="23"/>
        <v/>
      </c>
      <c r="BA12" t="str">
        <f t="shared" si="24"/>
        <v/>
      </c>
      <c r="BB12" t="str">
        <f t="shared" si="25"/>
        <v/>
      </c>
      <c r="BC12" t="str">
        <f t="shared" si="26"/>
        <v/>
      </c>
      <c r="BD12" t="str">
        <f t="shared" si="27"/>
        <v/>
      </c>
      <c r="BE12" t="str">
        <f t="shared" si="28"/>
        <v/>
      </c>
      <c r="BF12" t="str">
        <f t="shared" si="29"/>
        <v/>
      </c>
      <c r="BG12" t="str">
        <f t="shared" si="30"/>
        <v/>
      </c>
      <c r="BH12" t="str">
        <f t="shared" si="31"/>
        <v/>
      </c>
    </row>
    <row r="13" spans="1:66" x14ac:dyDescent="0.2">
      <c r="A13">
        <v>10</v>
      </c>
      <c r="B13">
        <v>99</v>
      </c>
      <c r="C13" t="s">
        <v>207</v>
      </c>
      <c r="D13">
        <v>1</v>
      </c>
      <c r="E13">
        <v>1</v>
      </c>
      <c r="F13">
        <v>1</v>
      </c>
      <c r="G13">
        <v>5</v>
      </c>
      <c r="K13">
        <v>3</v>
      </c>
      <c r="M13">
        <v>1</v>
      </c>
      <c r="N13">
        <v>4</v>
      </c>
      <c r="O13">
        <v>4</v>
      </c>
      <c r="R13">
        <v>1</v>
      </c>
      <c r="S13">
        <v>1</v>
      </c>
      <c r="T13">
        <v>1</v>
      </c>
      <c r="U13">
        <v>5</v>
      </c>
      <c r="W13">
        <v>1</v>
      </c>
      <c r="X13">
        <f t="shared" si="33"/>
        <v>6</v>
      </c>
      <c r="Z13" t="str">
        <f t="shared" si="0"/>
        <v/>
      </c>
      <c r="AA13" t="str">
        <f t="shared" si="1"/>
        <v/>
      </c>
      <c r="AB13" t="str">
        <f t="shared" si="2"/>
        <v/>
      </c>
      <c r="AC13" t="str">
        <f t="shared" si="3"/>
        <v/>
      </c>
      <c r="AE13" t="str">
        <f t="shared" si="4"/>
        <v/>
      </c>
      <c r="AF13" t="str">
        <f t="shared" si="5"/>
        <v/>
      </c>
      <c r="AG13" t="str">
        <f t="shared" si="6"/>
        <v/>
      </c>
      <c r="AH13" t="str">
        <f t="shared" si="7"/>
        <v/>
      </c>
      <c r="AI13" t="str">
        <f t="shared" si="8"/>
        <v/>
      </c>
      <c r="AK13" t="str">
        <f t="shared" si="9"/>
        <v/>
      </c>
      <c r="AL13" t="str">
        <f t="shared" si="32"/>
        <v/>
      </c>
      <c r="AM13" t="str">
        <f t="shared" si="10"/>
        <v/>
      </c>
      <c r="AN13" t="str">
        <f t="shared" si="11"/>
        <v/>
      </c>
      <c r="AO13" t="str">
        <f t="shared" si="12"/>
        <v/>
      </c>
      <c r="AP13" t="str">
        <f t="shared" si="13"/>
        <v/>
      </c>
      <c r="AQ13" t="str">
        <f t="shared" si="14"/>
        <v/>
      </c>
      <c r="AR13" t="str">
        <f t="shared" si="15"/>
        <v/>
      </c>
      <c r="AS13" t="str">
        <f t="shared" si="16"/>
        <v/>
      </c>
      <c r="AT13" t="str">
        <f t="shared" si="17"/>
        <v/>
      </c>
      <c r="AU13" t="str">
        <f t="shared" si="18"/>
        <v/>
      </c>
      <c r="AV13" t="str">
        <f t="shared" si="19"/>
        <v/>
      </c>
      <c r="AW13" t="str">
        <f t="shared" si="20"/>
        <v/>
      </c>
      <c r="AX13" t="str">
        <f t="shared" si="21"/>
        <v/>
      </c>
      <c r="AY13" t="str">
        <f t="shared" si="22"/>
        <v/>
      </c>
      <c r="AZ13" t="str">
        <f t="shared" si="23"/>
        <v/>
      </c>
      <c r="BA13" t="str">
        <f t="shared" si="24"/>
        <v/>
      </c>
      <c r="BB13" t="str">
        <f t="shared" si="25"/>
        <v/>
      </c>
      <c r="BC13" t="str">
        <f t="shared" si="26"/>
        <v/>
      </c>
      <c r="BD13" t="str">
        <f t="shared" si="27"/>
        <v/>
      </c>
      <c r="BE13" t="str">
        <f t="shared" si="28"/>
        <v/>
      </c>
      <c r="BF13" t="str">
        <f t="shared" si="29"/>
        <v/>
      </c>
      <c r="BG13" t="str">
        <f t="shared" si="30"/>
        <v/>
      </c>
      <c r="BH13" t="str">
        <f t="shared" si="31"/>
        <v/>
      </c>
    </row>
    <row r="14" spans="1:66" x14ac:dyDescent="0.2">
      <c r="A14">
        <v>11</v>
      </c>
      <c r="B14">
        <v>108</v>
      </c>
      <c r="C14" t="s">
        <v>207</v>
      </c>
      <c r="D14">
        <v>1</v>
      </c>
      <c r="E14">
        <v>1</v>
      </c>
      <c r="G14">
        <v>3</v>
      </c>
      <c r="K14">
        <v>3</v>
      </c>
      <c r="L14">
        <v>2</v>
      </c>
      <c r="M14">
        <v>1</v>
      </c>
      <c r="N14">
        <v>4</v>
      </c>
      <c r="O14">
        <v>4</v>
      </c>
      <c r="S14">
        <v>1</v>
      </c>
      <c r="T14">
        <v>1</v>
      </c>
      <c r="U14">
        <v>3</v>
      </c>
      <c r="X14">
        <f t="shared" si="33"/>
        <v>3</v>
      </c>
      <c r="Z14" t="s">
        <v>31</v>
      </c>
      <c r="AE14" t="s">
        <v>34</v>
      </c>
      <c r="AK14" t="s">
        <v>43</v>
      </c>
      <c r="AP14" t="s">
        <v>84</v>
      </c>
    </row>
    <row r="15" spans="1:66" x14ac:dyDescent="0.2">
      <c r="A15">
        <v>12</v>
      </c>
      <c r="B15">
        <v>113</v>
      </c>
      <c r="C15" t="s">
        <v>39</v>
      </c>
      <c r="D15">
        <v>1</v>
      </c>
      <c r="E15">
        <v>1</v>
      </c>
      <c r="G15">
        <v>7</v>
      </c>
      <c r="K15">
        <v>4</v>
      </c>
      <c r="N15">
        <v>4</v>
      </c>
      <c r="O15">
        <v>4</v>
      </c>
      <c r="S15">
        <v>1</v>
      </c>
      <c r="T15">
        <v>1</v>
      </c>
      <c r="U15">
        <v>10</v>
      </c>
      <c r="X15">
        <f t="shared" si="33"/>
        <v>7</v>
      </c>
      <c r="Z15" t="s">
        <v>21</v>
      </c>
      <c r="AA15" t="s">
        <v>22</v>
      </c>
      <c r="AE15" t="s">
        <v>21</v>
      </c>
      <c r="AF15" t="s">
        <v>22</v>
      </c>
      <c r="AG15" t="s">
        <v>35</v>
      </c>
      <c r="AK15" t="s">
        <v>10</v>
      </c>
      <c r="AL15" t="s">
        <v>25</v>
      </c>
      <c r="AM15" t="s">
        <v>26</v>
      </c>
      <c r="AN15" t="s">
        <v>27</v>
      </c>
      <c r="AP15" t="s">
        <v>15</v>
      </c>
      <c r="AQ15" t="s">
        <v>85</v>
      </c>
    </row>
    <row r="16" spans="1:66" x14ac:dyDescent="0.2">
      <c r="A16" t="s">
        <v>28</v>
      </c>
      <c r="D16">
        <f>SUM(D4:D15)</f>
        <v>12</v>
      </c>
      <c r="E16">
        <f>SUM(E4:E15)</f>
        <v>11</v>
      </c>
      <c r="F16">
        <f>SUM(F4:F15)</f>
        <v>2</v>
      </c>
      <c r="G16">
        <f>SUM(G4:G15)</f>
        <v>60</v>
      </c>
      <c r="H16">
        <f>SUM(H4:H15)</f>
        <v>0</v>
      </c>
      <c r="K16">
        <f>SUM(K4:K15)</f>
        <v>36</v>
      </c>
      <c r="L16">
        <f>SUM(L4:L15)</f>
        <v>2</v>
      </c>
      <c r="M16">
        <f>SUM(M4:M15)</f>
        <v>2</v>
      </c>
      <c r="N16">
        <f>SUM(N4:N15)</f>
        <v>36</v>
      </c>
      <c r="O16">
        <f>SUM(O4:O15)</f>
        <v>35</v>
      </c>
      <c r="Q16">
        <f t="shared" ref="Q16:R16" si="34">SUM(Q4:Q15)</f>
        <v>0</v>
      </c>
      <c r="R16">
        <f t="shared" si="34"/>
        <v>3</v>
      </c>
      <c r="S16">
        <f>SUM(S4:S15)</f>
        <v>11</v>
      </c>
      <c r="T16">
        <f>SUM(T4:T15)</f>
        <v>10</v>
      </c>
      <c r="U16">
        <f>SUM(U4:U15)</f>
        <v>88</v>
      </c>
      <c r="V16">
        <f>SUM(V4:V15)</f>
        <v>0</v>
      </c>
      <c r="W16">
        <f>SUM(W4:W15)</f>
        <v>22</v>
      </c>
      <c r="Z16">
        <f t="shared" ref="Z16:Z27" si="35">COUNTIF(Z2:AC2, "3")*COUNTIF(C4, "r")+COUNTIF(Z2:AC2, "5")*COUNTIF(C4, "b")</f>
        <v>0</v>
      </c>
      <c r="AA16">
        <f t="shared" ref="AA16:AA27" si="36">COUNTIF(Z2:AC2, "1")+COUNTIF(Z2:AC2, "2")+COUNTIF(Z2:AC2, "4")</f>
        <v>0</v>
      </c>
      <c r="AE16">
        <f t="shared" ref="AE16:AE27" si="37">COUNTIF(AE2:AI2, "3")*COUNTIF(C4, "r") + COUNTIF(AE2:AI2, "5")*COUNTIF(C4, "b")</f>
        <v>0</v>
      </c>
      <c r="AF16">
        <f t="shared" ref="AF16:AF27" si="38">COUNTIF(AE2:AI2, "1")+COUNTIF(AE2:AI2, "2")+COUNTIF(AE2:AI2, "4")</f>
        <v>0</v>
      </c>
      <c r="AG16">
        <f t="shared" ref="AG16:AG27" si="39">COUNTIF(AE2:AI2, "3")*COUNTIF(AE2:AI2, "b")+COUNTIF(AE2:AI2, "5")*COUNTIF(AE2:AI2, "r")</f>
        <v>0</v>
      </c>
      <c r="AK16">
        <f t="shared" ref="AK16:AK27" si="40">SUMPRODUCT(LEN($AK2:$BH2) - LEN(SUBSTITUTE($AK2:$BH2, "g", "")))</f>
        <v>0</v>
      </c>
      <c r="AL16">
        <f t="shared" ref="AL16:AL27" si="41">SUMPRODUCT(LEN($AK2:$BH2) - LEN(SUBSTITUTE($AK2:$BH2, "h", "")))</f>
        <v>0</v>
      </c>
      <c r="AM16">
        <f t="shared" ref="AM16:AM27" si="42">SUMPRODUCT(LEN($AK2:$BH2) - LEN(SUBSTITUTE($AK2:$BH2, "v", "")))</f>
        <v>0</v>
      </c>
      <c r="AN16">
        <f t="shared" ref="AN16:AN27" si="43">SUMPRODUCT(LEN($AK2:$BH2) - LEN(SUBSTITUTE($AK2:$BH2, "r", "")))</f>
        <v>0</v>
      </c>
      <c r="AP16">
        <f>MAX(AQ16:BN16)</f>
        <v>0</v>
      </c>
      <c r="AQ16" s="4">
        <f>_xlfn.NUMBERVALUE(RIGHT(AK2,1))</f>
        <v>0</v>
      </c>
      <c r="AR16" s="4">
        <f t="shared" ref="AR16:BG27" si="44">_xlfn.NUMBERVALUE(RIGHT(AL2,1))</f>
        <v>0</v>
      </c>
      <c r="AS16" s="4">
        <f t="shared" si="44"/>
        <v>0</v>
      </c>
      <c r="AT16" s="4">
        <f t="shared" si="44"/>
        <v>0</v>
      </c>
      <c r="AU16" s="4">
        <f t="shared" si="44"/>
        <v>0</v>
      </c>
      <c r="AV16" s="4">
        <f t="shared" si="44"/>
        <v>0</v>
      </c>
      <c r="AW16" s="4">
        <f t="shared" si="44"/>
        <v>0</v>
      </c>
      <c r="AX16" s="4">
        <f t="shared" si="44"/>
        <v>0</v>
      </c>
      <c r="AY16" s="4">
        <f t="shared" si="44"/>
        <v>0</v>
      </c>
      <c r="AZ16" s="4">
        <f t="shared" si="44"/>
        <v>0</v>
      </c>
      <c r="BA16" s="4">
        <f t="shared" si="44"/>
        <v>0</v>
      </c>
      <c r="BB16" s="4">
        <f t="shared" si="44"/>
        <v>0</v>
      </c>
      <c r="BC16" s="4">
        <f t="shared" si="44"/>
        <v>0</v>
      </c>
      <c r="BD16" s="4">
        <f t="shared" si="44"/>
        <v>0</v>
      </c>
      <c r="BE16" s="4">
        <f t="shared" si="44"/>
        <v>0</v>
      </c>
      <c r="BF16" s="4">
        <f t="shared" si="44"/>
        <v>0</v>
      </c>
      <c r="BG16" s="4">
        <f t="shared" si="44"/>
        <v>0</v>
      </c>
      <c r="BH16" s="4">
        <f t="shared" ref="BH16:BN27" si="45">_xlfn.NUMBERVALUE(RIGHT(BB2,1))</f>
        <v>0</v>
      </c>
      <c r="BI16" s="4">
        <f t="shared" si="45"/>
        <v>0</v>
      </c>
      <c r="BJ16" s="4">
        <f t="shared" si="45"/>
        <v>0</v>
      </c>
      <c r="BK16" s="4">
        <f t="shared" si="45"/>
        <v>0</v>
      </c>
      <c r="BL16" s="4">
        <f t="shared" si="45"/>
        <v>0</v>
      </c>
      <c r="BM16" s="4">
        <f t="shared" si="45"/>
        <v>0</v>
      </c>
      <c r="BN16" s="4">
        <f t="shared" si="45"/>
        <v>0</v>
      </c>
    </row>
    <row r="17" spans="1:66" x14ac:dyDescent="0.2">
      <c r="A17" s="1" t="s">
        <v>20</v>
      </c>
      <c r="D17" s="1" t="s">
        <v>49</v>
      </c>
      <c r="G17" s="1" t="s">
        <v>52</v>
      </c>
      <c r="K17" s="3" t="s">
        <v>74</v>
      </c>
      <c r="P17" s="1" t="s">
        <v>66</v>
      </c>
      <c r="Z17">
        <f t="shared" si="35"/>
        <v>0</v>
      </c>
      <c r="AA17">
        <f t="shared" si="36"/>
        <v>0</v>
      </c>
      <c r="AE17">
        <f t="shared" si="37"/>
        <v>0</v>
      </c>
      <c r="AF17">
        <f t="shared" si="38"/>
        <v>0</v>
      </c>
      <c r="AG17">
        <f t="shared" si="39"/>
        <v>0</v>
      </c>
      <c r="AK17">
        <f t="shared" si="40"/>
        <v>0</v>
      </c>
      <c r="AL17">
        <f t="shared" si="41"/>
        <v>0</v>
      </c>
      <c r="AM17">
        <f t="shared" si="42"/>
        <v>0</v>
      </c>
      <c r="AN17">
        <f t="shared" si="43"/>
        <v>0</v>
      </c>
      <c r="AP17">
        <f t="shared" ref="AP17:AP27" si="46">MAX(AQ17:BN17)</f>
        <v>0</v>
      </c>
      <c r="AQ17" s="4">
        <f t="shared" ref="AQ17:AQ27" si="47">_xlfn.NUMBERVALUE(RIGHT(AK3,1))</f>
        <v>0</v>
      </c>
      <c r="AR17" s="4">
        <f t="shared" si="44"/>
        <v>0</v>
      </c>
      <c r="AS17" s="4">
        <f t="shared" si="44"/>
        <v>0</v>
      </c>
      <c r="AT17" s="4">
        <f t="shared" si="44"/>
        <v>0</v>
      </c>
      <c r="AU17" s="4">
        <f t="shared" si="44"/>
        <v>0</v>
      </c>
      <c r="AV17" s="4">
        <f t="shared" si="44"/>
        <v>0</v>
      </c>
      <c r="AW17" s="4">
        <f t="shared" si="44"/>
        <v>0</v>
      </c>
      <c r="AX17" s="4">
        <f t="shared" si="44"/>
        <v>0</v>
      </c>
      <c r="AY17" s="4">
        <f t="shared" si="44"/>
        <v>0</v>
      </c>
      <c r="AZ17" s="4">
        <f t="shared" si="44"/>
        <v>0</v>
      </c>
      <c r="BA17" s="4">
        <f t="shared" si="44"/>
        <v>0</v>
      </c>
      <c r="BB17" s="4">
        <f t="shared" si="44"/>
        <v>0</v>
      </c>
      <c r="BC17" s="4">
        <f t="shared" si="44"/>
        <v>0</v>
      </c>
      <c r="BD17" s="4">
        <f t="shared" si="44"/>
        <v>0</v>
      </c>
      <c r="BE17" s="4">
        <f t="shared" si="44"/>
        <v>0</v>
      </c>
      <c r="BF17" s="4">
        <f t="shared" si="44"/>
        <v>0</v>
      </c>
      <c r="BG17" s="4">
        <f t="shared" si="44"/>
        <v>0</v>
      </c>
      <c r="BH17" s="4">
        <f t="shared" si="45"/>
        <v>0</v>
      </c>
      <c r="BI17" s="4">
        <f t="shared" si="45"/>
        <v>0</v>
      </c>
      <c r="BJ17" s="4">
        <f t="shared" si="45"/>
        <v>0</v>
      </c>
      <c r="BK17" s="4">
        <f t="shared" si="45"/>
        <v>0</v>
      </c>
      <c r="BL17" s="4">
        <f t="shared" si="45"/>
        <v>0</v>
      </c>
      <c r="BM17" s="4">
        <f t="shared" si="45"/>
        <v>0</v>
      </c>
      <c r="BN17" s="4">
        <f t="shared" si="45"/>
        <v>0</v>
      </c>
    </row>
    <row r="18" spans="1:66" x14ac:dyDescent="0.2">
      <c r="A18" t="s">
        <v>32</v>
      </c>
      <c r="B18" t="s">
        <v>21</v>
      </c>
      <c r="D18" t="s">
        <v>180</v>
      </c>
      <c r="G18" s="3" t="s">
        <v>53</v>
      </c>
      <c r="K18" t="s">
        <v>55</v>
      </c>
      <c r="M18" t="s">
        <v>65</v>
      </c>
      <c r="P18" t="s">
        <v>67</v>
      </c>
      <c r="Z18">
        <f t="shared" si="35"/>
        <v>0</v>
      </c>
      <c r="AA18">
        <f t="shared" si="36"/>
        <v>0</v>
      </c>
      <c r="AE18">
        <f t="shared" si="37"/>
        <v>0</v>
      </c>
      <c r="AF18">
        <f t="shared" si="38"/>
        <v>0</v>
      </c>
      <c r="AG18">
        <f t="shared" si="39"/>
        <v>0</v>
      </c>
      <c r="AK18">
        <f t="shared" si="40"/>
        <v>0</v>
      </c>
      <c r="AL18">
        <f t="shared" si="41"/>
        <v>0</v>
      </c>
      <c r="AM18">
        <f t="shared" si="42"/>
        <v>0</v>
      </c>
      <c r="AN18">
        <f t="shared" si="43"/>
        <v>0</v>
      </c>
      <c r="AP18">
        <f t="shared" si="46"/>
        <v>0</v>
      </c>
      <c r="AQ18" s="4">
        <f t="shared" si="47"/>
        <v>0</v>
      </c>
      <c r="AR18" s="4">
        <f t="shared" si="44"/>
        <v>0</v>
      </c>
      <c r="AS18" s="4">
        <f t="shared" si="44"/>
        <v>0</v>
      </c>
      <c r="AT18" s="4">
        <f t="shared" si="44"/>
        <v>0</v>
      </c>
      <c r="AU18" s="4">
        <f t="shared" si="44"/>
        <v>0</v>
      </c>
      <c r="AV18" s="4">
        <f t="shared" si="44"/>
        <v>0</v>
      </c>
      <c r="AW18" s="4">
        <f t="shared" si="44"/>
        <v>0</v>
      </c>
      <c r="AX18" s="4">
        <f t="shared" si="44"/>
        <v>0</v>
      </c>
      <c r="AY18" s="4">
        <f t="shared" si="44"/>
        <v>0</v>
      </c>
      <c r="AZ18" s="4">
        <f t="shared" si="44"/>
        <v>0</v>
      </c>
      <c r="BA18" s="4">
        <f t="shared" si="44"/>
        <v>0</v>
      </c>
      <c r="BB18" s="4">
        <f t="shared" si="44"/>
        <v>0</v>
      </c>
      <c r="BC18" s="4">
        <f t="shared" si="44"/>
        <v>0</v>
      </c>
      <c r="BD18" s="4">
        <f t="shared" si="44"/>
        <v>0</v>
      </c>
      <c r="BE18" s="4">
        <f t="shared" si="44"/>
        <v>0</v>
      </c>
      <c r="BF18" s="4">
        <f t="shared" si="44"/>
        <v>0</v>
      </c>
      <c r="BG18" s="4">
        <f t="shared" si="44"/>
        <v>0</v>
      </c>
      <c r="BH18" s="4">
        <f t="shared" si="45"/>
        <v>0</v>
      </c>
      <c r="BI18" s="4">
        <f t="shared" si="45"/>
        <v>0</v>
      </c>
      <c r="BJ18" s="4">
        <f t="shared" si="45"/>
        <v>0</v>
      </c>
      <c r="BK18" s="4">
        <f t="shared" si="45"/>
        <v>0</v>
      </c>
      <c r="BL18" s="4">
        <f t="shared" si="45"/>
        <v>0</v>
      </c>
      <c r="BM18" s="4">
        <f t="shared" si="45"/>
        <v>0</v>
      </c>
      <c r="BN18" s="4">
        <f t="shared" si="45"/>
        <v>0</v>
      </c>
    </row>
    <row r="19" spans="1:66" x14ac:dyDescent="0.2">
      <c r="A19" t="s">
        <v>40</v>
      </c>
      <c r="B19" t="s">
        <v>22</v>
      </c>
      <c r="D19">
        <f>E16/D16</f>
        <v>0.91666666666666663</v>
      </c>
      <c r="G19" t="s">
        <v>75</v>
      </c>
      <c r="K19">
        <f>O16/N16</f>
        <v>0.97222222222222221</v>
      </c>
      <c r="M19">
        <f>SUM(M39:M50)</f>
        <v>3</v>
      </c>
      <c r="P19">
        <f>T16/S16</f>
        <v>0.90909090909090906</v>
      </c>
      <c r="Z19">
        <f t="shared" si="35"/>
        <v>0</v>
      </c>
      <c r="AA19">
        <f t="shared" si="36"/>
        <v>0</v>
      </c>
      <c r="AE19">
        <f t="shared" si="37"/>
        <v>0</v>
      </c>
      <c r="AF19">
        <f t="shared" si="38"/>
        <v>0</v>
      </c>
      <c r="AG19">
        <f t="shared" si="39"/>
        <v>0</v>
      </c>
      <c r="AK19">
        <f t="shared" si="40"/>
        <v>0</v>
      </c>
      <c r="AL19">
        <f t="shared" si="41"/>
        <v>0</v>
      </c>
      <c r="AM19">
        <f t="shared" si="42"/>
        <v>0</v>
      </c>
      <c r="AN19">
        <f t="shared" si="43"/>
        <v>0</v>
      </c>
      <c r="AP19">
        <f t="shared" si="46"/>
        <v>0</v>
      </c>
      <c r="AQ19" s="4">
        <f t="shared" si="47"/>
        <v>0</v>
      </c>
      <c r="AR19" s="4">
        <f t="shared" si="44"/>
        <v>0</v>
      </c>
      <c r="AS19" s="4">
        <f t="shared" si="44"/>
        <v>0</v>
      </c>
      <c r="AT19" s="4">
        <f t="shared" si="44"/>
        <v>0</v>
      </c>
      <c r="AU19" s="4">
        <f t="shared" si="44"/>
        <v>0</v>
      </c>
      <c r="AV19" s="4">
        <f t="shared" si="44"/>
        <v>0</v>
      </c>
      <c r="AW19" s="4">
        <f t="shared" si="44"/>
        <v>0</v>
      </c>
      <c r="AX19" s="4">
        <f t="shared" si="44"/>
        <v>0</v>
      </c>
      <c r="AY19" s="4">
        <f t="shared" si="44"/>
        <v>0</v>
      </c>
      <c r="AZ19" s="4">
        <f t="shared" si="44"/>
        <v>0</v>
      </c>
      <c r="BA19" s="4">
        <f t="shared" si="44"/>
        <v>0</v>
      </c>
      <c r="BB19" s="4">
        <f t="shared" si="44"/>
        <v>0</v>
      </c>
      <c r="BC19" s="4">
        <f t="shared" si="44"/>
        <v>0</v>
      </c>
      <c r="BD19" s="4">
        <f t="shared" si="44"/>
        <v>0</v>
      </c>
      <c r="BE19" s="4">
        <f t="shared" si="44"/>
        <v>0</v>
      </c>
      <c r="BF19" s="4">
        <f t="shared" si="44"/>
        <v>0</v>
      </c>
      <c r="BG19" s="4">
        <f t="shared" si="44"/>
        <v>0</v>
      </c>
      <c r="BH19" s="4">
        <f t="shared" si="45"/>
        <v>0</v>
      </c>
      <c r="BI19" s="4">
        <f t="shared" si="45"/>
        <v>0</v>
      </c>
      <c r="BJ19" s="4">
        <f t="shared" si="45"/>
        <v>0</v>
      </c>
      <c r="BK19" s="4">
        <f t="shared" si="45"/>
        <v>0</v>
      </c>
      <c r="BL19" s="4">
        <f t="shared" si="45"/>
        <v>0</v>
      </c>
      <c r="BM19" s="4">
        <f t="shared" si="45"/>
        <v>0</v>
      </c>
      <c r="BN19" s="4">
        <f t="shared" si="45"/>
        <v>0</v>
      </c>
    </row>
    <row r="20" spans="1:66" x14ac:dyDescent="0.2">
      <c r="A20" t="s">
        <v>41</v>
      </c>
      <c r="B20" t="s">
        <v>23</v>
      </c>
      <c r="D20" t="s">
        <v>47</v>
      </c>
      <c r="G20">
        <f>AK28/AP28</f>
        <v>0.25</v>
      </c>
      <c r="K20" t="s">
        <v>13</v>
      </c>
      <c r="Z20">
        <f t="shared" si="35"/>
        <v>0</v>
      </c>
      <c r="AA20">
        <f t="shared" si="36"/>
        <v>0</v>
      </c>
      <c r="AE20">
        <f t="shared" si="37"/>
        <v>0</v>
      </c>
      <c r="AF20">
        <f t="shared" si="38"/>
        <v>0</v>
      </c>
      <c r="AG20">
        <f t="shared" si="39"/>
        <v>0</v>
      </c>
      <c r="AK20">
        <f t="shared" si="40"/>
        <v>0</v>
      </c>
      <c r="AL20">
        <f t="shared" si="41"/>
        <v>0</v>
      </c>
      <c r="AM20">
        <f t="shared" si="42"/>
        <v>0</v>
      </c>
      <c r="AN20">
        <f t="shared" si="43"/>
        <v>0</v>
      </c>
      <c r="AP20">
        <f t="shared" si="46"/>
        <v>0</v>
      </c>
      <c r="AQ20" s="4">
        <f t="shared" si="47"/>
        <v>0</v>
      </c>
      <c r="AR20" s="4">
        <f t="shared" si="44"/>
        <v>0</v>
      </c>
      <c r="AS20" s="4">
        <f t="shared" si="44"/>
        <v>0</v>
      </c>
      <c r="AT20" s="4">
        <f t="shared" si="44"/>
        <v>0</v>
      </c>
      <c r="AU20" s="4">
        <f t="shared" si="44"/>
        <v>0</v>
      </c>
      <c r="AV20" s="4">
        <f t="shared" si="44"/>
        <v>0</v>
      </c>
      <c r="AW20" s="4">
        <f t="shared" si="44"/>
        <v>0</v>
      </c>
      <c r="AX20" s="4">
        <f t="shared" si="44"/>
        <v>0</v>
      </c>
      <c r="AY20" s="4">
        <f t="shared" si="44"/>
        <v>0</v>
      </c>
      <c r="AZ20" s="4">
        <f t="shared" si="44"/>
        <v>0</v>
      </c>
      <c r="BA20" s="4">
        <f t="shared" si="44"/>
        <v>0</v>
      </c>
      <c r="BB20" s="4">
        <f t="shared" si="44"/>
        <v>0</v>
      </c>
      <c r="BC20" s="4">
        <f t="shared" si="44"/>
        <v>0</v>
      </c>
      <c r="BD20" s="4">
        <f t="shared" si="44"/>
        <v>0</v>
      </c>
      <c r="BE20" s="4">
        <f t="shared" si="44"/>
        <v>0</v>
      </c>
      <c r="BF20" s="4">
        <f t="shared" si="44"/>
        <v>0</v>
      </c>
      <c r="BG20" s="4">
        <f t="shared" si="44"/>
        <v>0</v>
      </c>
      <c r="BH20" s="4">
        <f t="shared" si="45"/>
        <v>0</v>
      </c>
      <c r="BI20" s="4">
        <f t="shared" si="45"/>
        <v>0</v>
      </c>
      <c r="BJ20" s="4">
        <f t="shared" si="45"/>
        <v>0</v>
      </c>
      <c r="BK20" s="4">
        <f t="shared" si="45"/>
        <v>0</v>
      </c>
      <c r="BL20" s="4">
        <f t="shared" si="45"/>
        <v>0</v>
      </c>
      <c r="BM20" s="4">
        <f t="shared" si="45"/>
        <v>0</v>
      </c>
      <c r="BN20" s="4">
        <f t="shared" si="45"/>
        <v>0</v>
      </c>
    </row>
    <row r="21" spans="1:66" x14ac:dyDescent="0.2">
      <c r="A21" s="1" t="s">
        <v>24</v>
      </c>
      <c r="D21">
        <f>G16/A31</f>
        <v>5</v>
      </c>
      <c r="G21" t="s">
        <v>76</v>
      </c>
      <c r="K21" t="s">
        <v>57</v>
      </c>
      <c r="L21" t="s">
        <v>58</v>
      </c>
      <c r="M21" t="s">
        <v>59</v>
      </c>
      <c r="N21" t="s">
        <v>60</v>
      </c>
      <c r="Z21">
        <f t="shared" si="35"/>
        <v>0</v>
      </c>
      <c r="AA21">
        <f t="shared" si="36"/>
        <v>0</v>
      </c>
      <c r="AE21">
        <f t="shared" si="37"/>
        <v>0</v>
      </c>
      <c r="AF21">
        <f t="shared" si="38"/>
        <v>0</v>
      </c>
      <c r="AG21">
        <f t="shared" si="39"/>
        <v>0</v>
      </c>
      <c r="AK21">
        <f t="shared" si="40"/>
        <v>1</v>
      </c>
      <c r="AL21">
        <f t="shared" si="41"/>
        <v>0</v>
      </c>
      <c r="AM21">
        <f t="shared" si="42"/>
        <v>0</v>
      </c>
      <c r="AN21">
        <f t="shared" si="43"/>
        <v>0</v>
      </c>
      <c r="AP21">
        <f t="shared" si="46"/>
        <v>1</v>
      </c>
      <c r="AQ21" s="4">
        <f t="shared" si="47"/>
        <v>1</v>
      </c>
      <c r="AR21" s="4">
        <f t="shared" si="44"/>
        <v>0</v>
      </c>
      <c r="AS21" s="4">
        <f t="shared" si="44"/>
        <v>0</v>
      </c>
      <c r="AT21" s="4">
        <f t="shared" si="44"/>
        <v>0</v>
      </c>
      <c r="AU21" s="4">
        <f t="shared" si="44"/>
        <v>0</v>
      </c>
      <c r="AV21" s="4">
        <f t="shared" si="44"/>
        <v>0</v>
      </c>
      <c r="AW21" s="4">
        <f t="shared" si="44"/>
        <v>0</v>
      </c>
      <c r="AX21" s="4">
        <f t="shared" si="44"/>
        <v>0</v>
      </c>
      <c r="AY21" s="4">
        <f t="shared" si="44"/>
        <v>0</v>
      </c>
      <c r="AZ21" s="4">
        <f t="shared" si="44"/>
        <v>0</v>
      </c>
      <c r="BA21" s="4">
        <f t="shared" si="44"/>
        <v>0</v>
      </c>
      <c r="BB21" s="4">
        <f t="shared" si="44"/>
        <v>0</v>
      </c>
      <c r="BC21" s="4">
        <f t="shared" si="44"/>
        <v>0</v>
      </c>
      <c r="BD21" s="4">
        <f t="shared" si="44"/>
        <v>0</v>
      </c>
      <c r="BE21" s="4">
        <f t="shared" si="44"/>
        <v>0</v>
      </c>
      <c r="BF21" s="4">
        <f t="shared" si="44"/>
        <v>0</v>
      </c>
      <c r="BG21" s="4">
        <f t="shared" si="44"/>
        <v>0</v>
      </c>
      <c r="BH21" s="4">
        <f t="shared" si="45"/>
        <v>0</v>
      </c>
      <c r="BI21" s="4">
        <f t="shared" si="45"/>
        <v>0</v>
      </c>
      <c r="BJ21" s="4">
        <f t="shared" si="45"/>
        <v>0</v>
      </c>
      <c r="BK21" s="4">
        <f t="shared" si="45"/>
        <v>0</v>
      </c>
      <c r="BL21" s="4">
        <f t="shared" si="45"/>
        <v>0</v>
      </c>
      <c r="BM21" s="4">
        <f t="shared" si="45"/>
        <v>0</v>
      </c>
      <c r="BN21" s="4">
        <f t="shared" si="45"/>
        <v>0</v>
      </c>
    </row>
    <row r="22" spans="1:66" x14ac:dyDescent="0.2">
      <c r="A22" t="s">
        <v>36</v>
      </c>
      <c r="B22" t="s">
        <v>10</v>
      </c>
      <c r="D22" t="s">
        <v>48</v>
      </c>
      <c r="G22">
        <f>AL28/AP28</f>
        <v>0.75</v>
      </c>
      <c r="K22">
        <f>AVERAGE(C39:C50)</f>
        <v>2.9166666666666665</v>
      </c>
      <c r="L22">
        <f>MEDIAN(C39:C50)</f>
        <v>3</v>
      </c>
      <c r="M22">
        <f>MAX(C39:C50)</f>
        <v>4</v>
      </c>
      <c r="N22">
        <f>_xlfn.STDEV.S(C39:C50)</f>
        <v>1.1645001528813153</v>
      </c>
      <c r="Z22">
        <f t="shared" si="35"/>
        <v>0</v>
      </c>
      <c r="AA22">
        <f t="shared" si="36"/>
        <v>0</v>
      </c>
      <c r="AE22">
        <f t="shared" si="37"/>
        <v>1</v>
      </c>
      <c r="AF22">
        <f t="shared" si="38"/>
        <v>1</v>
      </c>
      <c r="AG22">
        <f t="shared" si="39"/>
        <v>0</v>
      </c>
      <c r="AK22">
        <f t="shared" si="40"/>
        <v>0</v>
      </c>
      <c r="AL22">
        <f t="shared" si="41"/>
        <v>2</v>
      </c>
      <c r="AM22">
        <f t="shared" si="42"/>
        <v>0</v>
      </c>
      <c r="AN22">
        <f t="shared" si="43"/>
        <v>0</v>
      </c>
      <c r="AP22">
        <f t="shared" si="46"/>
        <v>2</v>
      </c>
      <c r="AQ22" s="4">
        <f t="shared" si="47"/>
        <v>1</v>
      </c>
      <c r="AR22" s="4">
        <f t="shared" si="44"/>
        <v>2</v>
      </c>
      <c r="AS22" s="4">
        <f t="shared" si="44"/>
        <v>0</v>
      </c>
      <c r="AT22" s="4">
        <f t="shared" si="44"/>
        <v>0</v>
      </c>
      <c r="AU22" s="4">
        <f t="shared" si="44"/>
        <v>0</v>
      </c>
      <c r="AV22" s="4">
        <f t="shared" si="44"/>
        <v>0</v>
      </c>
      <c r="AW22" s="4">
        <f t="shared" si="44"/>
        <v>0</v>
      </c>
      <c r="AX22" s="4">
        <f t="shared" si="44"/>
        <v>0</v>
      </c>
      <c r="AY22" s="4">
        <f t="shared" si="44"/>
        <v>0</v>
      </c>
      <c r="AZ22" s="4">
        <f t="shared" si="44"/>
        <v>0</v>
      </c>
      <c r="BA22" s="4">
        <f t="shared" si="44"/>
        <v>0</v>
      </c>
      <c r="BB22" s="4">
        <f t="shared" si="44"/>
        <v>0</v>
      </c>
      <c r="BC22" s="4">
        <f t="shared" si="44"/>
        <v>0</v>
      </c>
      <c r="BD22" s="4">
        <f t="shared" si="44"/>
        <v>0</v>
      </c>
      <c r="BE22" s="4">
        <f t="shared" si="44"/>
        <v>0</v>
      </c>
      <c r="BF22" s="4">
        <f t="shared" si="44"/>
        <v>0</v>
      </c>
      <c r="BG22" s="4">
        <f t="shared" si="44"/>
        <v>0</v>
      </c>
      <c r="BH22" s="4">
        <f t="shared" si="45"/>
        <v>0</v>
      </c>
      <c r="BI22" s="4">
        <f t="shared" si="45"/>
        <v>0</v>
      </c>
      <c r="BJ22" s="4">
        <f t="shared" si="45"/>
        <v>0</v>
      </c>
      <c r="BK22" s="4">
        <f t="shared" si="45"/>
        <v>0</v>
      </c>
      <c r="BL22" s="4">
        <f t="shared" si="45"/>
        <v>0</v>
      </c>
      <c r="BM22" s="4">
        <f t="shared" si="45"/>
        <v>0</v>
      </c>
      <c r="BN22" s="4">
        <f t="shared" si="45"/>
        <v>0</v>
      </c>
    </row>
    <row r="23" spans="1:66" x14ac:dyDescent="0.2">
      <c r="A23" t="s">
        <v>37</v>
      </c>
      <c r="B23" t="s">
        <v>25</v>
      </c>
      <c r="D23">
        <f>H16/A31</f>
        <v>0</v>
      </c>
      <c r="G23" t="s">
        <v>77</v>
      </c>
      <c r="K23" t="s">
        <v>8</v>
      </c>
      <c r="Z23">
        <f t="shared" si="35"/>
        <v>0</v>
      </c>
      <c r="AA23">
        <f t="shared" si="36"/>
        <v>0</v>
      </c>
      <c r="AE23">
        <f t="shared" si="37"/>
        <v>0</v>
      </c>
      <c r="AF23">
        <f t="shared" si="38"/>
        <v>0</v>
      </c>
      <c r="AG23">
        <f t="shared" si="39"/>
        <v>0</v>
      </c>
      <c r="AK23">
        <f t="shared" si="40"/>
        <v>0</v>
      </c>
      <c r="AL23">
        <f t="shared" si="41"/>
        <v>0</v>
      </c>
      <c r="AM23">
        <f t="shared" si="42"/>
        <v>0</v>
      </c>
      <c r="AN23">
        <f t="shared" si="43"/>
        <v>0</v>
      </c>
      <c r="AP23">
        <f t="shared" si="46"/>
        <v>0</v>
      </c>
      <c r="AQ23" s="4">
        <f t="shared" si="47"/>
        <v>0</v>
      </c>
      <c r="AR23" s="4">
        <f t="shared" si="44"/>
        <v>0</v>
      </c>
      <c r="AS23" s="4">
        <f t="shared" si="44"/>
        <v>0</v>
      </c>
      <c r="AT23" s="4">
        <f t="shared" si="44"/>
        <v>0</v>
      </c>
      <c r="AU23" s="4">
        <f t="shared" si="44"/>
        <v>0</v>
      </c>
      <c r="AV23" s="4">
        <f t="shared" si="44"/>
        <v>0</v>
      </c>
      <c r="AW23" s="4">
        <f t="shared" si="44"/>
        <v>0</v>
      </c>
      <c r="AX23" s="4">
        <f t="shared" si="44"/>
        <v>0</v>
      </c>
      <c r="AY23" s="4">
        <f t="shared" si="44"/>
        <v>0</v>
      </c>
      <c r="AZ23" s="4">
        <f t="shared" si="44"/>
        <v>0</v>
      </c>
      <c r="BA23" s="4">
        <f t="shared" si="44"/>
        <v>0</v>
      </c>
      <c r="BB23" s="4">
        <f t="shared" si="44"/>
        <v>0</v>
      </c>
      <c r="BC23" s="4">
        <f t="shared" si="44"/>
        <v>0</v>
      </c>
      <c r="BD23" s="4">
        <f t="shared" si="44"/>
        <v>0</v>
      </c>
      <c r="BE23" s="4">
        <f t="shared" si="44"/>
        <v>0</v>
      </c>
      <c r="BF23" s="4">
        <f t="shared" si="44"/>
        <v>0</v>
      </c>
      <c r="BG23" s="4">
        <f t="shared" si="44"/>
        <v>0</v>
      </c>
      <c r="BH23" s="4">
        <f t="shared" si="45"/>
        <v>0</v>
      </c>
      <c r="BI23" s="4">
        <f t="shared" si="45"/>
        <v>0</v>
      </c>
      <c r="BJ23" s="4">
        <f t="shared" si="45"/>
        <v>0</v>
      </c>
      <c r="BK23" s="4">
        <f t="shared" si="45"/>
        <v>0</v>
      </c>
      <c r="BL23" s="4">
        <f t="shared" si="45"/>
        <v>0</v>
      </c>
      <c r="BM23" s="4">
        <f t="shared" si="45"/>
        <v>0</v>
      </c>
      <c r="BN23" s="4">
        <f t="shared" si="45"/>
        <v>0</v>
      </c>
    </row>
    <row r="24" spans="1:66" x14ac:dyDescent="0.2">
      <c r="A24" t="s">
        <v>38</v>
      </c>
      <c r="B24" t="s">
        <v>26</v>
      </c>
      <c r="D24" t="s">
        <v>50</v>
      </c>
      <c r="G24">
        <f>AM28/AP28</f>
        <v>0</v>
      </c>
      <c r="K24" t="s">
        <v>57</v>
      </c>
      <c r="L24" t="s">
        <v>61</v>
      </c>
      <c r="M24" t="s">
        <v>59</v>
      </c>
      <c r="N24" t="s">
        <v>60</v>
      </c>
      <c r="Z24">
        <f t="shared" si="35"/>
        <v>0</v>
      </c>
      <c r="AA24">
        <f t="shared" si="36"/>
        <v>0</v>
      </c>
      <c r="AE24">
        <f t="shared" si="37"/>
        <v>0</v>
      </c>
      <c r="AF24">
        <f t="shared" si="38"/>
        <v>0</v>
      </c>
      <c r="AG24">
        <f t="shared" si="39"/>
        <v>0</v>
      </c>
      <c r="AK24">
        <f t="shared" si="40"/>
        <v>0</v>
      </c>
      <c r="AL24">
        <f t="shared" si="41"/>
        <v>1</v>
      </c>
      <c r="AM24">
        <f t="shared" si="42"/>
        <v>0</v>
      </c>
      <c r="AN24">
        <f t="shared" si="43"/>
        <v>0</v>
      </c>
      <c r="AP24">
        <f t="shared" si="46"/>
        <v>1</v>
      </c>
      <c r="AQ24" s="4">
        <f t="shared" si="47"/>
        <v>1</v>
      </c>
      <c r="AR24" s="4">
        <f t="shared" si="44"/>
        <v>0</v>
      </c>
      <c r="AS24" s="4">
        <f t="shared" si="44"/>
        <v>0</v>
      </c>
      <c r="AT24" s="4">
        <f t="shared" si="44"/>
        <v>0</v>
      </c>
      <c r="AU24" s="4">
        <f t="shared" si="44"/>
        <v>0</v>
      </c>
      <c r="AV24" s="4">
        <f t="shared" si="44"/>
        <v>0</v>
      </c>
      <c r="AW24" s="4">
        <f t="shared" si="44"/>
        <v>0</v>
      </c>
      <c r="AX24" s="4">
        <f t="shared" si="44"/>
        <v>0</v>
      </c>
      <c r="AY24" s="4">
        <f t="shared" si="44"/>
        <v>0</v>
      </c>
      <c r="AZ24" s="4">
        <f t="shared" si="44"/>
        <v>0</v>
      </c>
      <c r="BA24" s="4">
        <f t="shared" si="44"/>
        <v>0</v>
      </c>
      <c r="BB24" s="4">
        <f t="shared" si="44"/>
        <v>0</v>
      </c>
      <c r="BC24" s="4">
        <f t="shared" si="44"/>
        <v>0</v>
      </c>
      <c r="BD24" s="4">
        <f t="shared" si="44"/>
        <v>0</v>
      </c>
      <c r="BE24" s="4">
        <f t="shared" si="44"/>
        <v>0</v>
      </c>
      <c r="BF24" s="4">
        <f t="shared" si="44"/>
        <v>0</v>
      </c>
      <c r="BG24" s="4">
        <f t="shared" si="44"/>
        <v>0</v>
      </c>
      <c r="BH24" s="4">
        <f t="shared" si="45"/>
        <v>0</v>
      </c>
      <c r="BI24" s="4">
        <f t="shared" si="45"/>
        <v>0</v>
      </c>
      <c r="BJ24" s="4">
        <f t="shared" si="45"/>
        <v>0</v>
      </c>
      <c r="BK24" s="4">
        <f t="shared" si="45"/>
        <v>0</v>
      </c>
      <c r="BL24" s="4">
        <f t="shared" si="45"/>
        <v>0</v>
      </c>
      <c r="BM24" s="4">
        <f t="shared" si="45"/>
        <v>0</v>
      </c>
      <c r="BN24" s="4">
        <f t="shared" si="45"/>
        <v>0</v>
      </c>
    </row>
    <row r="25" spans="1:66" x14ac:dyDescent="0.2">
      <c r="A25" t="s">
        <v>39</v>
      </c>
      <c r="B25" t="s">
        <v>27</v>
      </c>
      <c r="D25">
        <f>Z28/A31</f>
        <v>0</v>
      </c>
      <c r="G25" t="s">
        <v>78</v>
      </c>
      <c r="K25">
        <f>AVERAGE(E39:E50)</f>
        <v>0</v>
      </c>
      <c r="L25">
        <f>MEDIAN(E39:E50)</f>
        <v>0</v>
      </c>
      <c r="M25">
        <f>MAX(E39:E50)</f>
        <v>0</v>
      </c>
      <c r="N25">
        <f>_xlfn.STDEV.S(E39:E50)</f>
        <v>0</v>
      </c>
      <c r="Z25">
        <f t="shared" si="35"/>
        <v>0</v>
      </c>
      <c r="AA25">
        <f t="shared" si="36"/>
        <v>0</v>
      </c>
      <c r="AE25">
        <f t="shared" si="37"/>
        <v>0</v>
      </c>
      <c r="AF25">
        <f t="shared" si="38"/>
        <v>0</v>
      </c>
      <c r="AG25">
        <f t="shared" si="39"/>
        <v>0</v>
      </c>
      <c r="AK25">
        <f t="shared" si="40"/>
        <v>0</v>
      </c>
      <c r="AL25">
        <f t="shared" si="41"/>
        <v>0</v>
      </c>
      <c r="AM25">
        <f t="shared" si="42"/>
        <v>0</v>
      </c>
      <c r="AN25">
        <f t="shared" si="43"/>
        <v>0</v>
      </c>
      <c r="AP25">
        <f t="shared" si="46"/>
        <v>0</v>
      </c>
      <c r="AQ25" s="4">
        <f t="shared" si="47"/>
        <v>0</v>
      </c>
      <c r="AR25" s="4">
        <f t="shared" si="44"/>
        <v>0</v>
      </c>
      <c r="AS25" s="4">
        <f t="shared" si="44"/>
        <v>0</v>
      </c>
      <c r="AT25" s="4">
        <f t="shared" si="44"/>
        <v>0</v>
      </c>
      <c r="AU25" s="4">
        <f t="shared" si="44"/>
        <v>0</v>
      </c>
      <c r="AV25" s="4">
        <f t="shared" si="44"/>
        <v>0</v>
      </c>
      <c r="AW25" s="4">
        <f t="shared" si="44"/>
        <v>0</v>
      </c>
      <c r="AX25" s="4">
        <f t="shared" si="44"/>
        <v>0</v>
      </c>
      <c r="AY25" s="4">
        <f t="shared" si="44"/>
        <v>0</v>
      </c>
      <c r="AZ25" s="4">
        <f t="shared" si="44"/>
        <v>0</v>
      </c>
      <c r="BA25" s="4">
        <f t="shared" si="44"/>
        <v>0</v>
      </c>
      <c r="BB25" s="4">
        <f t="shared" si="44"/>
        <v>0</v>
      </c>
      <c r="BC25" s="4">
        <f t="shared" si="44"/>
        <v>0</v>
      </c>
      <c r="BD25" s="4">
        <f t="shared" si="44"/>
        <v>0</v>
      </c>
      <c r="BE25" s="4">
        <f t="shared" si="44"/>
        <v>0</v>
      </c>
      <c r="BF25" s="4">
        <f t="shared" si="44"/>
        <v>0</v>
      </c>
      <c r="BG25" s="4">
        <f t="shared" si="44"/>
        <v>0</v>
      </c>
      <c r="BH25" s="4">
        <f t="shared" si="45"/>
        <v>0</v>
      </c>
      <c r="BI25" s="4">
        <f t="shared" si="45"/>
        <v>0</v>
      </c>
      <c r="BJ25" s="4">
        <f t="shared" si="45"/>
        <v>0</v>
      </c>
      <c r="BK25" s="4">
        <f t="shared" si="45"/>
        <v>0</v>
      </c>
      <c r="BL25" s="4">
        <f t="shared" si="45"/>
        <v>0</v>
      </c>
      <c r="BM25" s="4">
        <f t="shared" si="45"/>
        <v>0</v>
      </c>
      <c r="BN25" s="4">
        <f t="shared" si="45"/>
        <v>0</v>
      </c>
    </row>
    <row r="26" spans="1:66" x14ac:dyDescent="0.2">
      <c r="A26" t="s">
        <v>44</v>
      </c>
      <c r="D26" t="s">
        <v>51</v>
      </c>
      <c r="G26">
        <f>AN28/AP28</f>
        <v>0</v>
      </c>
      <c r="K26" t="s">
        <v>62</v>
      </c>
      <c r="P26" t="s">
        <v>19</v>
      </c>
      <c r="Z26">
        <f t="shared" si="35"/>
        <v>0</v>
      </c>
      <c r="AA26">
        <f t="shared" si="36"/>
        <v>0</v>
      </c>
      <c r="AE26">
        <f t="shared" si="37"/>
        <v>0</v>
      </c>
      <c r="AF26">
        <f t="shared" si="38"/>
        <v>0</v>
      </c>
      <c r="AG26">
        <f t="shared" si="39"/>
        <v>0</v>
      </c>
      <c r="AK26">
        <f t="shared" si="40"/>
        <v>0</v>
      </c>
      <c r="AL26">
        <f t="shared" si="41"/>
        <v>0</v>
      </c>
      <c r="AM26">
        <f t="shared" si="42"/>
        <v>0</v>
      </c>
      <c r="AN26">
        <f t="shared" si="43"/>
        <v>0</v>
      </c>
      <c r="AP26">
        <f t="shared" si="46"/>
        <v>0</v>
      </c>
      <c r="AQ26" s="4">
        <f t="shared" si="47"/>
        <v>0</v>
      </c>
      <c r="AR26" s="4">
        <f t="shared" si="44"/>
        <v>0</v>
      </c>
      <c r="AS26" s="4">
        <f t="shared" si="44"/>
        <v>0</v>
      </c>
      <c r="AT26" s="4">
        <f t="shared" si="44"/>
        <v>0</v>
      </c>
      <c r="AU26" s="4">
        <f t="shared" si="44"/>
        <v>0</v>
      </c>
      <c r="AV26" s="4">
        <f t="shared" si="44"/>
        <v>0</v>
      </c>
      <c r="AW26" s="4">
        <f t="shared" si="44"/>
        <v>0</v>
      </c>
      <c r="AX26" s="4">
        <f t="shared" si="44"/>
        <v>0</v>
      </c>
      <c r="AY26" s="4">
        <f t="shared" si="44"/>
        <v>0</v>
      </c>
      <c r="AZ26" s="4">
        <f t="shared" si="44"/>
        <v>0</v>
      </c>
      <c r="BA26" s="4">
        <f t="shared" si="44"/>
        <v>0</v>
      </c>
      <c r="BB26" s="4">
        <f t="shared" si="44"/>
        <v>0</v>
      </c>
      <c r="BC26" s="4">
        <f t="shared" si="44"/>
        <v>0</v>
      </c>
      <c r="BD26" s="4">
        <f t="shared" si="44"/>
        <v>0</v>
      </c>
      <c r="BE26" s="4">
        <f t="shared" si="44"/>
        <v>0</v>
      </c>
      <c r="BF26" s="4">
        <f t="shared" si="44"/>
        <v>0</v>
      </c>
      <c r="BG26" s="4">
        <f t="shared" si="44"/>
        <v>0</v>
      </c>
      <c r="BH26" s="4">
        <f t="shared" si="45"/>
        <v>0</v>
      </c>
      <c r="BI26" s="4">
        <f t="shared" si="45"/>
        <v>0</v>
      </c>
      <c r="BJ26" s="4">
        <f t="shared" si="45"/>
        <v>0</v>
      </c>
      <c r="BK26" s="4">
        <f t="shared" si="45"/>
        <v>0</v>
      </c>
      <c r="BL26" s="4">
        <f t="shared" si="45"/>
        <v>0</v>
      </c>
      <c r="BM26" s="4">
        <f t="shared" si="45"/>
        <v>0</v>
      </c>
      <c r="BN26" s="4">
        <f t="shared" si="45"/>
        <v>0</v>
      </c>
    </row>
    <row r="27" spans="1:66" x14ac:dyDescent="0.2">
      <c r="A27" t="s">
        <v>45</v>
      </c>
      <c r="D27">
        <f>AA28/A31</f>
        <v>0</v>
      </c>
      <c r="G27" t="s">
        <v>56</v>
      </c>
      <c r="K27" t="s">
        <v>57</v>
      </c>
      <c r="L27" t="s">
        <v>58</v>
      </c>
      <c r="M27" t="s">
        <v>59</v>
      </c>
      <c r="N27" t="s">
        <v>60</v>
      </c>
      <c r="P27" t="s">
        <v>57</v>
      </c>
      <c r="Q27" t="s">
        <v>58</v>
      </c>
      <c r="R27" t="s">
        <v>59</v>
      </c>
      <c r="S27" t="s">
        <v>60</v>
      </c>
      <c r="Z27">
        <f t="shared" si="35"/>
        <v>0</v>
      </c>
      <c r="AA27">
        <f t="shared" si="36"/>
        <v>0</v>
      </c>
      <c r="AE27">
        <f t="shared" si="37"/>
        <v>0</v>
      </c>
      <c r="AF27">
        <f t="shared" si="38"/>
        <v>0</v>
      </c>
      <c r="AG27">
        <f t="shared" si="39"/>
        <v>0</v>
      </c>
      <c r="AK27">
        <f t="shared" si="40"/>
        <v>0</v>
      </c>
      <c r="AL27">
        <f t="shared" si="41"/>
        <v>0</v>
      </c>
      <c r="AM27">
        <f t="shared" si="42"/>
        <v>0</v>
      </c>
      <c r="AN27">
        <f t="shared" si="43"/>
        <v>0</v>
      </c>
      <c r="AP27">
        <f t="shared" si="46"/>
        <v>0</v>
      </c>
      <c r="AQ27" s="4">
        <f t="shared" si="47"/>
        <v>0</v>
      </c>
      <c r="AR27" s="4">
        <f t="shared" si="44"/>
        <v>0</v>
      </c>
      <c r="AS27" s="4">
        <f t="shared" si="44"/>
        <v>0</v>
      </c>
      <c r="AT27" s="4">
        <f t="shared" si="44"/>
        <v>0</v>
      </c>
      <c r="AU27" s="4">
        <f t="shared" si="44"/>
        <v>0</v>
      </c>
      <c r="AV27" s="4">
        <f t="shared" si="44"/>
        <v>0</v>
      </c>
      <c r="AW27" s="4">
        <f t="shared" si="44"/>
        <v>0</v>
      </c>
      <c r="AX27" s="4">
        <f t="shared" si="44"/>
        <v>0</v>
      </c>
      <c r="AY27" s="4">
        <f t="shared" si="44"/>
        <v>0</v>
      </c>
      <c r="AZ27" s="4">
        <f t="shared" si="44"/>
        <v>0</v>
      </c>
      <c r="BA27" s="4">
        <f t="shared" si="44"/>
        <v>0</v>
      </c>
      <c r="BB27" s="4">
        <f t="shared" si="44"/>
        <v>0</v>
      </c>
      <c r="BC27" s="4">
        <f t="shared" si="44"/>
        <v>0</v>
      </c>
      <c r="BD27" s="4">
        <f t="shared" si="44"/>
        <v>0</v>
      </c>
      <c r="BE27" s="4">
        <f t="shared" si="44"/>
        <v>0</v>
      </c>
      <c r="BF27" s="4">
        <f t="shared" si="44"/>
        <v>0</v>
      </c>
      <c r="BG27" s="4">
        <f t="shared" si="44"/>
        <v>0</v>
      </c>
      <c r="BH27" s="4">
        <f t="shared" si="45"/>
        <v>0</v>
      </c>
      <c r="BI27" s="4">
        <f t="shared" si="45"/>
        <v>0</v>
      </c>
      <c r="BJ27" s="4">
        <f t="shared" si="45"/>
        <v>0</v>
      </c>
      <c r="BK27" s="4">
        <f t="shared" si="45"/>
        <v>0</v>
      </c>
      <c r="BL27" s="4">
        <f t="shared" si="45"/>
        <v>0</v>
      </c>
      <c r="BM27" s="4">
        <f t="shared" si="45"/>
        <v>0</v>
      </c>
      <c r="BN27" s="4">
        <f t="shared" si="45"/>
        <v>0</v>
      </c>
    </row>
    <row r="28" spans="1:66" x14ac:dyDescent="0.2">
      <c r="A28" t="s">
        <v>46</v>
      </c>
      <c r="D28" t="s">
        <v>202</v>
      </c>
      <c r="G28" t="s">
        <v>57</v>
      </c>
      <c r="H28" t="s">
        <v>58</v>
      </c>
      <c r="I28" t="s">
        <v>59</v>
      </c>
      <c r="J28" t="s">
        <v>60</v>
      </c>
      <c r="K28">
        <f>AVERAGE(G39:G50)</f>
        <v>0.25</v>
      </c>
      <c r="L28">
        <f>MEDIAN(G39:G50)</f>
        <v>0</v>
      </c>
      <c r="M28">
        <f>MAX(G39:G50)</f>
        <v>1</v>
      </c>
      <c r="N28">
        <f>_xlfn.STDEV.S(G39:G50)</f>
        <v>0.45226701686664544</v>
      </c>
      <c r="P28">
        <f>AVERAGE(N39:N50)</f>
        <v>7.333333333333333</v>
      </c>
      <c r="Q28">
        <f>MEDIAN(N39:N50)</f>
        <v>5</v>
      </c>
      <c r="R28">
        <f>MAX(N39:N50)</f>
        <v>22</v>
      </c>
      <c r="S28">
        <f>_xlfn.STDEV.S(N39:N50)</f>
        <v>6.0802711263312075</v>
      </c>
      <c r="Y28" t="s">
        <v>33</v>
      </c>
      <c r="Z28">
        <f>SUM(Z16:Z27)</f>
        <v>0</v>
      </c>
      <c r="AA28">
        <f>SUM(AA16:AA27)</f>
        <v>0</v>
      </c>
      <c r="AE28">
        <f>SUM(AE16:AE27)</f>
        <v>1</v>
      </c>
      <c r="AF28">
        <f>SUM(AF16:AF27)</f>
        <v>1</v>
      </c>
      <c r="AG28">
        <f>SUM(AG16:AG27)</f>
        <v>0</v>
      </c>
      <c r="AK28">
        <f>SUM(AK16:AK27)</f>
        <v>1</v>
      </c>
      <c r="AL28">
        <f>SUM(AL16:AL27)</f>
        <v>3</v>
      </c>
      <c r="AM28">
        <f>SUM(AM16:AM27)</f>
        <v>0</v>
      </c>
      <c r="AN28">
        <f>SUM(AN16:AN27)</f>
        <v>0</v>
      </c>
      <c r="AP28">
        <f>SUM(AP16:AP27)</f>
        <v>4</v>
      </c>
    </row>
    <row r="29" spans="1:66" x14ac:dyDescent="0.2">
      <c r="D29">
        <f>SUM(O39:O50)/F16</f>
        <v>1</v>
      </c>
      <c r="G29">
        <f>AVERAGE(A39:A50)</f>
        <v>0.16666666666666666</v>
      </c>
      <c r="H29">
        <f>MEDIAN(A39:A50)</f>
        <v>0</v>
      </c>
      <c r="I29">
        <f>MAX(A39:A50)</f>
        <v>2</v>
      </c>
      <c r="J29">
        <f>_xlfn.STDEV.S(A39:A50)</f>
        <v>0.57735026918962573</v>
      </c>
      <c r="K29" t="s">
        <v>63</v>
      </c>
      <c r="P29" t="s">
        <v>148</v>
      </c>
    </row>
    <row r="30" spans="1:66" x14ac:dyDescent="0.2">
      <c r="A30" t="s">
        <v>147</v>
      </c>
      <c r="D30" t="s">
        <v>203</v>
      </c>
      <c r="G30" t="s">
        <v>50</v>
      </c>
      <c r="H30" t="s">
        <v>51</v>
      </c>
      <c r="I30" t="s">
        <v>89</v>
      </c>
      <c r="K30" t="s">
        <v>57</v>
      </c>
      <c r="L30" t="s">
        <v>58</v>
      </c>
      <c r="M30" t="s">
        <v>59</v>
      </c>
      <c r="N30" t="s">
        <v>60</v>
      </c>
      <c r="P30" t="s">
        <v>57</v>
      </c>
      <c r="Q30" t="s">
        <v>58</v>
      </c>
      <c r="R30" t="s">
        <v>59</v>
      </c>
      <c r="S30" t="s">
        <v>60</v>
      </c>
      <c r="W30" t="s">
        <v>148</v>
      </c>
      <c r="Y30" t="s">
        <v>149</v>
      </c>
      <c r="AH30" t="s">
        <v>79</v>
      </c>
    </row>
    <row r="31" spans="1:66" x14ac:dyDescent="0.2">
      <c r="A31">
        <f>COUNT(B4:B15)</f>
        <v>12</v>
      </c>
      <c r="D31" s="2">
        <f>SUM(S39:S50)/SUM(Q39:Q50)</f>
        <v>0.9</v>
      </c>
      <c r="G31">
        <f>AE28/A31</f>
        <v>8.3333333333333329E-2</v>
      </c>
      <c r="H31">
        <f>AF28/A31</f>
        <v>8.3333333333333329E-2</v>
      </c>
      <c r="I31">
        <f>AG28/A31</f>
        <v>0</v>
      </c>
      <c r="K31" t="e">
        <f>AVERAGE(I39:I50)</f>
        <v>#DIV/0!</v>
      </c>
      <c r="L31" t="e">
        <f>MEDIAN(I39:I50)</f>
        <v>#NUM!</v>
      </c>
      <c r="M31">
        <f>MAX(I39:I50)</f>
        <v>0</v>
      </c>
      <c r="N31" t="e">
        <f>_xlfn.STDEV.S(I39:I50)</f>
        <v>#DIV/0!</v>
      </c>
      <c r="P31">
        <f>AVERAGE(W31:W42)</f>
        <v>7.333333333333333</v>
      </c>
      <c r="Q31">
        <f>MEDIAN(W31:W42)</f>
        <v>5</v>
      </c>
      <c r="R31">
        <f>MAX(W31:W42)</f>
        <v>22</v>
      </c>
      <c r="S31">
        <f>_xlfn.STDEV.S(W31:W42)</f>
        <v>6.0802711263312075</v>
      </c>
      <c r="W31">
        <f t="shared" ref="W31:W33" si="48">IF(AND(ISBLANK(Q4), ISBLANK(R4), ISBLANK(G4), ISBLANK(H4)), "", U4)</f>
        <v>0</v>
      </c>
      <c r="Y31">
        <f t="shared" ref="Y31:Y42" si="49">IF(ISBLANK(Y4), IF(X4 = 0, "", (G4 + H4/3 + V4/9 + W4/3)), U4)</f>
        <v>0</v>
      </c>
      <c r="AH31" t="s">
        <v>80</v>
      </c>
    </row>
    <row r="32" spans="1:66" x14ac:dyDescent="0.2">
      <c r="D32" s="3"/>
      <c r="K32" t="s">
        <v>64</v>
      </c>
      <c r="P32" t="s">
        <v>149</v>
      </c>
      <c r="W32">
        <f t="shared" si="48"/>
        <v>4</v>
      </c>
      <c r="Y32">
        <f t="shared" si="49"/>
        <v>4</v>
      </c>
      <c r="AH32" t="s">
        <v>81</v>
      </c>
    </row>
    <row r="33" spans="1:34" x14ac:dyDescent="0.2">
      <c r="D33" s="3"/>
      <c r="K33" t="s">
        <v>57</v>
      </c>
      <c r="L33" t="s">
        <v>58</v>
      </c>
      <c r="M33" t="s">
        <v>59</v>
      </c>
      <c r="N33" t="s">
        <v>60</v>
      </c>
      <c r="P33" t="s">
        <v>57</v>
      </c>
      <c r="Q33" t="s">
        <v>58</v>
      </c>
      <c r="R33" t="s">
        <v>59</v>
      </c>
      <c r="S33" t="s">
        <v>60</v>
      </c>
      <c r="W33">
        <f t="shared" si="48"/>
        <v>5</v>
      </c>
      <c r="Y33">
        <f t="shared" si="49"/>
        <v>5</v>
      </c>
      <c r="AH33" t="s">
        <v>82</v>
      </c>
    </row>
    <row r="34" spans="1:34" x14ac:dyDescent="0.2">
      <c r="D34" s="3"/>
      <c r="K34">
        <f>AVERAGE(K39:K50)</f>
        <v>0.25</v>
      </c>
      <c r="L34">
        <f>MEDIAN(K39:K50)</f>
        <v>0</v>
      </c>
      <c r="M34">
        <f>MAX(K39:K50)</f>
        <v>1</v>
      </c>
      <c r="N34">
        <f>_xlfn.STDEV.S(K39:K50)</f>
        <v>0.45226701686664544</v>
      </c>
      <c r="P34">
        <f>AVERAGE(Y31:Y42)</f>
        <v>6.5277777777777777</v>
      </c>
      <c r="Q34">
        <f>MEDIAN(Y31:Y42)</f>
        <v>4.5</v>
      </c>
      <c r="R34">
        <f>MAX(Y31:Y42)</f>
        <v>22</v>
      </c>
      <c r="S34">
        <f>_xlfn.STDEV.S(Y31:Y42)</f>
        <v>6.0460494378324272</v>
      </c>
      <c r="W34">
        <f>IF(AND(ISBLANK(Q7), ISBLANK(R7), ISBLANK(G7), ISBLANK(H7)), "", U7)</f>
        <v>6</v>
      </c>
      <c r="Y34">
        <f t="shared" si="49"/>
        <v>6</v>
      </c>
      <c r="AH34" t="s">
        <v>83</v>
      </c>
    </row>
    <row r="35" spans="1:34" x14ac:dyDescent="0.2">
      <c r="P35" t="s">
        <v>95</v>
      </c>
      <c r="R35" t="s">
        <v>197</v>
      </c>
      <c r="W35">
        <f t="shared" ref="W35:W42" si="50">IF(AND(ISBLANK(Q8), ISBLANK(R8), ISBLANK(G8), ISBLANK(H8)), "", U8)</f>
        <v>10</v>
      </c>
      <c r="Y35">
        <f t="shared" si="49"/>
        <v>3</v>
      </c>
    </row>
    <row r="36" spans="1:34" x14ac:dyDescent="0.2">
      <c r="P36">
        <f>Q16/(Q16+R16)</f>
        <v>0</v>
      </c>
      <c r="R36">
        <f>R16/(Q16+R16)</f>
        <v>1</v>
      </c>
      <c r="W36">
        <f t="shared" si="50"/>
        <v>22</v>
      </c>
      <c r="Y36">
        <f t="shared" si="49"/>
        <v>22</v>
      </c>
    </row>
    <row r="37" spans="1:34" x14ac:dyDescent="0.2">
      <c r="W37">
        <f t="shared" si="50"/>
        <v>15</v>
      </c>
      <c r="Y37">
        <f t="shared" si="49"/>
        <v>15</v>
      </c>
    </row>
    <row r="38" spans="1:34" x14ac:dyDescent="0.2">
      <c r="A38" t="s">
        <v>68</v>
      </c>
      <c r="C38" t="s">
        <v>69</v>
      </c>
      <c r="E38" t="s">
        <v>72</v>
      </c>
      <c r="G38" t="s">
        <v>250</v>
      </c>
      <c r="K38" t="s">
        <v>73</v>
      </c>
      <c r="M38" t="s">
        <v>70</v>
      </c>
      <c r="N38" t="s">
        <v>71</v>
      </c>
      <c r="O38" t="s">
        <v>199</v>
      </c>
      <c r="Q38" t="s">
        <v>200</v>
      </c>
      <c r="S38" t="s">
        <v>201</v>
      </c>
      <c r="W38">
        <f t="shared" si="50"/>
        <v>4</v>
      </c>
      <c r="Y38">
        <f t="shared" si="49"/>
        <v>4</v>
      </c>
    </row>
    <row r="39" spans="1:34" x14ac:dyDescent="0.2">
      <c r="A39">
        <f t="shared" ref="A39:A50" si="51">IF(ISBLANK(B4), "", SUM(AE16+AF16+AG16))</f>
        <v>0</v>
      </c>
      <c r="C39">
        <f t="shared" ref="C39:C50" si="52">IF(ISBLANK(B4), "", O4)</f>
        <v>4</v>
      </c>
      <c r="E39">
        <f t="shared" ref="E39:E50" si="53">IF(ISBLANK(B4), "", Q4)</f>
        <v>0</v>
      </c>
      <c r="G39">
        <f t="shared" ref="G39:G50" si="54">IF(ISBLANK(B4), "", R4)</f>
        <v>0</v>
      </c>
      <c r="K39">
        <f t="shared" ref="K39:K50" si="55">IF(ISBLANK(B4), "", SUM(Q4 + R4))</f>
        <v>0</v>
      </c>
      <c r="M39">
        <f t="shared" ref="M39:M50" si="56">IF(ISBLANK(B4), "", SUM(K4+M4) - O4)</f>
        <v>0</v>
      </c>
      <c r="N39">
        <f t="shared" ref="N39:N50" si="57">IF(ISBLANK(B4), "", U4)</f>
        <v>0</v>
      </c>
      <c r="O39">
        <f t="shared" ref="O39:O50" si="58">COUNTIF(E4, "1")*COUNTIF(F4, "1")</f>
        <v>0</v>
      </c>
      <c r="Q39">
        <f t="shared" ref="Q39:Q50" si="59">COUNTIF(D4, "1")*COUNTIF(F4, "")</f>
        <v>1</v>
      </c>
      <c r="S39">
        <f t="shared" ref="S39:S50" si="60">COUNTIF(E4, "1")*COUNTIF(F4, "")</f>
        <v>1</v>
      </c>
      <c r="W39">
        <f t="shared" si="50"/>
        <v>4</v>
      </c>
      <c r="Y39">
        <f t="shared" si="49"/>
        <v>4</v>
      </c>
    </row>
    <row r="40" spans="1:34" x14ac:dyDescent="0.2">
      <c r="A40">
        <f t="shared" si="51"/>
        <v>0</v>
      </c>
      <c r="C40">
        <f t="shared" si="52"/>
        <v>3</v>
      </c>
      <c r="E40">
        <f t="shared" si="53"/>
        <v>0</v>
      </c>
      <c r="G40">
        <f t="shared" si="54"/>
        <v>0</v>
      </c>
      <c r="K40">
        <f t="shared" si="55"/>
        <v>0</v>
      </c>
      <c r="M40">
        <f t="shared" si="56"/>
        <v>0</v>
      </c>
      <c r="N40">
        <f t="shared" si="57"/>
        <v>4</v>
      </c>
      <c r="O40">
        <f t="shared" si="58"/>
        <v>0</v>
      </c>
      <c r="Q40">
        <f t="shared" si="59"/>
        <v>1</v>
      </c>
      <c r="S40">
        <f t="shared" si="60"/>
        <v>1</v>
      </c>
      <c r="W40">
        <f t="shared" si="50"/>
        <v>5</v>
      </c>
      <c r="Y40">
        <f t="shared" si="49"/>
        <v>5.333333333333333</v>
      </c>
    </row>
    <row r="41" spans="1:34" x14ac:dyDescent="0.2">
      <c r="A41">
        <f t="shared" si="51"/>
        <v>0</v>
      </c>
      <c r="C41">
        <f t="shared" si="52"/>
        <v>3</v>
      </c>
      <c r="E41">
        <f t="shared" si="53"/>
        <v>0</v>
      </c>
      <c r="G41">
        <f t="shared" si="54"/>
        <v>0</v>
      </c>
      <c r="K41">
        <f t="shared" si="55"/>
        <v>0</v>
      </c>
      <c r="M41">
        <f t="shared" si="56"/>
        <v>0</v>
      </c>
      <c r="N41">
        <f t="shared" si="57"/>
        <v>5</v>
      </c>
      <c r="O41">
        <f t="shared" si="58"/>
        <v>0</v>
      </c>
      <c r="Q41">
        <f t="shared" si="59"/>
        <v>1</v>
      </c>
      <c r="S41">
        <f t="shared" si="60"/>
        <v>0</v>
      </c>
      <c r="W41">
        <f t="shared" si="50"/>
        <v>3</v>
      </c>
      <c r="Y41">
        <f t="shared" si="49"/>
        <v>3</v>
      </c>
    </row>
    <row r="42" spans="1:34" x14ac:dyDescent="0.2">
      <c r="A42">
        <f t="shared" si="51"/>
        <v>0</v>
      </c>
      <c r="C42">
        <f t="shared" si="52"/>
        <v>4</v>
      </c>
      <c r="E42">
        <f t="shared" si="53"/>
        <v>0</v>
      </c>
      <c r="G42">
        <f t="shared" si="54"/>
        <v>0</v>
      </c>
      <c r="K42">
        <f t="shared" si="55"/>
        <v>0</v>
      </c>
      <c r="M42">
        <f t="shared" si="56"/>
        <v>0</v>
      </c>
      <c r="N42">
        <f t="shared" si="57"/>
        <v>6</v>
      </c>
      <c r="O42">
        <f t="shared" si="58"/>
        <v>0</v>
      </c>
      <c r="Q42">
        <f t="shared" si="59"/>
        <v>1</v>
      </c>
      <c r="S42">
        <f t="shared" si="60"/>
        <v>1</v>
      </c>
      <c r="W42">
        <f t="shared" si="50"/>
        <v>10</v>
      </c>
      <c r="Y42">
        <f t="shared" si="49"/>
        <v>7</v>
      </c>
    </row>
    <row r="43" spans="1:34" x14ac:dyDescent="0.2">
      <c r="A43">
        <f t="shared" si="51"/>
        <v>0</v>
      </c>
      <c r="C43">
        <f t="shared" si="52"/>
        <v>3</v>
      </c>
      <c r="E43">
        <f t="shared" si="53"/>
        <v>0</v>
      </c>
      <c r="G43">
        <f t="shared" si="54"/>
        <v>0</v>
      </c>
      <c r="K43">
        <f t="shared" si="55"/>
        <v>0</v>
      </c>
      <c r="M43">
        <f t="shared" si="56"/>
        <v>1</v>
      </c>
      <c r="N43">
        <f t="shared" si="57"/>
        <v>10</v>
      </c>
      <c r="O43">
        <f t="shared" si="58"/>
        <v>0</v>
      </c>
      <c r="Q43">
        <f t="shared" si="59"/>
        <v>1</v>
      </c>
      <c r="S43">
        <f t="shared" si="60"/>
        <v>1</v>
      </c>
    </row>
    <row r="44" spans="1:34" x14ac:dyDescent="0.2">
      <c r="A44">
        <f t="shared" si="51"/>
        <v>0</v>
      </c>
      <c r="C44">
        <f t="shared" si="52"/>
        <v>1</v>
      </c>
      <c r="E44">
        <f t="shared" si="53"/>
        <v>0</v>
      </c>
      <c r="G44">
        <f t="shared" si="54"/>
        <v>0</v>
      </c>
      <c r="K44">
        <f t="shared" si="55"/>
        <v>0</v>
      </c>
      <c r="M44">
        <f t="shared" si="56"/>
        <v>0</v>
      </c>
      <c r="N44">
        <f t="shared" si="57"/>
        <v>22</v>
      </c>
      <c r="O44">
        <f t="shared" si="58"/>
        <v>0</v>
      </c>
      <c r="Q44">
        <f t="shared" si="59"/>
        <v>1</v>
      </c>
      <c r="S44">
        <f t="shared" si="60"/>
        <v>1</v>
      </c>
    </row>
    <row r="45" spans="1:34" x14ac:dyDescent="0.2">
      <c r="A45">
        <f t="shared" si="51"/>
        <v>2</v>
      </c>
      <c r="C45">
        <f t="shared" si="52"/>
        <v>1</v>
      </c>
      <c r="E45">
        <f t="shared" si="53"/>
        <v>0</v>
      </c>
      <c r="G45">
        <f t="shared" si="54"/>
        <v>1</v>
      </c>
      <c r="K45">
        <f t="shared" si="55"/>
        <v>1</v>
      </c>
      <c r="M45">
        <f t="shared" si="56"/>
        <v>1</v>
      </c>
      <c r="N45">
        <f t="shared" si="57"/>
        <v>15</v>
      </c>
      <c r="O45">
        <f t="shared" si="58"/>
        <v>0</v>
      </c>
      <c r="Q45">
        <f t="shared" si="59"/>
        <v>1</v>
      </c>
      <c r="S45">
        <f t="shared" si="60"/>
        <v>1</v>
      </c>
    </row>
    <row r="46" spans="1:34" x14ac:dyDescent="0.2">
      <c r="A46">
        <f t="shared" si="51"/>
        <v>0</v>
      </c>
      <c r="C46">
        <f t="shared" si="52"/>
        <v>2</v>
      </c>
      <c r="E46">
        <f t="shared" si="53"/>
        <v>0</v>
      </c>
      <c r="G46">
        <f t="shared" si="54"/>
        <v>0</v>
      </c>
      <c r="K46">
        <f t="shared" si="55"/>
        <v>0</v>
      </c>
      <c r="M46">
        <f t="shared" si="56"/>
        <v>0</v>
      </c>
      <c r="N46">
        <f t="shared" si="57"/>
        <v>4</v>
      </c>
      <c r="O46">
        <f t="shared" si="58"/>
        <v>1</v>
      </c>
      <c r="Q46">
        <f t="shared" si="59"/>
        <v>0</v>
      </c>
      <c r="S46">
        <f t="shared" si="60"/>
        <v>0</v>
      </c>
    </row>
    <row r="47" spans="1:34" x14ac:dyDescent="0.2">
      <c r="A47">
        <f t="shared" si="51"/>
        <v>0</v>
      </c>
      <c r="C47">
        <f t="shared" si="52"/>
        <v>2</v>
      </c>
      <c r="E47">
        <f t="shared" si="53"/>
        <v>0</v>
      </c>
      <c r="G47">
        <f t="shared" si="54"/>
        <v>1</v>
      </c>
      <c r="K47">
        <f t="shared" si="55"/>
        <v>1</v>
      </c>
      <c r="M47">
        <f t="shared" si="56"/>
        <v>1</v>
      </c>
      <c r="N47">
        <f t="shared" si="57"/>
        <v>4</v>
      </c>
      <c r="O47">
        <f t="shared" si="58"/>
        <v>0</v>
      </c>
      <c r="Q47">
        <f t="shared" si="59"/>
        <v>1</v>
      </c>
      <c r="S47">
        <f t="shared" si="60"/>
        <v>1</v>
      </c>
    </row>
    <row r="48" spans="1:34" x14ac:dyDescent="0.2">
      <c r="A48">
        <f t="shared" si="51"/>
        <v>0</v>
      </c>
      <c r="C48">
        <f t="shared" si="52"/>
        <v>4</v>
      </c>
      <c r="E48">
        <f t="shared" si="53"/>
        <v>0</v>
      </c>
      <c r="G48">
        <f t="shared" si="54"/>
        <v>1</v>
      </c>
      <c r="K48">
        <f t="shared" si="55"/>
        <v>1</v>
      </c>
      <c r="M48">
        <f t="shared" si="56"/>
        <v>0</v>
      </c>
      <c r="N48">
        <f t="shared" si="57"/>
        <v>5</v>
      </c>
      <c r="O48">
        <f t="shared" si="58"/>
        <v>1</v>
      </c>
      <c r="Q48">
        <f t="shared" si="59"/>
        <v>0</v>
      </c>
      <c r="S48">
        <f t="shared" si="60"/>
        <v>0</v>
      </c>
    </row>
    <row r="49" spans="1:19" x14ac:dyDescent="0.2">
      <c r="A49">
        <f t="shared" si="51"/>
        <v>0</v>
      </c>
      <c r="C49">
        <f t="shared" si="52"/>
        <v>4</v>
      </c>
      <c r="E49">
        <f t="shared" si="53"/>
        <v>0</v>
      </c>
      <c r="G49">
        <f t="shared" si="54"/>
        <v>0</v>
      </c>
      <c r="K49">
        <f t="shared" si="55"/>
        <v>0</v>
      </c>
      <c r="M49">
        <f t="shared" si="56"/>
        <v>0</v>
      </c>
      <c r="N49">
        <f t="shared" si="57"/>
        <v>3</v>
      </c>
      <c r="O49">
        <f t="shared" si="58"/>
        <v>0</v>
      </c>
      <c r="Q49">
        <f t="shared" si="59"/>
        <v>1</v>
      </c>
      <c r="S49">
        <f t="shared" si="60"/>
        <v>1</v>
      </c>
    </row>
    <row r="50" spans="1:19" x14ac:dyDescent="0.2">
      <c r="A50">
        <f t="shared" si="51"/>
        <v>0</v>
      </c>
      <c r="C50">
        <f t="shared" si="52"/>
        <v>4</v>
      </c>
      <c r="E50">
        <f t="shared" si="53"/>
        <v>0</v>
      </c>
      <c r="G50">
        <f t="shared" si="54"/>
        <v>0</v>
      </c>
      <c r="K50">
        <f t="shared" si="55"/>
        <v>0</v>
      </c>
      <c r="M50">
        <f t="shared" si="56"/>
        <v>0</v>
      </c>
      <c r="N50">
        <f t="shared" si="57"/>
        <v>10</v>
      </c>
      <c r="O50">
        <f t="shared" si="58"/>
        <v>0</v>
      </c>
      <c r="Q50">
        <f t="shared" si="59"/>
        <v>1</v>
      </c>
      <c r="S50">
        <f t="shared" si="60"/>
        <v>1</v>
      </c>
    </row>
  </sheetData>
  <pageMargins left="0.7" right="0.7" top="0.75" bottom="0.75" header="0.3" footer="0.3"/>
  <legacy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/>
  <dimension ref="A1:BN50"/>
  <sheetViews>
    <sheetView topLeftCell="B1" workbookViewId="0">
      <selection activeCell="U16" sqref="U16"/>
    </sheetView>
  </sheetViews>
  <sheetFormatPr baseColWidth="10" defaultRowHeight="15" x14ac:dyDescent="0.2"/>
  <sheetData>
    <row r="1" spans="1:66" x14ac:dyDescent="0.2">
      <c r="A1" s="1" t="s">
        <v>0</v>
      </c>
      <c r="D1" t="s">
        <v>3</v>
      </c>
      <c r="K1" t="s">
        <v>11</v>
      </c>
      <c r="N1" t="s">
        <v>12</v>
      </c>
      <c r="P1" t="s">
        <v>14</v>
      </c>
      <c r="Q1" t="s">
        <v>17</v>
      </c>
      <c r="S1" t="s">
        <v>18</v>
      </c>
      <c r="Z1" t="s">
        <v>29</v>
      </c>
      <c r="AE1" t="s">
        <v>30</v>
      </c>
      <c r="AK1" t="s">
        <v>42</v>
      </c>
    </row>
    <row r="2" spans="1:66" x14ac:dyDescent="0.2">
      <c r="A2" t="s">
        <v>1</v>
      </c>
      <c r="B2" t="s">
        <v>1</v>
      </c>
      <c r="C2" t="s">
        <v>87</v>
      </c>
      <c r="D2" t="s">
        <v>54</v>
      </c>
      <c r="E2" t="s">
        <v>13</v>
      </c>
      <c r="F2" t="s">
        <v>198</v>
      </c>
      <c r="G2" t="s">
        <v>7</v>
      </c>
      <c r="H2" t="s">
        <v>8</v>
      </c>
      <c r="I2" t="s">
        <v>179</v>
      </c>
      <c r="J2" t="s">
        <v>178</v>
      </c>
      <c r="K2" t="s">
        <v>9</v>
      </c>
      <c r="L2" t="s">
        <v>196</v>
      </c>
      <c r="M2" t="s">
        <v>10</v>
      </c>
      <c r="N2" t="s">
        <v>54</v>
      </c>
      <c r="O2" t="s">
        <v>13</v>
      </c>
      <c r="P2" t="s">
        <v>15</v>
      </c>
      <c r="Q2" t="s">
        <v>8</v>
      </c>
      <c r="R2" t="s">
        <v>7</v>
      </c>
      <c r="S2" t="s">
        <v>181</v>
      </c>
      <c r="T2" t="s">
        <v>182</v>
      </c>
      <c r="U2" t="s">
        <v>19</v>
      </c>
      <c r="V2" t="s">
        <v>191</v>
      </c>
      <c r="W2" t="s">
        <v>192</v>
      </c>
      <c r="X2" t="s">
        <v>175</v>
      </c>
      <c r="Y2" t="s">
        <v>173</v>
      </c>
      <c r="Z2" t="str">
        <f t="shared" ref="Z2:Z13" si="0">LEFT(I4, 1)</f>
        <v/>
      </c>
      <c r="AA2" t="str">
        <f t="shared" ref="AA2:AA13" si="1">MID(I4, 4, 1)</f>
        <v/>
      </c>
      <c r="AB2" t="str">
        <f t="shared" ref="AB2:AB13" si="2">MID(I4, 7, 1)</f>
        <v/>
      </c>
      <c r="AC2" t="str">
        <f t="shared" ref="AC2:AC13" si="3">MID(I4, 10, 1)</f>
        <v/>
      </c>
      <c r="AE2" t="str">
        <f t="shared" ref="AE2:AE13" si="4">LEFT(J4, 1)</f>
        <v/>
      </c>
      <c r="AF2" t="str">
        <f t="shared" ref="AF2:AF13" si="5">MID(J4, 4, 1)</f>
        <v/>
      </c>
      <c r="AG2" t="str">
        <f t="shared" ref="AG2:AG13" si="6">MID(J4, 7, 1)</f>
        <v/>
      </c>
      <c r="AH2" t="str">
        <f t="shared" ref="AH2:AH13" si="7">MID(J4, 10, 1)</f>
        <v/>
      </c>
      <c r="AI2" t="str">
        <f t="shared" ref="AI2:AI13" si="8">MID(J4, 13, 1)</f>
        <v/>
      </c>
      <c r="AK2" t="str">
        <f t="shared" ref="AK2:AK13" si="9">LEFT(P4, 2)</f>
        <v/>
      </c>
      <c r="AL2" t="str">
        <f>MID($P4, 5, 2)</f>
        <v/>
      </c>
      <c r="AM2" t="str">
        <f t="shared" ref="AM2:AM13" si="10">MID($P4, 9, 2)</f>
        <v/>
      </c>
      <c r="AN2" t="str">
        <f t="shared" ref="AN2:AN13" si="11">MID($P4, 13, 2)</f>
        <v/>
      </c>
      <c r="AO2" t="str">
        <f t="shared" ref="AO2:AO13" si="12">MID($P4, 17, 2)</f>
        <v/>
      </c>
      <c r="AP2" t="str">
        <f t="shared" ref="AP2:AP13" si="13">MID($P4, 21, 2)</f>
        <v/>
      </c>
      <c r="AQ2" t="str">
        <f t="shared" ref="AQ2:AQ13" si="14">MID($P4, 25, 2)</f>
        <v/>
      </c>
      <c r="AR2" t="str">
        <f t="shared" ref="AR2:AR13" si="15">MID($P4, 29, 2)</f>
        <v/>
      </c>
      <c r="AS2" t="str">
        <f t="shared" ref="AS2:AS13" si="16">MID($P4, 33, 2)</f>
        <v/>
      </c>
      <c r="AT2" t="str">
        <f t="shared" ref="AT2:AT13" si="17">MID($P4, 37, 2)</f>
        <v/>
      </c>
      <c r="AU2" t="str">
        <f t="shared" ref="AU2:AU13" si="18">MID($P4, 41, 2)</f>
        <v/>
      </c>
      <c r="AV2" t="str">
        <f t="shared" ref="AV2:AV13" si="19">MID($P4, 45, 2)</f>
        <v/>
      </c>
      <c r="AW2" t="str">
        <f t="shared" ref="AW2:AW13" si="20">MID($P4, 49, 2)</f>
        <v/>
      </c>
      <c r="AX2" t="str">
        <f t="shared" ref="AX2:AX13" si="21">MID($P4, 53, 2)</f>
        <v/>
      </c>
      <c r="AY2" t="str">
        <f t="shared" ref="AY2:AY13" si="22">MID($P4, 57, 2)</f>
        <v/>
      </c>
      <c r="AZ2" t="str">
        <f t="shared" ref="AZ2:AZ13" si="23">MID($P4, 61, 2)</f>
        <v/>
      </c>
      <c r="BA2" t="str">
        <f t="shared" ref="BA2:BA13" si="24">MID($P4, 65, 2)</f>
        <v/>
      </c>
      <c r="BB2" t="str">
        <f t="shared" ref="BB2:BB13" si="25">MID($P4, 69, 2)</f>
        <v/>
      </c>
      <c r="BC2" t="str">
        <f t="shared" ref="BC2:BC13" si="26">MID($P4, 73, 2)</f>
        <v/>
      </c>
      <c r="BD2" t="str">
        <f t="shared" ref="BD2:BD13" si="27">MID($P4, 77, 2)</f>
        <v/>
      </c>
      <c r="BE2" t="str">
        <f t="shared" ref="BE2:BE13" si="28">MID($P4, 81, 2)</f>
        <v/>
      </c>
      <c r="BF2" t="str">
        <f t="shared" ref="BF2:BF13" si="29">MID($P4, 85, 2)</f>
        <v/>
      </c>
      <c r="BG2" t="str">
        <f t="shared" ref="BG2:BG13" si="30">MID($P4, 89, 2)</f>
        <v/>
      </c>
      <c r="BH2" t="str">
        <f t="shared" ref="BH2:BH13" si="31">MID($P4, 93, 2)</f>
        <v/>
      </c>
    </row>
    <row r="3" spans="1:66" x14ac:dyDescent="0.2">
      <c r="A3" t="s">
        <v>2</v>
      </c>
      <c r="B3" t="s">
        <v>6</v>
      </c>
      <c r="C3" t="s">
        <v>88</v>
      </c>
      <c r="D3" t="s">
        <v>6</v>
      </c>
      <c r="E3" t="s">
        <v>6</v>
      </c>
      <c r="F3" t="s">
        <v>4</v>
      </c>
      <c r="G3" t="s">
        <v>6</v>
      </c>
      <c r="H3" t="s">
        <v>6</v>
      </c>
      <c r="I3" t="s">
        <v>86</v>
      </c>
      <c r="J3" t="s">
        <v>86</v>
      </c>
      <c r="K3" t="s">
        <v>6</v>
      </c>
      <c r="L3" t="s">
        <v>6</v>
      </c>
      <c r="M3" t="s">
        <v>6</v>
      </c>
      <c r="N3" t="s">
        <v>6</v>
      </c>
      <c r="O3" t="s">
        <v>6</v>
      </c>
      <c r="P3" t="s">
        <v>16</v>
      </c>
      <c r="Q3" t="s">
        <v>6</v>
      </c>
      <c r="R3" t="s">
        <v>6</v>
      </c>
      <c r="S3" t="s">
        <v>4</v>
      </c>
      <c r="T3" t="s">
        <v>4</v>
      </c>
      <c r="U3" t="s">
        <v>6</v>
      </c>
      <c r="V3" t="s">
        <v>6</v>
      </c>
      <c r="W3" t="s">
        <v>6</v>
      </c>
      <c r="X3" t="s">
        <v>6</v>
      </c>
      <c r="Y3" t="s">
        <v>174</v>
      </c>
      <c r="Z3" t="str">
        <f t="shared" si="0"/>
        <v/>
      </c>
      <c r="AA3" t="str">
        <f t="shared" si="1"/>
        <v/>
      </c>
      <c r="AB3" t="str">
        <f t="shared" si="2"/>
        <v/>
      </c>
      <c r="AC3" t="str">
        <f t="shared" si="3"/>
        <v/>
      </c>
      <c r="AE3" t="str">
        <f t="shared" si="4"/>
        <v/>
      </c>
      <c r="AF3" t="str">
        <f t="shared" si="5"/>
        <v/>
      </c>
      <c r="AG3" t="str">
        <f t="shared" si="6"/>
        <v/>
      </c>
      <c r="AH3" t="str">
        <f t="shared" si="7"/>
        <v/>
      </c>
      <c r="AI3" t="str">
        <f t="shared" si="8"/>
        <v/>
      </c>
      <c r="AK3" t="str">
        <f t="shared" si="9"/>
        <v/>
      </c>
      <c r="AL3" t="str">
        <f t="shared" ref="AL3:AL13" si="32">MID(P5, 5, 2)</f>
        <v/>
      </c>
      <c r="AM3" t="str">
        <f t="shared" si="10"/>
        <v/>
      </c>
      <c r="AN3" t="str">
        <f t="shared" si="11"/>
        <v/>
      </c>
      <c r="AO3" t="str">
        <f t="shared" si="12"/>
        <v/>
      </c>
      <c r="AP3" t="str">
        <f t="shared" si="13"/>
        <v/>
      </c>
      <c r="AQ3" t="str">
        <f t="shared" si="14"/>
        <v/>
      </c>
      <c r="AR3" t="str">
        <f t="shared" si="15"/>
        <v/>
      </c>
      <c r="AS3" t="str">
        <f t="shared" si="16"/>
        <v/>
      </c>
      <c r="AT3" t="str">
        <f t="shared" si="17"/>
        <v/>
      </c>
      <c r="AU3" t="str">
        <f t="shared" si="18"/>
        <v/>
      </c>
      <c r="AV3" t="str">
        <f t="shared" si="19"/>
        <v/>
      </c>
      <c r="AW3" t="str">
        <f t="shared" si="20"/>
        <v/>
      </c>
      <c r="AX3" t="str">
        <f t="shared" si="21"/>
        <v/>
      </c>
      <c r="AY3" t="str">
        <f t="shared" si="22"/>
        <v/>
      </c>
      <c r="AZ3" t="str">
        <f t="shared" si="23"/>
        <v/>
      </c>
      <c r="BA3" t="str">
        <f t="shared" si="24"/>
        <v/>
      </c>
      <c r="BB3" t="str">
        <f t="shared" si="25"/>
        <v/>
      </c>
      <c r="BC3" t="str">
        <f t="shared" si="26"/>
        <v/>
      </c>
      <c r="BD3" t="str">
        <f t="shared" si="27"/>
        <v/>
      </c>
      <c r="BE3" t="str">
        <f t="shared" si="28"/>
        <v/>
      </c>
      <c r="BF3" t="str">
        <f t="shared" si="29"/>
        <v/>
      </c>
      <c r="BG3" t="str">
        <f t="shared" si="30"/>
        <v/>
      </c>
      <c r="BH3" t="str">
        <f t="shared" si="31"/>
        <v/>
      </c>
    </row>
    <row r="4" spans="1:66" x14ac:dyDescent="0.2">
      <c r="A4">
        <v>1</v>
      </c>
      <c r="B4">
        <v>1</v>
      </c>
      <c r="C4" t="s">
        <v>39</v>
      </c>
      <c r="K4">
        <v>2</v>
      </c>
      <c r="L4">
        <v>1</v>
      </c>
      <c r="M4">
        <v>1</v>
      </c>
      <c r="N4">
        <v>4</v>
      </c>
      <c r="O4">
        <v>4</v>
      </c>
      <c r="S4">
        <v>1</v>
      </c>
      <c r="T4">
        <v>1</v>
      </c>
      <c r="X4">
        <f t="shared" ref="X4:X15" si="33">G4+H4+Q4+R4</f>
        <v>0</v>
      </c>
      <c r="Z4" t="str">
        <f t="shared" si="0"/>
        <v/>
      </c>
      <c r="AA4" t="str">
        <f t="shared" si="1"/>
        <v/>
      </c>
      <c r="AB4" t="str">
        <f t="shared" si="2"/>
        <v/>
      </c>
      <c r="AC4" t="str">
        <f t="shared" si="3"/>
        <v/>
      </c>
      <c r="AE4" t="str">
        <f t="shared" si="4"/>
        <v/>
      </c>
      <c r="AF4" t="str">
        <f t="shared" si="5"/>
        <v/>
      </c>
      <c r="AG4" t="str">
        <f t="shared" si="6"/>
        <v/>
      </c>
      <c r="AH4" t="str">
        <f t="shared" si="7"/>
        <v/>
      </c>
      <c r="AI4" t="str">
        <f t="shared" si="8"/>
        <v/>
      </c>
      <c r="AK4" t="str">
        <f t="shared" si="9"/>
        <v/>
      </c>
      <c r="AL4" t="str">
        <f t="shared" si="32"/>
        <v/>
      </c>
      <c r="AM4" t="str">
        <f t="shared" si="10"/>
        <v/>
      </c>
      <c r="AN4" t="str">
        <f t="shared" si="11"/>
        <v/>
      </c>
      <c r="AO4" t="str">
        <f t="shared" si="12"/>
        <v/>
      </c>
      <c r="AP4" t="str">
        <f t="shared" si="13"/>
        <v/>
      </c>
      <c r="AQ4" t="str">
        <f t="shared" si="14"/>
        <v/>
      </c>
      <c r="AR4" t="str">
        <f t="shared" si="15"/>
        <v/>
      </c>
      <c r="AS4" t="str">
        <f t="shared" si="16"/>
        <v/>
      </c>
      <c r="AT4" t="str">
        <f t="shared" si="17"/>
        <v/>
      </c>
      <c r="AU4" t="str">
        <f t="shared" si="18"/>
        <v/>
      </c>
      <c r="AV4" t="str">
        <f t="shared" si="19"/>
        <v/>
      </c>
      <c r="AW4" t="str">
        <f t="shared" si="20"/>
        <v/>
      </c>
      <c r="AX4" t="str">
        <f t="shared" si="21"/>
        <v/>
      </c>
      <c r="AY4" t="str">
        <f t="shared" si="22"/>
        <v/>
      </c>
      <c r="AZ4" t="str">
        <f t="shared" si="23"/>
        <v/>
      </c>
      <c r="BA4" t="str">
        <f t="shared" si="24"/>
        <v/>
      </c>
      <c r="BB4" t="str">
        <f t="shared" si="25"/>
        <v/>
      </c>
      <c r="BC4" t="str">
        <f t="shared" si="26"/>
        <v/>
      </c>
      <c r="BD4" t="str">
        <f t="shared" si="27"/>
        <v/>
      </c>
      <c r="BE4" t="str">
        <f t="shared" si="28"/>
        <v/>
      </c>
      <c r="BF4" t="str">
        <f t="shared" si="29"/>
        <v/>
      </c>
      <c r="BG4" t="str">
        <f t="shared" si="30"/>
        <v/>
      </c>
      <c r="BH4" t="str">
        <f t="shared" si="31"/>
        <v/>
      </c>
    </row>
    <row r="5" spans="1:66" x14ac:dyDescent="0.2">
      <c r="A5">
        <v>2</v>
      </c>
      <c r="B5">
        <v>19</v>
      </c>
      <c r="C5" t="s">
        <v>39</v>
      </c>
      <c r="K5">
        <v>1</v>
      </c>
      <c r="N5">
        <v>1</v>
      </c>
      <c r="O5">
        <v>1</v>
      </c>
      <c r="U5">
        <v>4</v>
      </c>
      <c r="X5">
        <f t="shared" si="33"/>
        <v>0</v>
      </c>
      <c r="Z5" t="str">
        <f t="shared" si="0"/>
        <v/>
      </c>
      <c r="AA5" t="str">
        <f t="shared" si="1"/>
        <v/>
      </c>
      <c r="AB5" t="str">
        <f t="shared" si="2"/>
        <v/>
      </c>
      <c r="AC5" t="str">
        <f t="shared" si="3"/>
        <v/>
      </c>
      <c r="AE5" t="str">
        <f t="shared" si="4"/>
        <v/>
      </c>
      <c r="AF5" t="str">
        <f t="shared" si="5"/>
        <v/>
      </c>
      <c r="AG5" t="str">
        <f t="shared" si="6"/>
        <v/>
      </c>
      <c r="AH5" t="str">
        <f t="shared" si="7"/>
        <v/>
      </c>
      <c r="AI5" t="str">
        <f t="shared" si="8"/>
        <v/>
      </c>
      <c r="AK5" t="str">
        <f t="shared" si="9"/>
        <v/>
      </c>
      <c r="AL5" t="str">
        <f t="shared" si="32"/>
        <v/>
      </c>
      <c r="AM5" t="str">
        <f t="shared" si="10"/>
        <v/>
      </c>
      <c r="AN5" t="str">
        <f t="shared" si="11"/>
        <v/>
      </c>
      <c r="AO5" t="str">
        <f t="shared" si="12"/>
        <v/>
      </c>
      <c r="AP5" t="str">
        <f t="shared" si="13"/>
        <v/>
      </c>
      <c r="AQ5" t="str">
        <f t="shared" si="14"/>
        <v/>
      </c>
      <c r="AR5" t="str">
        <f t="shared" si="15"/>
        <v/>
      </c>
      <c r="AS5" t="str">
        <f t="shared" si="16"/>
        <v/>
      </c>
      <c r="AT5" t="str">
        <f t="shared" si="17"/>
        <v/>
      </c>
      <c r="AU5" t="str">
        <f t="shared" si="18"/>
        <v/>
      </c>
      <c r="AV5" t="str">
        <f t="shared" si="19"/>
        <v/>
      </c>
      <c r="AW5" t="str">
        <f t="shared" si="20"/>
        <v/>
      </c>
      <c r="AX5" t="str">
        <f t="shared" si="21"/>
        <v/>
      </c>
      <c r="AY5" t="str">
        <f t="shared" si="22"/>
        <v/>
      </c>
      <c r="AZ5" t="str">
        <f t="shared" si="23"/>
        <v/>
      </c>
      <c r="BA5" t="str">
        <f t="shared" si="24"/>
        <v/>
      </c>
      <c r="BB5" t="str">
        <f t="shared" si="25"/>
        <v/>
      </c>
      <c r="BC5" t="str">
        <f t="shared" si="26"/>
        <v/>
      </c>
      <c r="BD5" t="str">
        <f t="shared" si="27"/>
        <v/>
      </c>
      <c r="BE5" t="str">
        <f t="shared" si="28"/>
        <v/>
      </c>
      <c r="BF5" t="str">
        <f t="shared" si="29"/>
        <v/>
      </c>
      <c r="BG5" t="str">
        <f t="shared" si="30"/>
        <v/>
      </c>
      <c r="BH5" t="str">
        <f t="shared" si="31"/>
        <v/>
      </c>
    </row>
    <row r="6" spans="1:66" x14ac:dyDescent="0.2">
      <c r="A6">
        <v>3</v>
      </c>
      <c r="B6">
        <v>29</v>
      </c>
      <c r="C6" t="s">
        <v>207</v>
      </c>
      <c r="K6">
        <v>2</v>
      </c>
      <c r="L6">
        <v>1</v>
      </c>
      <c r="N6">
        <v>3</v>
      </c>
      <c r="O6">
        <v>3</v>
      </c>
      <c r="S6">
        <v>1</v>
      </c>
      <c r="T6">
        <v>1</v>
      </c>
      <c r="U6">
        <v>9</v>
      </c>
      <c r="X6">
        <f t="shared" si="33"/>
        <v>0</v>
      </c>
      <c r="Z6" t="str">
        <f t="shared" si="0"/>
        <v/>
      </c>
      <c r="AA6" t="str">
        <f t="shared" si="1"/>
        <v/>
      </c>
      <c r="AB6" t="str">
        <f t="shared" si="2"/>
        <v/>
      </c>
      <c r="AC6" t="str">
        <f t="shared" si="3"/>
        <v/>
      </c>
      <c r="AE6" t="str">
        <f t="shared" si="4"/>
        <v>1</v>
      </c>
      <c r="AF6" t="str">
        <f t="shared" si="5"/>
        <v>2</v>
      </c>
      <c r="AG6" t="str">
        <f t="shared" si="6"/>
        <v/>
      </c>
      <c r="AH6" t="str">
        <f t="shared" si="7"/>
        <v/>
      </c>
      <c r="AI6" t="str">
        <f t="shared" si="8"/>
        <v/>
      </c>
      <c r="AK6" t="str">
        <f t="shared" si="9"/>
        <v/>
      </c>
      <c r="AL6" t="str">
        <f t="shared" si="32"/>
        <v/>
      </c>
      <c r="AM6" t="str">
        <f t="shared" si="10"/>
        <v/>
      </c>
      <c r="AN6" t="str">
        <f t="shared" si="11"/>
        <v/>
      </c>
      <c r="AO6" t="str">
        <f t="shared" si="12"/>
        <v/>
      </c>
      <c r="AP6" t="str">
        <f t="shared" si="13"/>
        <v/>
      </c>
      <c r="AQ6" t="str">
        <f t="shared" si="14"/>
        <v/>
      </c>
      <c r="AR6" t="str">
        <f t="shared" si="15"/>
        <v/>
      </c>
      <c r="AS6" t="str">
        <f t="shared" si="16"/>
        <v/>
      </c>
      <c r="AT6" t="str">
        <f t="shared" si="17"/>
        <v/>
      </c>
      <c r="AU6" t="str">
        <f t="shared" si="18"/>
        <v/>
      </c>
      <c r="AV6" t="str">
        <f t="shared" si="19"/>
        <v/>
      </c>
      <c r="AW6" t="str">
        <f t="shared" si="20"/>
        <v/>
      </c>
      <c r="AX6" t="str">
        <f t="shared" si="21"/>
        <v/>
      </c>
      <c r="AY6" t="str">
        <f t="shared" si="22"/>
        <v/>
      </c>
      <c r="AZ6" t="str">
        <f t="shared" si="23"/>
        <v/>
      </c>
      <c r="BA6" t="str">
        <f t="shared" si="24"/>
        <v/>
      </c>
      <c r="BB6" t="str">
        <f t="shared" si="25"/>
        <v/>
      </c>
      <c r="BC6" t="str">
        <f t="shared" si="26"/>
        <v/>
      </c>
      <c r="BD6" t="str">
        <f t="shared" si="27"/>
        <v/>
      </c>
      <c r="BE6" t="str">
        <f t="shared" si="28"/>
        <v/>
      </c>
      <c r="BF6" t="str">
        <f t="shared" si="29"/>
        <v/>
      </c>
      <c r="BG6" t="str">
        <f t="shared" si="30"/>
        <v/>
      </c>
      <c r="BH6" t="str">
        <f t="shared" si="31"/>
        <v/>
      </c>
    </row>
    <row r="7" spans="1:66" x14ac:dyDescent="0.2">
      <c r="A7">
        <v>4</v>
      </c>
      <c r="B7">
        <v>34</v>
      </c>
      <c r="C7" t="s">
        <v>39</v>
      </c>
      <c r="D7">
        <v>1</v>
      </c>
      <c r="F7">
        <v>1</v>
      </c>
      <c r="K7">
        <v>1</v>
      </c>
      <c r="N7">
        <v>4</v>
      </c>
      <c r="O7">
        <v>2</v>
      </c>
      <c r="S7">
        <v>1</v>
      </c>
      <c r="T7">
        <v>1</v>
      </c>
      <c r="X7">
        <f t="shared" si="33"/>
        <v>0</v>
      </c>
      <c r="Z7" t="str">
        <f t="shared" si="0"/>
        <v/>
      </c>
      <c r="AA7" t="str">
        <f t="shared" si="1"/>
        <v/>
      </c>
      <c r="AB7" t="str">
        <f t="shared" si="2"/>
        <v/>
      </c>
      <c r="AC7" t="str">
        <f t="shared" si="3"/>
        <v/>
      </c>
      <c r="AE7" t="str">
        <f t="shared" si="4"/>
        <v/>
      </c>
      <c r="AF7" t="str">
        <f t="shared" si="5"/>
        <v/>
      </c>
      <c r="AG7" t="str">
        <f t="shared" si="6"/>
        <v/>
      </c>
      <c r="AH7" t="str">
        <f t="shared" si="7"/>
        <v/>
      </c>
      <c r="AI7" t="str">
        <f t="shared" si="8"/>
        <v/>
      </c>
      <c r="AK7" t="str">
        <f t="shared" si="9"/>
        <v/>
      </c>
      <c r="AL7" t="str">
        <f t="shared" si="32"/>
        <v/>
      </c>
      <c r="AM7" t="str">
        <f t="shared" si="10"/>
        <v/>
      </c>
      <c r="AN7" t="str">
        <f t="shared" si="11"/>
        <v/>
      </c>
      <c r="AO7" t="str">
        <f t="shared" si="12"/>
        <v/>
      </c>
      <c r="AP7" t="str">
        <f t="shared" si="13"/>
        <v/>
      </c>
      <c r="AQ7" t="str">
        <f t="shared" si="14"/>
        <v/>
      </c>
      <c r="AR7" t="str">
        <f t="shared" si="15"/>
        <v/>
      </c>
      <c r="AS7" t="str">
        <f t="shared" si="16"/>
        <v/>
      </c>
      <c r="AT7" t="str">
        <f t="shared" si="17"/>
        <v/>
      </c>
      <c r="AU7" t="str">
        <f t="shared" si="18"/>
        <v/>
      </c>
      <c r="AV7" t="str">
        <f t="shared" si="19"/>
        <v/>
      </c>
      <c r="AW7" t="str">
        <f t="shared" si="20"/>
        <v/>
      </c>
      <c r="AX7" t="str">
        <f t="shared" si="21"/>
        <v/>
      </c>
      <c r="AY7" t="str">
        <f t="shared" si="22"/>
        <v/>
      </c>
      <c r="AZ7" t="str">
        <f t="shared" si="23"/>
        <v/>
      </c>
      <c r="BA7" t="str">
        <f t="shared" si="24"/>
        <v/>
      </c>
      <c r="BB7" t="str">
        <f t="shared" si="25"/>
        <v/>
      </c>
      <c r="BC7" t="str">
        <f t="shared" si="26"/>
        <v/>
      </c>
      <c r="BD7" t="str">
        <f t="shared" si="27"/>
        <v/>
      </c>
      <c r="BE7" t="str">
        <f t="shared" si="28"/>
        <v/>
      </c>
      <c r="BF7" t="str">
        <f t="shared" si="29"/>
        <v/>
      </c>
      <c r="BG7" t="str">
        <f t="shared" si="30"/>
        <v/>
      </c>
      <c r="BH7" t="str">
        <f t="shared" si="31"/>
        <v/>
      </c>
    </row>
    <row r="8" spans="1:66" x14ac:dyDescent="0.2">
      <c r="A8">
        <v>5</v>
      </c>
      <c r="B8">
        <v>49</v>
      </c>
      <c r="C8" t="s">
        <v>39</v>
      </c>
      <c r="D8">
        <v>1</v>
      </c>
      <c r="E8">
        <v>1</v>
      </c>
      <c r="J8" t="s">
        <v>261</v>
      </c>
      <c r="K8">
        <v>2</v>
      </c>
      <c r="M8">
        <v>1</v>
      </c>
      <c r="N8">
        <v>3</v>
      </c>
      <c r="O8">
        <v>3</v>
      </c>
      <c r="S8">
        <v>1</v>
      </c>
      <c r="U8">
        <v>4</v>
      </c>
      <c r="X8">
        <f t="shared" si="33"/>
        <v>0</v>
      </c>
      <c r="Z8" t="str">
        <f t="shared" si="0"/>
        <v/>
      </c>
      <c r="AA8" t="str">
        <f t="shared" si="1"/>
        <v/>
      </c>
      <c r="AB8" t="str">
        <f t="shared" si="2"/>
        <v/>
      </c>
      <c r="AC8" t="str">
        <f t="shared" si="3"/>
        <v/>
      </c>
      <c r="AE8" t="str">
        <f t="shared" si="4"/>
        <v/>
      </c>
      <c r="AF8" t="str">
        <f t="shared" si="5"/>
        <v/>
      </c>
      <c r="AG8" t="str">
        <f t="shared" si="6"/>
        <v/>
      </c>
      <c r="AH8" t="str">
        <f t="shared" si="7"/>
        <v/>
      </c>
      <c r="AI8" t="str">
        <f t="shared" si="8"/>
        <v/>
      </c>
      <c r="AK8" t="str">
        <f t="shared" si="9"/>
        <v/>
      </c>
      <c r="AL8" t="str">
        <f t="shared" si="32"/>
        <v/>
      </c>
      <c r="AM8" t="str">
        <f t="shared" si="10"/>
        <v/>
      </c>
      <c r="AN8" t="str">
        <f t="shared" si="11"/>
        <v/>
      </c>
      <c r="AO8" t="str">
        <f t="shared" si="12"/>
        <v/>
      </c>
      <c r="AP8" t="str">
        <f t="shared" si="13"/>
        <v/>
      </c>
      <c r="AQ8" t="str">
        <f t="shared" si="14"/>
        <v/>
      </c>
      <c r="AR8" t="str">
        <f t="shared" si="15"/>
        <v/>
      </c>
      <c r="AS8" t="str">
        <f t="shared" si="16"/>
        <v/>
      </c>
      <c r="AT8" t="str">
        <f t="shared" si="17"/>
        <v/>
      </c>
      <c r="AU8" t="str">
        <f t="shared" si="18"/>
        <v/>
      </c>
      <c r="AV8" t="str">
        <f t="shared" si="19"/>
        <v/>
      </c>
      <c r="AW8" t="str">
        <f t="shared" si="20"/>
        <v/>
      </c>
      <c r="AX8" t="str">
        <f t="shared" si="21"/>
        <v/>
      </c>
      <c r="AY8" t="str">
        <f t="shared" si="22"/>
        <v/>
      </c>
      <c r="AZ8" t="str">
        <f t="shared" si="23"/>
        <v/>
      </c>
      <c r="BA8" t="str">
        <f t="shared" si="24"/>
        <v/>
      </c>
      <c r="BB8" t="str">
        <f t="shared" si="25"/>
        <v/>
      </c>
      <c r="BC8" t="str">
        <f t="shared" si="26"/>
        <v/>
      </c>
      <c r="BD8" t="str">
        <f t="shared" si="27"/>
        <v/>
      </c>
      <c r="BE8" t="str">
        <f t="shared" si="28"/>
        <v/>
      </c>
      <c r="BF8" t="str">
        <f t="shared" si="29"/>
        <v/>
      </c>
      <c r="BG8" t="str">
        <f t="shared" si="30"/>
        <v/>
      </c>
      <c r="BH8" t="str">
        <f t="shared" si="31"/>
        <v/>
      </c>
    </row>
    <row r="9" spans="1:66" x14ac:dyDescent="0.2">
      <c r="A9">
        <v>6</v>
      </c>
      <c r="B9">
        <v>57</v>
      </c>
      <c r="C9" t="s">
        <v>39</v>
      </c>
      <c r="D9">
        <v>1</v>
      </c>
      <c r="E9">
        <v>1</v>
      </c>
      <c r="K9">
        <v>3</v>
      </c>
      <c r="N9">
        <v>2</v>
      </c>
      <c r="O9">
        <v>2</v>
      </c>
      <c r="S9">
        <v>1</v>
      </c>
      <c r="T9">
        <v>1</v>
      </c>
      <c r="X9">
        <f t="shared" si="33"/>
        <v>0</v>
      </c>
      <c r="Z9" t="str">
        <f t="shared" si="0"/>
        <v/>
      </c>
      <c r="AA9" t="str">
        <f t="shared" si="1"/>
        <v/>
      </c>
      <c r="AB9" t="str">
        <f t="shared" si="2"/>
        <v/>
      </c>
      <c r="AC9" t="str">
        <f t="shared" si="3"/>
        <v/>
      </c>
      <c r="AE9" t="str">
        <f t="shared" si="4"/>
        <v/>
      </c>
      <c r="AF9" t="str">
        <f t="shared" si="5"/>
        <v/>
      </c>
      <c r="AG9" t="str">
        <f t="shared" si="6"/>
        <v/>
      </c>
      <c r="AH9" t="str">
        <f t="shared" si="7"/>
        <v/>
      </c>
      <c r="AI9" t="str">
        <f t="shared" si="8"/>
        <v/>
      </c>
      <c r="AK9" t="str">
        <f t="shared" si="9"/>
        <v/>
      </c>
      <c r="AL9" t="str">
        <f t="shared" si="32"/>
        <v/>
      </c>
      <c r="AM9" t="str">
        <f t="shared" si="10"/>
        <v/>
      </c>
      <c r="AN9" t="str">
        <f t="shared" si="11"/>
        <v/>
      </c>
      <c r="AO9" t="str">
        <f t="shared" si="12"/>
        <v/>
      </c>
      <c r="AP9" t="str">
        <f t="shared" si="13"/>
        <v/>
      </c>
      <c r="AQ9" t="str">
        <f t="shared" si="14"/>
        <v/>
      </c>
      <c r="AR9" t="str">
        <f t="shared" si="15"/>
        <v/>
      </c>
      <c r="AS9" t="str">
        <f t="shared" si="16"/>
        <v/>
      </c>
      <c r="AT9" t="str">
        <f t="shared" si="17"/>
        <v/>
      </c>
      <c r="AU9" t="str">
        <f t="shared" si="18"/>
        <v/>
      </c>
      <c r="AV9" t="str">
        <f t="shared" si="19"/>
        <v/>
      </c>
      <c r="AW9" t="str">
        <f t="shared" si="20"/>
        <v/>
      </c>
      <c r="AX9" t="str">
        <f t="shared" si="21"/>
        <v/>
      </c>
      <c r="AY9" t="str">
        <f t="shared" si="22"/>
        <v/>
      </c>
      <c r="AZ9" t="str">
        <f t="shared" si="23"/>
        <v/>
      </c>
      <c r="BA9" t="str">
        <f t="shared" si="24"/>
        <v/>
      </c>
      <c r="BB9" t="str">
        <f t="shared" si="25"/>
        <v/>
      </c>
      <c r="BC9" t="str">
        <f t="shared" si="26"/>
        <v/>
      </c>
      <c r="BD9" t="str">
        <f t="shared" si="27"/>
        <v/>
      </c>
      <c r="BE9" t="str">
        <f t="shared" si="28"/>
        <v/>
      </c>
      <c r="BF9" t="str">
        <f t="shared" si="29"/>
        <v/>
      </c>
      <c r="BG9" t="str">
        <f t="shared" si="30"/>
        <v/>
      </c>
      <c r="BH9" t="str">
        <f t="shared" si="31"/>
        <v/>
      </c>
    </row>
    <row r="10" spans="1:66" x14ac:dyDescent="0.2">
      <c r="A10">
        <v>7</v>
      </c>
      <c r="B10">
        <v>63</v>
      </c>
      <c r="C10" t="s">
        <v>207</v>
      </c>
      <c r="D10">
        <v>1</v>
      </c>
      <c r="E10">
        <v>1</v>
      </c>
      <c r="K10">
        <v>2</v>
      </c>
      <c r="L10">
        <v>1</v>
      </c>
      <c r="N10">
        <v>2</v>
      </c>
      <c r="O10">
        <v>2</v>
      </c>
      <c r="S10">
        <v>1</v>
      </c>
      <c r="T10">
        <v>1</v>
      </c>
      <c r="U10">
        <v>0</v>
      </c>
      <c r="X10">
        <f t="shared" si="33"/>
        <v>0</v>
      </c>
      <c r="Z10" t="str">
        <f t="shared" si="0"/>
        <v/>
      </c>
      <c r="AA10" t="str">
        <f t="shared" si="1"/>
        <v/>
      </c>
      <c r="AB10" t="str">
        <f t="shared" si="2"/>
        <v/>
      </c>
      <c r="AC10" t="str">
        <f t="shared" si="3"/>
        <v/>
      </c>
      <c r="AE10" t="str">
        <f t="shared" si="4"/>
        <v/>
      </c>
      <c r="AF10" t="str">
        <f t="shared" si="5"/>
        <v/>
      </c>
      <c r="AG10" t="str">
        <f t="shared" si="6"/>
        <v/>
      </c>
      <c r="AH10" t="str">
        <f t="shared" si="7"/>
        <v/>
      </c>
      <c r="AI10" t="str">
        <f t="shared" si="8"/>
        <v/>
      </c>
      <c r="AK10" t="str">
        <f t="shared" si="9"/>
        <v/>
      </c>
      <c r="AL10" t="str">
        <f t="shared" si="32"/>
        <v/>
      </c>
      <c r="AM10" t="str">
        <f t="shared" si="10"/>
        <v/>
      </c>
      <c r="AN10" t="str">
        <f t="shared" si="11"/>
        <v/>
      </c>
      <c r="AO10" t="str">
        <f t="shared" si="12"/>
        <v/>
      </c>
      <c r="AP10" t="str">
        <f t="shared" si="13"/>
        <v/>
      </c>
      <c r="AQ10" t="str">
        <f t="shared" si="14"/>
        <v/>
      </c>
      <c r="AR10" t="str">
        <f t="shared" si="15"/>
        <v/>
      </c>
      <c r="AS10" t="str">
        <f t="shared" si="16"/>
        <v/>
      </c>
      <c r="AT10" t="str">
        <f t="shared" si="17"/>
        <v/>
      </c>
      <c r="AU10" t="str">
        <f t="shared" si="18"/>
        <v/>
      </c>
      <c r="AV10" t="str">
        <f t="shared" si="19"/>
        <v/>
      </c>
      <c r="AW10" t="str">
        <f t="shared" si="20"/>
        <v/>
      </c>
      <c r="AX10" t="str">
        <f t="shared" si="21"/>
        <v/>
      </c>
      <c r="AY10" t="str">
        <f t="shared" si="22"/>
        <v/>
      </c>
      <c r="AZ10" t="str">
        <f t="shared" si="23"/>
        <v/>
      </c>
      <c r="BA10" t="str">
        <f t="shared" si="24"/>
        <v/>
      </c>
      <c r="BB10" t="str">
        <f t="shared" si="25"/>
        <v/>
      </c>
      <c r="BC10" t="str">
        <f t="shared" si="26"/>
        <v/>
      </c>
      <c r="BD10" t="str">
        <f t="shared" si="27"/>
        <v/>
      </c>
      <c r="BE10" t="str">
        <f t="shared" si="28"/>
        <v/>
      </c>
      <c r="BF10" t="str">
        <f t="shared" si="29"/>
        <v/>
      </c>
      <c r="BG10" t="str">
        <f t="shared" si="30"/>
        <v/>
      </c>
      <c r="BH10" t="str">
        <f t="shared" si="31"/>
        <v/>
      </c>
    </row>
    <row r="11" spans="1:66" x14ac:dyDescent="0.2">
      <c r="A11">
        <v>8</v>
      </c>
      <c r="B11">
        <v>75</v>
      </c>
      <c r="C11" t="s">
        <v>207</v>
      </c>
      <c r="D11">
        <v>1</v>
      </c>
      <c r="E11">
        <v>1</v>
      </c>
      <c r="K11">
        <v>2</v>
      </c>
      <c r="L11">
        <v>2</v>
      </c>
      <c r="M11">
        <v>1</v>
      </c>
      <c r="N11">
        <v>3</v>
      </c>
      <c r="O11">
        <v>3</v>
      </c>
      <c r="S11">
        <v>1</v>
      </c>
      <c r="T11">
        <v>1</v>
      </c>
      <c r="X11">
        <f t="shared" si="33"/>
        <v>0</v>
      </c>
      <c r="Z11" t="str">
        <f t="shared" si="0"/>
        <v/>
      </c>
      <c r="AA11" t="str">
        <f t="shared" si="1"/>
        <v/>
      </c>
      <c r="AB11" t="str">
        <f t="shared" si="2"/>
        <v/>
      </c>
      <c r="AC11" t="str">
        <f t="shared" si="3"/>
        <v/>
      </c>
      <c r="AE11" t="str">
        <f t="shared" si="4"/>
        <v/>
      </c>
      <c r="AF11" t="str">
        <f t="shared" si="5"/>
        <v/>
      </c>
      <c r="AG11" t="str">
        <f t="shared" si="6"/>
        <v/>
      </c>
      <c r="AH11" t="str">
        <f t="shared" si="7"/>
        <v/>
      </c>
      <c r="AI11" t="str">
        <f t="shared" si="8"/>
        <v/>
      </c>
      <c r="AK11" t="str">
        <f t="shared" si="9"/>
        <v/>
      </c>
      <c r="AL11" t="str">
        <f t="shared" si="32"/>
        <v/>
      </c>
      <c r="AM11" t="str">
        <f t="shared" si="10"/>
        <v/>
      </c>
      <c r="AN11" t="str">
        <f t="shared" si="11"/>
        <v/>
      </c>
      <c r="AO11" t="str">
        <f t="shared" si="12"/>
        <v/>
      </c>
      <c r="AP11" t="str">
        <f t="shared" si="13"/>
        <v/>
      </c>
      <c r="AQ11" t="str">
        <f t="shared" si="14"/>
        <v/>
      </c>
      <c r="AR11" t="str">
        <f t="shared" si="15"/>
        <v/>
      </c>
      <c r="AS11" t="str">
        <f t="shared" si="16"/>
        <v/>
      </c>
      <c r="AT11" t="str">
        <f t="shared" si="17"/>
        <v/>
      </c>
      <c r="AU11" t="str">
        <f t="shared" si="18"/>
        <v/>
      </c>
      <c r="AV11" t="str">
        <f t="shared" si="19"/>
        <v/>
      </c>
      <c r="AW11" t="str">
        <f t="shared" si="20"/>
        <v/>
      </c>
      <c r="AX11" t="str">
        <f t="shared" si="21"/>
        <v/>
      </c>
      <c r="AY11" t="str">
        <f t="shared" si="22"/>
        <v/>
      </c>
      <c r="AZ11" t="str">
        <f t="shared" si="23"/>
        <v/>
      </c>
      <c r="BA11" t="str">
        <f t="shared" si="24"/>
        <v/>
      </c>
      <c r="BB11" t="str">
        <f t="shared" si="25"/>
        <v/>
      </c>
      <c r="BC11" t="str">
        <f t="shared" si="26"/>
        <v/>
      </c>
      <c r="BD11" t="str">
        <f t="shared" si="27"/>
        <v/>
      </c>
      <c r="BE11" t="str">
        <f t="shared" si="28"/>
        <v/>
      </c>
      <c r="BF11" t="str">
        <f t="shared" si="29"/>
        <v/>
      </c>
      <c r="BG11" t="str">
        <f t="shared" si="30"/>
        <v/>
      </c>
      <c r="BH11" t="str">
        <f t="shared" si="31"/>
        <v/>
      </c>
    </row>
    <row r="12" spans="1:66" x14ac:dyDescent="0.2">
      <c r="A12">
        <v>9</v>
      </c>
      <c r="B12">
        <v>88</v>
      </c>
      <c r="C12" t="s">
        <v>207</v>
      </c>
      <c r="D12">
        <v>1</v>
      </c>
      <c r="E12">
        <v>1</v>
      </c>
      <c r="K12">
        <v>3</v>
      </c>
      <c r="L12">
        <v>3</v>
      </c>
      <c r="N12">
        <v>3</v>
      </c>
      <c r="O12">
        <v>3</v>
      </c>
      <c r="S12">
        <v>1</v>
      </c>
      <c r="T12">
        <v>1</v>
      </c>
      <c r="U12">
        <v>8</v>
      </c>
      <c r="X12">
        <f t="shared" si="33"/>
        <v>0</v>
      </c>
      <c r="Z12" t="str">
        <f t="shared" si="0"/>
        <v/>
      </c>
      <c r="AA12" t="str">
        <f t="shared" si="1"/>
        <v/>
      </c>
      <c r="AB12" t="str">
        <f t="shared" si="2"/>
        <v/>
      </c>
      <c r="AC12" t="str">
        <f t="shared" si="3"/>
        <v/>
      </c>
      <c r="AE12" t="str">
        <f t="shared" si="4"/>
        <v/>
      </c>
      <c r="AF12" t="str">
        <f t="shared" si="5"/>
        <v/>
      </c>
      <c r="AG12" t="str">
        <f t="shared" si="6"/>
        <v/>
      </c>
      <c r="AH12" t="str">
        <f t="shared" si="7"/>
        <v/>
      </c>
      <c r="AI12" t="str">
        <f t="shared" si="8"/>
        <v/>
      </c>
      <c r="AK12" t="str">
        <f t="shared" si="9"/>
        <v/>
      </c>
      <c r="AL12" t="str">
        <f t="shared" si="32"/>
        <v/>
      </c>
      <c r="AM12" t="str">
        <f t="shared" si="10"/>
        <v/>
      </c>
      <c r="AN12" t="str">
        <f t="shared" si="11"/>
        <v/>
      </c>
      <c r="AO12" t="str">
        <f t="shared" si="12"/>
        <v/>
      </c>
      <c r="AP12" t="str">
        <f t="shared" si="13"/>
        <v/>
      </c>
      <c r="AQ12" t="str">
        <f t="shared" si="14"/>
        <v/>
      </c>
      <c r="AR12" t="str">
        <f t="shared" si="15"/>
        <v/>
      </c>
      <c r="AS12" t="str">
        <f t="shared" si="16"/>
        <v/>
      </c>
      <c r="AT12" t="str">
        <f t="shared" si="17"/>
        <v/>
      </c>
      <c r="AU12" t="str">
        <f t="shared" si="18"/>
        <v/>
      </c>
      <c r="AV12" t="str">
        <f t="shared" si="19"/>
        <v/>
      </c>
      <c r="AW12" t="str">
        <f t="shared" si="20"/>
        <v/>
      </c>
      <c r="AX12" t="str">
        <f t="shared" si="21"/>
        <v/>
      </c>
      <c r="AY12" t="str">
        <f t="shared" si="22"/>
        <v/>
      </c>
      <c r="AZ12" t="str">
        <f t="shared" si="23"/>
        <v/>
      </c>
      <c r="BA12" t="str">
        <f t="shared" si="24"/>
        <v/>
      </c>
      <c r="BB12" t="str">
        <f t="shared" si="25"/>
        <v/>
      </c>
      <c r="BC12" t="str">
        <f t="shared" si="26"/>
        <v/>
      </c>
      <c r="BD12" t="str">
        <f t="shared" si="27"/>
        <v/>
      </c>
      <c r="BE12" t="str">
        <f t="shared" si="28"/>
        <v/>
      </c>
      <c r="BF12" t="str">
        <f t="shared" si="29"/>
        <v/>
      </c>
      <c r="BG12" t="str">
        <f t="shared" si="30"/>
        <v/>
      </c>
      <c r="BH12" t="str">
        <f t="shared" si="31"/>
        <v/>
      </c>
    </row>
    <row r="13" spans="1:66" x14ac:dyDescent="0.2">
      <c r="A13">
        <v>10</v>
      </c>
      <c r="B13">
        <v>95</v>
      </c>
      <c r="C13" t="s">
        <v>207</v>
      </c>
      <c r="D13">
        <v>1</v>
      </c>
      <c r="E13">
        <v>1</v>
      </c>
      <c r="K13">
        <v>2</v>
      </c>
      <c r="L13">
        <v>1</v>
      </c>
      <c r="M13">
        <v>1</v>
      </c>
      <c r="N13">
        <v>2</v>
      </c>
      <c r="O13">
        <v>2</v>
      </c>
      <c r="S13">
        <v>1</v>
      </c>
      <c r="T13">
        <v>1</v>
      </c>
      <c r="X13">
        <f t="shared" si="33"/>
        <v>0</v>
      </c>
      <c r="Z13" t="str">
        <f t="shared" si="0"/>
        <v/>
      </c>
      <c r="AA13" t="str">
        <f t="shared" si="1"/>
        <v/>
      </c>
      <c r="AB13" t="str">
        <f t="shared" si="2"/>
        <v/>
      </c>
      <c r="AC13" t="str">
        <f t="shared" si="3"/>
        <v/>
      </c>
      <c r="AE13" t="str">
        <f t="shared" si="4"/>
        <v/>
      </c>
      <c r="AF13" t="str">
        <f t="shared" si="5"/>
        <v/>
      </c>
      <c r="AG13" t="str">
        <f t="shared" si="6"/>
        <v/>
      </c>
      <c r="AH13" t="str">
        <f t="shared" si="7"/>
        <v/>
      </c>
      <c r="AI13" t="str">
        <f t="shared" si="8"/>
        <v/>
      </c>
      <c r="AK13" t="str">
        <f t="shared" si="9"/>
        <v/>
      </c>
      <c r="AL13" t="str">
        <f t="shared" si="32"/>
        <v/>
      </c>
      <c r="AM13" t="str">
        <f t="shared" si="10"/>
        <v/>
      </c>
      <c r="AN13" t="str">
        <f t="shared" si="11"/>
        <v/>
      </c>
      <c r="AO13" t="str">
        <f t="shared" si="12"/>
        <v/>
      </c>
      <c r="AP13" t="str">
        <f t="shared" si="13"/>
        <v/>
      </c>
      <c r="AQ13" t="str">
        <f t="shared" si="14"/>
        <v/>
      </c>
      <c r="AR13" t="str">
        <f t="shared" si="15"/>
        <v/>
      </c>
      <c r="AS13" t="str">
        <f t="shared" si="16"/>
        <v/>
      </c>
      <c r="AT13" t="str">
        <f t="shared" si="17"/>
        <v/>
      </c>
      <c r="AU13" t="str">
        <f t="shared" si="18"/>
        <v/>
      </c>
      <c r="AV13" t="str">
        <f t="shared" si="19"/>
        <v/>
      </c>
      <c r="AW13" t="str">
        <f t="shared" si="20"/>
        <v/>
      </c>
      <c r="AX13" t="str">
        <f t="shared" si="21"/>
        <v/>
      </c>
      <c r="AY13" t="str">
        <f t="shared" si="22"/>
        <v/>
      </c>
      <c r="AZ13" t="str">
        <f t="shared" si="23"/>
        <v/>
      </c>
      <c r="BA13" t="str">
        <f t="shared" si="24"/>
        <v/>
      </c>
      <c r="BB13" t="str">
        <f t="shared" si="25"/>
        <v/>
      </c>
      <c r="BC13" t="str">
        <f t="shared" si="26"/>
        <v/>
      </c>
      <c r="BD13" t="str">
        <f t="shared" si="27"/>
        <v/>
      </c>
      <c r="BE13" t="str">
        <f t="shared" si="28"/>
        <v/>
      </c>
      <c r="BF13" t="str">
        <f t="shared" si="29"/>
        <v/>
      </c>
      <c r="BG13" t="str">
        <f t="shared" si="30"/>
        <v/>
      </c>
      <c r="BH13" t="str">
        <f t="shared" si="31"/>
        <v/>
      </c>
    </row>
    <row r="14" spans="1:66" x14ac:dyDescent="0.2">
      <c r="A14">
        <v>11</v>
      </c>
      <c r="B14">
        <v>103</v>
      </c>
      <c r="C14" t="s">
        <v>39</v>
      </c>
      <c r="D14">
        <v>1</v>
      </c>
      <c r="K14">
        <v>1</v>
      </c>
      <c r="M14">
        <v>2</v>
      </c>
      <c r="N14">
        <v>3</v>
      </c>
      <c r="O14">
        <v>2</v>
      </c>
      <c r="S14">
        <v>1</v>
      </c>
      <c r="T14">
        <v>1</v>
      </c>
      <c r="X14">
        <f t="shared" si="33"/>
        <v>0</v>
      </c>
      <c r="Z14" t="s">
        <v>31</v>
      </c>
      <c r="AE14" t="s">
        <v>34</v>
      </c>
      <c r="AK14" t="s">
        <v>43</v>
      </c>
      <c r="AP14" t="s">
        <v>84</v>
      </c>
    </row>
    <row r="15" spans="1:66" x14ac:dyDescent="0.2">
      <c r="A15">
        <v>12</v>
      </c>
      <c r="B15">
        <v>119</v>
      </c>
      <c r="C15" t="s">
        <v>39</v>
      </c>
      <c r="D15">
        <v>1</v>
      </c>
      <c r="K15">
        <v>1</v>
      </c>
      <c r="M15">
        <v>2</v>
      </c>
      <c r="N15">
        <v>1</v>
      </c>
      <c r="O15">
        <v>1</v>
      </c>
      <c r="S15">
        <v>1</v>
      </c>
      <c r="T15">
        <v>1</v>
      </c>
      <c r="U15">
        <v>10</v>
      </c>
      <c r="X15">
        <f t="shared" si="33"/>
        <v>0</v>
      </c>
      <c r="Z15" t="s">
        <v>21</v>
      </c>
      <c r="AA15" t="s">
        <v>22</v>
      </c>
      <c r="AE15" t="s">
        <v>21</v>
      </c>
      <c r="AF15" t="s">
        <v>22</v>
      </c>
      <c r="AG15" t="s">
        <v>35</v>
      </c>
      <c r="AK15" t="s">
        <v>10</v>
      </c>
      <c r="AL15" t="s">
        <v>25</v>
      </c>
      <c r="AM15" t="s">
        <v>26</v>
      </c>
      <c r="AN15" t="s">
        <v>27</v>
      </c>
      <c r="AP15" t="s">
        <v>15</v>
      </c>
      <c r="AQ15" t="s">
        <v>85</v>
      </c>
    </row>
    <row r="16" spans="1:66" x14ac:dyDescent="0.2">
      <c r="A16" t="s">
        <v>28</v>
      </c>
      <c r="D16">
        <f>SUM(D4:D15)</f>
        <v>9</v>
      </c>
      <c r="E16">
        <f>SUM(E4:E15)</f>
        <v>6</v>
      </c>
      <c r="F16">
        <f>SUM(F4:F15)</f>
        <v>1</v>
      </c>
      <c r="G16">
        <f>SUM(G4:G15)</f>
        <v>0</v>
      </c>
      <c r="H16">
        <f>SUM(H4:H15)</f>
        <v>0</v>
      </c>
      <c r="K16">
        <f>SUM(K4:K15)</f>
        <v>22</v>
      </c>
      <c r="L16">
        <f>SUM(L4:L15)</f>
        <v>9</v>
      </c>
      <c r="M16">
        <f>SUM(M4:M15)</f>
        <v>8</v>
      </c>
      <c r="N16">
        <f>SUM(N4:N15)</f>
        <v>31</v>
      </c>
      <c r="O16">
        <f>SUM(O4:O15)</f>
        <v>28</v>
      </c>
      <c r="Q16">
        <f t="shared" ref="Q16:R16" si="34">SUM(Q4:Q15)</f>
        <v>0</v>
      </c>
      <c r="R16">
        <f t="shared" si="34"/>
        <v>0</v>
      </c>
      <c r="S16">
        <f>SUM(S4:S15)</f>
        <v>11</v>
      </c>
      <c r="T16">
        <f>SUM(T4:T15)</f>
        <v>10</v>
      </c>
      <c r="U16">
        <f>SUM(U4:U15)</f>
        <v>35</v>
      </c>
      <c r="V16">
        <f>SUM(V4:V15)</f>
        <v>0</v>
      </c>
      <c r="W16">
        <f>SUM(W4:W15)</f>
        <v>0</v>
      </c>
      <c r="Z16">
        <f t="shared" ref="Z16:Z27" si="35">COUNTIF(Z2:AC2, "3")*COUNTIF(C4, "r")+COUNTIF(Z2:AC2, "5")*COUNTIF(C4, "b")</f>
        <v>0</v>
      </c>
      <c r="AA16">
        <f t="shared" ref="AA16:AA27" si="36">COUNTIF(Z2:AC2, "1")+COUNTIF(Z2:AC2, "2")+COUNTIF(Z2:AC2, "4")</f>
        <v>0</v>
      </c>
      <c r="AE16">
        <f t="shared" ref="AE16:AE27" si="37">COUNTIF(AE2:AI2, "3")*COUNTIF(C4, "r") + COUNTIF(AE2:AI2, "5")*COUNTIF(C4, "b")</f>
        <v>0</v>
      </c>
      <c r="AF16">
        <f t="shared" ref="AF16:AF27" si="38">COUNTIF(AE2:AI2, "1")+COUNTIF(AE2:AI2, "2")+COUNTIF(AE2:AI2, "4")</f>
        <v>0</v>
      </c>
      <c r="AG16">
        <f t="shared" ref="AG16:AG27" si="39">COUNTIF(AE2:AI2, "3")*COUNTIF(AE2:AI2, "b")+COUNTIF(AE2:AI2, "5")*COUNTIF(AE2:AI2, "r")</f>
        <v>0</v>
      </c>
      <c r="AK16">
        <f t="shared" ref="AK16:AK27" si="40">SUMPRODUCT(LEN($AK2:$BH2) - LEN(SUBSTITUTE($AK2:$BH2, "g", "")))</f>
        <v>0</v>
      </c>
      <c r="AL16">
        <f t="shared" ref="AL16:AL27" si="41">SUMPRODUCT(LEN($AK2:$BH2) - LEN(SUBSTITUTE($AK2:$BH2, "h", "")))</f>
        <v>0</v>
      </c>
      <c r="AM16">
        <f t="shared" ref="AM16:AM27" si="42">SUMPRODUCT(LEN($AK2:$BH2) - LEN(SUBSTITUTE($AK2:$BH2, "v", "")))</f>
        <v>0</v>
      </c>
      <c r="AN16">
        <f t="shared" ref="AN16:AN27" si="43">SUMPRODUCT(LEN($AK2:$BH2) - LEN(SUBSTITUTE($AK2:$BH2, "r", "")))</f>
        <v>0</v>
      </c>
      <c r="AP16">
        <f>MAX(AQ16:BN16)</f>
        <v>0</v>
      </c>
      <c r="AQ16" s="4">
        <f>_xlfn.NUMBERVALUE(RIGHT(AK2,1))</f>
        <v>0</v>
      </c>
      <c r="AR16" s="4">
        <f t="shared" ref="AR16:BG27" si="44">_xlfn.NUMBERVALUE(RIGHT(AL2,1))</f>
        <v>0</v>
      </c>
      <c r="AS16" s="4">
        <f t="shared" si="44"/>
        <v>0</v>
      </c>
      <c r="AT16" s="4">
        <f t="shared" si="44"/>
        <v>0</v>
      </c>
      <c r="AU16" s="4">
        <f t="shared" si="44"/>
        <v>0</v>
      </c>
      <c r="AV16" s="4">
        <f t="shared" si="44"/>
        <v>0</v>
      </c>
      <c r="AW16" s="4">
        <f t="shared" si="44"/>
        <v>0</v>
      </c>
      <c r="AX16" s="4">
        <f t="shared" si="44"/>
        <v>0</v>
      </c>
      <c r="AY16" s="4">
        <f t="shared" si="44"/>
        <v>0</v>
      </c>
      <c r="AZ16" s="4">
        <f t="shared" si="44"/>
        <v>0</v>
      </c>
      <c r="BA16" s="4">
        <f t="shared" si="44"/>
        <v>0</v>
      </c>
      <c r="BB16" s="4">
        <f t="shared" si="44"/>
        <v>0</v>
      </c>
      <c r="BC16" s="4">
        <f t="shared" si="44"/>
        <v>0</v>
      </c>
      <c r="BD16" s="4">
        <f t="shared" si="44"/>
        <v>0</v>
      </c>
      <c r="BE16" s="4">
        <f t="shared" si="44"/>
        <v>0</v>
      </c>
      <c r="BF16" s="4">
        <f t="shared" si="44"/>
        <v>0</v>
      </c>
      <c r="BG16" s="4">
        <f t="shared" si="44"/>
        <v>0</v>
      </c>
      <c r="BH16" s="4">
        <f t="shared" ref="BH16:BN27" si="45">_xlfn.NUMBERVALUE(RIGHT(BB2,1))</f>
        <v>0</v>
      </c>
      <c r="BI16" s="4">
        <f t="shared" si="45"/>
        <v>0</v>
      </c>
      <c r="BJ16" s="4">
        <f t="shared" si="45"/>
        <v>0</v>
      </c>
      <c r="BK16" s="4">
        <f t="shared" si="45"/>
        <v>0</v>
      </c>
      <c r="BL16" s="4">
        <f t="shared" si="45"/>
        <v>0</v>
      </c>
      <c r="BM16" s="4">
        <f t="shared" si="45"/>
        <v>0</v>
      </c>
      <c r="BN16" s="4">
        <f t="shared" si="45"/>
        <v>0</v>
      </c>
    </row>
    <row r="17" spans="1:66" x14ac:dyDescent="0.2">
      <c r="A17" s="1" t="s">
        <v>20</v>
      </c>
      <c r="D17" s="1" t="s">
        <v>49</v>
      </c>
      <c r="G17" s="1" t="s">
        <v>52</v>
      </c>
      <c r="K17" s="3" t="s">
        <v>74</v>
      </c>
      <c r="P17" s="1" t="s">
        <v>66</v>
      </c>
      <c r="Z17">
        <f t="shared" si="35"/>
        <v>0</v>
      </c>
      <c r="AA17">
        <f t="shared" si="36"/>
        <v>0</v>
      </c>
      <c r="AE17">
        <f t="shared" si="37"/>
        <v>0</v>
      </c>
      <c r="AF17">
        <f t="shared" si="38"/>
        <v>0</v>
      </c>
      <c r="AG17">
        <f t="shared" si="39"/>
        <v>0</v>
      </c>
      <c r="AK17">
        <f t="shared" si="40"/>
        <v>0</v>
      </c>
      <c r="AL17">
        <f t="shared" si="41"/>
        <v>0</v>
      </c>
      <c r="AM17">
        <f t="shared" si="42"/>
        <v>0</v>
      </c>
      <c r="AN17">
        <f t="shared" si="43"/>
        <v>0</v>
      </c>
      <c r="AP17">
        <f t="shared" ref="AP17:AP27" si="46">MAX(AQ17:BN17)</f>
        <v>0</v>
      </c>
      <c r="AQ17" s="4">
        <f t="shared" ref="AQ17:AQ27" si="47">_xlfn.NUMBERVALUE(RIGHT(AK3,1))</f>
        <v>0</v>
      </c>
      <c r="AR17" s="4">
        <f t="shared" si="44"/>
        <v>0</v>
      </c>
      <c r="AS17" s="4">
        <f t="shared" si="44"/>
        <v>0</v>
      </c>
      <c r="AT17" s="4">
        <f t="shared" si="44"/>
        <v>0</v>
      </c>
      <c r="AU17" s="4">
        <f t="shared" si="44"/>
        <v>0</v>
      </c>
      <c r="AV17" s="4">
        <f t="shared" si="44"/>
        <v>0</v>
      </c>
      <c r="AW17" s="4">
        <f t="shared" si="44"/>
        <v>0</v>
      </c>
      <c r="AX17" s="4">
        <f t="shared" si="44"/>
        <v>0</v>
      </c>
      <c r="AY17" s="4">
        <f t="shared" si="44"/>
        <v>0</v>
      </c>
      <c r="AZ17" s="4">
        <f t="shared" si="44"/>
        <v>0</v>
      </c>
      <c r="BA17" s="4">
        <f t="shared" si="44"/>
        <v>0</v>
      </c>
      <c r="BB17" s="4">
        <f t="shared" si="44"/>
        <v>0</v>
      </c>
      <c r="BC17" s="4">
        <f t="shared" si="44"/>
        <v>0</v>
      </c>
      <c r="BD17" s="4">
        <f t="shared" si="44"/>
        <v>0</v>
      </c>
      <c r="BE17" s="4">
        <f t="shared" si="44"/>
        <v>0</v>
      </c>
      <c r="BF17" s="4">
        <f t="shared" si="44"/>
        <v>0</v>
      </c>
      <c r="BG17" s="4">
        <f t="shared" si="44"/>
        <v>0</v>
      </c>
      <c r="BH17" s="4">
        <f t="shared" si="45"/>
        <v>0</v>
      </c>
      <c r="BI17" s="4">
        <f t="shared" si="45"/>
        <v>0</v>
      </c>
      <c r="BJ17" s="4">
        <f t="shared" si="45"/>
        <v>0</v>
      </c>
      <c r="BK17" s="4">
        <f t="shared" si="45"/>
        <v>0</v>
      </c>
      <c r="BL17" s="4">
        <f t="shared" si="45"/>
        <v>0</v>
      </c>
      <c r="BM17" s="4">
        <f t="shared" si="45"/>
        <v>0</v>
      </c>
      <c r="BN17" s="4">
        <f t="shared" si="45"/>
        <v>0</v>
      </c>
    </row>
    <row r="18" spans="1:66" x14ac:dyDescent="0.2">
      <c r="A18" t="s">
        <v>32</v>
      </c>
      <c r="B18" t="s">
        <v>21</v>
      </c>
      <c r="D18" t="s">
        <v>180</v>
      </c>
      <c r="G18" s="3" t="s">
        <v>53</v>
      </c>
      <c r="K18" t="s">
        <v>55</v>
      </c>
      <c r="M18" t="s">
        <v>65</v>
      </c>
      <c r="P18" t="s">
        <v>67</v>
      </c>
      <c r="Z18">
        <f t="shared" si="35"/>
        <v>0</v>
      </c>
      <c r="AA18">
        <f t="shared" si="36"/>
        <v>0</v>
      </c>
      <c r="AE18">
        <f t="shared" si="37"/>
        <v>0</v>
      </c>
      <c r="AF18">
        <f t="shared" si="38"/>
        <v>0</v>
      </c>
      <c r="AG18">
        <f t="shared" si="39"/>
        <v>0</v>
      </c>
      <c r="AK18">
        <f t="shared" si="40"/>
        <v>0</v>
      </c>
      <c r="AL18">
        <f t="shared" si="41"/>
        <v>0</v>
      </c>
      <c r="AM18">
        <f t="shared" si="42"/>
        <v>0</v>
      </c>
      <c r="AN18">
        <f t="shared" si="43"/>
        <v>0</v>
      </c>
      <c r="AP18">
        <f t="shared" si="46"/>
        <v>0</v>
      </c>
      <c r="AQ18" s="4">
        <f t="shared" si="47"/>
        <v>0</v>
      </c>
      <c r="AR18" s="4">
        <f t="shared" si="44"/>
        <v>0</v>
      </c>
      <c r="AS18" s="4">
        <f t="shared" si="44"/>
        <v>0</v>
      </c>
      <c r="AT18" s="4">
        <f t="shared" si="44"/>
        <v>0</v>
      </c>
      <c r="AU18" s="4">
        <f t="shared" si="44"/>
        <v>0</v>
      </c>
      <c r="AV18" s="4">
        <f t="shared" si="44"/>
        <v>0</v>
      </c>
      <c r="AW18" s="4">
        <f t="shared" si="44"/>
        <v>0</v>
      </c>
      <c r="AX18" s="4">
        <f t="shared" si="44"/>
        <v>0</v>
      </c>
      <c r="AY18" s="4">
        <f t="shared" si="44"/>
        <v>0</v>
      </c>
      <c r="AZ18" s="4">
        <f t="shared" si="44"/>
        <v>0</v>
      </c>
      <c r="BA18" s="4">
        <f t="shared" si="44"/>
        <v>0</v>
      </c>
      <c r="BB18" s="4">
        <f t="shared" si="44"/>
        <v>0</v>
      </c>
      <c r="BC18" s="4">
        <f t="shared" si="44"/>
        <v>0</v>
      </c>
      <c r="BD18" s="4">
        <f t="shared" si="44"/>
        <v>0</v>
      </c>
      <c r="BE18" s="4">
        <f t="shared" si="44"/>
        <v>0</v>
      </c>
      <c r="BF18" s="4">
        <f t="shared" si="44"/>
        <v>0</v>
      </c>
      <c r="BG18" s="4">
        <f t="shared" si="44"/>
        <v>0</v>
      </c>
      <c r="BH18" s="4">
        <f t="shared" si="45"/>
        <v>0</v>
      </c>
      <c r="BI18" s="4">
        <f t="shared" si="45"/>
        <v>0</v>
      </c>
      <c r="BJ18" s="4">
        <f t="shared" si="45"/>
        <v>0</v>
      </c>
      <c r="BK18" s="4">
        <f t="shared" si="45"/>
        <v>0</v>
      </c>
      <c r="BL18" s="4">
        <f t="shared" si="45"/>
        <v>0</v>
      </c>
      <c r="BM18" s="4">
        <f t="shared" si="45"/>
        <v>0</v>
      </c>
      <c r="BN18" s="4">
        <f t="shared" si="45"/>
        <v>0</v>
      </c>
    </row>
    <row r="19" spans="1:66" x14ac:dyDescent="0.2">
      <c r="A19" t="s">
        <v>40</v>
      </c>
      <c r="B19" t="s">
        <v>22</v>
      </c>
      <c r="D19">
        <f>E16/D16</f>
        <v>0.66666666666666663</v>
      </c>
      <c r="G19" t="s">
        <v>75</v>
      </c>
      <c r="K19">
        <f>O16/N16</f>
        <v>0.90322580645161288</v>
      </c>
      <c r="M19">
        <f>SUM(M39:M50)</f>
        <v>2</v>
      </c>
      <c r="P19">
        <f>T16/S16</f>
        <v>0.90909090909090906</v>
      </c>
      <c r="Z19">
        <f t="shared" si="35"/>
        <v>0</v>
      </c>
      <c r="AA19">
        <f t="shared" si="36"/>
        <v>0</v>
      </c>
      <c r="AE19">
        <f t="shared" si="37"/>
        <v>0</v>
      </c>
      <c r="AF19">
        <f t="shared" si="38"/>
        <v>0</v>
      </c>
      <c r="AG19">
        <f t="shared" si="39"/>
        <v>0</v>
      </c>
      <c r="AK19">
        <f t="shared" si="40"/>
        <v>0</v>
      </c>
      <c r="AL19">
        <f t="shared" si="41"/>
        <v>0</v>
      </c>
      <c r="AM19">
        <f t="shared" si="42"/>
        <v>0</v>
      </c>
      <c r="AN19">
        <f t="shared" si="43"/>
        <v>0</v>
      </c>
      <c r="AP19">
        <f t="shared" si="46"/>
        <v>0</v>
      </c>
      <c r="AQ19" s="4">
        <f t="shared" si="47"/>
        <v>0</v>
      </c>
      <c r="AR19" s="4">
        <f t="shared" si="44"/>
        <v>0</v>
      </c>
      <c r="AS19" s="4">
        <f t="shared" si="44"/>
        <v>0</v>
      </c>
      <c r="AT19" s="4">
        <f t="shared" si="44"/>
        <v>0</v>
      </c>
      <c r="AU19" s="4">
        <f t="shared" si="44"/>
        <v>0</v>
      </c>
      <c r="AV19" s="4">
        <f t="shared" si="44"/>
        <v>0</v>
      </c>
      <c r="AW19" s="4">
        <f t="shared" si="44"/>
        <v>0</v>
      </c>
      <c r="AX19" s="4">
        <f t="shared" si="44"/>
        <v>0</v>
      </c>
      <c r="AY19" s="4">
        <f t="shared" si="44"/>
        <v>0</v>
      </c>
      <c r="AZ19" s="4">
        <f t="shared" si="44"/>
        <v>0</v>
      </c>
      <c r="BA19" s="4">
        <f t="shared" si="44"/>
        <v>0</v>
      </c>
      <c r="BB19" s="4">
        <f t="shared" si="44"/>
        <v>0</v>
      </c>
      <c r="BC19" s="4">
        <f t="shared" si="44"/>
        <v>0</v>
      </c>
      <c r="BD19" s="4">
        <f t="shared" si="44"/>
        <v>0</v>
      </c>
      <c r="BE19" s="4">
        <f t="shared" si="44"/>
        <v>0</v>
      </c>
      <c r="BF19" s="4">
        <f t="shared" si="44"/>
        <v>0</v>
      </c>
      <c r="BG19" s="4">
        <f t="shared" si="44"/>
        <v>0</v>
      </c>
      <c r="BH19" s="4">
        <f t="shared" si="45"/>
        <v>0</v>
      </c>
      <c r="BI19" s="4">
        <f t="shared" si="45"/>
        <v>0</v>
      </c>
      <c r="BJ19" s="4">
        <f t="shared" si="45"/>
        <v>0</v>
      </c>
      <c r="BK19" s="4">
        <f t="shared" si="45"/>
        <v>0</v>
      </c>
      <c r="BL19" s="4">
        <f t="shared" si="45"/>
        <v>0</v>
      </c>
      <c r="BM19" s="4">
        <f t="shared" si="45"/>
        <v>0</v>
      </c>
      <c r="BN19" s="4">
        <f t="shared" si="45"/>
        <v>0</v>
      </c>
    </row>
    <row r="20" spans="1:66" x14ac:dyDescent="0.2">
      <c r="A20" t="s">
        <v>41</v>
      </c>
      <c r="B20" t="s">
        <v>23</v>
      </c>
      <c r="D20" t="s">
        <v>47</v>
      </c>
      <c r="G20" t="e">
        <f>AK28/AP28</f>
        <v>#DIV/0!</v>
      </c>
      <c r="K20" t="s">
        <v>13</v>
      </c>
      <c r="Z20">
        <f t="shared" si="35"/>
        <v>0</v>
      </c>
      <c r="AA20">
        <f t="shared" si="36"/>
        <v>0</v>
      </c>
      <c r="AE20">
        <f t="shared" si="37"/>
        <v>0</v>
      </c>
      <c r="AF20">
        <f t="shared" si="38"/>
        <v>2</v>
      </c>
      <c r="AG20">
        <f t="shared" si="39"/>
        <v>0</v>
      </c>
      <c r="AK20">
        <f t="shared" si="40"/>
        <v>0</v>
      </c>
      <c r="AL20">
        <f t="shared" si="41"/>
        <v>0</v>
      </c>
      <c r="AM20">
        <f t="shared" si="42"/>
        <v>0</v>
      </c>
      <c r="AN20">
        <f t="shared" si="43"/>
        <v>0</v>
      </c>
      <c r="AP20">
        <f t="shared" si="46"/>
        <v>0</v>
      </c>
      <c r="AQ20" s="4">
        <f t="shared" si="47"/>
        <v>0</v>
      </c>
      <c r="AR20" s="4">
        <f t="shared" si="44"/>
        <v>0</v>
      </c>
      <c r="AS20" s="4">
        <f t="shared" si="44"/>
        <v>0</v>
      </c>
      <c r="AT20" s="4">
        <f t="shared" si="44"/>
        <v>0</v>
      </c>
      <c r="AU20" s="4">
        <f t="shared" si="44"/>
        <v>0</v>
      </c>
      <c r="AV20" s="4">
        <f t="shared" si="44"/>
        <v>0</v>
      </c>
      <c r="AW20" s="4">
        <f t="shared" si="44"/>
        <v>0</v>
      </c>
      <c r="AX20" s="4">
        <f t="shared" si="44"/>
        <v>0</v>
      </c>
      <c r="AY20" s="4">
        <f t="shared" si="44"/>
        <v>0</v>
      </c>
      <c r="AZ20" s="4">
        <f t="shared" si="44"/>
        <v>0</v>
      </c>
      <c r="BA20" s="4">
        <f t="shared" si="44"/>
        <v>0</v>
      </c>
      <c r="BB20" s="4">
        <f t="shared" si="44"/>
        <v>0</v>
      </c>
      <c r="BC20" s="4">
        <f t="shared" si="44"/>
        <v>0</v>
      </c>
      <c r="BD20" s="4">
        <f t="shared" si="44"/>
        <v>0</v>
      </c>
      <c r="BE20" s="4">
        <f t="shared" si="44"/>
        <v>0</v>
      </c>
      <c r="BF20" s="4">
        <f t="shared" si="44"/>
        <v>0</v>
      </c>
      <c r="BG20" s="4">
        <f t="shared" si="44"/>
        <v>0</v>
      </c>
      <c r="BH20" s="4">
        <f t="shared" si="45"/>
        <v>0</v>
      </c>
      <c r="BI20" s="4">
        <f t="shared" si="45"/>
        <v>0</v>
      </c>
      <c r="BJ20" s="4">
        <f t="shared" si="45"/>
        <v>0</v>
      </c>
      <c r="BK20" s="4">
        <f t="shared" si="45"/>
        <v>0</v>
      </c>
      <c r="BL20" s="4">
        <f t="shared" si="45"/>
        <v>0</v>
      </c>
      <c r="BM20" s="4">
        <f t="shared" si="45"/>
        <v>0</v>
      </c>
      <c r="BN20" s="4">
        <f t="shared" si="45"/>
        <v>0</v>
      </c>
    </row>
    <row r="21" spans="1:66" x14ac:dyDescent="0.2">
      <c r="A21" s="1" t="s">
        <v>24</v>
      </c>
      <c r="D21">
        <f>G16/A31</f>
        <v>0</v>
      </c>
      <c r="G21" t="s">
        <v>76</v>
      </c>
      <c r="K21" t="s">
        <v>57</v>
      </c>
      <c r="L21" t="s">
        <v>58</v>
      </c>
      <c r="M21" t="s">
        <v>59</v>
      </c>
      <c r="N21" t="s">
        <v>60</v>
      </c>
      <c r="Z21">
        <f t="shared" si="35"/>
        <v>0</v>
      </c>
      <c r="AA21">
        <f t="shared" si="36"/>
        <v>0</v>
      </c>
      <c r="AE21">
        <f t="shared" si="37"/>
        <v>0</v>
      </c>
      <c r="AF21">
        <f t="shared" si="38"/>
        <v>0</v>
      </c>
      <c r="AG21">
        <f t="shared" si="39"/>
        <v>0</v>
      </c>
      <c r="AK21">
        <f t="shared" si="40"/>
        <v>0</v>
      </c>
      <c r="AL21">
        <f t="shared" si="41"/>
        <v>0</v>
      </c>
      <c r="AM21">
        <f t="shared" si="42"/>
        <v>0</v>
      </c>
      <c r="AN21">
        <f t="shared" si="43"/>
        <v>0</v>
      </c>
      <c r="AP21">
        <f t="shared" si="46"/>
        <v>0</v>
      </c>
      <c r="AQ21" s="4">
        <f t="shared" si="47"/>
        <v>0</v>
      </c>
      <c r="AR21" s="4">
        <f t="shared" si="44"/>
        <v>0</v>
      </c>
      <c r="AS21" s="4">
        <f t="shared" si="44"/>
        <v>0</v>
      </c>
      <c r="AT21" s="4">
        <f t="shared" si="44"/>
        <v>0</v>
      </c>
      <c r="AU21" s="4">
        <f t="shared" si="44"/>
        <v>0</v>
      </c>
      <c r="AV21" s="4">
        <f t="shared" si="44"/>
        <v>0</v>
      </c>
      <c r="AW21" s="4">
        <f t="shared" si="44"/>
        <v>0</v>
      </c>
      <c r="AX21" s="4">
        <f t="shared" si="44"/>
        <v>0</v>
      </c>
      <c r="AY21" s="4">
        <f t="shared" si="44"/>
        <v>0</v>
      </c>
      <c r="AZ21" s="4">
        <f t="shared" si="44"/>
        <v>0</v>
      </c>
      <c r="BA21" s="4">
        <f t="shared" si="44"/>
        <v>0</v>
      </c>
      <c r="BB21" s="4">
        <f t="shared" si="44"/>
        <v>0</v>
      </c>
      <c r="BC21" s="4">
        <f t="shared" si="44"/>
        <v>0</v>
      </c>
      <c r="BD21" s="4">
        <f t="shared" si="44"/>
        <v>0</v>
      </c>
      <c r="BE21" s="4">
        <f t="shared" si="44"/>
        <v>0</v>
      </c>
      <c r="BF21" s="4">
        <f t="shared" si="44"/>
        <v>0</v>
      </c>
      <c r="BG21" s="4">
        <f t="shared" si="44"/>
        <v>0</v>
      </c>
      <c r="BH21" s="4">
        <f t="shared" si="45"/>
        <v>0</v>
      </c>
      <c r="BI21" s="4">
        <f t="shared" si="45"/>
        <v>0</v>
      </c>
      <c r="BJ21" s="4">
        <f t="shared" si="45"/>
        <v>0</v>
      </c>
      <c r="BK21" s="4">
        <f t="shared" si="45"/>
        <v>0</v>
      </c>
      <c r="BL21" s="4">
        <f t="shared" si="45"/>
        <v>0</v>
      </c>
      <c r="BM21" s="4">
        <f t="shared" si="45"/>
        <v>0</v>
      </c>
      <c r="BN21" s="4">
        <f t="shared" si="45"/>
        <v>0</v>
      </c>
    </row>
    <row r="22" spans="1:66" x14ac:dyDescent="0.2">
      <c r="A22" t="s">
        <v>36</v>
      </c>
      <c r="B22" t="s">
        <v>10</v>
      </c>
      <c r="D22" t="s">
        <v>48</v>
      </c>
      <c r="G22" t="e">
        <f>AL28/AP28</f>
        <v>#DIV/0!</v>
      </c>
      <c r="K22">
        <f>AVERAGE(C39:C50)</f>
        <v>2.3333333333333335</v>
      </c>
      <c r="L22">
        <f>MEDIAN(C39:C50)</f>
        <v>2</v>
      </c>
      <c r="M22">
        <f>MAX(C39:C50)</f>
        <v>4</v>
      </c>
      <c r="N22">
        <f>_xlfn.STDEV.S(C39:C50)</f>
        <v>0.88762536459859476</v>
      </c>
      <c r="Z22">
        <f t="shared" si="35"/>
        <v>0</v>
      </c>
      <c r="AA22">
        <f t="shared" si="36"/>
        <v>0</v>
      </c>
      <c r="AE22">
        <f t="shared" si="37"/>
        <v>0</v>
      </c>
      <c r="AF22">
        <f t="shared" si="38"/>
        <v>0</v>
      </c>
      <c r="AG22">
        <f t="shared" si="39"/>
        <v>0</v>
      </c>
      <c r="AK22">
        <f t="shared" si="40"/>
        <v>0</v>
      </c>
      <c r="AL22">
        <f t="shared" si="41"/>
        <v>0</v>
      </c>
      <c r="AM22">
        <f t="shared" si="42"/>
        <v>0</v>
      </c>
      <c r="AN22">
        <f t="shared" si="43"/>
        <v>0</v>
      </c>
      <c r="AP22">
        <f t="shared" si="46"/>
        <v>0</v>
      </c>
      <c r="AQ22" s="4">
        <f t="shared" si="47"/>
        <v>0</v>
      </c>
      <c r="AR22" s="4">
        <f t="shared" si="44"/>
        <v>0</v>
      </c>
      <c r="AS22" s="4">
        <f t="shared" si="44"/>
        <v>0</v>
      </c>
      <c r="AT22" s="4">
        <f t="shared" si="44"/>
        <v>0</v>
      </c>
      <c r="AU22" s="4">
        <f t="shared" si="44"/>
        <v>0</v>
      </c>
      <c r="AV22" s="4">
        <f t="shared" si="44"/>
        <v>0</v>
      </c>
      <c r="AW22" s="4">
        <f t="shared" si="44"/>
        <v>0</v>
      </c>
      <c r="AX22" s="4">
        <f t="shared" si="44"/>
        <v>0</v>
      </c>
      <c r="AY22" s="4">
        <f t="shared" si="44"/>
        <v>0</v>
      </c>
      <c r="AZ22" s="4">
        <f t="shared" si="44"/>
        <v>0</v>
      </c>
      <c r="BA22" s="4">
        <f t="shared" si="44"/>
        <v>0</v>
      </c>
      <c r="BB22" s="4">
        <f t="shared" si="44"/>
        <v>0</v>
      </c>
      <c r="BC22" s="4">
        <f t="shared" si="44"/>
        <v>0</v>
      </c>
      <c r="BD22" s="4">
        <f t="shared" si="44"/>
        <v>0</v>
      </c>
      <c r="BE22" s="4">
        <f t="shared" si="44"/>
        <v>0</v>
      </c>
      <c r="BF22" s="4">
        <f t="shared" si="44"/>
        <v>0</v>
      </c>
      <c r="BG22" s="4">
        <f t="shared" si="44"/>
        <v>0</v>
      </c>
      <c r="BH22" s="4">
        <f t="shared" si="45"/>
        <v>0</v>
      </c>
      <c r="BI22" s="4">
        <f t="shared" si="45"/>
        <v>0</v>
      </c>
      <c r="BJ22" s="4">
        <f t="shared" si="45"/>
        <v>0</v>
      </c>
      <c r="BK22" s="4">
        <f t="shared" si="45"/>
        <v>0</v>
      </c>
      <c r="BL22" s="4">
        <f t="shared" si="45"/>
        <v>0</v>
      </c>
      <c r="BM22" s="4">
        <f t="shared" si="45"/>
        <v>0</v>
      </c>
      <c r="BN22" s="4">
        <f t="shared" si="45"/>
        <v>0</v>
      </c>
    </row>
    <row r="23" spans="1:66" x14ac:dyDescent="0.2">
      <c r="A23" t="s">
        <v>37</v>
      </c>
      <c r="B23" t="s">
        <v>25</v>
      </c>
      <c r="D23">
        <f>H16/A31</f>
        <v>0</v>
      </c>
      <c r="G23" t="s">
        <v>77</v>
      </c>
      <c r="K23" t="s">
        <v>8</v>
      </c>
      <c r="Z23">
        <f t="shared" si="35"/>
        <v>0</v>
      </c>
      <c r="AA23">
        <f t="shared" si="36"/>
        <v>0</v>
      </c>
      <c r="AE23">
        <f t="shared" si="37"/>
        <v>0</v>
      </c>
      <c r="AF23">
        <f t="shared" si="38"/>
        <v>0</v>
      </c>
      <c r="AG23">
        <f t="shared" si="39"/>
        <v>0</v>
      </c>
      <c r="AK23">
        <f t="shared" si="40"/>
        <v>0</v>
      </c>
      <c r="AL23">
        <f t="shared" si="41"/>
        <v>0</v>
      </c>
      <c r="AM23">
        <f t="shared" si="42"/>
        <v>0</v>
      </c>
      <c r="AN23">
        <f t="shared" si="43"/>
        <v>0</v>
      </c>
      <c r="AP23">
        <f t="shared" si="46"/>
        <v>0</v>
      </c>
      <c r="AQ23" s="4">
        <f t="shared" si="47"/>
        <v>0</v>
      </c>
      <c r="AR23" s="4">
        <f t="shared" si="44"/>
        <v>0</v>
      </c>
      <c r="AS23" s="4">
        <f t="shared" si="44"/>
        <v>0</v>
      </c>
      <c r="AT23" s="4">
        <f t="shared" si="44"/>
        <v>0</v>
      </c>
      <c r="AU23" s="4">
        <f t="shared" si="44"/>
        <v>0</v>
      </c>
      <c r="AV23" s="4">
        <f t="shared" si="44"/>
        <v>0</v>
      </c>
      <c r="AW23" s="4">
        <f t="shared" si="44"/>
        <v>0</v>
      </c>
      <c r="AX23" s="4">
        <f t="shared" si="44"/>
        <v>0</v>
      </c>
      <c r="AY23" s="4">
        <f t="shared" si="44"/>
        <v>0</v>
      </c>
      <c r="AZ23" s="4">
        <f t="shared" si="44"/>
        <v>0</v>
      </c>
      <c r="BA23" s="4">
        <f t="shared" si="44"/>
        <v>0</v>
      </c>
      <c r="BB23" s="4">
        <f t="shared" si="44"/>
        <v>0</v>
      </c>
      <c r="BC23" s="4">
        <f t="shared" si="44"/>
        <v>0</v>
      </c>
      <c r="BD23" s="4">
        <f t="shared" si="44"/>
        <v>0</v>
      </c>
      <c r="BE23" s="4">
        <f t="shared" si="44"/>
        <v>0</v>
      </c>
      <c r="BF23" s="4">
        <f t="shared" si="44"/>
        <v>0</v>
      </c>
      <c r="BG23" s="4">
        <f t="shared" si="44"/>
        <v>0</v>
      </c>
      <c r="BH23" s="4">
        <f t="shared" si="45"/>
        <v>0</v>
      </c>
      <c r="BI23" s="4">
        <f t="shared" si="45"/>
        <v>0</v>
      </c>
      <c r="BJ23" s="4">
        <f t="shared" si="45"/>
        <v>0</v>
      </c>
      <c r="BK23" s="4">
        <f t="shared" si="45"/>
        <v>0</v>
      </c>
      <c r="BL23" s="4">
        <f t="shared" si="45"/>
        <v>0</v>
      </c>
      <c r="BM23" s="4">
        <f t="shared" si="45"/>
        <v>0</v>
      </c>
      <c r="BN23" s="4">
        <f t="shared" si="45"/>
        <v>0</v>
      </c>
    </row>
    <row r="24" spans="1:66" x14ac:dyDescent="0.2">
      <c r="A24" t="s">
        <v>38</v>
      </c>
      <c r="B24" t="s">
        <v>26</v>
      </c>
      <c r="D24" t="s">
        <v>50</v>
      </c>
      <c r="G24" t="e">
        <f>AM28/AP28</f>
        <v>#DIV/0!</v>
      </c>
      <c r="K24" t="s">
        <v>57</v>
      </c>
      <c r="L24" t="s">
        <v>61</v>
      </c>
      <c r="M24" t="s">
        <v>59</v>
      </c>
      <c r="N24" t="s">
        <v>60</v>
      </c>
      <c r="Z24">
        <f t="shared" si="35"/>
        <v>0</v>
      </c>
      <c r="AA24">
        <f t="shared" si="36"/>
        <v>0</v>
      </c>
      <c r="AE24">
        <f t="shared" si="37"/>
        <v>0</v>
      </c>
      <c r="AF24">
        <f t="shared" si="38"/>
        <v>0</v>
      </c>
      <c r="AG24">
        <f t="shared" si="39"/>
        <v>0</v>
      </c>
      <c r="AK24">
        <f t="shared" si="40"/>
        <v>0</v>
      </c>
      <c r="AL24">
        <f t="shared" si="41"/>
        <v>0</v>
      </c>
      <c r="AM24">
        <f t="shared" si="42"/>
        <v>0</v>
      </c>
      <c r="AN24">
        <f t="shared" si="43"/>
        <v>0</v>
      </c>
      <c r="AP24">
        <f t="shared" si="46"/>
        <v>0</v>
      </c>
      <c r="AQ24" s="4">
        <f t="shared" si="47"/>
        <v>0</v>
      </c>
      <c r="AR24" s="4">
        <f t="shared" si="44"/>
        <v>0</v>
      </c>
      <c r="AS24" s="4">
        <f t="shared" si="44"/>
        <v>0</v>
      </c>
      <c r="AT24" s="4">
        <f t="shared" si="44"/>
        <v>0</v>
      </c>
      <c r="AU24" s="4">
        <f t="shared" si="44"/>
        <v>0</v>
      </c>
      <c r="AV24" s="4">
        <f t="shared" si="44"/>
        <v>0</v>
      </c>
      <c r="AW24" s="4">
        <f t="shared" si="44"/>
        <v>0</v>
      </c>
      <c r="AX24" s="4">
        <f t="shared" si="44"/>
        <v>0</v>
      </c>
      <c r="AY24" s="4">
        <f t="shared" si="44"/>
        <v>0</v>
      </c>
      <c r="AZ24" s="4">
        <f t="shared" si="44"/>
        <v>0</v>
      </c>
      <c r="BA24" s="4">
        <f t="shared" si="44"/>
        <v>0</v>
      </c>
      <c r="BB24" s="4">
        <f t="shared" si="44"/>
        <v>0</v>
      </c>
      <c r="BC24" s="4">
        <f t="shared" si="44"/>
        <v>0</v>
      </c>
      <c r="BD24" s="4">
        <f t="shared" si="44"/>
        <v>0</v>
      </c>
      <c r="BE24" s="4">
        <f t="shared" si="44"/>
        <v>0</v>
      </c>
      <c r="BF24" s="4">
        <f t="shared" si="44"/>
        <v>0</v>
      </c>
      <c r="BG24" s="4">
        <f t="shared" si="44"/>
        <v>0</v>
      </c>
      <c r="BH24" s="4">
        <f t="shared" si="45"/>
        <v>0</v>
      </c>
      <c r="BI24" s="4">
        <f t="shared" si="45"/>
        <v>0</v>
      </c>
      <c r="BJ24" s="4">
        <f t="shared" si="45"/>
        <v>0</v>
      </c>
      <c r="BK24" s="4">
        <f t="shared" si="45"/>
        <v>0</v>
      </c>
      <c r="BL24" s="4">
        <f t="shared" si="45"/>
        <v>0</v>
      </c>
      <c r="BM24" s="4">
        <f t="shared" si="45"/>
        <v>0</v>
      </c>
      <c r="BN24" s="4">
        <f t="shared" si="45"/>
        <v>0</v>
      </c>
    </row>
    <row r="25" spans="1:66" x14ac:dyDescent="0.2">
      <c r="A25" t="s">
        <v>39</v>
      </c>
      <c r="B25" t="s">
        <v>27</v>
      </c>
      <c r="D25">
        <f>Z28/A31</f>
        <v>0</v>
      </c>
      <c r="G25" t="s">
        <v>78</v>
      </c>
      <c r="K25">
        <f>AVERAGE(E39:E50)</f>
        <v>0</v>
      </c>
      <c r="L25">
        <f>MEDIAN(E39:E50)</f>
        <v>0</v>
      </c>
      <c r="M25">
        <f>MAX(E39:E50)</f>
        <v>0</v>
      </c>
      <c r="N25">
        <f>_xlfn.STDEV.S(E39:E50)</f>
        <v>0</v>
      </c>
      <c r="Z25">
        <f t="shared" si="35"/>
        <v>0</v>
      </c>
      <c r="AA25">
        <f t="shared" si="36"/>
        <v>0</v>
      </c>
      <c r="AE25">
        <f t="shared" si="37"/>
        <v>0</v>
      </c>
      <c r="AF25">
        <f t="shared" si="38"/>
        <v>0</v>
      </c>
      <c r="AG25">
        <f t="shared" si="39"/>
        <v>0</v>
      </c>
      <c r="AK25">
        <f t="shared" si="40"/>
        <v>0</v>
      </c>
      <c r="AL25">
        <f t="shared" si="41"/>
        <v>0</v>
      </c>
      <c r="AM25">
        <f t="shared" si="42"/>
        <v>0</v>
      </c>
      <c r="AN25">
        <f t="shared" si="43"/>
        <v>0</v>
      </c>
      <c r="AP25">
        <f t="shared" si="46"/>
        <v>0</v>
      </c>
      <c r="AQ25" s="4">
        <f t="shared" si="47"/>
        <v>0</v>
      </c>
      <c r="AR25" s="4">
        <f t="shared" si="44"/>
        <v>0</v>
      </c>
      <c r="AS25" s="4">
        <f t="shared" si="44"/>
        <v>0</v>
      </c>
      <c r="AT25" s="4">
        <f t="shared" si="44"/>
        <v>0</v>
      </c>
      <c r="AU25" s="4">
        <f t="shared" si="44"/>
        <v>0</v>
      </c>
      <c r="AV25" s="4">
        <f t="shared" si="44"/>
        <v>0</v>
      </c>
      <c r="AW25" s="4">
        <f t="shared" si="44"/>
        <v>0</v>
      </c>
      <c r="AX25" s="4">
        <f t="shared" si="44"/>
        <v>0</v>
      </c>
      <c r="AY25" s="4">
        <f t="shared" si="44"/>
        <v>0</v>
      </c>
      <c r="AZ25" s="4">
        <f t="shared" si="44"/>
        <v>0</v>
      </c>
      <c r="BA25" s="4">
        <f t="shared" si="44"/>
        <v>0</v>
      </c>
      <c r="BB25" s="4">
        <f t="shared" si="44"/>
        <v>0</v>
      </c>
      <c r="BC25" s="4">
        <f t="shared" si="44"/>
        <v>0</v>
      </c>
      <c r="BD25" s="4">
        <f t="shared" si="44"/>
        <v>0</v>
      </c>
      <c r="BE25" s="4">
        <f t="shared" si="44"/>
        <v>0</v>
      </c>
      <c r="BF25" s="4">
        <f t="shared" si="44"/>
        <v>0</v>
      </c>
      <c r="BG25" s="4">
        <f t="shared" si="44"/>
        <v>0</v>
      </c>
      <c r="BH25" s="4">
        <f t="shared" si="45"/>
        <v>0</v>
      </c>
      <c r="BI25" s="4">
        <f t="shared" si="45"/>
        <v>0</v>
      </c>
      <c r="BJ25" s="4">
        <f t="shared" si="45"/>
        <v>0</v>
      </c>
      <c r="BK25" s="4">
        <f t="shared" si="45"/>
        <v>0</v>
      </c>
      <c r="BL25" s="4">
        <f t="shared" si="45"/>
        <v>0</v>
      </c>
      <c r="BM25" s="4">
        <f t="shared" si="45"/>
        <v>0</v>
      </c>
      <c r="BN25" s="4">
        <f t="shared" si="45"/>
        <v>0</v>
      </c>
    </row>
    <row r="26" spans="1:66" x14ac:dyDescent="0.2">
      <c r="A26" t="s">
        <v>44</v>
      </c>
      <c r="D26" t="s">
        <v>51</v>
      </c>
      <c r="G26" t="e">
        <f>AN28/AP28</f>
        <v>#DIV/0!</v>
      </c>
      <c r="K26" t="s">
        <v>62</v>
      </c>
      <c r="P26" t="s">
        <v>19</v>
      </c>
      <c r="Z26">
        <f t="shared" si="35"/>
        <v>0</v>
      </c>
      <c r="AA26">
        <f t="shared" si="36"/>
        <v>0</v>
      </c>
      <c r="AE26">
        <f t="shared" si="37"/>
        <v>0</v>
      </c>
      <c r="AF26">
        <f t="shared" si="38"/>
        <v>0</v>
      </c>
      <c r="AG26">
        <f t="shared" si="39"/>
        <v>0</v>
      </c>
      <c r="AK26">
        <f t="shared" si="40"/>
        <v>0</v>
      </c>
      <c r="AL26">
        <f t="shared" si="41"/>
        <v>0</v>
      </c>
      <c r="AM26">
        <f t="shared" si="42"/>
        <v>0</v>
      </c>
      <c r="AN26">
        <f t="shared" si="43"/>
        <v>0</v>
      </c>
      <c r="AP26">
        <f t="shared" si="46"/>
        <v>0</v>
      </c>
      <c r="AQ26" s="4">
        <f t="shared" si="47"/>
        <v>0</v>
      </c>
      <c r="AR26" s="4">
        <f t="shared" si="44"/>
        <v>0</v>
      </c>
      <c r="AS26" s="4">
        <f t="shared" si="44"/>
        <v>0</v>
      </c>
      <c r="AT26" s="4">
        <f t="shared" si="44"/>
        <v>0</v>
      </c>
      <c r="AU26" s="4">
        <f t="shared" si="44"/>
        <v>0</v>
      </c>
      <c r="AV26" s="4">
        <f t="shared" si="44"/>
        <v>0</v>
      </c>
      <c r="AW26" s="4">
        <f t="shared" si="44"/>
        <v>0</v>
      </c>
      <c r="AX26" s="4">
        <f t="shared" si="44"/>
        <v>0</v>
      </c>
      <c r="AY26" s="4">
        <f t="shared" si="44"/>
        <v>0</v>
      </c>
      <c r="AZ26" s="4">
        <f t="shared" si="44"/>
        <v>0</v>
      </c>
      <c r="BA26" s="4">
        <f t="shared" si="44"/>
        <v>0</v>
      </c>
      <c r="BB26" s="4">
        <f t="shared" si="44"/>
        <v>0</v>
      </c>
      <c r="BC26" s="4">
        <f t="shared" si="44"/>
        <v>0</v>
      </c>
      <c r="BD26" s="4">
        <f t="shared" si="44"/>
        <v>0</v>
      </c>
      <c r="BE26" s="4">
        <f t="shared" si="44"/>
        <v>0</v>
      </c>
      <c r="BF26" s="4">
        <f t="shared" si="44"/>
        <v>0</v>
      </c>
      <c r="BG26" s="4">
        <f t="shared" si="44"/>
        <v>0</v>
      </c>
      <c r="BH26" s="4">
        <f t="shared" si="45"/>
        <v>0</v>
      </c>
      <c r="BI26" s="4">
        <f t="shared" si="45"/>
        <v>0</v>
      </c>
      <c r="BJ26" s="4">
        <f t="shared" si="45"/>
        <v>0</v>
      </c>
      <c r="BK26" s="4">
        <f t="shared" si="45"/>
        <v>0</v>
      </c>
      <c r="BL26" s="4">
        <f t="shared" si="45"/>
        <v>0</v>
      </c>
      <c r="BM26" s="4">
        <f t="shared" si="45"/>
        <v>0</v>
      </c>
      <c r="BN26" s="4">
        <f t="shared" si="45"/>
        <v>0</v>
      </c>
    </row>
    <row r="27" spans="1:66" x14ac:dyDescent="0.2">
      <c r="A27" t="s">
        <v>45</v>
      </c>
      <c r="D27">
        <f>AA28/A31</f>
        <v>0</v>
      </c>
      <c r="G27" t="s">
        <v>56</v>
      </c>
      <c r="K27" t="s">
        <v>57</v>
      </c>
      <c r="L27" t="s">
        <v>58</v>
      </c>
      <c r="M27" t="s">
        <v>59</v>
      </c>
      <c r="N27" t="s">
        <v>60</v>
      </c>
      <c r="P27" t="s">
        <v>57</v>
      </c>
      <c r="Q27" t="s">
        <v>58</v>
      </c>
      <c r="R27" t="s">
        <v>59</v>
      </c>
      <c r="S27" t="s">
        <v>60</v>
      </c>
      <c r="Z27">
        <f t="shared" si="35"/>
        <v>0</v>
      </c>
      <c r="AA27">
        <f t="shared" si="36"/>
        <v>0</v>
      </c>
      <c r="AE27">
        <f t="shared" si="37"/>
        <v>0</v>
      </c>
      <c r="AF27">
        <f t="shared" si="38"/>
        <v>0</v>
      </c>
      <c r="AG27">
        <f t="shared" si="39"/>
        <v>0</v>
      </c>
      <c r="AK27">
        <f t="shared" si="40"/>
        <v>0</v>
      </c>
      <c r="AL27">
        <f t="shared" si="41"/>
        <v>0</v>
      </c>
      <c r="AM27">
        <f t="shared" si="42"/>
        <v>0</v>
      </c>
      <c r="AN27">
        <f t="shared" si="43"/>
        <v>0</v>
      </c>
      <c r="AP27">
        <f t="shared" si="46"/>
        <v>0</v>
      </c>
      <c r="AQ27" s="4">
        <f t="shared" si="47"/>
        <v>0</v>
      </c>
      <c r="AR27" s="4">
        <f t="shared" si="44"/>
        <v>0</v>
      </c>
      <c r="AS27" s="4">
        <f t="shared" si="44"/>
        <v>0</v>
      </c>
      <c r="AT27" s="4">
        <f t="shared" si="44"/>
        <v>0</v>
      </c>
      <c r="AU27" s="4">
        <f t="shared" si="44"/>
        <v>0</v>
      </c>
      <c r="AV27" s="4">
        <f t="shared" si="44"/>
        <v>0</v>
      </c>
      <c r="AW27" s="4">
        <f t="shared" si="44"/>
        <v>0</v>
      </c>
      <c r="AX27" s="4">
        <f t="shared" si="44"/>
        <v>0</v>
      </c>
      <c r="AY27" s="4">
        <f t="shared" si="44"/>
        <v>0</v>
      </c>
      <c r="AZ27" s="4">
        <f t="shared" si="44"/>
        <v>0</v>
      </c>
      <c r="BA27" s="4">
        <f t="shared" si="44"/>
        <v>0</v>
      </c>
      <c r="BB27" s="4">
        <f t="shared" si="44"/>
        <v>0</v>
      </c>
      <c r="BC27" s="4">
        <f t="shared" si="44"/>
        <v>0</v>
      </c>
      <c r="BD27" s="4">
        <f t="shared" si="44"/>
        <v>0</v>
      </c>
      <c r="BE27" s="4">
        <f t="shared" si="44"/>
        <v>0</v>
      </c>
      <c r="BF27" s="4">
        <f t="shared" si="44"/>
        <v>0</v>
      </c>
      <c r="BG27" s="4">
        <f t="shared" si="44"/>
        <v>0</v>
      </c>
      <c r="BH27" s="4">
        <f t="shared" si="45"/>
        <v>0</v>
      </c>
      <c r="BI27" s="4">
        <f t="shared" si="45"/>
        <v>0</v>
      </c>
      <c r="BJ27" s="4">
        <f t="shared" si="45"/>
        <v>0</v>
      </c>
      <c r="BK27" s="4">
        <f t="shared" si="45"/>
        <v>0</v>
      </c>
      <c r="BL27" s="4">
        <f t="shared" si="45"/>
        <v>0</v>
      </c>
      <c r="BM27" s="4">
        <f t="shared" si="45"/>
        <v>0</v>
      </c>
      <c r="BN27" s="4">
        <f t="shared" si="45"/>
        <v>0</v>
      </c>
    </row>
    <row r="28" spans="1:66" x14ac:dyDescent="0.2">
      <c r="A28" t="s">
        <v>46</v>
      </c>
      <c r="D28" t="s">
        <v>202</v>
      </c>
      <c r="G28" t="s">
        <v>57</v>
      </c>
      <c r="H28" t="s">
        <v>58</v>
      </c>
      <c r="I28" t="s">
        <v>59</v>
      </c>
      <c r="J28" t="s">
        <v>60</v>
      </c>
      <c r="K28">
        <f>AVERAGE(G39:G50)</f>
        <v>0</v>
      </c>
      <c r="L28">
        <f>MEDIAN(G39:G50)</f>
        <v>0</v>
      </c>
      <c r="M28">
        <f>MAX(G39:G50)</f>
        <v>0</v>
      </c>
      <c r="N28">
        <f>_xlfn.STDEV.S(G39:G50)</f>
        <v>0</v>
      </c>
      <c r="P28">
        <f>AVERAGE(N39:N50)</f>
        <v>2.9166666666666665</v>
      </c>
      <c r="Q28">
        <f>MEDIAN(N39:N50)</f>
        <v>0</v>
      </c>
      <c r="R28">
        <f>MAX(N39:N50)</f>
        <v>10</v>
      </c>
      <c r="S28">
        <f>_xlfn.STDEV.S(N39:N50)</f>
        <v>3.9876703915337779</v>
      </c>
      <c r="Y28" t="s">
        <v>33</v>
      </c>
      <c r="Z28">
        <f>SUM(Z16:Z27)</f>
        <v>0</v>
      </c>
      <c r="AA28">
        <f>SUM(AA16:AA27)</f>
        <v>0</v>
      </c>
      <c r="AE28">
        <f>SUM(AE16:AE27)</f>
        <v>0</v>
      </c>
      <c r="AF28">
        <f>SUM(AF16:AF27)</f>
        <v>2</v>
      </c>
      <c r="AG28">
        <f>SUM(AG16:AG27)</f>
        <v>0</v>
      </c>
      <c r="AK28">
        <f>SUM(AK16:AK27)</f>
        <v>0</v>
      </c>
      <c r="AL28">
        <f>SUM(AL16:AL27)</f>
        <v>0</v>
      </c>
      <c r="AM28">
        <f>SUM(AM16:AM27)</f>
        <v>0</v>
      </c>
      <c r="AN28">
        <f>SUM(AN16:AN27)</f>
        <v>0</v>
      </c>
      <c r="AP28">
        <f>SUM(AP16:AP27)</f>
        <v>0</v>
      </c>
    </row>
    <row r="29" spans="1:66" x14ac:dyDescent="0.2">
      <c r="D29">
        <f>SUM(O39:O50)/F16</f>
        <v>0</v>
      </c>
      <c r="G29">
        <f>AVERAGE(A39:A50)</f>
        <v>0.16666666666666666</v>
      </c>
      <c r="H29">
        <f>MEDIAN(A39:A50)</f>
        <v>0</v>
      </c>
      <c r="I29">
        <f>MAX(A39:A50)</f>
        <v>2</v>
      </c>
      <c r="J29">
        <f>_xlfn.STDEV.S(A39:A50)</f>
        <v>0.57735026918962573</v>
      </c>
      <c r="K29" t="s">
        <v>63</v>
      </c>
      <c r="P29" t="s">
        <v>148</v>
      </c>
    </row>
    <row r="30" spans="1:66" x14ac:dyDescent="0.2">
      <c r="A30" t="s">
        <v>147</v>
      </c>
      <c r="D30" t="s">
        <v>203</v>
      </c>
      <c r="G30" t="s">
        <v>50</v>
      </c>
      <c r="H30" t="s">
        <v>51</v>
      </c>
      <c r="I30" t="s">
        <v>89</v>
      </c>
      <c r="K30" t="s">
        <v>57</v>
      </c>
      <c r="L30" t="s">
        <v>58</v>
      </c>
      <c r="M30" t="s">
        <v>59</v>
      </c>
      <c r="N30" t="s">
        <v>60</v>
      </c>
      <c r="P30" t="s">
        <v>57</v>
      </c>
      <c r="Q30" t="s">
        <v>58</v>
      </c>
      <c r="R30" t="s">
        <v>59</v>
      </c>
      <c r="S30" t="s">
        <v>60</v>
      </c>
      <c r="W30" t="s">
        <v>148</v>
      </c>
      <c r="Y30" t="s">
        <v>149</v>
      </c>
      <c r="AH30" t="s">
        <v>79</v>
      </c>
    </row>
    <row r="31" spans="1:66" x14ac:dyDescent="0.2">
      <c r="A31">
        <f>COUNT(B4:B15)</f>
        <v>12</v>
      </c>
      <c r="D31" s="2">
        <f>SUM(S39:S50)/SUM(Q39:Q50)</f>
        <v>0.75</v>
      </c>
      <c r="G31">
        <f>AE28/A31</f>
        <v>0</v>
      </c>
      <c r="H31">
        <f>AF28/A31</f>
        <v>0.16666666666666666</v>
      </c>
      <c r="I31">
        <f>AG28/A31</f>
        <v>0</v>
      </c>
      <c r="K31" t="e">
        <f>AVERAGE(I39:I50)</f>
        <v>#DIV/0!</v>
      </c>
      <c r="L31" t="e">
        <f>MEDIAN(I39:I50)</f>
        <v>#NUM!</v>
      </c>
      <c r="M31">
        <f>MAX(I39:I50)</f>
        <v>0</v>
      </c>
      <c r="N31" t="e">
        <f>_xlfn.STDEV.S(I39:I50)</f>
        <v>#DIV/0!</v>
      </c>
      <c r="P31" t="e">
        <f>AVERAGE(W31:W42)</f>
        <v>#DIV/0!</v>
      </c>
      <c r="Q31" t="e">
        <f>MEDIAN(W31:W42)</f>
        <v>#NUM!</v>
      </c>
      <c r="R31">
        <f>MAX(W31:W42)</f>
        <v>0</v>
      </c>
      <c r="S31" t="e">
        <f>_xlfn.STDEV.S(W31:W42)</f>
        <v>#DIV/0!</v>
      </c>
      <c r="W31" t="str">
        <f>IF(AND(ISBLANK(Q4), ISBLANK(R4), ISBLANK(G4), ISBLANK(H4)), "", U4)</f>
        <v/>
      </c>
      <c r="Y31" t="str">
        <f t="shared" ref="Y31:Y42" si="48">IF(ISBLANK(Y4), IF(X4 = 0, "", (G4 + H4/3 + V4/9 + W4/3)), U4)</f>
        <v/>
      </c>
      <c r="AH31" t="s">
        <v>80</v>
      </c>
    </row>
    <row r="32" spans="1:66" x14ac:dyDescent="0.2">
      <c r="B32" t="s">
        <v>229</v>
      </c>
      <c r="D32" s="3"/>
      <c r="K32" t="s">
        <v>64</v>
      </c>
      <c r="P32" t="s">
        <v>149</v>
      </c>
      <c r="W32" t="str">
        <f t="shared" ref="W32:W33" si="49">IF(AND(ISBLANK(Q5), ISBLANK(R5), ISBLANK(G5), ISBLANK(H5)), "", U5)</f>
        <v/>
      </c>
      <c r="Y32" t="str">
        <f t="shared" si="48"/>
        <v/>
      </c>
      <c r="AH32" t="s">
        <v>81</v>
      </c>
    </row>
    <row r="33" spans="1:34" x14ac:dyDescent="0.2">
      <c r="A33" t="s">
        <v>293</v>
      </c>
      <c r="D33" s="3"/>
      <c r="K33" t="s">
        <v>57</v>
      </c>
      <c r="L33" t="s">
        <v>58</v>
      </c>
      <c r="M33" t="s">
        <v>59</v>
      </c>
      <c r="N33" t="s">
        <v>60</v>
      </c>
      <c r="P33" t="s">
        <v>57</v>
      </c>
      <c r="Q33" t="s">
        <v>58</v>
      </c>
      <c r="R33" t="s">
        <v>59</v>
      </c>
      <c r="S33" t="s">
        <v>60</v>
      </c>
      <c r="W33" t="str">
        <f t="shared" si="49"/>
        <v/>
      </c>
      <c r="Y33" t="str">
        <f t="shared" si="48"/>
        <v/>
      </c>
      <c r="AH33" t="s">
        <v>82</v>
      </c>
    </row>
    <row r="34" spans="1:34" x14ac:dyDescent="0.2">
      <c r="D34" s="3"/>
      <c r="K34">
        <f>AVERAGE(K39:K50)</f>
        <v>0</v>
      </c>
      <c r="L34">
        <f>MEDIAN(K39:K50)</f>
        <v>0</v>
      </c>
      <c r="M34">
        <f>MAX(K39:K50)</f>
        <v>0</v>
      </c>
      <c r="N34">
        <f>_xlfn.STDEV.S(K39:K50)</f>
        <v>0</v>
      </c>
      <c r="P34" t="e">
        <f>AVERAGE(Y31:Y42)</f>
        <v>#DIV/0!</v>
      </c>
      <c r="Q34" t="e">
        <f>MEDIAN(Y31:Y42)</f>
        <v>#NUM!</v>
      </c>
      <c r="R34">
        <f>MAX(Y31:Y42)</f>
        <v>0</v>
      </c>
      <c r="S34" t="e">
        <f>_xlfn.STDEV.S(Y31:Y42)</f>
        <v>#DIV/0!</v>
      </c>
      <c r="W34" t="str">
        <f>IF(AND(ISBLANK(Q7), ISBLANK(R7), ISBLANK(G7), ISBLANK(H7)), "", U7)</f>
        <v/>
      </c>
      <c r="Y34" t="str">
        <f t="shared" si="48"/>
        <v/>
      </c>
      <c r="AH34" t="s">
        <v>83</v>
      </c>
    </row>
    <row r="35" spans="1:34" x14ac:dyDescent="0.2">
      <c r="P35" t="s">
        <v>95</v>
      </c>
      <c r="R35" t="s">
        <v>197</v>
      </c>
      <c r="W35" t="str">
        <f t="shared" ref="W35:W42" si="50">IF(AND(ISBLANK(Q8), ISBLANK(R8), ISBLANK(G8), ISBLANK(H8)), "", U8)</f>
        <v/>
      </c>
      <c r="Y35" t="str">
        <f t="shared" si="48"/>
        <v/>
      </c>
    </row>
    <row r="36" spans="1:34" x14ac:dyDescent="0.2">
      <c r="P36" t="e">
        <f>Q16/(Q16+R16)</f>
        <v>#DIV/0!</v>
      </c>
      <c r="R36" t="e">
        <f>R16/(Q16+R16)</f>
        <v>#DIV/0!</v>
      </c>
      <c r="W36" t="str">
        <f t="shared" si="50"/>
        <v/>
      </c>
      <c r="Y36" t="str">
        <f t="shared" si="48"/>
        <v/>
      </c>
    </row>
    <row r="37" spans="1:34" x14ac:dyDescent="0.2">
      <c r="W37" t="str">
        <f t="shared" si="50"/>
        <v/>
      </c>
      <c r="Y37" t="str">
        <f t="shared" si="48"/>
        <v/>
      </c>
    </row>
    <row r="38" spans="1:34" x14ac:dyDescent="0.2">
      <c r="A38" t="s">
        <v>68</v>
      </c>
      <c r="C38" t="s">
        <v>69</v>
      </c>
      <c r="E38" t="s">
        <v>72</v>
      </c>
      <c r="G38" t="s">
        <v>250</v>
      </c>
      <c r="K38" t="s">
        <v>73</v>
      </c>
      <c r="M38" t="s">
        <v>70</v>
      </c>
      <c r="N38" t="s">
        <v>71</v>
      </c>
      <c r="O38" t="s">
        <v>199</v>
      </c>
      <c r="Q38" t="s">
        <v>200</v>
      </c>
      <c r="S38" t="s">
        <v>201</v>
      </c>
      <c r="W38" t="str">
        <f t="shared" si="50"/>
        <v/>
      </c>
      <c r="Y38" t="str">
        <f t="shared" si="48"/>
        <v/>
      </c>
    </row>
    <row r="39" spans="1:34" x14ac:dyDescent="0.2">
      <c r="A39">
        <f t="shared" ref="A39:A50" si="51">IF(ISBLANK(B4), "", SUM(AE16+AF16+AG16))</f>
        <v>0</v>
      </c>
      <c r="C39">
        <f t="shared" ref="C39:C50" si="52">IF(ISBLANK(B4), "", O4)</f>
        <v>4</v>
      </c>
      <c r="E39">
        <f t="shared" ref="E39:E50" si="53">IF(ISBLANK(B4), "", Q4)</f>
        <v>0</v>
      </c>
      <c r="G39">
        <f t="shared" ref="G39:G50" si="54">IF(ISBLANK(B4), "", R4)</f>
        <v>0</v>
      </c>
      <c r="K39">
        <f t="shared" ref="K39:K50" si="55">IF(ISBLANK(B4), "", SUM(Q4 + R4))</f>
        <v>0</v>
      </c>
      <c r="M39">
        <f t="shared" ref="M39:M50" si="56">IF(ISBLANK(B4), "", SUM(K4+M4) - O4)</f>
        <v>-1</v>
      </c>
      <c r="N39">
        <f t="shared" ref="N39:N50" si="57">IF(ISBLANK(B4), "", U4)</f>
        <v>0</v>
      </c>
      <c r="O39">
        <f t="shared" ref="O39:O50" si="58">COUNTIF(E4, "1")*COUNTIF(F4, "1")</f>
        <v>0</v>
      </c>
      <c r="Q39">
        <f t="shared" ref="Q39:Q50" si="59">COUNTIF(D4, "1")*COUNTIF(F4, "")</f>
        <v>0</v>
      </c>
      <c r="S39">
        <f t="shared" ref="S39:S50" si="60">COUNTIF(E4, "1")*COUNTIF(F4, "")</f>
        <v>0</v>
      </c>
      <c r="W39" t="str">
        <f t="shared" si="50"/>
        <v/>
      </c>
      <c r="Y39" t="str">
        <f t="shared" si="48"/>
        <v/>
      </c>
    </row>
    <row r="40" spans="1:34" x14ac:dyDescent="0.2">
      <c r="A40">
        <f t="shared" si="51"/>
        <v>0</v>
      </c>
      <c r="C40">
        <f t="shared" si="52"/>
        <v>1</v>
      </c>
      <c r="E40">
        <f t="shared" si="53"/>
        <v>0</v>
      </c>
      <c r="G40">
        <f t="shared" si="54"/>
        <v>0</v>
      </c>
      <c r="K40">
        <f t="shared" si="55"/>
        <v>0</v>
      </c>
      <c r="M40">
        <f t="shared" si="56"/>
        <v>0</v>
      </c>
      <c r="N40">
        <f t="shared" si="57"/>
        <v>4</v>
      </c>
      <c r="O40">
        <f t="shared" si="58"/>
        <v>0</v>
      </c>
      <c r="Q40">
        <f t="shared" si="59"/>
        <v>0</v>
      </c>
      <c r="S40">
        <f t="shared" si="60"/>
        <v>0</v>
      </c>
      <c r="W40" t="str">
        <f t="shared" si="50"/>
        <v/>
      </c>
      <c r="Y40" t="str">
        <f t="shared" si="48"/>
        <v/>
      </c>
    </row>
    <row r="41" spans="1:34" x14ac:dyDescent="0.2">
      <c r="A41">
        <f t="shared" si="51"/>
        <v>0</v>
      </c>
      <c r="C41">
        <f t="shared" si="52"/>
        <v>3</v>
      </c>
      <c r="E41">
        <f t="shared" si="53"/>
        <v>0</v>
      </c>
      <c r="G41">
        <f t="shared" si="54"/>
        <v>0</v>
      </c>
      <c r="K41">
        <f t="shared" si="55"/>
        <v>0</v>
      </c>
      <c r="M41">
        <f t="shared" si="56"/>
        <v>-1</v>
      </c>
      <c r="N41">
        <f t="shared" si="57"/>
        <v>9</v>
      </c>
      <c r="O41">
        <f t="shared" si="58"/>
        <v>0</v>
      </c>
      <c r="Q41">
        <f t="shared" si="59"/>
        <v>0</v>
      </c>
      <c r="S41">
        <f t="shared" si="60"/>
        <v>0</v>
      </c>
      <c r="W41" t="str">
        <f t="shared" si="50"/>
        <v/>
      </c>
      <c r="Y41" t="str">
        <f t="shared" si="48"/>
        <v/>
      </c>
    </row>
    <row r="42" spans="1:34" x14ac:dyDescent="0.2">
      <c r="A42">
        <f t="shared" si="51"/>
        <v>0</v>
      </c>
      <c r="C42">
        <f t="shared" si="52"/>
        <v>2</v>
      </c>
      <c r="E42">
        <f t="shared" si="53"/>
        <v>0</v>
      </c>
      <c r="G42">
        <f t="shared" si="54"/>
        <v>0</v>
      </c>
      <c r="K42">
        <f t="shared" si="55"/>
        <v>0</v>
      </c>
      <c r="M42">
        <f t="shared" si="56"/>
        <v>-1</v>
      </c>
      <c r="N42">
        <f t="shared" si="57"/>
        <v>0</v>
      </c>
      <c r="O42">
        <f t="shared" si="58"/>
        <v>0</v>
      </c>
      <c r="Q42">
        <f t="shared" si="59"/>
        <v>0</v>
      </c>
      <c r="S42">
        <f t="shared" si="60"/>
        <v>0</v>
      </c>
      <c r="W42" t="str">
        <f t="shared" si="50"/>
        <v/>
      </c>
      <c r="Y42" t="str">
        <f t="shared" si="48"/>
        <v/>
      </c>
    </row>
    <row r="43" spans="1:34" x14ac:dyDescent="0.2">
      <c r="A43">
        <f t="shared" si="51"/>
        <v>2</v>
      </c>
      <c r="C43">
        <f t="shared" si="52"/>
        <v>3</v>
      </c>
      <c r="E43">
        <f t="shared" si="53"/>
        <v>0</v>
      </c>
      <c r="G43">
        <f t="shared" si="54"/>
        <v>0</v>
      </c>
      <c r="K43">
        <f t="shared" si="55"/>
        <v>0</v>
      </c>
      <c r="M43">
        <f t="shared" si="56"/>
        <v>0</v>
      </c>
      <c r="N43">
        <f t="shared" si="57"/>
        <v>4</v>
      </c>
      <c r="O43">
        <f t="shared" si="58"/>
        <v>0</v>
      </c>
      <c r="Q43">
        <f t="shared" si="59"/>
        <v>1</v>
      </c>
      <c r="S43">
        <f t="shared" si="60"/>
        <v>1</v>
      </c>
    </row>
    <row r="44" spans="1:34" x14ac:dyDescent="0.2">
      <c r="A44">
        <f t="shared" si="51"/>
        <v>0</v>
      </c>
      <c r="C44">
        <f t="shared" si="52"/>
        <v>2</v>
      </c>
      <c r="E44">
        <f t="shared" si="53"/>
        <v>0</v>
      </c>
      <c r="G44">
        <f t="shared" si="54"/>
        <v>0</v>
      </c>
      <c r="K44">
        <f t="shared" si="55"/>
        <v>0</v>
      </c>
      <c r="M44">
        <f t="shared" si="56"/>
        <v>1</v>
      </c>
      <c r="N44">
        <f t="shared" si="57"/>
        <v>0</v>
      </c>
      <c r="O44">
        <f t="shared" si="58"/>
        <v>0</v>
      </c>
      <c r="Q44">
        <f t="shared" si="59"/>
        <v>1</v>
      </c>
      <c r="S44">
        <f t="shared" si="60"/>
        <v>1</v>
      </c>
    </row>
    <row r="45" spans="1:34" x14ac:dyDescent="0.2">
      <c r="A45">
        <f t="shared" si="51"/>
        <v>0</v>
      </c>
      <c r="C45">
        <f t="shared" si="52"/>
        <v>2</v>
      </c>
      <c r="E45">
        <f t="shared" si="53"/>
        <v>0</v>
      </c>
      <c r="G45">
        <f t="shared" si="54"/>
        <v>0</v>
      </c>
      <c r="K45">
        <f t="shared" si="55"/>
        <v>0</v>
      </c>
      <c r="M45">
        <f t="shared" si="56"/>
        <v>0</v>
      </c>
      <c r="N45">
        <f t="shared" si="57"/>
        <v>0</v>
      </c>
      <c r="O45">
        <f t="shared" si="58"/>
        <v>0</v>
      </c>
      <c r="Q45">
        <f t="shared" si="59"/>
        <v>1</v>
      </c>
      <c r="S45">
        <f t="shared" si="60"/>
        <v>1</v>
      </c>
    </row>
    <row r="46" spans="1:34" x14ac:dyDescent="0.2">
      <c r="A46">
        <f t="shared" si="51"/>
        <v>0</v>
      </c>
      <c r="C46">
        <f t="shared" si="52"/>
        <v>3</v>
      </c>
      <c r="E46">
        <f t="shared" si="53"/>
        <v>0</v>
      </c>
      <c r="G46">
        <f t="shared" si="54"/>
        <v>0</v>
      </c>
      <c r="K46">
        <f t="shared" si="55"/>
        <v>0</v>
      </c>
      <c r="M46">
        <f t="shared" si="56"/>
        <v>0</v>
      </c>
      <c r="N46">
        <f t="shared" si="57"/>
        <v>0</v>
      </c>
      <c r="O46">
        <f t="shared" si="58"/>
        <v>0</v>
      </c>
      <c r="Q46">
        <f t="shared" si="59"/>
        <v>1</v>
      </c>
      <c r="S46">
        <f t="shared" si="60"/>
        <v>1</v>
      </c>
    </row>
    <row r="47" spans="1:34" x14ac:dyDescent="0.2">
      <c r="A47">
        <f t="shared" si="51"/>
        <v>0</v>
      </c>
      <c r="C47">
        <f t="shared" si="52"/>
        <v>3</v>
      </c>
      <c r="E47">
        <f t="shared" si="53"/>
        <v>0</v>
      </c>
      <c r="G47">
        <f t="shared" si="54"/>
        <v>0</v>
      </c>
      <c r="K47">
        <f t="shared" si="55"/>
        <v>0</v>
      </c>
      <c r="M47">
        <f t="shared" si="56"/>
        <v>0</v>
      </c>
      <c r="N47">
        <f t="shared" si="57"/>
        <v>8</v>
      </c>
      <c r="O47">
        <f t="shared" si="58"/>
        <v>0</v>
      </c>
      <c r="Q47">
        <f t="shared" si="59"/>
        <v>1</v>
      </c>
      <c r="S47">
        <f t="shared" si="60"/>
        <v>1</v>
      </c>
    </row>
    <row r="48" spans="1:34" x14ac:dyDescent="0.2">
      <c r="A48">
        <f t="shared" si="51"/>
        <v>0</v>
      </c>
      <c r="C48">
        <f t="shared" si="52"/>
        <v>2</v>
      </c>
      <c r="E48">
        <f t="shared" si="53"/>
        <v>0</v>
      </c>
      <c r="G48">
        <f t="shared" si="54"/>
        <v>0</v>
      </c>
      <c r="K48">
        <f t="shared" si="55"/>
        <v>0</v>
      </c>
      <c r="M48">
        <f t="shared" si="56"/>
        <v>1</v>
      </c>
      <c r="N48">
        <f t="shared" si="57"/>
        <v>0</v>
      </c>
      <c r="O48">
        <f t="shared" si="58"/>
        <v>0</v>
      </c>
      <c r="Q48">
        <f t="shared" si="59"/>
        <v>1</v>
      </c>
      <c r="S48">
        <f t="shared" si="60"/>
        <v>1</v>
      </c>
    </row>
    <row r="49" spans="1:19" x14ac:dyDescent="0.2">
      <c r="A49">
        <f t="shared" si="51"/>
        <v>0</v>
      </c>
      <c r="C49">
        <f t="shared" si="52"/>
        <v>2</v>
      </c>
      <c r="E49">
        <f t="shared" si="53"/>
        <v>0</v>
      </c>
      <c r="G49">
        <f t="shared" si="54"/>
        <v>0</v>
      </c>
      <c r="K49">
        <f t="shared" si="55"/>
        <v>0</v>
      </c>
      <c r="M49">
        <f t="shared" si="56"/>
        <v>1</v>
      </c>
      <c r="N49">
        <f t="shared" si="57"/>
        <v>0</v>
      </c>
      <c r="O49">
        <f t="shared" si="58"/>
        <v>0</v>
      </c>
      <c r="Q49">
        <f t="shared" si="59"/>
        <v>1</v>
      </c>
      <c r="S49">
        <f t="shared" si="60"/>
        <v>0</v>
      </c>
    </row>
    <row r="50" spans="1:19" x14ac:dyDescent="0.2">
      <c r="A50">
        <f t="shared" si="51"/>
        <v>0</v>
      </c>
      <c r="C50">
        <f t="shared" si="52"/>
        <v>1</v>
      </c>
      <c r="E50">
        <f t="shared" si="53"/>
        <v>0</v>
      </c>
      <c r="G50">
        <f t="shared" si="54"/>
        <v>0</v>
      </c>
      <c r="K50">
        <f t="shared" si="55"/>
        <v>0</v>
      </c>
      <c r="M50">
        <f t="shared" si="56"/>
        <v>2</v>
      </c>
      <c r="N50">
        <f t="shared" si="57"/>
        <v>10</v>
      </c>
      <c r="O50">
        <f t="shared" si="58"/>
        <v>0</v>
      </c>
      <c r="Q50">
        <f t="shared" si="59"/>
        <v>1</v>
      </c>
      <c r="S50">
        <f t="shared" si="60"/>
        <v>0</v>
      </c>
    </row>
  </sheetData>
  <pageMargins left="0.7" right="0.7" top="0.75" bottom="0.75" header="0.3" footer="0.3"/>
  <legacy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 enableFormatConditionsCalculation="0"/>
  <dimension ref="A1:BN50"/>
  <sheetViews>
    <sheetView topLeftCell="B1" workbookViewId="0">
      <selection activeCell="U15" sqref="U15"/>
    </sheetView>
  </sheetViews>
  <sheetFormatPr baseColWidth="10" defaultRowHeight="15" x14ac:dyDescent="0.2"/>
  <sheetData>
    <row r="1" spans="1:66" x14ac:dyDescent="0.2">
      <c r="A1" s="1" t="s">
        <v>0</v>
      </c>
      <c r="D1" t="s">
        <v>3</v>
      </c>
      <c r="K1" t="s">
        <v>11</v>
      </c>
      <c r="N1" t="s">
        <v>12</v>
      </c>
      <c r="P1" t="s">
        <v>14</v>
      </c>
      <c r="Q1" t="s">
        <v>17</v>
      </c>
      <c r="S1" t="s">
        <v>18</v>
      </c>
      <c r="Z1" t="s">
        <v>29</v>
      </c>
      <c r="AE1" t="s">
        <v>30</v>
      </c>
      <c r="AK1" t="s">
        <v>42</v>
      </c>
    </row>
    <row r="2" spans="1:66" x14ac:dyDescent="0.2">
      <c r="A2" t="s">
        <v>1</v>
      </c>
      <c r="B2" t="s">
        <v>1</v>
      </c>
      <c r="C2" t="s">
        <v>87</v>
      </c>
      <c r="D2" t="s">
        <v>54</v>
      </c>
      <c r="E2" t="s">
        <v>13</v>
      </c>
      <c r="F2" t="s">
        <v>198</v>
      </c>
      <c r="G2" t="s">
        <v>7</v>
      </c>
      <c r="H2" t="s">
        <v>8</v>
      </c>
      <c r="I2" t="s">
        <v>179</v>
      </c>
      <c r="J2" t="s">
        <v>178</v>
      </c>
      <c r="K2" t="s">
        <v>9</v>
      </c>
      <c r="L2" t="s">
        <v>196</v>
      </c>
      <c r="M2" t="s">
        <v>10</v>
      </c>
      <c r="N2" t="s">
        <v>54</v>
      </c>
      <c r="O2" t="s">
        <v>13</v>
      </c>
      <c r="P2" t="s">
        <v>15</v>
      </c>
      <c r="Q2" t="s">
        <v>8</v>
      </c>
      <c r="R2" t="s">
        <v>7</v>
      </c>
      <c r="S2" t="s">
        <v>181</v>
      </c>
      <c r="T2" t="s">
        <v>182</v>
      </c>
      <c r="U2" t="s">
        <v>19</v>
      </c>
      <c r="V2" t="s">
        <v>191</v>
      </c>
      <c r="W2" t="s">
        <v>192</v>
      </c>
      <c r="X2" t="s">
        <v>175</v>
      </c>
      <c r="Y2" t="s">
        <v>173</v>
      </c>
      <c r="Z2" t="str">
        <f t="shared" ref="Z2:Z13" si="0">LEFT(I4, 1)</f>
        <v/>
      </c>
      <c r="AA2" t="str">
        <f t="shared" ref="AA2:AA13" si="1">MID(I4, 4, 1)</f>
        <v/>
      </c>
      <c r="AB2" t="str">
        <f t="shared" ref="AB2:AB13" si="2">MID(I4, 7, 1)</f>
        <v/>
      </c>
      <c r="AC2" t="str">
        <f t="shared" ref="AC2:AC13" si="3">MID(I4, 10, 1)</f>
        <v/>
      </c>
      <c r="AE2" t="str">
        <f t="shared" ref="AE2:AE13" si="4">LEFT(J4, 1)</f>
        <v/>
      </c>
      <c r="AF2" t="str">
        <f t="shared" ref="AF2:AF13" si="5">MID(J4, 4, 1)</f>
        <v/>
      </c>
      <c r="AG2" t="str">
        <f t="shared" ref="AG2:AG13" si="6">MID(J4, 7, 1)</f>
        <v/>
      </c>
      <c r="AH2" t="str">
        <f t="shared" ref="AH2:AH13" si="7">MID(J4, 10, 1)</f>
        <v/>
      </c>
      <c r="AI2" t="str">
        <f t="shared" ref="AI2:AI13" si="8">MID(J4, 13, 1)</f>
        <v/>
      </c>
      <c r="AK2" t="str">
        <f t="shared" ref="AK2:AK13" si="9">LEFT(P4, 2)</f>
        <v/>
      </c>
      <c r="AL2" t="str">
        <f>MID($P4, 5, 2)</f>
        <v/>
      </c>
      <c r="AM2" t="str">
        <f t="shared" ref="AM2:AM13" si="10">MID($P4, 9, 2)</f>
        <v/>
      </c>
      <c r="AN2" t="str">
        <f t="shared" ref="AN2:AN13" si="11">MID($P4, 13, 2)</f>
        <v/>
      </c>
      <c r="AO2" t="str">
        <f t="shared" ref="AO2:AO13" si="12">MID($P4, 17, 2)</f>
        <v/>
      </c>
      <c r="AP2" t="str">
        <f t="shared" ref="AP2:AP13" si="13">MID($P4, 21, 2)</f>
        <v/>
      </c>
      <c r="AQ2" t="str">
        <f t="shared" ref="AQ2:AQ13" si="14">MID($P4, 25, 2)</f>
        <v/>
      </c>
      <c r="AR2" t="str">
        <f t="shared" ref="AR2:AR13" si="15">MID($P4, 29, 2)</f>
        <v/>
      </c>
      <c r="AS2" t="str">
        <f t="shared" ref="AS2:AS13" si="16">MID($P4, 33, 2)</f>
        <v/>
      </c>
      <c r="AT2" t="str">
        <f t="shared" ref="AT2:AT13" si="17">MID($P4, 37, 2)</f>
        <v/>
      </c>
      <c r="AU2" t="str">
        <f t="shared" ref="AU2:AU13" si="18">MID($P4, 41, 2)</f>
        <v/>
      </c>
      <c r="AV2" t="str">
        <f t="shared" ref="AV2:AV13" si="19">MID($P4, 45, 2)</f>
        <v/>
      </c>
      <c r="AW2" t="str">
        <f t="shared" ref="AW2:AW13" si="20">MID($P4, 49, 2)</f>
        <v/>
      </c>
      <c r="AX2" t="str">
        <f t="shared" ref="AX2:AX13" si="21">MID($P4, 53, 2)</f>
        <v/>
      </c>
      <c r="AY2" t="str">
        <f t="shared" ref="AY2:AY13" si="22">MID($P4, 57, 2)</f>
        <v/>
      </c>
      <c r="AZ2" t="str">
        <f t="shared" ref="AZ2:AZ13" si="23">MID($P4, 61, 2)</f>
        <v/>
      </c>
      <c r="BA2" t="str">
        <f t="shared" ref="BA2:BA13" si="24">MID($P4, 65, 2)</f>
        <v/>
      </c>
      <c r="BB2" t="str">
        <f t="shared" ref="BB2:BB13" si="25">MID($P4, 69, 2)</f>
        <v/>
      </c>
      <c r="BC2" t="str">
        <f t="shared" ref="BC2:BC13" si="26">MID($P4, 73, 2)</f>
        <v/>
      </c>
      <c r="BD2" t="str">
        <f t="shared" ref="BD2:BD13" si="27">MID($P4, 77, 2)</f>
        <v/>
      </c>
      <c r="BE2" t="str">
        <f t="shared" ref="BE2:BE13" si="28">MID($P4, 81, 2)</f>
        <v/>
      </c>
      <c r="BF2" t="str">
        <f t="shared" ref="BF2:BF13" si="29">MID($P4, 85, 2)</f>
        <v/>
      </c>
      <c r="BG2" t="str">
        <f t="shared" ref="BG2:BG13" si="30">MID($P4, 89, 2)</f>
        <v/>
      </c>
      <c r="BH2" t="str">
        <f t="shared" ref="BH2:BH13" si="31">MID($P4, 93, 2)</f>
        <v/>
      </c>
    </row>
    <row r="3" spans="1:66" x14ac:dyDescent="0.2">
      <c r="A3" t="s">
        <v>2</v>
      </c>
      <c r="B3" t="s">
        <v>6</v>
      </c>
      <c r="C3" t="s">
        <v>88</v>
      </c>
      <c r="D3" t="s">
        <v>6</v>
      </c>
      <c r="E3" t="s">
        <v>6</v>
      </c>
      <c r="F3" t="s">
        <v>4</v>
      </c>
      <c r="G3" t="s">
        <v>6</v>
      </c>
      <c r="H3" t="s">
        <v>6</v>
      </c>
      <c r="I3" t="s">
        <v>86</v>
      </c>
      <c r="J3" t="s">
        <v>86</v>
      </c>
      <c r="K3" t="s">
        <v>6</v>
      </c>
      <c r="L3" t="s">
        <v>6</v>
      </c>
      <c r="M3" t="s">
        <v>6</v>
      </c>
      <c r="N3" t="s">
        <v>6</v>
      </c>
      <c r="O3" t="s">
        <v>6</v>
      </c>
      <c r="P3" t="s">
        <v>16</v>
      </c>
      <c r="Q3" t="s">
        <v>6</v>
      </c>
      <c r="R3" t="s">
        <v>6</v>
      </c>
      <c r="S3" t="s">
        <v>4</v>
      </c>
      <c r="T3" t="s">
        <v>4</v>
      </c>
      <c r="U3" t="s">
        <v>6</v>
      </c>
      <c r="V3" t="s">
        <v>6</v>
      </c>
      <c r="W3" t="s">
        <v>6</v>
      </c>
      <c r="X3" t="s">
        <v>6</v>
      </c>
      <c r="Y3" t="s">
        <v>174</v>
      </c>
      <c r="Z3" t="str">
        <f t="shared" si="0"/>
        <v/>
      </c>
      <c r="AA3" t="str">
        <f t="shared" si="1"/>
        <v/>
      </c>
      <c r="AB3" t="str">
        <f t="shared" si="2"/>
        <v/>
      </c>
      <c r="AC3" t="str">
        <f t="shared" si="3"/>
        <v/>
      </c>
      <c r="AE3" t="str">
        <f t="shared" si="4"/>
        <v/>
      </c>
      <c r="AF3" t="str">
        <f t="shared" si="5"/>
        <v/>
      </c>
      <c r="AG3" t="str">
        <f t="shared" si="6"/>
        <v/>
      </c>
      <c r="AH3" t="str">
        <f t="shared" si="7"/>
        <v/>
      </c>
      <c r="AI3" t="str">
        <f t="shared" si="8"/>
        <v/>
      </c>
      <c r="AK3" t="str">
        <f t="shared" si="9"/>
        <v/>
      </c>
      <c r="AL3" t="str">
        <f t="shared" ref="AL3:AL13" si="32">MID(P5, 5, 2)</f>
        <v/>
      </c>
      <c r="AM3" t="str">
        <f t="shared" si="10"/>
        <v/>
      </c>
      <c r="AN3" t="str">
        <f t="shared" si="11"/>
        <v/>
      </c>
      <c r="AO3" t="str">
        <f t="shared" si="12"/>
        <v/>
      </c>
      <c r="AP3" t="str">
        <f t="shared" si="13"/>
        <v/>
      </c>
      <c r="AQ3" t="str">
        <f t="shared" si="14"/>
        <v/>
      </c>
      <c r="AR3" t="str">
        <f t="shared" si="15"/>
        <v/>
      </c>
      <c r="AS3" t="str">
        <f t="shared" si="16"/>
        <v/>
      </c>
      <c r="AT3" t="str">
        <f t="shared" si="17"/>
        <v/>
      </c>
      <c r="AU3" t="str">
        <f t="shared" si="18"/>
        <v/>
      </c>
      <c r="AV3" t="str">
        <f t="shared" si="19"/>
        <v/>
      </c>
      <c r="AW3" t="str">
        <f t="shared" si="20"/>
        <v/>
      </c>
      <c r="AX3" t="str">
        <f t="shared" si="21"/>
        <v/>
      </c>
      <c r="AY3" t="str">
        <f t="shared" si="22"/>
        <v/>
      </c>
      <c r="AZ3" t="str">
        <f t="shared" si="23"/>
        <v/>
      </c>
      <c r="BA3" t="str">
        <f t="shared" si="24"/>
        <v/>
      </c>
      <c r="BB3" t="str">
        <f t="shared" si="25"/>
        <v/>
      </c>
      <c r="BC3" t="str">
        <f t="shared" si="26"/>
        <v/>
      </c>
      <c r="BD3" t="str">
        <f t="shared" si="27"/>
        <v/>
      </c>
      <c r="BE3" t="str">
        <f t="shared" si="28"/>
        <v/>
      </c>
      <c r="BF3" t="str">
        <f t="shared" si="29"/>
        <v/>
      </c>
      <c r="BG3" t="str">
        <f t="shared" si="30"/>
        <v/>
      </c>
      <c r="BH3" t="str">
        <f t="shared" si="31"/>
        <v/>
      </c>
    </row>
    <row r="4" spans="1:66" x14ac:dyDescent="0.2">
      <c r="A4">
        <v>1</v>
      </c>
      <c r="B4">
        <v>6</v>
      </c>
      <c r="C4" t="s">
        <v>39</v>
      </c>
      <c r="D4">
        <v>1</v>
      </c>
      <c r="K4">
        <v>4</v>
      </c>
      <c r="N4">
        <v>4</v>
      </c>
      <c r="O4">
        <v>4</v>
      </c>
      <c r="S4">
        <v>1</v>
      </c>
      <c r="T4">
        <v>1</v>
      </c>
      <c r="U4">
        <v>1</v>
      </c>
      <c r="X4">
        <f t="shared" ref="X4:X15" si="33">G4+H4+Q4+R4</f>
        <v>0</v>
      </c>
      <c r="Z4" t="str">
        <f t="shared" si="0"/>
        <v/>
      </c>
      <c r="AA4" t="str">
        <f t="shared" si="1"/>
        <v/>
      </c>
      <c r="AB4" t="str">
        <f t="shared" si="2"/>
        <v/>
      </c>
      <c r="AC4" t="str">
        <f t="shared" si="3"/>
        <v/>
      </c>
      <c r="AE4" t="str">
        <f t="shared" si="4"/>
        <v/>
      </c>
      <c r="AF4" t="str">
        <f t="shared" si="5"/>
        <v/>
      </c>
      <c r="AG4" t="str">
        <f t="shared" si="6"/>
        <v/>
      </c>
      <c r="AH4" t="str">
        <f t="shared" si="7"/>
        <v/>
      </c>
      <c r="AI4" t="str">
        <f t="shared" si="8"/>
        <v/>
      </c>
      <c r="AK4" t="str">
        <f t="shared" si="9"/>
        <v/>
      </c>
      <c r="AL4" t="str">
        <f t="shared" si="32"/>
        <v/>
      </c>
      <c r="AM4" t="str">
        <f t="shared" si="10"/>
        <v/>
      </c>
      <c r="AN4" t="str">
        <f t="shared" si="11"/>
        <v/>
      </c>
      <c r="AO4" t="str">
        <f t="shared" si="12"/>
        <v/>
      </c>
      <c r="AP4" t="str">
        <f t="shared" si="13"/>
        <v/>
      </c>
      <c r="AQ4" t="str">
        <f t="shared" si="14"/>
        <v/>
      </c>
      <c r="AR4" t="str">
        <f t="shared" si="15"/>
        <v/>
      </c>
      <c r="AS4" t="str">
        <f t="shared" si="16"/>
        <v/>
      </c>
      <c r="AT4" t="str">
        <f t="shared" si="17"/>
        <v/>
      </c>
      <c r="AU4" t="str">
        <f t="shared" si="18"/>
        <v/>
      </c>
      <c r="AV4" t="str">
        <f t="shared" si="19"/>
        <v/>
      </c>
      <c r="AW4" t="str">
        <f t="shared" si="20"/>
        <v/>
      </c>
      <c r="AX4" t="str">
        <f t="shared" si="21"/>
        <v/>
      </c>
      <c r="AY4" t="str">
        <f t="shared" si="22"/>
        <v/>
      </c>
      <c r="AZ4" t="str">
        <f t="shared" si="23"/>
        <v/>
      </c>
      <c r="BA4" t="str">
        <f t="shared" si="24"/>
        <v/>
      </c>
      <c r="BB4" t="str">
        <f t="shared" si="25"/>
        <v/>
      </c>
      <c r="BC4" t="str">
        <f t="shared" si="26"/>
        <v/>
      </c>
      <c r="BD4" t="str">
        <f t="shared" si="27"/>
        <v/>
      </c>
      <c r="BE4" t="str">
        <f t="shared" si="28"/>
        <v/>
      </c>
      <c r="BF4" t="str">
        <f t="shared" si="29"/>
        <v/>
      </c>
      <c r="BG4" t="str">
        <f t="shared" si="30"/>
        <v/>
      </c>
      <c r="BH4" t="str">
        <f t="shared" si="31"/>
        <v/>
      </c>
    </row>
    <row r="5" spans="1:66" x14ac:dyDescent="0.2">
      <c r="A5">
        <v>2</v>
      </c>
      <c r="B5">
        <v>13</v>
      </c>
      <c r="C5" t="s">
        <v>39</v>
      </c>
      <c r="D5">
        <v>1</v>
      </c>
      <c r="K5">
        <v>4</v>
      </c>
      <c r="N5">
        <v>4</v>
      </c>
      <c r="O5">
        <v>4</v>
      </c>
      <c r="S5">
        <v>1</v>
      </c>
      <c r="T5">
        <v>1</v>
      </c>
      <c r="X5">
        <f t="shared" si="33"/>
        <v>0</v>
      </c>
      <c r="Z5" t="str">
        <f t="shared" si="0"/>
        <v/>
      </c>
      <c r="AA5" t="str">
        <f t="shared" si="1"/>
        <v/>
      </c>
      <c r="AB5" t="str">
        <f t="shared" si="2"/>
        <v/>
      </c>
      <c r="AC5" t="str">
        <f t="shared" si="3"/>
        <v/>
      </c>
      <c r="AE5" t="str">
        <f t="shared" si="4"/>
        <v>1</v>
      </c>
      <c r="AF5" t="str">
        <f t="shared" si="5"/>
        <v>2</v>
      </c>
      <c r="AG5" t="str">
        <f t="shared" si="6"/>
        <v/>
      </c>
      <c r="AH5" t="str">
        <f t="shared" si="7"/>
        <v/>
      </c>
      <c r="AI5" t="str">
        <f t="shared" si="8"/>
        <v/>
      </c>
      <c r="AK5" t="str">
        <f t="shared" si="9"/>
        <v/>
      </c>
      <c r="AL5" t="str">
        <f t="shared" si="32"/>
        <v/>
      </c>
      <c r="AM5" t="str">
        <f t="shared" si="10"/>
        <v/>
      </c>
      <c r="AN5" t="str">
        <f t="shared" si="11"/>
        <v/>
      </c>
      <c r="AO5" t="str">
        <f t="shared" si="12"/>
        <v/>
      </c>
      <c r="AP5" t="str">
        <f t="shared" si="13"/>
        <v/>
      </c>
      <c r="AQ5" t="str">
        <f t="shared" si="14"/>
        <v/>
      </c>
      <c r="AR5" t="str">
        <f t="shared" si="15"/>
        <v/>
      </c>
      <c r="AS5" t="str">
        <f t="shared" si="16"/>
        <v/>
      </c>
      <c r="AT5" t="str">
        <f t="shared" si="17"/>
        <v/>
      </c>
      <c r="AU5" t="str">
        <f t="shared" si="18"/>
        <v/>
      </c>
      <c r="AV5" t="str">
        <f t="shared" si="19"/>
        <v/>
      </c>
      <c r="AW5" t="str">
        <f t="shared" si="20"/>
        <v/>
      </c>
      <c r="AX5" t="str">
        <f t="shared" si="21"/>
        <v/>
      </c>
      <c r="AY5" t="str">
        <f t="shared" si="22"/>
        <v/>
      </c>
      <c r="AZ5" t="str">
        <f t="shared" si="23"/>
        <v/>
      </c>
      <c r="BA5" t="str">
        <f t="shared" si="24"/>
        <v/>
      </c>
      <c r="BB5" t="str">
        <f t="shared" si="25"/>
        <v/>
      </c>
      <c r="BC5" t="str">
        <f t="shared" si="26"/>
        <v/>
      </c>
      <c r="BD5" t="str">
        <f t="shared" si="27"/>
        <v/>
      </c>
      <c r="BE5" t="str">
        <f t="shared" si="28"/>
        <v/>
      </c>
      <c r="BF5" t="str">
        <f t="shared" si="29"/>
        <v/>
      </c>
      <c r="BG5" t="str">
        <f t="shared" si="30"/>
        <v/>
      </c>
      <c r="BH5" t="str">
        <f t="shared" si="31"/>
        <v/>
      </c>
    </row>
    <row r="6" spans="1:66" x14ac:dyDescent="0.2">
      <c r="A6">
        <v>3</v>
      </c>
      <c r="B6">
        <v>28</v>
      </c>
      <c r="C6" t="s">
        <v>207</v>
      </c>
      <c r="D6">
        <v>1</v>
      </c>
      <c r="F6">
        <v>1</v>
      </c>
      <c r="K6">
        <v>3</v>
      </c>
      <c r="N6">
        <v>3</v>
      </c>
      <c r="O6">
        <v>3</v>
      </c>
      <c r="S6">
        <v>1</v>
      </c>
      <c r="T6">
        <v>1</v>
      </c>
      <c r="X6">
        <f t="shared" si="33"/>
        <v>0</v>
      </c>
      <c r="Z6" t="str">
        <f t="shared" si="0"/>
        <v/>
      </c>
      <c r="AA6" t="str">
        <f t="shared" si="1"/>
        <v/>
      </c>
      <c r="AB6" t="str">
        <f t="shared" si="2"/>
        <v/>
      </c>
      <c r="AC6" t="str">
        <f t="shared" si="3"/>
        <v/>
      </c>
      <c r="AE6" t="str">
        <f t="shared" si="4"/>
        <v>4</v>
      </c>
      <c r="AF6" t="str">
        <f t="shared" si="5"/>
        <v/>
      </c>
      <c r="AG6" t="str">
        <f t="shared" si="6"/>
        <v/>
      </c>
      <c r="AH6" t="str">
        <f t="shared" si="7"/>
        <v/>
      </c>
      <c r="AI6" t="str">
        <f t="shared" si="8"/>
        <v/>
      </c>
      <c r="AK6" t="str">
        <f t="shared" si="9"/>
        <v/>
      </c>
      <c r="AL6" t="str">
        <f t="shared" si="32"/>
        <v/>
      </c>
      <c r="AM6" t="str">
        <f t="shared" si="10"/>
        <v/>
      </c>
      <c r="AN6" t="str">
        <f t="shared" si="11"/>
        <v/>
      </c>
      <c r="AO6" t="str">
        <f t="shared" si="12"/>
        <v/>
      </c>
      <c r="AP6" t="str">
        <f t="shared" si="13"/>
        <v/>
      </c>
      <c r="AQ6" t="str">
        <f t="shared" si="14"/>
        <v/>
      </c>
      <c r="AR6" t="str">
        <f t="shared" si="15"/>
        <v/>
      </c>
      <c r="AS6" t="str">
        <f t="shared" si="16"/>
        <v/>
      </c>
      <c r="AT6" t="str">
        <f t="shared" si="17"/>
        <v/>
      </c>
      <c r="AU6" t="str">
        <f t="shared" si="18"/>
        <v/>
      </c>
      <c r="AV6" t="str">
        <f t="shared" si="19"/>
        <v/>
      </c>
      <c r="AW6" t="str">
        <f t="shared" si="20"/>
        <v/>
      </c>
      <c r="AX6" t="str">
        <f t="shared" si="21"/>
        <v/>
      </c>
      <c r="AY6" t="str">
        <f t="shared" si="22"/>
        <v/>
      </c>
      <c r="AZ6" t="str">
        <f t="shared" si="23"/>
        <v/>
      </c>
      <c r="BA6" t="str">
        <f t="shared" si="24"/>
        <v/>
      </c>
      <c r="BB6" t="str">
        <f t="shared" si="25"/>
        <v/>
      </c>
      <c r="BC6" t="str">
        <f t="shared" si="26"/>
        <v/>
      </c>
      <c r="BD6" t="str">
        <f t="shared" si="27"/>
        <v/>
      </c>
      <c r="BE6" t="str">
        <f t="shared" si="28"/>
        <v/>
      </c>
      <c r="BF6" t="str">
        <f t="shared" si="29"/>
        <v/>
      </c>
      <c r="BG6" t="str">
        <f t="shared" si="30"/>
        <v/>
      </c>
      <c r="BH6" t="str">
        <f t="shared" si="31"/>
        <v/>
      </c>
    </row>
    <row r="7" spans="1:66" x14ac:dyDescent="0.2">
      <c r="A7">
        <v>4</v>
      </c>
      <c r="B7">
        <v>35</v>
      </c>
      <c r="C7" t="s">
        <v>207</v>
      </c>
      <c r="J7" t="s">
        <v>261</v>
      </c>
      <c r="K7">
        <v>5</v>
      </c>
      <c r="N7">
        <v>5</v>
      </c>
      <c r="O7">
        <v>4</v>
      </c>
      <c r="S7">
        <v>1</v>
      </c>
      <c r="T7">
        <v>1</v>
      </c>
      <c r="X7">
        <f t="shared" si="33"/>
        <v>0</v>
      </c>
      <c r="Z7" t="str">
        <f t="shared" si="0"/>
        <v/>
      </c>
      <c r="AA7" t="str">
        <f t="shared" si="1"/>
        <v/>
      </c>
      <c r="AB7" t="str">
        <f t="shared" si="2"/>
        <v/>
      </c>
      <c r="AC7" t="str">
        <f t="shared" si="3"/>
        <v/>
      </c>
      <c r="AE7" t="str">
        <f t="shared" si="4"/>
        <v/>
      </c>
      <c r="AF7" t="str">
        <f t="shared" si="5"/>
        <v/>
      </c>
      <c r="AG7" t="str">
        <f t="shared" si="6"/>
        <v/>
      </c>
      <c r="AH7" t="str">
        <f t="shared" si="7"/>
        <v/>
      </c>
      <c r="AI7" t="str">
        <f t="shared" si="8"/>
        <v/>
      </c>
      <c r="AK7" t="str">
        <f t="shared" si="9"/>
        <v/>
      </c>
      <c r="AL7" t="str">
        <f t="shared" si="32"/>
        <v/>
      </c>
      <c r="AM7" t="str">
        <f t="shared" si="10"/>
        <v/>
      </c>
      <c r="AN7" t="str">
        <f t="shared" si="11"/>
        <v/>
      </c>
      <c r="AO7" t="str">
        <f t="shared" si="12"/>
        <v/>
      </c>
      <c r="AP7" t="str">
        <f t="shared" si="13"/>
        <v/>
      </c>
      <c r="AQ7" t="str">
        <f t="shared" si="14"/>
        <v/>
      </c>
      <c r="AR7" t="str">
        <f t="shared" si="15"/>
        <v/>
      </c>
      <c r="AS7" t="str">
        <f t="shared" si="16"/>
        <v/>
      </c>
      <c r="AT7" t="str">
        <f t="shared" si="17"/>
        <v/>
      </c>
      <c r="AU7" t="str">
        <f t="shared" si="18"/>
        <v/>
      </c>
      <c r="AV7" t="str">
        <f t="shared" si="19"/>
        <v/>
      </c>
      <c r="AW7" t="str">
        <f t="shared" si="20"/>
        <v/>
      </c>
      <c r="AX7" t="str">
        <f t="shared" si="21"/>
        <v/>
      </c>
      <c r="AY7" t="str">
        <f t="shared" si="22"/>
        <v/>
      </c>
      <c r="AZ7" t="str">
        <f t="shared" si="23"/>
        <v/>
      </c>
      <c r="BA7" t="str">
        <f t="shared" si="24"/>
        <v/>
      </c>
      <c r="BB7" t="str">
        <f t="shared" si="25"/>
        <v/>
      </c>
      <c r="BC7" t="str">
        <f t="shared" si="26"/>
        <v/>
      </c>
      <c r="BD7" t="str">
        <f t="shared" si="27"/>
        <v/>
      </c>
      <c r="BE7" t="str">
        <f t="shared" si="28"/>
        <v/>
      </c>
      <c r="BF7" t="str">
        <f t="shared" si="29"/>
        <v/>
      </c>
      <c r="BG7" t="str">
        <f t="shared" si="30"/>
        <v/>
      </c>
      <c r="BH7" t="str">
        <f t="shared" si="31"/>
        <v/>
      </c>
    </row>
    <row r="8" spans="1:66" x14ac:dyDescent="0.2">
      <c r="A8">
        <v>5</v>
      </c>
      <c r="B8">
        <v>43</v>
      </c>
      <c r="C8" t="s">
        <v>207</v>
      </c>
      <c r="D8">
        <v>1</v>
      </c>
      <c r="J8">
        <v>4</v>
      </c>
      <c r="K8">
        <v>3</v>
      </c>
      <c r="N8">
        <v>4</v>
      </c>
      <c r="O8">
        <v>4</v>
      </c>
      <c r="S8">
        <v>1</v>
      </c>
      <c r="T8">
        <v>1</v>
      </c>
      <c r="X8">
        <f t="shared" si="33"/>
        <v>0</v>
      </c>
      <c r="Z8" t="str">
        <f t="shared" si="0"/>
        <v/>
      </c>
      <c r="AA8" t="str">
        <f t="shared" si="1"/>
        <v/>
      </c>
      <c r="AB8" t="str">
        <f t="shared" si="2"/>
        <v/>
      </c>
      <c r="AC8" t="str">
        <f t="shared" si="3"/>
        <v/>
      </c>
      <c r="AE8" t="str">
        <f t="shared" si="4"/>
        <v/>
      </c>
      <c r="AF8" t="str">
        <f t="shared" si="5"/>
        <v/>
      </c>
      <c r="AG8" t="str">
        <f t="shared" si="6"/>
        <v/>
      </c>
      <c r="AH8" t="str">
        <f t="shared" si="7"/>
        <v/>
      </c>
      <c r="AI8" t="str">
        <f t="shared" si="8"/>
        <v/>
      </c>
      <c r="AK8" t="str">
        <f t="shared" si="9"/>
        <v/>
      </c>
      <c r="AL8" t="str">
        <f t="shared" si="32"/>
        <v/>
      </c>
      <c r="AM8" t="str">
        <f t="shared" si="10"/>
        <v/>
      </c>
      <c r="AN8" t="str">
        <f t="shared" si="11"/>
        <v/>
      </c>
      <c r="AO8" t="str">
        <f t="shared" si="12"/>
        <v/>
      </c>
      <c r="AP8" t="str">
        <f t="shared" si="13"/>
        <v/>
      </c>
      <c r="AQ8" t="str">
        <f t="shared" si="14"/>
        <v/>
      </c>
      <c r="AR8" t="str">
        <f t="shared" si="15"/>
        <v/>
      </c>
      <c r="AS8" t="str">
        <f t="shared" si="16"/>
        <v/>
      </c>
      <c r="AT8" t="str">
        <f t="shared" si="17"/>
        <v/>
      </c>
      <c r="AU8" t="str">
        <f t="shared" si="18"/>
        <v/>
      </c>
      <c r="AV8" t="str">
        <f t="shared" si="19"/>
        <v/>
      </c>
      <c r="AW8" t="str">
        <f t="shared" si="20"/>
        <v/>
      </c>
      <c r="AX8" t="str">
        <f t="shared" si="21"/>
        <v/>
      </c>
      <c r="AY8" t="str">
        <f t="shared" si="22"/>
        <v/>
      </c>
      <c r="AZ8" t="str">
        <f t="shared" si="23"/>
        <v/>
      </c>
      <c r="BA8" t="str">
        <f t="shared" si="24"/>
        <v/>
      </c>
      <c r="BB8" t="str">
        <f t="shared" si="25"/>
        <v/>
      </c>
      <c r="BC8" t="str">
        <f t="shared" si="26"/>
        <v/>
      </c>
      <c r="BD8" t="str">
        <f t="shared" si="27"/>
        <v/>
      </c>
      <c r="BE8" t="str">
        <f t="shared" si="28"/>
        <v/>
      </c>
      <c r="BF8" t="str">
        <f t="shared" si="29"/>
        <v/>
      </c>
      <c r="BG8" t="str">
        <f t="shared" si="30"/>
        <v/>
      </c>
      <c r="BH8" t="str">
        <f t="shared" si="31"/>
        <v/>
      </c>
    </row>
    <row r="9" spans="1:66" x14ac:dyDescent="0.2">
      <c r="A9">
        <v>6</v>
      </c>
      <c r="B9">
        <v>54</v>
      </c>
      <c r="C9" t="s">
        <v>207</v>
      </c>
      <c r="D9">
        <v>1</v>
      </c>
      <c r="F9">
        <v>1</v>
      </c>
      <c r="K9">
        <v>3</v>
      </c>
      <c r="N9">
        <v>4</v>
      </c>
      <c r="O9">
        <v>4</v>
      </c>
      <c r="S9">
        <v>1</v>
      </c>
      <c r="T9">
        <v>1</v>
      </c>
      <c r="U9">
        <v>1</v>
      </c>
      <c r="X9">
        <f t="shared" si="33"/>
        <v>0</v>
      </c>
      <c r="Z9" t="str">
        <f t="shared" si="0"/>
        <v/>
      </c>
      <c r="AA9" t="str">
        <f t="shared" si="1"/>
        <v/>
      </c>
      <c r="AB9" t="str">
        <f t="shared" si="2"/>
        <v/>
      </c>
      <c r="AC9" t="str">
        <f t="shared" si="3"/>
        <v/>
      </c>
      <c r="AE9" t="str">
        <f t="shared" si="4"/>
        <v/>
      </c>
      <c r="AF9" t="str">
        <f t="shared" si="5"/>
        <v/>
      </c>
      <c r="AG9" t="str">
        <f t="shared" si="6"/>
        <v/>
      </c>
      <c r="AH9" t="str">
        <f t="shared" si="7"/>
        <v/>
      </c>
      <c r="AI9" t="str">
        <f t="shared" si="8"/>
        <v/>
      </c>
      <c r="AK9" t="str">
        <f t="shared" si="9"/>
        <v/>
      </c>
      <c r="AL9" t="str">
        <f t="shared" si="32"/>
        <v/>
      </c>
      <c r="AM9" t="str">
        <f t="shared" si="10"/>
        <v/>
      </c>
      <c r="AN9" t="str">
        <f t="shared" si="11"/>
        <v/>
      </c>
      <c r="AO9" t="str">
        <f t="shared" si="12"/>
        <v/>
      </c>
      <c r="AP9" t="str">
        <f t="shared" si="13"/>
        <v/>
      </c>
      <c r="AQ9" t="str">
        <f t="shared" si="14"/>
        <v/>
      </c>
      <c r="AR9" t="str">
        <f t="shared" si="15"/>
        <v/>
      </c>
      <c r="AS9" t="str">
        <f t="shared" si="16"/>
        <v/>
      </c>
      <c r="AT9" t="str">
        <f t="shared" si="17"/>
        <v/>
      </c>
      <c r="AU9" t="str">
        <f t="shared" si="18"/>
        <v/>
      </c>
      <c r="AV9" t="str">
        <f t="shared" si="19"/>
        <v/>
      </c>
      <c r="AW9" t="str">
        <f t="shared" si="20"/>
        <v/>
      </c>
      <c r="AX9" t="str">
        <f t="shared" si="21"/>
        <v/>
      </c>
      <c r="AY9" t="str">
        <f t="shared" si="22"/>
        <v/>
      </c>
      <c r="AZ9" t="str">
        <f t="shared" si="23"/>
        <v/>
      </c>
      <c r="BA9" t="str">
        <f t="shared" si="24"/>
        <v/>
      </c>
      <c r="BB9" t="str">
        <f t="shared" si="25"/>
        <v/>
      </c>
      <c r="BC9" t="str">
        <f t="shared" si="26"/>
        <v/>
      </c>
      <c r="BD9" t="str">
        <f t="shared" si="27"/>
        <v/>
      </c>
      <c r="BE9" t="str">
        <f t="shared" si="28"/>
        <v/>
      </c>
      <c r="BF9" t="str">
        <f t="shared" si="29"/>
        <v/>
      </c>
      <c r="BG9" t="str">
        <f t="shared" si="30"/>
        <v/>
      </c>
      <c r="BH9" t="str">
        <f t="shared" si="31"/>
        <v/>
      </c>
    </row>
    <row r="10" spans="1:66" x14ac:dyDescent="0.2">
      <c r="A10">
        <v>7</v>
      </c>
      <c r="B10">
        <v>62</v>
      </c>
      <c r="C10" t="s">
        <v>207</v>
      </c>
      <c r="K10">
        <v>4</v>
      </c>
      <c r="N10">
        <v>4</v>
      </c>
      <c r="O10">
        <v>4</v>
      </c>
      <c r="S10">
        <v>1</v>
      </c>
      <c r="T10">
        <v>1</v>
      </c>
      <c r="U10">
        <v>6</v>
      </c>
      <c r="X10">
        <f t="shared" si="33"/>
        <v>0</v>
      </c>
      <c r="Z10" t="str">
        <f t="shared" si="0"/>
        <v/>
      </c>
      <c r="AA10" t="str">
        <f t="shared" si="1"/>
        <v/>
      </c>
      <c r="AB10" t="str">
        <f t="shared" si="2"/>
        <v/>
      </c>
      <c r="AC10" t="str">
        <f t="shared" si="3"/>
        <v/>
      </c>
      <c r="AE10" t="str">
        <f t="shared" si="4"/>
        <v/>
      </c>
      <c r="AF10" t="str">
        <f t="shared" si="5"/>
        <v/>
      </c>
      <c r="AG10" t="str">
        <f t="shared" si="6"/>
        <v/>
      </c>
      <c r="AH10" t="str">
        <f t="shared" si="7"/>
        <v/>
      </c>
      <c r="AI10" t="str">
        <f t="shared" si="8"/>
        <v/>
      </c>
      <c r="AK10" t="str">
        <f t="shared" si="9"/>
        <v/>
      </c>
      <c r="AL10" t="str">
        <f t="shared" si="32"/>
        <v/>
      </c>
      <c r="AM10" t="str">
        <f t="shared" si="10"/>
        <v/>
      </c>
      <c r="AN10" t="str">
        <f t="shared" si="11"/>
        <v/>
      </c>
      <c r="AO10" t="str">
        <f t="shared" si="12"/>
        <v/>
      </c>
      <c r="AP10" t="str">
        <f t="shared" si="13"/>
        <v/>
      </c>
      <c r="AQ10" t="str">
        <f t="shared" si="14"/>
        <v/>
      </c>
      <c r="AR10" t="str">
        <f t="shared" si="15"/>
        <v/>
      </c>
      <c r="AS10" t="str">
        <f t="shared" si="16"/>
        <v/>
      </c>
      <c r="AT10" t="str">
        <f t="shared" si="17"/>
        <v/>
      </c>
      <c r="AU10" t="str">
        <f t="shared" si="18"/>
        <v/>
      </c>
      <c r="AV10" t="str">
        <f t="shared" si="19"/>
        <v/>
      </c>
      <c r="AW10" t="str">
        <f t="shared" si="20"/>
        <v/>
      </c>
      <c r="AX10" t="str">
        <f t="shared" si="21"/>
        <v/>
      </c>
      <c r="AY10" t="str">
        <f t="shared" si="22"/>
        <v/>
      </c>
      <c r="AZ10" t="str">
        <f t="shared" si="23"/>
        <v/>
      </c>
      <c r="BA10" t="str">
        <f t="shared" si="24"/>
        <v/>
      </c>
      <c r="BB10" t="str">
        <f t="shared" si="25"/>
        <v/>
      </c>
      <c r="BC10" t="str">
        <f t="shared" si="26"/>
        <v/>
      </c>
      <c r="BD10" t="str">
        <f t="shared" si="27"/>
        <v/>
      </c>
      <c r="BE10" t="str">
        <f t="shared" si="28"/>
        <v/>
      </c>
      <c r="BF10" t="str">
        <f t="shared" si="29"/>
        <v/>
      </c>
      <c r="BG10" t="str">
        <f t="shared" si="30"/>
        <v/>
      </c>
      <c r="BH10" t="str">
        <f t="shared" si="31"/>
        <v/>
      </c>
    </row>
    <row r="11" spans="1:66" x14ac:dyDescent="0.2">
      <c r="A11">
        <v>8</v>
      </c>
      <c r="B11">
        <v>72</v>
      </c>
      <c r="C11" t="s">
        <v>39</v>
      </c>
      <c r="D11">
        <v>1</v>
      </c>
      <c r="E11">
        <v>1</v>
      </c>
      <c r="F11">
        <v>1</v>
      </c>
      <c r="K11">
        <v>4</v>
      </c>
      <c r="N11">
        <v>4</v>
      </c>
      <c r="O11">
        <v>3</v>
      </c>
      <c r="S11">
        <v>1</v>
      </c>
      <c r="T11">
        <v>1</v>
      </c>
      <c r="U11">
        <v>0</v>
      </c>
      <c r="X11">
        <f t="shared" si="33"/>
        <v>0</v>
      </c>
      <c r="Z11" t="str">
        <f t="shared" si="0"/>
        <v/>
      </c>
      <c r="AA11" t="str">
        <f t="shared" si="1"/>
        <v/>
      </c>
      <c r="AB11" t="str">
        <f t="shared" si="2"/>
        <v/>
      </c>
      <c r="AC11" t="str">
        <f t="shared" si="3"/>
        <v/>
      </c>
      <c r="AE11" t="str">
        <f t="shared" si="4"/>
        <v/>
      </c>
      <c r="AF11" t="str">
        <f t="shared" si="5"/>
        <v/>
      </c>
      <c r="AG11" t="str">
        <f t="shared" si="6"/>
        <v/>
      </c>
      <c r="AH11" t="str">
        <f t="shared" si="7"/>
        <v/>
      </c>
      <c r="AI11" t="str">
        <f t="shared" si="8"/>
        <v/>
      </c>
      <c r="AK11" t="str">
        <f t="shared" si="9"/>
        <v/>
      </c>
      <c r="AL11" t="str">
        <f t="shared" si="32"/>
        <v/>
      </c>
      <c r="AM11" t="str">
        <f t="shared" si="10"/>
        <v/>
      </c>
      <c r="AN11" t="str">
        <f t="shared" si="11"/>
        <v/>
      </c>
      <c r="AO11" t="str">
        <f t="shared" si="12"/>
        <v/>
      </c>
      <c r="AP11" t="str">
        <f t="shared" si="13"/>
        <v/>
      </c>
      <c r="AQ11" t="str">
        <f t="shared" si="14"/>
        <v/>
      </c>
      <c r="AR11" t="str">
        <f t="shared" si="15"/>
        <v/>
      </c>
      <c r="AS11" t="str">
        <f t="shared" si="16"/>
        <v/>
      </c>
      <c r="AT11" t="str">
        <f t="shared" si="17"/>
        <v/>
      </c>
      <c r="AU11" t="str">
        <f t="shared" si="18"/>
        <v/>
      </c>
      <c r="AV11" t="str">
        <f t="shared" si="19"/>
        <v/>
      </c>
      <c r="AW11" t="str">
        <f t="shared" si="20"/>
        <v/>
      </c>
      <c r="AX11" t="str">
        <f t="shared" si="21"/>
        <v/>
      </c>
      <c r="AY11" t="str">
        <f t="shared" si="22"/>
        <v/>
      </c>
      <c r="AZ11" t="str">
        <f t="shared" si="23"/>
        <v/>
      </c>
      <c r="BA11" t="str">
        <f t="shared" si="24"/>
        <v/>
      </c>
      <c r="BB11" t="str">
        <f t="shared" si="25"/>
        <v/>
      </c>
      <c r="BC11" t="str">
        <f t="shared" si="26"/>
        <v/>
      </c>
      <c r="BD11" t="str">
        <f t="shared" si="27"/>
        <v/>
      </c>
      <c r="BE11" t="str">
        <f t="shared" si="28"/>
        <v/>
      </c>
      <c r="BF11" t="str">
        <f t="shared" si="29"/>
        <v/>
      </c>
      <c r="BG11" t="str">
        <f t="shared" si="30"/>
        <v/>
      </c>
      <c r="BH11" t="str">
        <f t="shared" si="31"/>
        <v/>
      </c>
    </row>
    <row r="12" spans="1:66" x14ac:dyDescent="0.2">
      <c r="A12">
        <v>9</v>
      </c>
      <c r="B12">
        <v>85</v>
      </c>
      <c r="C12" t="s">
        <v>39</v>
      </c>
      <c r="D12">
        <v>1</v>
      </c>
      <c r="E12" s="1">
        <v>1</v>
      </c>
      <c r="K12" s="1">
        <v>5</v>
      </c>
      <c r="N12" s="1">
        <v>4</v>
      </c>
      <c r="O12" s="1">
        <v>4</v>
      </c>
      <c r="S12">
        <v>1</v>
      </c>
      <c r="T12">
        <v>1</v>
      </c>
      <c r="X12">
        <f t="shared" si="33"/>
        <v>0</v>
      </c>
      <c r="Z12" t="str">
        <f t="shared" si="0"/>
        <v/>
      </c>
      <c r="AA12" t="str">
        <f t="shared" si="1"/>
        <v/>
      </c>
      <c r="AB12" t="str">
        <f t="shared" si="2"/>
        <v/>
      </c>
      <c r="AC12" t="str">
        <f t="shared" si="3"/>
        <v/>
      </c>
      <c r="AE12" t="str">
        <f t="shared" si="4"/>
        <v>2</v>
      </c>
      <c r="AF12" t="str">
        <f t="shared" si="5"/>
        <v/>
      </c>
      <c r="AG12" t="str">
        <f t="shared" si="6"/>
        <v/>
      </c>
      <c r="AH12" t="str">
        <f t="shared" si="7"/>
        <v/>
      </c>
      <c r="AI12" t="str">
        <f t="shared" si="8"/>
        <v/>
      </c>
      <c r="AK12" t="str">
        <f t="shared" si="9"/>
        <v/>
      </c>
      <c r="AL12" t="str">
        <f t="shared" si="32"/>
        <v/>
      </c>
      <c r="AM12" t="str">
        <f t="shared" si="10"/>
        <v/>
      </c>
      <c r="AN12" t="str">
        <f t="shared" si="11"/>
        <v/>
      </c>
      <c r="AO12" t="str">
        <f t="shared" si="12"/>
        <v/>
      </c>
      <c r="AP12" t="str">
        <f t="shared" si="13"/>
        <v/>
      </c>
      <c r="AQ12" t="str">
        <f t="shared" si="14"/>
        <v/>
      </c>
      <c r="AR12" t="str">
        <f t="shared" si="15"/>
        <v/>
      </c>
      <c r="AS12" t="str">
        <f t="shared" si="16"/>
        <v/>
      </c>
      <c r="AT12" t="str">
        <f t="shared" si="17"/>
        <v/>
      </c>
      <c r="AU12" t="str">
        <f t="shared" si="18"/>
        <v/>
      </c>
      <c r="AV12" t="str">
        <f t="shared" si="19"/>
        <v/>
      </c>
      <c r="AW12" t="str">
        <f t="shared" si="20"/>
        <v/>
      </c>
      <c r="AX12" t="str">
        <f t="shared" si="21"/>
        <v/>
      </c>
      <c r="AY12" t="str">
        <f t="shared" si="22"/>
        <v/>
      </c>
      <c r="AZ12" t="str">
        <f t="shared" si="23"/>
        <v/>
      </c>
      <c r="BA12" t="str">
        <f t="shared" si="24"/>
        <v/>
      </c>
      <c r="BB12" t="str">
        <f t="shared" si="25"/>
        <v/>
      </c>
      <c r="BC12" t="str">
        <f t="shared" si="26"/>
        <v/>
      </c>
      <c r="BD12" t="str">
        <f t="shared" si="27"/>
        <v/>
      </c>
      <c r="BE12" t="str">
        <f t="shared" si="28"/>
        <v/>
      </c>
      <c r="BF12" t="str">
        <f t="shared" si="29"/>
        <v/>
      </c>
      <c r="BG12" t="str">
        <f t="shared" si="30"/>
        <v/>
      </c>
      <c r="BH12" t="str">
        <f t="shared" si="31"/>
        <v/>
      </c>
    </row>
    <row r="13" spans="1:66" x14ac:dyDescent="0.2">
      <c r="A13">
        <v>10</v>
      </c>
      <c r="B13">
        <v>93</v>
      </c>
      <c r="C13" t="s">
        <v>39</v>
      </c>
      <c r="D13">
        <v>1</v>
      </c>
      <c r="K13">
        <v>5</v>
      </c>
      <c r="N13">
        <v>4</v>
      </c>
      <c r="O13">
        <v>4</v>
      </c>
      <c r="S13">
        <v>1</v>
      </c>
      <c r="T13">
        <v>1</v>
      </c>
      <c r="X13">
        <f t="shared" si="33"/>
        <v>0</v>
      </c>
      <c r="Z13" t="str">
        <f t="shared" si="0"/>
        <v/>
      </c>
      <c r="AA13" t="str">
        <f t="shared" si="1"/>
        <v/>
      </c>
      <c r="AB13" t="str">
        <f t="shared" si="2"/>
        <v/>
      </c>
      <c r="AC13" t="str">
        <f t="shared" si="3"/>
        <v/>
      </c>
      <c r="AE13" t="str">
        <f t="shared" si="4"/>
        <v/>
      </c>
      <c r="AF13" t="str">
        <f t="shared" si="5"/>
        <v/>
      </c>
      <c r="AG13" t="str">
        <f t="shared" si="6"/>
        <v/>
      </c>
      <c r="AH13" t="str">
        <f t="shared" si="7"/>
        <v/>
      </c>
      <c r="AI13" t="str">
        <f t="shared" si="8"/>
        <v/>
      </c>
      <c r="AK13" t="str">
        <f t="shared" si="9"/>
        <v/>
      </c>
      <c r="AL13" t="str">
        <f t="shared" si="32"/>
        <v/>
      </c>
      <c r="AM13" t="str">
        <f t="shared" si="10"/>
        <v/>
      </c>
      <c r="AN13" t="str">
        <f t="shared" si="11"/>
        <v/>
      </c>
      <c r="AO13" t="str">
        <f t="shared" si="12"/>
        <v/>
      </c>
      <c r="AP13" t="str">
        <f t="shared" si="13"/>
        <v/>
      </c>
      <c r="AQ13" t="str">
        <f t="shared" si="14"/>
        <v/>
      </c>
      <c r="AR13" t="str">
        <f t="shared" si="15"/>
        <v/>
      </c>
      <c r="AS13" t="str">
        <f t="shared" si="16"/>
        <v/>
      </c>
      <c r="AT13" t="str">
        <f t="shared" si="17"/>
        <v/>
      </c>
      <c r="AU13" t="str">
        <f t="shared" si="18"/>
        <v/>
      </c>
      <c r="AV13" t="str">
        <f t="shared" si="19"/>
        <v/>
      </c>
      <c r="AW13" t="str">
        <f t="shared" si="20"/>
        <v/>
      </c>
      <c r="AX13" t="str">
        <f t="shared" si="21"/>
        <v/>
      </c>
      <c r="AY13" t="str">
        <f t="shared" si="22"/>
        <v/>
      </c>
      <c r="AZ13" t="str">
        <f t="shared" si="23"/>
        <v/>
      </c>
      <c r="BA13" t="str">
        <f t="shared" si="24"/>
        <v/>
      </c>
      <c r="BB13" t="str">
        <f t="shared" si="25"/>
        <v/>
      </c>
      <c r="BC13" t="str">
        <f t="shared" si="26"/>
        <v/>
      </c>
      <c r="BD13" t="str">
        <f t="shared" si="27"/>
        <v/>
      </c>
      <c r="BE13" t="str">
        <f t="shared" si="28"/>
        <v/>
      </c>
      <c r="BF13" t="str">
        <f t="shared" si="29"/>
        <v/>
      </c>
      <c r="BG13" t="str">
        <f t="shared" si="30"/>
        <v/>
      </c>
      <c r="BH13" t="str">
        <f t="shared" si="31"/>
        <v/>
      </c>
    </row>
    <row r="14" spans="1:66" x14ac:dyDescent="0.2">
      <c r="A14">
        <v>11</v>
      </c>
      <c r="B14">
        <v>103</v>
      </c>
      <c r="C14" t="s">
        <v>39</v>
      </c>
      <c r="D14">
        <v>1</v>
      </c>
      <c r="E14">
        <v>1</v>
      </c>
      <c r="J14">
        <v>2</v>
      </c>
      <c r="K14">
        <v>5</v>
      </c>
      <c r="N14">
        <v>4</v>
      </c>
      <c r="O14">
        <v>3</v>
      </c>
      <c r="S14">
        <v>1</v>
      </c>
      <c r="T14">
        <v>1</v>
      </c>
      <c r="X14">
        <f t="shared" si="33"/>
        <v>0</v>
      </c>
      <c r="Z14" t="s">
        <v>31</v>
      </c>
      <c r="AE14" t="s">
        <v>34</v>
      </c>
      <c r="AK14" t="s">
        <v>43</v>
      </c>
      <c r="AP14" t="s">
        <v>84</v>
      </c>
    </row>
    <row r="15" spans="1:66" x14ac:dyDescent="0.2">
      <c r="A15">
        <v>12</v>
      </c>
      <c r="B15">
        <v>112</v>
      </c>
      <c r="C15">
        <v>1</v>
      </c>
      <c r="D15">
        <v>1</v>
      </c>
      <c r="K15">
        <v>4</v>
      </c>
      <c r="N15">
        <v>3</v>
      </c>
      <c r="O15">
        <v>2</v>
      </c>
      <c r="S15">
        <v>1</v>
      </c>
      <c r="T15">
        <v>1</v>
      </c>
      <c r="X15">
        <f t="shared" si="33"/>
        <v>0</v>
      </c>
      <c r="Z15" t="s">
        <v>21</v>
      </c>
      <c r="AA15" t="s">
        <v>22</v>
      </c>
      <c r="AE15" t="s">
        <v>21</v>
      </c>
      <c r="AF15" t="s">
        <v>22</v>
      </c>
      <c r="AG15" t="s">
        <v>35</v>
      </c>
      <c r="AK15" t="s">
        <v>10</v>
      </c>
      <c r="AL15" t="s">
        <v>25</v>
      </c>
      <c r="AM15" t="s">
        <v>26</v>
      </c>
      <c r="AN15" t="s">
        <v>27</v>
      </c>
      <c r="AP15" t="s">
        <v>15</v>
      </c>
      <c r="AQ15" t="s">
        <v>85</v>
      </c>
    </row>
    <row r="16" spans="1:66" x14ac:dyDescent="0.2">
      <c r="A16" t="s">
        <v>28</v>
      </c>
      <c r="D16">
        <f>SUM(D4:D15)</f>
        <v>10</v>
      </c>
      <c r="E16">
        <f>SUM(E4:E15)</f>
        <v>3</v>
      </c>
      <c r="F16">
        <f>SUM(F4:F15)</f>
        <v>3</v>
      </c>
      <c r="G16">
        <f>SUM(G4:G15)</f>
        <v>0</v>
      </c>
      <c r="H16">
        <f>SUM(H4:H15)</f>
        <v>0</v>
      </c>
      <c r="K16">
        <f>SUM(K4:K15)</f>
        <v>49</v>
      </c>
      <c r="L16">
        <f>SUM(L4:L15)</f>
        <v>0</v>
      </c>
      <c r="M16">
        <f>SUM(M4:M15)</f>
        <v>0</v>
      </c>
      <c r="N16">
        <f>SUM(N4:N15)</f>
        <v>47</v>
      </c>
      <c r="O16">
        <f>SUM(O4:O15)</f>
        <v>43</v>
      </c>
      <c r="Q16">
        <f t="shared" ref="Q16:R16" si="34">SUM(Q4:Q15)</f>
        <v>0</v>
      </c>
      <c r="R16">
        <f t="shared" si="34"/>
        <v>0</v>
      </c>
      <c r="S16">
        <f>SUM(S4:S15)</f>
        <v>12</v>
      </c>
      <c r="T16">
        <f>SUM(T4:T15)</f>
        <v>12</v>
      </c>
      <c r="U16">
        <f>SUM(U4:U15)</f>
        <v>8</v>
      </c>
      <c r="V16">
        <f>SUM(V4:V15)</f>
        <v>0</v>
      </c>
      <c r="W16">
        <f>SUM(W4:W15)</f>
        <v>0</v>
      </c>
      <c r="Z16">
        <f t="shared" ref="Z16:Z27" si="35">COUNTIF(Z2:AC2, "3")*COUNTIF(C4, "r")+COUNTIF(Z2:AC2, "5")*COUNTIF(C4, "b")</f>
        <v>0</v>
      </c>
      <c r="AA16">
        <f t="shared" ref="AA16:AA27" si="36">COUNTIF(Z2:AC2, "1")+COUNTIF(Z2:AC2, "2")+COUNTIF(Z2:AC2, "4")</f>
        <v>0</v>
      </c>
      <c r="AE16">
        <f t="shared" ref="AE16:AE27" si="37">COUNTIF(AE2:AI2, "3")*COUNTIF(C4, "r") + COUNTIF(AE2:AI2, "5")*COUNTIF(C4, "b")</f>
        <v>0</v>
      </c>
      <c r="AF16">
        <f t="shared" ref="AF16:AF27" si="38">COUNTIF(AE2:AI2, "1")+COUNTIF(AE2:AI2, "2")+COUNTIF(AE2:AI2, "4")</f>
        <v>0</v>
      </c>
      <c r="AG16">
        <f t="shared" ref="AG16:AG27" si="39">COUNTIF(AE2:AI2, "3")*COUNTIF(AE2:AI2, "b")+COUNTIF(AE2:AI2, "5")*COUNTIF(AE2:AI2, "r")</f>
        <v>0</v>
      </c>
      <c r="AK16">
        <f t="shared" ref="AK16:AK27" si="40">SUMPRODUCT(LEN($AK2:$BH2) - LEN(SUBSTITUTE($AK2:$BH2, "g", "")))</f>
        <v>0</v>
      </c>
      <c r="AL16">
        <f t="shared" ref="AL16:AL27" si="41">SUMPRODUCT(LEN($AK2:$BH2) - LEN(SUBSTITUTE($AK2:$BH2, "h", "")))</f>
        <v>0</v>
      </c>
      <c r="AM16">
        <f t="shared" ref="AM16:AM27" si="42">SUMPRODUCT(LEN($AK2:$BH2) - LEN(SUBSTITUTE($AK2:$BH2, "v", "")))</f>
        <v>0</v>
      </c>
      <c r="AN16">
        <f t="shared" ref="AN16:AN27" si="43">SUMPRODUCT(LEN($AK2:$BH2) - LEN(SUBSTITUTE($AK2:$BH2, "r", "")))</f>
        <v>0</v>
      </c>
      <c r="AP16">
        <f>MAX(AQ16:BN16)</f>
        <v>0</v>
      </c>
      <c r="AQ16" s="4">
        <f>_xlfn.NUMBERVALUE(RIGHT(AK2,1))</f>
        <v>0</v>
      </c>
      <c r="AR16" s="4">
        <f t="shared" ref="AR16:BG27" si="44">_xlfn.NUMBERVALUE(RIGHT(AL2,1))</f>
        <v>0</v>
      </c>
      <c r="AS16" s="4">
        <f t="shared" si="44"/>
        <v>0</v>
      </c>
      <c r="AT16" s="4">
        <f t="shared" si="44"/>
        <v>0</v>
      </c>
      <c r="AU16" s="4">
        <f t="shared" si="44"/>
        <v>0</v>
      </c>
      <c r="AV16" s="4">
        <f t="shared" si="44"/>
        <v>0</v>
      </c>
      <c r="AW16" s="4">
        <f t="shared" si="44"/>
        <v>0</v>
      </c>
      <c r="AX16" s="4">
        <f t="shared" si="44"/>
        <v>0</v>
      </c>
      <c r="AY16" s="4">
        <f t="shared" si="44"/>
        <v>0</v>
      </c>
      <c r="AZ16" s="4">
        <f t="shared" si="44"/>
        <v>0</v>
      </c>
      <c r="BA16" s="4">
        <f t="shared" si="44"/>
        <v>0</v>
      </c>
      <c r="BB16" s="4">
        <f t="shared" si="44"/>
        <v>0</v>
      </c>
      <c r="BC16" s="4">
        <f t="shared" si="44"/>
        <v>0</v>
      </c>
      <c r="BD16" s="4">
        <f t="shared" si="44"/>
        <v>0</v>
      </c>
      <c r="BE16" s="4">
        <f t="shared" si="44"/>
        <v>0</v>
      </c>
      <c r="BF16" s="4">
        <f t="shared" si="44"/>
        <v>0</v>
      </c>
      <c r="BG16" s="4">
        <f t="shared" si="44"/>
        <v>0</v>
      </c>
      <c r="BH16" s="4">
        <f t="shared" ref="BH16:BN27" si="45">_xlfn.NUMBERVALUE(RIGHT(BB2,1))</f>
        <v>0</v>
      </c>
      <c r="BI16" s="4">
        <f t="shared" si="45"/>
        <v>0</v>
      </c>
      <c r="BJ16" s="4">
        <f t="shared" si="45"/>
        <v>0</v>
      </c>
      <c r="BK16" s="4">
        <f t="shared" si="45"/>
        <v>0</v>
      </c>
      <c r="BL16" s="4">
        <f t="shared" si="45"/>
        <v>0</v>
      </c>
      <c r="BM16" s="4">
        <f t="shared" si="45"/>
        <v>0</v>
      </c>
      <c r="BN16" s="4">
        <f t="shared" si="45"/>
        <v>0</v>
      </c>
    </row>
    <row r="17" spans="1:66" x14ac:dyDescent="0.2">
      <c r="A17" s="1" t="s">
        <v>20</v>
      </c>
      <c r="D17" s="1" t="s">
        <v>49</v>
      </c>
      <c r="G17" s="1" t="s">
        <v>52</v>
      </c>
      <c r="K17" s="3" t="s">
        <v>74</v>
      </c>
      <c r="P17" s="1" t="s">
        <v>66</v>
      </c>
      <c r="Z17">
        <f t="shared" si="35"/>
        <v>0</v>
      </c>
      <c r="AA17">
        <f t="shared" si="36"/>
        <v>0</v>
      </c>
      <c r="AE17">
        <f t="shared" si="37"/>
        <v>0</v>
      </c>
      <c r="AF17">
        <f t="shared" si="38"/>
        <v>0</v>
      </c>
      <c r="AG17">
        <f t="shared" si="39"/>
        <v>0</v>
      </c>
      <c r="AK17">
        <f t="shared" si="40"/>
        <v>0</v>
      </c>
      <c r="AL17">
        <f t="shared" si="41"/>
        <v>0</v>
      </c>
      <c r="AM17">
        <f t="shared" si="42"/>
        <v>0</v>
      </c>
      <c r="AN17">
        <f t="shared" si="43"/>
        <v>0</v>
      </c>
      <c r="AP17">
        <f t="shared" ref="AP17:AP27" si="46">MAX(AQ17:BN17)</f>
        <v>0</v>
      </c>
      <c r="AQ17" s="4">
        <f t="shared" ref="AQ17:AQ27" si="47">_xlfn.NUMBERVALUE(RIGHT(AK3,1))</f>
        <v>0</v>
      </c>
      <c r="AR17" s="4">
        <f t="shared" si="44"/>
        <v>0</v>
      </c>
      <c r="AS17" s="4">
        <f t="shared" si="44"/>
        <v>0</v>
      </c>
      <c r="AT17" s="4">
        <f t="shared" si="44"/>
        <v>0</v>
      </c>
      <c r="AU17" s="4">
        <f t="shared" si="44"/>
        <v>0</v>
      </c>
      <c r="AV17" s="4">
        <f t="shared" si="44"/>
        <v>0</v>
      </c>
      <c r="AW17" s="4">
        <f t="shared" si="44"/>
        <v>0</v>
      </c>
      <c r="AX17" s="4">
        <f t="shared" si="44"/>
        <v>0</v>
      </c>
      <c r="AY17" s="4">
        <f t="shared" si="44"/>
        <v>0</v>
      </c>
      <c r="AZ17" s="4">
        <f t="shared" si="44"/>
        <v>0</v>
      </c>
      <c r="BA17" s="4">
        <f t="shared" si="44"/>
        <v>0</v>
      </c>
      <c r="BB17" s="4">
        <f t="shared" si="44"/>
        <v>0</v>
      </c>
      <c r="BC17" s="4">
        <f t="shared" si="44"/>
        <v>0</v>
      </c>
      <c r="BD17" s="4">
        <f t="shared" si="44"/>
        <v>0</v>
      </c>
      <c r="BE17" s="4">
        <f t="shared" si="44"/>
        <v>0</v>
      </c>
      <c r="BF17" s="4">
        <f t="shared" si="44"/>
        <v>0</v>
      </c>
      <c r="BG17" s="4">
        <f t="shared" si="44"/>
        <v>0</v>
      </c>
      <c r="BH17" s="4">
        <f t="shared" si="45"/>
        <v>0</v>
      </c>
      <c r="BI17" s="4">
        <f t="shared" si="45"/>
        <v>0</v>
      </c>
      <c r="BJ17" s="4">
        <f t="shared" si="45"/>
        <v>0</v>
      </c>
      <c r="BK17" s="4">
        <f t="shared" si="45"/>
        <v>0</v>
      </c>
      <c r="BL17" s="4">
        <f t="shared" si="45"/>
        <v>0</v>
      </c>
      <c r="BM17" s="4">
        <f t="shared" si="45"/>
        <v>0</v>
      </c>
      <c r="BN17" s="4">
        <f t="shared" si="45"/>
        <v>0</v>
      </c>
    </row>
    <row r="18" spans="1:66" x14ac:dyDescent="0.2">
      <c r="A18" t="s">
        <v>32</v>
      </c>
      <c r="B18" t="s">
        <v>21</v>
      </c>
      <c r="D18" t="s">
        <v>180</v>
      </c>
      <c r="G18" s="3" t="s">
        <v>53</v>
      </c>
      <c r="K18" t="s">
        <v>55</v>
      </c>
      <c r="M18" t="s">
        <v>65</v>
      </c>
      <c r="P18" t="s">
        <v>67</v>
      </c>
      <c r="Z18">
        <f t="shared" si="35"/>
        <v>0</v>
      </c>
      <c r="AA18">
        <f t="shared" si="36"/>
        <v>0</v>
      </c>
      <c r="AE18">
        <f t="shared" si="37"/>
        <v>0</v>
      </c>
      <c r="AF18">
        <f t="shared" si="38"/>
        <v>0</v>
      </c>
      <c r="AG18">
        <f t="shared" si="39"/>
        <v>0</v>
      </c>
      <c r="AK18">
        <f t="shared" si="40"/>
        <v>0</v>
      </c>
      <c r="AL18">
        <f t="shared" si="41"/>
        <v>0</v>
      </c>
      <c r="AM18">
        <f t="shared" si="42"/>
        <v>0</v>
      </c>
      <c r="AN18">
        <f t="shared" si="43"/>
        <v>0</v>
      </c>
      <c r="AP18">
        <f t="shared" si="46"/>
        <v>0</v>
      </c>
      <c r="AQ18" s="4">
        <f t="shared" si="47"/>
        <v>0</v>
      </c>
      <c r="AR18" s="4">
        <f t="shared" si="44"/>
        <v>0</v>
      </c>
      <c r="AS18" s="4">
        <f t="shared" si="44"/>
        <v>0</v>
      </c>
      <c r="AT18" s="4">
        <f t="shared" si="44"/>
        <v>0</v>
      </c>
      <c r="AU18" s="4">
        <f t="shared" si="44"/>
        <v>0</v>
      </c>
      <c r="AV18" s="4">
        <f t="shared" si="44"/>
        <v>0</v>
      </c>
      <c r="AW18" s="4">
        <f t="shared" si="44"/>
        <v>0</v>
      </c>
      <c r="AX18" s="4">
        <f t="shared" si="44"/>
        <v>0</v>
      </c>
      <c r="AY18" s="4">
        <f t="shared" si="44"/>
        <v>0</v>
      </c>
      <c r="AZ18" s="4">
        <f t="shared" si="44"/>
        <v>0</v>
      </c>
      <c r="BA18" s="4">
        <f t="shared" si="44"/>
        <v>0</v>
      </c>
      <c r="BB18" s="4">
        <f t="shared" si="44"/>
        <v>0</v>
      </c>
      <c r="BC18" s="4">
        <f t="shared" si="44"/>
        <v>0</v>
      </c>
      <c r="BD18" s="4">
        <f t="shared" si="44"/>
        <v>0</v>
      </c>
      <c r="BE18" s="4">
        <f t="shared" si="44"/>
        <v>0</v>
      </c>
      <c r="BF18" s="4">
        <f t="shared" si="44"/>
        <v>0</v>
      </c>
      <c r="BG18" s="4">
        <f t="shared" si="44"/>
        <v>0</v>
      </c>
      <c r="BH18" s="4">
        <f t="shared" si="45"/>
        <v>0</v>
      </c>
      <c r="BI18" s="4">
        <f t="shared" si="45"/>
        <v>0</v>
      </c>
      <c r="BJ18" s="4">
        <f t="shared" si="45"/>
        <v>0</v>
      </c>
      <c r="BK18" s="4">
        <f t="shared" si="45"/>
        <v>0</v>
      </c>
      <c r="BL18" s="4">
        <f t="shared" si="45"/>
        <v>0</v>
      </c>
      <c r="BM18" s="4">
        <f t="shared" si="45"/>
        <v>0</v>
      </c>
      <c r="BN18" s="4">
        <f t="shared" si="45"/>
        <v>0</v>
      </c>
    </row>
    <row r="19" spans="1:66" x14ac:dyDescent="0.2">
      <c r="A19" t="s">
        <v>40</v>
      </c>
      <c r="B19" t="s">
        <v>22</v>
      </c>
      <c r="D19">
        <f>E16/D16</f>
        <v>0.3</v>
      </c>
      <c r="G19" t="s">
        <v>75</v>
      </c>
      <c r="K19">
        <f>O16/N16</f>
        <v>0.91489361702127658</v>
      </c>
      <c r="M19">
        <f>SUM(M39:M50)</f>
        <v>6</v>
      </c>
      <c r="P19">
        <f>T16/S16</f>
        <v>1</v>
      </c>
      <c r="Z19">
        <f t="shared" si="35"/>
        <v>0</v>
      </c>
      <c r="AA19">
        <f t="shared" si="36"/>
        <v>0</v>
      </c>
      <c r="AE19">
        <f t="shared" si="37"/>
        <v>0</v>
      </c>
      <c r="AF19">
        <f t="shared" si="38"/>
        <v>2</v>
      </c>
      <c r="AG19">
        <f t="shared" si="39"/>
        <v>0</v>
      </c>
      <c r="AK19">
        <f t="shared" si="40"/>
        <v>0</v>
      </c>
      <c r="AL19">
        <f t="shared" si="41"/>
        <v>0</v>
      </c>
      <c r="AM19">
        <f t="shared" si="42"/>
        <v>0</v>
      </c>
      <c r="AN19">
        <f t="shared" si="43"/>
        <v>0</v>
      </c>
      <c r="AP19">
        <f t="shared" si="46"/>
        <v>0</v>
      </c>
      <c r="AQ19" s="4">
        <f t="shared" si="47"/>
        <v>0</v>
      </c>
      <c r="AR19" s="4">
        <f t="shared" si="44"/>
        <v>0</v>
      </c>
      <c r="AS19" s="4">
        <f t="shared" si="44"/>
        <v>0</v>
      </c>
      <c r="AT19" s="4">
        <f t="shared" si="44"/>
        <v>0</v>
      </c>
      <c r="AU19" s="4">
        <f t="shared" si="44"/>
        <v>0</v>
      </c>
      <c r="AV19" s="4">
        <f t="shared" si="44"/>
        <v>0</v>
      </c>
      <c r="AW19" s="4">
        <f t="shared" si="44"/>
        <v>0</v>
      </c>
      <c r="AX19" s="4">
        <f t="shared" si="44"/>
        <v>0</v>
      </c>
      <c r="AY19" s="4">
        <f t="shared" si="44"/>
        <v>0</v>
      </c>
      <c r="AZ19" s="4">
        <f t="shared" si="44"/>
        <v>0</v>
      </c>
      <c r="BA19" s="4">
        <f t="shared" si="44"/>
        <v>0</v>
      </c>
      <c r="BB19" s="4">
        <f t="shared" si="44"/>
        <v>0</v>
      </c>
      <c r="BC19" s="4">
        <f t="shared" si="44"/>
        <v>0</v>
      </c>
      <c r="BD19" s="4">
        <f t="shared" si="44"/>
        <v>0</v>
      </c>
      <c r="BE19" s="4">
        <f t="shared" si="44"/>
        <v>0</v>
      </c>
      <c r="BF19" s="4">
        <f t="shared" si="44"/>
        <v>0</v>
      </c>
      <c r="BG19" s="4">
        <f t="shared" si="44"/>
        <v>0</v>
      </c>
      <c r="BH19" s="4">
        <f t="shared" si="45"/>
        <v>0</v>
      </c>
      <c r="BI19" s="4">
        <f t="shared" si="45"/>
        <v>0</v>
      </c>
      <c r="BJ19" s="4">
        <f t="shared" si="45"/>
        <v>0</v>
      </c>
      <c r="BK19" s="4">
        <f t="shared" si="45"/>
        <v>0</v>
      </c>
      <c r="BL19" s="4">
        <f t="shared" si="45"/>
        <v>0</v>
      </c>
      <c r="BM19" s="4">
        <f t="shared" si="45"/>
        <v>0</v>
      </c>
      <c r="BN19" s="4">
        <f t="shared" si="45"/>
        <v>0</v>
      </c>
    </row>
    <row r="20" spans="1:66" x14ac:dyDescent="0.2">
      <c r="A20" t="s">
        <v>41</v>
      </c>
      <c r="B20" t="s">
        <v>23</v>
      </c>
      <c r="D20" t="s">
        <v>47</v>
      </c>
      <c r="G20" t="e">
        <f>AK28/AP28</f>
        <v>#DIV/0!</v>
      </c>
      <c r="K20" t="s">
        <v>13</v>
      </c>
      <c r="Z20">
        <f t="shared" si="35"/>
        <v>0</v>
      </c>
      <c r="AA20">
        <f t="shared" si="36"/>
        <v>0</v>
      </c>
      <c r="AE20">
        <f t="shared" si="37"/>
        <v>0</v>
      </c>
      <c r="AF20">
        <f t="shared" si="38"/>
        <v>1</v>
      </c>
      <c r="AG20">
        <f t="shared" si="39"/>
        <v>0</v>
      </c>
      <c r="AK20">
        <f t="shared" si="40"/>
        <v>0</v>
      </c>
      <c r="AL20">
        <f t="shared" si="41"/>
        <v>0</v>
      </c>
      <c r="AM20">
        <f t="shared" si="42"/>
        <v>0</v>
      </c>
      <c r="AN20">
        <f t="shared" si="43"/>
        <v>0</v>
      </c>
      <c r="AP20">
        <f t="shared" si="46"/>
        <v>0</v>
      </c>
      <c r="AQ20" s="4">
        <f t="shared" si="47"/>
        <v>0</v>
      </c>
      <c r="AR20" s="4">
        <f t="shared" si="44"/>
        <v>0</v>
      </c>
      <c r="AS20" s="4">
        <f t="shared" si="44"/>
        <v>0</v>
      </c>
      <c r="AT20" s="4">
        <f t="shared" si="44"/>
        <v>0</v>
      </c>
      <c r="AU20" s="4">
        <f t="shared" si="44"/>
        <v>0</v>
      </c>
      <c r="AV20" s="4">
        <f t="shared" si="44"/>
        <v>0</v>
      </c>
      <c r="AW20" s="4">
        <f t="shared" si="44"/>
        <v>0</v>
      </c>
      <c r="AX20" s="4">
        <f t="shared" si="44"/>
        <v>0</v>
      </c>
      <c r="AY20" s="4">
        <f t="shared" si="44"/>
        <v>0</v>
      </c>
      <c r="AZ20" s="4">
        <f t="shared" si="44"/>
        <v>0</v>
      </c>
      <c r="BA20" s="4">
        <f t="shared" si="44"/>
        <v>0</v>
      </c>
      <c r="BB20" s="4">
        <f t="shared" si="44"/>
        <v>0</v>
      </c>
      <c r="BC20" s="4">
        <f t="shared" si="44"/>
        <v>0</v>
      </c>
      <c r="BD20" s="4">
        <f t="shared" si="44"/>
        <v>0</v>
      </c>
      <c r="BE20" s="4">
        <f t="shared" si="44"/>
        <v>0</v>
      </c>
      <c r="BF20" s="4">
        <f t="shared" si="44"/>
        <v>0</v>
      </c>
      <c r="BG20" s="4">
        <f t="shared" si="44"/>
        <v>0</v>
      </c>
      <c r="BH20" s="4">
        <f t="shared" si="45"/>
        <v>0</v>
      </c>
      <c r="BI20" s="4">
        <f t="shared" si="45"/>
        <v>0</v>
      </c>
      <c r="BJ20" s="4">
        <f t="shared" si="45"/>
        <v>0</v>
      </c>
      <c r="BK20" s="4">
        <f t="shared" si="45"/>
        <v>0</v>
      </c>
      <c r="BL20" s="4">
        <f t="shared" si="45"/>
        <v>0</v>
      </c>
      <c r="BM20" s="4">
        <f t="shared" si="45"/>
        <v>0</v>
      </c>
      <c r="BN20" s="4">
        <f t="shared" si="45"/>
        <v>0</v>
      </c>
    </row>
    <row r="21" spans="1:66" x14ac:dyDescent="0.2">
      <c r="A21" s="1" t="s">
        <v>24</v>
      </c>
      <c r="D21">
        <f>G16/A31</f>
        <v>0</v>
      </c>
      <c r="G21" t="s">
        <v>76</v>
      </c>
      <c r="K21" t="s">
        <v>57</v>
      </c>
      <c r="L21" t="s">
        <v>58</v>
      </c>
      <c r="M21" t="s">
        <v>59</v>
      </c>
      <c r="N21" t="s">
        <v>60</v>
      </c>
      <c r="Z21">
        <f t="shared" si="35"/>
        <v>0</v>
      </c>
      <c r="AA21">
        <f t="shared" si="36"/>
        <v>0</v>
      </c>
      <c r="AE21">
        <f t="shared" si="37"/>
        <v>0</v>
      </c>
      <c r="AF21">
        <f t="shared" si="38"/>
        <v>0</v>
      </c>
      <c r="AG21">
        <f t="shared" si="39"/>
        <v>0</v>
      </c>
      <c r="AK21">
        <f t="shared" si="40"/>
        <v>0</v>
      </c>
      <c r="AL21">
        <f t="shared" si="41"/>
        <v>0</v>
      </c>
      <c r="AM21">
        <f t="shared" si="42"/>
        <v>0</v>
      </c>
      <c r="AN21">
        <f t="shared" si="43"/>
        <v>0</v>
      </c>
      <c r="AP21">
        <f t="shared" si="46"/>
        <v>0</v>
      </c>
      <c r="AQ21" s="4">
        <f t="shared" si="47"/>
        <v>0</v>
      </c>
      <c r="AR21" s="4">
        <f t="shared" si="44"/>
        <v>0</v>
      </c>
      <c r="AS21" s="4">
        <f t="shared" si="44"/>
        <v>0</v>
      </c>
      <c r="AT21" s="4">
        <f t="shared" si="44"/>
        <v>0</v>
      </c>
      <c r="AU21" s="4">
        <f t="shared" si="44"/>
        <v>0</v>
      </c>
      <c r="AV21" s="4">
        <f t="shared" si="44"/>
        <v>0</v>
      </c>
      <c r="AW21" s="4">
        <f t="shared" si="44"/>
        <v>0</v>
      </c>
      <c r="AX21" s="4">
        <f t="shared" si="44"/>
        <v>0</v>
      </c>
      <c r="AY21" s="4">
        <f t="shared" si="44"/>
        <v>0</v>
      </c>
      <c r="AZ21" s="4">
        <f t="shared" si="44"/>
        <v>0</v>
      </c>
      <c r="BA21" s="4">
        <f t="shared" si="44"/>
        <v>0</v>
      </c>
      <c r="BB21" s="4">
        <f t="shared" si="44"/>
        <v>0</v>
      </c>
      <c r="BC21" s="4">
        <f t="shared" si="44"/>
        <v>0</v>
      </c>
      <c r="BD21" s="4">
        <f t="shared" si="44"/>
        <v>0</v>
      </c>
      <c r="BE21" s="4">
        <f t="shared" si="44"/>
        <v>0</v>
      </c>
      <c r="BF21" s="4">
        <f t="shared" si="44"/>
        <v>0</v>
      </c>
      <c r="BG21" s="4">
        <f t="shared" si="44"/>
        <v>0</v>
      </c>
      <c r="BH21" s="4">
        <f t="shared" si="45"/>
        <v>0</v>
      </c>
      <c r="BI21" s="4">
        <f t="shared" si="45"/>
        <v>0</v>
      </c>
      <c r="BJ21" s="4">
        <f t="shared" si="45"/>
        <v>0</v>
      </c>
      <c r="BK21" s="4">
        <f t="shared" si="45"/>
        <v>0</v>
      </c>
      <c r="BL21" s="4">
        <f t="shared" si="45"/>
        <v>0</v>
      </c>
      <c r="BM21" s="4">
        <f t="shared" si="45"/>
        <v>0</v>
      </c>
      <c r="BN21" s="4">
        <f t="shared" si="45"/>
        <v>0</v>
      </c>
    </row>
    <row r="22" spans="1:66" x14ac:dyDescent="0.2">
      <c r="A22" t="s">
        <v>36</v>
      </c>
      <c r="B22" t="s">
        <v>10</v>
      </c>
      <c r="D22" t="s">
        <v>48</v>
      </c>
      <c r="G22" t="e">
        <f>AL28/AP28</f>
        <v>#DIV/0!</v>
      </c>
      <c r="K22">
        <f>AVERAGE(C39:C50)</f>
        <v>3.5833333333333335</v>
      </c>
      <c r="L22">
        <f>MEDIAN(C39:C50)</f>
        <v>4</v>
      </c>
      <c r="M22">
        <f>MAX(C39:C50)</f>
        <v>4</v>
      </c>
      <c r="N22">
        <f>_xlfn.STDEV.S(C39:C50)</f>
        <v>0.66855792342152087</v>
      </c>
      <c r="Z22">
        <f t="shared" si="35"/>
        <v>0</v>
      </c>
      <c r="AA22">
        <f t="shared" si="36"/>
        <v>0</v>
      </c>
      <c r="AE22">
        <f t="shared" si="37"/>
        <v>0</v>
      </c>
      <c r="AF22">
        <f t="shared" si="38"/>
        <v>0</v>
      </c>
      <c r="AG22">
        <f t="shared" si="39"/>
        <v>0</v>
      </c>
      <c r="AK22">
        <f t="shared" si="40"/>
        <v>0</v>
      </c>
      <c r="AL22">
        <f t="shared" si="41"/>
        <v>0</v>
      </c>
      <c r="AM22">
        <f t="shared" si="42"/>
        <v>0</v>
      </c>
      <c r="AN22">
        <f t="shared" si="43"/>
        <v>0</v>
      </c>
      <c r="AP22">
        <f t="shared" si="46"/>
        <v>0</v>
      </c>
      <c r="AQ22" s="4">
        <f t="shared" si="47"/>
        <v>0</v>
      </c>
      <c r="AR22" s="4">
        <f t="shared" si="44"/>
        <v>0</v>
      </c>
      <c r="AS22" s="4">
        <f t="shared" si="44"/>
        <v>0</v>
      </c>
      <c r="AT22" s="4">
        <f t="shared" si="44"/>
        <v>0</v>
      </c>
      <c r="AU22" s="4">
        <f t="shared" si="44"/>
        <v>0</v>
      </c>
      <c r="AV22" s="4">
        <f t="shared" si="44"/>
        <v>0</v>
      </c>
      <c r="AW22" s="4">
        <f t="shared" si="44"/>
        <v>0</v>
      </c>
      <c r="AX22" s="4">
        <f t="shared" si="44"/>
        <v>0</v>
      </c>
      <c r="AY22" s="4">
        <f t="shared" si="44"/>
        <v>0</v>
      </c>
      <c r="AZ22" s="4">
        <f t="shared" si="44"/>
        <v>0</v>
      </c>
      <c r="BA22" s="4">
        <f t="shared" si="44"/>
        <v>0</v>
      </c>
      <c r="BB22" s="4">
        <f t="shared" si="44"/>
        <v>0</v>
      </c>
      <c r="BC22" s="4">
        <f t="shared" si="44"/>
        <v>0</v>
      </c>
      <c r="BD22" s="4">
        <f t="shared" si="44"/>
        <v>0</v>
      </c>
      <c r="BE22" s="4">
        <f t="shared" si="44"/>
        <v>0</v>
      </c>
      <c r="BF22" s="4">
        <f t="shared" si="44"/>
        <v>0</v>
      </c>
      <c r="BG22" s="4">
        <f t="shared" si="44"/>
        <v>0</v>
      </c>
      <c r="BH22" s="4">
        <f t="shared" si="45"/>
        <v>0</v>
      </c>
      <c r="BI22" s="4">
        <f t="shared" si="45"/>
        <v>0</v>
      </c>
      <c r="BJ22" s="4">
        <f t="shared" si="45"/>
        <v>0</v>
      </c>
      <c r="BK22" s="4">
        <f t="shared" si="45"/>
        <v>0</v>
      </c>
      <c r="BL22" s="4">
        <f t="shared" si="45"/>
        <v>0</v>
      </c>
      <c r="BM22" s="4">
        <f t="shared" si="45"/>
        <v>0</v>
      </c>
      <c r="BN22" s="4">
        <f t="shared" si="45"/>
        <v>0</v>
      </c>
    </row>
    <row r="23" spans="1:66" x14ac:dyDescent="0.2">
      <c r="A23" t="s">
        <v>37</v>
      </c>
      <c r="B23" t="s">
        <v>25</v>
      </c>
      <c r="D23">
        <f>H16/A31</f>
        <v>0</v>
      </c>
      <c r="G23" t="s">
        <v>77</v>
      </c>
      <c r="K23" t="s">
        <v>8</v>
      </c>
      <c r="Z23">
        <f t="shared" si="35"/>
        <v>0</v>
      </c>
      <c r="AA23">
        <f t="shared" si="36"/>
        <v>0</v>
      </c>
      <c r="AE23">
        <f t="shared" si="37"/>
        <v>0</v>
      </c>
      <c r="AF23">
        <f t="shared" si="38"/>
        <v>0</v>
      </c>
      <c r="AG23">
        <f t="shared" si="39"/>
        <v>0</v>
      </c>
      <c r="AK23">
        <f t="shared" si="40"/>
        <v>0</v>
      </c>
      <c r="AL23">
        <f t="shared" si="41"/>
        <v>0</v>
      </c>
      <c r="AM23">
        <f t="shared" si="42"/>
        <v>0</v>
      </c>
      <c r="AN23">
        <f t="shared" si="43"/>
        <v>0</v>
      </c>
      <c r="AP23">
        <f t="shared" si="46"/>
        <v>0</v>
      </c>
      <c r="AQ23" s="4">
        <f t="shared" si="47"/>
        <v>0</v>
      </c>
      <c r="AR23" s="4">
        <f t="shared" si="44"/>
        <v>0</v>
      </c>
      <c r="AS23" s="4">
        <f t="shared" si="44"/>
        <v>0</v>
      </c>
      <c r="AT23" s="4">
        <f t="shared" si="44"/>
        <v>0</v>
      </c>
      <c r="AU23" s="4">
        <f t="shared" si="44"/>
        <v>0</v>
      </c>
      <c r="AV23" s="4">
        <f t="shared" si="44"/>
        <v>0</v>
      </c>
      <c r="AW23" s="4">
        <f t="shared" si="44"/>
        <v>0</v>
      </c>
      <c r="AX23" s="4">
        <f t="shared" si="44"/>
        <v>0</v>
      </c>
      <c r="AY23" s="4">
        <f t="shared" si="44"/>
        <v>0</v>
      </c>
      <c r="AZ23" s="4">
        <f t="shared" si="44"/>
        <v>0</v>
      </c>
      <c r="BA23" s="4">
        <f t="shared" si="44"/>
        <v>0</v>
      </c>
      <c r="BB23" s="4">
        <f t="shared" si="44"/>
        <v>0</v>
      </c>
      <c r="BC23" s="4">
        <f t="shared" si="44"/>
        <v>0</v>
      </c>
      <c r="BD23" s="4">
        <f t="shared" si="44"/>
        <v>0</v>
      </c>
      <c r="BE23" s="4">
        <f t="shared" si="44"/>
        <v>0</v>
      </c>
      <c r="BF23" s="4">
        <f t="shared" si="44"/>
        <v>0</v>
      </c>
      <c r="BG23" s="4">
        <f t="shared" si="44"/>
        <v>0</v>
      </c>
      <c r="BH23" s="4">
        <f t="shared" si="45"/>
        <v>0</v>
      </c>
      <c r="BI23" s="4">
        <f t="shared" si="45"/>
        <v>0</v>
      </c>
      <c r="BJ23" s="4">
        <f t="shared" si="45"/>
        <v>0</v>
      </c>
      <c r="BK23" s="4">
        <f t="shared" si="45"/>
        <v>0</v>
      </c>
      <c r="BL23" s="4">
        <f t="shared" si="45"/>
        <v>0</v>
      </c>
      <c r="BM23" s="4">
        <f t="shared" si="45"/>
        <v>0</v>
      </c>
      <c r="BN23" s="4">
        <f t="shared" si="45"/>
        <v>0</v>
      </c>
    </row>
    <row r="24" spans="1:66" x14ac:dyDescent="0.2">
      <c r="A24" t="s">
        <v>38</v>
      </c>
      <c r="B24" t="s">
        <v>26</v>
      </c>
      <c r="D24" t="s">
        <v>50</v>
      </c>
      <c r="G24" t="e">
        <f>AM28/AP28</f>
        <v>#DIV/0!</v>
      </c>
      <c r="K24" t="s">
        <v>57</v>
      </c>
      <c r="L24" t="s">
        <v>61</v>
      </c>
      <c r="M24" t="s">
        <v>59</v>
      </c>
      <c r="N24" t="s">
        <v>60</v>
      </c>
      <c r="Z24">
        <f t="shared" si="35"/>
        <v>0</v>
      </c>
      <c r="AA24">
        <f t="shared" si="36"/>
        <v>0</v>
      </c>
      <c r="AE24">
        <f t="shared" si="37"/>
        <v>0</v>
      </c>
      <c r="AF24">
        <f t="shared" si="38"/>
        <v>0</v>
      </c>
      <c r="AG24">
        <f t="shared" si="39"/>
        <v>0</v>
      </c>
      <c r="AK24">
        <f t="shared" si="40"/>
        <v>0</v>
      </c>
      <c r="AL24">
        <f t="shared" si="41"/>
        <v>0</v>
      </c>
      <c r="AM24">
        <f t="shared" si="42"/>
        <v>0</v>
      </c>
      <c r="AN24">
        <f t="shared" si="43"/>
        <v>0</v>
      </c>
      <c r="AP24">
        <f t="shared" si="46"/>
        <v>0</v>
      </c>
      <c r="AQ24" s="4">
        <f t="shared" si="47"/>
        <v>0</v>
      </c>
      <c r="AR24" s="4">
        <f t="shared" si="44"/>
        <v>0</v>
      </c>
      <c r="AS24" s="4">
        <f t="shared" si="44"/>
        <v>0</v>
      </c>
      <c r="AT24" s="4">
        <f t="shared" si="44"/>
        <v>0</v>
      </c>
      <c r="AU24" s="4">
        <f t="shared" si="44"/>
        <v>0</v>
      </c>
      <c r="AV24" s="4">
        <f t="shared" si="44"/>
        <v>0</v>
      </c>
      <c r="AW24" s="4">
        <f t="shared" si="44"/>
        <v>0</v>
      </c>
      <c r="AX24" s="4">
        <f t="shared" si="44"/>
        <v>0</v>
      </c>
      <c r="AY24" s="4">
        <f t="shared" si="44"/>
        <v>0</v>
      </c>
      <c r="AZ24" s="4">
        <f t="shared" si="44"/>
        <v>0</v>
      </c>
      <c r="BA24" s="4">
        <f t="shared" si="44"/>
        <v>0</v>
      </c>
      <c r="BB24" s="4">
        <f t="shared" si="44"/>
        <v>0</v>
      </c>
      <c r="BC24" s="4">
        <f t="shared" si="44"/>
        <v>0</v>
      </c>
      <c r="BD24" s="4">
        <f t="shared" si="44"/>
        <v>0</v>
      </c>
      <c r="BE24" s="4">
        <f t="shared" si="44"/>
        <v>0</v>
      </c>
      <c r="BF24" s="4">
        <f t="shared" si="44"/>
        <v>0</v>
      </c>
      <c r="BG24" s="4">
        <f t="shared" si="44"/>
        <v>0</v>
      </c>
      <c r="BH24" s="4">
        <f t="shared" si="45"/>
        <v>0</v>
      </c>
      <c r="BI24" s="4">
        <f t="shared" si="45"/>
        <v>0</v>
      </c>
      <c r="BJ24" s="4">
        <f t="shared" si="45"/>
        <v>0</v>
      </c>
      <c r="BK24" s="4">
        <f t="shared" si="45"/>
        <v>0</v>
      </c>
      <c r="BL24" s="4">
        <f t="shared" si="45"/>
        <v>0</v>
      </c>
      <c r="BM24" s="4">
        <f t="shared" si="45"/>
        <v>0</v>
      </c>
      <c r="BN24" s="4">
        <f t="shared" si="45"/>
        <v>0</v>
      </c>
    </row>
    <row r="25" spans="1:66" x14ac:dyDescent="0.2">
      <c r="A25" t="s">
        <v>39</v>
      </c>
      <c r="B25" t="s">
        <v>27</v>
      </c>
      <c r="D25">
        <f>Z28/A31</f>
        <v>0</v>
      </c>
      <c r="G25" t="s">
        <v>78</v>
      </c>
      <c r="K25">
        <f>AVERAGE(E39:E50)</f>
        <v>0</v>
      </c>
      <c r="L25">
        <f>MEDIAN(E39:E50)</f>
        <v>0</v>
      </c>
      <c r="M25">
        <f>MAX(E39:E50)</f>
        <v>0</v>
      </c>
      <c r="N25">
        <f>_xlfn.STDEV.S(E39:E50)</f>
        <v>0</v>
      </c>
      <c r="Z25">
        <f t="shared" si="35"/>
        <v>0</v>
      </c>
      <c r="AA25">
        <f t="shared" si="36"/>
        <v>0</v>
      </c>
      <c r="AE25">
        <f t="shared" si="37"/>
        <v>0</v>
      </c>
      <c r="AF25">
        <f t="shared" si="38"/>
        <v>0</v>
      </c>
      <c r="AG25">
        <f t="shared" si="39"/>
        <v>0</v>
      </c>
      <c r="AK25">
        <f t="shared" si="40"/>
        <v>0</v>
      </c>
      <c r="AL25">
        <f t="shared" si="41"/>
        <v>0</v>
      </c>
      <c r="AM25">
        <f t="shared" si="42"/>
        <v>0</v>
      </c>
      <c r="AN25">
        <f t="shared" si="43"/>
        <v>0</v>
      </c>
      <c r="AP25">
        <f t="shared" si="46"/>
        <v>0</v>
      </c>
      <c r="AQ25" s="4">
        <f t="shared" si="47"/>
        <v>0</v>
      </c>
      <c r="AR25" s="4">
        <f t="shared" si="44"/>
        <v>0</v>
      </c>
      <c r="AS25" s="4">
        <f t="shared" si="44"/>
        <v>0</v>
      </c>
      <c r="AT25" s="4">
        <f t="shared" si="44"/>
        <v>0</v>
      </c>
      <c r="AU25" s="4">
        <f t="shared" si="44"/>
        <v>0</v>
      </c>
      <c r="AV25" s="4">
        <f t="shared" si="44"/>
        <v>0</v>
      </c>
      <c r="AW25" s="4">
        <f t="shared" si="44"/>
        <v>0</v>
      </c>
      <c r="AX25" s="4">
        <f t="shared" si="44"/>
        <v>0</v>
      </c>
      <c r="AY25" s="4">
        <f t="shared" si="44"/>
        <v>0</v>
      </c>
      <c r="AZ25" s="4">
        <f t="shared" si="44"/>
        <v>0</v>
      </c>
      <c r="BA25" s="4">
        <f t="shared" si="44"/>
        <v>0</v>
      </c>
      <c r="BB25" s="4">
        <f t="shared" si="44"/>
        <v>0</v>
      </c>
      <c r="BC25" s="4">
        <f t="shared" si="44"/>
        <v>0</v>
      </c>
      <c r="BD25" s="4">
        <f t="shared" si="44"/>
        <v>0</v>
      </c>
      <c r="BE25" s="4">
        <f t="shared" si="44"/>
        <v>0</v>
      </c>
      <c r="BF25" s="4">
        <f t="shared" si="44"/>
        <v>0</v>
      </c>
      <c r="BG25" s="4">
        <f t="shared" si="44"/>
        <v>0</v>
      </c>
      <c r="BH25" s="4">
        <f t="shared" si="45"/>
        <v>0</v>
      </c>
      <c r="BI25" s="4">
        <f t="shared" si="45"/>
        <v>0</v>
      </c>
      <c r="BJ25" s="4">
        <f t="shared" si="45"/>
        <v>0</v>
      </c>
      <c r="BK25" s="4">
        <f t="shared" si="45"/>
        <v>0</v>
      </c>
      <c r="BL25" s="4">
        <f t="shared" si="45"/>
        <v>0</v>
      </c>
      <c r="BM25" s="4">
        <f t="shared" si="45"/>
        <v>0</v>
      </c>
      <c r="BN25" s="4">
        <f t="shared" si="45"/>
        <v>0</v>
      </c>
    </row>
    <row r="26" spans="1:66" x14ac:dyDescent="0.2">
      <c r="A26" t="s">
        <v>44</v>
      </c>
      <c r="D26" t="s">
        <v>51</v>
      </c>
      <c r="G26" t="e">
        <f>AN28/AP28</f>
        <v>#DIV/0!</v>
      </c>
      <c r="K26" t="s">
        <v>62</v>
      </c>
      <c r="P26" t="s">
        <v>19</v>
      </c>
      <c r="Z26">
        <f t="shared" si="35"/>
        <v>0</v>
      </c>
      <c r="AA26">
        <f t="shared" si="36"/>
        <v>0</v>
      </c>
      <c r="AE26">
        <f t="shared" si="37"/>
        <v>0</v>
      </c>
      <c r="AF26">
        <f t="shared" si="38"/>
        <v>1</v>
      </c>
      <c r="AG26">
        <f t="shared" si="39"/>
        <v>0</v>
      </c>
      <c r="AK26">
        <f t="shared" si="40"/>
        <v>0</v>
      </c>
      <c r="AL26">
        <f t="shared" si="41"/>
        <v>0</v>
      </c>
      <c r="AM26">
        <f t="shared" si="42"/>
        <v>0</v>
      </c>
      <c r="AN26">
        <f t="shared" si="43"/>
        <v>0</v>
      </c>
      <c r="AP26">
        <f t="shared" si="46"/>
        <v>0</v>
      </c>
      <c r="AQ26" s="4">
        <f t="shared" si="47"/>
        <v>0</v>
      </c>
      <c r="AR26" s="4">
        <f t="shared" si="44"/>
        <v>0</v>
      </c>
      <c r="AS26" s="4">
        <f t="shared" si="44"/>
        <v>0</v>
      </c>
      <c r="AT26" s="4">
        <f t="shared" si="44"/>
        <v>0</v>
      </c>
      <c r="AU26" s="4">
        <f t="shared" si="44"/>
        <v>0</v>
      </c>
      <c r="AV26" s="4">
        <f t="shared" si="44"/>
        <v>0</v>
      </c>
      <c r="AW26" s="4">
        <f t="shared" si="44"/>
        <v>0</v>
      </c>
      <c r="AX26" s="4">
        <f t="shared" si="44"/>
        <v>0</v>
      </c>
      <c r="AY26" s="4">
        <f t="shared" si="44"/>
        <v>0</v>
      </c>
      <c r="AZ26" s="4">
        <f t="shared" si="44"/>
        <v>0</v>
      </c>
      <c r="BA26" s="4">
        <f t="shared" si="44"/>
        <v>0</v>
      </c>
      <c r="BB26" s="4">
        <f t="shared" si="44"/>
        <v>0</v>
      </c>
      <c r="BC26" s="4">
        <f t="shared" si="44"/>
        <v>0</v>
      </c>
      <c r="BD26" s="4">
        <f t="shared" si="44"/>
        <v>0</v>
      </c>
      <c r="BE26" s="4">
        <f t="shared" si="44"/>
        <v>0</v>
      </c>
      <c r="BF26" s="4">
        <f t="shared" si="44"/>
        <v>0</v>
      </c>
      <c r="BG26" s="4">
        <f t="shared" si="44"/>
        <v>0</v>
      </c>
      <c r="BH26" s="4">
        <f t="shared" si="45"/>
        <v>0</v>
      </c>
      <c r="BI26" s="4">
        <f t="shared" si="45"/>
        <v>0</v>
      </c>
      <c r="BJ26" s="4">
        <f t="shared" si="45"/>
        <v>0</v>
      </c>
      <c r="BK26" s="4">
        <f t="shared" si="45"/>
        <v>0</v>
      </c>
      <c r="BL26" s="4">
        <f t="shared" si="45"/>
        <v>0</v>
      </c>
      <c r="BM26" s="4">
        <f t="shared" si="45"/>
        <v>0</v>
      </c>
      <c r="BN26" s="4">
        <f t="shared" si="45"/>
        <v>0</v>
      </c>
    </row>
    <row r="27" spans="1:66" x14ac:dyDescent="0.2">
      <c r="A27" t="s">
        <v>45</v>
      </c>
      <c r="D27">
        <f>AA28/A31</f>
        <v>0</v>
      </c>
      <c r="G27" t="s">
        <v>56</v>
      </c>
      <c r="K27" t="s">
        <v>57</v>
      </c>
      <c r="L27" t="s">
        <v>58</v>
      </c>
      <c r="M27" t="s">
        <v>59</v>
      </c>
      <c r="N27" t="s">
        <v>60</v>
      </c>
      <c r="P27" t="s">
        <v>57</v>
      </c>
      <c r="Q27" t="s">
        <v>58</v>
      </c>
      <c r="R27" t="s">
        <v>59</v>
      </c>
      <c r="S27" t="s">
        <v>60</v>
      </c>
      <c r="Z27">
        <f t="shared" si="35"/>
        <v>0</v>
      </c>
      <c r="AA27">
        <f t="shared" si="36"/>
        <v>0</v>
      </c>
      <c r="AE27">
        <f t="shared" si="37"/>
        <v>0</v>
      </c>
      <c r="AF27">
        <f t="shared" si="38"/>
        <v>0</v>
      </c>
      <c r="AG27">
        <f t="shared" si="39"/>
        <v>0</v>
      </c>
      <c r="AK27">
        <f t="shared" si="40"/>
        <v>0</v>
      </c>
      <c r="AL27">
        <f t="shared" si="41"/>
        <v>0</v>
      </c>
      <c r="AM27">
        <f t="shared" si="42"/>
        <v>0</v>
      </c>
      <c r="AN27">
        <f t="shared" si="43"/>
        <v>0</v>
      </c>
      <c r="AP27">
        <f t="shared" si="46"/>
        <v>0</v>
      </c>
      <c r="AQ27" s="4">
        <f t="shared" si="47"/>
        <v>0</v>
      </c>
      <c r="AR27" s="4">
        <f t="shared" si="44"/>
        <v>0</v>
      </c>
      <c r="AS27" s="4">
        <f t="shared" si="44"/>
        <v>0</v>
      </c>
      <c r="AT27" s="4">
        <f t="shared" si="44"/>
        <v>0</v>
      </c>
      <c r="AU27" s="4">
        <f t="shared" si="44"/>
        <v>0</v>
      </c>
      <c r="AV27" s="4">
        <f t="shared" si="44"/>
        <v>0</v>
      </c>
      <c r="AW27" s="4">
        <f t="shared" si="44"/>
        <v>0</v>
      </c>
      <c r="AX27" s="4">
        <f t="shared" si="44"/>
        <v>0</v>
      </c>
      <c r="AY27" s="4">
        <f t="shared" si="44"/>
        <v>0</v>
      </c>
      <c r="AZ27" s="4">
        <f t="shared" si="44"/>
        <v>0</v>
      </c>
      <c r="BA27" s="4">
        <f t="shared" si="44"/>
        <v>0</v>
      </c>
      <c r="BB27" s="4">
        <f t="shared" si="44"/>
        <v>0</v>
      </c>
      <c r="BC27" s="4">
        <f t="shared" si="44"/>
        <v>0</v>
      </c>
      <c r="BD27" s="4">
        <f t="shared" si="44"/>
        <v>0</v>
      </c>
      <c r="BE27" s="4">
        <f t="shared" si="44"/>
        <v>0</v>
      </c>
      <c r="BF27" s="4">
        <f t="shared" si="44"/>
        <v>0</v>
      </c>
      <c r="BG27" s="4">
        <f t="shared" si="44"/>
        <v>0</v>
      </c>
      <c r="BH27" s="4">
        <f t="shared" si="45"/>
        <v>0</v>
      </c>
      <c r="BI27" s="4">
        <f t="shared" si="45"/>
        <v>0</v>
      </c>
      <c r="BJ27" s="4">
        <f t="shared" si="45"/>
        <v>0</v>
      </c>
      <c r="BK27" s="4">
        <f t="shared" si="45"/>
        <v>0</v>
      </c>
      <c r="BL27" s="4">
        <f t="shared" si="45"/>
        <v>0</v>
      </c>
      <c r="BM27" s="4">
        <f t="shared" si="45"/>
        <v>0</v>
      </c>
      <c r="BN27" s="4">
        <f t="shared" si="45"/>
        <v>0</v>
      </c>
    </row>
    <row r="28" spans="1:66" x14ac:dyDescent="0.2">
      <c r="A28" t="s">
        <v>46</v>
      </c>
      <c r="D28" t="s">
        <v>202</v>
      </c>
      <c r="G28" t="s">
        <v>57</v>
      </c>
      <c r="H28" t="s">
        <v>58</v>
      </c>
      <c r="I28" t="s">
        <v>59</v>
      </c>
      <c r="J28" t="s">
        <v>60</v>
      </c>
      <c r="K28">
        <f>AVERAGE(G39:G50)</f>
        <v>0</v>
      </c>
      <c r="L28">
        <f>MEDIAN(G39:G50)</f>
        <v>0</v>
      </c>
      <c r="M28">
        <f>MAX(G39:G50)</f>
        <v>0</v>
      </c>
      <c r="N28">
        <f>_xlfn.STDEV.S(G39:G50)</f>
        <v>0</v>
      </c>
      <c r="P28">
        <f>AVERAGE(N39:N50)</f>
        <v>0.66666666666666663</v>
      </c>
      <c r="Q28">
        <f>MEDIAN(N39:N50)</f>
        <v>0</v>
      </c>
      <c r="R28">
        <f>MAX(N39:N50)</f>
        <v>6</v>
      </c>
      <c r="S28">
        <f>_xlfn.STDEV.S(N39:N50)</f>
        <v>1.7232808737106582</v>
      </c>
      <c r="Y28" t="s">
        <v>33</v>
      </c>
      <c r="Z28">
        <f>SUM(Z16:Z27)</f>
        <v>0</v>
      </c>
      <c r="AA28">
        <f>SUM(AA16:AA27)</f>
        <v>0</v>
      </c>
      <c r="AE28">
        <f>SUM(AE16:AE27)</f>
        <v>0</v>
      </c>
      <c r="AF28">
        <f>SUM(AF16:AF27)</f>
        <v>4</v>
      </c>
      <c r="AG28">
        <f>SUM(AG16:AG27)</f>
        <v>0</v>
      </c>
      <c r="AK28">
        <f>SUM(AK16:AK27)</f>
        <v>0</v>
      </c>
      <c r="AL28">
        <f>SUM(AL16:AL27)</f>
        <v>0</v>
      </c>
      <c r="AM28">
        <f>SUM(AM16:AM27)</f>
        <v>0</v>
      </c>
      <c r="AN28">
        <f>SUM(AN16:AN27)</f>
        <v>0</v>
      </c>
      <c r="AP28">
        <f>SUM(AP16:AP27)</f>
        <v>0</v>
      </c>
    </row>
    <row r="29" spans="1:66" x14ac:dyDescent="0.2">
      <c r="D29">
        <f>SUM(O39:O50)/F16</f>
        <v>0.33333333333333331</v>
      </c>
      <c r="G29">
        <f>AVERAGE(A39:A50)</f>
        <v>0.33333333333333331</v>
      </c>
      <c r="H29">
        <f>MEDIAN(A39:A50)</f>
        <v>0</v>
      </c>
      <c r="I29">
        <f>MAX(A39:A50)</f>
        <v>2</v>
      </c>
      <c r="J29">
        <f>_xlfn.STDEV.S(A39:A50)</f>
        <v>0.6513389472789296</v>
      </c>
      <c r="K29" t="s">
        <v>63</v>
      </c>
      <c r="P29" t="s">
        <v>148</v>
      </c>
    </row>
    <row r="30" spans="1:66" x14ac:dyDescent="0.2">
      <c r="A30" t="s">
        <v>147</v>
      </c>
      <c r="D30" t="s">
        <v>203</v>
      </c>
      <c r="G30" t="s">
        <v>50</v>
      </c>
      <c r="H30" t="s">
        <v>51</v>
      </c>
      <c r="I30" t="s">
        <v>89</v>
      </c>
      <c r="K30" t="s">
        <v>57</v>
      </c>
      <c r="L30" t="s">
        <v>58</v>
      </c>
      <c r="M30" t="s">
        <v>59</v>
      </c>
      <c r="N30" t="s">
        <v>60</v>
      </c>
      <c r="P30" t="s">
        <v>57</v>
      </c>
      <c r="Q30" t="s">
        <v>58</v>
      </c>
      <c r="R30" t="s">
        <v>59</v>
      </c>
      <c r="S30" t="s">
        <v>60</v>
      </c>
      <c r="W30" t="s">
        <v>148</v>
      </c>
      <c r="Y30" t="s">
        <v>149</v>
      </c>
      <c r="AH30" t="s">
        <v>79</v>
      </c>
    </row>
    <row r="31" spans="1:66" x14ac:dyDescent="0.2">
      <c r="A31">
        <f>COUNT(B4:B15)</f>
        <v>12</v>
      </c>
      <c r="D31" s="2">
        <f>SUM(S39:S50)/SUM(Q39:Q50)</f>
        <v>0.2857142857142857</v>
      </c>
      <c r="G31">
        <f>AE28/A31</f>
        <v>0</v>
      </c>
      <c r="H31">
        <f>AF28/A31</f>
        <v>0.33333333333333331</v>
      </c>
      <c r="I31">
        <f>AG28/A31</f>
        <v>0</v>
      </c>
      <c r="K31" t="e">
        <f>AVERAGE(I39:I50)</f>
        <v>#DIV/0!</v>
      </c>
      <c r="L31" t="e">
        <f>MEDIAN(I39:I50)</f>
        <v>#NUM!</v>
      </c>
      <c r="M31">
        <f>MAX(I39:I50)</f>
        <v>0</v>
      </c>
      <c r="N31" t="e">
        <f>_xlfn.STDEV.S(I39:I50)</f>
        <v>#DIV/0!</v>
      </c>
      <c r="P31" t="e">
        <f>AVERAGE(W31:W42)</f>
        <v>#DIV/0!</v>
      </c>
      <c r="Q31" t="e">
        <f>MEDIAN(W31:W42)</f>
        <v>#NUM!</v>
      </c>
      <c r="R31">
        <f>MAX(W31:W42)</f>
        <v>0</v>
      </c>
      <c r="S31" t="e">
        <f>_xlfn.STDEV.S(W31:W42)</f>
        <v>#DIV/0!</v>
      </c>
      <c r="W31" t="str">
        <f t="shared" ref="W31:W33" si="48">IF(AND(ISBLANK(Q4), ISBLANK(R4), ISBLANK(G4), ISBLANK(H4)), "", U4)</f>
        <v/>
      </c>
      <c r="Y31" t="str">
        <f t="shared" ref="Y31:Y42" si="49">IF(ISBLANK(Y4), IF(X4 = 0, "", (G4 + H4/3 + V4/9 + W4/3)), U4)</f>
        <v/>
      </c>
      <c r="AH31" t="s">
        <v>80</v>
      </c>
    </row>
    <row r="32" spans="1:66" x14ac:dyDescent="0.2">
      <c r="D32" s="3"/>
      <c r="K32" t="s">
        <v>64</v>
      </c>
      <c r="P32" t="s">
        <v>149</v>
      </c>
      <c r="W32" t="str">
        <f t="shared" si="48"/>
        <v/>
      </c>
      <c r="Y32" t="str">
        <f t="shared" si="49"/>
        <v/>
      </c>
      <c r="AH32" t="s">
        <v>81</v>
      </c>
    </row>
    <row r="33" spans="1:34" x14ac:dyDescent="0.2">
      <c r="A33" t="s">
        <v>288</v>
      </c>
      <c r="D33" s="3"/>
      <c r="K33" t="s">
        <v>57</v>
      </c>
      <c r="L33" t="s">
        <v>58</v>
      </c>
      <c r="M33" t="s">
        <v>59</v>
      </c>
      <c r="N33" t="s">
        <v>60</v>
      </c>
      <c r="P33" t="s">
        <v>57</v>
      </c>
      <c r="Q33" t="s">
        <v>58</v>
      </c>
      <c r="R33" t="s">
        <v>59</v>
      </c>
      <c r="S33" t="s">
        <v>60</v>
      </c>
      <c r="W33" t="str">
        <f t="shared" si="48"/>
        <v/>
      </c>
      <c r="Y33" t="str">
        <f t="shared" si="49"/>
        <v/>
      </c>
      <c r="AH33" t="s">
        <v>82</v>
      </c>
    </row>
    <row r="34" spans="1:34" x14ac:dyDescent="0.2">
      <c r="D34" s="3"/>
      <c r="K34">
        <f>AVERAGE(K39:K50)</f>
        <v>0</v>
      </c>
      <c r="L34">
        <f>MEDIAN(K39:K50)</f>
        <v>0</v>
      </c>
      <c r="M34">
        <f>MAX(K39:K50)</f>
        <v>0</v>
      </c>
      <c r="N34">
        <f>_xlfn.STDEV.S(K39:K50)</f>
        <v>0</v>
      </c>
      <c r="P34" t="e">
        <f>AVERAGE(Y31:Y42)</f>
        <v>#DIV/0!</v>
      </c>
      <c r="Q34" t="e">
        <f>MEDIAN(Y31:Y42)</f>
        <v>#NUM!</v>
      </c>
      <c r="R34">
        <f>MAX(Y31:Y42)</f>
        <v>0</v>
      </c>
      <c r="S34" t="e">
        <f>_xlfn.STDEV.S(Y31:Y42)</f>
        <v>#DIV/0!</v>
      </c>
      <c r="W34" t="str">
        <f>IF(AND(ISBLANK(Q7), ISBLANK(R7), ISBLANK(G7), ISBLANK(H7)), "", U7)</f>
        <v/>
      </c>
      <c r="Y34" t="str">
        <f t="shared" si="49"/>
        <v/>
      </c>
      <c r="AH34" t="s">
        <v>83</v>
      </c>
    </row>
    <row r="35" spans="1:34" x14ac:dyDescent="0.2">
      <c r="P35" t="s">
        <v>95</v>
      </c>
      <c r="R35" t="s">
        <v>197</v>
      </c>
      <c r="W35" t="str">
        <f t="shared" ref="W35:W42" si="50">IF(AND(ISBLANK(Q8), ISBLANK(R8), ISBLANK(G8), ISBLANK(H8)), "", U8)</f>
        <v/>
      </c>
      <c r="Y35" t="str">
        <f t="shared" si="49"/>
        <v/>
      </c>
    </row>
    <row r="36" spans="1:34" x14ac:dyDescent="0.2">
      <c r="P36" t="e">
        <f>Q16/(Q16+R16)</f>
        <v>#DIV/0!</v>
      </c>
      <c r="R36" t="e">
        <f>R16/(Q16+R16)</f>
        <v>#DIV/0!</v>
      </c>
      <c r="W36" t="str">
        <f t="shared" si="50"/>
        <v/>
      </c>
      <c r="Y36" t="str">
        <f t="shared" si="49"/>
        <v/>
      </c>
    </row>
    <row r="37" spans="1:34" x14ac:dyDescent="0.2">
      <c r="W37" t="str">
        <f t="shared" si="50"/>
        <v/>
      </c>
      <c r="Y37" t="str">
        <f t="shared" si="49"/>
        <v/>
      </c>
    </row>
    <row r="38" spans="1:34" x14ac:dyDescent="0.2">
      <c r="A38" t="s">
        <v>68</v>
      </c>
      <c r="C38" t="s">
        <v>69</v>
      </c>
      <c r="E38" t="s">
        <v>72</v>
      </c>
      <c r="G38" t="s">
        <v>250</v>
      </c>
      <c r="K38" t="s">
        <v>73</v>
      </c>
      <c r="M38" t="s">
        <v>70</v>
      </c>
      <c r="N38" t="s">
        <v>71</v>
      </c>
      <c r="O38" t="s">
        <v>199</v>
      </c>
      <c r="Q38" t="s">
        <v>200</v>
      </c>
      <c r="S38" t="s">
        <v>201</v>
      </c>
      <c r="W38" t="str">
        <f t="shared" si="50"/>
        <v/>
      </c>
      <c r="Y38" t="str">
        <f t="shared" si="49"/>
        <v/>
      </c>
    </row>
    <row r="39" spans="1:34" x14ac:dyDescent="0.2">
      <c r="A39">
        <f t="shared" ref="A39:A50" si="51">IF(ISBLANK(B4), "", SUM(AE16+AF16+AG16))</f>
        <v>0</v>
      </c>
      <c r="C39">
        <f t="shared" ref="C39:C50" si="52">IF(ISBLANK(B4), "", O4)</f>
        <v>4</v>
      </c>
      <c r="E39">
        <f t="shared" ref="E39:E50" si="53">IF(ISBLANK(B4), "", Q4)</f>
        <v>0</v>
      </c>
      <c r="G39">
        <f t="shared" ref="G39:G50" si="54">IF(ISBLANK(B4), "", R4)</f>
        <v>0</v>
      </c>
      <c r="K39">
        <f t="shared" ref="K39:K50" si="55">IF(ISBLANK(B4), "", SUM(Q4 + R4))</f>
        <v>0</v>
      </c>
      <c r="M39">
        <f t="shared" ref="M39:M50" si="56">IF(ISBLANK(B4), "", SUM(K4+M4) - O4)</f>
        <v>0</v>
      </c>
      <c r="N39">
        <f t="shared" ref="N39:N50" si="57">IF(ISBLANK(B4), "", U4)</f>
        <v>1</v>
      </c>
      <c r="O39">
        <f t="shared" ref="O39:O50" si="58">COUNTIF(E4, "1")*COUNTIF(F4, "1")</f>
        <v>0</v>
      </c>
      <c r="Q39">
        <f t="shared" ref="Q39:Q50" si="59">COUNTIF(D4, "1")*COUNTIF(F4, "")</f>
        <v>1</v>
      </c>
      <c r="S39">
        <f t="shared" ref="S39:S50" si="60">COUNTIF(E4, "1")*COUNTIF(F4, "")</f>
        <v>0</v>
      </c>
      <c r="W39" t="str">
        <f t="shared" si="50"/>
        <v/>
      </c>
      <c r="Y39" t="str">
        <f t="shared" si="49"/>
        <v/>
      </c>
    </row>
    <row r="40" spans="1:34" x14ac:dyDescent="0.2">
      <c r="A40">
        <f t="shared" si="51"/>
        <v>0</v>
      </c>
      <c r="C40">
        <f t="shared" si="52"/>
        <v>4</v>
      </c>
      <c r="E40">
        <f t="shared" si="53"/>
        <v>0</v>
      </c>
      <c r="G40">
        <f t="shared" si="54"/>
        <v>0</v>
      </c>
      <c r="K40">
        <f t="shared" si="55"/>
        <v>0</v>
      </c>
      <c r="M40">
        <f t="shared" si="56"/>
        <v>0</v>
      </c>
      <c r="N40">
        <f t="shared" si="57"/>
        <v>0</v>
      </c>
      <c r="O40">
        <f t="shared" si="58"/>
        <v>0</v>
      </c>
      <c r="Q40">
        <f t="shared" si="59"/>
        <v>1</v>
      </c>
      <c r="S40">
        <f t="shared" si="60"/>
        <v>0</v>
      </c>
      <c r="W40" t="str">
        <f t="shared" si="50"/>
        <v/>
      </c>
      <c r="Y40" t="str">
        <f t="shared" si="49"/>
        <v/>
      </c>
    </row>
    <row r="41" spans="1:34" x14ac:dyDescent="0.2">
      <c r="A41">
        <f t="shared" si="51"/>
        <v>0</v>
      </c>
      <c r="C41">
        <f t="shared" si="52"/>
        <v>3</v>
      </c>
      <c r="E41">
        <f t="shared" si="53"/>
        <v>0</v>
      </c>
      <c r="G41">
        <f t="shared" si="54"/>
        <v>0</v>
      </c>
      <c r="K41">
        <f t="shared" si="55"/>
        <v>0</v>
      </c>
      <c r="M41">
        <f t="shared" si="56"/>
        <v>0</v>
      </c>
      <c r="N41">
        <f t="shared" si="57"/>
        <v>0</v>
      </c>
      <c r="O41">
        <f t="shared" si="58"/>
        <v>0</v>
      </c>
      <c r="Q41">
        <f t="shared" si="59"/>
        <v>0</v>
      </c>
      <c r="S41">
        <f t="shared" si="60"/>
        <v>0</v>
      </c>
      <c r="W41" t="str">
        <f t="shared" si="50"/>
        <v/>
      </c>
      <c r="Y41" t="str">
        <f t="shared" si="49"/>
        <v/>
      </c>
    </row>
    <row r="42" spans="1:34" x14ac:dyDescent="0.2">
      <c r="A42">
        <f t="shared" si="51"/>
        <v>2</v>
      </c>
      <c r="C42">
        <f t="shared" si="52"/>
        <v>4</v>
      </c>
      <c r="E42">
        <f t="shared" si="53"/>
        <v>0</v>
      </c>
      <c r="G42">
        <f t="shared" si="54"/>
        <v>0</v>
      </c>
      <c r="K42">
        <f t="shared" si="55"/>
        <v>0</v>
      </c>
      <c r="M42">
        <f t="shared" si="56"/>
        <v>1</v>
      </c>
      <c r="N42">
        <f t="shared" si="57"/>
        <v>0</v>
      </c>
      <c r="O42">
        <f t="shared" si="58"/>
        <v>0</v>
      </c>
      <c r="Q42">
        <f t="shared" si="59"/>
        <v>0</v>
      </c>
      <c r="S42">
        <f t="shared" si="60"/>
        <v>0</v>
      </c>
      <c r="W42" t="str">
        <f t="shared" si="50"/>
        <v/>
      </c>
      <c r="Y42" t="str">
        <f t="shared" si="49"/>
        <v/>
      </c>
    </row>
    <row r="43" spans="1:34" x14ac:dyDescent="0.2">
      <c r="A43">
        <f t="shared" si="51"/>
        <v>1</v>
      </c>
      <c r="C43">
        <f t="shared" si="52"/>
        <v>4</v>
      </c>
      <c r="E43">
        <f t="shared" si="53"/>
        <v>0</v>
      </c>
      <c r="G43">
        <f t="shared" si="54"/>
        <v>0</v>
      </c>
      <c r="K43">
        <f t="shared" si="55"/>
        <v>0</v>
      </c>
      <c r="M43">
        <f t="shared" si="56"/>
        <v>-1</v>
      </c>
      <c r="N43">
        <f t="shared" si="57"/>
        <v>0</v>
      </c>
      <c r="O43">
        <f t="shared" si="58"/>
        <v>0</v>
      </c>
      <c r="Q43">
        <f t="shared" si="59"/>
        <v>1</v>
      </c>
      <c r="S43">
        <f t="shared" si="60"/>
        <v>0</v>
      </c>
    </row>
    <row r="44" spans="1:34" x14ac:dyDescent="0.2">
      <c r="A44">
        <f t="shared" si="51"/>
        <v>0</v>
      </c>
      <c r="C44">
        <f t="shared" si="52"/>
        <v>4</v>
      </c>
      <c r="E44">
        <f t="shared" si="53"/>
        <v>0</v>
      </c>
      <c r="G44">
        <f t="shared" si="54"/>
        <v>0</v>
      </c>
      <c r="K44">
        <f t="shared" si="55"/>
        <v>0</v>
      </c>
      <c r="M44">
        <f t="shared" si="56"/>
        <v>-1</v>
      </c>
      <c r="N44">
        <f t="shared" si="57"/>
        <v>1</v>
      </c>
      <c r="O44">
        <f t="shared" si="58"/>
        <v>0</v>
      </c>
      <c r="Q44">
        <f t="shared" si="59"/>
        <v>0</v>
      </c>
      <c r="S44">
        <f t="shared" si="60"/>
        <v>0</v>
      </c>
    </row>
    <row r="45" spans="1:34" x14ac:dyDescent="0.2">
      <c r="A45">
        <f t="shared" si="51"/>
        <v>0</v>
      </c>
      <c r="C45">
        <f t="shared" si="52"/>
        <v>4</v>
      </c>
      <c r="E45">
        <f t="shared" si="53"/>
        <v>0</v>
      </c>
      <c r="G45">
        <f t="shared" si="54"/>
        <v>0</v>
      </c>
      <c r="K45">
        <f t="shared" si="55"/>
        <v>0</v>
      </c>
      <c r="M45">
        <f t="shared" si="56"/>
        <v>0</v>
      </c>
      <c r="N45">
        <f t="shared" si="57"/>
        <v>6</v>
      </c>
      <c r="O45">
        <f t="shared" si="58"/>
        <v>0</v>
      </c>
      <c r="Q45">
        <f t="shared" si="59"/>
        <v>0</v>
      </c>
      <c r="S45">
        <f t="shared" si="60"/>
        <v>0</v>
      </c>
    </row>
    <row r="46" spans="1:34" x14ac:dyDescent="0.2">
      <c r="A46">
        <f t="shared" si="51"/>
        <v>0</v>
      </c>
      <c r="C46">
        <f t="shared" si="52"/>
        <v>3</v>
      </c>
      <c r="E46">
        <f t="shared" si="53"/>
        <v>0</v>
      </c>
      <c r="G46">
        <f t="shared" si="54"/>
        <v>0</v>
      </c>
      <c r="K46">
        <f t="shared" si="55"/>
        <v>0</v>
      </c>
      <c r="M46">
        <f t="shared" si="56"/>
        <v>1</v>
      </c>
      <c r="N46">
        <f t="shared" si="57"/>
        <v>0</v>
      </c>
      <c r="O46">
        <f t="shared" si="58"/>
        <v>1</v>
      </c>
      <c r="Q46">
        <f t="shared" si="59"/>
        <v>0</v>
      </c>
      <c r="S46">
        <f t="shared" si="60"/>
        <v>0</v>
      </c>
    </row>
    <row r="47" spans="1:34" x14ac:dyDescent="0.2">
      <c r="A47">
        <f t="shared" si="51"/>
        <v>0</v>
      </c>
      <c r="C47">
        <f t="shared" si="52"/>
        <v>4</v>
      </c>
      <c r="E47">
        <f t="shared" si="53"/>
        <v>0</v>
      </c>
      <c r="G47">
        <f t="shared" si="54"/>
        <v>0</v>
      </c>
      <c r="K47">
        <f t="shared" si="55"/>
        <v>0</v>
      </c>
      <c r="M47">
        <f t="shared" si="56"/>
        <v>1</v>
      </c>
      <c r="N47">
        <f t="shared" si="57"/>
        <v>0</v>
      </c>
      <c r="O47">
        <f t="shared" si="58"/>
        <v>0</v>
      </c>
      <c r="Q47">
        <f t="shared" si="59"/>
        <v>1</v>
      </c>
      <c r="S47">
        <f t="shared" si="60"/>
        <v>1</v>
      </c>
    </row>
    <row r="48" spans="1:34" x14ac:dyDescent="0.2">
      <c r="A48">
        <f t="shared" si="51"/>
        <v>0</v>
      </c>
      <c r="C48">
        <f t="shared" si="52"/>
        <v>4</v>
      </c>
      <c r="E48">
        <f t="shared" si="53"/>
        <v>0</v>
      </c>
      <c r="G48">
        <f t="shared" si="54"/>
        <v>0</v>
      </c>
      <c r="K48">
        <f t="shared" si="55"/>
        <v>0</v>
      </c>
      <c r="M48">
        <f t="shared" si="56"/>
        <v>1</v>
      </c>
      <c r="N48">
        <f t="shared" si="57"/>
        <v>0</v>
      </c>
      <c r="O48">
        <f t="shared" si="58"/>
        <v>0</v>
      </c>
      <c r="Q48">
        <f t="shared" si="59"/>
        <v>1</v>
      </c>
      <c r="S48">
        <f t="shared" si="60"/>
        <v>0</v>
      </c>
    </row>
    <row r="49" spans="1:19" x14ac:dyDescent="0.2">
      <c r="A49">
        <f t="shared" si="51"/>
        <v>1</v>
      </c>
      <c r="C49">
        <f t="shared" si="52"/>
        <v>3</v>
      </c>
      <c r="E49">
        <f t="shared" si="53"/>
        <v>0</v>
      </c>
      <c r="G49">
        <f t="shared" si="54"/>
        <v>0</v>
      </c>
      <c r="K49">
        <f t="shared" si="55"/>
        <v>0</v>
      </c>
      <c r="M49">
        <f t="shared" si="56"/>
        <v>2</v>
      </c>
      <c r="N49">
        <f t="shared" si="57"/>
        <v>0</v>
      </c>
      <c r="O49">
        <f t="shared" si="58"/>
        <v>0</v>
      </c>
      <c r="Q49">
        <f t="shared" si="59"/>
        <v>1</v>
      </c>
      <c r="S49">
        <f t="shared" si="60"/>
        <v>1</v>
      </c>
    </row>
    <row r="50" spans="1:19" x14ac:dyDescent="0.2">
      <c r="A50">
        <f t="shared" si="51"/>
        <v>0</v>
      </c>
      <c r="C50">
        <f t="shared" si="52"/>
        <v>2</v>
      </c>
      <c r="E50">
        <f t="shared" si="53"/>
        <v>0</v>
      </c>
      <c r="G50">
        <f t="shared" si="54"/>
        <v>0</v>
      </c>
      <c r="K50">
        <f t="shared" si="55"/>
        <v>0</v>
      </c>
      <c r="M50">
        <f t="shared" si="56"/>
        <v>2</v>
      </c>
      <c r="N50">
        <f t="shared" si="57"/>
        <v>0</v>
      </c>
      <c r="O50">
        <f t="shared" si="58"/>
        <v>0</v>
      </c>
      <c r="Q50">
        <f t="shared" si="59"/>
        <v>1</v>
      </c>
      <c r="S50">
        <f t="shared" si="60"/>
        <v>0</v>
      </c>
    </row>
  </sheetData>
  <pageMargins left="0.7" right="0.7" top="0.75" bottom="0.75" header="0.3" footer="0.3"/>
  <legacy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 enableFormatConditionsCalculation="0"/>
  <dimension ref="A1:BN50"/>
  <sheetViews>
    <sheetView topLeftCell="B1" workbookViewId="0">
      <selection activeCell="U15" sqref="U15"/>
    </sheetView>
  </sheetViews>
  <sheetFormatPr baseColWidth="10" defaultRowHeight="15" x14ac:dyDescent="0.2"/>
  <sheetData>
    <row r="1" spans="1:66" x14ac:dyDescent="0.2">
      <c r="A1" s="1" t="s">
        <v>0</v>
      </c>
      <c r="D1" t="s">
        <v>3</v>
      </c>
      <c r="K1" t="s">
        <v>11</v>
      </c>
      <c r="N1" t="s">
        <v>12</v>
      </c>
      <c r="P1" t="s">
        <v>14</v>
      </c>
      <c r="Q1" t="s">
        <v>17</v>
      </c>
      <c r="S1" t="s">
        <v>18</v>
      </c>
      <c r="Z1" t="s">
        <v>29</v>
      </c>
      <c r="AE1" t="s">
        <v>30</v>
      </c>
      <c r="AK1" t="s">
        <v>42</v>
      </c>
    </row>
    <row r="2" spans="1:66" x14ac:dyDescent="0.2">
      <c r="A2" t="s">
        <v>1</v>
      </c>
      <c r="B2" t="s">
        <v>1</v>
      </c>
      <c r="C2" t="s">
        <v>87</v>
      </c>
      <c r="D2" t="s">
        <v>54</v>
      </c>
      <c r="E2" t="s">
        <v>13</v>
      </c>
      <c r="F2" t="s">
        <v>198</v>
      </c>
      <c r="G2" t="s">
        <v>7</v>
      </c>
      <c r="H2" t="s">
        <v>8</v>
      </c>
      <c r="I2" t="s">
        <v>179</v>
      </c>
      <c r="J2" t="s">
        <v>178</v>
      </c>
      <c r="K2" t="s">
        <v>9</v>
      </c>
      <c r="L2" t="s">
        <v>196</v>
      </c>
      <c r="M2" t="s">
        <v>10</v>
      </c>
      <c r="N2" t="s">
        <v>54</v>
      </c>
      <c r="O2" t="s">
        <v>13</v>
      </c>
      <c r="P2" t="s">
        <v>15</v>
      </c>
      <c r="Q2" t="s">
        <v>8</v>
      </c>
      <c r="R2" t="s">
        <v>7</v>
      </c>
      <c r="S2" t="s">
        <v>181</v>
      </c>
      <c r="T2" t="s">
        <v>182</v>
      </c>
      <c r="U2" t="s">
        <v>19</v>
      </c>
      <c r="V2" t="s">
        <v>191</v>
      </c>
      <c r="W2" t="s">
        <v>192</v>
      </c>
      <c r="X2" t="s">
        <v>175</v>
      </c>
      <c r="Y2" t="s">
        <v>173</v>
      </c>
      <c r="Z2" t="str">
        <f t="shared" ref="Z2:Z13" si="0">LEFT(I4, 1)</f>
        <v/>
      </c>
      <c r="AA2" t="str">
        <f t="shared" ref="AA2:AA13" si="1">MID(I4, 4, 1)</f>
        <v/>
      </c>
      <c r="AB2" t="str">
        <f t="shared" ref="AB2:AB13" si="2">MID(I4, 7, 1)</f>
        <v/>
      </c>
      <c r="AC2" t="str">
        <f t="shared" ref="AC2:AC13" si="3">MID(I4, 10, 1)</f>
        <v/>
      </c>
      <c r="AE2" t="str">
        <f t="shared" ref="AE2:AE13" si="4">LEFT(J4, 1)</f>
        <v/>
      </c>
      <c r="AF2" t="str">
        <f t="shared" ref="AF2:AF13" si="5">MID(J4, 4, 1)</f>
        <v/>
      </c>
      <c r="AG2" t="str">
        <f t="shared" ref="AG2:AG13" si="6">MID(J4, 7, 1)</f>
        <v/>
      </c>
      <c r="AH2" t="str">
        <f t="shared" ref="AH2:AH13" si="7">MID(J4, 10, 1)</f>
        <v/>
      </c>
      <c r="AI2" t="str">
        <f t="shared" ref="AI2:AI13" si="8">MID(J4, 13, 1)</f>
        <v/>
      </c>
      <c r="AK2" t="str">
        <f t="shared" ref="AK2:AK13" si="9">LEFT(P4, 2)</f>
        <v/>
      </c>
      <c r="AL2" t="str">
        <f>MID($P4, 5, 2)</f>
        <v/>
      </c>
      <c r="AM2" t="str">
        <f t="shared" ref="AM2:AM13" si="10">MID($P4, 9, 2)</f>
        <v/>
      </c>
      <c r="AN2" t="str">
        <f t="shared" ref="AN2:AN13" si="11">MID($P4, 13, 2)</f>
        <v/>
      </c>
      <c r="AO2" t="str">
        <f t="shared" ref="AO2:AO13" si="12">MID($P4, 17, 2)</f>
        <v/>
      </c>
      <c r="AP2" t="str">
        <f t="shared" ref="AP2:AP13" si="13">MID($P4, 21, 2)</f>
        <v/>
      </c>
      <c r="AQ2" t="str">
        <f t="shared" ref="AQ2:AQ13" si="14">MID($P4, 25, 2)</f>
        <v/>
      </c>
      <c r="AR2" t="str">
        <f t="shared" ref="AR2:AR13" si="15">MID($P4, 29, 2)</f>
        <v/>
      </c>
      <c r="AS2" t="str">
        <f t="shared" ref="AS2:AS13" si="16">MID($P4, 33, 2)</f>
        <v/>
      </c>
      <c r="AT2" t="str">
        <f t="shared" ref="AT2:AT13" si="17">MID($P4, 37, 2)</f>
        <v/>
      </c>
      <c r="AU2" t="str">
        <f t="shared" ref="AU2:AU13" si="18">MID($P4, 41, 2)</f>
        <v/>
      </c>
      <c r="AV2" t="str">
        <f t="shared" ref="AV2:AV13" si="19">MID($P4, 45, 2)</f>
        <v/>
      </c>
      <c r="AW2" t="str">
        <f t="shared" ref="AW2:AW13" si="20">MID($P4, 49, 2)</f>
        <v/>
      </c>
      <c r="AX2" t="str">
        <f t="shared" ref="AX2:AX13" si="21">MID($P4, 53, 2)</f>
        <v/>
      </c>
      <c r="AY2" t="str">
        <f t="shared" ref="AY2:AY13" si="22">MID($P4, 57, 2)</f>
        <v/>
      </c>
      <c r="AZ2" t="str">
        <f t="shared" ref="AZ2:AZ13" si="23">MID($P4, 61, 2)</f>
        <v/>
      </c>
      <c r="BA2" t="str">
        <f t="shared" ref="BA2:BA13" si="24">MID($P4, 65, 2)</f>
        <v/>
      </c>
      <c r="BB2" t="str">
        <f t="shared" ref="BB2:BB13" si="25">MID($P4, 69, 2)</f>
        <v/>
      </c>
      <c r="BC2" t="str">
        <f t="shared" ref="BC2:BC13" si="26">MID($P4, 73, 2)</f>
        <v/>
      </c>
      <c r="BD2" t="str">
        <f t="shared" ref="BD2:BD13" si="27">MID($P4, 77, 2)</f>
        <v/>
      </c>
      <c r="BE2" t="str">
        <f t="shared" ref="BE2:BE13" si="28">MID($P4, 81, 2)</f>
        <v/>
      </c>
      <c r="BF2" t="str">
        <f t="shared" ref="BF2:BF13" si="29">MID($P4, 85, 2)</f>
        <v/>
      </c>
      <c r="BG2" t="str">
        <f t="shared" ref="BG2:BG13" si="30">MID($P4, 89, 2)</f>
        <v/>
      </c>
      <c r="BH2" t="str">
        <f t="shared" ref="BH2:BH13" si="31">MID($P4, 93, 2)</f>
        <v/>
      </c>
    </row>
    <row r="3" spans="1:66" x14ac:dyDescent="0.2">
      <c r="A3" t="s">
        <v>2</v>
      </c>
      <c r="B3" t="s">
        <v>6</v>
      </c>
      <c r="C3" t="s">
        <v>88</v>
      </c>
      <c r="D3" t="s">
        <v>6</v>
      </c>
      <c r="E3" t="s">
        <v>6</v>
      </c>
      <c r="F3" t="s">
        <v>4</v>
      </c>
      <c r="G3" t="s">
        <v>6</v>
      </c>
      <c r="H3" t="s">
        <v>6</v>
      </c>
      <c r="I3" t="s">
        <v>86</v>
      </c>
      <c r="J3" t="s">
        <v>86</v>
      </c>
      <c r="K3" t="s">
        <v>6</v>
      </c>
      <c r="L3" t="s">
        <v>6</v>
      </c>
      <c r="M3" t="s">
        <v>6</v>
      </c>
      <c r="N3" t="s">
        <v>6</v>
      </c>
      <c r="O3" t="s">
        <v>6</v>
      </c>
      <c r="P3" t="s">
        <v>16</v>
      </c>
      <c r="Q3" t="s">
        <v>6</v>
      </c>
      <c r="R3" t="s">
        <v>6</v>
      </c>
      <c r="S3" t="s">
        <v>4</v>
      </c>
      <c r="T3" t="s">
        <v>4</v>
      </c>
      <c r="U3" t="s">
        <v>6</v>
      </c>
      <c r="V3" t="s">
        <v>6</v>
      </c>
      <c r="W3" t="s">
        <v>6</v>
      </c>
      <c r="X3" t="s">
        <v>6</v>
      </c>
      <c r="Y3" t="s">
        <v>174</v>
      </c>
      <c r="Z3" t="str">
        <f t="shared" si="0"/>
        <v/>
      </c>
      <c r="AA3" t="str">
        <f t="shared" si="1"/>
        <v/>
      </c>
      <c r="AB3" t="str">
        <f t="shared" si="2"/>
        <v/>
      </c>
      <c r="AC3" t="str">
        <f t="shared" si="3"/>
        <v/>
      </c>
      <c r="AE3" t="str">
        <f t="shared" si="4"/>
        <v/>
      </c>
      <c r="AF3" t="str">
        <f t="shared" si="5"/>
        <v/>
      </c>
      <c r="AG3" t="str">
        <f t="shared" si="6"/>
        <v/>
      </c>
      <c r="AH3" t="str">
        <f t="shared" si="7"/>
        <v/>
      </c>
      <c r="AI3" t="str">
        <f t="shared" si="8"/>
        <v/>
      </c>
      <c r="AK3" t="str">
        <f t="shared" si="9"/>
        <v/>
      </c>
      <c r="AL3" t="str">
        <f t="shared" ref="AL3:AL13" si="32">MID(P5, 5, 2)</f>
        <v/>
      </c>
      <c r="AM3" t="str">
        <f t="shared" si="10"/>
        <v/>
      </c>
      <c r="AN3" t="str">
        <f t="shared" si="11"/>
        <v/>
      </c>
      <c r="AO3" t="str">
        <f t="shared" si="12"/>
        <v/>
      </c>
      <c r="AP3" t="str">
        <f t="shared" si="13"/>
        <v/>
      </c>
      <c r="AQ3" t="str">
        <f t="shared" si="14"/>
        <v/>
      </c>
      <c r="AR3" t="str">
        <f t="shared" si="15"/>
        <v/>
      </c>
      <c r="AS3" t="str">
        <f t="shared" si="16"/>
        <v/>
      </c>
      <c r="AT3" t="str">
        <f t="shared" si="17"/>
        <v/>
      </c>
      <c r="AU3" t="str">
        <f t="shared" si="18"/>
        <v/>
      </c>
      <c r="AV3" t="str">
        <f t="shared" si="19"/>
        <v/>
      </c>
      <c r="AW3" t="str">
        <f t="shared" si="20"/>
        <v/>
      </c>
      <c r="AX3" t="str">
        <f t="shared" si="21"/>
        <v/>
      </c>
      <c r="AY3" t="str">
        <f t="shared" si="22"/>
        <v/>
      </c>
      <c r="AZ3" t="str">
        <f t="shared" si="23"/>
        <v/>
      </c>
      <c r="BA3" t="str">
        <f t="shared" si="24"/>
        <v/>
      </c>
      <c r="BB3" t="str">
        <f t="shared" si="25"/>
        <v/>
      </c>
      <c r="BC3" t="str">
        <f t="shared" si="26"/>
        <v/>
      </c>
      <c r="BD3" t="str">
        <f t="shared" si="27"/>
        <v/>
      </c>
      <c r="BE3" t="str">
        <f t="shared" si="28"/>
        <v/>
      </c>
      <c r="BF3" t="str">
        <f t="shared" si="29"/>
        <v/>
      </c>
      <c r="BG3" t="str">
        <f t="shared" si="30"/>
        <v/>
      </c>
      <c r="BH3" t="str">
        <f t="shared" si="31"/>
        <v/>
      </c>
    </row>
    <row r="4" spans="1:66" x14ac:dyDescent="0.2">
      <c r="A4">
        <v>1</v>
      </c>
      <c r="B4">
        <v>1</v>
      </c>
      <c r="C4" t="s">
        <v>207</v>
      </c>
      <c r="D4">
        <v>1</v>
      </c>
      <c r="K4">
        <v>4</v>
      </c>
      <c r="M4">
        <v>2</v>
      </c>
      <c r="N4">
        <v>6</v>
      </c>
      <c r="O4">
        <v>6</v>
      </c>
      <c r="S4">
        <v>1</v>
      </c>
      <c r="T4">
        <v>1</v>
      </c>
      <c r="X4">
        <f t="shared" ref="X4:X15" si="33">G4+H4+Q4+R4</f>
        <v>0</v>
      </c>
      <c r="Z4" t="str">
        <f t="shared" si="0"/>
        <v/>
      </c>
      <c r="AA4" t="str">
        <f t="shared" si="1"/>
        <v/>
      </c>
      <c r="AB4" t="str">
        <f t="shared" si="2"/>
        <v/>
      </c>
      <c r="AC4" t="str">
        <f t="shared" si="3"/>
        <v/>
      </c>
      <c r="AE4" t="str">
        <f t="shared" si="4"/>
        <v/>
      </c>
      <c r="AF4" t="str">
        <f t="shared" si="5"/>
        <v/>
      </c>
      <c r="AG4" t="str">
        <f t="shared" si="6"/>
        <v/>
      </c>
      <c r="AH4" t="str">
        <f t="shared" si="7"/>
        <v/>
      </c>
      <c r="AI4" t="str">
        <f t="shared" si="8"/>
        <v/>
      </c>
      <c r="AK4" t="str">
        <f t="shared" si="9"/>
        <v/>
      </c>
      <c r="AL4" t="str">
        <f t="shared" si="32"/>
        <v/>
      </c>
      <c r="AM4" t="str">
        <f t="shared" si="10"/>
        <v/>
      </c>
      <c r="AN4" t="str">
        <f t="shared" si="11"/>
        <v/>
      </c>
      <c r="AO4" t="str">
        <f t="shared" si="12"/>
        <v/>
      </c>
      <c r="AP4" t="str">
        <f t="shared" si="13"/>
        <v/>
      </c>
      <c r="AQ4" t="str">
        <f t="shared" si="14"/>
        <v/>
      </c>
      <c r="AR4" t="str">
        <f t="shared" si="15"/>
        <v/>
      </c>
      <c r="AS4" t="str">
        <f t="shared" si="16"/>
        <v/>
      </c>
      <c r="AT4" t="str">
        <f t="shared" si="17"/>
        <v/>
      </c>
      <c r="AU4" t="str">
        <f t="shared" si="18"/>
        <v/>
      </c>
      <c r="AV4" t="str">
        <f t="shared" si="19"/>
        <v/>
      </c>
      <c r="AW4" t="str">
        <f t="shared" si="20"/>
        <v/>
      </c>
      <c r="AX4" t="str">
        <f t="shared" si="21"/>
        <v/>
      </c>
      <c r="AY4" t="str">
        <f t="shared" si="22"/>
        <v/>
      </c>
      <c r="AZ4" t="str">
        <f t="shared" si="23"/>
        <v/>
      </c>
      <c r="BA4" t="str">
        <f t="shared" si="24"/>
        <v/>
      </c>
      <c r="BB4" t="str">
        <f t="shared" si="25"/>
        <v/>
      </c>
      <c r="BC4" t="str">
        <f t="shared" si="26"/>
        <v/>
      </c>
      <c r="BD4" t="str">
        <f t="shared" si="27"/>
        <v/>
      </c>
      <c r="BE4" t="str">
        <f t="shared" si="28"/>
        <v/>
      </c>
      <c r="BF4" t="str">
        <f t="shared" si="29"/>
        <v/>
      </c>
      <c r="BG4" t="str">
        <f t="shared" si="30"/>
        <v/>
      </c>
      <c r="BH4" t="str">
        <f t="shared" si="31"/>
        <v/>
      </c>
    </row>
    <row r="5" spans="1:66" x14ac:dyDescent="0.2">
      <c r="A5">
        <v>2</v>
      </c>
      <c r="B5">
        <v>11</v>
      </c>
      <c r="C5" t="s">
        <v>39</v>
      </c>
      <c r="D5">
        <v>1</v>
      </c>
      <c r="E5">
        <v>1</v>
      </c>
      <c r="K5">
        <v>2</v>
      </c>
      <c r="M5">
        <v>1</v>
      </c>
      <c r="N5">
        <v>4</v>
      </c>
      <c r="O5">
        <v>4</v>
      </c>
      <c r="S5">
        <v>1</v>
      </c>
      <c r="T5">
        <v>1</v>
      </c>
      <c r="U5">
        <v>5</v>
      </c>
      <c r="X5">
        <f t="shared" si="33"/>
        <v>0</v>
      </c>
      <c r="Z5" t="str">
        <f t="shared" si="0"/>
        <v/>
      </c>
      <c r="AA5" t="str">
        <f t="shared" si="1"/>
        <v/>
      </c>
      <c r="AB5" t="str">
        <f t="shared" si="2"/>
        <v/>
      </c>
      <c r="AC5" t="str">
        <f t="shared" si="3"/>
        <v/>
      </c>
      <c r="AE5" t="str">
        <f t="shared" si="4"/>
        <v/>
      </c>
      <c r="AF5" t="str">
        <f t="shared" si="5"/>
        <v/>
      </c>
      <c r="AG5" t="str">
        <f t="shared" si="6"/>
        <v/>
      </c>
      <c r="AH5" t="str">
        <f t="shared" si="7"/>
        <v/>
      </c>
      <c r="AI5" t="str">
        <f t="shared" si="8"/>
        <v/>
      </c>
      <c r="AK5" t="str">
        <f t="shared" si="9"/>
        <v/>
      </c>
      <c r="AL5" t="str">
        <f t="shared" si="32"/>
        <v/>
      </c>
      <c r="AM5" t="str">
        <f t="shared" si="10"/>
        <v/>
      </c>
      <c r="AN5" t="str">
        <f t="shared" si="11"/>
        <v/>
      </c>
      <c r="AO5" t="str">
        <f t="shared" si="12"/>
        <v/>
      </c>
      <c r="AP5" t="str">
        <f t="shared" si="13"/>
        <v/>
      </c>
      <c r="AQ5" t="str">
        <f t="shared" si="14"/>
        <v/>
      </c>
      <c r="AR5" t="str">
        <f t="shared" si="15"/>
        <v/>
      </c>
      <c r="AS5" t="str">
        <f t="shared" si="16"/>
        <v/>
      </c>
      <c r="AT5" t="str">
        <f t="shared" si="17"/>
        <v/>
      </c>
      <c r="AU5" t="str">
        <f t="shared" si="18"/>
        <v/>
      </c>
      <c r="AV5" t="str">
        <f t="shared" si="19"/>
        <v/>
      </c>
      <c r="AW5" t="str">
        <f t="shared" si="20"/>
        <v/>
      </c>
      <c r="AX5" t="str">
        <f t="shared" si="21"/>
        <v/>
      </c>
      <c r="AY5" t="str">
        <f t="shared" si="22"/>
        <v/>
      </c>
      <c r="AZ5" t="str">
        <f t="shared" si="23"/>
        <v/>
      </c>
      <c r="BA5" t="str">
        <f t="shared" si="24"/>
        <v/>
      </c>
      <c r="BB5" t="str">
        <f t="shared" si="25"/>
        <v/>
      </c>
      <c r="BC5" t="str">
        <f t="shared" si="26"/>
        <v/>
      </c>
      <c r="BD5" t="str">
        <f t="shared" si="27"/>
        <v/>
      </c>
      <c r="BE5" t="str">
        <f t="shared" si="28"/>
        <v/>
      </c>
      <c r="BF5" t="str">
        <f t="shared" si="29"/>
        <v/>
      </c>
      <c r="BG5" t="str">
        <f t="shared" si="30"/>
        <v/>
      </c>
      <c r="BH5" t="str">
        <f t="shared" si="31"/>
        <v/>
      </c>
    </row>
    <row r="6" spans="1:66" x14ac:dyDescent="0.2">
      <c r="A6">
        <v>3</v>
      </c>
      <c r="B6">
        <v>26</v>
      </c>
      <c r="C6" t="s">
        <v>39</v>
      </c>
      <c r="D6">
        <v>1</v>
      </c>
      <c r="E6">
        <v>1</v>
      </c>
      <c r="F6">
        <v>1</v>
      </c>
      <c r="K6">
        <v>4</v>
      </c>
      <c r="L6">
        <v>1</v>
      </c>
      <c r="N6">
        <v>3</v>
      </c>
      <c r="O6">
        <v>3</v>
      </c>
      <c r="S6">
        <v>1</v>
      </c>
      <c r="T6">
        <v>1</v>
      </c>
      <c r="X6">
        <f t="shared" si="33"/>
        <v>0</v>
      </c>
      <c r="Z6" t="str">
        <f t="shared" si="0"/>
        <v/>
      </c>
      <c r="AA6" t="str">
        <f t="shared" si="1"/>
        <v/>
      </c>
      <c r="AB6" t="str">
        <f t="shared" si="2"/>
        <v/>
      </c>
      <c r="AC6" t="str">
        <f t="shared" si="3"/>
        <v/>
      </c>
      <c r="AE6" t="str">
        <f t="shared" si="4"/>
        <v>1</v>
      </c>
      <c r="AF6" t="str">
        <f t="shared" si="5"/>
        <v/>
      </c>
      <c r="AG6" t="str">
        <f t="shared" si="6"/>
        <v/>
      </c>
      <c r="AH6" t="str">
        <f t="shared" si="7"/>
        <v/>
      </c>
      <c r="AI6" t="str">
        <f t="shared" si="8"/>
        <v/>
      </c>
      <c r="AK6" t="str">
        <f t="shared" si="9"/>
        <v/>
      </c>
      <c r="AL6" t="str">
        <f t="shared" si="32"/>
        <v/>
      </c>
      <c r="AM6" t="str">
        <f t="shared" si="10"/>
        <v/>
      </c>
      <c r="AN6" t="str">
        <f t="shared" si="11"/>
        <v/>
      </c>
      <c r="AO6" t="str">
        <f t="shared" si="12"/>
        <v/>
      </c>
      <c r="AP6" t="str">
        <f t="shared" si="13"/>
        <v/>
      </c>
      <c r="AQ6" t="str">
        <f t="shared" si="14"/>
        <v/>
      </c>
      <c r="AR6" t="str">
        <f t="shared" si="15"/>
        <v/>
      </c>
      <c r="AS6" t="str">
        <f t="shared" si="16"/>
        <v/>
      </c>
      <c r="AT6" t="str">
        <f t="shared" si="17"/>
        <v/>
      </c>
      <c r="AU6" t="str">
        <f t="shared" si="18"/>
        <v/>
      </c>
      <c r="AV6" t="str">
        <f t="shared" si="19"/>
        <v/>
      </c>
      <c r="AW6" t="str">
        <f t="shared" si="20"/>
        <v/>
      </c>
      <c r="AX6" t="str">
        <f t="shared" si="21"/>
        <v/>
      </c>
      <c r="AY6" t="str">
        <f t="shared" si="22"/>
        <v/>
      </c>
      <c r="AZ6" t="str">
        <f t="shared" si="23"/>
        <v/>
      </c>
      <c r="BA6" t="str">
        <f t="shared" si="24"/>
        <v/>
      </c>
      <c r="BB6" t="str">
        <f t="shared" si="25"/>
        <v/>
      </c>
      <c r="BC6" t="str">
        <f t="shared" si="26"/>
        <v/>
      </c>
      <c r="BD6" t="str">
        <f t="shared" si="27"/>
        <v/>
      </c>
      <c r="BE6" t="str">
        <f t="shared" si="28"/>
        <v/>
      </c>
      <c r="BF6" t="str">
        <f t="shared" si="29"/>
        <v/>
      </c>
      <c r="BG6" t="str">
        <f t="shared" si="30"/>
        <v/>
      </c>
      <c r="BH6" t="str">
        <f t="shared" si="31"/>
        <v/>
      </c>
    </row>
    <row r="7" spans="1:66" x14ac:dyDescent="0.2">
      <c r="A7">
        <v>4</v>
      </c>
      <c r="B7">
        <v>38</v>
      </c>
      <c r="C7" t="s">
        <v>207</v>
      </c>
      <c r="K7">
        <v>3</v>
      </c>
      <c r="L7">
        <v>1</v>
      </c>
      <c r="N7">
        <v>4</v>
      </c>
      <c r="O7">
        <v>4</v>
      </c>
      <c r="S7">
        <v>1</v>
      </c>
      <c r="T7">
        <v>1</v>
      </c>
      <c r="X7">
        <f t="shared" si="33"/>
        <v>0</v>
      </c>
      <c r="Z7" t="str">
        <f t="shared" si="0"/>
        <v/>
      </c>
      <c r="AA7" t="str">
        <f t="shared" si="1"/>
        <v/>
      </c>
      <c r="AB7" t="str">
        <f t="shared" si="2"/>
        <v/>
      </c>
      <c r="AC7" t="str">
        <f t="shared" si="3"/>
        <v/>
      </c>
      <c r="AE7" t="str">
        <f t="shared" si="4"/>
        <v/>
      </c>
      <c r="AF7" t="str">
        <f t="shared" si="5"/>
        <v/>
      </c>
      <c r="AG7" t="str">
        <f t="shared" si="6"/>
        <v/>
      </c>
      <c r="AH7" t="str">
        <f t="shared" si="7"/>
        <v/>
      </c>
      <c r="AI7" t="str">
        <f t="shared" si="8"/>
        <v/>
      </c>
      <c r="AK7" t="str">
        <f t="shared" si="9"/>
        <v/>
      </c>
      <c r="AL7" t="str">
        <f t="shared" si="32"/>
        <v/>
      </c>
      <c r="AM7" t="str">
        <f t="shared" si="10"/>
        <v/>
      </c>
      <c r="AN7" t="str">
        <f t="shared" si="11"/>
        <v/>
      </c>
      <c r="AO7" t="str">
        <f t="shared" si="12"/>
        <v/>
      </c>
      <c r="AP7" t="str">
        <f t="shared" si="13"/>
        <v/>
      </c>
      <c r="AQ7" t="str">
        <f t="shared" si="14"/>
        <v/>
      </c>
      <c r="AR7" t="str">
        <f t="shared" si="15"/>
        <v/>
      </c>
      <c r="AS7" t="str">
        <f t="shared" si="16"/>
        <v/>
      </c>
      <c r="AT7" t="str">
        <f t="shared" si="17"/>
        <v/>
      </c>
      <c r="AU7" t="str">
        <f t="shared" si="18"/>
        <v/>
      </c>
      <c r="AV7" t="str">
        <f t="shared" si="19"/>
        <v/>
      </c>
      <c r="AW7" t="str">
        <f t="shared" si="20"/>
        <v/>
      </c>
      <c r="AX7" t="str">
        <f t="shared" si="21"/>
        <v/>
      </c>
      <c r="AY7" t="str">
        <f t="shared" si="22"/>
        <v/>
      </c>
      <c r="AZ7" t="str">
        <f t="shared" si="23"/>
        <v/>
      </c>
      <c r="BA7" t="str">
        <f t="shared" si="24"/>
        <v/>
      </c>
      <c r="BB7" t="str">
        <f t="shared" si="25"/>
        <v/>
      </c>
      <c r="BC7" t="str">
        <f t="shared" si="26"/>
        <v/>
      </c>
      <c r="BD7" t="str">
        <f t="shared" si="27"/>
        <v/>
      </c>
      <c r="BE7" t="str">
        <f t="shared" si="28"/>
        <v/>
      </c>
      <c r="BF7" t="str">
        <f t="shared" si="29"/>
        <v/>
      </c>
      <c r="BG7" t="str">
        <f t="shared" si="30"/>
        <v/>
      </c>
      <c r="BH7" t="str">
        <f t="shared" si="31"/>
        <v/>
      </c>
    </row>
    <row r="8" spans="1:66" x14ac:dyDescent="0.2">
      <c r="A8">
        <v>5</v>
      </c>
      <c r="B8">
        <v>48</v>
      </c>
      <c r="C8" t="s">
        <v>39</v>
      </c>
      <c r="D8">
        <v>1</v>
      </c>
      <c r="J8">
        <v>1</v>
      </c>
      <c r="K8">
        <v>2</v>
      </c>
      <c r="M8">
        <v>2</v>
      </c>
      <c r="N8">
        <v>5</v>
      </c>
      <c r="O8">
        <v>5</v>
      </c>
      <c r="S8">
        <v>1</v>
      </c>
      <c r="T8">
        <v>1</v>
      </c>
      <c r="U8">
        <v>1</v>
      </c>
      <c r="X8">
        <f t="shared" si="33"/>
        <v>0</v>
      </c>
      <c r="Z8" t="str">
        <f t="shared" si="0"/>
        <v/>
      </c>
      <c r="AA8" t="str">
        <f t="shared" si="1"/>
        <v/>
      </c>
      <c r="AB8" t="str">
        <f t="shared" si="2"/>
        <v/>
      </c>
      <c r="AC8" t="str">
        <f t="shared" si="3"/>
        <v/>
      </c>
      <c r="AE8" t="str">
        <f t="shared" si="4"/>
        <v/>
      </c>
      <c r="AF8" t="str">
        <f t="shared" si="5"/>
        <v/>
      </c>
      <c r="AG8" t="str">
        <f t="shared" si="6"/>
        <v/>
      </c>
      <c r="AH8" t="str">
        <f t="shared" si="7"/>
        <v/>
      </c>
      <c r="AI8" t="str">
        <f t="shared" si="8"/>
        <v/>
      </c>
      <c r="AK8" t="str">
        <f t="shared" si="9"/>
        <v/>
      </c>
      <c r="AL8" t="str">
        <f t="shared" si="32"/>
        <v/>
      </c>
      <c r="AM8" t="str">
        <f t="shared" si="10"/>
        <v/>
      </c>
      <c r="AN8" t="str">
        <f t="shared" si="11"/>
        <v/>
      </c>
      <c r="AO8" t="str">
        <f t="shared" si="12"/>
        <v/>
      </c>
      <c r="AP8" t="str">
        <f t="shared" si="13"/>
        <v/>
      </c>
      <c r="AQ8" t="str">
        <f t="shared" si="14"/>
        <v/>
      </c>
      <c r="AR8" t="str">
        <f t="shared" si="15"/>
        <v/>
      </c>
      <c r="AS8" t="str">
        <f t="shared" si="16"/>
        <v/>
      </c>
      <c r="AT8" t="str">
        <f t="shared" si="17"/>
        <v/>
      </c>
      <c r="AU8" t="str">
        <f t="shared" si="18"/>
        <v/>
      </c>
      <c r="AV8" t="str">
        <f t="shared" si="19"/>
        <v/>
      </c>
      <c r="AW8" t="str">
        <f t="shared" si="20"/>
        <v/>
      </c>
      <c r="AX8" t="str">
        <f t="shared" si="21"/>
        <v/>
      </c>
      <c r="AY8" t="str">
        <f t="shared" si="22"/>
        <v/>
      </c>
      <c r="AZ8" t="str">
        <f t="shared" si="23"/>
        <v/>
      </c>
      <c r="BA8" t="str">
        <f t="shared" si="24"/>
        <v/>
      </c>
      <c r="BB8" t="str">
        <f t="shared" si="25"/>
        <v/>
      </c>
      <c r="BC8" t="str">
        <f t="shared" si="26"/>
        <v/>
      </c>
      <c r="BD8" t="str">
        <f t="shared" si="27"/>
        <v/>
      </c>
      <c r="BE8" t="str">
        <f t="shared" si="28"/>
        <v/>
      </c>
      <c r="BF8" t="str">
        <f t="shared" si="29"/>
        <v/>
      </c>
      <c r="BG8" t="str">
        <f t="shared" si="30"/>
        <v/>
      </c>
      <c r="BH8" t="str">
        <f t="shared" si="31"/>
        <v/>
      </c>
    </row>
    <row r="9" spans="1:66" x14ac:dyDescent="0.2">
      <c r="A9">
        <v>6</v>
      </c>
      <c r="B9">
        <v>60</v>
      </c>
      <c r="C9" t="s">
        <v>207</v>
      </c>
      <c r="D9">
        <v>1</v>
      </c>
      <c r="K9">
        <v>3</v>
      </c>
      <c r="M9">
        <v>1</v>
      </c>
      <c r="N9">
        <v>4</v>
      </c>
      <c r="O9">
        <v>4</v>
      </c>
      <c r="S9">
        <v>1</v>
      </c>
      <c r="U9">
        <v>8</v>
      </c>
      <c r="X9">
        <f t="shared" si="33"/>
        <v>0</v>
      </c>
      <c r="Z9" t="str">
        <f t="shared" si="0"/>
        <v/>
      </c>
      <c r="AA9" t="str">
        <f t="shared" si="1"/>
        <v/>
      </c>
      <c r="AB9" t="str">
        <f t="shared" si="2"/>
        <v/>
      </c>
      <c r="AC9" t="str">
        <f t="shared" si="3"/>
        <v/>
      </c>
      <c r="AE9" t="str">
        <f t="shared" si="4"/>
        <v/>
      </c>
      <c r="AF9" t="str">
        <f t="shared" si="5"/>
        <v/>
      </c>
      <c r="AG9" t="str">
        <f t="shared" si="6"/>
        <v/>
      </c>
      <c r="AH9" t="str">
        <f t="shared" si="7"/>
        <v/>
      </c>
      <c r="AI9" t="str">
        <f t="shared" si="8"/>
        <v/>
      </c>
      <c r="AK9" t="str">
        <f t="shared" si="9"/>
        <v/>
      </c>
      <c r="AL9" t="str">
        <f t="shared" si="32"/>
        <v/>
      </c>
      <c r="AM9" t="str">
        <f t="shared" si="10"/>
        <v/>
      </c>
      <c r="AN9" t="str">
        <f t="shared" si="11"/>
        <v/>
      </c>
      <c r="AO9" t="str">
        <f t="shared" si="12"/>
        <v/>
      </c>
      <c r="AP9" t="str">
        <f t="shared" si="13"/>
        <v/>
      </c>
      <c r="AQ9" t="str">
        <f t="shared" si="14"/>
        <v/>
      </c>
      <c r="AR9" t="str">
        <f t="shared" si="15"/>
        <v/>
      </c>
      <c r="AS9" t="str">
        <f t="shared" si="16"/>
        <v/>
      </c>
      <c r="AT9" t="str">
        <f t="shared" si="17"/>
        <v/>
      </c>
      <c r="AU9" t="str">
        <f t="shared" si="18"/>
        <v/>
      </c>
      <c r="AV9" t="str">
        <f t="shared" si="19"/>
        <v/>
      </c>
      <c r="AW9" t="str">
        <f t="shared" si="20"/>
        <v/>
      </c>
      <c r="AX9" t="str">
        <f t="shared" si="21"/>
        <v/>
      </c>
      <c r="AY9" t="str">
        <f t="shared" si="22"/>
        <v/>
      </c>
      <c r="AZ9" t="str">
        <f t="shared" si="23"/>
        <v/>
      </c>
      <c r="BA9" t="str">
        <f t="shared" si="24"/>
        <v/>
      </c>
      <c r="BB9" t="str">
        <f t="shared" si="25"/>
        <v/>
      </c>
      <c r="BC9" t="str">
        <f t="shared" si="26"/>
        <v/>
      </c>
      <c r="BD9" t="str">
        <f t="shared" si="27"/>
        <v/>
      </c>
      <c r="BE9" t="str">
        <f t="shared" si="28"/>
        <v/>
      </c>
      <c r="BF9" t="str">
        <f t="shared" si="29"/>
        <v/>
      </c>
      <c r="BG9" t="str">
        <f t="shared" si="30"/>
        <v/>
      </c>
      <c r="BH9" t="str">
        <f t="shared" si="31"/>
        <v/>
      </c>
    </row>
    <row r="10" spans="1:66" x14ac:dyDescent="0.2">
      <c r="A10">
        <v>7</v>
      </c>
      <c r="B10">
        <v>70</v>
      </c>
      <c r="C10" t="s">
        <v>39</v>
      </c>
      <c r="D10">
        <v>1</v>
      </c>
      <c r="E10">
        <v>1</v>
      </c>
      <c r="K10">
        <v>4</v>
      </c>
      <c r="N10">
        <v>4</v>
      </c>
      <c r="O10">
        <v>4</v>
      </c>
      <c r="S10">
        <v>1</v>
      </c>
      <c r="T10">
        <v>1</v>
      </c>
      <c r="X10">
        <f t="shared" si="33"/>
        <v>0</v>
      </c>
      <c r="Z10" t="str">
        <f t="shared" si="0"/>
        <v/>
      </c>
      <c r="AA10" t="str">
        <f t="shared" si="1"/>
        <v/>
      </c>
      <c r="AB10" t="str">
        <f t="shared" si="2"/>
        <v/>
      </c>
      <c r="AC10" t="str">
        <f t="shared" si="3"/>
        <v/>
      </c>
      <c r="AE10" t="str">
        <f t="shared" si="4"/>
        <v/>
      </c>
      <c r="AF10" t="str">
        <f t="shared" si="5"/>
        <v/>
      </c>
      <c r="AG10" t="str">
        <f t="shared" si="6"/>
        <v/>
      </c>
      <c r="AH10" t="str">
        <f t="shared" si="7"/>
        <v/>
      </c>
      <c r="AI10" t="str">
        <f t="shared" si="8"/>
        <v/>
      </c>
      <c r="AK10" t="str">
        <f t="shared" si="9"/>
        <v/>
      </c>
      <c r="AL10" t="str">
        <f t="shared" si="32"/>
        <v/>
      </c>
      <c r="AM10" t="str">
        <f t="shared" si="10"/>
        <v/>
      </c>
      <c r="AN10" t="str">
        <f t="shared" si="11"/>
        <v/>
      </c>
      <c r="AO10" t="str">
        <f t="shared" si="12"/>
        <v/>
      </c>
      <c r="AP10" t="str">
        <f t="shared" si="13"/>
        <v/>
      </c>
      <c r="AQ10" t="str">
        <f t="shared" si="14"/>
        <v/>
      </c>
      <c r="AR10" t="str">
        <f t="shared" si="15"/>
        <v/>
      </c>
      <c r="AS10" t="str">
        <f t="shared" si="16"/>
        <v/>
      </c>
      <c r="AT10" t="str">
        <f t="shared" si="17"/>
        <v/>
      </c>
      <c r="AU10" t="str">
        <f t="shared" si="18"/>
        <v/>
      </c>
      <c r="AV10" t="str">
        <f t="shared" si="19"/>
        <v/>
      </c>
      <c r="AW10" t="str">
        <f t="shared" si="20"/>
        <v/>
      </c>
      <c r="AX10" t="str">
        <f t="shared" si="21"/>
        <v/>
      </c>
      <c r="AY10" t="str">
        <f t="shared" si="22"/>
        <v/>
      </c>
      <c r="AZ10" t="str">
        <f t="shared" si="23"/>
        <v/>
      </c>
      <c r="BA10" t="str">
        <f t="shared" si="24"/>
        <v/>
      </c>
      <c r="BB10" t="str">
        <f t="shared" si="25"/>
        <v/>
      </c>
      <c r="BC10" t="str">
        <f t="shared" si="26"/>
        <v/>
      </c>
      <c r="BD10" t="str">
        <f t="shared" si="27"/>
        <v/>
      </c>
      <c r="BE10" t="str">
        <f t="shared" si="28"/>
        <v/>
      </c>
      <c r="BF10" t="str">
        <f t="shared" si="29"/>
        <v/>
      </c>
      <c r="BG10" t="str">
        <f t="shared" si="30"/>
        <v/>
      </c>
      <c r="BH10" t="str">
        <f t="shared" si="31"/>
        <v/>
      </c>
    </row>
    <row r="11" spans="1:66" x14ac:dyDescent="0.2">
      <c r="A11">
        <v>8</v>
      </c>
      <c r="B11">
        <v>77</v>
      </c>
      <c r="C11" t="s">
        <v>207</v>
      </c>
      <c r="D11">
        <v>1</v>
      </c>
      <c r="E11">
        <v>1</v>
      </c>
      <c r="K11">
        <v>1</v>
      </c>
      <c r="M11">
        <v>4</v>
      </c>
      <c r="N11">
        <v>5</v>
      </c>
      <c r="O11">
        <v>4</v>
      </c>
      <c r="S11">
        <v>1</v>
      </c>
      <c r="T11">
        <v>1</v>
      </c>
      <c r="X11">
        <f t="shared" si="33"/>
        <v>0</v>
      </c>
      <c r="Z11" t="str">
        <f t="shared" si="0"/>
        <v/>
      </c>
      <c r="AA11" t="str">
        <f t="shared" si="1"/>
        <v/>
      </c>
      <c r="AB11" t="str">
        <f t="shared" si="2"/>
        <v/>
      </c>
      <c r="AC11" t="str">
        <f t="shared" si="3"/>
        <v/>
      </c>
      <c r="AE11" t="str">
        <f t="shared" si="4"/>
        <v/>
      </c>
      <c r="AF11" t="str">
        <f t="shared" si="5"/>
        <v/>
      </c>
      <c r="AG11" t="str">
        <f t="shared" si="6"/>
        <v/>
      </c>
      <c r="AH11" t="str">
        <f t="shared" si="7"/>
        <v/>
      </c>
      <c r="AI11" t="str">
        <f t="shared" si="8"/>
        <v/>
      </c>
      <c r="AK11" t="str">
        <f t="shared" si="9"/>
        <v/>
      </c>
      <c r="AL11" t="str">
        <f t="shared" si="32"/>
        <v/>
      </c>
      <c r="AM11" t="str">
        <f t="shared" si="10"/>
        <v/>
      </c>
      <c r="AN11" t="str">
        <f t="shared" si="11"/>
        <v/>
      </c>
      <c r="AO11" t="str">
        <f t="shared" si="12"/>
        <v/>
      </c>
      <c r="AP11" t="str">
        <f t="shared" si="13"/>
        <v/>
      </c>
      <c r="AQ11" t="str">
        <f t="shared" si="14"/>
        <v/>
      </c>
      <c r="AR11" t="str">
        <f t="shared" si="15"/>
        <v/>
      </c>
      <c r="AS11" t="str">
        <f t="shared" si="16"/>
        <v/>
      </c>
      <c r="AT11" t="str">
        <f t="shared" si="17"/>
        <v/>
      </c>
      <c r="AU11" t="str">
        <f t="shared" si="18"/>
        <v/>
      </c>
      <c r="AV11" t="str">
        <f t="shared" si="19"/>
        <v/>
      </c>
      <c r="AW11" t="str">
        <f t="shared" si="20"/>
        <v/>
      </c>
      <c r="AX11" t="str">
        <f t="shared" si="21"/>
        <v/>
      </c>
      <c r="AY11" t="str">
        <f t="shared" si="22"/>
        <v/>
      </c>
      <c r="AZ11" t="str">
        <f t="shared" si="23"/>
        <v/>
      </c>
      <c r="BA11" t="str">
        <f t="shared" si="24"/>
        <v/>
      </c>
      <c r="BB11" t="str">
        <f t="shared" si="25"/>
        <v/>
      </c>
      <c r="BC11" t="str">
        <f t="shared" si="26"/>
        <v/>
      </c>
      <c r="BD11" t="str">
        <f t="shared" si="27"/>
        <v/>
      </c>
      <c r="BE11" t="str">
        <f t="shared" si="28"/>
        <v/>
      </c>
      <c r="BF11" t="str">
        <f t="shared" si="29"/>
        <v/>
      </c>
      <c r="BG11" t="str">
        <f t="shared" si="30"/>
        <v/>
      </c>
      <c r="BH11" t="str">
        <f t="shared" si="31"/>
        <v/>
      </c>
    </row>
    <row r="12" spans="1:66" x14ac:dyDescent="0.2">
      <c r="A12">
        <v>9</v>
      </c>
      <c r="B12">
        <v>84</v>
      </c>
      <c r="C12" t="s">
        <v>207</v>
      </c>
      <c r="D12">
        <v>1</v>
      </c>
      <c r="F12">
        <v>1</v>
      </c>
      <c r="K12">
        <v>1</v>
      </c>
      <c r="M12">
        <v>6</v>
      </c>
      <c r="N12">
        <v>6</v>
      </c>
      <c r="O12">
        <v>6</v>
      </c>
      <c r="U12">
        <v>5</v>
      </c>
      <c r="X12">
        <f t="shared" si="33"/>
        <v>0</v>
      </c>
      <c r="Z12" t="str">
        <f t="shared" si="0"/>
        <v/>
      </c>
      <c r="AA12" t="str">
        <f t="shared" si="1"/>
        <v/>
      </c>
      <c r="AB12" t="str">
        <f t="shared" si="2"/>
        <v/>
      </c>
      <c r="AC12" t="str">
        <f t="shared" si="3"/>
        <v/>
      </c>
      <c r="AE12" t="str">
        <f t="shared" si="4"/>
        <v/>
      </c>
      <c r="AF12" t="str">
        <f t="shared" si="5"/>
        <v/>
      </c>
      <c r="AG12" t="str">
        <f t="shared" si="6"/>
        <v/>
      </c>
      <c r="AH12" t="str">
        <f t="shared" si="7"/>
        <v/>
      </c>
      <c r="AI12" t="str">
        <f t="shared" si="8"/>
        <v/>
      </c>
      <c r="AK12" t="str">
        <f t="shared" si="9"/>
        <v/>
      </c>
      <c r="AL12" t="str">
        <f t="shared" si="32"/>
        <v/>
      </c>
      <c r="AM12" t="str">
        <f t="shared" si="10"/>
        <v/>
      </c>
      <c r="AN12" t="str">
        <f t="shared" si="11"/>
        <v/>
      </c>
      <c r="AO12" t="str">
        <f t="shared" si="12"/>
        <v/>
      </c>
      <c r="AP12" t="str">
        <f t="shared" si="13"/>
        <v/>
      </c>
      <c r="AQ12" t="str">
        <f t="shared" si="14"/>
        <v/>
      </c>
      <c r="AR12" t="str">
        <f t="shared" si="15"/>
        <v/>
      </c>
      <c r="AS12" t="str">
        <f t="shared" si="16"/>
        <v/>
      </c>
      <c r="AT12" t="str">
        <f t="shared" si="17"/>
        <v/>
      </c>
      <c r="AU12" t="str">
        <f t="shared" si="18"/>
        <v/>
      </c>
      <c r="AV12" t="str">
        <f t="shared" si="19"/>
        <v/>
      </c>
      <c r="AW12" t="str">
        <f t="shared" si="20"/>
        <v/>
      </c>
      <c r="AX12" t="str">
        <f t="shared" si="21"/>
        <v/>
      </c>
      <c r="AY12" t="str">
        <f t="shared" si="22"/>
        <v/>
      </c>
      <c r="AZ12" t="str">
        <f t="shared" si="23"/>
        <v/>
      </c>
      <c r="BA12" t="str">
        <f t="shared" si="24"/>
        <v/>
      </c>
      <c r="BB12" t="str">
        <f t="shared" si="25"/>
        <v/>
      </c>
      <c r="BC12" t="str">
        <f t="shared" si="26"/>
        <v/>
      </c>
      <c r="BD12" t="str">
        <f t="shared" si="27"/>
        <v/>
      </c>
      <c r="BE12" t="str">
        <f t="shared" si="28"/>
        <v/>
      </c>
      <c r="BF12" t="str">
        <f t="shared" si="29"/>
        <v/>
      </c>
      <c r="BG12" t="str">
        <f t="shared" si="30"/>
        <v/>
      </c>
      <c r="BH12" t="str">
        <f t="shared" si="31"/>
        <v/>
      </c>
    </row>
    <row r="13" spans="1:66" x14ac:dyDescent="0.2">
      <c r="A13">
        <v>10</v>
      </c>
      <c r="B13">
        <v>97</v>
      </c>
      <c r="C13" t="s">
        <v>207</v>
      </c>
      <c r="D13">
        <v>1</v>
      </c>
      <c r="E13">
        <v>1</v>
      </c>
      <c r="F13">
        <v>1</v>
      </c>
      <c r="K13">
        <v>5</v>
      </c>
      <c r="N13">
        <v>4</v>
      </c>
      <c r="O13">
        <v>4</v>
      </c>
      <c r="S13">
        <v>1</v>
      </c>
      <c r="T13">
        <v>1</v>
      </c>
      <c r="X13">
        <f t="shared" si="33"/>
        <v>0</v>
      </c>
      <c r="Z13" t="str">
        <f t="shared" si="0"/>
        <v/>
      </c>
      <c r="AA13" t="str">
        <f t="shared" si="1"/>
        <v/>
      </c>
      <c r="AB13" t="str">
        <f t="shared" si="2"/>
        <v/>
      </c>
      <c r="AC13" t="str">
        <f t="shared" si="3"/>
        <v/>
      </c>
      <c r="AE13" t="str">
        <f t="shared" si="4"/>
        <v/>
      </c>
      <c r="AF13" t="str">
        <f t="shared" si="5"/>
        <v/>
      </c>
      <c r="AG13" t="str">
        <f t="shared" si="6"/>
        <v/>
      </c>
      <c r="AH13" t="str">
        <f t="shared" si="7"/>
        <v/>
      </c>
      <c r="AI13" t="str">
        <f t="shared" si="8"/>
        <v/>
      </c>
      <c r="AK13" t="str">
        <f t="shared" si="9"/>
        <v/>
      </c>
      <c r="AL13" t="str">
        <f t="shared" si="32"/>
        <v/>
      </c>
      <c r="AM13" t="str">
        <f t="shared" si="10"/>
        <v/>
      </c>
      <c r="AN13" t="str">
        <f t="shared" si="11"/>
        <v/>
      </c>
      <c r="AO13" t="str">
        <f t="shared" si="12"/>
        <v/>
      </c>
      <c r="AP13" t="str">
        <f t="shared" si="13"/>
        <v/>
      </c>
      <c r="AQ13" t="str">
        <f t="shared" si="14"/>
        <v/>
      </c>
      <c r="AR13" t="str">
        <f t="shared" si="15"/>
        <v/>
      </c>
      <c r="AS13" t="str">
        <f t="shared" si="16"/>
        <v/>
      </c>
      <c r="AT13" t="str">
        <f t="shared" si="17"/>
        <v/>
      </c>
      <c r="AU13" t="str">
        <f t="shared" si="18"/>
        <v/>
      </c>
      <c r="AV13" t="str">
        <f t="shared" si="19"/>
        <v/>
      </c>
      <c r="AW13" t="str">
        <f t="shared" si="20"/>
        <v/>
      </c>
      <c r="AX13" t="str">
        <f t="shared" si="21"/>
        <v/>
      </c>
      <c r="AY13" t="str">
        <f t="shared" si="22"/>
        <v/>
      </c>
      <c r="AZ13" t="str">
        <f t="shared" si="23"/>
        <v/>
      </c>
      <c r="BA13" t="str">
        <f t="shared" si="24"/>
        <v/>
      </c>
      <c r="BB13" t="str">
        <f t="shared" si="25"/>
        <v/>
      </c>
      <c r="BC13" t="str">
        <f t="shared" si="26"/>
        <v/>
      </c>
      <c r="BD13" t="str">
        <f t="shared" si="27"/>
        <v/>
      </c>
      <c r="BE13" t="str">
        <f t="shared" si="28"/>
        <v/>
      </c>
      <c r="BF13" t="str">
        <f t="shared" si="29"/>
        <v/>
      </c>
      <c r="BG13" t="str">
        <f t="shared" si="30"/>
        <v/>
      </c>
      <c r="BH13" t="str">
        <f t="shared" si="31"/>
        <v/>
      </c>
    </row>
    <row r="14" spans="1:66" x14ac:dyDescent="0.2">
      <c r="A14">
        <v>11</v>
      </c>
      <c r="B14">
        <v>107</v>
      </c>
      <c r="C14" t="s">
        <v>39</v>
      </c>
      <c r="D14">
        <v>1</v>
      </c>
      <c r="E14">
        <v>1</v>
      </c>
      <c r="F14">
        <v>1</v>
      </c>
      <c r="K14">
        <v>4</v>
      </c>
      <c r="N14">
        <v>4</v>
      </c>
      <c r="O14">
        <v>4</v>
      </c>
      <c r="S14">
        <v>1</v>
      </c>
      <c r="T14">
        <v>1</v>
      </c>
      <c r="X14">
        <f t="shared" si="33"/>
        <v>0</v>
      </c>
      <c r="Z14" t="s">
        <v>31</v>
      </c>
      <c r="AE14" t="s">
        <v>34</v>
      </c>
      <c r="AK14" t="s">
        <v>43</v>
      </c>
      <c r="AP14" t="s">
        <v>84</v>
      </c>
    </row>
    <row r="15" spans="1:66" x14ac:dyDescent="0.2">
      <c r="A15">
        <v>12</v>
      </c>
      <c r="B15">
        <v>113</v>
      </c>
      <c r="C15" t="s">
        <v>207</v>
      </c>
      <c r="D15">
        <v>1</v>
      </c>
      <c r="K15">
        <v>3</v>
      </c>
      <c r="M15">
        <v>1</v>
      </c>
      <c r="N15">
        <v>3</v>
      </c>
      <c r="O15">
        <v>3</v>
      </c>
      <c r="S15">
        <v>1</v>
      </c>
      <c r="T15">
        <v>1</v>
      </c>
      <c r="X15">
        <f t="shared" si="33"/>
        <v>0</v>
      </c>
      <c r="Z15" t="s">
        <v>21</v>
      </c>
      <c r="AA15" t="s">
        <v>22</v>
      </c>
      <c r="AE15" t="s">
        <v>21</v>
      </c>
      <c r="AF15" t="s">
        <v>22</v>
      </c>
      <c r="AG15" t="s">
        <v>35</v>
      </c>
      <c r="AK15" t="s">
        <v>10</v>
      </c>
      <c r="AL15" t="s">
        <v>25</v>
      </c>
      <c r="AM15" t="s">
        <v>26</v>
      </c>
      <c r="AN15" t="s">
        <v>27</v>
      </c>
      <c r="AP15" t="s">
        <v>15</v>
      </c>
      <c r="AQ15" t="s">
        <v>85</v>
      </c>
    </row>
    <row r="16" spans="1:66" x14ac:dyDescent="0.2">
      <c r="A16" t="s">
        <v>28</v>
      </c>
      <c r="D16">
        <f>SUM(D4:D15)</f>
        <v>11</v>
      </c>
      <c r="E16">
        <f>SUM(E4:E15)</f>
        <v>6</v>
      </c>
      <c r="F16">
        <f>SUM(F4:F15)</f>
        <v>4</v>
      </c>
      <c r="G16">
        <f>SUM(G4:G15)</f>
        <v>0</v>
      </c>
      <c r="H16">
        <f>SUM(H4:H15)</f>
        <v>0</v>
      </c>
      <c r="K16">
        <f>SUM(K4:K15)</f>
        <v>36</v>
      </c>
      <c r="L16">
        <f>SUM(L4:L15)</f>
        <v>2</v>
      </c>
      <c r="M16">
        <f>SUM(M4:M15)</f>
        <v>17</v>
      </c>
      <c r="N16">
        <f>SUM(N4:N15)</f>
        <v>52</v>
      </c>
      <c r="O16">
        <f>SUM(O4:O15)</f>
        <v>51</v>
      </c>
      <c r="Q16">
        <f t="shared" ref="Q16:R16" si="34">SUM(Q4:Q15)</f>
        <v>0</v>
      </c>
      <c r="R16">
        <f t="shared" si="34"/>
        <v>0</v>
      </c>
      <c r="S16">
        <f>SUM(S4:S15)</f>
        <v>11</v>
      </c>
      <c r="T16">
        <f>SUM(T4:T15)</f>
        <v>10</v>
      </c>
      <c r="U16">
        <f>SUM(U4:U15)</f>
        <v>19</v>
      </c>
      <c r="V16">
        <f>SUM(V4:V15)</f>
        <v>0</v>
      </c>
      <c r="W16">
        <f>SUM(W4:W15)</f>
        <v>0</v>
      </c>
      <c r="Z16">
        <f t="shared" ref="Z16:Z27" si="35">COUNTIF(Z2:AC2, "3")*COUNTIF(C4, "r")+COUNTIF(Z2:AC2, "5")*COUNTIF(C4, "b")</f>
        <v>0</v>
      </c>
      <c r="AA16">
        <f t="shared" ref="AA16:AA27" si="36">COUNTIF(Z2:AC2, "1")+COUNTIF(Z2:AC2, "2")+COUNTIF(Z2:AC2, "4")</f>
        <v>0</v>
      </c>
      <c r="AE16">
        <f t="shared" ref="AE16:AE27" si="37">COUNTIF(AE2:AI2, "3")*COUNTIF(C4, "r") + COUNTIF(AE2:AI2, "5")*COUNTIF(C4, "b")</f>
        <v>0</v>
      </c>
      <c r="AF16">
        <f t="shared" ref="AF16:AF27" si="38">COUNTIF(AE2:AI2, "1")+COUNTIF(AE2:AI2, "2")+COUNTIF(AE2:AI2, "4")</f>
        <v>0</v>
      </c>
      <c r="AG16">
        <f t="shared" ref="AG16:AG27" si="39">COUNTIF(AE2:AI2, "3")*COUNTIF(AE2:AI2, "b")+COUNTIF(AE2:AI2, "5")*COUNTIF(AE2:AI2, "r")</f>
        <v>0</v>
      </c>
      <c r="AK16">
        <f t="shared" ref="AK16:AK27" si="40">SUMPRODUCT(LEN($AK2:$BH2) - LEN(SUBSTITUTE($AK2:$BH2, "g", "")))</f>
        <v>0</v>
      </c>
      <c r="AL16">
        <f t="shared" ref="AL16:AL27" si="41">SUMPRODUCT(LEN($AK2:$BH2) - LEN(SUBSTITUTE($AK2:$BH2, "h", "")))</f>
        <v>0</v>
      </c>
      <c r="AM16">
        <f t="shared" ref="AM16:AM27" si="42">SUMPRODUCT(LEN($AK2:$BH2) - LEN(SUBSTITUTE($AK2:$BH2, "v", "")))</f>
        <v>0</v>
      </c>
      <c r="AN16">
        <f t="shared" ref="AN16:AN27" si="43">SUMPRODUCT(LEN($AK2:$BH2) - LEN(SUBSTITUTE($AK2:$BH2, "r", "")))</f>
        <v>0</v>
      </c>
      <c r="AP16">
        <f>MAX(AQ16:BN16)</f>
        <v>0</v>
      </c>
      <c r="AQ16" s="4">
        <f>_xlfn.NUMBERVALUE(RIGHT(AK2,1))</f>
        <v>0</v>
      </c>
      <c r="AR16" s="4">
        <f t="shared" ref="AR16:BG27" si="44">_xlfn.NUMBERVALUE(RIGHT(AL2,1))</f>
        <v>0</v>
      </c>
      <c r="AS16" s="4">
        <f t="shared" si="44"/>
        <v>0</v>
      </c>
      <c r="AT16" s="4">
        <f t="shared" si="44"/>
        <v>0</v>
      </c>
      <c r="AU16" s="4">
        <f t="shared" si="44"/>
        <v>0</v>
      </c>
      <c r="AV16" s="4">
        <f t="shared" si="44"/>
        <v>0</v>
      </c>
      <c r="AW16" s="4">
        <f t="shared" si="44"/>
        <v>0</v>
      </c>
      <c r="AX16" s="4">
        <f t="shared" si="44"/>
        <v>0</v>
      </c>
      <c r="AY16" s="4">
        <f t="shared" si="44"/>
        <v>0</v>
      </c>
      <c r="AZ16" s="4">
        <f t="shared" si="44"/>
        <v>0</v>
      </c>
      <c r="BA16" s="4">
        <f t="shared" si="44"/>
        <v>0</v>
      </c>
      <c r="BB16" s="4">
        <f t="shared" si="44"/>
        <v>0</v>
      </c>
      <c r="BC16" s="4">
        <f t="shared" si="44"/>
        <v>0</v>
      </c>
      <c r="BD16" s="4">
        <f t="shared" si="44"/>
        <v>0</v>
      </c>
      <c r="BE16" s="4">
        <f t="shared" si="44"/>
        <v>0</v>
      </c>
      <c r="BF16" s="4">
        <f t="shared" si="44"/>
        <v>0</v>
      </c>
      <c r="BG16" s="4">
        <f t="shared" si="44"/>
        <v>0</v>
      </c>
      <c r="BH16" s="4">
        <f t="shared" ref="BH16:BN27" si="45">_xlfn.NUMBERVALUE(RIGHT(BB2,1))</f>
        <v>0</v>
      </c>
      <c r="BI16" s="4">
        <f t="shared" si="45"/>
        <v>0</v>
      </c>
      <c r="BJ16" s="4">
        <f t="shared" si="45"/>
        <v>0</v>
      </c>
      <c r="BK16" s="4">
        <f t="shared" si="45"/>
        <v>0</v>
      </c>
      <c r="BL16" s="4">
        <f t="shared" si="45"/>
        <v>0</v>
      </c>
      <c r="BM16" s="4">
        <f t="shared" si="45"/>
        <v>0</v>
      </c>
      <c r="BN16" s="4">
        <f t="shared" si="45"/>
        <v>0</v>
      </c>
    </row>
    <row r="17" spans="1:66" x14ac:dyDescent="0.2">
      <c r="A17" s="1" t="s">
        <v>20</v>
      </c>
      <c r="D17" s="1" t="s">
        <v>49</v>
      </c>
      <c r="G17" s="1" t="s">
        <v>52</v>
      </c>
      <c r="K17" s="3" t="s">
        <v>74</v>
      </c>
      <c r="P17" s="1" t="s">
        <v>66</v>
      </c>
      <c r="Z17">
        <f t="shared" si="35"/>
        <v>0</v>
      </c>
      <c r="AA17">
        <f t="shared" si="36"/>
        <v>0</v>
      </c>
      <c r="AE17">
        <f t="shared" si="37"/>
        <v>0</v>
      </c>
      <c r="AF17">
        <f t="shared" si="38"/>
        <v>0</v>
      </c>
      <c r="AG17">
        <f t="shared" si="39"/>
        <v>0</v>
      </c>
      <c r="AK17">
        <f t="shared" si="40"/>
        <v>0</v>
      </c>
      <c r="AL17">
        <f t="shared" si="41"/>
        <v>0</v>
      </c>
      <c r="AM17">
        <f t="shared" si="42"/>
        <v>0</v>
      </c>
      <c r="AN17">
        <f t="shared" si="43"/>
        <v>0</v>
      </c>
      <c r="AP17">
        <f t="shared" ref="AP17:AP27" si="46">MAX(AQ17:BN17)</f>
        <v>0</v>
      </c>
      <c r="AQ17" s="4">
        <f t="shared" ref="AQ17:AQ27" si="47">_xlfn.NUMBERVALUE(RIGHT(AK3,1))</f>
        <v>0</v>
      </c>
      <c r="AR17" s="4">
        <f t="shared" si="44"/>
        <v>0</v>
      </c>
      <c r="AS17" s="4">
        <f t="shared" si="44"/>
        <v>0</v>
      </c>
      <c r="AT17" s="4">
        <f t="shared" si="44"/>
        <v>0</v>
      </c>
      <c r="AU17" s="4">
        <f t="shared" si="44"/>
        <v>0</v>
      </c>
      <c r="AV17" s="4">
        <f t="shared" si="44"/>
        <v>0</v>
      </c>
      <c r="AW17" s="4">
        <f t="shared" si="44"/>
        <v>0</v>
      </c>
      <c r="AX17" s="4">
        <f t="shared" si="44"/>
        <v>0</v>
      </c>
      <c r="AY17" s="4">
        <f t="shared" si="44"/>
        <v>0</v>
      </c>
      <c r="AZ17" s="4">
        <f t="shared" si="44"/>
        <v>0</v>
      </c>
      <c r="BA17" s="4">
        <f t="shared" si="44"/>
        <v>0</v>
      </c>
      <c r="BB17" s="4">
        <f t="shared" si="44"/>
        <v>0</v>
      </c>
      <c r="BC17" s="4">
        <f t="shared" si="44"/>
        <v>0</v>
      </c>
      <c r="BD17" s="4">
        <f t="shared" si="44"/>
        <v>0</v>
      </c>
      <c r="BE17" s="4">
        <f t="shared" si="44"/>
        <v>0</v>
      </c>
      <c r="BF17" s="4">
        <f t="shared" si="44"/>
        <v>0</v>
      </c>
      <c r="BG17" s="4">
        <f t="shared" si="44"/>
        <v>0</v>
      </c>
      <c r="BH17" s="4">
        <f t="shared" si="45"/>
        <v>0</v>
      </c>
      <c r="BI17" s="4">
        <f t="shared" si="45"/>
        <v>0</v>
      </c>
      <c r="BJ17" s="4">
        <f t="shared" si="45"/>
        <v>0</v>
      </c>
      <c r="BK17" s="4">
        <f t="shared" si="45"/>
        <v>0</v>
      </c>
      <c r="BL17" s="4">
        <f t="shared" si="45"/>
        <v>0</v>
      </c>
      <c r="BM17" s="4">
        <f t="shared" si="45"/>
        <v>0</v>
      </c>
      <c r="BN17" s="4">
        <f t="shared" si="45"/>
        <v>0</v>
      </c>
    </row>
    <row r="18" spans="1:66" x14ac:dyDescent="0.2">
      <c r="A18" t="s">
        <v>32</v>
      </c>
      <c r="B18" t="s">
        <v>21</v>
      </c>
      <c r="D18" t="s">
        <v>180</v>
      </c>
      <c r="G18" s="3" t="s">
        <v>53</v>
      </c>
      <c r="K18" t="s">
        <v>55</v>
      </c>
      <c r="M18" t="s">
        <v>65</v>
      </c>
      <c r="P18" t="s">
        <v>67</v>
      </c>
      <c r="Z18">
        <f t="shared" si="35"/>
        <v>0</v>
      </c>
      <c r="AA18">
        <f t="shared" si="36"/>
        <v>0</v>
      </c>
      <c r="AE18">
        <f t="shared" si="37"/>
        <v>0</v>
      </c>
      <c r="AF18">
        <f t="shared" si="38"/>
        <v>0</v>
      </c>
      <c r="AG18">
        <f t="shared" si="39"/>
        <v>0</v>
      </c>
      <c r="AK18">
        <f t="shared" si="40"/>
        <v>0</v>
      </c>
      <c r="AL18">
        <f t="shared" si="41"/>
        <v>0</v>
      </c>
      <c r="AM18">
        <f t="shared" si="42"/>
        <v>0</v>
      </c>
      <c r="AN18">
        <f t="shared" si="43"/>
        <v>0</v>
      </c>
      <c r="AP18">
        <f t="shared" si="46"/>
        <v>0</v>
      </c>
      <c r="AQ18" s="4">
        <f t="shared" si="47"/>
        <v>0</v>
      </c>
      <c r="AR18" s="4">
        <f t="shared" si="44"/>
        <v>0</v>
      </c>
      <c r="AS18" s="4">
        <f t="shared" si="44"/>
        <v>0</v>
      </c>
      <c r="AT18" s="4">
        <f t="shared" si="44"/>
        <v>0</v>
      </c>
      <c r="AU18" s="4">
        <f t="shared" si="44"/>
        <v>0</v>
      </c>
      <c r="AV18" s="4">
        <f t="shared" si="44"/>
        <v>0</v>
      </c>
      <c r="AW18" s="4">
        <f t="shared" si="44"/>
        <v>0</v>
      </c>
      <c r="AX18" s="4">
        <f t="shared" si="44"/>
        <v>0</v>
      </c>
      <c r="AY18" s="4">
        <f t="shared" si="44"/>
        <v>0</v>
      </c>
      <c r="AZ18" s="4">
        <f t="shared" si="44"/>
        <v>0</v>
      </c>
      <c r="BA18" s="4">
        <f t="shared" si="44"/>
        <v>0</v>
      </c>
      <c r="BB18" s="4">
        <f t="shared" si="44"/>
        <v>0</v>
      </c>
      <c r="BC18" s="4">
        <f t="shared" si="44"/>
        <v>0</v>
      </c>
      <c r="BD18" s="4">
        <f t="shared" si="44"/>
        <v>0</v>
      </c>
      <c r="BE18" s="4">
        <f t="shared" si="44"/>
        <v>0</v>
      </c>
      <c r="BF18" s="4">
        <f t="shared" si="44"/>
        <v>0</v>
      </c>
      <c r="BG18" s="4">
        <f t="shared" si="44"/>
        <v>0</v>
      </c>
      <c r="BH18" s="4">
        <f t="shared" si="45"/>
        <v>0</v>
      </c>
      <c r="BI18" s="4">
        <f t="shared" si="45"/>
        <v>0</v>
      </c>
      <c r="BJ18" s="4">
        <f t="shared" si="45"/>
        <v>0</v>
      </c>
      <c r="BK18" s="4">
        <f t="shared" si="45"/>
        <v>0</v>
      </c>
      <c r="BL18" s="4">
        <f t="shared" si="45"/>
        <v>0</v>
      </c>
      <c r="BM18" s="4">
        <f t="shared" si="45"/>
        <v>0</v>
      </c>
      <c r="BN18" s="4">
        <f t="shared" si="45"/>
        <v>0</v>
      </c>
    </row>
    <row r="19" spans="1:66" x14ac:dyDescent="0.2">
      <c r="A19" t="s">
        <v>40</v>
      </c>
      <c r="B19" t="s">
        <v>22</v>
      </c>
      <c r="D19">
        <f>E16/D16</f>
        <v>0.54545454545454541</v>
      </c>
      <c r="G19" t="s">
        <v>75</v>
      </c>
      <c r="K19">
        <f>O16/N16</f>
        <v>0.98076923076923073</v>
      </c>
      <c r="M19">
        <f>SUM(M39:M50)</f>
        <v>2</v>
      </c>
      <c r="P19">
        <f>T16/S16</f>
        <v>0.90909090909090906</v>
      </c>
      <c r="Z19">
        <f t="shared" si="35"/>
        <v>0</v>
      </c>
      <c r="AA19">
        <f t="shared" si="36"/>
        <v>0</v>
      </c>
      <c r="AE19">
        <f t="shared" si="37"/>
        <v>0</v>
      </c>
      <c r="AF19">
        <f t="shared" si="38"/>
        <v>0</v>
      </c>
      <c r="AG19">
        <f t="shared" si="39"/>
        <v>0</v>
      </c>
      <c r="AK19">
        <f t="shared" si="40"/>
        <v>0</v>
      </c>
      <c r="AL19">
        <f t="shared" si="41"/>
        <v>0</v>
      </c>
      <c r="AM19">
        <f t="shared" si="42"/>
        <v>0</v>
      </c>
      <c r="AN19">
        <f t="shared" si="43"/>
        <v>0</v>
      </c>
      <c r="AP19">
        <f t="shared" si="46"/>
        <v>0</v>
      </c>
      <c r="AQ19" s="4">
        <f t="shared" si="47"/>
        <v>0</v>
      </c>
      <c r="AR19" s="4">
        <f t="shared" si="44"/>
        <v>0</v>
      </c>
      <c r="AS19" s="4">
        <f t="shared" si="44"/>
        <v>0</v>
      </c>
      <c r="AT19" s="4">
        <f t="shared" si="44"/>
        <v>0</v>
      </c>
      <c r="AU19" s="4">
        <f t="shared" si="44"/>
        <v>0</v>
      </c>
      <c r="AV19" s="4">
        <f t="shared" si="44"/>
        <v>0</v>
      </c>
      <c r="AW19" s="4">
        <f t="shared" si="44"/>
        <v>0</v>
      </c>
      <c r="AX19" s="4">
        <f t="shared" si="44"/>
        <v>0</v>
      </c>
      <c r="AY19" s="4">
        <f t="shared" si="44"/>
        <v>0</v>
      </c>
      <c r="AZ19" s="4">
        <f t="shared" si="44"/>
        <v>0</v>
      </c>
      <c r="BA19" s="4">
        <f t="shared" si="44"/>
        <v>0</v>
      </c>
      <c r="BB19" s="4">
        <f t="shared" si="44"/>
        <v>0</v>
      </c>
      <c r="BC19" s="4">
        <f t="shared" si="44"/>
        <v>0</v>
      </c>
      <c r="BD19" s="4">
        <f t="shared" si="44"/>
        <v>0</v>
      </c>
      <c r="BE19" s="4">
        <f t="shared" si="44"/>
        <v>0</v>
      </c>
      <c r="BF19" s="4">
        <f t="shared" si="44"/>
        <v>0</v>
      </c>
      <c r="BG19" s="4">
        <f t="shared" si="44"/>
        <v>0</v>
      </c>
      <c r="BH19" s="4">
        <f t="shared" si="45"/>
        <v>0</v>
      </c>
      <c r="BI19" s="4">
        <f t="shared" si="45"/>
        <v>0</v>
      </c>
      <c r="BJ19" s="4">
        <f t="shared" si="45"/>
        <v>0</v>
      </c>
      <c r="BK19" s="4">
        <f t="shared" si="45"/>
        <v>0</v>
      </c>
      <c r="BL19" s="4">
        <f t="shared" si="45"/>
        <v>0</v>
      </c>
      <c r="BM19" s="4">
        <f t="shared" si="45"/>
        <v>0</v>
      </c>
      <c r="BN19" s="4">
        <f t="shared" si="45"/>
        <v>0</v>
      </c>
    </row>
    <row r="20" spans="1:66" x14ac:dyDescent="0.2">
      <c r="A20" t="s">
        <v>41</v>
      </c>
      <c r="B20" t="s">
        <v>23</v>
      </c>
      <c r="D20" t="s">
        <v>47</v>
      </c>
      <c r="G20" t="e">
        <f>AK28/AP28</f>
        <v>#DIV/0!</v>
      </c>
      <c r="K20" t="s">
        <v>13</v>
      </c>
      <c r="Z20">
        <f t="shared" si="35"/>
        <v>0</v>
      </c>
      <c r="AA20">
        <f t="shared" si="36"/>
        <v>0</v>
      </c>
      <c r="AE20">
        <f t="shared" si="37"/>
        <v>0</v>
      </c>
      <c r="AF20">
        <f t="shared" si="38"/>
        <v>1</v>
      </c>
      <c r="AG20">
        <f t="shared" si="39"/>
        <v>0</v>
      </c>
      <c r="AK20">
        <f t="shared" si="40"/>
        <v>0</v>
      </c>
      <c r="AL20">
        <f t="shared" si="41"/>
        <v>0</v>
      </c>
      <c r="AM20">
        <f t="shared" si="42"/>
        <v>0</v>
      </c>
      <c r="AN20">
        <f t="shared" si="43"/>
        <v>0</v>
      </c>
      <c r="AP20">
        <f t="shared" si="46"/>
        <v>0</v>
      </c>
      <c r="AQ20" s="4">
        <f t="shared" si="47"/>
        <v>0</v>
      </c>
      <c r="AR20" s="4">
        <f t="shared" si="44"/>
        <v>0</v>
      </c>
      <c r="AS20" s="4">
        <f t="shared" si="44"/>
        <v>0</v>
      </c>
      <c r="AT20" s="4">
        <f t="shared" si="44"/>
        <v>0</v>
      </c>
      <c r="AU20" s="4">
        <f t="shared" si="44"/>
        <v>0</v>
      </c>
      <c r="AV20" s="4">
        <f t="shared" si="44"/>
        <v>0</v>
      </c>
      <c r="AW20" s="4">
        <f t="shared" si="44"/>
        <v>0</v>
      </c>
      <c r="AX20" s="4">
        <f t="shared" si="44"/>
        <v>0</v>
      </c>
      <c r="AY20" s="4">
        <f t="shared" si="44"/>
        <v>0</v>
      </c>
      <c r="AZ20" s="4">
        <f t="shared" si="44"/>
        <v>0</v>
      </c>
      <c r="BA20" s="4">
        <f t="shared" si="44"/>
        <v>0</v>
      </c>
      <c r="BB20" s="4">
        <f t="shared" si="44"/>
        <v>0</v>
      </c>
      <c r="BC20" s="4">
        <f t="shared" si="44"/>
        <v>0</v>
      </c>
      <c r="BD20" s="4">
        <f t="shared" si="44"/>
        <v>0</v>
      </c>
      <c r="BE20" s="4">
        <f t="shared" si="44"/>
        <v>0</v>
      </c>
      <c r="BF20" s="4">
        <f t="shared" si="44"/>
        <v>0</v>
      </c>
      <c r="BG20" s="4">
        <f t="shared" si="44"/>
        <v>0</v>
      </c>
      <c r="BH20" s="4">
        <f t="shared" si="45"/>
        <v>0</v>
      </c>
      <c r="BI20" s="4">
        <f t="shared" si="45"/>
        <v>0</v>
      </c>
      <c r="BJ20" s="4">
        <f t="shared" si="45"/>
        <v>0</v>
      </c>
      <c r="BK20" s="4">
        <f t="shared" si="45"/>
        <v>0</v>
      </c>
      <c r="BL20" s="4">
        <f t="shared" si="45"/>
        <v>0</v>
      </c>
      <c r="BM20" s="4">
        <f t="shared" si="45"/>
        <v>0</v>
      </c>
      <c r="BN20" s="4">
        <f t="shared" si="45"/>
        <v>0</v>
      </c>
    </row>
    <row r="21" spans="1:66" x14ac:dyDescent="0.2">
      <c r="A21" s="1" t="s">
        <v>24</v>
      </c>
      <c r="D21">
        <f>G16/A31</f>
        <v>0</v>
      </c>
      <c r="G21" t="s">
        <v>76</v>
      </c>
      <c r="K21" t="s">
        <v>57</v>
      </c>
      <c r="L21" t="s">
        <v>58</v>
      </c>
      <c r="M21" t="s">
        <v>59</v>
      </c>
      <c r="N21" t="s">
        <v>60</v>
      </c>
      <c r="Z21">
        <f t="shared" si="35"/>
        <v>0</v>
      </c>
      <c r="AA21">
        <f t="shared" si="36"/>
        <v>0</v>
      </c>
      <c r="AE21">
        <f t="shared" si="37"/>
        <v>0</v>
      </c>
      <c r="AF21">
        <f t="shared" si="38"/>
        <v>0</v>
      </c>
      <c r="AG21">
        <f t="shared" si="39"/>
        <v>0</v>
      </c>
      <c r="AK21">
        <f t="shared" si="40"/>
        <v>0</v>
      </c>
      <c r="AL21">
        <f t="shared" si="41"/>
        <v>0</v>
      </c>
      <c r="AM21">
        <f t="shared" si="42"/>
        <v>0</v>
      </c>
      <c r="AN21">
        <f t="shared" si="43"/>
        <v>0</v>
      </c>
      <c r="AP21">
        <f t="shared" si="46"/>
        <v>0</v>
      </c>
      <c r="AQ21" s="4">
        <f t="shared" si="47"/>
        <v>0</v>
      </c>
      <c r="AR21" s="4">
        <f t="shared" si="44"/>
        <v>0</v>
      </c>
      <c r="AS21" s="4">
        <f t="shared" si="44"/>
        <v>0</v>
      </c>
      <c r="AT21" s="4">
        <f t="shared" si="44"/>
        <v>0</v>
      </c>
      <c r="AU21" s="4">
        <f t="shared" si="44"/>
        <v>0</v>
      </c>
      <c r="AV21" s="4">
        <f t="shared" si="44"/>
        <v>0</v>
      </c>
      <c r="AW21" s="4">
        <f t="shared" si="44"/>
        <v>0</v>
      </c>
      <c r="AX21" s="4">
        <f t="shared" si="44"/>
        <v>0</v>
      </c>
      <c r="AY21" s="4">
        <f t="shared" si="44"/>
        <v>0</v>
      </c>
      <c r="AZ21" s="4">
        <f t="shared" si="44"/>
        <v>0</v>
      </c>
      <c r="BA21" s="4">
        <f t="shared" si="44"/>
        <v>0</v>
      </c>
      <c r="BB21" s="4">
        <f t="shared" si="44"/>
        <v>0</v>
      </c>
      <c r="BC21" s="4">
        <f t="shared" si="44"/>
        <v>0</v>
      </c>
      <c r="BD21" s="4">
        <f t="shared" si="44"/>
        <v>0</v>
      </c>
      <c r="BE21" s="4">
        <f t="shared" si="44"/>
        <v>0</v>
      </c>
      <c r="BF21" s="4">
        <f t="shared" si="44"/>
        <v>0</v>
      </c>
      <c r="BG21" s="4">
        <f t="shared" si="44"/>
        <v>0</v>
      </c>
      <c r="BH21" s="4">
        <f t="shared" si="45"/>
        <v>0</v>
      </c>
      <c r="BI21" s="4">
        <f t="shared" si="45"/>
        <v>0</v>
      </c>
      <c r="BJ21" s="4">
        <f t="shared" si="45"/>
        <v>0</v>
      </c>
      <c r="BK21" s="4">
        <f t="shared" si="45"/>
        <v>0</v>
      </c>
      <c r="BL21" s="4">
        <f t="shared" si="45"/>
        <v>0</v>
      </c>
      <c r="BM21" s="4">
        <f t="shared" si="45"/>
        <v>0</v>
      </c>
      <c r="BN21" s="4">
        <f t="shared" si="45"/>
        <v>0</v>
      </c>
    </row>
    <row r="22" spans="1:66" x14ac:dyDescent="0.2">
      <c r="A22" t="s">
        <v>36</v>
      </c>
      <c r="B22" t="s">
        <v>10</v>
      </c>
      <c r="D22" t="s">
        <v>48</v>
      </c>
      <c r="G22" t="e">
        <f>AL28/AP28</f>
        <v>#DIV/0!</v>
      </c>
      <c r="K22">
        <f>AVERAGE(C39:C50)</f>
        <v>4.25</v>
      </c>
      <c r="L22">
        <f>MEDIAN(C39:C50)</f>
        <v>4</v>
      </c>
      <c r="M22">
        <f>MAX(C39:C50)</f>
        <v>6</v>
      </c>
      <c r="N22">
        <f>_xlfn.STDEV.S(C39:C50)</f>
        <v>0.96530729916342273</v>
      </c>
      <c r="Z22">
        <f t="shared" si="35"/>
        <v>0</v>
      </c>
      <c r="AA22">
        <f t="shared" si="36"/>
        <v>0</v>
      </c>
      <c r="AE22">
        <f t="shared" si="37"/>
        <v>0</v>
      </c>
      <c r="AF22">
        <f t="shared" si="38"/>
        <v>0</v>
      </c>
      <c r="AG22">
        <f t="shared" si="39"/>
        <v>0</v>
      </c>
      <c r="AK22">
        <f t="shared" si="40"/>
        <v>0</v>
      </c>
      <c r="AL22">
        <f t="shared" si="41"/>
        <v>0</v>
      </c>
      <c r="AM22">
        <f t="shared" si="42"/>
        <v>0</v>
      </c>
      <c r="AN22">
        <f t="shared" si="43"/>
        <v>0</v>
      </c>
      <c r="AP22">
        <f t="shared" si="46"/>
        <v>0</v>
      </c>
      <c r="AQ22" s="4">
        <f t="shared" si="47"/>
        <v>0</v>
      </c>
      <c r="AR22" s="4">
        <f t="shared" si="44"/>
        <v>0</v>
      </c>
      <c r="AS22" s="4">
        <f t="shared" si="44"/>
        <v>0</v>
      </c>
      <c r="AT22" s="4">
        <f t="shared" si="44"/>
        <v>0</v>
      </c>
      <c r="AU22" s="4">
        <f t="shared" si="44"/>
        <v>0</v>
      </c>
      <c r="AV22" s="4">
        <f t="shared" si="44"/>
        <v>0</v>
      </c>
      <c r="AW22" s="4">
        <f t="shared" si="44"/>
        <v>0</v>
      </c>
      <c r="AX22" s="4">
        <f t="shared" si="44"/>
        <v>0</v>
      </c>
      <c r="AY22" s="4">
        <f t="shared" si="44"/>
        <v>0</v>
      </c>
      <c r="AZ22" s="4">
        <f t="shared" si="44"/>
        <v>0</v>
      </c>
      <c r="BA22" s="4">
        <f t="shared" si="44"/>
        <v>0</v>
      </c>
      <c r="BB22" s="4">
        <f t="shared" si="44"/>
        <v>0</v>
      </c>
      <c r="BC22" s="4">
        <f t="shared" si="44"/>
        <v>0</v>
      </c>
      <c r="BD22" s="4">
        <f t="shared" si="44"/>
        <v>0</v>
      </c>
      <c r="BE22" s="4">
        <f t="shared" si="44"/>
        <v>0</v>
      </c>
      <c r="BF22" s="4">
        <f t="shared" si="44"/>
        <v>0</v>
      </c>
      <c r="BG22" s="4">
        <f t="shared" si="44"/>
        <v>0</v>
      </c>
      <c r="BH22" s="4">
        <f t="shared" si="45"/>
        <v>0</v>
      </c>
      <c r="BI22" s="4">
        <f t="shared" si="45"/>
        <v>0</v>
      </c>
      <c r="BJ22" s="4">
        <f t="shared" si="45"/>
        <v>0</v>
      </c>
      <c r="BK22" s="4">
        <f t="shared" si="45"/>
        <v>0</v>
      </c>
      <c r="BL22" s="4">
        <f t="shared" si="45"/>
        <v>0</v>
      </c>
      <c r="BM22" s="4">
        <f t="shared" si="45"/>
        <v>0</v>
      </c>
      <c r="BN22" s="4">
        <f t="shared" si="45"/>
        <v>0</v>
      </c>
    </row>
    <row r="23" spans="1:66" x14ac:dyDescent="0.2">
      <c r="A23" t="s">
        <v>37</v>
      </c>
      <c r="B23" t="s">
        <v>25</v>
      </c>
      <c r="D23">
        <f>H16/A31</f>
        <v>0</v>
      </c>
      <c r="G23" t="s">
        <v>77</v>
      </c>
      <c r="K23" t="s">
        <v>8</v>
      </c>
      <c r="Z23">
        <f t="shared" si="35"/>
        <v>0</v>
      </c>
      <c r="AA23">
        <f t="shared" si="36"/>
        <v>0</v>
      </c>
      <c r="AE23">
        <f t="shared" si="37"/>
        <v>0</v>
      </c>
      <c r="AF23">
        <f t="shared" si="38"/>
        <v>0</v>
      </c>
      <c r="AG23">
        <f t="shared" si="39"/>
        <v>0</v>
      </c>
      <c r="AK23">
        <f t="shared" si="40"/>
        <v>0</v>
      </c>
      <c r="AL23">
        <f t="shared" si="41"/>
        <v>0</v>
      </c>
      <c r="AM23">
        <f t="shared" si="42"/>
        <v>0</v>
      </c>
      <c r="AN23">
        <f t="shared" si="43"/>
        <v>0</v>
      </c>
      <c r="AP23">
        <f t="shared" si="46"/>
        <v>0</v>
      </c>
      <c r="AQ23" s="4">
        <f t="shared" si="47"/>
        <v>0</v>
      </c>
      <c r="AR23" s="4">
        <f t="shared" si="44"/>
        <v>0</v>
      </c>
      <c r="AS23" s="4">
        <f t="shared" si="44"/>
        <v>0</v>
      </c>
      <c r="AT23" s="4">
        <f t="shared" si="44"/>
        <v>0</v>
      </c>
      <c r="AU23" s="4">
        <f t="shared" si="44"/>
        <v>0</v>
      </c>
      <c r="AV23" s="4">
        <f t="shared" si="44"/>
        <v>0</v>
      </c>
      <c r="AW23" s="4">
        <f t="shared" si="44"/>
        <v>0</v>
      </c>
      <c r="AX23" s="4">
        <f t="shared" si="44"/>
        <v>0</v>
      </c>
      <c r="AY23" s="4">
        <f t="shared" si="44"/>
        <v>0</v>
      </c>
      <c r="AZ23" s="4">
        <f t="shared" si="44"/>
        <v>0</v>
      </c>
      <c r="BA23" s="4">
        <f t="shared" si="44"/>
        <v>0</v>
      </c>
      <c r="BB23" s="4">
        <f t="shared" si="44"/>
        <v>0</v>
      </c>
      <c r="BC23" s="4">
        <f t="shared" si="44"/>
        <v>0</v>
      </c>
      <c r="BD23" s="4">
        <f t="shared" si="44"/>
        <v>0</v>
      </c>
      <c r="BE23" s="4">
        <f t="shared" si="44"/>
        <v>0</v>
      </c>
      <c r="BF23" s="4">
        <f t="shared" si="44"/>
        <v>0</v>
      </c>
      <c r="BG23" s="4">
        <f t="shared" si="44"/>
        <v>0</v>
      </c>
      <c r="BH23" s="4">
        <f t="shared" si="45"/>
        <v>0</v>
      </c>
      <c r="BI23" s="4">
        <f t="shared" si="45"/>
        <v>0</v>
      </c>
      <c r="BJ23" s="4">
        <f t="shared" si="45"/>
        <v>0</v>
      </c>
      <c r="BK23" s="4">
        <f t="shared" si="45"/>
        <v>0</v>
      </c>
      <c r="BL23" s="4">
        <f t="shared" si="45"/>
        <v>0</v>
      </c>
      <c r="BM23" s="4">
        <f t="shared" si="45"/>
        <v>0</v>
      </c>
      <c r="BN23" s="4">
        <f t="shared" si="45"/>
        <v>0</v>
      </c>
    </row>
    <row r="24" spans="1:66" x14ac:dyDescent="0.2">
      <c r="A24" t="s">
        <v>38</v>
      </c>
      <c r="B24" t="s">
        <v>26</v>
      </c>
      <c r="D24" t="s">
        <v>50</v>
      </c>
      <c r="G24" t="e">
        <f>AM28/AP28</f>
        <v>#DIV/0!</v>
      </c>
      <c r="K24" t="s">
        <v>57</v>
      </c>
      <c r="L24" t="s">
        <v>61</v>
      </c>
      <c r="M24" t="s">
        <v>59</v>
      </c>
      <c r="N24" t="s">
        <v>60</v>
      </c>
      <c r="Z24">
        <f t="shared" si="35"/>
        <v>0</v>
      </c>
      <c r="AA24">
        <f t="shared" si="36"/>
        <v>0</v>
      </c>
      <c r="AE24">
        <f t="shared" si="37"/>
        <v>0</v>
      </c>
      <c r="AF24">
        <f t="shared" si="38"/>
        <v>0</v>
      </c>
      <c r="AG24">
        <f t="shared" si="39"/>
        <v>0</v>
      </c>
      <c r="AK24">
        <f t="shared" si="40"/>
        <v>0</v>
      </c>
      <c r="AL24">
        <f t="shared" si="41"/>
        <v>0</v>
      </c>
      <c r="AM24">
        <f t="shared" si="42"/>
        <v>0</v>
      </c>
      <c r="AN24">
        <f t="shared" si="43"/>
        <v>0</v>
      </c>
      <c r="AP24">
        <f t="shared" si="46"/>
        <v>0</v>
      </c>
      <c r="AQ24" s="4">
        <f t="shared" si="47"/>
        <v>0</v>
      </c>
      <c r="AR24" s="4">
        <f t="shared" si="44"/>
        <v>0</v>
      </c>
      <c r="AS24" s="4">
        <f t="shared" si="44"/>
        <v>0</v>
      </c>
      <c r="AT24" s="4">
        <f t="shared" si="44"/>
        <v>0</v>
      </c>
      <c r="AU24" s="4">
        <f t="shared" si="44"/>
        <v>0</v>
      </c>
      <c r="AV24" s="4">
        <f t="shared" si="44"/>
        <v>0</v>
      </c>
      <c r="AW24" s="4">
        <f t="shared" si="44"/>
        <v>0</v>
      </c>
      <c r="AX24" s="4">
        <f t="shared" si="44"/>
        <v>0</v>
      </c>
      <c r="AY24" s="4">
        <f t="shared" si="44"/>
        <v>0</v>
      </c>
      <c r="AZ24" s="4">
        <f t="shared" si="44"/>
        <v>0</v>
      </c>
      <c r="BA24" s="4">
        <f t="shared" si="44"/>
        <v>0</v>
      </c>
      <c r="BB24" s="4">
        <f t="shared" si="44"/>
        <v>0</v>
      </c>
      <c r="BC24" s="4">
        <f t="shared" si="44"/>
        <v>0</v>
      </c>
      <c r="BD24" s="4">
        <f t="shared" si="44"/>
        <v>0</v>
      </c>
      <c r="BE24" s="4">
        <f t="shared" si="44"/>
        <v>0</v>
      </c>
      <c r="BF24" s="4">
        <f t="shared" si="44"/>
        <v>0</v>
      </c>
      <c r="BG24" s="4">
        <f t="shared" si="44"/>
        <v>0</v>
      </c>
      <c r="BH24" s="4">
        <f t="shared" si="45"/>
        <v>0</v>
      </c>
      <c r="BI24" s="4">
        <f t="shared" si="45"/>
        <v>0</v>
      </c>
      <c r="BJ24" s="4">
        <f t="shared" si="45"/>
        <v>0</v>
      </c>
      <c r="BK24" s="4">
        <f t="shared" si="45"/>
        <v>0</v>
      </c>
      <c r="BL24" s="4">
        <f t="shared" si="45"/>
        <v>0</v>
      </c>
      <c r="BM24" s="4">
        <f t="shared" si="45"/>
        <v>0</v>
      </c>
      <c r="BN24" s="4">
        <f t="shared" si="45"/>
        <v>0</v>
      </c>
    </row>
    <row r="25" spans="1:66" x14ac:dyDescent="0.2">
      <c r="A25" t="s">
        <v>39</v>
      </c>
      <c r="B25" t="s">
        <v>27</v>
      </c>
      <c r="D25">
        <f>Z28/A31</f>
        <v>0</v>
      </c>
      <c r="G25" t="s">
        <v>78</v>
      </c>
      <c r="K25">
        <f>AVERAGE(E39:E50)</f>
        <v>0</v>
      </c>
      <c r="L25">
        <f>MEDIAN(E39:E50)</f>
        <v>0</v>
      </c>
      <c r="M25">
        <f>MAX(E39:E50)</f>
        <v>0</v>
      </c>
      <c r="N25">
        <f>_xlfn.STDEV.S(E39:E50)</f>
        <v>0</v>
      </c>
      <c r="Z25">
        <f t="shared" si="35"/>
        <v>0</v>
      </c>
      <c r="AA25">
        <f t="shared" si="36"/>
        <v>0</v>
      </c>
      <c r="AE25">
        <f t="shared" si="37"/>
        <v>0</v>
      </c>
      <c r="AF25">
        <f t="shared" si="38"/>
        <v>0</v>
      </c>
      <c r="AG25">
        <f t="shared" si="39"/>
        <v>0</v>
      </c>
      <c r="AK25">
        <f t="shared" si="40"/>
        <v>0</v>
      </c>
      <c r="AL25">
        <f t="shared" si="41"/>
        <v>0</v>
      </c>
      <c r="AM25">
        <f t="shared" si="42"/>
        <v>0</v>
      </c>
      <c r="AN25">
        <f t="shared" si="43"/>
        <v>0</v>
      </c>
      <c r="AP25">
        <f t="shared" si="46"/>
        <v>0</v>
      </c>
      <c r="AQ25" s="4">
        <f t="shared" si="47"/>
        <v>0</v>
      </c>
      <c r="AR25" s="4">
        <f t="shared" si="44"/>
        <v>0</v>
      </c>
      <c r="AS25" s="4">
        <f t="shared" si="44"/>
        <v>0</v>
      </c>
      <c r="AT25" s="4">
        <f t="shared" si="44"/>
        <v>0</v>
      </c>
      <c r="AU25" s="4">
        <f t="shared" si="44"/>
        <v>0</v>
      </c>
      <c r="AV25" s="4">
        <f t="shared" si="44"/>
        <v>0</v>
      </c>
      <c r="AW25" s="4">
        <f t="shared" si="44"/>
        <v>0</v>
      </c>
      <c r="AX25" s="4">
        <f t="shared" si="44"/>
        <v>0</v>
      </c>
      <c r="AY25" s="4">
        <f t="shared" si="44"/>
        <v>0</v>
      </c>
      <c r="AZ25" s="4">
        <f t="shared" si="44"/>
        <v>0</v>
      </c>
      <c r="BA25" s="4">
        <f t="shared" si="44"/>
        <v>0</v>
      </c>
      <c r="BB25" s="4">
        <f t="shared" si="44"/>
        <v>0</v>
      </c>
      <c r="BC25" s="4">
        <f t="shared" si="44"/>
        <v>0</v>
      </c>
      <c r="BD25" s="4">
        <f t="shared" si="44"/>
        <v>0</v>
      </c>
      <c r="BE25" s="4">
        <f t="shared" si="44"/>
        <v>0</v>
      </c>
      <c r="BF25" s="4">
        <f t="shared" si="44"/>
        <v>0</v>
      </c>
      <c r="BG25" s="4">
        <f t="shared" si="44"/>
        <v>0</v>
      </c>
      <c r="BH25" s="4">
        <f t="shared" si="45"/>
        <v>0</v>
      </c>
      <c r="BI25" s="4">
        <f t="shared" si="45"/>
        <v>0</v>
      </c>
      <c r="BJ25" s="4">
        <f t="shared" si="45"/>
        <v>0</v>
      </c>
      <c r="BK25" s="4">
        <f t="shared" si="45"/>
        <v>0</v>
      </c>
      <c r="BL25" s="4">
        <f t="shared" si="45"/>
        <v>0</v>
      </c>
      <c r="BM25" s="4">
        <f t="shared" si="45"/>
        <v>0</v>
      </c>
      <c r="BN25" s="4">
        <f t="shared" si="45"/>
        <v>0</v>
      </c>
    </row>
    <row r="26" spans="1:66" x14ac:dyDescent="0.2">
      <c r="A26" t="s">
        <v>44</v>
      </c>
      <c r="D26" t="s">
        <v>51</v>
      </c>
      <c r="G26" t="e">
        <f>AN28/AP28</f>
        <v>#DIV/0!</v>
      </c>
      <c r="K26" t="s">
        <v>62</v>
      </c>
      <c r="P26" t="s">
        <v>19</v>
      </c>
      <c r="Z26">
        <f t="shared" si="35"/>
        <v>0</v>
      </c>
      <c r="AA26">
        <f t="shared" si="36"/>
        <v>0</v>
      </c>
      <c r="AE26">
        <f t="shared" si="37"/>
        <v>0</v>
      </c>
      <c r="AF26">
        <f t="shared" si="38"/>
        <v>0</v>
      </c>
      <c r="AG26">
        <f t="shared" si="39"/>
        <v>0</v>
      </c>
      <c r="AK26">
        <f t="shared" si="40"/>
        <v>0</v>
      </c>
      <c r="AL26">
        <f t="shared" si="41"/>
        <v>0</v>
      </c>
      <c r="AM26">
        <f t="shared" si="42"/>
        <v>0</v>
      </c>
      <c r="AN26">
        <f t="shared" si="43"/>
        <v>0</v>
      </c>
      <c r="AP26">
        <f t="shared" si="46"/>
        <v>0</v>
      </c>
      <c r="AQ26" s="4">
        <f t="shared" si="47"/>
        <v>0</v>
      </c>
      <c r="AR26" s="4">
        <f t="shared" si="44"/>
        <v>0</v>
      </c>
      <c r="AS26" s="4">
        <f t="shared" si="44"/>
        <v>0</v>
      </c>
      <c r="AT26" s="4">
        <f t="shared" si="44"/>
        <v>0</v>
      </c>
      <c r="AU26" s="4">
        <f t="shared" si="44"/>
        <v>0</v>
      </c>
      <c r="AV26" s="4">
        <f t="shared" si="44"/>
        <v>0</v>
      </c>
      <c r="AW26" s="4">
        <f t="shared" si="44"/>
        <v>0</v>
      </c>
      <c r="AX26" s="4">
        <f t="shared" si="44"/>
        <v>0</v>
      </c>
      <c r="AY26" s="4">
        <f t="shared" si="44"/>
        <v>0</v>
      </c>
      <c r="AZ26" s="4">
        <f t="shared" si="44"/>
        <v>0</v>
      </c>
      <c r="BA26" s="4">
        <f t="shared" si="44"/>
        <v>0</v>
      </c>
      <c r="BB26" s="4">
        <f t="shared" si="44"/>
        <v>0</v>
      </c>
      <c r="BC26" s="4">
        <f t="shared" si="44"/>
        <v>0</v>
      </c>
      <c r="BD26" s="4">
        <f t="shared" si="44"/>
        <v>0</v>
      </c>
      <c r="BE26" s="4">
        <f t="shared" si="44"/>
        <v>0</v>
      </c>
      <c r="BF26" s="4">
        <f t="shared" si="44"/>
        <v>0</v>
      </c>
      <c r="BG26" s="4">
        <f t="shared" si="44"/>
        <v>0</v>
      </c>
      <c r="BH26" s="4">
        <f t="shared" si="45"/>
        <v>0</v>
      </c>
      <c r="BI26" s="4">
        <f t="shared" si="45"/>
        <v>0</v>
      </c>
      <c r="BJ26" s="4">
        <f t="shared" si="45"/>
        <v>0</v>
      </c>
      <c r="BK26" s="4">
        <f t="shared" si="45"/>
        <v>0</v>
      </c>
      <c r="BL26" s="4">
        <f t="shared" si="45"/>
        <v>0</v>
      </c>
      <c r="BM26" s="4">
        <f t="shared" si="45"/>
        <v>0</v>
      </c>
      <c r="BN26" s="4">
        <f t="shared" si="45"/>
        <v>0</v>
      </c>
    </row>
    <row r="27" spans="1:66" x14ac:dyDescent="0.2">
      <c r="A27" t="s">
        <v>45</v>
      </c>
      <c r="D27">
        <f>AA28/A31</f>
        <v>0</v>
      </c>
      <c r="G27" t="s">
        <v>56</v>
      </c>
      <c r="K27" t="s">
        <v>57</v>
      </c>
      <c r="L27" t="s">
        <v>58</v>
      </c>
      <c r="M27" t="s">
        <v>59</v>
      </c>
      <c r="N27" t="s">
        <v>60</v>
      </c>
      <c r="P27" t="s">
        <v>57</v>
      </c>
      <c r="Q27" t="s">
        <v>58</v>
      </c>
      <c r="R27" t="s">
        <v>59</v>
      </c>
      <c r="S27" t="s">
        <v>60</v>
      </c>
      <c r="Z27">
        <f t="shared" si="35"/>
        <v>0</v>
      </c>
      <c r="AA27">
        <f t="shared" si="36"/>
        <v>0</v>
      </c>
      <c r="AE27">
        <f t="shared" si="37"/>
        <v>0</v>
      </c>
      <c r="AF27">
        <f t="shared" si="38"/>
        <v>0</v>
      </c>
      <c r="AG27">
        <f t="shared" si="39"/>
        <v>0</v>
      </c>
      <c r="AK27">
        <f t="shared" si="40"/>
        <v>0</v>
      </c>
      <c r="AL27">
        <f t="shared" si="41"/>
        <v>0</v>
      </c>
      <c r="AM27">
        <f t="shared" si="42"/>
        <v>0</v>
      </c>
      <c r="AN27">
        <f t="shared" si="43"/>
        <v>0</v>
      </c>
      <c r="AP27">
        <f t="shared" si="46"/>
        <v>0</v>
      </c>
      <c r="AQ27" s="4">
        <f t="shared" si="47"/>
        <v>0</v>
      </c>
      <c r="AR27" s="4">
        <f t="shared" si="44"/>
        <v>0</v>
      </c>
      <c r="AS27" s="4">
        <f t="shared" si="44"/>
        <v>0</v>
      </c>
      <c r="AT27" s="4">
        <f t="shared" si="44"/>
        <v>0</v>
      </c>
      <c r="AU27" s="4">
        <f t="shared" si="44"/>
        <v>0</v>
      </c>
      <c r="AV27" s="4">
        <f t="shared" si="44"/>
        <v>0</v>
      </c>
      <c r="AW27" s="4">
        <f t="shared" si="44"/>
        <v>0</v>
      </c>
      <c r="AX27" s="4">
        <f t="shared" si="44"/>
        <v>0</v>
      </c>
      <c r="AY27" s="4">
        <f t="shared" si="44"/>
        <v>0</v>
      </c>
      <c r="AZ27" s="4">
        <f t="shared" si="44"/>
        <v>0</v>
      </c>
      <c r="BA27" s="4">
        <f t="shared" si="44"/>
        <v>0</v>
      </c>
      <c r="BB27" s="4">
        <f t="shared" si="44"/>
        <v>0</v>
      </c>
      <c r="BC27" s="4">
        <f t="shared" si="44"/>
        <v>0</v>
      </c>
      <c r="BD27" s="4">
        <f t="shared" si="44"/>
        <v>0</v>
      </c>
      <c r="BE27" s="4">
        <f t="shared" si="44"/>
        <v>0</v>
      </c>
      <c r="BF27" s="4">
        <f t="shared" si="44"/>
        <v>0</v>
      </c>
      <c r="BG27" s="4">
        <f t="shared" si="44"/>
        <v>0</v>
      </c>
      <c r="BH27" s="4">
        <f t="shared" si="45"/>
        <v>0</v>
      </c>
      <c r="BI27" s="4">
        <f t="shared" si="45"/>
        <v>0</v>
      </c>
      <c r="BJ27" s="4">
        <f t="shared" si="45"/>
        <v>0</v>
      </c>
      <c r="BK27" s="4">
        <f t="shared" si="45"/>
        <v>0</v>
      </c>
      <c r="BL27" s="4">
        <f t="shared" si="45"/>
        <v>0</v>
      </c>
      <c r="BM27" s="4">
        <f t="shared" si="45"/>
        <v>0</v>
      </c>
      <c r="BN27" s="4">
        <f t="shared" si="45"/>
        <v>0</v>
      </c>
    </row>
    <row r="28" spans="1:66" x14ac:dyDescent="0.2">
      <c r="A28" t="s">
        <v>46</v>
      </c>
      <c r="D28" t="s">
        <v>202</v>
      </c>
      <c r="G28" t="s">
        <v>57</v>
      </c>
      <c r="H28" t="s">
        <v>58</v>
      </c>
      <c r="I28" t="s">
        <v>59</v>
      </c>
      <c r="J28" t="s">
        <v>60</v>
      </c>
      <c r="K28">
        <f>AVERAGE(G39:G50)</f>
        <v>0</v>
      </c>
      <c r="L28">
        <f>MEDIAN(G39:G50)</f>
        <v>0</v>
      </c>
      <c r="M28">
        <f>MAX(G39:G50)</f>
        <v>0</v>
      </c>
      <c r="N28">
        <f>_xlfn.STDEV.S(G39:G50)</f>
        <v>0</v>
      </c>
      <c r="P28">
        <f>AVERAGE(N39:N50)</f>
        <v>1.5833333333333333</v>
      </c>
      <c r="Q28">
        <f>MEDIAN(N39:N50)</f>
        <v>0</v>
      </c>
      <c r="R28">
        <f>MAX(N39:N50)</f>
        <v>8</v>
      </c>
      <c r="S28">
        <f>_xlfn.STDEV.S(N39:N50)</f>
        <v>2.7784342658585555</v>
      </c>
      <c r="Y28" t="s">
        <v>33</v>
      </c>
      <c r="Z28">
        <f>SUM(Z16:Z27)</f>
        <v>0</v>
      </c>
      <c r="AA28">
        <f>SUM(AA16:AA27)</f>
        <v>0</v>
      </c>
      <c r="AE28">
        <f>SUM(AE16:AE27)</f>
        <v>0</v>
      </c>
      <c r="AF28">
        <f>SUM(AF16:AF27)</f>
        <v>1</v>
      </c>
      <c r="AG28">
        <f>SUM(AG16:AG27)</f>
        <v>0</v>
      </c>
      <c r="AK28">
        <f>SUM(AK16:AK27)</f>
        <v>0</v>
      </c>
      <c r="AL28">
        <f>SUM(AL16:AL27)</f>
        <v>0</v>
      </c>
      <c r="AM28">
        <f>SUM(AM16:AM27)</f>
        <v>0</v>
      </c>
      <c r="AN28">
        <f>SUM(AN16:AN27)</f>
        <v>0</v>
      </c>
      <c r="AP28">
        <f>SUM(AP16:AP27)</f>
        <v>0</v>
      </c>
    </row>
    <row r="29" spans="1:66" x14ac:dyDescent="0.2">
      <c r="D29">
        <f>SUM(O39:O50)/F16</f>
        <v>0.75</v>
      </c>
      <c r="G29">
        <f>AVERAGE(A39:A50)</f>
        <v>8.3333333333333329E-2</v>
      </c>
      <c r="H29">
        <f>MEDIAN(A39:A50)</f>
        <v>0</v>
      </c>
      <c r="I29">
        <f>MAX(A39:A50)</f>
        <v>1</v>
      </c>
      <c r="J29">
        <f>_xlfn.STDEV.S(A39:A50)</f>
        <v>0.28867513459481287</v>
      </c>
      <c r="K29" t="s">
        <v>63</v>
      </c>
      <c r="P29" t="s">
        <v>148</v>
      </c>
    </row>
    <row r="30" spans="1:66" x14ac:dyDescent="0.2">
      <c r="A30" t="s">
        <v>147</v>
      </c>
      <c r="D30" t="s">
        <v>203</v>
      </c>
      <c r="G30" t="s">
        <v>50</v>
      </c>
      <c r="H30" t="s">
        <v>51</v>
      </c>
      <c r="I30" t="s">
        <v>89</v>
      </c>
      <c r="K30" t="s">
        <v>57</v>
      </c>
      <c r="L30" t="s">
        <v>58</v>
      </c>
      <c r="M30" t="s">
        <v>59</v>
      </c>
      <c r="N30" t="s">
        <v>60</v>
      </c>
      <c r="P30" t="s">
        <v>57</v>
      </c>
      <c r="Q30" t="s">
        <v>58</v>
      </c>
      <c r="R30" t="s">
        <v>59</v>
      </c>
      <c r="S30" t="s">
        <v>60</v>
      </c>
      <c r="W30" t="s">
        <v>148</v>
      </c>
      <c r="Y30" t="s">
        <v>149</v>
      </c>
      <c r="AH30" t="s">
        <v>79</v>
      </c>
    </row>
    <row r="31" spans="1:66" x14ac:dyDescent="0.2">
      <c r="A31">
        <f>COUNT(B4:B15)</f>
        <v>12</v>
      </c>
      <c r="D31" s="2">
        <f>SUM(S39:S50)/SUM(Q39:Q50)</f>
        <v>0.42857142857142855</v>
      </c>
      <c r="G31">
        <f>AE28/A31</f>
        <v>0</v>
      </c>
      <c r="H31">
        <f>AF28/A31</f>
        <v>8.3333333333333329E-2</v>
      </c>
      <c r="I31">
        <f>AG28/A31</f>
        <v>0</v>
      </c>
      <c r="K31" t="e">
        <f>AVERAGE(I39:I50)</f>
        <v>#DIV/0!</v>
      </c>
      <c r="L31" t="e">
        <f>MEDIAN(I39:I50)</f>
        <v>#NUM!</v>
      </c>
      <c r="M31">
        <f>MAX(I39:I50)</f>
        <v>0</v>
      </c>
      <c r="N31" t="e">
        <f>_xlfn.STDEV.S(I39:I50)</f>
        <v>#DIV/0!</v>
      </c>
      <c r="P31" t="e">
        <f>AVERAGE(W31:W42)</f>
        <v>#DIV/0!</v>
      </c>
      <c r="Q31" t="e">
        <f>MEDIAN(W31:W42)</f>
        <v>#NUM!</v>
      </c>
      <c r="R31">
        <f>MAX(W31:W42)</f>
        <v>0</v>
      </c>
      <c r="S31" t="e">
        <f>_xlfn.STDEV.S(W31:W42)</f>
        <v>#DIV/0!</v>
      </c>
      <c r="W31" t="str">
        <f t="shared" ref="W31:W33" si="48">IF(AND(ISBLANK(Q4), ISBLANK(R4), ISBLANK(G4), ISBLANK(H4)), "", U4)</f>
        <v/>
      </c>
      <c r="Y31" t="str">
        <f t="shared" ref="Y31:Y42" si="49">IF(ISBLANK(Y4), IF(X4 = 0, "", (G4 + H4/3 + V4/9 + W4/3)), U4)</f>
        <v/>
      </c>
      <c r="AH31" t="s">
        <v>80</v>
      </c>
    </row>
    <row r="32" spans="1:66" x14ac:dyDescent="0.2">
      <c r="D32" s="3"/>
      <c r="K32" t="s">
        <v>64</v>
      </c>
      <c r="P32" t="s">
        <v>149</v>
      </c>
      <c r="W32" t="str">
        <f t="shared" si="48"/>
        <v/>
      </c>
      <c r="Y32" t="str">
        <f t="shared" si="49"/>
        <v/>
      </c>
      <c r="AH32" t="s">
        <v>81</v>
      </c>
    </row>
    <row r="33" spans="1:34" ht="16" customHeight="1" x14ac:dyDescent="0.2">
      <c r="A33" t="s">
        <v>221</v>
      </c>
      <c r="D33" s="3"/>
      <c r="K33" t="s">
        <v>57</v>
      </c>
      <c r="L33" t="s">
        <v>58</v>
      </c>
      <c r="M33" t="s">
        <v>59</v>
      </c>
      <c r="N33" t="s">
        <v>60</v>
      </c>
      <c r="P33" t="s">
        <v>57</v>
      </c>
      <c r="Q33" t="s">
        <v>58</v>
      </c>
      <c r="R33" t="s">
        <v>59</v>
      </c>
      <c r="S33" t="s">
        <v>60</v>
      </c>
      <c r="W33" t="str">
        <f t="shared" si="48"/>
        <v/>
      </c>
      <c r="Y33" t="str">
        <f t="shared" si="49"/>
        <v/>
      </c>
      <c r="AH33" t="s">
        <v>82</v>
      </c>
    </row>
    <row r="34" spans="1:34" x14ac:dyDescent="0.2">
      <c r="A34" t="s">
        <v>300</v>
      </c>
      <c r="D34" s="3"/>
      <c r="K34">
        <f>AVERAGE(K39:K50)</f>
        <v>0</v>
      </c>
      <c r="L34">
        <f>MEDIAN(K39:K50)</f>
        <v>0</v>
      </c>
      <c r="M34">
        <f>MAX(K39:K50)</f>
        <v>0</v>
      </c>
      <c r="N34">
        <f>_xlfn.STDEV.S(K39:K50)</f>
        <v>0</v>
      </c>
      <c r="P34" t="e">
        <f>AVERAGE(Y31:Y42)</f>
        <v>#DIV/0!</v>
      </c>
      <c r="Q34" t="e">
        <f>MEDIAN(Y31:Y42)</f>
        <v>#NUM!</v>
      </c>
      <c r="R34">
        <f>MAX(Y31:Y42)</f>
        <v>0</v>
      </c>
      <c r="S34" t="e">
        <f>_xlfn.STDEV.S(Y31:Y42)</f>
        <v>#DIV/0!</v>
      </c>
      <c r="W34" t="str">
        <f>IF(AND(ISBLANK(Q7), ISBLANK(R7), ISBLANK(G7), ISBLANK(H7)), "", U7)</f>
        <v/>
      </c>
      <c r="Y34" t="str">
        <f t="shared" si="49"/>
        <v/>
      </c>
      <c r="AH34" t="s">
        <v>83</v>
      </c>
    </row>
    <row r="35" spans="1:34" x14ac:dyDescent="0.2">
      <c r="P35" t="s">
        <v>95</v>
      </c>
      <c r="R35" t="s">
        <v>197</v>
      </c>
      <c r="W35" t="str">
        <f t="shared" ref="W35:W42" si="50">IF(AND(ISBLANK(Q8), ISBLANK(R8), ISBLANK(G8), ISBLANK(H8)), "", U8)</f>
        <v/>
      </c>
      <c r="Y35" t="str">
        <f t="shared" si="49"/>
        <v/>
      </c>
    </row>
    <row r="36" spans="1:34" x14ac:dyDescent="0.2">
      <c r="P36" t="e">
        <f>Q16/(Q16+R16)</f>
        <v>#DIV/0!</v>
      </c>
      <c r="R36" t="e">
        <f>R16/(Q16+R16)</f>
        <v>#DIV/0!</v>
      </c>
      <c r="W36" t="str">
        <f t="shared" si="50"/>
        <v/>
      </c>
      <c r="Y36" t="str">
        <f t="shared" si="49"/>
        <v/>
      </c>
    </row>
    <row r="37" spans="1:34" x14ac:dyDescent="0.2">
      <c r="W37" t="str">
        <f t="shared" si="50"/>
        <v/>
      </c>
      <c r="Y37" t="str">
        <f t="shared" si="49"/>
        <v/>
      </c>
    </row>
    <row r="38" spans="1:34" x14ac:dyDescent="0.2">
      <c r="A38" t="s">
        <v>68</v>
      </c>
      <c r="C38" t="s">
        <v>69</v>
      </c>
      <c r="E38" t="s">
        <v>72</v>
      </c>
      <c r="G38" t="s">
        <v>250</v>
      </c>
      <c r="K38" t="s">
        <v>73</v>
      </c>
      <c r="M38" t="s">
        <v>70</v>
      </c>
      <c r="N38" t="s">
        <v>71</v>
      </c>
      <c r="O38" t="s">
        <v>199</v>
      </c>
      <c r="Q38" t="s">
        <v>200</v>
      </c>
      <c r="S38" t="s">
        <v>201</v>
      </c>
      <c r="W38" t="str">
        <f t="shared" si="50"/>
        <v/>
      </c>
      <c r="Y38" t="str">
        <f t="shared" si="49"/>
        <v/>
      </c>
    </row>
    <row r="39" spans="1:34" x14ac:dyDescent="0.2">
      <c r="A39">
        <f t="shared" ref="A39:A50" si="51">IF(ISBLANK(B4), "", SUM(AE16+AF16+AG16))</f>
        <v>0</v>
      </c>
      <c r="C39">
        <f t="shared" ref="C39:C50" si="52">IF(ISBLANK(B4), "", O4)</f>
        <v>6</v>
      </c>
      <c r="E39">
        <f t="shared" ref="E39:E50" si="53">IF(ISBLANK(B4), "", Q4)</f>
        <v>0</v>
      </c>
      <c r="G39">
        <f t="shared" ref="G39:G50" si="54">IF(ISBLANK(B4), "", R4)</f>
        <v>0</v>
      </c>
      <c r="K39">
        <f t="shared" ref="K39:K50" si="55">IF(ISBLANK(B4), "", SUM(Q4 + R4))</f>
        <v>0</v>
      </c>
      <c r="M39">
        <f t="shared" ref="M39:M50" si="56">IF(ISBLANK(B4), "", SUM(K4+M4) - O4)</f>
        <v>0</v>
      </c>
      <c r="N39">
        <f t="shared" ref="N39:N50" si="57">IF(ISBLANK(B4), "", U4)</f>
        <v>0</v>
      </c>
      <c r="O39">
        <f t="shared" ref="O39:O50" si="58">COUNTIF(E4, "1")*COUNTIF(F4, "1")</f>
        <v>0</v>
      </c>
      <c r="Q39">
        <f t="shared" ref="Q39:Q50" si="59">COUNTIF(D4, "1")*COUNTIF(F4, "")</f>
        <v>1</v>
      </c>
      <c r="S39">
        <f t="shared" ref="S39:S50" si="60">COUNTIF(E4, "1")*COUNTIF(F4, "")</f>
        <v>0</v>
      </c>
      <c r="W39" t="str">
        <f t="shared" si="50"/>
        <v/>
      </c>
      <c r="Y39" t="str">
        <f t="shared" si="49"/>
        <v/>
      </c>
    </row>
    <row r="40" spans="1:34" x14ac:dyDescent="0.2">
      <c r="A40">
        <f t="shared" si="51"/>
        <v>0</v>
      </c>
      <c r="C40">
        <f t="shared" si="52"/>
        <v>4</v>
      </c>
      <c r="E40">
        <f t="shared" si="53"/>
        <v>0</v>
      </c>
      <c r="G40">
        <f t="shared" si="54"/>
        <v>0</v>
      </c>
      <c r="K40">
        <f t="shared" si="55"/>
        <v>0</v>
      </c>
      <c r="M40">
        <f t="shared" si="56"/>
        <v>-1</v>
      </c>
      <c r="N40">
        <f t="shared" si="57"/>
        <v>5</v>
      </c>
      <c r="O40">
        <f t="shared" si="58"/>
        <v>0</v>
      </c>
      <c r="Q40">
        <f t="shared" si="59"/>
        <v>1</v>
      </c>
      <c r="S40">
        <f t="shared" si="60"/>
        <v>1</v>
      </c>
      <c r="W40" t="str">
        <f t="shared" si="50"/>
        <v/>
      </c>
      <c r="Y40" t="str">
        <f t="shared" si="49"/>
        <v/>
      </c>
    </row>
    <row r="41" spans="1:34" x14ac:dyDescent="0.2">
      <c r="A41">
        <f t="shared" si="51"/>
        <v>0</v>
      </c>
      <c r="C41">
        <f t="shared" si="52"/>
        <v>3</v>
      </c>
      <c r="E41">
        <f t="shared" si="53"/>
        <v>0</v>
      </c>
      <c r="G41">
        <f t="shared" si="54"/>
        <v>0</v>
      </c>
      <c r="K41">
        <f t="shared" si="55"/>
        <v>0</v>
      </c>
      <c r="M41">
        <f t="shared" si="56"/>
        <v>1</v>
      </c>
      <c r="N41">
        <f t="shared" si="57"/>
        <v>0</v>
      </c>
      <c r="O41">
        <f t="shared" si="58"/>
        <v>1</v>
      </c>
      <c r="Q41">
        <f t="shared" si="59"/>
        <v>0</v>
      </c>
      <c r="S41">
        <f t="shared" si="60"/>
        <v>0</v>
      </c>
      <c r="W41" t="str">
        <f t="shared" si="50"/>
        <v/>
      </c>
      <c r="Y41" t="str">
        <f t="shared" si="49"/>
        <v/>
      </c>
    </row>
    <row r="42" spans="1:34" x14ac:dyDescent="0.2">
      <c r="A42">
        <f t="shared" si="51"/>
        <v>0</v>
      </c>
      <c r="C42">
        <f t="shared" si="52"/>
        <v>4</v>
      </c>
      <c r="E42">
        <f t="shared" si="53"/>
        <v>0</v>
      </c>
      <c r="G42">
        <f t="shared" si="54"/>
        <v>0</v>
      </c>
      <c r="K42">
        <f t="shared" si="55"/>
        <v>0</v>
      </c>
      <c r="M42">
        <f t="shared" si="56"/>
        <v>-1</v>
      </c>
      <c r="N42">
        <f t="shared" si="57"/>
        <v>0</v>
      </c>
      <c r="O42">
        <f t="shared" si="58"/>
        <v>0</v>
      </c>
      <c r="Q42">
        <f t="shared" si="59"/>
        <v>0</v>
      </c>
      <c r="S42">
        <f t="shared" si="60"/>
        <v>0</v>
      </c>
      <c r="W42" t="str">
        <f t="shared" si="50"/>
        <v/>
      </c>
      <c r="Y42" t="str">
        <f t="shared" si="49"/>
        <v/>
      </c>
    </row>
    <row r="43" spans="1:34" x14ac:dyDescent="0.2">
      <c r="A43">
        <f t="shared" si="51"/>
        <v>1</v>
      </c>
      <c r="C43">
        <f t="shared" si="52"/>
        <v>5</v>
      </c>
      <c r="E43">
        <f t="shared" si="53"/>
        <v>0</v>
      </c>
      <c r="G43">
        <f t="shared" si="54"/>
        <v>0</v>
      </c>
      <c r="K43">
        <f t="shared" si="55"/>
        <v>0</v>
      </c>
      <c r="M43">
        <f t="shared" si="56"/>
        <v>-1</v>
      </c>
      <c r="N43">
        <f t="shared" si="57"/>
        <v>1</v>
      </c>
      <c r="O43">
        <f t="shared" si="58"/>
        <v>0</v>
      </c>
      <c r="Q43">
        <f t="shared" si="59"/>
        <v>1</v>
      </c>
      <c r="S43">
        <f t="shared" si="60"/>
        <v>0</v>
      </c>
    </row>
    <row r="44" spans="1:34" x14ac:dyDescent="0.2">
      <c r="A44">
        <f t="shared" si="51"/>
        <v>0</v>
      </c>
      <c r="C44">
        <f t="shared" si="52"/>
        <v>4</v>
      </c>
      <c r="E44">
        <f t="shared" si="53"/>
        <v>0</v>
      </c>
      <c r="G44">
        <f t="shared" si="54"/>
        <v>0</v>
      </c>
      <c r="K44">
        <f t="shared" si="55"/>
        <v>0</v>
      </c>
      <c r="M44">
        <f t="shared" si="56"/>
        <v>0</v>
      </c>
      <c r="N44">
        <f t="shared" si="57"/>
        <v>8</v>
      </c>
      <c r="O44">
        <f t="shared" si="58"/>
        <v>0</v>
      </c>
      <c r="Q44">
        <f t="shared" si="59"/>
        <v>1</v>
      </c>
      <c r="S44">
        <f t="shared" si="60"/>
        <v>0</v>
      </c>
    </row>
    <row r="45" spans="1:34" x14ac:dyDescent="0.2">
      <c r="A45">
        <f t="shared" si="51"/>
        <v>0</v>
      </c>
      <c r="C45">
        <f t="shared" si="52"/>
        <v>4</v>
      </c>
      <c r="E45">
        <f t="shared" si="53"/>
        <v>0</v>
      </c>
      <c r="G45">
        <f t="shared" si="54"/>
        <v>0</v>
      </c>
      <c r="K45">
        <f t="shared" si="55"/>
        <v>0</v>
      </c>
      <c r="M45">
        <f t="shared" si="56"/>
        <v>0</v>
      </c>
      <c r="N45">
        <f t="shared" si="57"/>
        <v>0</v>
      </c>
      <c r="O45">
        <f t="shared" si="58"/>
        <v>0</v>
      </c>
      <c r="Q45">
        <f t="shared" si="59"/>
        <v>1</v>
      </c>
      <c r="S45">
        <f t="shared" si="60"/>
        <v>1</v>
      </c>
    </row>
    <row r="46" spans="1:34" x14ac:dyDescent="0.2">
      <c r="A46">
        <f t="shared" si="51"/>
        <v>0</v>
      </c>
      <c r="C46">
        <f t="shared" si="52"/>
        <v>4</v>
      </c>
      <c r="E46">
        <f t="shared" si="53"/>
        <v>0</v>
      </c>
      <c r="G46">
        <f t="shared" si="54"/>
        <v>0</v>
      </c>
      <c r="K46">
        <f t="shared" si="55"/>
        <v>0</v>
      </c>
      <c r="M46">
        <f t="shared" si="56"/>
        <v>1</v>
      </c>
      <c r="N46">
        <f t="shared" si="57"/>
        <v>0</v>
      </c>
      <c r="O46">
        <f t="shared" si="58"/>
        <v>0</v>
      </c>
      <c r="Q46">
        <f t="shared" si="59"/>
        <v>1</v>
      </c>
      <c r="S46">
        <f t="shared" si="60"/>
        <v>1</v>
      </c>
    </row>
    <row r="47" spans="1:34" x14ac:dyDescent="0.2">
      <c r="A47">
        <f t="shared" si="51"/>
        <v>0</v>
      </c>
      <c r="C47">
        <f t="shared" si="52"/>
        <v>6</v>
      </c>
      <c r="E47">
        <f t="shared" si="53"/>
        <v>0</v>
      </c>
      <c r="G47">
        <f t="shared" si="54"/>
        <v>0</v>
      </c>
      <c r="K47">
        <f t="shared" si="55"/>
        <v>0</v>
      </c>
      <c r="M47">
        <f t="shared" si="56"/>
        <v>1</v>
      </c>
      <c r="N47">
        <f t="shared" si="57"/>
        <v>5</v>
      </c>
      <c r="O47">
        <f t="shared" si="58"/>
        <v>0</v>
      </c>
      <c r="Q47">
        <f t="shared" si="59"/>
        <v>0</v>
      </c>
      <c r="S47">
        <f t="shared" si="60"/>
        <v>0</v>
      </c>
    </row>
    <row r="48" spans="1:34" x14ac:dyDescent="0.2">
      <c r="A48">
        <f t="shared" si="51"/>
        <v>0</v>
      </c>
      <c r="C48">
        <f t="shared" si="52"/>
        <v>4</v>
      </c>
      <c r="E48">
        <f t="shared" si="53"/>
        <v>0</v>
      </c>
      <c r="G48">
        <f t="shared" si="54"/>
        <v>0</v>
      </c>
      <c r="K48">
        <f t="shared" si="55"/>
        <v>0</v>
      </c>
      <c r="M48">
        <f t="shared" si="56"/>
        <v>1</v>
      </c>
      <c r="N48">
        <f t="shared" si="57"/>
        <v>0</v>
      </c>
      <c r="O48">
        <f t="shared" si="58"/>
        <v>1</v>
      </c>
      <c r="Q48">
        <f t="shared" si="59"/>
        <v>0</v>
      </c>
      <c r="S48">
        <f t="shared" si="60"/>
        <v>0</v>
      </c>
    </row>
    <row r="49" spans="1:19" x14ac:dyDescent="0.2">
      <c r="A49">
        <f t="shared" si="51"/>
        <v>0</v>
      </c>
      <c r="C49">
        <f t="shared" si="52"/>
        <v>4</v>
      </c>
      <c r="E49">
        <f t="shared" si="53"/>
        <v>0</v>
      </c>
      <c r="G49">
        <f t="shared" si="54"/>
        <v>0</v>
      </c>
      <c r="K49">
        <f t="shared" si="55"/>
        <v>0</v>
      </c>
      <c r="M49">
        <f t="shared" si="56"/>
        <v>0</v>
      </c>
      <c r="N49">
        <f t="shared" si="57"/>
        <v>0</v>
      </c>
      <c r="O49">
        <f t="shared" si="58"/>
        <v>1</v>
      </c>
      <c r="Q49">
        <f t="shared" si="59"/>
        <v>0</v>
      </c>
      <c r="S49">
        <f t="shared" si="60"/>
        <v>0</v>
      </c>
    </row>
    <row r="50" spans="1:19" x14ac:dyDescent="0.2">
      <c r="A50">
        <f t="shared" si="51"/>
        <v>0</v>
      </c>
      <c r="C50">
        <f t="shared" si="52"/>
        <v>3</v>
      </c>
      <c r="E50">
        <f t="shared" si="53"/>
        <v>0</v>
      </c>
      <c r="G50">
        <f t="shared" si="54"/>
        <v>0</v>
      </c>
      <c r="K50">
        <f t="shared" si="55"/>
        <v>0</v>
      </c>
      <c r="M50">
        <f t="shared" si="56"/>
        <v>1</v>
      </c>
      <c r="N50">
        <f t="shared" si="57"/>
        <v>0</v>
      </c>
      <c r="O50">
        <f t="shared" si="58"/>
        <v>0</v>
      </c>
      <c r="Q50">
        <f t="shared" si="59"/>
        <v>1</v>
      </c>
      <c r="S50">
        <f t="shared" si="60"/>
        <v>0</v>
      </c>
    </row>
  </sheetData>
  <pageMargins left="0.7" right="0.7" top="0.75" bottom="0.75" header="0.3" footer="0.3"/>
  <legacy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 enableFormatConditionsCalculation="0"/>
  <dimension ref="A1:BN50"/>
  <sheetViews>
    <sheetView topLeftCell="C1" workbookViewId="0">
      <selection activeCell="U15" sqref="U15"/>
    </sheetView>
  </sheetViews>
  <sheetFormatPr baseColWidth="10" defaultRowHeight="15" x14ac:dyDescent="0.2"/>
  <sheetData>
    <row r="1" spans="1:66" x14ac:dyDescent="0.2">
      <c r="A1" s="1" t="s">
        <v>0</v>
      </c>
      <c r="D1" t="s">
        <v>3</v>
      </c>
      <c r="K1" t="s">
        <v>11</v>
      </c>
      <c r="N1" t="s">
        <v>12</v>
      </c>
      <c r="P1" t="s">
        <v>14</v>
      </c>
      <c r="Q1" t="s">
        <v>17</v>
      </c>
      <c r="S1" t="s">
        <v>18</v>
      </c>
      <c r="Z1" t="s">
        <v>29</v>
      </c>
      <c r="AE1" t="s">
        <v>30</v>
      </c>
      <c r="AK1" t="s">
        <v>42</v>
      </c>
    </row>
    <row r="2" spans="1:66" x14ac:dyDescent="0.2">
      <c r="A2" t="s">
        <v>1</v>
      </c>
      <c r="B2" t="s">
        <v>1</v>
      </c>
      <c r="C2" t="s">
        <v>87</v>
      </c>
      <c r="D2" t="s">
        <v>54</v>
      </c>
      <c r="E2" t="s">
        <v>13</v>
      </c>
      <c r="F2" t="s">
        <v>198</v>
      </c>
      <c r="G2" t="s">
        <v>7</v>
      </c>
      <c r="H2" t="s">
        <v>8</v>
      </c>
      <c r="I2" t="s">
        <v>179</v>
      </c>
      <c r="J2" t="s">
        <v>178</v>
      </c>
      <c r="K2" t="s">
        <v>9</v>
      </c>
      <c r="L2" t="s">
        <v>196</v>
      </c>
      <c r="M2" t="s">
        <v>10</v>
      </c>
      <c r="N2" t="s">
        <v>54</v>
      </c>
      <c r="O2" t="s">
        <v>13</v>
      </c>
      <c r="P2" t="s">
        <v>15</v>
      </c>
      <c r="Q2" t="s">
        <v>8</v>
      </c>
      <c r="R2" t="s">
        <v>7</v>
      </c>
      <c r="S2" t="s">
        <v>181</v>
      </c>
      <c r="T2" t="s">
        <v>182</v>
      </c>
      <c r="U2" t="s">
        <v>19</v>
      </c>
      <c r="V2" t="s">
        <v>191</v>
      </c>
      <c r="W2" t="s">
        <v>192</v>
      </c>
      <c r="X2" t="s">
        <v>175</v>
      </c>
      <c r="Y2" t="s">
        <v>173</v>
      </c>
      <c r="Z2" t="str">
        <f t="shared" ref="Z2:Z13" si="0">LEFT(I4, 1)</f>
        <v/>
      </c>
      <c r="AA2" t="str">
        <f t="shared" ref="AA2:AA13" si="1">MID(I4, 4, 1)</f>
        <v/>
      </c>
      <c r="AB2" t="str">
        <f t="shared" ref="AB2:AB13" si="2">MID(I4, 7, 1)</f>
        <v/>
      </c>
      <c r="AC2" t="str">
        <f t="shared" ref="AC2:AC13" si="3">MID(I4, 10, 1)</f>
        <v/>
      </c>
      <c r="AE2" t="str">
        <f t="shared" ref="AE2:AE13" si="4">LEFT(J4, 1)</f>
        <v/>
      </c>
      <c r="AF2" t="str">
        <f t="shared" ref="AF2:AF13" si="5">MID(J4, 4, 1)</f>
        <v/>
      </c>
      <c r="AG2" t="str">
        <f t="shared" ref="AG2:AG13" si="6">MID(J4, 7, 1)</f>
        <v/>
      </c>
      <c r="AH2" t="str">
        <f t="shared" ref="AH2:AH13" si="7">MID(J4, 10, 1)</f>
        <v/>
      </c>
      <c r="AI2" t="str">
        <f t="shared" ref="AI2:AI13" si="8">MID(J4, 13, 1)</f>
        <v/>
      </c>
      <c r="AK2" t="str">
        <f t="shared" ref="AK2:AK13" si="9">LEFT(P4, 2)</f>
        <v/>
      </c>
      <c r="AL2" t="str">
        <f>MID($P4, 5, 2)</f>
        <v/>
      </c>
      <c r="AM2" t="str">
        <f t="shared" ref="AM2:AM13" si="10">MID($P4, 9, 2)</f>
        <v/>
      </c>
      <c r="AN2" t="str">
        <f t="shared" ref="AN2:AN13" si="11">MID($P4, 13, 2)</f>
        <v/>
      </c>
      <c r="AO2" t="str">
        <f t="shared" ref="AO2:AO13" si="12">MID($P4, 17, 2)</f>
        <v/>
      </c>
      <c r="AP2" t="str">
        <f t="shared" ref="AP2:AP13" si="13">MID($P4, 21, 2)</f>
        <v/>
      </c>
      <c r="AQ2" t="str">
        <f t="shared" ref="AQ2:AQ13" si="14">MID($P4, 25, 2)</f>
        <v/>
      </c>
      <c r="AR2" t="str">
        <f t="shared" ref="AR2:AR13" si="15">MID($P4, 29, 2)</f>
        <v/>
      </c>
      <c r="AS2" t="str">
        <f t="shared" ref="AS2:AS13" si="16">MID($P4, 33, 2)</f>
        <v/>
      </c>
      <c r="AT2" t="str">
        <f t="shared" ref="AT2:AT13" si="17">MID($P4, 37, 2)</f>
        <v/>
      </c>
      <c r="AU2" t="str">
        <f t="shared" ref="AU2:AU13" si="18">MID($P4, 41, 2)</f>
        <v/>
      </c>
      <c r="AV2" t="str">
        <f t="shared" ref="AV2:AV13" si="19">MID($P4, 45, 2)</f>
        <v/>
      </c>
      <c r="AW2" t="str">
        <f t="shared" ref="AW2:AW13" si="20">MID($P4, 49, 2)</f>
        <v/>
      </c>
      <c r="AX2" t="str">
        <f t="shared" ref="AX2:AX13" si="21">MID($P4, 53, 2)</f>
        <v/>
      </c>
      <c r="AY2" t="str">
        <f t="shared" ref="AY2:AY13" si="22">MID($P4, 57, 2)</f>
        <v/>
      </c>
      <c r="AZ2" t="str">
        <f t="shared" ref="AZ2:AZ13" si="23">MID($P4, 61, 2)</f>
        <v/>
      </c>
      <c r="BA2" t="str">
        <f t="shared" ref="BA2:BA13" si="24">MID($P4, 65, 2)</f>
        <v/>
      </c>
      <c r="BB2" t="str">
        <f t="shared" ref="BB2:BB13" si="25">MID($P4, 69, 2)</f>
        <v/>
      </c>
      <c r="BC2" t="str">
        <f t="shared" ref="BC2:BC13" si="26">MID($P4, 73, 2)</f>
        <v/>
      </c>
      <c r="BD2" t="str">
        <f t="shared" ref="BD2:BD13" si="27">MID($P4, 77, 2)</f>
        <v/>
      </c>
      <c r="BE2" t="str">
        <f t="shared" ref="BE2:BE13" si="28">MID($P4, 81, 2)</f>
        <v/>
      </c>
      <c r="BF2" t="str">
        <f t="shared" ref="BF2:BF13" si="29">MID($P4, 85, 2)</f>
        <v/>
      </c>
      <c r="BG2" t="str">
        <f t="shared" ref="BG2:BG13" si="30">MID($P4, 89, 2)</f>
        <v/>
      </c>
      <c r="BH2" t="str">
        <f t="shared" ref="BH2:BH13" si="31">MID($P4, 93, 2)</f>
        <v/>
      </c>
    </row>
    <row r="3" spans="1:66" x14ac:dyDescent="0.2">
      <c r="A3" t="s">
        <v>2</v>
      </c>
      <c r="B3" t="s">
        <v>6</v>
      </c>
      <c r="C3" t="s">
        <v>88</v>
      </c>
      <c r="D3" t="s">
        <v>6</v>
      </c>
      <c r="E3" t="s">
        <v>6</v>
      </c>
      <c r="F3" t="s">
        <v>4</v>
      </c>
      <c r="G3" t="s">
        <v>6</v>
      </c>
      <c r="H3" t="s">
        <v>6</v>
      </c>
      <c r="I3" t="s">
        <v>86</v>
      </c>
      <c r="J3" t="s">
        <v>86</v>
      </c>
      <c r="K3" t="s">
        <v>6</v>
      </c>
      <c r="L3" t="s">
        <v>6</v>
      </c>
      <c r="M3" t="s">
        <v>6</v>
      </c>
      <c r="N3" t="s">
        <v>6</v>
      </c>
      <c r="O3" t="s">
        <v>6</v>
      </c>
      <c r="P3" t="s">
        <v>16</v>
      </c>
      <c r="Q3" t="s">
        <v>6</v>
      </c>
      <c r="R3" t="s">
        <v>6</v>
      </c>
      <c r="S3" t="s">
        <v>4</v>
      </c>
      <c r="T3" t="s">
        <v>4</v>
      </c>
      <c r="U3" t="s">
        <v>6</v>
      </c>
      <c r="V3" t="s">
        <v>6</v>
      </c>
      <c r="W3" t="s">
        <v>6</v>
      </c>
      <c r="X3" t="s">
        <v>6</v>
      </c>
      <c r="Y3" t="s">
        <v>174</v>
      </c>
      <c r="Z3" t="str">
        <f t="shared" si="0"/>
        <v/>
      </c>
      <c r="AA3" t="str">
        <f t="shared" si="1"/>
        <v/>
      </c>
      <c r="AB3" t="str">
        <f t="shared" si="2"/>
        <v/>
      </c>
      <c r="AC3" t="str">
        <f t="shared" si="3"/>
        <v/>
      </c>
      <c r="AE3" t="str">
        <f t="shared" si="4"/>
        <v/>
      </c>
      <c r="AF3" t="str">
        <f t="shared" si="5"/>
        <v/>
      </c>
      <c r="AG3" t="str">
        <f t="shared" si="6"/>
        <v/>
      </c>
      <c r="AH3" t="str">
        <f t="shared" si="7"/>
        <v/>
      </c>
      <c r="AI3" t="str">
        <f t="shared" si="8"/>
        <v/>
      </c>
      <c r="AK3" t="str">
        <f t="shared" si="9"/>
        <v/>
      </c>
      <c r="AL3" t="str">
        <f t="shared" ref="AL3:AL13" si="32">MID(P5, 5, 2)</f>
        <v/>
      </c>
      <c r="AM3" t="str">
        <f t="shared" si="10"/>
        <v/>
      </c>
      <c r="AN3" t="str">
        <f t="shared" si="11"/>
        <v/>
      </c>
      <c r="AO3" t="str">
        <f t="shared" si="12"/>
        <v/>
      </c>
      <c r="AP3" t="str">
        <f t="shared" si="13"/>
        <v/>
      </c>
      <c r="AQ3" t="str">
        <f t="shared" si="14"/>
        <v/>
      </c>
      <c r="AR3" t="str">
        <f t="shared" si="15"/>
        <v/>
      </c>
      <c r="AS3" t="str">
        <f t="shared" si="16"/>
        <v/>
      </c>
      <c r="AT3" t="str">
        <f t="shared" si="17"/>
        <v/>
      </c>
      <c r="AU3" t="str">
        <f t="shared" si="18"/>
        <v/>
      </c>
      <c r="AV3" t="str">
        <f t="shared" si="19"/>
        <v/>
      </c>
      <c r="AW3" t="str">
        <f t="shared" si="20"/>
        <v/>
      </c>
      <c r="AX3" t="str">
        <f t="shared" si="21"/>
        <v/>
      </c>
      <c r="AY3" t="str">
        <f t="shared" si="22"/>
        <v/>
      </c>
      <c r="AZ3" t="str">
        <f t="shared" si="23"/>
        <v/>
      </c>
      <c r="BA3" t="str">
        <f t="shared" si="24"/>
        <v/>
      </c>
      <c r="BB3" t="str">
        <f t="shared" si="25"/>
        <v/>
      </c>
      <c r="BC3" t="str">
        <f t="shared" si="26"/>
        <v/>
      </c>
      <c r="BD3" t="str">
        <f t="shared" si="27"/>
        <v/>
      </c>
      <c r="BE3" t="str">
        <f t="shared" si="28"/>
        <v/>
      </c>
      <c r="BF3" t="str">
        <f t="shared" si="29"/>
        <v/>
      </c>
      <c r="BG3" t="str">
        <f t="shared" si="30"/>
        <v/>
      </c>
      <c r="BH3" t="str">
        <f t="shared" si="31"/>
        <v/>
      </c>
    </row>
    <row r="4" spans="1:66" x14ac:dyDescent="0.2">
      <c r="A4">
        <v>1</v>
      </c>
      <c r="B4">
        <v>1</v>
      </c>
      <c r="C4" t="s">
        <v>207</v>
      </c>
      <c r="D4">
        <v>1</v>
      </c>
      <c r="E4">
        <v>1</v>
      </c>
      <c r="F4">
        <v>1</v>
      </c>
      <c r="K4">
        <v>3</v>
      </c>
      <c r="N4">
        <v>3</v>
      </c>
      <c r="O4">
        <v>3</v>
      </c>
      <c r="S4">
        <v>1</v>
      </c>
      <c r="T4">
        <v>1</v>
      </c>
      <c r="X4">
        <f t="shared" ref="X4:X15" si="33">G4+H4+Q4+R4</f>
        <v>0</v>
      </c>
      <c r="Z4" t="str">
        <f t="shared" si="0"/>
        <v/>
      </c>
      <c r="AA4" t="str">
        <f t="shared" si="1"/>
        <v/>
      </c>
      <c r="AB4" t="str">
        <f t="shared" si="2"/>
        <v/>
      </c>
      <c r="AC4" t="str">
        <f t="shared" si="3"/>
        <v/>
      </c>
      <c r="AE4" t="str">
        <f t="shared" si="4"/>
        <v/>
      </c>
      <c r="AF4" t="str">
        <f t="shared" si="5"/>
        <v/>
      </c>
      <c r="AG4" t="str">
        <f t="shared" si="6"/>
        <v/>
      </c>
      <c r="AH4" t="str">
        <f t="shared" si="7"/>
        <v/>
      </c>
      <c r="AI4" t="str">
        <f t="shared" si="8"/>
        <v/>
      </c>
      <c r="AK4" t="str">
        <f t="shared" si="9"/>
        <v/>
      </c>
      <c r="AL4" t="str">
        <f t="shared" si="32"/>
        <v/>
      </c>
      <c r="AM4" t="str">
        <f t="shared" si="10"/>
        <v/>
      </c>
      <c r="AN4" t="str">
        <f t="shared" si="11"/>
        <v/>
      </c>
      <c r="AO4" t="str">
        <f t="shared" si="12"/>
        <v/>
      </c>
      <c r="AP4" t="str">
        <f t="shared" si="13"/>
        <v/>
      </c>
      <c r="AQ4" t="str">
        <f t="shared" si="14"/>
        <v/>
      </c>
      <c r="AR4" t="str">
        <f t="shared" si="15"/>
        <v/>
      </c>
      <c r="AS4" t="str">
        <f t="shared" si="16"/>
        <v/>
      </c>
      <c r="AT4" t="str">
        <f t="shared" si="17"/>
        <v/>
      </c>
      <c r="AU4" t="str">
        <f t="shared" si="18"/>
        <v/>
      </c>
      <c r="AV4" t="str">
        <f t="shared" si="19"/>
        <v/>
      </c>
      <c r="AW4" t="str">
        <f t="shared" si="20"/>
        <v/>
      </c>
      <c r="AX4" t="str">
        <f t="shared" si="21"/>
        <v/>
      </c>
      <c r="AY4" t="str">
        <f t="shared" si="22"/>
        <v/>
      </c>
      <c r="AZ4" t="str">
        <f t="shared" si="23"/>
        <v/>
      </c>
      <c r="BA4" t="str">
        <f t="shared" si="24"/>
        <v/>
      </c>
      <c r="BB4" t="str">
        <f t="shared" si="25"/>
        <v/>
      </c>
      <c r="BC4" t="str">
        <f t="shared" si="26"/>
        <v/>
      </c>
      <c r="BD4" t="str">
        <f t="shared" si="27"/>
        <v/>
      </c>
      <c r="BE4" t="str">
        <f t="shared" si="28"/>
        <v/>
      </c>
      <c r="BF4" t="str">
        <f t="shared" si="29"/>
        <v/>
      </c>
      <c r="BG4" t="str">
        <f t="shared" si="30"/>
        <v/>
      </c>
      <c r="BH4" t="str">
        <f t="shared" si="31"/>
        <v/>
      </c>
    </row>
    <row r="5" spans="1:66" x14ac:dyDescent="0.2">
      <c r="A5">
        <v>2</v>
      </c>
      <c r="B5">
        <v>15</v>
      </c>
      <c r="C5" t="s">
        <v>39</v>
      </c>
      <c r="D5">
        <v>1</v>
      </c>
      <c r="K5">
        <v>2</v>
      </c>
      <c r="N5">
        <v>3</v>
      </c>
      <c r="O5">
        <v>2</v>
      </c>
      <c r="S5">
        <v>1</v>
      </c>
      <c r="T5">
        <v>1</v>
      </c>
      <c r="X5">
        <f t="shared" si="33"/>
        <v>0</v>
      </c>
      <c r="Z5" t="str">
        <f t="shared" si="0"/>
        <v/>
      </c>
      <c r="AA5" t="str">
        <f t="shared" si="1"/>
        <v/>
      </c>
      <c r="AB5" t="str">
        <f t="shared" si="2"/>
        <v/>
      </c>
      <c r="AC5" t="str">
        <f t="shared" si="3"/>
        <v/>
      </c>
      <c r="AE5" t="str">
        <f t="shared" si="4"/>
        <v/>
      </c>
      <c r="AF5" t="str">
        <f t="shared" si="5"/>
        <v/>
      </c>
      <c r="AG5" t="str">
        <f t="shared" si="6"/>
        <v/>
      </c>
      <c r="AH5" t="str">
        <f t="shared" si="7"/>
        <v/>
      </c>
      <c r="AI5" t="str">
        <f t="shared" si="8"/>
        <v/>
      </c>
      <c r="AK5" t="str">
        <f t="shared" si="9"/>
        <v/>
      </c>
      <c r="AL5" t="str">
        <f t="shared" si="32"/>
        <v/>
      </c>
      <c r="AM5" t="str">
        <f t="shared" si="10"/>
        <v/>
      </c>
      <c r="AN5" t="str">
        <f t="shared" si="11"/>
        <v/>
      </c>
      <c r="AO5" t="str">
        <f t="shared" si="12"/>
        <v/>
      </c>
      <c r="AP5" t="str">
        <f t="shared" si="13"/>
        <v/>
      </c>
      <c r="AQ5" t="str">
        <f t="shared" si="14"/>
        <v/>
      </c>
      <c r="AR5" t="str">
        <f t="shared" si="15"/>
        <v/>
      </c>
      <c r="AS5" t="str">
        <f t="shared" si="16"/>
        <v/>
      </c>
      <c r="AT5" t="str">
        <f t="shared" si="17"/>
        <v/>
      </c>
      <c r="AU5" t="str">
        <f t="shared" si="18"/>
        <v/>
      </c>
      <c r="AV5" t="str">
        <f t="shared" si="19"/>
        <v/>
      </c>
      <c r="AW5" t="str">
        <f t="shared" si="20"/>
        <v/>
      </c>
      <c r="AX5" t="str">
        <f t="shared" si="21"/>
        <v/>
      </c>
      <c r="AY5" t="str">
        <f t="shared" si="22"/>
        <v/>
      </c>
      <c r="AZ5" t="str">
        <f t="shared" si="23"/>
        <v/>
      </c>
      <c r="BA5" t="str">
        <f t="shared" si="24"/>
        <v/>
      </c>
      <c r="BB5" t="str">
        <f t="shared" si="25"/>
        <v/>
      </c>
      <c r="BC5" t="str">
        <f t="shared" si="26"/>
        <v/>
      </c>
      <c r="BD5" t="str">
        <f t="shared" si="27"/>
        <v/>
      </c>
      <c r="BE5" t="str">
        <f t="shared" si="28"/>
        <v/>
      </c>
      <c r="BF5" t="str">
        <f t="shared" si="29"/>
        <v/>
      </c>
      <c r="BG5" t="str">
        <f t="shared" si="30"/>
        <v/>
      </c>
      <c r="BH5" t="str">
        <f t="shared" si="31"/>
        <v/>
      </c>
    </row>
    <row r="6" spans="1:66" x14ac:dyDescent="0.2">
      <c r="A6">
        <v>3</v>
      </c>
      <c r="B6">
        <v>22</v>
      </c>
      <c r="C6" t="s">
        <v>39</v>
      </c>
      <c r="K6">
        <v>2</v>
      </c>
      <c r="L6">
        <v>1</v>
      </c>
      <c r="N6">
        <v>2</v>
      </c>
      <c r="O6">
        <v>2</v>
      </c>
      <c r="S6">
        <v>1</v>
      </c>
      <c r="T6">
        <v>1</v>
      </c>
      <c r="U6">
        <v>9</v>
      </c>
      <c r="X6">
        <f t="shared" si="33"/>
        <v>0</v>
      </c>
      <c r="Z6" t="str">
        <f t="shared" si="0"/>
        <v/>
      </c>
      <c r="AA6" t="str">
        <f t="shared" si="1"/>
        <v/>
      </c>
      <c r="AB6" t="str">
        <f t="shared" si="2"/>
        <v/>
      </c>
      <c r="AC6" t="str">
        <f t="shared" si="3"/>
        <v/>
      </c>
      <c r="AE6" t="str">
        <f t="shared" si="4"/>
        <v/>
      </c>
      <c r="AF6" t="str">
        <f t="shared" si="5"/>
        <v/>
      </c>
      <c r="AG6" t="str">
        <f t="shared" si="6"/>
        <v/>
      </c>
      <c r="AH6" t="str">
        <f t="shared" si="7"/>
        <v/>
      </c>
      <c r="AI6" t="str">
        <f t="shared" si="8"/>
        <v/>
      </c>
      <c r="AK6" t="str">
        <f t="shared" si="9"/>
        <v/>
      </c>
      <c r="AL6" t="str">
        <f t="shared" si="32"/>
        <v/>
      </c>
      <c r="AM6" t="str">
        <f t="shared" si="10"/>
        <v/>
      </c>
      <c r="AN6" t="str">
        <f t="shared" si="11"/>
        <v/>
      </c>
      <c r="AO6" t="str">
        <f t="shared" si="12"/>
        <v/>
      </c>
      <c r="AP6" t="str">
        <f t="shared" si="13"/>
        <v/>
      </c>
      <c r="AQ6" t="str">
        <f t="shared" si="14"/>
        <v/>
      </c>
      <c r="AR6" t="str">
        <f t="shared" si="15"/>
        <v/>
      </c>
      <c r="AS6" t="str">
        <f t="shared" si="16"/>
        <v/>
      </c>
      <c r="AT6" t="str">
        <f t="shared" si="17"/>
        <v/>
      </c>
      <c r="AU6" t="str">
        <f t="shared" si="18"/>
        <v/>
      </c>
      <c r="AV6" t="str">
        <f t="shared" si="19"/>
        <v/>
      </c>
      <c r="AW6" t="str">
        <f t="shared" si="20"/>
        <v/>
      </c>
      <c r="AX6" t="str">
        <f t="shared" si="21"/>
        <v/>
      </c>
      <c r="AY6" t="str">
        <f t="shared" si="22"/>
        <v/>
      </c>
      <c r="AZ6" t="str">
        <f t="shared" si="23"/>
        <v/>
      </c>
      <c r="BA6" t="str">
        <f t="shared" si="24"/>
        <v/>
      </c>
      <c r="BB6" t="str">
        <f t="shared" si="25"/>
        <v/>
      </c>
      <c r="BC6" t="str">
        <f t="shared" si="26"/>
        <v/>
      </c>
      <c r="BD6" t="str">
        <f t="shared" si="27"/>
        <v/>
      </c>
      <c r="BE6" t="str">
        <f t="shared" si="28"/>
        <v/>
      </c>
      <c r="BF6" t="str">
        <f t="shared" si="29"/>
        <v/>
      </c>
      <c r="BG6" t="str">
        <f t="shared" si="30"/>
        <v/>
      </c>
      <c r="BH6" t="str">
        <f t="shared" si="31"/>
        <v/>
      </c>
    </row>
    <row r="7" spans="1:66" x14ac:dyDescent="0.2">
      <c r="A7">
        <v>4</v>
      </c>
      <c r="B7">
        <v>33</v>
      </c>
      <c r="C7" t="s">
        <v>207</v>
      </c>
      <c r="D7">
        <v>1</v>
      </c>
      <c r="E7">
        <v>1</v>
      </c>
      <c r="F7">
        <v>1</v>
      </c>
      <c r="K7">
        <v>4</v>
      </c>
      <c r="N7">
        <v>3</v>
      </c>
      <c r="O7">
        <v>3</v>
      </c>
      <c r="S7">
        <v>1</v>
      </c>
      <c r="T7">
        <v>1</v>
      </c>
      <c r="X7">
        <f t="shared" si="33"/>
        <v>0</v>
      </c>
      <c r="Z7" t="str">
        <f t="shared" si="0"/>
        <v/>
      </c>
      <c r="AA7" t="str">
        <f t="shared" si="1"/>
        <v/>
      </c>
      <c r="AB7" t="str">
        <f t="shared" si="2"/>
        <v/>
      </c>
      <c r="AC7" t="str">
        <f t="shared" si="3"/>
        <v/>
      </c>
      <c r="AE7" t="str">
        <f t="shared" si="4"/>
        <v/>
      </c>
      <c r="AF7" t="str">
        <f t="shared" si="5"/>
        <v/>
      </c>
      <c r="AG7" t="str">
        <f t="shared" si="6"/>
        <v/>
      </c>
      <c r="AH7" t="str">
        <f t="shared" si="7"/>
        <v/>
      </c>
      <c r="AI7" t="str">
        <f t="shared" si="8"/>
        <v/>
      </c>
      <c r="AK7" t="str">
        <f t="shared" si="9"/>
        <v/>
      </c>
      <c r="AL7" t="str">
        <f t="shared" si="32"/>
        <v/>
      </c>
      <c r="AM7" t="str">
        <f t="shared" si="10"/>
        <v/>
      </c>
      <c r="AN7" t="str">
        <f t="shared" si="11"/>
        <v/>
      </c>
      <c r="AO7" t="str">
        <f t="shared" si="12"/>
        <v/>
      </c>
      <c r="AP7" t="str">
        <f t="shared" si="13"/>
        <v/>
      </c>
      <c r="AQ7" t="str">
        <f t="shared" si="14"/>
        <v/>
      </c>
      <c r="AR7" t="str">
        <f t="shared" si="15"/>
        <v/>
      </c>
      <c r="AS7" t="str">
        <f t="shared" si="16"/>
        <v/>
      </c>
      <c r="AT7" t="str">
        <f t="shared" si="17"/>
        <v/>
      </c>
      <c r="AU7" t="str">
        <f t="shared" si="18"/>
        <v/>
      </c>
      <c r="AV7" t="str">
        <f t="shared" si="19"/>
        <v/>
      </c>
      <c r="AW7" t="str">
        <f t="shared" si="20"/>
        <v/>
      </c>
      <c r="AX7" t="str">
        <f t="shared" si="21"/>
        <v/>
      </c>
      <c r="AY7" t="str">
        <f t="shared" si="22"/>
        <v/>
      </c>
      <c r="AZ7" t="str">
        <f t="shared" si="23"/>
        <v/>
      </c>
      <c r="BA7" t="str">
        <f t="shared" si="24"/>
        <v/>
      </c>
      <c r="BB7" t="str">
        <f t="shared" si="25"/>
        <v/>
      </c>
      <c r="BC7" t="str">
        <f t="shared" si="26"/>
        <v/>
      </c>
      <c r="BD7" t="str">
        <f t="shared" si="27"/>
        <v/>
      </c>
      <c r="BE7" t="str">
        <f t="shared" si="28"/>
        <v/>
      </c>
      <c r="BF7" t="str">
        <f t="shared" si="29"/>
        <v/>
      </c>
      <c r="BG7" t="str">
        <f t="shared" si="30"/>
        <v/>
      </c>
      <c r="BH7" t="str">
        <f t="shared" si="31"/>
        <v/>
      </c>
    </row>
    <row r="8" spans="1:66" x14ac:dyDescent="0.2">
      <c r="A8">
        <v>5</v>
      </c>
      <c r="B8">
        <v>44</v>
      </c>
      <c r="C8" t="s">
        <v>207</v>
      </c>
      <c r="D8">
        <v>1</v>
      </c>
      <c r="E8">
        <v>1</v>
      </c>
      <c r="F8">
        <v>1</v>
      </c>
      <c r="K8">
        <v>4</v>
      </c>
      <c r="N8">
        <v>3</v>
      </c>
      <c r="O8">
        <v>3</v>
      </c>
      <c r="S8">
        <v>1</v>
      </c>
      <c r="T8">
        <v>1</v>
      </c>
      <c r="U8">
        <v>8</v>
      </c>
      <c r="X8">
        <f t="shared" si="33"/>
        <v>0</v>
      </c>
      <c r="Z8" t="str">
        <f t="shared" si="0"/>
        <v/>
      </c>
      <c r="AA8" t="str">
        <f t="shared" si="1"/>
        <v/>
      </c>
      <c r="AB8" t="str">
        <f t="shared" si="2"/>
        <v/>
      </c>
      <c r="AC8" t="str">
        <f t="shared" si="3"/>
        <v/>
      </c>
      <c r="AE8" t="str">
        <f t="shared" si="4"/>
        <v/>
      </c>
      <c r="AF8" t="str">
        <f t="shared" si="5"/>
        <v/>
      </c>
      <c r="AG8" t="str">
        <f t="shared" si="6"/>
        <v/>
      </c>
      <c r="AH8" t="str">
        <f t="shared" si="7"/>
        <v/>
      </c>
      <c r="AI8" t="str">
        <f t="shared" si="8"/>
        <v/>
      </c>
      <c r="AK8" t="str">
        <f t="shared" si="9"/>
        <v/>
      </c>
      <c r="AL8" t="str">
        <f t="shared" si="32"/>
        <v/>
      </c>
      <c r="AM8" t="str">
        <f t="shared" si="10"/>
        <v/>
      </c>
      <c r="AN8" t="str">
        <f t="shared" si="11"/>
        <v/>
      </c>
      <c r="AO8" t="str">
        <f t="shared" si="12"/>
        <v/>
      </c>
      <c r="AP8" t="str">
        <f t="shared" si="13"/>
        <v/>
      </c>
      <c r="AQ8" t="str">
        <f t="shared" si="14"/>
        <v/>
      </c>
      <c r="AR8" t="str">
        <f t="shared" si="15"/>
        <v/>
      </c>
      <c r="AS8" t="str">
        <f t="shared" si="16"/>
        <v/>
      </c>
      <c r="AT8" t="str">
        <f t="shared" si="17"/>
        <v/>
      </c>
      <c r="AU8" t="str">
        <f t="shared" si="18"/>
        <v/>
      </c>
      <c r="AV8" t="str">
        <f t="shared" si="19"/>
        <v/>
      </c>
      <c r="AW8" t="str">
        <f t="shared" si="20"/>
        <v/>
      </c>
      <c r="AX8" t="str">
        <f t="shared" si="21"/>
        <v/>
      </c>
      <c r="AY8" t="str">
        <f t="shared" si="22"/>
        <v/>
      </c>
      <c r="AZ8" t="str">
        <f t="shared" si="23"/>
        <v/>
      </c>
      <c r="BA8" t="str">
        <f t="shared" si="24"/>
        <v/>
      </c>
      <c r="BB8" t="str">
        <f t="shared" si="25"/>
        <v/>
      </c>
      <c r="BC8" t="str">
        <f t="shared" si="26"/>
        <v/>
      </c>
      <c r="BD8" t="str">
        <f t="shared" si="27"/>
        <v/>
      </c>
      <c r="BE8" t="str">
        <f t="shared" si="28"/>
        <v/>
      </c>
      <c r="BF8" t="str">
        <f t="shared" si="29"/>
        <v/>
      </c>
      <c r="BG8" t="str">
        <f t="shared" si="30"/>
        <v/>
      </c>
      <c r="BH8" t="str">
        <f t="shared" si="31"/>
        <v/>
      </c>
    </row>
    <row r="9" spans="1:66" x14ac:dyDescent="0.2">
      <c r="A9">
        <v>6</v>
      </c>
      <c r="B9">
        <v>52</v>
      </c>
      <c r="C9" t="s">
        <v>207</v>
      </c>
      <c r="D9">
        <v>1</v>
      </c>
      <c r="E9">
        <v>1</v>
      </c>
      <c r="F9">
        <v>1</v>
      </c>
      <c r="K9">
        <v>3</v>
      </c>
      <c r="N9">
        <v>3</v>
      </c>
      <c r="O9">
        <v>3</v>
      </c>
      <c r="S9">
        <v>1</v>
      </c>
      <c r="T9">
        <v>1</v>
      </c>
      <c r="U9">
        <v>43</v>
      </c>
      <c r="X9">
        <f t="shared" si="33"/>
        <v>0</v>
      </c>
      <c r="Z9" t="str">
        <f t="shared" si="0"/>
        <v/>
      </c>
      <c r="AA9" t="str">
        <f t="shared" si="1"/>
        <v/>
      </c>
      <c r="AB9" t="str">
        <f t="shared" si="2"/>
        <v/>
      </c>
      <c r="AC9" t="str">
        <f t="shared" si="3"/>
        <v/>
      </c>
      <c r="AE9" t="str">
        <f t="shared" si="4"/>
        <v/>
      </c>
      <c r="AF9" t="str">
        <f t="shared" si="5"/>
        <v/>
      </c>
      <c r="AG9" t="str">
        <f t="shared" si="6"/>
        <v/>
      </c>
      <c r="AH9" t="str">
        <f t="shared" si="7"/>
        <v/>
      </c>
      <c r="AI9" t="str">
        <f t="shared" si="8"/>
        <v/>
      </c>
      <c r="AK9" t="str">
        <f t="shared" si="9"/>
        <v/>
      </c>
      <c r="AL9" t="str">
        <f t="shared" si="32"/>
        <v/>
      </c>
      <c r="AM9" t="str">
        <f t="shared" si="10"/>
        <v/>
      </c>
      <c r="AN9" t="str">
        <f t="shared" si="11"/>
        <v/>
      </c>
      <c r="AO9" t="str">
        <f t="shared" si="12"/>
        <v/>
      </c>
      <c r="AP9" t="str">
        <f t="shared" si="13"/>
        <v/>
      </c>
      <c r="AQ9" t="str">
        <f t="shared" si="14"/>
        <v/>
      </c>
      <c r="AR9" t="str">
        <f t="shared" si="15"/>
        <v/>
      </c>
      <c r="AS9" t="str">
        <f t="shared" si="16"/>
        <v/>
      </c>
      <c r="AT9" t="str">
        <f t="shared" si="17"/>
        <v/>
      </c>
      <c r="AU9" t="str">
        <f t="shared" si="18"/>
        <v/>
      </c>
      <c r="AV9" t="str">
        <f t="shared" si="19"/>
        <v/>
      </c>
      <c r="AW9" t="str">
        <f t="shared" si="20"/>
        <v/>
      </c>
      <c r="AX9" t="str">
        <f t="shared" si="21"/>
        <v/>
      </c>
      <c r="AY9" t="str">
        <f t="shared" si="22"/>
        <v/>
      </c>
      <c r="AZ9" t="str">
        <f t="shared" si="23"/>
        <v/>
      </c>
      <c r="BA9" t="str">
        <f t="shared" si="24"/>
        <v/>
      </c>
      <c r="BB9" t="str">
        <f t="shared" si="25"/>
        <v/>
      </c>
      <c r="BC9" t="str">
        <f t="shared" si="26"/>
        <v/>
      </c>
      <c r="BD9" t="str">
        <f t="shared" si="27"/>
        <v/>
      </c>
      <c r="BE9" t="str">
        <f t="shared" si="28"/>
        <v/>
      </c>
      <c r="BF9" t="str">
        <f t="shared" si="29"/>
        <v/>
      </c>
      <c r="BG9" t="str">
        <f t="shared" si="30"/>
        <v/>
      </c>
      <c r="BH9" t="str">
        <f t="shared" si="31"/>
        <v/>
      </c>
    </row>
    <row r="10" spans="1:66" x14ac:dyDescent="0.2">
      <c r="A10">
        <v>7</v>
      </c>
      <c r="B10">
        <v>67</v>
      </c>
      <c r="C10" t="s">
        <v>39</v>
      </c>
      <c r="D10">
        <v>1</v>
      </c>
      <c r="K10">
        <v>4</v>
      </c>
      <c r="N10">
        <v>4</v>
      </c>
      <c r="O10">
        <v>4</v>
      </c>
      <c r="S10">
        <v>1</v>
      </c>
      <c r="U10">
        <v>7</v>
      </c>
      <c r="X10">
        <f t="shared" si="33"/>
        <v>0</v>
      </c>
      <c r="Z10" t="str">
        <f t="shared" si="0"/>
        <v/>
      </c>
      <c r="AA10" t="str">
        <f t="shared" si="1"/>
        <v/>
      </c>
      <c r="AB10" t="str">
        <f t="shared" si="2"/>
        <v/>
      </c>
      <c r="AC10" t="str">
        <f t="shared" si="3"/>
        <v/>
      </c>
      <c r="AE10" t="str">
        <f t="shared" si="4"/>
        <v/>
      </c>
      <c r="AF10" t="str">
        <f t="shared" si="5"/>
        <v/>
      </c>
      <c r="AG10" t="str">
        <f t="shared" si="6"/>
        <v/>
      </c>
      <c r="AH10" t="str">
        <f t="shared" si="7"/>
        <v/>
      </c>
      <c r="AI10" t="str">
        <f t="shared" si="8"/>
        <v/>
      </c>
      <c r="AK10" t="str">
        <f t="shared" si="9"/>
        <v/>
      </c>
      <c r="AL10" t="str">
        <f t="shared" si="32"/>
        <v/>
      </c>
      <c r="AM10" t="str">
        <f t="shared" si="10"/>
        <v/>
      </c>
      <c r="AN10" t="str">
        <f t="shared" si="11"/>
        <v/>
      </c>
      <c r="AO10" t="str">
        <f t="shared" si="12"/>
        <v/>
      </c>
      <c r="AP10" t="str">
        <f t="shared" si="13"/>
        <v/>
      </c>
      <c r="AQ10" t="str">
        <f t="shared" si="14"/>
        <v/>
      </c>
      <c r="AR10" t="str">
        <f t="shared" si="15"/>
        <v/>
      </c>
      <c r="AS10" t="str">
        <f t="shared" si="16"/>
        <v/>
      </c>
      <c r="AT10" t="str">
        <f t="shared" si="17"/>
        <v/>
      </c>
      <c r="AU10" t="str">
        <f t="shared" si="18"/>
        <v/>
      </c>
      <c r="AV10" t="str">
        <f t="shared" si="19"/>
        <v/>
      </c>
      <c r="AW10" t="str">
        <f t="shared" si="20"/>
        <v/>
      </c>
      <c r="AX10" t="str">
        <f t="shared" si="21"/>
        <v/>
      </c>
      <c r="AY10" t="str">
        <f t="shared" si="22"/>
        <v/>
      </c>
      <c r="AZ10" t="str">
        <f t="shared" si="23"/>
        <v/>
      </c>
      <c r="BA10" t="str">
        <f t="shared" si="24"/>
        <v/>
      </c>
      <c r="BB10" t="str">
        <f t="shared" si="25"/>
        <v/>
      </c>
      <c r="BC10" t="str">
        <f t="shared" si="26"/>
        <v/>
      </c>
      <c r="BD10" t="str">
        <f t="shared" si="27"/>
        <v/>
      </c>
      <c r="BE10" t="str">
        <f t="shared" si="28"/>
        <v/>
      </c>
      <c r="BF10" t="str">
        <f t="shared" si="29"/>
        <v/>
      </c>
      <c r="BG10" t="str">
        <f t="shared" si="30"/>
        <v/>
      </c>
      <c r="BH10" t="str">
        <f t="shared" si="31"/>
        <v/>
      </c>
    </row>
    <row r="11" spans="1:66" x14ac:dyDescent="0.2">
      <c r="A11">
        <v>8</v>
      </c>
      <c r="B11">
        <v>74</v>
      </c>
      <c r="C11" t="s">
        <v>207</v>
      </c>
      <c r="D11">
        <v>1</v>
      </c>
      <c r="E11">
        <v>1</v>
      </c>
      <c r="F11">
        <v>1</v>
      </c>
      <c r="K11">
        <v>3</v>
      </c>
      <c r="N11">
        <v>3</v>
      </c>
      <c r="O11">
        <v>3</v>
      </c>
      <c r="S11">
        <v>1</v>
      </c>
      <c r="T11">
        <v>1</v>
      </c>
      <c r="X11">
        <f t="shared" si="33"/>
        <v>0</v>
      </c>
      <c r="Z11" t="str">
        <f t="shared" si="0"/>
        <v/>
      </c>
      <c r="AA11" t="str">
        <f t="shared" si="1"/>
        <v/>
      </c>
      <c r="AB11" t="str">
        <f t="shared" si="2"/>
        <v/>
      </c>
      <c r="AC11" t="str">
        <f t="shared" si="3"/>
        <v/>
      </c>
      <c r="AE11" t="str">
        <f t="shared" si="4"/>
        <v/>
      </c>
      <c r="AF11" t="str">
        <f t="shared" si="5"/>
        <v/>
      </c>
      <c r="AG11" t="str">
        <f t="shared" si="6"/>
        <v/>
      </c>
      <c r="AH11" t="str">
        <f t="shared" si="7"/>
        <v/>
      </c>
      <c r="AI11" t="str">
        <f t="shared" si="8"/>
        <v/>
      </c>
      <c r="AK11" t="str">
        <f t="shared" si="9"/>
        <v/>
      </c>
      <c r="AL11" t="str">
        <f t="shared" si="32"/>
        <v/>
      </c>
      <c r="AM11" t="str">
        <f t="shared" si="10"/>
        <v/>
      </c>
      <c r="AN11" t="str">
        <f t="shared" si="11"/>
        <v/>
      </c>
      <c r="AO11" t="str">
        <f t="shared" si="12"/>
        <v/>
      </c>
      <c r="AP11" t="str">
        <f t="shared" si="13"/>
        <v/>
      </c>
      <c r="AQ11" t="str">
        <f t="shared" si="14"/>
        <v/>
      </c>
      <c r="AR11" t="str">
        <f t="shared" si="15"/>
        <v/>
      </c>
      <c r="AS11" t="str">
        <f t="shared" si="16"/>
        <v/>
      </c>
      <c r="AT11" t="str">
        <f t="shared" si="17"/>
        <v/>
      </c>
      <c r="AU11" t="str">
        <f t="shared" si="18"/>
        <v/>
      </c>
      <c r="AV11" t="str">
        <f t="shared" si="19"/>
        <v/>
      </c>
      <c r="AW11" t="str">
        <f t="shared" si="20"/>
        <v/>
      </c>
      <c r="AX11" t="str">
        <f t="shared" si="21"/>
        <v/>
      </c>
      <c r="AY11" t="str">
        <f t="shared" si="22"/>
        <v/>
      </c>
      <c r="AZ11" t="str">
        <f t="shared" si="23"/>
        <v/>
      </c>
      <c r="BA11" t="str">
        <f t="shared" si="24"/>
        <v/>
      </c>
      <c r="BB11" t="str">
        <f t="shared" si="25"/>
        <v/>
      </c>
      <c r="BC11" t="str">
        <f t="shared" si="26"/>
        <v/>
      </c>
      <c r="BD11" t="str">
        <f t="shared" si="27"/>
        <v/>
      </c>
      <c r="BE11" t="str">
        <f t="shared" si="28"/>
        <v/>
      </c>
      <c r="BF11" t="str">
        <f t="shared" si="29"/>
        <v/>
      </c>
      <c r="BG11" t="str">
        <f t="shared" si="30"/>
        <v/>
      </c>
      <c r="BH11" t="str">
        <f t="shared" si="31"/>
        <v/>
      </c>
    </row>
    <row r="12" spans="1:66" x14ac:dyDescent="0.2">
      <c r="A12">
        <v>9</v>
      </c>
      <c r="B12">
        <v>81</v>
      </c>
      <c r="C12" t="s">
        <v>39</v>
      </c>
      <c r="D12">
        <v>1</v>
      </c>
      <c r="E12">
        <v>1</v>
      </c>
      <c r="F12">
        <v>1</v>
      </c>
      <c r="K12">
        <v>3</v>
      </c>
      <c r="N12">
        <v>3</v>
      </c>
      <c r="O12">
        <v>3</v>
      </c>
      <c r="S12">
        <v>1</v>
      </c>
      <c r="T12">
        <v>1</v>
      </c>
      <c r="X12">
        <f t="shared" si="33"/>
        <v>0</v>
      </c>
      <c r="Z12" t="str">
        <f t="shared" si="0"/>
        <v/>
      </c>
      <c r="AA12" t="str">
        <f t="shared" si="1"/>
        <v/>
      </c>
      <c r="AB12" t="str">
        <f t="shared" si="2"/>
        <v/>
      </c>
      <c r="AC12" t="str">
        <f t="shared" si="3"/>
        <v/>
      </c>
      <c r="AE12" t="str">
        <f t="shared" si="4"/>
        <v/>
      </c>
      <c r="AF12" t="str">
        <f t="shared" si="5"/>
        <v/>
      </c>
      <c r="AG12" t="str">
        <f t="shared" si="6"/>
        <v/>
      </c>
      <c r="AH12" t="str">
        <f t="shared" si="7"/>
        <v/>
      </c>
      <c r="AI12" t="str">
        <f t="shared" si="8"/>
        <v/>
      </c>
      <c r="AK12" t="str">
        <f t="shared" si="9"/>
        <v/>
      </c>
      <c r="AL12" t="str">
        <f t="shared" si="32"/>
        <v/>
      </c>
      <c r="AM12" t="str">
        <f t="shared" si="10"/>
        <v/>
      </c>
      <c r="AN12" t="str">
        <f t="shared" si="11"/>
        <v/>
      </c>
      <c r="AO12" t="str">
        <f t="shared" si="12"/>
        <v/>
      </c>
      <c r="AP12" t="str">
        <f t="shared" si="13"/>
        <v/>
      </c>
      <c r="AQ12" t="str">
        <f t="shared" si="14"/>
        <v/>
      </c>
      <c r="AR12" t="str">
        <f t="shared" si="15"/>
        <v/>
      </c>
      <c r="AS12" t="str">
        <f t="shared" si="16"/>
        <v/>
      </c>
      <c r="AT12" t="str">
        <f t="shared" si="17"/>
        <v/>
      </c>
      <c r="AU12" t="str">
        <f t="shared" si="18"/>
        <v/>
      </c>
      <c r="AV12" t="str">
        <f t="shared" si="19"/>
        <v/>
      </c>
      <c r="AW12" t="str">
        <f t="shared" si="20"/>
        <v/>
      </c>
      <c r="AX12" t="str">
        <f t="shared" si="21"/>
        <v/>
      </c>
      <c r="AY12" t="str">
        <f t="shared" si="22"/>
        <v/>
      </c>
      <c r="AZ12" t="str">
        <f t="shared" si="23"/>
        <v/>
      </c>
      <c r="BA12" t="str">
        <f t="shared" si="24"/>
        <v/>
      </c>
      <c r="BB12" t="str">
        <f t="shared" si="25"/>
        <v/>
      </c>
      <c r="BC12" t="str">
        <f t="shared" si="26"/>
        <v/>
      </c>
      <c r="BD12" t="str">
        <f t="shared" si="27"/>
        <v/>
      </c>
      <c r="BE12" t="str">
        <f t="shared" si="28"/>
        <v/>
      </c>
      <c r="BF12" t="str">
        <f t="shared" si="29"/>
        <v/>
      </c>
      <c r="BG12" t="str">
        <f t="shared" si="30"/>
        <v/>
      </c>
      <c r="BH12" t="str">
        <f t="shared" si="31"/>
        <v/>
      </c>
    </row>
    <row r="13" spans="1:66" x14ac:dyDescent="0.2">
      <c r="A13">
        <v>10</v>
      </c>
      <c r="B13">
        <v>91</v>
      </c>
      <c r="C13" t="s">
        <v>207</v>
      </c>
      <c r="D13">
        <v>1</v>
      </c>
      <c r="E13">
        <v>1</v>
      </c>
      <c r="F13">
        <v>1</v>
      </c>
      <c r="K13">
        <v>2</v>
      </c>
      <c r="N13">
        <v>2</v>
      </c>
      <c r="O13">
        <v>2</v>
      </c>
      <c r="S13">
        <v>1</v>
      </c>
      <c r="T13">
        <v>1</v>
      </c>
      <c r="U13">
        <v>8</v>
      </c>
      <c r="X13">
        <f>G13+H13+Q13+R13</f>
        <v>0</v>
      </c>
      <c r="Z13" t="str">
        <f t="shared" si="0"/>
        <v/>
      </c>
      <c r="AA13" t="str">
        <f t="shared" si="1"/>
        <v/>
      </c>
      <c r="AB13" t="str">
        <f t="shared" si="2"/>
        <v/>
      </c>
      <c r="AC13" t="str">
        <f t="shared" si="3"/>
        <v/>
      </c>
      <c r="AE13" t="str">
        <f t="shared" si="4"/>
        <v/>
      </c>
      <c r="AF13" t="str">
        <f t="shared" si="5"/>
        <v/>
      </c>
      <c r="AG13" t="str">
        <f t="shared" si="6"/>
        <v/>
      </c>
      <c r="AH13" t="str">
        <f t="shared" si="7"/>
        <v/>
      </c>
      <c r="AI13" t="str">
        <f t="shared" si="8"/>
        <v/>
      </c>
      <c r="AK13" t="str">
        <f t="shared" si="9"/>
        <v/>
      </c>
      <c r="AL13" t="str">
        <f t="shared" si="32"/>
        <v/>
      </c>
      <c r="AM13" t="str">
        <f t="shared" si="10"/>
        <v/>
      </c>
      <c r="AN13" t="str">
        <f t="shared" si="11"/>
        <v/>
      </c>
      <c r="AO13" t="str">
        <f t="shared" si="12"/>
        <v/>
      </c>
      <c r="AP13" t="str">
        <f t="shared" si="13"/>
        <v/>
      </c>
      <c r="AQ13" t="str">
        <f t="shared" si="14"/>
        <v/>
      </c>
      <c r="AR13" t="str">
        <f t="shared" si="15"/>
        <v/>
      </c>
      <c r="AS13" t="str">
        <f t="shared" si="16"/>
        <v/>
      </c>
      <c r="AT13" t="str">
        <f t="shared" si="17"/>
        <v/>
      </c>
      <c r="AU13" t="str">
        <f t="shared" si="18"/>
        <v/>
      </c>
      <c r="AV13" t="str">
        <f t="shared" si="19"/>
        <v/>
      </c>
      <c r="AW13" t="str">
        <f t="shared" si="20"/>
        <v/>
      </c>
      <c r="AX13" t="str">
        <f t="shared" si="21"/>
        <v/>
      </c>
      <c r="AY13" t="str">
        <f t="shared" si="22"/>
        <v/>
      </c>
      <c r="AZ13" t="str">
        <f t="shared" si="23"/>
        <v/>
      </c>
      <c r="BA13" t="str">
        <f t="shared" si="24"/>
        <v/>
      </c>
      <c r="BB13" t="str">
        <f t="shared" si="25"/>
        <v/>
      </c>
      <c r="BC13" t="str">
        <f t="shared" si="26"/>
        <v/>
      </c>
      <c r="BD13" t="str">
        <f t="shared" si="27"/>
        <v/>
      </c>
      <c r="BE13" t="str">
        <f t="shared" si="28"/>
        <v/>
      </c>
      <c r="BF13" t="str">
        <f t="shared" si="29"/>
        <v/>
      </c>
      <c r="BG13" t="str">
        <f t="shared" si="30"/>
        <v/>
      </c>
      <c r="BH13" t="str">
        <f t="shared" si="31"/>
        <v/>
      </c>
    </row>
    <row r="14" spans="1:66" x14ac:dyDescent="0.2">
      <c r="A14">
        <v>11</v>
      </c>
      <c r="B14">
        <v>108</v>
      </c>
      <c r="C14" t="s">
        <v>207</v>
      </c>
      <c r="D14">
        <v>1</v>
      </c>
      <c r="E14">
        <v>1</v>
      </c>
      <c r="F14">
        <v>1</v>
      </c>
      <c r="K14">
        <v>3</v>
      </c>
      <c r="N14">
        <v>3</v>
      </c>
      <c r="O14">
        <v>3</v>
      </c>
      <c r="S14">
        <v>1</v>
      </c>
      <c r="T14">
        <v>1</v>
      </c>
      <c r="U14">
        <v>3</v>
      </c>
      <c r="X14">
        <f t="shared" si="33"/>
        <v>0</v>
      </c>
      <c r="Z14" t="s">
        <v>31</v>
      </c>
      <c r="AE14" t="s">
        <v>34</v>
      </c>
      <c r="AK14" t="s">
        <v>43</v>
      </c>
      <c r="AP14" t="s">
        <v>84</v>
      </c>
    </row>
    <row r="15" spans="1:66" x14ac:dyDescent="0.2">
      <c r="A15">
        <v>12</v>
      </c>
      <c r="B15">
        <v>116</v>
      </c>
      <c r="C15" t="s">
        <v>39</v>
      </c>
      <c r="D15">
        <v>1</v>
      </c>
      <c r="F15">
        <v>1</v>
      </c>
      <c r="K15">
        <v>4</v>
      </c>
      <c r="N15">
        <v>4</v>
      </c>
      <c r="O15">
        <v>4</v>
      </c>
      <c r="S15">
        <v>1</v>
      </c>
      <c r="T15">
        <v>1</v>
      </c>
      <c r="X15">
        <f t="shared" si="33"/>
        <v>0</v>
      </c>
      <c r="Z15" t="s">
        <v>21</v>
      </c>
      <c r="AA15" t="s">
        <v>22</v>
      </c>
      <c r="AE15" t="s">
        <v>21</v>
      </c>
      <c r="AF15" t="s">
        <v>22</v>
      </c>
      <c r="AG15" t="s">
        <v>35</v>
      </c>
      <c r="AK15" t="s">
        <v>10</v>
      </c>
      <c r="AL15" t="s">
        <v>25</v>
      </c>
      <c r="AM15" t="s">
        <v>26</v>
      </c>
      <c r="AN15" t="s">
        <v>27</v>
      </c>
      <c r="AP15" t="s">
        <v>15</v>
      </c>
      <c r="AQ15" t="s">
        <v>85</v>
      </c>
    </row>
    <row r="16" spans="1:66" x14ac:dyDescent="0.2">
      <c r="A16" t="s">
        <v>28</v>
      </c>
      <c r="D16">
        <f>SUM(D4:D15)</f>
        <v>11</v>
      </c>
      <c r="E16">
        <f>SUM(E4:E15)</f>
        <v>8</v>
      </c>
      <c r="F16">
        <f>SUM(F4:F15)</f>
        <v>9</v>
      </c>
      <c r="G16">
        <f>SUM(G4:G15)</f>
        <v>0</v>
      </c>
      <c r="H16">
        <f>SUM(H4:H15)</f>
        <v>0</v>
      </c>
      <c r="K16">
        <f>SUM(K4:K15)</f>
        <v>37</v>
      </c>
      <c r="L16">
        <f>SUM(L4:L15)</f>
        <v>1</v>
      </c>
      <c r="M16">
        <f>SUM(M4:M15)</f>
        <v>0</v>
      </c>
      <c r="N16">
        <f>SUM(N4:N15)</f>
        <v>36</v>
      </c>
      <c r="O16">
        <f>SUM(O4:O15)</f>
        <v>35</v>
      </c>
      <c r="Q16">
        <f t="shared" ref="Q16:R16" si="34">SUM(Q4:Q15)</f>
        <v>0</v>
      </c>
      <c r="R16">
        <f t="shared" si="34"/>
        <v>0</v>
      </c>
      <c r="S16">
        <f>SUM(S4:S15)</f>
        <v>12</v>
      </c>
      <c r="T16">
        <f>SUM(T4:T15)</f>
        <v>11</v>
      </c>
      <c r="U16">
        <f>SUM(U4:U15)</f>
        <v>78</v>
      </c>
      <c r="V16">
        <f>SUM(V4:V15)</f>
        <v>0</v>
      </c>
      <c r="W16">
        <f>SUM(W4:W15)</f>
        <v>0</v>
      </c>
      <c r="Z16">
        <f t="shared" ref="Z16:Z27" si="35">COUNTIF(Z2:AC2, "3")*COUNTIF(C4, "r")+COUNTIF(Z2:AC2, "5")*COUNTIF(C4, "b")</f>
        <v>0</v>
      </c>
      <c r="AA16">
        <f t="shared" ref="AA16:AA27" si="36">COUNTIF(Z2:AC2, "1")+COUNTIF(Z2:AC2, "2")+COUNTIF(Z2:AC2, "4")</f>
        <v>0</v>
      </c>
      <c r="AE16">
        <f t="shared" ref="AE16:AE27" si="37">COUNTIF(AE2:AI2, "3")*COUNTIF(C4, "r") + COUNTIF(AE2:AI2, "5")*COUNTIF(C4, "b")</f>
        <v>0</v>
      </c>
      <c r="AF16">
        <f t="shared" ref="AF16:AF27" si="38">COUNTIF(AE2:AI2, "1")+COUNTIF(AE2:AI2, "2")+COUNTIF(AE2:AI2, "4")</f>
        <v>0</v>
      </c>
      <c r="AG16">
        <f t="shared" ref="AG16:AG27" si="39">COUNTIF(AE2:AI2, "3")*COUNTIF(AE2:AI2, "b")+COUNTIF(AE2:AI2, "5")*COUNTIF(AE2:AI2, "r")</f>
        <v>0</v>
      </c>
      <c r="AK16">
        <f t="shared" ref="AK16:AK27" si="40">SUMPRODUCT(LEN($AK2:$BH2) - LEN(SUBSTITUTE($AK2:$BH2, "g", "")))</f>
        <v>0</v>
      </c>
      <c r="AL16">
        <f t="shared" ref="AL16:AL27" si="41">SUMPRODUCT(LEN($AK2:$BH2) - LEN(SUBSTITUTE($AK2:$BH2, "h", "")))</f>
        <v>0</v>
      </c>
      <c r="AM16">
        <f t="shared" ref="AM16:AM27" si="42">SUMPRODUCT(LEN($AK2:$BH2) - LEN(SUBSTITUTE($AK2:$BH2, "v", "")))</f>
        <v>0</v>
      </c>
      <c r="AN16">
        <f t="shared" ref="AN16:AN27" si="43">SUMPRODUCT(LEN($AK2:$BH2) - LEN(SUBSTITUTE($AK2:$BH2, "r", "")))</f>
        <v>0</v>
      </c>
      <c r="AP16">
        <f>MAX(AQ16:BN16)</f>
        <v>0</v>
      </c>
      <c r="AQ16" s="4">
        <f>_xlfn.NUMBERVALUE(RIGHT(AK2,1))</f>
        <v>0</v>
      </c>
      <c r="AR16" s="4">
        <f t="shared" ref="AR16:BG27" si="44">_xlfn.NUMBERVALUE(RIGHT(AL2,1))</f>
        <v>0</v>
      </c>
      <c r="AS16" s="4">
        <f t="shared" si="44"/>
        <v>0</v>
      </c>
      <c r="AT16" s="4">
        <f t="shared" si="44"/>
        <v>0</v>
      </c>
      <c r="AU16" s="4">
        <f t="shared" si="44"/>
        <v>0</v>
      </c>
      <c r="AV16" s="4">
        <f t="shared" si="44"/>
        <v>0</v>
      </c>
      <c r="AW16" s="4">
        <f t="shared" si="44"/>
        <v>0</v>
      </c>
      <c r="AX16" s="4">
        <f t="shared" si="44"/>
        <v>0</v>
      </c>
      <c r="AY16" s="4">
        <f t="shared" si="44"/>
        <v>0</v>
      </c>
      <c r="AZ16" s="4">
        <f t="shared" si="44"/>
        <v>0</v>
      </c>
      <c r="BA16" s="4">
        <f t="shared" si="44"/>
        <v>0</v>
      </c>
      <c r="BB16" s="4">
        <f t="shared" si="44"/>
        <v>0</v>
      </c>
      <c r="BC16" s="4">
        <f t="shared" si="44"/>
        <v>0</v>
      </c>
      <c r="BD16" s="4">
        <f t="shared" si="44"/>
        <v>0</v>
      </c>
      <c r="BE16" s="4">
        <f t="shared" si="44"/>
        <v>0</v>
      </c>
      <c r="BF16" s="4">
        <f t="shared" si="44"/>
        <v>0</v>
      </c>
      <c r="BG16" s="4">
        <f t="shared" si="44"/>
        <v>0</v>
      </c>
      <c r="BH16" s="4">
        <f t="shared" ref="BH16:BN27" si="45">_xlfn.NUMBERVALUE(RIGHT(BB2,1))</f>
        <v>0</v>
      </c>
      <c r="BI16" s="4">
        <f t="shared" si="45"/>
        <v>0</v>
      </c>
      <c r="BJ16" s="4">
        <f t="shared" si="45"/>
        <v>0</v>
      </c>
      <c r="BK16" s="4">
        <f t="shared" si="45"/>
        <v>0</v>
      </c>
      <c r="BL16" s="4">
        <f t="shared" si="45"/>
        <v>0</v>
      </c>
      <c r="BM16" s="4">
        <f t="shared" si="45"/>
        <v>0</v>
      </c>
      <c r="BN16" s="4">
        <f t="shared" si="45"/>
        <v>0</v>
      </c>
    </row>
    <row r="17" spans="1:66" x14ac:dyDescent="0.2">
      <c r="A17" s="1" t="s">
        <v>20</v>
      </c>
      <c r="D17" s="1" t="s">
        <v>49</v>
      </c>
      <c r="G17" s="1" t="s">
        <v>52</v>
      </c>
      <c r="K17" s="3" t="s">
        <v>74</v>
      </c>
      <c r="P17" s="1" t="s">
        <v>66</v>
      </c>
      <c r="Z17">
        <f t="shared" si="35"/>
        <v>0</v>
      </c>
      <c r="AA17">
        <f t="shared" si="36"/>
        <v>0</v>
      </c>
      <c r="AE17">
        <f t="shared" si="37"/>
        <v>0</v>
      </c>
      <c r="AF17">
        <f t="shared" si="38"/>
        <v>0</v>
      </c>
      <c r="AG17">
        <f t="shared" si="39"/>
        <v>0</v>
      </c>
      <c r="AK17">
        <f t="shared" si="40"/>
        <v>0</v>
      </c>
      <c r="AL17">
        <f t="shared" si="41"/>
        <v>0</v>
      </c>
      <c r="AM17">
        <f t="shared" si="42"/>
        <v>0</v>
      </c>
      <c r="AN17">
        <f t="shared" si="43"/>
        <v>0</v>
      </c>
      <c r="AP17">
        <f t="shared" ref="AP17:AP27" si="46">MAX(AQ17:BN17)</f>
        <v>0</v>
      </c>
      <c r="AQ17" s="4">
        <f t="shared" ref="AQ17:AQ27" si="47">_xlfn.NUMBERVALUE(RIGHT(AK3,1))</f>
        <v>0</v>
      </c>
      <c r="AR17" s="4">
        <f t="shared" si="44"/>
        <v>0</v>
      </c>
      <c r="AS17" s="4">
        <f t="shared" si="44"/>
        <v>0</v>
      </c>
      <c r="AT17" s="4">
        <f t="shared" si="44"/>
        <v>0</v>
      </c>
      <c r="AU17" s="4">
        <f t="shared" si="44"/>
        <v>0</v>
      </c>
      <c r="AV17" s="4">
        <f t="shared" si="44"/>
        <v>0</v>
      </c>
      <c r="AW17" s="4">
        <f t="shared" si="44"/>
        <v>0</v>
      </c>
      <c r="AX17" s="4">
        <f t="shared" si="44"/>
        <v>0</v>
      </c>
      <c r="AY17" s="4">
        <f t="shared" si="44"/>
        <v>0</v>
      </c>
      <c r="AZ17" s="4">
        <f t="shared" si="44"/>
        <v>0</v>
      </c>
      <c r="BA17" s="4">
        <f t="shared" si="44"/>
        <v>0</v>
      </c>
      <c r="BB17" s="4">
        <f t="shared" si="44"/>
        <v>0</v>
      </c>
      <c r="BC17" s="4">
        <f t="shared" si="44"/>
        <v>0</v>
      </c>
      <c r="BD17" s="4">
        <f t="shared" si="44"/>
        <v>0</v>
      </c>
      <c r="BE17" s="4">
        <f t="shared" si="44"/>
        <v>0</v>
      </c>
      <c r="BF17" s="4">
        <f t="shared" si="44"/>
        <v>0</v>
      </c>
      <c r="BG17" s="4">
        <f t="shared" si="44"/>
        <v>0</v>
      </c>
      <c r="BH17" s="4">
        <f t="shared" si="45"/>
        <v>0</v>
      </c>
      <c r="BI17" s="4">
        <f t="shared" si="45"/>
        <v>0</v>
      </c>
      <c r="BJ17" s="4">
        <f t="shared" si="45"/>
        <v>0</v>
      </c>
      <c r="BK17" s="4">
        <f t="shared" si="45"/>
        <v>0</v>
      </c>
      <c r="BL17" s="4">
        <f t="shared" si="45"/>
        <v>0</v>
      </c>
      <c r="BM17" s="4">
        <f t="shared" si="45"/>
        <v>0</v>
      </c>
      <c r="BN17" s="4">
        <f t="shared" si="45"/>
        <v>0</v>
      </c>
    </row>
    <row r="18" spans="1:66" x14ac:dyDescent="0.2">
      <c r="A18" t="s">
        <v>32</v>
      </c>
      <c r="B18" t="s">
        <v>21</v>
      </c>
      <c r="D18" t="s">
        <v>180</v>
      </c>
      <c r="G18" s="3" t="s">
        <v>53</v>
      </c>
      <c r="K18" t="s">
        <v>55</v>
      </c>
      <c r="M18" t="s">
        <v>65</v>
      </c>
      <c r="P18" t="s">
        <v>67</v>
      </c>
      <c r="Z18">
        <f t="shared" si="35"/>
        <v>0</v>
      </c>
      <c r="AA18">
        <f t="shared" si="36"/>
        <v>0</v>
      </c>
      <c r="AE18">
        <f t="shared" si="37"/>
        <v>0</v>
      </c>
      <c r="AF18">
        <f t="shared" si="38"/>
        <v>0</v>
      </c>
      <c r="AG18">
        <f t="shared" si="39"/>
        <v>0</v>
      </c>
      <c r="AK18">
        <f t="shared" si="40"/>
        <v>0</v>
      </c>
      <c r="AL18">
        <f t="shared" si="41"/>
        <v>0</v>
      </c>
      <c r="AM18">
        <f t="shared" si="42"/>
        <v>0</v>
      </c>
      <c r="AN18">
        <f t="shared" si="43"/>
        <v>0</v>
      </c>
      <c r="AP18">
        <f t="shared" si="46"/>
        <v>0</v>
      </c>
      <c r="AQ18" s="4">
        <f t="shared" si="47"/>
        <v>0</v>
      </c>
      <c r="AR18" s="4">
        <f t="shared" si="44"/>
        <v>0</v>
      </c>
      <c r="AS18" s="4">
        <f t="shared" si="44"/>
        <v>0</v>
      </c>
      <c r="AT18" s="4">
        <f t="shared" si="44"/>
        <v>0</v>
      </c>
      <c r="AU18" s="4">
        <f t="shared" si="44"/>
        <v>0</v>
      </c>
      <c r="AV18" s="4">
        <f t="shared" si="44"/>
        <v>0</v>
      </c>
      <c r="AW18" s="4">
        <f t="shared" si="44"/>
        <v>0</v>
      </c>
      <c r="AX18" s="4">
        <f t="shared" si="44"/>
        <v>0</v>
      </c>
      <c r="AY18" s="4">
        <f t="shared" si="44"/>
        <v>0</v>
      </c>
      <c r="AZ18" s="4">
        <f t="shared" si="44"/>
        <v>0</v>
      </c>
      <c r="BA18" s="4">
        <f t="shared" si="44"/>
        <v>0</v>
      </c>
      <c r="BB18" s="4">
        <f t="shared" si="44"/>
        <v>0</v>
      </c>
      <c r="BC18" s="4">
        <f t="shared" si="44"/>
        <v>0</v>
      </c>
      <c r="BD18" s="4">
        <f t="shared" si="44"/>
        <v>0</v>
      </c>
      <c r="BE18" s="4">
        <f t="shared" si="44"/>
        <v>0</v>
      </c>
      <c r="BF18" s="4">
        <f t="shared" si="44"/>
        <v>0</v>
      </c>
      <c r="BG18" s="4">
        <f t="shared" si="44"/>
        <v>0</v>
      </c>
      <c r="BH18" s="4">
        <f t="shared" si="45"/>
        <v>0</v>
      </c>
      <c r="BI18" s="4">
        <f t="shared" si="45"/>
        <v>0</v>
      </c>
      <c r="BJ18" s="4">
        <f t="shared" si="45"/>
        <v>0</v>
      </c>
      <c r="BK18" s="4">
        <f t="shared" si="45"/>
        <v>0</v>
      </c>
      <c r="BL18" s="4">
        <f t="shared" si="45"/>
        <v>0</v>
      </c>
      <c r="BM18" s="4">
        <f t="shared" si="45"/>
        <v>0</v>
      </c>
      <c r="BN18" s="4">
        <f t="shared" si="45"/>
        <v>0</v>
      </c>
    </row>
    <row r="19" spans="1:66" x14ac:dyDescent="0.2">
      <c r="A19" t="s">
        <v>40</v>
      </c>
      <c r="B19" t="s">
        <v>22</v>
      </c>
      <c r="D19">
        <f>E16/D16</f>
        <v>0.72727272727272729</v>
      </c>
      <c r="G19" t="s">
        <v>75</v>
      </c>
      <c r="K19">
        <f>O16/N16</f>
        <v>0.97222222222222221</v>
      </c>
      <c r="M19">
        <f>SUM(M39:M50)</f>
        <v>2</v>
      </c>
      <c r="P19">
        <f>T16/S16</f>
        <v>0.91666666666666663</v>
      </c>
      <c r="Z19">
        <f t="shared" si="35"/>
        <v>0</v>
      </c>
      <c r="AA19">
        <f t="shared" si="36"/>
        <v>0</v>
      </c>
      <c r="AE19">
        <f t="shared" si="37"/>
        <v>0</v>
      </c>
      <c r="AF19">
        <f t="shared" si="38"/>
        <v>0</v>
      </c>
      <c r="AG19">
        <f t="shared" si="39"/>
        <v>0</v>
      </c>
      <c r="AK19">
        <f t="shared" si="40"/>
        <v>0</v>
      </c>
      <c r="AL19">
        <f t="shared" si="41"/>
        <v>0</v>
      </c>
      <c r="AM19">
        <f t="shared" si="42"/>
        <v>0</v>
      </c>
      <c r="AN19">
        <f t="shared" si="43"/>
        <v>0</v>
      </c>
      <c r="AP19">
        <f t="shared" si="46"/>
        <v>0</v>
      </c>
      <c r="AQ19" s="4">
        <f t="shared" si="47"/>
        <v>0</v>
      </c>
      <c r="AR19" s="4">
        <f t="shared" si="44"/>
        <v>0</v>
      </c>
      <c r="AS19" s="4">
        <f t="shared" si="44"/>
        <v>0</v>
      </c>
      <c r="AT19" s="4">
        <f t="shared" si="44"/>
        <v>0</v>
      </c>
      <c r="AU19" s="4">
        <f t="shared" si="44"/>
        <v>0</v>
      </c>
      <c r="AV19" s="4">
        <f t="shared" si="44"/>
        <v>0</v>
      </c>
      <c r="AW19" s="4">
        <f t="shared" si="44"/>
        <v>0</v>
      </c>
      <c r="AX19" s="4">
        <f t="shared" si="44"/>
        <v>0</v>
      </c>
      <c r="AY19" s="4">
        <f t="shared" si="44"/>
        <v>0</v>
      </c>
      <c r="AZ19" s="4">
        <f t="shared" si="44"/>
        <v>0</v>
      </c>
      <c r="BA19" s="4">
        <f t="shared" si="44"/>
        <v>0</v>
      </c>
      <c r="BB19" s="4">
        <f t="shared" si="44"/>
        <v>0</v>
      </c>
      <c r="BC19" s="4">
        <f t="shared" si="44"/>
        <v>0</v>
      </c>
      <c r="BD19" s="4">
        <f t="shared" si="44"/>
        <v>0</v>
      </c>
      <c r="BE19" s="4">
        <f t="shared" si="44"/>
        <v>0</v>
      </c>
      <c r="BF19" s="4">
        <f t="shared" si="44"/>
        <v>0</v>
      </c>
      <c r="BG19" s="4">
        <f t="shared" si="44"/>
        <v>0</v>
      </c>
      <c r="BH19" s="4">
        <f t="shared" si="45"/>
        <v>0</v>
      </c>
      <c r="BI19" s="4">
        <f t="shared" si="45"/>
        <v>0</v>
      </c>
      <c r="BJ19" s="4">
        <f t="shared" si="45"/>
        <v>0</v>
      </c>
      <c r="BK19" s="4">
        <f t="shared" si="45"/>
        <v>0</v>
      </c>
      <c r="BL19" s="4">
        <f t="shared" si="45"/>
        <v>0</v>
      </c>
      <c r="BM19" s="4">
        <f t="shared" si="45"/>
        <v>0</v>
      </c>
      <c r="BN19" s="4">
        <f t="shared" si="45"/>
        <v>0</v>
      </c>
    </row>
    <row r="20" spans="1:66" x14ac:dyDescent="0.2">
      <c r="A20" t="s">
        <v>41</v>
      </c>
      <c r="B20" t="s">
        <v>23</v>
      </c>
      <c r="D20" t="s">
        <v>47</v>
      </c>
      <c r="G20" t="e">
        <f>AK28/AP28</f>
        <v>#DIV/0!</v>
      </c>
      <c r="K20" t="s">
        <v>13</v>
      </c>
      <c r="Z20">
        <f t="shared" si="35"/>
        <v>0</v>
      </c>
      <c r="AA20">
        <f t="shared" si="36"/>
        <v>0</v>
      </c>
      <c r="AE20">
        <f t="shared" si="37"/>
        <v>0</v>
      </c>
      <c r="AF20">
        <f t="shared" si="38"/>
        <v>0</v>
      </c>
      <c r="AG20">
        <f t="shared" si="39"/>
        <v>0</v>
      </c>
      <c r="AK20">
        <f t="shared" si="40"/>
        <v>0</v>
      </c>
      <c r="AL20">
        <f t="shared" si="41"/>
        <v>0</v>
      </c>
      <c r="AM20">
        <f t="shared" si="42"/>
        <v>0</v>
      </c>
      <c r="AN20">
        <f t="shared" si="43"/>
        <v>0</v>
      </c>
      <c r="AP20">
        <f t="shared" si="46"/>
        <v>0</v>
      </c>
      <c r="AQ20" s="4">
        <f t="shared" si="47"/>
        <v>0</v>
      </c>
      <c r="AR20" s="4">
        <f t="shared" si="44"/>
        <v>0</v>
      </c>
      <c r="AS20" s="4">
        <f t="shared" si="44"/>
        <v>0</v>
      </c>
      <c r="AT20" s="4">
        <f t="shared" si="44"/>
        <v>0</v>
      </c>
      <c r="AU20" s="4">
        <f t="shared" si="44"/>
        <v>0</v>
      </c>
      <c r="AV20" s="4">
        <f t="shared" si="44"/>
        <v>0</v>
      </c>
      <c r="AW20" s="4">
        <f t="shared" si="44"/>
        <v>0</v>
      </c>
      <c r="AX20" s="4">
        <f t="shared" si="44"/>
        <v>0</v>
      </c>
      <c r="AY20" s="4">
        <f t="shared" si="44"/>
        <v>0</v>
      </c>
      <c r="AZ20" s="4">
        <f t="shared" si="44"/>
        <v>0</v>
      </c>
      <c r="BA20" s="4">
        <f t="shared" si="44"/>
        <v>0</v>
      </c>
      <c r="BB20" s="4">
        <f t="shared" si="44"/>
        <v>0</v>
      </c>
      <c r="BC20" s="4">
        <f t="shared" si="44"/>
        <v>0</v>
      </c>
      <c r="BD20" s="4">
        <f t="shared" si="44"/>
        <v>0</v>
      </c>
      <c r="BE20" s="4">
        <f t="shared" si="44"/>
        <v>0</v>
      </c>
      <c r="BF20" s="4">
        <f t="shared" si="44"/>
        <v>0</v>
      </c>
      <c r="BG20" s="4">
        <f t="shared" si="44"/>
        <v>0</v>
      </c>
      <c r="BH20" s="4">
        <f t="shared" si="45"/>
        <v>0</v>
      </c>
      <c r="BI20" s="4">
        <f t="shared" si="45"/>
        <v>0</v>
      </c>
      <c r="BJ20" s="4">
        <f t="shared" si="45"/>
        <v>0</v>
      </c>
      <c r="BK20" s="4">
        <f t="shared" si="45"/>
        <v>0</v>
      </c>
      <c r="BL20" s="4">
        <f t="shared" si="45"/>
        <v>0</v>
      </c>
      <c r="BM20" s="4">
        <f t="shared" si="45"/>
        <v>0</v>
      </c>
      <c r="BN20" s="4">
        <f t="shared" si="45"/>
        <v>0</v>
      </c>
    </row>
    <row r="21" spans="1:66" x14ac:dyDescent="0.2">
      <c r="A21" s="1" t="s">
        <v>24</v>
      </c>
      <c r="D21">
        <f>G16/A31</f>
        <v>0</v>
      </c>
      <c r="G21" t="s">
        <v>76</v>
      </c>
      <c r="K21" t="s">
        <v>57</v>
      </c>
      <c r="L21" t="s">
        <v>58</v>
      </c>
      <c r="M21" t="s">
        <v>59</v>
      </c>
      <c r="N21" t="s">
        <v>60</v>
      </c>
      <c r="Z21">
        <f t="shared" si="35"/>
        <v>0</v>
      </c>
      <c r="AA21">
        <f t="shared" si="36"/>
        <v>0</v>
      </c>
      <c r="AE21">
        <f t="shared" si="37"/>
        <v>0</v>
      </c>
      <c r="AF21">
        <f t="shared" si="38"/>
        <v>0</v>
      </c>
      <c r="AG21">
        <f t="shared" si="39"/>
        <v>0</v>
      </c>
      <c r="AK21">
        <f t="shared" si="40"/>
        <v>0</v>
      </c>
      <c r="AL21">
        <f t="shared" si="41"/>
        <v>0</v>
      </c>
      <c r="AM21">
        <f t="shared" si="42"/>
        <v>0</v>
      </c>
      <c r="AN21">
        <f t="shared" si="43"/>
        <v>0</v>
      </c>
      <c r="AP21">
        <f t="shared" si="46"/>
        <v>0</v>
      </c>
      <c r="AQ21" s="4">
        <f t="shared" si="47"/>
        <v>0</v>
      </c>
      <c r="AR21" s="4">
        <f t="shared" si="44"/>
        <v>0</v>
      </c>
      <c r="AS21" s="4">
        <f t="shared" si="44"/>
        <v>0</v>
      </c>
      <c r="AT21" s="4">
        <f t="shared" si="44"/>
        <v>0</v>
      </c>
      <c r="AU21" s="4">
        <f t="shared" si="44"/>
        <v>0</v>
      </c>
      <c r="AV21" s="4">
        <f t="shared" si="44"/>
        <v>0</v>
      </c>
      <c r="AW21" s="4">
        <f t="shared" si="44"/>
        <v>0</v>
      </c>
      <c r="AX21" s="4">
        <f t="shared" si="44"/>
        <v>0</v>
      </c>
      <c r="AY21" s="4">
        <f t="shared" si="44"/>
        <v>0</v>
      </c>
      <c r="AZ21" s="4">
        <f t="shared" si="44"/>
        <v>0</v>
      </c>
      <c r="BA21" s="4">
        <f t="shared" si="44"/>
        <v>0</v>
      </c>
      <c r="BB21" s="4">
        <f t="shared" si="44"/>
        <v>0</v>
      </c>
      <c r="BC21" s="4">
        <f t="shared" si="44"/>
        <v>0</v>
      </c>
      <c r="BD21" s="4">
        <f t="shared" si="44"/>
        <v>0</v>
      </c>
      <c r="BE21" s="4">
        <f t="shared" si="44"/>
        <v>0</v>
      </c>
      <c r="BF21" s="4">
        <f t="shared" si="44"/>
        <v>0</v>
      </c>
      <c r="BG21" s="4">
        <f t="shared" si="44"/>
        <v>0</v>
      </c>
      <c r="BH21" s="4">
        <f t="shared" si="45"/>
        <v>0</v>
      </c>
      <c r="BI21" s="4">
        <f t="shared" si="45"/>
        <v>0</v>
      </c>
      <c r="BJ21" s="4">
        <f t="shared" si="45"/>
        <v>0</v>
      </c>
      <c r="BK21" s="4">
        <f t="shared" si="45"/>
        <v>0</v>
      </c>
      <c r="BL21" s="4">
        <f t="shared" si="45"/>
        <v>0</v>
      </c>
      <c r="BM21" s="4">
        <f t="shared" si="45"/>
        <v>0</v>
      </c>
      <c r="BN21" s="4">
        <f t="shared" si="45"/>
        <v>0</v>
      </c>
    </row>
    <row r="22" spans="1:66" x14ac:dyDescent="0.2">
      <c r="A22" t="s">
        <v>36</v>
      </c>
      <c r="B22" t="s">
        <v>10</v>
      </c>
      <c r="D22" t="s">
        <v>48</v>
      </c>
      <c r="G22" t="e">
        <f>AL28/AP28</f>
        <v>#DIV/0!</v>
      </c>
      <c r="K22">
        <f>AVERAGE(C39:C50)</f>
        <v>2.9166666666666665</v>
      </c>
      <c r="L22">
        <f>MEDIAN(C39:C50)</f>
        <v>3</v>
      </c>
      <c r="M22">
        <f>MAX(C39:C50)</f>
        <v>4</v>
      </c>
      <c r="N22">
        <f>_xlfn.STDEV.S(C39:C50)</f>
        <v>0.66855792342152176</v>
      </c>
      <c r="Z22">
        <f t="shared" si="35"/>
        <v>0</v>
      </c>
      <c r="AA22">
        <f t="shared" si="36"/>
        <v>0</v>
      </c>
      <c r="AE22">
        <f t="shared" si="37"/>
        <v>0</v>
      </c>
      <c r="AF22">
        <f t="shared" si="38"/>
        <v>0</v>
      </c>
      <c r="AG22">
        <f t="shared" si="39"/>
        <v>0</v>
      </c>
      <c r="AK22">
        <f t="shared" si="40"/>
        <v>0</v>
      </c>
      <c r="AL22">
        <f t="shared" si="41"/>
        <v>0</v>
      </c>
      <c r="AM22">
        <f t="shared" si="42"/>
        <v>0</v>
      </c>
      <c r="AN22">
        <f t="shared" si="43"/>
        <v>0</v>
      </c>
      <c r="AP22">
        <f t="shared" si="46"/>
        <v>0</v>
      </c>
      <c r="AQ22" s="4">
        <f t="shared" si="47"/>
        <v>0</v>
      </c>
      <c r="AR22" s="4">
        <f t="shared" si="44"/>
        <v>0</v>
      </c>
      <c r="AS22" s="4">
        <f t="shared" si="44"/>
        <v>0</v>
      </c>
      <c r="AT22" s="4">
        <f t="shared" si="44"/>
        <v>0</v>
      </c>
      <c r="AU22" s="4">
        <f t="shared" si="44"/>
        <v>0</v>
      </c>
      <c r="AV22" s="4">
        <f t="shared" si="44"/>
        <v>0</v>
      </c>
      <c r="AW22" s="4">
        <f t="shared" si="44"/>
        <v>0</v>
      </c>
      <c r="AX22" s="4">
        <f t="shared" si="44"/>
        <v>0</v>
      </c>
      <c r="AY22" s="4">
        <f t="shared" si="44"/>
        <v>0</v>
      </c>
      <c r="AZ22" s="4">
        <f t="shared" si="44"/>
        <v>0</v>
      </c>
      <c r="BA22" s="4">
        <f t="shared" si="44"/>
        <v>0</v>
      </c>
      <c r="BB22" s="4">
        <f t="shared" si="44"/>
        <v>0</v>
      </c>
      <c r="BC22" s="4">
        <f t="shared" si="44"/>
        <v>0</v>
      </c>
      <c r="BD22" s="4">
        <f t="shared" si="44"/>
        <v>0</v>
      </c>
      <c r="BE22" s="4">
        <f t="shared" si="44"/>
        <v>0</v>
      </c>
      <c r="BF22" s="4">
        <f t="shared" si="44"/>
        <v>0</v>
      </c>
      <c r="BG22" s="4">
        <f t="shared" si="44"/>
        <v>0</v>
      </c>
      <c r="BH22" s="4">
        <f t="shared" si="45"/>
        <v>0</v>
      </c>
      <c r="BI22" s="4">
        <f t="shared" si="45"/>
        <v>0</v>
      </c>
      <c r="BJ22" s="4">
        <f t="shared" si="45"/>
        <v>0</v>
      </c>
      <c r="BK22" s="4">
        <f t="shared" si="45"/>
        <v>0</v>
      </c>
      <c r="BL22" s="4">
        <f t="shared" si="45"/>
        <v>0</v>
      </c>
      <c r="BM22" s="4">
        <f t="shared" si="45"/>
        <v>0</v>
      </c>
      <c r="BN22" s="4">
        <f t="shared" si="45"/>
        <v>0</v>
      </c>
    </row>
    <row r="23" spans="1:66" x14ac:dyDescent="0.2">
      <c r="A23" t="s">
        <v>37</v>
      </c>
      <c r="B23" t="s">
        <v>25</v>
      </c>
      <c r="D23">
        <f>H16/A31</f>
        <v>0</v>
      </c>
      <c r="G23" t="s">
        <v>77</v>
      </c>
      <c r="K23" t="s">
        <v>8</v>
      </c>
      <c r="Z23">
        <f t="shared" si="35"/>
        <v>0</v>
      </c>
      <c r="AA23">
        <f t="shared" si="36"/>
        <v>0</v>
      </c>
      <c r="AE23">
        <f t="shared" si="37"/>
        <v>0</v>
      </c>
      <c r="AF23">
        <f t="shared" si="38"/>
        <v>0</v>
      </c>
      <c r="AG23">
        <f t="shared" si="39"/>
        <v>0</v>
      </c>
      <c r="AK23">
        <f t="shared" si="40"/>
        <v>0</v>
      </c>
      <c r="AL23">
        <f t="shared" si="41"/>
        <v>0</v>
      </c>
      <c r="AM23">
        <f t="shared" si="42"/>
        <v>0</v>
      </c>
      <c r="AN23">
        <f t="shared" si="43"/>
        <v>0</v>
      </c>
      <c r="AP23">
        <f t="shared" si="46"/>
        <v>0</v>
      </c>
      <c r="AQ23" s="4">
        <f t="shared" si="47"/>
        <v>0</v>
      </c>
      <c r="AR23" s="4">
        <f t="shared" si="44"/>
        <v>0</v>
      </c>
      <c r="AS23" s="4">
        <f t="shared" si="44"/>
        <v>0</v>
      </c>
      <c r="AT23" s="4">
        <f t="shared" si="44"/>
        <v>0</v>
      </c>
      <c r="AU23" s="4">
        <f t="shared" si="44"/>
        <v>0</v>
      </c>
      <c r="AV23" s="4">
        <f t="shared" si="44"/>
        <v>0</v>
      </c>
      <c r="AW23" s="4">
        <f t="shared" si="44"/>
        <v>0</v>
      </c>
      <c r="AX23" s="4">
        <f t="shared" si="44"/>
        <v>0</v>
      </c>
      <c r="AY23" s="4">
        <f t="shared" si="44"/>
        <v>0</v>
      </c>
      <c r="AZ23" s="4">
        <f t="shared" si="44"/>
        <v>0</v>
      </c>
      <c r="BA23" s="4">
        <f t="shared" si="44"/>
        <v>0</v>
      </c>
      <c r="BB23" s="4">
        <f t="shared" si="44"/>
        <v>0</v>
      </c>
      <c r="BC23" s="4">
        <f t="shared" si="44"/>
        <v>0</v>
      </c>
      <c r="BD23" s="4">
        <f t="shared" si="44"/>
        <v>0</v>
      </c>
      <c r="BE23" s="4">
        <f t="shared" si="44"/>
        <v>0</v>
      </c>
      <c r="BF23" s="4">
        <f t="shared" si="44"/>
        <v>0</v>
      </c>
      <c r="BG23" s="4">
        <f t="shared" si="44"/>
        <v>0</v>
      </c>
      <c r="BH23" s="4">
        <f t="shared" si="45"/>
        <v>0</v>
      </c>
      <c r="BI23" s="4">
        <f t="shared" si="45"/>
        <v>0</v>
      </c>
      <c r="BJ23" s="4">
        <f t="shared" si="45"/>
        <v>0</v>
      </c>
      <c r="BK23" s="4">
        <f t="shared" si="45"/>
        <v>0</v>
      </c>
      <c r="BL23" s="4">
        <f t="shared" si="45"/>
        <v>0</v>
      </c>
      <c r="BM23" s="4">
        <f t="shared" si="45"/>
        <v>0</v>
      </c>
      <c r="BN23" s="4">
        <f t="shared" si="45"/>
        <v>0</v>
      </c>
    </row>
    <row r="24" spans="1:66" x14ac:dyDescent="0.2">
      <c r="A24" t="s">
        <v>38</v>
      </c>
      <c r="B24" t="s">
        <v>26</v>
      </c>
      <c r="D24" t="s">
        <v>50</v>
      </c>
      <c r="G24" t="e">
        <f>AM28/AP28</f>
        <v>#DIV/0!</v>
      </c>
      <c r="K24" t="s">
        <v>57</v>
      </c>
      <c r="L24" t="s">
        <v>61</v>
      </c>
      <c r="M24" t="s">
        <v>59</v>
      </c>
      <c r="N24" t="s">
        <v>60</v>
      </c>
      <c r="Z24">
        <f t="shared" si="35"/>
        <v>0</v>
      </c>
      <c r="AA24">
        <f t="shared" si="36"/>
        <v>0</v>
      </c>
      <c r="AE24">
        <f t="shared" si="37"/>
        <v>0</v>
      </c>
      <c r="AF24">
        <f t="shared" si="38"/>
        <v>0</v>
      </c>
      <c r="AG24">
        <f t="shared" si="39"/>
        <v>0</v>
      </c>
      <c r="AK24">
        <f t="shared" si="40"/>
        <v>0</v>
      </c>
      <c r="AL24">
        <f t="shared" si="41"/>
        <v>0</v>
      </c>
      <c r="AM24">
        <f t="shared" si="42"/>
        <v>0</v>
      </c>
      <c r="AN24">
        <f t="shared" si="43"/>
        <v>0</v>
      </c>
      <c r="AP24">
        <f t="shared" si="46"/>
        <v>0</v>
      </c>
      <c r="AQ24" s="4">
        <f t="shared" si="47"/>
        <v>0</v>
      </c>
      <c r="AR24" s="4">
        <f t="shared" si="44"/>
        <v>0</v>
      </c>
      <c r="AS24" s="4">
        <f t="shared" si="44"/>
        <v>0</v>
      </c>
      <c r="AT24" s="4">
        <f t="shared" si="44"/>
        <v>0</v>
      </c>
      <c r="AU24" s="4">
        <f t="shared" si="44"/>
        <v>0</v>
      </c>
      <c r="AV24" s="4">
        <f t="shared" si="44"/>
        <v>0</v>
      </c>
      <c r="AW24" s="4">
        <f t="shared" si="44"/>
        <v>0</v>
      </c>
      <c r="AX24" s="4">
        <f t="shared" si="44"/>
        <v>0</v>
      </c>
      <c r="AY24" s="4">
        <f t="shared" si="44"/>
        <v>0</v>
      </c>
      <c r="AZ24" s="4">
        <f t="shared" si="44"/>
        <v>0</v>
      </c>
      <c r="BA24" s="4">
        <f t="shared" si="44"/>
        <v>0</v>
      </c>
      <c r="BB24" s="4">
        <f t="shared" si="44"/>
        <v>0</v>
      </c>
      <c r="BC24" s="4">
        <f t="shared" si="44"/>
        <v>0</v>
      </c>
      <c r="BD24" s="4">
        <f t="shared" si="44"/>
        <v>0</v>
      </c>
      <c r="BE24" s="4">
        <f t="shared" si="44"/>
        <v>0</v>
      </c>
      <c r="BF24" s="4">
        <f t="shared" si="44"/>
        <v>0</v>
      </c>
      <c r="BG24" s="4">
        <f t="shared" si="44"/>
        <v>0</v>
      </c>
      <c r="BH24" s="4">
        <f t="shared" si="45"/>
        <v>0</v>
      </c>
      <c r="BI24" s="4">
        <f t="shared" si="45"/>
        <v>0</v>
      </c>
      <c r="BJ24" s="4">
        <f t="shared" si="45"/>
        <v>0</v>
      </c>
      <c r="BK24" s="4">
        <f t="shared" si="45"/>
        <v>0</v>
      </c>
      <c r="BL24" s="4">
        <f t="shared" si="45"/>
        <v>0</v>
      </c>
      <c r="BM24" s="4">
        <f t="shared" si="45"/>
        <v>0</v>
      </c>
      <c r="BN24" s="4">
        <f t="shared" si="45"/>
        <v>0</v>
      </c>
    </row>
    <row r="25" spans="1:66" x14ac:dyDescent="0.2">
      <c r="A25" t="s">
        <v>39</v>
      </c>
      <c r="B25" t="s">
        <v>27</v>
      </c>
      <c r="D25">
        <f>Z28/A31</f>
        <v>0</v>
      </c>
      <c r="G25" t="s">
        <v>78</v>
      </c>
      <c r="K25">
        <f>AVERAGE(E39:E50)</f>
        <v>0</v>
      </c>
      <c r="L25">
        <f>MEDIAN(E39:E50)</f>
        <v>0</v>
      </c>
      <c r="M25">
        <f>MAX(E39:E50)</f>
        <v>0</v>
      </c>
      <c r="N25">
        <f>_xlfn.STDEV.S(E39:E50)</f>
        <v>0</v>
      </c>
      <c r="Z25">
        <f t="shared" si="35"/>
        <v>0</v>
      </c>
      <c r="AA25">
        <f t="shared" si="36"/>
        <v>0</v>
      </c>
      <c r="AE25">
        <f t="shared" si="37"/>
        <v>0</v>
      </c>
      <c r="AF25">
        <f t="shared" si="38"/>
        <v>0</v>
      </c>
      <c r="AG25">
        <f t="shared" si="39"/>
        <v>0</v>
      </c>
      <c r="AK25">
        <f t="shared" si="40"/>
        <v>0</v>
      </c>
      <c r="AL25">
        <f t="shared" si="41"/>
        <v>0</v>
      </c>
      <c r="AM25">
        <f t="shared" si="42"/>
        <v>0</v>
      </c>
      <c r="AN25">
        <f t="shared" si="43"/>
        <v>0</v>
      </c>
      <c r="AP25">
        <f t="shared" si="46"/>
        <v>0</v>
      </c>
      <c r="AQ25" s="4">
        <f t="shared" si="47"/>
        <v>0</v>
      </c>
      <c r="AR25" s="4">
        <f t="shared" si="44"/>
        <v>0</v>
      </c>
      <c r="AS25" s="4">
        <f t="shared" si="44"/>
        <v>0</v>
      </c>
      <c r="AT25" s="4">
        <f t="shared" si="44"/>
        <v>0</v>
      </c>
      <c r="AU25" s="4">
        <f t="shared" si="44"/>
        <v>0</v>
      </c>
      <c r="AV25" s="4">
        <f t="shared" si="44"/>
        <v>0</v>
      </c>
      <c r="AW25" s="4">
        <f t="shared" si="44"/>
        <v>0</v>
      </c>
      <c r="AX25" s="4">
        <f t="shared" si="44"/>
        <v>0</v>
      </c>
      <c r="AY25" s="4">
        <f t="shared" si="44"/>
        <v>0</v>
      </c>
      <c r="AZ25" s="4">
        <f t="shared" si="44"/>
        <v>0</v>
      </c>
      <c r="BA25" s="4">
        <f t="shared" si="44"/>
        <v>0</v>
      </c>
      <c r="BB25" s="4">
        <f t="shared" si="44"/>
        <v>0</v>
      </c>
      <c r="BC25" s="4">
        <f t="shared" si="44"/>
        <v>0</v>
      </c>
      <c r="BD25" s="4">
        <f t="shared" si="44"/>
        <v>0</v>
      </c>
      <c r="BE25" s="4">
        <f t="shared" si="44"/>
        <v>0</v>
      </c>
      <c r="BF25" s="4">
        <f t="shared" si="44"/>
        <v>0</v>
      </c>
      <c r="BG25" s="4">
        <f t="shared" si="44"/>
        <v>0</v>
      </c>
      <c r="BH25" s="4">
        <f t="shared" si="45"/>
        <v>0</v>
      </c>
      <c r="BI25" s="4">
        <f t="shared" si="45"/>
        <v>0</v>
      </c>
      <c r="BJ25" s="4">
        <f t="shared" si="45"/>
        <v>0</v>
      </c>
      <c r="BK25" s="4">
        <f t="shared" si="45"/>
        <v>0</v>
      </c>
      <c r="BL25" s="4">
        <f t="shared" si="45"/>
        <v>0</v>
      </c>
      <c r="BM25" s="4">
        <f t="shared" si="45"/>
        <v>0</v>
      </c>
      <c r="BN25" s="4">
        <f t="shared" si="45"/>
        <v>0</v>
      </c>
    </row>
    <row r="26" spans="1:66" x14ac:dyDescent="0.2">
      <c r="A26" t="s">
        <v>44</v>
      </c>
      <c r="D26" t="s">
        <v>51</v>
      </c>
      <c r="G26" t="e">
        <f>AN28/AP28</f>
        <v>#DIV/0!</v>
      </c>
      <c r="K26" t="s">
        <v>62</v>
      </c>
      <c r="P26" t="s">
        <v>19</v>
      </c>
      <c r="Z26">
        <f t="shared" si="35"/>
        <v>0</v>
      </c>
      <c r="AA26">
        <f t="shared" si="36"/>
        <v>0</v>
      </c>
      <c r="AE26">
        <f t="shared" si="37"/>
        <v>0</v>
      </c>
      <c r="AF26">
        <f t="shared" si="38"/>
        <v>0</v>
      </c>
      <c r="AG26">
        <f t="shared" si="39"/>
        <v>0</v>
      </c>
      <c r="AK26">
        <f t="shared" si="40"/>
        <v>0</v>
      </c>
      <c r="AL26">
        <f t="shared" si="41"/>
        <v>0</v>
      </c>
      <c r="AM26">
        <f t="shared" si="42"/>
        <v>0</v>
      </c>
      <c r="AN26">
        <f t="shared" si="43"/>
        <v>0</v>
      </c>
      <c r="AP26">
        <f t="shared" si="46"/>
        <v>0</v>
      </c>
      <c r="AQ26" s="4">
        <f t="shared" si="47"/>
        <v>0</v>
      </c>
      <c r="AR26" s="4">
        <f t="shared" si="44"/>
        <v>0</v>
      </c>
      <c r="AS26" s="4">
        <f t="shared" si="44"/>
        <v>0</v>
      </c>
      <c r="AT26" s="4">
        <f t="shared" si="44"/>
        <v>0</v>
      </c>
      <c r="AU26" s="4">
        <f t="shared" si="44"/>
        <v>0</v>
      </c>
      <c r="AV26" s="4">
        <f t="shared" si="44"/>
        <v>0</v>
      </c>
      <c r="AW26" s="4">
        <f t="shared" si="44"/>
        <v>0</v>
      </c>
      <c r="AX26" s="4">
        <f t="shared" si="44"/>
        <v>0</v>
      </c>
      <c r="AY26" s="4">
        <f t="shared" si="44"/>
        <v>0</v>
      </c>
      <c r="AZ26" s="4">
        <f t="shared" si="44"/>
        <v>0</v>
      </c>
      <c r="BA26" s="4">
        <f t="shared" si="44"/>
        <v>0</v>
      </c>
      <c r="BB26" s="4">
        <f t="shared" si="44"/>
        <v>0</v>
      </c>
      <c r="BC26" s="4">
        <f t="shared" si="44"/>
        <v>0</v>
      </c>
      <c r="BD26" s="4">
        <f t="shared" si="44"/>
        <v>0</v>
      </c>
      <c r="BE26" s="4">
        <f t="shared" si="44"/>
        <v>0</v>
      </c>
      <c r="BF26" s="4">
        <f t="shared" si="44"/>
        <v>0</v>
      </c>
      <c r="BG26" s="4">
        <f t="shared" si="44"/>
        <v>0</v>
      </c>
      <c r="BH26" s="4">
        <f t="shared" si="45"/>
        <v>0</v>
      </c>
      <c r="BI26" s="4">
        <f t="shared" si="45"/>
        <v>0</v>
      </c>
      <c r="BJ26" s="4">
        <f t="shared" si="45"/>
        <v>0</v>
      </c>
      <c r="BK26" s="4">
        <f t="shared" si="45"/>
        <v>0</v>
      </c>
      <c r="BL26" s="4">
        <f t="shared" si="45"/>
        <v>0</v>
      </c>
      <c r="BM26" s="4">
        <f t="shared" si="45"/>
        <v>0</v>
      </c>
      <c r="BN26" s="4">
        <f t="shared" si="45"/>
        <v>0</v>
      </c>
    </row>
    <row r="27" spans="1:66" x14ac:dyDescent="0.2">
      <c r="A27" t="s">
        <v>45</v>
      </c>
      <c r="D27">
        <f>AA28/A31</f>
        <v>0</v>
      </c>
      <c r="G27" t="s">
        <v>56</v>
      </c>
      <c r="K27" t="s">
        <v>57</v>
      </c>
      <c r="L27" t="s">
        <v>58</v>
      </c>
      <c r="M27" t="s">
        <v>59</v>
      </c>
      <c r="N27" t="s">
        <v>60</v>
      </c>
      <c r="P27" t="s">
        <v>57</v>
      </c>
      <c r="Q27" t="s">
        <v>58</v>
      </c>
      <c r="R27" t="s">
        <v>59</v>
      </c>
      <c r="S27" t="s">
        <v>60</v>
      </c>
      <c r="Z27">
        <f t="shared" si="35"/>
        <v>0</v>
      </c>
      <c r="AA27">
        <f t="shared" si="36"/>
        <v>0</v>
      </c>
      <c r="AE27">
        <f t="shared" si="37"/>
        <v>0</v>
      </c>
      <c r="AF27">
        <f t="shared" si="38"/>
        <v>0</v>
      </c>
      <c r="AG27">
        <f t="shared" si="39"/>
        <v>0</v>
      </c>
      <c r="AK27">
        <f t="shared" si="40"/>
        <v>0</v>
      </c>
      <c r="AL27">
        <f t="shared" si="41"/>
        <v>0</v>
      </c>
      <c r="AM27">
        <f t="shared" si="42"/>
        <v>0</v>
      </c>
      <c r="AN27">
        <f t="shared" si="43"/>
        <v>0</v>
      </c>
      <c r="AP27">
        <f t="shared" si="46"/>
        <v>0</v>
      </c>
      <c r="AQ27" s="4">
        <f t="shared" si="47"/>
        <v>0</v>
      </c>
      <c r="AR27" s="4">
        <f t="shared" si="44"/>
        <v>0</v>
      </c>
      <c r="AS27" s="4">
        <f t="shared" si="44"/>
        <v>0</v>
      </c>
      <c r="AT27" s="4">
        <f t="shared" si="44"/>
        <v>0</v>
      </c>
      <c r="AU27" s="4">
        <f t="shared" si="44"/>
        <v>0</v>
      </c>
      <c r="AV27" s="4">
        <f t="shared" si="44"/>
        <v>0</v>
      </c>
      <c r="AW27" s="4">
        <f t="shared" si="44"/>
        <v>0</v>
      </c>
      <c r="AX27" s="4">
        <f t="shared" si="44"/>
        <v>0</v>
      </c>
      <c r="AY27" s="4">
        <f t="shared" si="44"/>
        <v>0</v>
      </c>
      <c r="AZ27" s="4">
        <f t="shared" si="44"/>
        <v>0</v>
      </c>
      <c r="BA27" s="4">
        <f t="shared" si="44"/>
        <v>0</v>
      </c>
      <c r="BB27" s="4">
        <f t="shared" si="44"/>
        <v>0</v>
      </c>
      <c r="BC27" s="4">
        <f t="shared" si="44"/>
        <v>0</v>
      </c>
      <c r="BD27" s="4">
        <f t="shared" si="44"/>
        <v>0</v>
      </c>
      <c r="BE27" s="4">
        <f t="shared" si="44"/>
        <v>0</v>
      </c>
      <c r="BF27" s="4">
        <f t="shared" si="44"/>
        <v>0</v>
      </c>
      <c r="BG27" s="4">
        <f t="shared" si="44"/>
        <v>0</v>
      </c>
      <c r="BH27" s="4">
        <f t="shared" si="45"/>
        <v>0</v>
      </c>
      <c r="BI27" s="4">
        <f t="shared" si="45"/>
        <v>0</v>
      </c>
      <c r="BJ27" s="4">
        <f t="shared" si="45"/>
        <v>0</v>
      </c>
      <c r="BK27" s="4">
        <f t="shared" si="45"/>
        <v>0</v>
      </c>
      <c r="BL27" s="4">
        <f t="shared" si="45"/>
        <v>0</v>
      </c>
      <c r="BM27" s="4">
        <f t="shared" si="45"/>
        <v>0</v>
      </c>
      <c r="BN27" s="4">
        <f t="shared" si="45"/>
        <v>0</v>
      </c>
    </row>
    <row r="28" spans="1:66" x14ac:dyDescent="0.2">
      <c r="A28" t="s">
        <v>46</v>
      </c>
      <c r="D28" t="s">
        <v>202</v>
      </c>
      <c r="G28" t="s">
        <v>57</v>
      </c>
      <c r="H28" t="s">
        <v>58</v>
      </c>
      <c r="I28" t="s">
        <v>59</v>
      </c>
      <c r="J28" t="s">
        <v>60</v>
      </c>
      <c r="K28">
        <f>AVERAGE(G39:G50)</f>
        <v>0</v>
      </c>
      <c r="L28">
        <f>MEDIAN(G39:G50)</f>
        <v>0</v>
      </c>
      <c r="M28">
        <f>MAX(G39:G50)</f>
        <v>0</v>
      </c>
      <c r="N28">
        <f>_xlfn.STDEV.S(G39:G50)</f>
        <v>0</v>
      </c>
      <c r="P28">
        <f>AVERAGE(N39:N50)</f>
        <v>6.5</v>
      </c>
      <c r="Q28">
        <f>MEDIAN(N39:N50)</f>
        <v>1.5</v>
      </c>
      <c r="R28">
        <f>MAX(N39:N50)</f>
        <v>43</v>
      </c>
      <c r="S28">
        <f>_xlfn.STDEV.S(N39:N50)</f>
        <v>12.094326243025169</v>
      </c>
      <c r="Y28" t="s">
        <v>33</v>
      </c>
      <c r="Z28">
        <f>SUM(Z16:Z27)</f>
        <v>0</v>
      </c>
      <c r="AA28">
        <f>SUM(AA16:AA27)</f>
        <v>0</v>
      </c>
      <c r="AE28">
        <f>SUM(AE16:AE27)</f>
        <v>0</v>
      </c>
      <c r="AF28">
        <f>SUM(AF16:AF27)</f>
        <v>0</v>
      </c>
      <c r="AG28">
        <f>SUM(AG16:AG27)</f>
        <v>0</v>
      </c>
      <c r="AK28">
        <f>SUM(AK16:AK27)</f>
        <v>0</v>
      </c>
      <c r="AL28">
        <f>SUM(AL16:AL27)</f>
        <v>0</v>
      </c>
      <c r="AM28">
        <f>SUM(AM16:AM27)</f>
        <v>0</v>
      </c>
      <c r="AN28">
        <f>SUM(AN16:AN27)</f>
        <v>0</v>
      </c>
      <c r="AP28">
        <f>SUM(AP16:AP27)</f>
        <v>0</v>
      </c>
    </row>
    <row r="29" spans="1:66" x14ac:dyDescent="0.2">
      <c r="D29">
        <f>SUM(O39:O50)/F16</f>
        <v>0.88888888888888884</v>
      </c>
      <c r="G29">
        <f>AVERAGE(A39:A50)</f>
        <v>0</v>
      </c>
      <c r="H29">
        <f>MEDIAN(A39:A50)</f>
        <v>0</v>
      </c>
      <c r="I29">
        <f>MAX(A39:A50)</f>
        <v>0</v>
      </c>
      <c r="J29">
        <f>_xlfn.STDEV.S(A39:A50)</f>
        <v>0</v>
      </c>
      <c r="K29" t="s">
        <v>63</v>
      </c>
      <c r="P29" t="s">
        <v>148</v>
      </c>
    </row>
    <row r="30" spans="1:66" x14ac:dyDescent="0.2">
      <c r="A30" t="s">
        <v>147</v>
      </c>
      <c r="D30" t="s">
        <v>203</v>
      </c>
      <c r="G30" t="s">
        <v>50</v>
      </c>
      <c r="H30" t="s">
        <v>51</v>
      </c>
      <c r="I30" t="s">
        <v>89</v>
      </c>
      <c r="K30" t="s">
        <v>57</v>
      </c>
      <c r="L30" t="s">
        <v>58</v>
      </c>
      <c r="M30" t="s">
        <v>59</v>
      </c>
      <c r="N30" t="s">
        <v>60</v>
      </c>
      <c r="P30" t="s">
        <v>57</v>
      </c>
      <c r="Q30" t="s">
        <v>58</v>
      </c>
      <c r="R30" t="s">
        <v>59</v>
      </c>
      <c r="S30" t="s">
        <v>60</v>
      </c>
      <c r="W30" t="s">
        <v>148</v>
      </c>
      <c r="Y30" t="s">
        <v>149</v>
      </c>
      <c r="AH30" t="s">
        <v>79</v>
      </c>
    </row>
    <row r="31" spans="1:66" x14ac:dyDescent="0.2">
      <c r="A31">
        <f>COUNT(B4:B15)</f>
        <v>12</v>
      </c>
      <c r="D31" s="2">
        <f>SUM(S39:S50)/SUM(Q39:Q50)</f>
        <v>0</v>
      </c>
      <c r="G31">
        <f>AE28/A31</f>
        <v>0</v>
      </c>
      <c r="H31">
        <f>AF28/A31</f>
        <v>0</v>
      </c>
      <c r="I31">
        <f>AG28/A31</f>
        <v>0</v>
      </c>
      <c r="K31" t="e">
        <f>AVERAGE(I39:I50)</f>
        <v>#DIV/0!</v>
      </c>
      <c r="L31" t="e">
        <f>MEDIAN(I39:I50)</f>
        <v>#NUM!</v>
      </c>
      <c r="M31">
        <f>MAX(I39:I50)</f>
        <v>0</v>
      </c>
      <c r="N31" t="e">
        <f>_xlfn.STDEV.S(I39:I50)</f>
        <v>#DIV/0!</v>
      </c>
      <c r="P31" t="e">
        <f>AVERAGE(W31:W42)</f>
        <v>#DIV/0!</v>
      </c>
      <c r="Q31" t="e">
        <f>MEDIAN(W31:W42)</f>
        <v>#NUM!</v>
      </c>
      <c r="R31">
        <f>MAX(W31:W42)</f>
        <v>0</v>
      </c>
      <c r="S31" t="e">
        <f>_xlfn.STDEV.S(W31:W42)</f>
        <v>#DIV/0!</v>
      </c>
      <c r="W31" t="str">
        <f t="shared" ref="W31:W33" si="48">IF(AND(ISBLANK(Q4), ISBLANK(R4), ISBLANK(G4), ISBLANK(H4)), "", U4)</f>
        <v/>
      </c>
      <c r="Y31" t="str">
        <f t="shared" ref="Y31:Y42" si="49">IF(ISBLANK(Y4), IF(X4 = 0, "", (G4 + H4/3 + V4/9 + W4/3)), U4)</f>
        <v/>
      </c>
      <c r="AH31" t="s">
        <v>80</v>
      </c>
    </row>
    <row r="32" spans="1:66" x14ac:dyDescent="0.2">
      <c r="D32" s="3"/>
      <c r="K32" t="s">
        <v>64</v>
      </c>
      <c r="P32" t="s">
        <v>149</v>
      </c>
      <c r="W32" t="str">
        <f t="shared" si="48"/>
        <v/>
      </c>
      <c r="Y32" t="str">
        <f t="shared" si="49"/>
        <v/>
      </c>
      <c r="AH32" t="s">
        <v>81</v>
      </c>
    </row>
    <row r="33" spans="1:34" x14ac:dyDescent="0.2">
      <c r="A33" t="s">
        <v>291</v>
      </c>
      <c r="D33" s="3"/>
      <c r="K33" t="s">
        <v>57</v>
      </c>
      <c r="L33" t="s">
        <v>58</v>
      </c>
      <c r="M33" t="s">
        <v>59</v>
      </c>
      <c r="N33" t="s">
        <v>60</v>
      </c>
      <c r="P33" t="s">
        <v>57</v>
      </c>
      <c r="Q33" t="s">
        <v>58</v>
      </c>
      <c r="R33" t="s">
        <v>59</v>
      </c>
      <c r="S33" t="s">
        <v>60</v>
      </c>
      <c r="W33" t="str">
        <f t="shared" si="48"/>
        <v/>
      </c>
      <c r="Y33" t="str">
        <f t="shared" si="49"/>
        <v/>
      </c>
      <c r="AH33" t="s">
        <v>82</v>
      </c>
    </row>
    <row r="34" spans="1:34" x14ac:dyDescent="0.2">
      <c r="A34" t="s">
        <v>313</v>
      </c>
      <c r="D34" s="3"/>
      <c r="K34">
        <f>AVERAGE(K39:K50)</f>
        <v>0</v>
      </c>
      <c r="L34">
        <f>MEDIAN(K39:K50)</f>
        <v>0</v>
      </c>
      <c r="M34">
        <f>MAX(K39:K50)</f>
        <v>0</v>
      </c>
      <c r="N34">
        <f>_xlfn.STDEV.S(K39:K50)</f>
        <v>0</v>
      </c>
      <c r="P34" t="e">
        <f>AVERAGE(Y31:Y42)</f>
        <v>#DIV/0!</v>
      </c>
      <c r="Q34" t="e">
        <f>MEDIAN(Y31:Y42)</f>
        <v>#NUM!</v>
      </c>
      <c r="R34">
        <f>MAX(Y31:Y42)</f>
        <v>0</v>
      </c>
      <c r="S34" t="e">
        <f>_xlfn.STDEV.S(Y31:Y42)</f>
        <v>#DIV/0!</v>
      </c>
      <c r="W34" t="str">
        <f>IF(AND(ISBLANK(Q7), ISBLANK(R7), ISBLANK(G7), ISBLANK(H7)), "", U7)</f>
        <v/>
      </c>
      <c r="Y34" t="str">
        <f t="shared" si="49"/>
        <v/>
      </c>
      <c r="AH34" t="s">
        <v>83</v>
      </c>
    </row>
    <row r="35" spans="1:34" x14ac:dyDescent="0.2">
      <c r="P35" t="s">
        <v>95</v>
      </c>
      <c r="R35" t="s">
        <v>197</v>
      </c>
      <c r="W35" t="str">
        <f t="shared" ref="W35:W42" si="50">IF(AND(ISBLANK(Q8), ISBLANK(R8), ISBLANK(G8), ISBLANK(H8)), "", U8)</f>
        <v/>
      </c>
      <c r="Y35" t="str">
        <f t="shared" si="49"/>
        <v/>
      </c>
    </row>
    <row r="36" spans="1:34" x14ac:dyDescent="0.2">
      <c r="P36" t="e">
        <f>Q16/(Q16+R16)</f>
        <v>#DIV/0!</v>
      </c>
      <c r="R36" t="e">
        <f>R16/(Q16+R16)</f>
        <v>#DIV/0!</v>
      </c>
      <c r="W36" t="str">
        <f t="shared" si="50"/>
        <v/>
      </c>
      <c r="Y36" t="str">
        <f t="shared" si="49"/>
        <v/>
      </c>
    </row>
    <row r="37" spans="1:34" x14ac:dyDescent="0.2">
      <c r="W37" t="str">
        <f t="shared" si="50"/>
        <v/>
      </c>
      <c r="Y37" t="str">
        <f t="shared" si="49"/>
        <v/>
      </c>
    </row>
    <row r="38" spans="1:34" x14ac:dyDescent="0.2">
      <c r="A38" t="s">
        <v>68</v>
      </c>
      <c r="C38" t="s">
        <v>69</v>
      </c>
      <c r="E38" t="s">
        <v>72</v>
      </c>
      <c r="G38" t="s">
        <v>250</v>
      </c>
      <c r="K38" t="s">
        <v>73</v>
      </c>
      <c r="M38" t="s">
        <v>70</v>
      </c>
      <c r="N38" t="s">
        <v>71</v>
      </c>
      <c r="O38" t="s">
        <v>199</v>
      </c>
      <c r="Q38" t="s">
        <v>200</v>
      </c>
      <c r="S38" t="s">
        <v>201</v>
      </c>
      <c r="W38" t="str">
        <f t="shared" si="50"/>
        <v/>
      </c>
      <c r="Y38" t="str">
        <f t="shared" si="49"/>
        <v/>
      </c>
    </row>
    <row r="39" spans="1:34" x14ac:dyDescent="0.2">
      <c r="A39">
        <f t="shared" ref="A39:A50" si="51">IF(ISBLANK(B4), "", SUM(AE16+AF16+AG16))</f>
        <v>0</v>
      </c>
      <c r="C39">
        <f t="shared" ref="C39:C50" si="52">IF(ISBLANK(B4), "", O4)</f>
        <v>3</v>
      </c>
      <c r="E39">
        <f t="shared" ref="E39:E50" si="53">IF(ISBLANK(B4), "", Q4)</f>
        <v>0</v>
      </c>
      <c r="G39">
        <f t="shared" ref="G39:G50" si="54">IF(ISBLANK(B4), "", R4)</f>
        <v>0</v>
      </c>
      <c r="K39">
        <f t="shared" ref="K39:K50" si="55">IF(ISBLANK(B4), "", SUM(Q4 + R4))</f>
        <v>0</v>
      </c>
      <c r="M39">
        <f t="shared" ref="M39:M50" si="56">IF(ISBLANK(B4), "", SUM(K4+M4) - O4)</f>
        <v>0</v>
      </c>
      <c r="N39">
        <f t="shared" ref="N39:N50" si="57">IF(ISBLANK(B4), "", U4)</f>
        <v>0</v>
      </c>
      <c r="O39">
        <f t="shared" ref="O39:O50" si="58">COUNTIF(E4, "1")*COUNTIF(F4, "1")</f>
        <v>1</v>
      </c>
      <c r="Q39">
        <f t="shared" ref="Q39:Q50" si="59">COUNTIF(D4, "1")*COUNTIF(F4, "")</f>
        <v>0</v>
      </c>
      <c r="S39">
        <f t="shared" ref="S39:S50" si="60">COUNTIF(E4, "1")*COUNTIF(F4, "")</f>
        <v>0</v>
      </c>
      <c r="W39" t="str">
        <f t="shared" si="50"/>
        <v/>
      </c>
      <c r="Y39" t="str">
        <f t="shared" si="49"/>
        <v/>
      </c>
    </row>
    <row r="40" spans="1:34" x14ac:dyDescent="0.2">
      <c r="A40">
        <f t="shared" si="51"/>
        <v>0</v>
      </c>
      <c r="C40">
        <f t="shared" si="52"/>
        <v>2</v>
      </c>
      <c r="E40">
        <f t="shared" si="53"/>
        <v>0</v>
      </c>
      <c r="G40">
        <f t="shared" si="54"/>
        <v>0</v>
      </c>
      <c r="K40">
        <f t="shared" si="55"/>
        <v>0</v>
      </c>
      <c r="M40">
        <f t="shared" si="56"/>
        <v>0</v>
      </c>
      <c r="N40">
        <f t="shared" si="57"/>
        <v>0</v>
      </c>
      <c r="O40">
        <f t="shared" si="58"/>
        <v>0</v>
      </c>
      <c r="Q40">
        <f t="shared" si="59"/>
        <v>1</v>
      </c>
      <c r="S40">
        <f t="shared" si="60"/>
        <v>0</v>
      </c>
      <c r="W40" t="str">
        <f t="shared" si="50"/>
        <v/>
      </c>
      <c r="Y40" t="str">
        <f t="shared" si="49"/>
        <v/>
      </c>
    </row>
    <row r="41" spans="1:34" x14ac:dyDescent="0.2">
      <c r="A41">
        <f t="shared" si="51"/>
        <v>0</v>
      </c>
      <c r="C41">
        <f t="shared" si="52"/>
        <v>2</v>
      </c>
      <c r="E41">
        <f t="shared" si="53"/>
        <v>0</v>
      </c>
      <c r="G41">
        <f t="shared" si="54"/>
        <v>0</v>
      </c>
      <c r="K41">
        <f t="shared" si="55"/>
        <v>0</v>
      </c>
      <c r="M41">
        <f t="shared" si="56"/>
        <v>0</v>
      </c>
      <c r="N41">
        <f t="shared" si="57"/>
        <v>9</v>
      </c>
      <c r="O41">
        <f t="shared" si="58"/>
        <v>0</v>
      </c>
      <c r="Q41">
        <f t="shared" si="59"/>
        <v>0</v>
      </c>
      <c r="S41">
        <f t="shared" si="60"/>
        <v>0</v>
      </c>
      <c r="W41" t="str">
        <f t="shared" si="50"/>
        <v/>
      </c>
      <c r="Y41" t="str">
        <f t="shared" si="49"/>
        <v/>
      </c>
    </row>
    <row r="42" spans="1:34" x14ac:dyDescent="0.2">
      <c r="A42">
        <f t="shared" si="51"/>
        <v>0</v>
      </c>
      <c r="C42">
        <f t="shared" si="52"/>
        <v>3</v>
      </c>
      <c r="E42">
        <f t="shared" si="53"/>
        <v>0</v>
      </c>
      <c r="G42">
        <f t="shared" si="54"/>
        <v>0</v>
      </c>
      <c r="K42">
        <f t="shared" si="55"/>
        <v>0</v>
      </c>
      <c r="M42">
        <f t="shared" si="56"/>
        <v>1</v>
      </c>
      <c r="N42">
        <f t="shared" si="57"/>
        <v>0</v>
      </c>
      <c r="O42">
        <f t="shared" si="58"/>
        <v>1</v>
      </c>
      <c r="Q42">
        <f t="shared" si="59"/>
        <v>0</v>
      </c>
      <c r="S42">
        <f t="shared" si="60"/>
        <v>0</v>
      </c>
      <c r="W42" t="str">
        <f t="shared" si="50"/>
        <v/>
      </c>
      <c r="Y42" t="str">
        <f t="shared" si="49"/>
        <v/>
      </c>
    </row>
    <row r="43" spans="1:34" x14ac:dyDescent="0.2">
      <c r="A43">
        <f t="shared" si="51"/>
        <v>0</v>
      </c>
      <c r="C43">
        <f t="shared" si="52"/>
        <v>3</v>
      </c>
      <c r="E43">
        <f t="shared" si="53"/>
        <v>0</v>
      </c>
      <c r="G43">
        <f t="shared" si="54"/>
        <v>0</v>
      </c>
      <c r="K43">
        <f t="shared" si="55"/>
        <v>0</v>
      </c>
      <c r="M43">
        <f t="shared" si="56"/>
        <v>1</v>
      </c>
      <c r="N43">
        <f t="shared" si="57"/>
        <v>8</v>
      </c>
      <c r="O43">
        <f t="shared" si="58"/>
        <v>1</v>
      </c>
      <c r="Q43">
        <f t="shared" si="59"/>
        <v>0</v>
      </c>
      <c r="S43">
        <f t="shared" si="60"/>
        <v>0</v>
      </c>
    </row>
    <row r="44" spans="1:34" x14ac:dyDescent="0.2">
      <c r="A44">
        <f t="shared" si="51"/>
        <v>0</v>
      </c>
      <c r="C44">
        <f t="shared" si="52"/>
        <v>3</v>
      </c>
      <c r="E44">
        <f t="shared" si="53"/>
        <v>0</v>
      </c>
      <c r="G44">
        <f t="shared" si="54"/>
        <v>0</v>
      </c>
      <c r="K44">
        <f t="shared" si="55"/>
        <v>0</v>
      </c>
      <c r="M44">
        <f t="shared" si="56"/>
        <v>0</v>
      </c>
      <c r="N44">
        <f t="shared" si="57"/>
        <v>43</v>
      </c>
      <c r="O44">
        <f t="shared" si="58"/>
        <v>1</v>
      </c>
      <c r="Q44">
        <f t="shared" si="59"/>
        <v>0</v>
      </c>
      <c r="S44">
        <f t="shared" si="60"/>
        <v>0</v>
      </c>
    </row>
    <row r="45" spans="1:34" x14ac:dyDescent="0.2">
      <c r="A45">
        <f t="shared" si="51"/>
        <v>0</v>
      </c>
      <c r="C45">
        <f t="shared" si="52"/>
        <v>4</v>
      </c>
      <c r="E45">
        <f t="shared" si="53"/>
        <v>0</v>
      </c>
      <c r="G45">
        <f t="shared" si="54"/>
        <v>0</v>
      </c>
      <c r="K45">
        <f t="shared" si="55"/>
        <v>0</v>
      </c>
      <c r="M45">
        <f t="shared" si="56"/>
        <v>0</v>
      </c>
      <c r="N45">
        <f t="shared" si="57"/>
        <v>7</v>
      </c>
      <c r="O45">
        <f t="shared" si="58"/>
        <v>0</v>
      </c>
      <c r="Q45">
        <f t="shared" si="59"/>
        <v>1</v>
      </c>
      <c r="S45">
        <f t="shared" si="60"/>
        <v>0</v>
      </c>
    </row>
    <row r="46" spans="1:34" x14ac:dyDescent="0.2">
      <c r="A46">
        <f t="shared" si="51"/>
        <v>0</v>
      </c>
      <c r="C46">
        <f t="shared" si="52"/>
        <v>3</v>
      </c>
      <c r="E46">
        <f t="shared" si="53"/>
        <v>0</v>
      </c>
      <c r="G46">
        <f t="shared" si="54"/>
        <v>0</v>
      </c>
      <c r="K46">
        <f t="shared" si="55"/>
        <v>0</v>
      </c>
      <c r="M46">
        <f t="shared" si="56"/>
        <v>0</v>
      </c>
      <c r="N46">
        <f t="shared" si="57"/>
        <v>0</v>
      </c>
      <c r="O46">
        <f t="shared" si="58"/>
        <v>1</v>
      </c>
      <c r="Q46">
        <f t="shared" si="59"/>
        <v>0</v>
      </c>
      <c r="S46">
        <f t="shared" si="60"/>
        <v>0</v>
      </c>
    </row>
    <row r="47" spans="1:34" x14ac:dyDescent="0.2">
      <c r="A47">
        <f t="shared" si="51"/>
        <v>0</v>
      </c>
      <c r="C47">
        <f t="shared" si="52"/>
        <v>3</v>
      </c>
      <c r="E47">
        <f t="shared" si="53"/>
        <v>0</v>
      </c>
      <c r="G47">
        <f t="shared" si="54"/>
        <v>0</v>
      </c>
      <c r="K47">
        <f t="shared" si="55"/>
        <v>0</v>
      </c>
      <c r="M47">
        <f t="shared" si="56"/>
        <v>0</v>
      </c>
      <c r="N47">
        <f t="shared" si="57"/>
        <v>0</v>
      </c>
      <c r="O47">
        <f t="shared" si="58"/>
        <v>1</v>
      </c>
      <c r="Q47">
        <f t="shared" si="59"/>
        <v>0</v>
      </c>
      <c r="S47">
        <f t="shared" si="60"/>
        <v>0</v>
      </c>
    </row>
    <row r="48" spans="1:34" x14ac:dyDescent="0.2">
      <c r="A48">
        <f t="shared" si="51"/>
        <v>0</v>
      </c>
      <c r="C48">
        <f t="shared" si="52"/>
        <v>2</v>
      </c>
      <c r="E48">
        <f t="shared" si="53"/>
        <v>0</v>
      </c>
      <c r="G48">
        <f t="shared" si="54"/>
        <v>0</v>
      </c>
      <c r="K48">
        <f t="shared" si="55"/>
        <v>0</v>
      </c>
      <c r="M48">
        <f t="shared" si="56"/>
        <v>0</v>
      </c>
      <c r="N48">
        <f t="shared" si="57"/>
        <v>8</v>
      </c>
      <c r="O48">
        <f t="shared" si="58"/>
        <v>1</v>
      </c>
      <c r="Q48">
        <f t="shared" si="59"/>
        <v>0</v>
      </c>
      <c r="S48">
        <f t="shared" si="60"/>
        <v>0</v>
      </c>
    </row>
    <row r="49" spans="1:19" x14ac:dyDescent="0.2">
      <c r="A49">
        <f t="shared" si="51"/>
        <v>0</v>
      </c>
      <c r="C49">
        <f t="shared" si="52"/>
        <v>3</v>
      </c>
      <c r="E49">
        <f t="shared" si="53"/>
        <v>0</v>
      </c>
      <c r="G49">
        <f t="shared" si="54"/>
        <v>0</v>
      </c>
      <c r="K49">
        <f t="shared" si="55"/>
        <v>0</v>
      </c>
      <c r="M49">
        <f t="shared" si="56"/>
        <v>0</v>
      </c>
      <c r="N49">
        <f t="shared" si="57"/>
        <v>3</v>
      </c>
      <c r="O49">
        <f t="shared" si="58"/>
        <v>1</v>
      </c>
      <c r="Q49">
        <f t="shared" si="59"/>
        <v>0</v>
      </c>
      <c r="S49">
        <f t="shared" si="60"/>
        <v>0</v>
      </c>
    </row>
    <row r="50" spans="1:19" x14ac:dyDescent="0.2">
      <c r="A50">
        <f t="shared" si="51"/>
        <v>0</v>
      </c>
      <c r="C50">
        <f t="shared" si="52"/>
        <v>4</v>
      </c>
      <c r="E50">
        <f t="shared" si="53"/>
        <v>0</v>
      </c>
      <c r="G50">
        <f t="shared" si="54"/>
        <v>0</v>
      </c>
      <c r="K50">
        <f t="shared" si="55"/>
        <v>0</v>
      </c>
      <c r="M50">
        <f t="shared" si="56"/>
        <v>0</v>
      </c>
      <c r="N50">
        <f t="shared" si="57"/>
        <v>0</v>
      </c>
      <c r="O50">
        <f t="shared" si="58"/>
        <v>0</v>
      </c>
      <c r="Q50">
        <f t="shared" si="59"/>
        <v>0</v>
      </c>
      <c r="S50">
        <f t="shared" si="60"/>
        <v>0</v>
      </c>
    </row>
  </sheetData>
  <pageMargins left="0.7" right="0.7" top="0.75" bottom="0.75" header="0.3" footer="0.3"/>
  <legacy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4" enableFormatConditionsCalculation="0"/>
  <dimension ref="A1:BN50"/>
  <sheetViews>
    <sheetView workbookViewId="0">
      <selection activeCell="T15" sqref="T15"/>
    </sheetView>
  </sheetViews>
  <sheetFormatPr baseColWidth="10" defaultRowHeight="15" x14ac:dyDescent="0.2"/>
  <sheetData>
    <row r="1" spans="1:66" x14ac:dyDescent="0.2">
      <c r="A1" s="1" t="s">
        <v>0</v>
      </c>
      <c r="D1" t="s">
        <v>3</v>
      </c>
      <c r="K1" t="s">
        <v>11</v>
      </c>
      <c r="N1" t="s">
        <v>12</v>
      </c>
      <c r="P1" t="s">
        <v>14</v>
      </c>
      <c r="Q1" t="s">
        <v>17</v>
      </c>
      <c r="S1" t="s">
        <v>18</v>
      </c>
      <c r="Z1" t="s">
        <v>29</v>
      </c>
      <c r="AE1" t="s">
        <v>30</v>
      </c>
      <c r="AK1" t="s">
        <v>42</v>
      </c>
    </row>
    <row r="2" spans="1:66" x14ac:dyDescent="0.2">
      <c r="A2" t="s">
        <v>1</v>
      </c>
      <c r="B2" t="s">
        <v>1</v>
      </c>
      <c r="C2" t="s">
        <v>87</v>
      </c>
      <c r="D2" t="s">
        <v>54</v>
      </c>
      <c r="E2" t="s">
        <v>13</v>
      </c>
      <c r="F2" t="s">
        <v>198</v>
      </c>
      <c r="G2" t="s">
        <v>7</v>
      </c>
      <c r="H2" t="s">
        <v>8</v>
      </c>
      <c r="I2" t="s">
        <v>179</v>
      </c>
      <c r="J2" t="s">
        <v>178</v>
      </c>
      <c r="K2" t="s">
        <v>9</v>
      </c>
      <c r="L2" t="s">
        <v>196</v>
      </c>
      <c r="M2" t="s">
        <v>10</v>
      </c>
      <c r="N2" t="s">
        <v>54</v>
      </c>
      <c r="O2" t="s">
        <v>13</v>
      </c>
      <c r="P2" t="s">
        <v>15</v>
      </c>
      <c r="Q2" t="s">
        <v>8</v>
      </c>
      <c r="R2" t="s">
        <v>7</v>
      </c>
      <c r="S2" t="s">
        <v>181</v>
      </c>
      <c r="T2" t="s">
        <v>182</v>
      </c>
      <c r="U2" t="s">
        <v>19</v>
      </c>
      <c r="V2" t="s">
        <v>191</v>
      </c>
      <c r="W2" t="s">
        <v>192</v>
      </c>
      <c r="X2" t="s">
        <v>175</v>
      </c>
      <c r="Y2" t="s">
        <v>173</v>
      </c>
      <c r="Z2" t="str">
        <f t="shared" ref="Z2:Z13" si="0">LEFT(I4, 1)</f>
        <v/>
      </c>
      <c r="AA2" t="str">
        <f t="shared" ref="AA2:AA13" si="1">MID(I4, 4, 1)</f>
        <v/>
      </c>
      <c r="AB2" t="str">
        <f t="shared" ref="AB2:AB13" si="2">MID(I4, 7, 1)</f>
        <v/>
      </c>
      <c r="AC2" t="str">
        <f t="shared" ref="AC2:AC13" si="3">MID(I4, 10, 1)</f>
        <v/>
      </c>
      <c r="AE2" t="str">
        <f t="shared" ref="AE2:AE13" si="4">LEFT(J4, 1)</f>
        <v/>
      </c>
      <c r="AF2" t="str">
        <f t="shared" ref="AF2:AF13" si="5">MID(J4, 4, 1)</f>
        <v/>
      </c>
      <c r="AG2" t="str">
        <f t="shared" ref="AG2:AG13" si="6">MID(J4, 7, 1)</f>
        <v/>
      </c>
      <c r="AH2" t="str">
        <f t="shared" ref="AH2:AH13" si="7">MID(J4, 10, 1)</f>
        <v/>
      </c>
      <c r="AI2" t="str">
        <f t="shared" ref="AI2:AI13" si="8">MID(J4, 13, 1)</f>
        <v/>
      </c>
      <c r="AK2" t="str">
        <f t="shared" ref="AK2:AK13" si="9">LEFT(P4, 2)</f>
        <v/>
      </c>
      <c r="AL2" t="str">
        <f>MID($P4, 5, 2)</f>
        <v/>
      </c>
      <c r="AM2" t="str">
        <f t="shared" ref="AM2:AM13" si="10">MID($P4, 9, 2)</f>
        <v/>
      </c>
      <c r="AN2" t="str">
        <f t="shared" ref="AN2:AN13" si="11">MID($P4, 13, 2)</f>
        <v/>
      </c>
      <c r="AO2" t="str">
        <f t="shared" ref="AO2:AO13" si="12">MID($P4, 17, 2)</f>
        <v/>
      </c>
      <c r="AP2" t="str">
        <f t="shared" ref="AP2:AP13" si="13">MID($P4, 21, 2)</f>
        <v/>
      </c>
      <c r="AQ2" t="str">
        <f t="shared" ref="AQ2:AQ13" si="14">MID($P4, 25, 2)</f>
        <v/>
      </c>
      <c r="AR2" t="str">
        <f t="shared" ref="AR2:AR13" si="15">MID($P4, 29, 2)</f>
        <v/>
      </c>
      <c r="AS2" t="str">
        <f t="shared" ref="AS2:AS13" si="16">MID($P4, 33, 2)</f>
        <v/>
      </c>
      <c r="AT2" t="str">
        <f t="shared" ref="AT2:AT13" si="17">MID($P4, 37, 2)</f>
        <v/>
      </c>
      <c r="AU2" t="str">
        <f t="shared" ref="AU2:AU13" si="18">MID($P4, 41, 2)</f>
        <v/>
      </c>
      <c r="AV2" t="str">
        <f t="shared" ref="AV2:AV13" si="19">MID($P4, 45, 2)</f>
        <v/>
      </c>
      <c r="AW2" t="str">
        <f t="shared" ref="AW2:AW13" si="20">MID($P4, 49, 2)</f>
        <v/>
      </c>
      <c r="AX2" t="str">
        <f t="shared" ref="AX2:AX13" si="21">MID($P4, 53, 2)</f>
        <v/>
      </c>
      <c r="AY2" t="str">
        <f t="shared" ref="AY2:AY13" si="22">MID($P4, 57, 2)</f>
        <v/>
      </c>
      <c r="AZ2" t="str">
        <f t="shared" ref="AZ2:AZ13" si="23">MID($P4, 61, 2)</f>
        <v/>
      </c>
      <c r="BA2" t="str">
        <f t="shared" ref="BA2:BA13" si="24">MID($P4, 65, 2)</f>
        <v/>
      </c>
      <c r="BB2" t="str">
        <f t="shared" ref="BB2:BB13" si="25">MID($P4, 69, 2)</f>
        <v/>
      </c>
      <c r="BC2" t="str">
        <f t="shared" ref="BC2:BC13" si="26">MID($P4, 73, 2)</f>
        <v/>
      </c>
      <c r="BD2" t="str">
        <f t="shared" ref="BD2:BD13" si="27">MID($P4, 77, 2)</f>
        <v/>
      </c>
      <c r="BE2" t="str">
        <f t="shared" ref="BE2:BE13" si="28">MID($P4, 81, 2)</f>
        <v/>
      </c>
      <c r="BF2" t="str">
        <f t="shared" ref="BF2:BF13" si="29">MID($P4, 85, 2)</f>
        <v/>
      </c>
      <c r="BG2" t="str">
        <f t="shared" ref="BG2:BG13" si="30">MID($P4, 89, 2)</f>
        <v/>
      </c>
      <c r="BH2" t="str">
        <f t="shared" ref="BH2:BH13" si="31">MID($P4, 93, 2)</f>
        <v/>
      </c>
    </row>
    <row r="3" spans="1:66" x14ac:dyDescent="0.2">
      <c r="A3" t="s">
        <v>2</v>
      </c>
      <c r="B3" t="s">
        <v>6</v>
      </c>
      <c r="C3" t="s">
        <v>88</v>
      </c>
      <c r="D3" t="s">
        <v>6</v>
      </c>
      <c r="E3" t="s">
        <v>6</v>
      </c>
      <c r="F3" t="s">
        <v>4</v>
      </c>
      <c r="G3" t="s">
        <v>6</v>
      </c>
      <c r="H3" t="s">
        <v>6</v>
      </c>
      <c r="I3" t="s">
        <v>86</v>
      </c>
      <c r="J3" t="s">
        <v>86</v>
      </c>
      <c r="K3" t="s">
        <v>6</v>
      </c>
      <c r="L3" t="s">
        <v>6</v>
      </c>
      <c r="M3" t="s">
        <v>6</v>
      </c>
      <c r="N3" t="s">
        <v>6</v>
      </c>
      <c r="O3" t="s">
        <v>6</v>
      </c>
      <c r="P3" t="s">
        <v>16</v>
      </c>
      <c r="Q3" t="s">
        <v>6</v>
      </c>
      <c r="R3" t="s">
        <v>6</v>
      </c>
      <c r="S3" t="s">
        <v>4</v>
      </c>
      <c r="T3" t="s">
        <v>4</v>
      </c>
      <c r="U3" t="s">
        <v>6</v>
      </c>
      <c r="V3" t="s">
        <v>6</v>
      </c>
      <c r="W3" t="s">
        <v>6</v>
      </c>
      <c r="X3" t="s">
        <v>6</v>
      </c>
      <c r="Y3" t="s">
        <v>174</v>
      </c>
      <c r="Z3" t="str">
        <f t="shared" si="0"/>
        <v/>
      </c>
      <c r="AA3" t="str">
        <f t="shared" si="1"/>
        <v/>
      </c>
      <c r="AB3" t="str">
        <f t="shared" si="2"/>
        <v/>
      </c>
      <c r="AC3" t="str">
        <f t="shared" si="3"/>
        <v/>
      </c>
      <c r="AE3" t="str">
        <f t="shared" si="4"/>
        <v>4</v>
      </c>
      <c r="AF3" t="str">
        <f t="shared" si="5"/>
        <v/>
      </c>
      <c r="AG3" t="str">
        <f t="shared" si="6"/>
        <v/>
      </c>
      <c r="AH3" t="str">
        <f t="shared" si="7"/>
        <v/>
      </c>
      <c r="AI3" t="str">
        <f t="shared" si="8"/>
        <v/>
      </c>
      <c r="AK3" t="str">
        <f t="shared" si="9"/>
        <v/>
      </c>
      <c r="AL3" t="str">
        <f t="shared" ref="AL3:AL13" si="32">MID(P5, 5, 2)</f>
        <v/>
      </c>
      <c r="AM3" t="str">
        <f t="shared" si="10"/>
        <v/>
      </c>
      <c r="AN3" t="str">
        <f t="shared" si="11"/>
        <v/>
      </c>
      <c r="AO3" t="str">
        <f t="shared" si="12"/>
        <v/>
      </c>
      <c r="AP3" t="str">
        <f t="shared" si="13"/>
        <v/>
      </c>
      <c r="AQ3" t="str">
        <f t="shared" si="14"/>
        <v/>
      </c>
      <c r="AR3" t="str">
        <f t="shared" si="15"/>
        <v/>
      </c>
      <c r="AS3" t="str">
        <f t="shared" si="16"/>
        <v/>
      </c>
      <c r="AT3" t="str">
        <f t="shared" si="17"/>
        <v/>
      </c>
      <c r="AU3" t="str">
        <f t="shared" si="18"/>
        <v/>
      </c>
      <c r="AV3" t="str">
        <f t="shared" si="19"/>
        <v/>
      </c>
      <c r="AW3" t="str">
        <f t="shared" si="20"/>
        <v/>
      </c>
      <c r="AX3" t="str">
        <f t="shared" si="21"/>
        <v/>
      </c>
      <c r="AY3" t="str">
        <f t="shared" si="22"/>
        <v/>
      </c>
      <c r="AZ3" t="str">
        <f t="shared" si="23"/>
        <v/>
      </c>
      <c r="BA3" t="str">
        <f t="shared" si="24"/>
        <v/>
      </c>
      <c r="BB3" t="str">
        <f t="shared" si="25"/>
        <v/>
      </c>
      <c r="BC3" t="str">
        <f t="shared" si="26"/>
        <v/>
      </c>
      <c r="BD3" t="str">
        <f t="shared" si="27"/>
        <v/>
      </c>
      <c r="BE3" t="str">
        <f t="shared" si="28"/>
        <v/>
      </c>
      <c r="BF3" t="str">
        <f t="shared" si="29"/>
        <v/>
      </c>
      <c r="BG3" t="str">
        <f t="shared" si="30"/>
        <v/>
      </c>
      <c r="BH3" t="str">
        <f t="shared" si="31"/>
        <v/>
      </c>
    </row>
    <row r="4" spans="1:66" x14ac:dyDescent="0.2">
      <c r="A4">
        <v>1</v>
      </c>
      <c r="B4">
        <v>7</v>
      </c>
      <c r="C4" t="s">
        <v>39</v>
      </c>
      <c r="D4">
        <v>1</v>
      </c>
      <c r="E4">
        <v>1</v>
      </c>
      <c r="K4">
        <v>2</v>
      </c>
      <c r="N4">
        <v>2</v>
      </c>
      <c r="O4">
        <v>2</v>
      </c>
      <c r="S4">
        <v>1</v>
      </c>
      <c r="T4">
        <v>1</v>
      </c>
      <c r="X4">
        <f t="shared" ref="X4:X15" si="33">G4+H4+Q4+R4</f>
        <v>0</v>
      </c>
      <c r="Z4" t="str">
        <f t="shared" si="0"/>
        <v/>
      </c>
      <c r="AA4" t="str">
        <f t="shared" si="1"/>
        <v/>
      </c>
      <c r="AB4" t="str">
        <f t="shared" si="2"/>
        <v/>
      </c>
      <c r="AC4" t="str">
        <f t="shared" si="3"/>
        <v/>
      </c>
      <c r="AE4" t="str">
        <f t="shared" si="4"/>
        <v/>
      </c>
      <c r="AF4" t="str">
        <f t="shared" si="5"/>
        <v/>
      </c>
      <c r="AG4" t="str">
        <f t="shared" si="6"/>
        <v/>
      </c>
      <c r="AH4" t="str">
        <f t="shared" si="7"/>
        <v/>
      </c>
      <c r="AI4" t="str">
        <f t="shared" si="8"/>
        <v/>
      </c>
      <c r="AK4" t="str">
        <f t="shared" si="9"/>
        <v/>
      </c>
      <c r="AL4" t="str">
        <f t="shared" si="32"/>
        <v/>
      </c>
      <c r="AM4" t="str">
        <f t="shared" si="10"/>
        <v/>
      </c>
      <c r="AN4" t="str">
        <f t="shared" si="11"/>
        <v/>
      </c>
      <c r="AO4" t="str">
        <f t="shared" si="12"/>
        <v/>
      </c>
      <c r="AP4" t="str">
        <f t="shared" si="13"/>
        <v/>
      </c>
      <c r="AQ4" t="str">
        <f t="shared" si="14"/>
        <v/>
      </c>
      <c r="AR4" t="str">
        <f t="shared" si="15"/>
        <v/>
      </c>
      <c r="AS4" t="str">
        <f t="shared" si="16"/>
        <v/>
      </c>
      <c r="AT4" t="str">
        <f t="shared" si="17"/>
        <v/>
      </c>
      <c r="AU4" t="str">
        <f t="shared" si="18"/>
        <v/>
      </c>
      <c r="AV4" t="str">
        <f t="shared" si="19"/>
        <v/>
      </c>
      <c r="AW4" t="str">
        <f t="shared" si="20"/>
        <v/>
      </c>
      <c r="AX4" t="str">
        <f t="shared" si="21"/>
        <v/>
      </c>
      <c r="AY4" t="str">
        <f t="shared" si="22"/>
        <v/>
      </c>
      <c r="AZ4" t="str">
        <f t="shared" si="23"/>
        <v/>
      </c>
      <c r="BA4" t="str">
        <f t="shared" si="24"/>
        <v/>
      </c>
      <c r="BB4" t="str">
        <f t="shared" si="25"/>
        <v/>
      </c>
      <c r="BC4" t="str">
        <f t="shared" si="26"/>
        <v/>
      </c>
      <c r="BD4" t="str">
        <f t="shared" si="27"/>
        <v/>
      </c>
      <c r="BE4" t="str">
        <f t="shared" si="28"/>
        <v/>
      </c>
      <c r="BF4" t="str">
        <f t="shared" si="29"/>
        <v/>
      </c>
      <c r="BG4" t="str">
        <f t="shared" si="30"/>
        <v/>
      </c>
      <c r="BH4" t="str">
        <f t="shared" si="31"/>
        <v/>
      </c>
    </row>
    <row r="5" spans="1:66" x14ac:dyDescent="0.2">
      <c r="A5">
        <v>2</v>
      </c>
      <c r="B5">
        <v>13</v>
      </c>
      <c r="C5" t="s">
        <v>207</v>
      </c>
      <c r="D5">
        <v>1</v>
      </c>
      <c r="J5">
        <v>4</v>
      </c>
      <c r="K5">
        <v>3</v>
      </c>
      <c r="N5">
        <v>3</v>
      </c>
      <c r="O5">
        <v>3</v>
      </c>
      <c r="S5">
        <v>1</v>
      </c>
      <c r="X5">
        <f t="shared" si="33"/>
        <v>0</v>
      </c>
      <c r="Z5" t="str">
        <f t="shared" si="0"/>
        <v/>
      </c>
      <c r="AA5" t="str">
        <f t="shared" si="1"/>
        <v/>
      </c>
      <c r="AB5" t="str">
        <f t="shared" si="2"/>
        <v/>
      </c>
      <c r="AC5" t="str">
        <f t="shared" si="3"/>
        <v/>
      </c>
      <c r="AE5" t="str">
        <f t="shared" si="4"/>
        <v/>
      </c>
      <c r="AF5" t="str">
        <f t="shared" si="5"/>
        <v/>
      </c>
      <c r="AG5" t="str">
        <f t="shared" si="6"/>
        <v/>
      </c>
      <c r="AH5" t="str">
        <f t="shared" si="7"/>
        <v/>
      </c>
      <c r="AI5" t="str">
        <f t="shared" si="8"/>
        <v/>
      </c>
      <c r="AK5" t="str">
        <f t="shared" si="9"/>
        <v/>
      </c>
      <c r="AL5" t="str">
        <f t="shared" si="32"/>
        <v/>
      </c>
      <c r="AM5" t="str">
        <f t="shared" si="10"/>
        <v/>
      </c>
      <c r="AN5" t="str">
        <f t="shared" si="11"/>
        <v/>
      </c>
      <c r="AO5" t="str">
        <f t="shared" si="12"/>
        <v/>
      </c>
      <c r="AP5" t="str">
        <f t="shared" si="13"/>
        <v/>
      </c>
      <c r="AQ5" t="str">
        <f t="shared" si="14"/>
        <v/>
      </c>
      <c r="AR5" t="str">
        <f t="shared" si="15"/>
        <v/>
      </c>
      <c r="AS5" t="str">
        <f t="shared" si="16"/>
        <v/>
      </c>
      <c r="AT5" t="str">
        <f t="shared" si="17"/>
        <v/>
      </c>
      <c r="AU5" t="str">
        <f t="shared" si="18"/>
        <v/>
      </c>
      <c r="AV5" t="str">
        <f t="shared" si="19"/>
        <v/>
      </c>
      <c r="AW5" t="str">
        <f t="shared" si="20"/>
        <v/>
      </c>
      <c r="AX5" t="str">
        <f t="shared" si="21"/>
        <v/>
      </c>
      <c r="AY5" t="str">
        <f t="shared" si="22"/>
        <v/>
      </c>
      <c r="AZ5" t="str">
        <f t="shared" si="23"/>
        <v/>
      </c>
      <c r="BA5" t="str">
        <f t="shared" si="24"/>
        <v/>
      </c>
      <c r="BB5" t="str">
        <f t="shared" si="25"/>
        <v/>
      </c>
      <c r="BC5" t="str">
        <f t="shared" si="26"/>
        <v/>
      </c>
      <c r="BD5" t="str">
        <f t="shared" si="27"/>
        <v/>
      </c>
      <c r="BE5" t="str">
        <f t="shared" si="28"/>
        <v/>
      </c>
      <c r="BF5" t="str">
        <f t="shared" si="29"/>
        <v/>
      </c>
      <c r="BG5" t="str">
        <f t="shared" si="30"/>
        <v/>
      </c>
      <c r="BH5" t="str">
        <f t="shared" si="31"/>
        <v/>
      </c>
    </row>
    <row r="6" spans="1:66" x14ac:dyDescent="0.2">
      <c r="A6">
        <v>3</v>
      </c>
      <c r="B6">
        <v>22</v>
      </c>
      <c r="C6" t="s">
        <v>207</v>
      </c>
      <c r="D6">
        <v>1</v>
      </c>
      <c r="K6">
        <v>2</v>
      </c>
      <c r="N6">
        <v>3</v>
      </c>
      <c r="O6">
        <v>3</v>
      </c>
      <c r="S6">
        <v>1</v>
      </c>
      <c r="T6">
        <v>1</v>
      </c>
      <c r="X6">
        <f t="shared" si="33"/>
        <v>0</v>
      </c>
      <c r="Z6" t="str">
        <f t="shared" si="0"/>
        <v/>
      </c>
      <c r="AA6" t="str">
        <f t="shared" si="1"/>
        <v/>
      </c>
      <c r="AB6" t="str">
        <f t="shared" si="2"/>
        <v/>
      </c>
      <c r="AC6" t="str">
        <f t="shared" si="3"/>
        <v/>
      </c>
      <c r="AE6" t="str">
        <f t="shared" si="4"/>
        <v>2</v>
      </c>
      <c r="AF6" t="str">
        <f t="shared" si="5"/>
        <v/>
      </c>
      <c r="AG6" t="str">
        <f t="shared" si="6"/>
        <v/>
      </c>
      <c r="AH6" t="str">
        <f t="shared" si="7"/>
        <v/>
      </c>
      <c r="AI6" t="str">
        <f t="shared" si="8"/>
        <v/>
      </c>
      <c r="AK6" t="str">
        <f t="shared" si="9"/>
        <v>h1</v>
      </c>
      <c r="AL6" t="str">
        <f t="shared" si="32"/>
        <v/>
      </c>
      <c r="AM6" t="str">
        <f t="shared" si="10"/>
        <v/>
      </c>
      <c r="AN6" t="str">
        <f t="shared" si="11"/>
        <v/>
      </c>
      <c r="AO6" t="str">
        <f t="shared" si="12"/>
        <v/>
      </c>
      <c r="AP6" t="str">
        <f t="shared" si="13"/>
        <v/>
      </c>
      <c r="AQ6" t="str">
        <f t="shared" si="14"/>
        <v/>
      </c>
      <c r="AR6" t="str">
        <f t="shared" si="15"/>
        <v/>
      </c>
      <c r="AS6" t="str">
        <f t="shared" si="16"/>
        <v/>
      </c>
      <c r="AT6" t="str">
        <f t="shared" si="17"/>
        <v/>
      </c>
      <c r="AU6" t="str">
        <f t="shared" si="18"/>
        <v/>
      </c>
      <c r="AV6" t="str">
        <f t="shared" si="19"/>
        <v/>
      </c>
      <c r="AW6" t="str">
        <f t="shared" si="20"/>
        <v/>
      </c>
      <c r="AX6" t="str">
        <f t="shared" si="21"/>
        <v/>
      </c>
      <c r="AY6" t="str">
        <f t="shared" si="22"/>
        <v/>
      </c>
      <c r="AZ6" t="str">
        <f t="shared" si="23"/>
        <v/>
      </c>
      <c r="BA6" t="str">
        <f t="shared" si="24"/>
        <v/>
      </c>
      <c r="BB6" t="str">
        <f t="shared" si="25"/>
        <v/>
      </c>
      <c r="BC6" t="str">
        <f t="shared" si="26"/>
        <v/>
      </c>
      <c r="BD6" t="str">
        <f t="shared" si="27"/>
        <v/>
      </c>
      <c r="BE6" t="str">
        <f t="shared" si="28"/>
        <v/>
      </c>
      <c r="BF6" t="str">
        <f t="shared" si="29"/>
        <v/>
      </c>
      <c r="BG6" t="str">
        <f t="shared" si="30"/>
        <v/>
      </c>
      <c r="BH6" t="str">
        <f t="shared" si="31"/>
        <v/>
      </c>
    </row>
    <row r="7" spans="1:66" x14ac:dyDescent="0.2">
      <c r="A7">
        <v>4</v>
      </c>
      <c r="B7">
        <v>40</v>
      </c>
      <c r="C7" t="s">
        <v>207</v>
      </c>
      <c r="D7">
        <v>1</v>
      </c>
      <c r="E7">
        <v>1</v>
      </c>
      <c r="F7">
        <v>1</v>
      </c>
      <c r="K7">
        <v>4</v>
      </c>
      <c r="N7">
        <v>3</v>
      </c>
      <c r="O7">
        <v>3</v>
      </c>
      <c r="S7">
        <v>1</v>
      </c>
      <c r="T7">
        <v>1</v>
      </c>
      <c r="X7">
        <f t="shared" si="33"/>
        <v>0</v>
      </c>
      <c r="Z7" t="str">
        <f t="shared" si="0"/>
        <v/>
      </c>
      <c r="AA7" t="str">
        <f t="shared" si="1"/>
        <v/>
      </c>
      <c r="AB7" t="str">
        <f t="shared" si="2"/>
        <v/>
      </c>
      <c r="AC7" t="str">
        <f t="shared" si="3"/>
        <v/>
      </c>
      <c r="AE7" t="str">
        <f t="shared" si="4"/>
        <v/>
      </c>
      <c r="AF7" t="str">
        <f t="shared" si="5"/>
        <v/>
      </c>
      <c r="AG7" t="str">
        <f t="shared" si="6"/>
        <v/>
      </c>
      <c r="AH7" t="str">
        <f t="shared" si="7"/>
        <v/>
      </c>
      <c r="AI7" t="str">
        <f t="shared" si="8"/>
        <v/>
      </c>
      <c r="AK7" t="str">
        <f t="shared" si="9"/>
        <v/>
      </c>
      <c r="AL7" t="str">
        <f t="shared" si="32"/>
        <v/>
      </c>
      <c r="AM7" t="str">
        <f t="shared" si="10"/>
        <v/>
      </c>
      <c r="AN7" t="str">
        <f t="shared" si="11"/>
        <v/>
      </c>
      <c r="AO7" t="str">
        <f t="shared" si="12"/>
        <v/>
      </c>
      <c r="AP7" t="str">
        <f t="shared" si="13"/>
        <v/>
      </c>
      <c r="AQ7" t="str">
        <f t="shared" si="14"/>
        <v/>
      </c>
      <c r="AR7" t="str">
        <f t="shared" si="15"/>
        <v/>
      </c>
      <c r="AS7" t="str">
        <f t="shared" si="16"/>
        <v/>
      </c>
      <c r="AT7" t="str">
        <f t="shared" si="17"/>
        <v/>
      </c>
      <c r="AU7" t="str">
        <f t="shared" si="18"/>
        <v/>
      </c>
      <c r="AV7" t="str">
        <f t="shared" si="19"/>
        <v/>
      </c>
      <c r="AW7" t="str">
        <f t="shared" si="20"/>
        <v/>
      </c>
      <c r="AX7" t="str">
        <f t="shared" si="21"/>
        <v/>
      </c>
      <c r="AY7" t="str">
        <f t="shared" si="22"/>
        <v/>
      </c>
      <c r="AZ7" t="str">
        <f t="shared" si="23"/>
        <v/>
      </c>
      <c r="BA7" t="str">
        <f t="shared" si="24"/>
        <v/>
      </c>
      <c r="BB7" t="str">
        <f t="shared" si="25"/>
        <v/>
      </c>
      <c r="BC7" t="str">
        <f t="shared" si="26"/>
        <v/>
      </c>
      <c r="BD7" t="str">
        <f t="shared" si="27"/>
        <v/>
      </c>
      <c r="BE7" t="str">
        <f t="shared" si="28"/>
        <v/>
      </c>
      <c r="BF7" t="str">
        <f t="shared" si="29"/>
        <v/>
      </c>
      <c r="BG7" t="str">
        <f t="shared" si="30"/>
        <v/>
      </c>
      <c r="BH7" t="str">
        <f t="shared" si="31"/>
        <v/>
      </c>
    </row>
    <row r="8" spans="1:66" x14ac:dyDescent="0.2">
      <c r="A8">
        <v>5</v>
      </c>
      <c r="B8">
        <v>45</v>
      </c>
      <c r="C8" t="s">
        <v>39</v>
      </c>
      <c r="D8">
        <v>1</v>
      </c>
      <c r="E8">
        <v>1</v>
      </c>
      <c r="J8">
        <v>2</v>
      </c>
      <c r="K8">
        <v>3</v>
      </c>
      <c r="N8">
        <v>2</v>
      </c>
      <c r="O8">
        <v>2</v>
      </c>
      <c r="P8" t="s">
        <v>209</v>
      </c>
      <c r="R8">
        <v>1</v>
      </c>
      <c r="S8">
        <v>1</v>
      </c>
      <c r="T8">
        <v>1</v>
      </c>
      <c r="U8">
        <v>27</v>
      </c>
      <c r="X8">
        <f t="shared" si="33"/>
        <v>1</v>
      </c>
      <c r="Z8" t="str">
        <f t="shared" si="0"/>
        <v/>
      </c>
      <c r="AA8" t="str">
        <f t="shared" si="1"/>
        <v/>
      </c>
      <c r="AB8" t="str">
        <f t="shared" si="2"/>
        <v/>
      </c>
      <c r="AC8" t="str">
        <f t="shared" si="3"/>
        <v/>
      </c>
      <c r="AE8" t="str">
        <f t="shared" si="4"/>
        <v/>
      </c>
      <c r="AF8" t="str">
        <f t="shared" si="5"/>
        <v/>
      </c>
      <c r="AG8" t="str">
        <f t="shared" si="6"/>
        <v/>
      </c>
      <c r="AH8" t="str">
        <f t="shared" si="7"/>
        <v/>
      </c>
      <c r="AI8" t="str">
        <f t="shared" si="8"/>
        <v/>
      </c>
      <c r="AK8" t="str">
        <f t="shared" si="9"/>
        <v/>
      </c>
      <c r="AL8" t="str">
        <f t="shared" si="32"/>
        <v/>
      </c>
      <c r="AM8" t="str">
        <f t="shared" si="10"/>
        <v/>
      </c>
      <c r="AN8" t="str">
        <f t="shared" si="11"/>
        <v/>
      </c>
      <c r="AO8" t="str">
        <f t="shared" si="12"/>
        <v/>
      </c>
      <c r="AP8" t="str">
        <f t="shared" si="13"/>
        <v/>
      </c>
      <c r="AQ8" t="str">
        <f t="shared" si="14"/>
        <v/>
      </c>
      <c r="AR8" t="str">
        <f t="shared" si="15"/>
        <v/>
      </c>
      <c r="AS8" t="str">
        <f t="shared" si="16"/>
        <v/>
      </c>
      <c r="AT8" t="str">
        <f t="shared" si="17"/>
        <v/>
      </c>
      <c r="AU8" t="str">
        <f t="shared" si="18"/>
        <v/>
      </c>
      <c r="AV8" t="str">
        <f t="shared" si="19"/>
        <v/>
      </c>
      <c r="AW8" t="str">
        <f t="shared" si="20"/>
        <v/>
      </c>
      <c r="AX8" t="str">
        <f t="shared" si="21"/>
        <v/>
      </c>
      <c r="AY8" t="str">
        <f t="shared" si="22"/>
        <v/>
      </c>
      <c r="AZ8" t="str">
        <f t="shared" si="23"/>
        <v/>
      </c>
      <c r="BA8" t="str">
        <f t="shared" si="24"/>
        <v/>
      </c>
      <c r="BB8" t="str">
        <f t="shared" si="25"/>
        <v/>
      </c>
      <c r="BC8" t="str">
        <f t="shared" si="26"/>
        <v/>
      </c>
      <c r="BD8" t="str">
        <f t="shared" si="27"/>
        <v/>
      </c>
      <c r="BE8" t="str">
        <f t="shared" si="28"/>
        <v/>
      </c>
      <c r="BF8" t="str">
        <f t="shared" si="29"/>
        <v/>
      </c>
      <c r="BG8" t="str">
        <f t="shared" si="30"/>
        <v/>
      </c>
      <c r="BH8" t="str">
        <f t="shared" si="31"/>
        <v/>
      </c>
    </row>
    <row r="9" spans="1:66" x14ac:dyDescent="0.2">
      <c r="A9">
        <v>6</v>
      </c>
      <c r="B9">
        <v>59</v>
      </c>
      <c r="C9" t="s">
        <v>207</v>
      </c>
      <c r="D9">
        <v>1</v>
      </c>
      <c r="E9">
        <v>1</v>
      </c>
      <c r="K9">
        <v>2</v>
      </c>
      <c r="N9">
        <v>2</v>
      </c>
      <c r="O9">
        <v>2</v>
      </c>
      <c r="U9">
        <v>22</v>
      </c>
      <c r="X9">
        <f t="shared" si="33"/>
        <v>0</v>
      </c>
      <c r="Z9" t="str">
        <f t="shared" si="0"/>
        <v/>
      </c>
      <c r="AA9" t="str">
        <f t="shared" si="1"/>
        <v/>
      </c>
      <c r="AB9" t="str">
        <f t="shared" si="2"/>
        <v/>
      </c>
      <c r="AC9" t="str">
        <f t="shared" si="3"/>
        <v/>
      </c>
      <c r="AE9" t="str">
        <f t="shared" si="4"/>
        <v>1</v>
      </c>
      <c r="AF9" t="str">
        <f t="shared" si="5"/>
        <v/>
      </c>
      <c r="AG9" t="str">
        <f t="shared" si="6"/>
        <v/>
      </c>
      <c r="AH9" t="str">
        <f t="shared" si="7"/>
        <v/>
      </c>
      <c r="AI9" t="str">
        <f t="shared" si="8"/>
        <v/>
      </c>
      <c r="AK9" t="str">
        <f t="shared" si="9"/>
        <v>h1</v>
      </c>
      <c r="AL9" t="str">
        <f t="shared" si="32"/>
        <v/>
      </c>
      <c r="AM9" t="str">
        <f t="shared" si="10"/>
        <v/>
      </c>
      <c r="AN9" t="str">
        <f t="shared" si="11"/>
        <v/>
      </c>
      <c r="AO9" t="str">
        <f t="shared" si="12"/>
        <v/>
      </c>
      <c r="AP9" t="str">
        <f t="shared" si="13"/>
        <v/>
      </c>
      <c r="AQ9" t="str">
        <f t="shared" si="14"/>
        <v/>
      </c>
      <c r="AR9" t="str">
        <f t="shared" si="15"/>
        <v/>
      </c>
      <c r="AS9" t="str">
        <f t="shared" si="16"/>
        <v/>
      </c>
      <c r="AT9" t="str">
        <f t="shared" si="17"/>
        <v/>
      </c>
      <c r="AU9" t="str">
        <f t="shared" si="18"/>
        <v/>
      </c>
      <c r="AV9" t="str">
        <f t="shared" si="19"/>
        <v/>
      </c>
      <c r="AW9" t="str">
        <f t="shared" si="20"/>
        <v/>
      </c>
      <c r="AX9" t="str">
        <f t="shared" si="21"/>
        <v/>
      </c>
      <c r="AY9" t="str">
        <f t="shared" si="22"/>
        <v/>
      </c>
      <c r="AZ9" t="str">
        <f t="shared" si="23"/>
        <v/>
      </c>
      <c r="BA9" t="str">
        <f t="shared" si="24"/>
        <v/>
      </c>
      <c r="BB9" t="str">
        <f t="shared" si="25"/>
        <v/>
      </c>
      <c r="BC9" t="str">
        <f t="shared" si="26"/>
        <v/>
      </c>
      <c r="BD9" t="str">
        <f t="shared" si="27"/>
        <v/>
      </c>
      <c r="BE9" t="str">
        <f t="shared" si="28"/>
        <v/>
      </c>
      <c r="BF9" t="str">
        <f t="shared" si="29"/>
        <v/>
      </c>
      <c r="BG9" t="str">
        <f t="shared" si="30"/>
        <v/>
      </c>
      <c r="BH9" t="str">
        <f t="shared" si="31"/>
        <v/>
      </c>
    </row>
    <row r="10" spans="1:66" x14ac:dyDescent="0.2">
      <c r="A10">
        <v>7</v>
      </c>
      <c r="B10">
        <v>65</v>
      </c>
      <c r="C10" t="s">
        <v>39</v>
      </c>
      <c r="S10">
        <v>1</v>
      </c>
      <c r="T10">
        <v>1</v>
      </c>
      <c r="X10">
        <f t="shared" si="33"/>
        <v>0</v>
      </c>
      <c r="Z10" t="str">
        <f t="shared" si="0"/>
        <v/>
      </c>
      <c r="AA10" t="str">
        <f t="shared" si="1"/>
        <v/>
      </c>
      <c r="AB10" t="str">
        <f t="shared" si="2"/>
        <v/>
      </c>
      <c r="AC10" t="str">
        <f t="shared" si="3"/>
        <v/>
      </c>
      <c r="AE10" t="str">
        <f t="shared" si="4"/>
        <v/>
      </c>
      <c r="AF10" t="str">
        <f t="shared" si="5"/>
        <v/>
      </c>
      <c r="AG10" t="str">
        <f t="shared" si="6"/>
        <v/>
      </c>
      <c r="AH10" t="str">
        <f t="shared" si="7"/>
        <v/>
      </c>
      <c r="AI10" t="str">
        <f t="shared" si="8"/>
        <v/>
      </c>
      <c r="AK10" t="str">
        <f t="shared" si="9"/>
        <v/>
      </c>
      <c r="AL10" t="str">
        <f t="shared" si="32"/>
        <v/>
      </c>
      <c r="AM10" t="str">
        <f t="shared" si="10"/>
        <v/>
      </c>
      <c r="AN10" t="str">
        <f t="shared" si="11"/>
        <v/>
      </c>
      <c r="AO10" t="str">
        <f t="shared" si="12"/>
        <v/>
      </c>
      <c r="AP10" t="str">
        <f t="shared" si="13"/>
        <v/>
      </c>
      <c r="AQ10" t="str">
        <f t="shared" si="14"/>
        <v/>
      </c>
      <c r="AR10" t="str">
        <f t="shared" si="15"/>
        <v/>
      </c>
      <c r="AS10" t="str">
        <f t="shared" si="16"/>
        <v/>
      </c>
      <c r="AT10" t="str">
        <f t="shared" si="17"/>
        <v/>
      </c>
      <c r="AU10" t="str">
        <f t="shared" si="18"/>
        <v/>
      </c>
      <c r="AV10" t="str">
        <f t="shared" si="19"/>
        <v/>
      </c>
      <c r="AW10" t="str">
        <f t="shared" si="20"/>
        <v/>
      </c>
      <c r="AX10" t="str">
        <f t="shared" si="21"/>
        <v/>
      </c>
      <c r="AY10" t="str">
        <f t="shared" si="22"/>
        <v/>
      </c>
      <c r="AZ10" t="str">
        <f t="shared" si="23"/>
        <v/>
      </c>
      <c r="BA10" t="str">
        <f t="shared" si="24"/>
        <v/>
      </c>
      <c r="BB10" t="str">
        <f t="shared" si="25"/>
        <v/>
      </c>
      <c r="BC10" t="str">
        <f t="shared" si="26"/>
        <v/>
      </c>
      <c r="BD10" t="str">
        <f t="shared" si="27"/>
        <v/>
      </c>
      <c r="BE10" t="str">
        <f t="shared" si="28"/>
        <v/>
      </c>
      <c r="BF10" t="str">
        <f t="shared" si="29"/>
        <v/>
      </c>
      <c r="BG10" t="str">
        <f t="shared" si="30"/>
        <v/>
      </c>
      <c r="BH10" t="str">
        <f t="shared" si="31"/>
        <v/>
      </c>
    </row>
    <row r="11" spans="1:66" x14ac:dyDescent="0.2">
      <c r="A11">
        <v>8</v>
      </c>
      <c r="B11">
        <v>77</v>
      </c>
      <c r="C11" t="s">
        <v>39</v>
      </c>
      <c r="D11">
        <v>1</v>
      </c>
      <c r="E11">
        <v>1</v>
      </c>
      <c r="J11">
        <v>1</v>
      </c>
      <c r="K11">
        <v>3</v>
      </c>
      <c r="N11">
        <v>3</v>
      </c>
      <c r="O11">
        <v>3</v>
      </c>
      <c r="P11" t="s">
        <v>209</v>
      </c>
      <c r="R11">
        <v>1</v>
      </c>
      <c r="S11">
        <v>1</v>
      </c>
      <c r="T11">
        <v>1</v>
      </c>
      <c r="U11">
        <v>1</v>
      </c>
      <c r="W11">
        <v>4</v>
      </c>
      <c r="X11">
        <f t="shared" si="33"/>
        <v>1</v>
      </c>
      <c r="Z11" t="str">
        <f t="shared" si="0"/>
        <v/>
      </c>
      <c r="AA11" t="str">
        <f t="shared" si="1"/>
        <v/>
      </c>
      <c r="AB11" t="str">
        <f t="shared" si="2"/>
        <v/>
      </c>
      <c r="AC11" t="str">
        <f t="shared" si="3"/>
        <v/>
      </c>
      <c r="AE11" t="str">
        <f t="shared" si="4"/>
        <v/>
      </c>
      <c r="AF11" t="str">
        <f t="shared" si="5"/>
        <v/>
      </c>
      <c r="AG11" t="str">
        <f t="shared" si="6"/>
        <v/>
      </c>
      <c r="AH11" t="str">
        <f t="shared" si="7"/>
        <v/>
      </c>
      <c r="AI11" t="str">
        <f t="shared" si="8"/>
        <v/>
      </c>
      <c r="AK11" t="str">
        <f t="shared" si="9"/>
        <v/>
      </c>
      <c r="AL11" t="str">
        <f t="shared" si="32"/>
        <v/>
      </c>
      <c r="AM11" t="str">
        <f t="shared" si="10"/>
        <v/>
      </c>
      <c r="AN11" t="str">
        <f t="shared" si="11"/>
        <v/>
      </c>
      <c r="AO11" t="str">
        <f t="shared" si="12"/>
        <v/>
      </c>
      <c r="AP11" t="str">
        <f t="shared" si="13"/>
        <v/>
      </c>
      <c r="AQ11" t="str">
        <f t="shared" si="14"/>
        <v/>
      </c>
      <c r="AR11" t="str">
        <f t="shared" si="15"/>
        <v/>
      </c>
      <c r="AS11" t="str">
        <f t="shared" si="16"/>
        <v/>
      </c>
      <c r="AT11" t="str">
        <f t="shared" si="17"/>
        <v/>
      </c>
      <c r="AU11" t="str">
        <f t="shared" si="18"/>
        <v/>
      </c>
      <c r="AV11" t="str">
        <f t="shared" si="19"/>
        <v/>
      </c>
      <c r="AW11" t="str">
        <f t="shared" si="20"/>
        <v/>
      </c>
      <c r="AX11" t="str">
        <f t="shared" si="21"/>
        <v/>
      </c>
      <c r="AY11" t="str">
        <f t="shared" si="22"/>
        <v/>
      </c>
      <c r="AZ11" t="str">
        <f t="shared" si="23"/>
        <v/>
      </c>
      <c r="BA11" t="str">
        <f t="shared" si="24"/>
        <v/>
      </c>
      <c r="BB11" t="str">
        <f t="shared" si="25"/>
        <v/>
      </c>
      <c r="BC11" t="str">
        <f t="shared" si="26"/>
        <v/>
      </c>
      <c r="BD11" t="str">
        <f t="shared" si="27"/>
        <v/>
      </c>
      <c r="BE11" t="str">
        <f t="shared" si="28"/>
        <v/>
      </c>
      <c r="BF11" t="str">
        <f t="shared" si="29"/>
        <v/>
      </c>
      <c r="BG11" t="str">
        <f t="shared" si="30"/>
        <v/>
      </c>
      <c r="BH11" t="str">
        <f t="shared" si="31"/>
        <v/>
      </c>
    </row>
    <row r="12" spans="1:66" x14ac:dyDescent="0.2">
      <c r="A12">
        <v>9</v>
      </c>
      <c r="B12">
        <v>88</v>
      </c>
      <c r="C12" t="s">
        <v>39</v>
      </c>
      <c r="D12">
        <v>1</v>
      </c>
      <c r="E12">
        <v>1</v>
      </c>
      <c r="K12">
        <v>3</v>
      </c>
      <c r="L12">
        <v>1</v>
      </c>
      <c r="N12">
        <v>3</v>
      </c>
      <c r="O12">
        <v>2</v>
      </c>
      <c r="S12">
        <v>1</v>
      </c>
      <c r="T12">
        <v>1</v>
      </c>
      <c r="U12">
        <v>8</v>
      </c>
      <c r="X12">
        <f t="shared" si="33"/>
        <v>0</v>
      </c>
      <c r="Z12" t="str">
        <f t="shared" si="0"/>
        <v/>
      </c>
      <c r="AA12" t="str">
        <f t="shared" si="1"/>
        <v/>
      </c>
      <c r="AB12" t="str">
        <f t="shared" si="2"/>
        <v/>
      </c>
      <c r="AC12" t="str">
        <f t="shared" si="3"/>
        <v/>
      </c>
      <c r="AE12" t="str">
        <f t="shared" si="4"/>
        <v>1</v>
      </c>
      <c r="AF12" t="str">
        <f t="shared" si="5"/>
        <v/>
      </c>
      <c r="AG12" t="str">
        <f t="shared" si="6"/>
        <v/>
      </c>
      <c r="AH12" t="str">
        <f t="shared" si="7"/>
        <v/>
      </c>
      <c r="AI12" t="str">
        <f t="shared" si="8"/>
        <v/>
      </c>
      <c r="AK12" t="str">
        <f t="shared" si="9"/>
        <v>h1</v>
      </c>
      <c r="AL12" t="str">
        <f t="shared" si="32"/>
        <v/>
      </c>
      <c r="AM12" t="str">
        <f t="shared" si="10"/>
        <v/>
      </c>
      <c r="AN12" t="str">
        <f t="shared" si="11"/>
        <v/>
      </c>
      <c r="AO12" t="str">
        <f t="shared" si="12"/>
        <v/>
      </c>
      <c r="AP12" t="str">
        <f t="shared" si="13"/>
        <v/>
      </c>
      <c r="AQ12" t="str">
        <f t="shared" si="14"/>
        <v/>
      </c>
      <c r="AR12" t="str">
        <f t="shared" si="15"/>
        <v/>
      </c>
      <c r="AS12" t="str">
        <f t="shared" si="16"/>
        <v/>
      </c>
      <c r="AT12" t="str">
        <f t="shared" si="17"/>
        <v/>
      </c>
      <c r="AU12" t="str">
        <f t="shared" si="18"/>
        <v/>
      </c>
      <c r="AV12" t="str">
        <f t="shared" si="19"/>
        <v/>
      </c>
      <c r="AW12" t="str">
        <f t="shared" si="20"/>
        <v/>
      </c>
      <c r="AX12" t="str">
        <f t="shared" si="21"/>
        <v/>
      </c>
      <c r="AY12" t="str">
        <f t="shared" si="22"/>
        <v/>
      </c>
      <c r="AZ12" t="str">
        <f t="shared" si="23"/>
        <v/>
      </c>
      <c r="BA12" t="str">
        <f t="shared" si="24"/>
        <v/>
      </c>
      <c r="BB12" t="str">
        <f t="shared" si="25"/>
        <v/>
      </c>
      <c r="BC12" t="str">
        <f t="shared" si="26"/>
        <v/>
      </c>
      <c r="BD12" t="str">
        <f t="shared" si="27"/>
        <v/>
      </c>
      <c r="BE12" t="str">
        <f t="shared" si="28"/>
        <v/>
      </c>
      <c r="BF12" t="str">
        <f t="shared" si="29"/>
        <v/>
      </c>
      <c r="BG12" t="str">
        <f t="shared" si="30"/>
        <v/>
      </c>
      <c r="BH12" t="str">
        <f t="shared" si="31"/>
        <v/>
      </c>
    </row>
    <row r="13" spans="1:66" x14ac:dyDescent="0.2">
      <c r="A13">
        <v>10</v>
      </c>
      <c r="B13">
        <v>97</v>
      </c>
      <c r="C13" t="s">
        <v>207</v>
      </c>
      <c r="D13">
        <v>1</v>
      </c>
      <c r="E13">
        <v>1</v>
      </c>
      <c r="K13">
        <v>4</v>
      </c>
      <c r="N13">
        <v>4</v>
      </c>
      <c r="O13">
        <v>4</v>
      </c>
      <c r="S13">
        <v>1</v>
      </c>
      <c r="T13">
        <v>1</v>
      </c>
      <c r="X13">
        <f t="shared" si="33"/>
        <v>0</v>
      </c>
      <c r="Z13" t="str">
        <f t="shared" si="0"/>
        <v/>
      </c>
      <c r="AA13" t="str">
        <f t="shared" si="1"/>
        <v/>
      </c>
      <c r="AB13" t="str">
        <f t="shared" si="2"/>
        <v/>
      </c>
      <c r="AC13" t="str">
        <f t="shared" si="3"/>
        <v/>
      </c>
      <c r="AE13" t="str">
        <f t="shared" si="4"/>
        <v>2</v>
      </c>
      <c r="AF13" t="str">
        <f t="shared" si="5"/>
        <v/>
      </c>
      <c r="AG13" t="str">
        <f t="shared" si="6"/>
        <v/>
      </c>
      <c r="AH13" t="str">
        <f t="shared" si="7"/>
        <v/>
      </c>
      <c r="AI13" t="str">
        <f t="shared" si="8"/>
        <v/>
      </c>
      <c r="AK13" t="str">
        <f t="shared" si="9"/>
        <v/>
      </c>
      <c r="AL13" t="str">
        <f t="shared" si="32"/>
        <v/>
      </c>
      <c r="AM13" t="str">
        <f t="shared" si="10"/>
        <v/>
      </c>
      <c r="AN13" t="str">
        <f t="shared" si="11"/>
        <v/>
      </c>
      <c r="AO13" t="str">
        <f t="shared" si="12"/>
        <v/>
      </c>
      <c r="AP13" t="str">
        <f t="shared" si="13"/>
        <v/>
      </c>
      <c r="AQ13" t="str">
        <f t="shared" si="14"/>
        <v/>
      </c>
      <c r="AR13" t="str">
        <f t="shared" si="15"/>
        <v/>
      </c>
      <c r="AS13" t="str">
        <f t="shared" si="16"/>
        <v/>
      </c>
      <c r="AT13" t="str">
        <f t="shared" si="17"/>
        <v/>
      </c>
      <c r="AU13" t="str">
        <f t="shared" si="18"/>
        <v/>
      </c>
      <c r="AV13" t="str">
        <f t="shared" si="19"/>
        <v/>
      </c>
      <c r="AW13" t="str">
        <f t="shared" si="20"/>
        <v/>
      </c>
      <c r="AX13" t="str">
        <f t="shared" si="21"/>
        <v/>
      </c>
      <c r="AY13" t="str">
        <f t="shared" si="22"/>
        <v/>
      </c>
      <c r="AZ13" t="str">
        <f t="shared" si="23"/>
        <v/>
      </c>
      <c r="BA13" t="str">
        <f t="shared" si="24"/>
        <v/>
      </c>
      <c r="BB13" t="str">
        <f t="shared" si="25"/>
        <v/>
      </c>
      <c r="BC13" t="str">
        <f t="shared" si="26"/>
        <v/>
      </c>
      <c r="BD13" t="str">
        <f t="shared" si="27"/>
        <v/>
      </c>
      <c r="BE13" t="str">
        <f t="shared" si="28"/>
        <v/>
      </c>
      <c r="BF13" t="str">
        <f t="shared" si="29"/>
        <v/>
      </c>
      <c r="BG13" t="str">
        <f t="shared" si="30"/>
        <v/>
      </c>
      <c r="BH13" t="str">
        <f t="shared" si="31"/>
        <v/>
      </c>
    </row>
    <row r="14" spans="1:66" x14ac:dyDescent="0.2">
      <c r="A14">
        <v>11</v>
      </c>
      <c r="B14">
        <v>102</v>
      </c>
      <c r="C14" t="s">
        <v>39</v>
      </c>
      <c r="D14">
        <v>1</v>
      </c>
      <c r="J14">
        <v>1</v>
      </c>
      <c r="P14" t="s">
        <v>209</v>
      </c>
      <c r="R14">
        <v>1</v>
      </c>
      <c r="S14">
        <v>1</v>
      </c>
      <c r="T14">
        <v>1</v>
      </c>
      <c r="U14">
        <v>1</v>
      </c>
      <c r="W14">
        <v>3</v>
      </c>
      <c r="X14">
        <f t="shared" si="33"/>
        <v>1</v>
      </c>
      <c r="Z14" t="s">
        <v>31</v>
      </c>
      <c r="AE14" t="s">
        <v>34</v>
      </c>
      <c r="AK14" t="s">
        <v>43</v>
      </c>
      <c r="AP14" t="s">
        <v>84</v>
      </c>
    </row>
    <row r="15" spans="1:66" x14ac:dyDescent="0.2">
      <c r="A15">
        <v>12</v>
      </c>
      <c r="B15">
        <v>118</v>
      </c>
      <c r="C15" t="s">
        <v>39</v>
      </c>
      <c r="D15">
        <v>1</v>
      </c>
      <c r="E15">
        <v>1</v>
      </c>
      <c r="F15">
        <v>1</v>
      </c>
      <c r="J15">
        <v>2</v>
      </c>
      <c r="K15">
        <v>4</v>
      </c>
      <c r="N15">
        <v>4</v>
      </c>
      <c r="O15">
        <v>4</v>
      </c>
      <c r="S15">
        <v>1</v>
      </c>
      <c r="X15">
        <f t="shared" si="33"/>
        <v>0</v>
      </c>
      <c r="Z15" t="s">
        <v>21</v>
      </c>
      <c r="AA15" t="s">
        <v>22</v>
      </c>
      <c r="AE15" t="s">
        <v>21</v>
      </c>
      <c r="AF15" t="s">
        <v>22</v>
      </c>
      <c r="AG15" t="s">
        <v>35</v>
      </c>
      <c r="AK15" t="s">
        <v>10</v>
      </c>
      <c r="AL15" t="s">
        <v>25</v>
      </c>
      <c r="AM15" t="s">
        <v>26</v>
      </c>
      <c r="AN15" t="s">
        <v>27</v>
      </c>
      <c r="AP15" t="s">
        <v>15</v>
      </c>
      <c r="AQ15" t="s">
        <v>85</v>
      </c>
    </row>
    <row r="16" spans="1:66" x14ac:dyDescent="0.2">
      <c r="A16" t="s">
        <v>28</v>
      </c>
      <c r="D16">
        <f>SUM(D4:D15)</f>
        <v>11</v>
      </c>
      <c r="E16">
        <f>SUM(E4:E15)</f>
        <v>8</v>
      </c>
      <c r="F16">
        <f>SUM(F4:F15)</f>
        <v>2</v>
      </c>
      <c r="G16">
        <f>SUM(G4:G15)</f>
        <v>0</v>
      </c>
      <c r="H16">
        <f>SUM(H4:H15)</f>
        <v>0</v>
      </c>
      <c r="K16">
        <f>SUM(K4:K15)</f>
        <v>30</v>
      </c>
      <c r="L16">
        <f>SUM(L4:L15)</f>
        <v>1</v>
      </c>
      <c r="M16">
        <f>SUM(M4:M15)</f>
        <v>0</v>
      </c>
      <c r="N16">
        <f>SUM(N4:N15)</f>
        <v>29</v>
      </c>
      <c r="O16">
        <f>SUM(O4:O15)</f>
        <v>28</v>
      </c>
      <c r="Q16">
        <f t="shared" ref="Q16:R16" si="34">SUM(Q4:Q15)</f>
        <v>0</v>
      </c>
      <c r="R16">
        <f t="shared" si="34"/>
        <v>3</v>
      </c>
      <c r="S16">
        <f>SUM(S4:S15)</f>
        <v>11</v>
      </c>
      <c r="T16">
        <f>SUM(T4:T15)</f>
        <v>9</v>
      </c>
      <c r="U16">
        <f>SUM(U4:U15)</f>
        <v>59</v>
      </c>
      <c r="V16">
        <f>SUM(V4:V15)</f>
        <v>0</v>
      </c>
      <c r="W16">
        <f>SUM(W4:W15)</f>
        <v>7</v>
      </c>
      <c r="Z16">
        <f t="shared" ref="Z16:Z27" si="35">COUNTIF(Z2:AC2, "3")*COUNTIF(C4, "r")+COUNTIF(Z2:AC2, "5")*COUNTIF(C4, "b")</f>
        <v>0</v>
      </c>
      <c r="AA16">
        <f t="shared" ref="AA16:AA27" si="36">COUNTIF(Z2:AC2, "1")+COUNTIF(Z2:AC2, "2")+COUNTIF(Z2:AC2, "4")</f>
        <v>0</v>
      </c>
      <c r="AE16">
        <f t="shared" ref="AE16:AE27" si="37">COUNTIF(AE2:AI2, "3")*COUNTIF(C4, "r") + COUNTIF(AE2:AI2, "5")*COUNTIF(C4, "b")</f>
        <v>0</v>
      </c>
      <c r="AF16">
        <f t="shared" ref="AF16:AF27" si="38">COUNTIF(AE2:AI2, "1")+COUNTIF(AE2:AI2, "2")+COUNTIF(AE2:AI2, "4")</f>
        <v>0</v>
      </c>
      <c r="AG16">
        <f t="shared" ref="AG16:AG27" si="39">COUNTIF(AE2:AI2, "3")*COUNTIF(AE2:AI2, "b")+COUNTIF(AE2:AI2, "5")*COUNTIF(AE2:AI2, "r")</f>
        <v>0</v>
      </c>
      <c r="AK16">
        <f t="shared" ref="AK16:AK27" si="40">SUMPRODUCT(LEN($AK2:$BH2) - LEN(SUBSTITUTE($AK2:$BH2, "g", "")))</f>
        <v>0</v>
      </c>
      <c r="AL16">
        <f t="shared" ref="AL16:AL27" si="41">SUMPRODUCT(LEN($AK2:$BH2) - LEN(SUBSTITUTE($AK2:$BH2, "h", "")))</f>
        <v>0</v>
      </c>
      <c r="AM16">
        <f t="shared" ref="AM16:AM27" si="42">SUMPRODUCT(LEN($AK2:$BH2) - LEN(SUBSTITUTE($AK2:$BH2, "v", "")))</f>
        <v>0</v>
      </c>
      <c r="AN16">
        <f t="shared" ref="AN16:AN27" si="43">SUMPRODUCT(LEN($AK2:$BH2) - LEN(SUBSTITUTE($AK2:$BH2, "r", "")))</f>
        <v>0</v>
      </c>
      <c r="AP16">
        <f>MAX(AQ16:BN16)</f>
        <v>0</v>
      </c>
      <c r="AQ16" s="4">
        <f>_xlfn.NUMBERVALUE(RIGHT(AK2,1))</f>
        <v>0</v>
      </c>
      <c r="AR16" s="4">
        <f t="shared" ref="AR16:BG27" si="44">_xlfn.NUMBERVALUE(RIGHT(AL2,1))</f>
        <v>0</v>
      </c>
      <c r="AS16" s="4">
        <f t="shared" si="44"/>
        <v>0</v>
      </c>
      <c r="AT16" s="4">
        <f t="shared" si="44"/>
        <v>0</v>
      </c>
      <c r="AU16" s="4">
        <f t="shared" si="44"/>
        <v>0</v>
      </c>
      <c r="AV16" s="4">
        <f t="shared" si="44"/>
        <v>0</v>
      </c>
      <c r="AW16" s="4">
        <f t="shared" si="44"/>
        <v>0</v>
      </c>
      <c r="AX16" s="4">
        <f t="shared" si="44"/>
        <v>0</v>
      </c>
      <c r="AY16" s="4">
        <f t="shared" si="44"/>
        <v>0</v>
      </c>
      <c r="AZ16" s="4">
        <f t="shared" si="44"/>
        <v>0</v>
      </c>
      <c r="BA16" s="4">
        <f t="shared" si="44"/>
        <v>0</v>
      </c>
      <c r="BB16" s="4">
        <f t="shared" si="44"/>
        <v>0</v>
      </c>
      <c r="BC16" s="4">
        <f t="shared" si="44"/>
        <v>0</v>
      </c>
      <c r="BD16" s="4">
        <f t="shared" si="44"/>
        <v>0</v>
      </c>
      <c r="BE16" s="4">
        <f t="shared" si="44"/>
        <v>0</v>
      </c>
      <c r="BF16" s="4">
        <f t="shared" si="44"/>
        <v>0</v>
      </c>
      <c r="BG16" s="4">
        <f t="shared" si="44"/>
        <v>0</v>
      </c>
      <c r="BH16" s="4">
        <f t="shared" ref="BH16:BN27" si="45">_xlfn.NUMBERVALUE(RIGHT(BB2,1))</f>
        <v>0</v>
      </c>
      <c r="BI16" s="4">
        <f t="shared" si="45"/>
        <v>0</v>
      </c>
      <c r="BJ16" s="4">
        <f t="shared" si="45"/>
        <v>0</v>
      </c>
      <c r="BK16" s="4">
        <f t="shared" si="45"/>
        <v>0</v>
      </c>
      <c r="BL16" s="4">
        <f t="shared" si="45"/>
        <v>0</v>
      </c>
      <c r="BM16" s="4">
        <f t="shared" si="45"/>
        <v>0</v>
      </c>
      <c r="BN16" s="4">
        <f t="shared" si="45"/>
        <v>0</v>
      </c>
    </row>
    <row r="17" spans="1:66" x14ac:dyDescent="0.2">
      <c r="A17" s="1" t="s">
        <v>20</v>
      </c>
      <c r="D17" s="1" t="s">
        <v>49</v>
      </c>
      <c r="G17" s="1" t="s">
        <v>52</v>
      </c>
      <c r="K17" s="3" t="s">
        <v>74</v>
      </c>
      <c r="P17" s="1" t="s">
        <v>66</v>
      </c>
      <c r="Z17">
        <f t="shared" si="35"/>
        <v>0</v>
      </c>
      <c r="AA17">
        <f t="shared" si="36"/>
        <v>0</v>
      </c>
      <c r="AE17">
        <f t="shared" si="37"/>
        <v>0</v>
      </c>
      <c r="AF17">
        <f t="shared" si="38"/>
        <v>1</v>
      </c>
      <c r="AG17">
        <f t="shared" si="39"/>
        <v>0</v>
      </c>
      <c r="AK17">
        <f t="shared" si="40"/>
        <v>0</v>
      </c>
      <c r="AL17">
        <f t="shared" si="41"/>
        <v>0</v>
      </c>
      <c r="AM17">
        <f t="shared" si="42"/>
        <v>0</v>
      </c>
      <c r="AN17">
        <f t="shared" si="43"/>
        <v>0</v>
      </c>
      <c r="AP17">
        <f t="shared" ref="AP17:AP27" si="46">MAX(AQ17:BN17)</f>
        <v>0</v>
      </c>
      <c r="AQ17" s="4">
        <f t="shared" ref="AQ17:AQ27" si="47">_xlfn.NUMBERVALUE(RIGHT(AK3,1))</f>
        <v>0</v>
      </c>
      <c r="AR17" s="4">
        <f t="shared" si="44"/>
        <v>0</v>
      </c>
      <c r="AS17" s="4">
        <f t="shared" si="44"/>
        <v>0</v>
      </c>
      <c r="AT17" s="4">
        <f t="shared" si="44"/>
        <v>0</v>
      </c>
      <c r="AU17" s="4">
        <f t="shared" si="44"/>
        <v>0</v>
      </c>
      <c r="AV17" s="4">
        <f t="shared" si="44"/>
        <v>0</v>
      </c>
      <c r="AW17" s="4">
        <f t="shared" si="44"/>
        <v>0</v>
      </c>
      <c r="AX17" s="4">
        <f t="shared" si="44"/>
        <v>0</v>
      </c>
      <c r="AY17" s="4">
        <f t="shared" si="44"/>
        <v>0</v>
      </c>
      <c r="AZ17" s="4">
        <f t="shared" si="44"/>
        <v>0</v>
      </c>
      <c r="BA17" s="4">
        <f t="shared" si="44"/>
        <v>0</v>
      </c>
      <c r="BB17" s="4">
        <f t="shared" si="44"/>
        <v>0</v>
      </c>
      <c r="BC17" s="4">
        <f t="shared" si="44"/>
        <v>0</v>
      </c>
      <c r="BD17" s="4">
        <f t="shared" si="44"/>
        <v>0</v>
      </c>
      <c r="BE17" s="4">
        <f t="shared" si="44"/>
        <v>0</v>
      </c>
      <c r="BF17" s="4">
        <f t="shared" si="44"/>
        <v>0</v>
      </c>
      <c r="BG17" s="4">
        <f t="shared" si="44"/>
        <v>0</v>
      </c>
      <c r="BH17" s="4">
        <f t="shared" si="45"/>
        <v>0</v>
      </c>
      <c r="BI17" s="4">
        <f t="shared" si="45"/>
        <v>0</v>
      </c>
      <c r="BJ17" s="4">
        <f t="shared" si="45"/>
        <v>0</v>
      </c>
      <c r="BK17" s="4">
        <f t="shared" si="45"/>
        <v>0</v>
      </c>
      <c r="BL17" s="4">
        <f t="shared" si="45"/>
        <v>0</v>
      </c>
      <c r="BM17" s="4">
        <f t="shared" si="45"/>
        <v>0</v>
      </c>
      <c r="BN17" s="4">
        <f t="shared" si="45"/>
        <v>0</v>
      </c>
    </row>
    <row r="18" spans="1:66" x14ac:dyDescent="0.2">
      <c r="A18" t="s">
        <v>32</v>
      </c>
      <c r="B18" t="s">
        <v>21</v>
      </c>
      <c r="D18" t="s">
        <v>180</v>
      </c>
      <c r="G18" s="3" t="s">
        <v>53</v>
      </c>
      <c r="K18" t="s">
        <v>55</v>
      </c>
      <c r="M18" t="s">
        <v>65</v>
      </c>
      <c r="P18" t="s">
        <v>67</v>
      </c>
      <c r="Z18">
        <f t="shared" si="35"/>
        <v>0</v>
      </c>
      <c r="AA18">
        <f t="shared" si="36"/>
        <v>0</v>
      </c>
      <c r="AE18">
        <f t="shared" si="37"/>
        <v>0</v>
      </c>
      <c r="AF18">
        <f t="shared" si="38"/>
        <v>0</v>
      </c>
      <c r="AG18">
        <f t="shared" si="39"/>
        <v>0</v>
      </c>
      <c r="AK18">
        <f t="shared" si="40"/>
        <v>0</v>
      </c>
      <c r="AL18">
        <f t="shared" si="41"/>
        <v>0</v>
      </c>
      <c r="AM18">
        <f t="shared" si="42"/>
        <v>0</v>
      </c>
      <c r="AN18">
        <f t="shared" si="43"/>
        <v>0</v>
      </c>
      <c r="AP18">
        <f t="shared" si="46"/>
        <v>0</v>
      </c>
      <c r="AQ18" s="4">
        <f t="shared" si="47"/>
        <v>0</v>
      </c>
      <c r="AR18" s="4">
        <f t="shared" si="44"/>
        <v>0</v>
      </c>
      <c r="AS18" s="4">
        <f t="shared" si="44"/>
        <v>0</v>
      </c>
      <c r="AT18" s="4">
        <f t="shared" si="44"/>
        <v>0</v>
      </c>
      <c r="AU18" s="4">
        <f t="shared" si="44"/>
        <v>0</v>
      </c>
      <c r="AV18" s="4">
        <f t="shared" si="44"/>
        <v>0</v>
      </c>
      <c r="AW18" s="4">
        <f t="shared" si="44"/>
        <v>0</v>
      </c>
      <c r="AX18" s="4">
        <f t="shared" si="44"/>
        <v>0</v>
      </c>
      <c r="AY18" s="4">
        <f t="shared" si="44"/>
        <v>0</v>
      </c>
      <c r="AZ18" s="4">
        <f t="shared" si="44"/>
        <v>0</v>
      </c>
      <c r="BA18" s="4">
        <f t="shared" si="44"/>
        <v>0</v>
      </c>
      <c r="BB18" s="4">
        <f t="shared" si="44"/>
        <v>0</v>
      </c>
      <c r="BC18" s="4">
        <f t="shared" si="44"/>
        <v>0</v>
      </c>
      <c r="BD18" s="4">
        <f t="shared" si="44"/>
        <v>0</v>
      </c>
      <c r="BE18" s="4">
        <f t="shared" si="44"/>
        <v>0</v>
      </c>
      <c r="BF18" s="4">
        <f t="shared" si="44"/>
        <v>0</v>
      </c>
      <c r="BG18" s="4">
        <f t="shared" si="44"/>
        <v>0</v>
      </c>
      <c r="BH18" s="4">
        <f t="shared" si="45"/>
        <v>0</v>
      </c>
      <c r="BI18" s="4">
        <f t="shared" si="45"/>
        <v>0</v>
      </c>
      <c r="BJ18" s="4">
        <f t="shared" si="45"/>
        <v>0</v>
      </c>
      <c r="BK18" s="4">
        <f t="shared" si="45"/>
        <v>0</v>
      </c>
      <c r="BL18" s="4">
        <f t="shared" si="45"/>
        <v>0</v>
      </c>
      <c r="BM18" s="4">
        <f t="shared" si="45"/>
        <v>0</v>
      </c>
      <c r="BN18" s="4">
        <f t="shared" si="45"/>
        <v>0</v>
      </c>
    </row>
    <row r="19" spans="1:66" x14ac:dyDescent="0.2">
      <c r="A19" t="s">
        <v>40</v>
      </c>
      <c r="B19" t="s">
        <v>22</v>
      </c>
      <c r="D19">
        <f>E16/D16</f>
        <v>0.72727272727272729</v>
      </c>
      <c r="G19" t="s">
        <v>75</v>
      </c>
      <c r="K19">
        <f>O16/N16</f>
        <v>0.96551724137931039</v>
      </c>
      <c r="M19">
        <f>SUM(M39:M50)</f>
        <v>2</v>
      </c>
      <c r="P19">
        <f>T16/S16</f>
        <v>0.81818181818181823</v>
      </c>
      <c r="Z19">
        <f t="shared" si="35"/>
        <v>0</v>
      </c>
      <c r="AA19">
        <f t="shared" si="36"/>
        <v>0</v>
      </c>
      <c r="AE19">
        <f t="shared" si="37"/>
        <v>0</v>
      </c>
      <c r="AF19">
        <f t="shared" si="38"/>
        <v>0</v>
      </c>
      <c r="AG19">
        <f t="shared" si="39"/>
        <v>0</v>
      </c>
      <c r="AK19">
        <f t="shared" si="40"/>
        <v>0</v>
      </c>
      <c r="AL19">
        <f t="shared" si="41"/>
        <v>0</v>
      </c>
      <c r="AM19">
        <f t="shared" si="42"/>
        <v>0</v>
      </c>
      <c r="AN19">
        <f t="shared" si="43"/>
        <v>0</v>
      </c>
      <c r="AP19">
        <f t="shared" si="46"/>
        <v>0</v>
      </c>
      <c r="AQ19" s="4">
        <f t="shared" si="47"/>
        <v>0</v>
      </c>
      <c r="AR19" s="4">
        <f t="shared" si="44"/>
        <v>0</v>
      </c>
      <c r="AS19" s="4">
        <f t="shared" si="44"/>
        <v>0</v>
      </c>
      <c r="AT19" s="4">
        <f t="shared" si="44"/>
        <v>0</v>
      </c>
      <c r="AU19" s="4">
        <f t="shared" si="44"/>
        <v>0</v>
      </c>
      <c r="AV19" s="4">
        <f t="shared" si="44"/>
        <v>0</v>
      </c>
      <c r="AW19" s="4">
        <f t="shared" si="44"/>
        <v>0</v>
      </c>
      <c r="AX19" s="4">
        <f t="shared" si="44"/>
        <v>0</v>
      </c>
      <c r="AY19" s="4">
        <f t="shared" si="44"/>
        <v>0</v>
      </c>
      <c r="AZ19" s="4">
        <f t="shared" si="44"/>
        <v>0</v>
      </c>
      <c r="BA19" s="4">
        <f t="shared" si="44"/>
        <v>0</v>
      </c>
      <c r="BB19" s="4">
        <f t="shared" si="44"/>
        <v>0</v>
      </c>
      <c r="BC19" s="4">
        <f t="shared" si="44"/>
        <v>0</v>
      </c>
      <c r="BD19" s="4">
        <f t="shared" si="44"/>
        <v>0</v>
      </c>
      <c r="BE19" s="4">
        <f t="shared" si="44"/>
        <v>0</v>
      </c>
      <c r="BF19" s="4">
        <f t="shared" si="44"/>
        <v>0</v>
      </c>
      <c r="BG19" s="4">
        <f t="shared" si="44"/>
        <v>0</v>
      </c>
      <c r="BH19" s="4">
        <f t="shared" si="45"/>
        <v>0</v>
      </c>
      <c r="BI19" s="4">
        <f t="shared" si="45"/>
        <v>0</v>
      </c>
      <c r="BJ19" s="4">
        <f t="shared" si="45"/>
        <v>0</v>
      </c>
      <c r="BK19" s="4">
        <f t="shared" si="45"/>
        <v>0</v>
      </c>
      <c r="BL19" s="4">
        <f t="shared" si="45"/>
        <v>0</v>
      </c>
      <c r="BM19" s="4">
        <f t="shared" si="45"/>
        <v>0</v>
      </c>
      <c r="BN19" s="4">
        <f t="shared" si="45"/>
        <v>0</v>
      </c>
    </row>
    <row r="20" spans="1:66" x14ac:dyDescent="0.2">
      <c r="A20" t="s">
        <v>41</v>
      </c>
      <c r="B20" t="s">
        <v>23</v>
      </c>
      <c r="D20" t="s">
        <v>47</v>
      </c>
      <c r="G20">
        <f>AK28/AP28</f>
        <v>0</v>
      </c>
      <c r="K20" t="s">
        <v>13</v>
      </c>
      <c r="Z20">
        <f t="shared" si="35"/>
        <v>0</v>
      </c>
      <c r="AA20">
        <f t="shared" si="36"/>
        <v>0</v>
      </c>
      <c r="AE20">
        <f t="shared" si="37"/>
        <v>0</v>
      </c>
      <c r="AF20">
        <f t="shared" si="38"/>
        <v>1</v>
      </c>
      <c r="AG20">
        <f t="shared" si="39"/>
        <v>0</v>
      </c>
      <c r="AK20">
        <f t="shared" si="40"/>
        <v>0</v>
      </c>
      <c r="AL20">
        <f t="shared" si="41"/>
        <v>1</v>
      </c>
      <c r="AM20">
        <f t="shared" si="42"/>
        <v>0</v>
      </c>
      <c r="AN20">
        <f t="shared" si="43"/>
        <v>0</v>
      </c>
      <c r="AP20">
        <f t="shared" si="46"/>
        <v>1</v>
      </c>
      <c r="AQ20" s="4">
        <f t="shared" si="47"/>
        <v>1</v>
      </c>
      <c r="AR20" s="4">
        <f t="shared" si="44"/>
        <v>0</v>
      </c>
      <c r="AS20" s="4">
        <f t="shared" si="44"/>
        <v>0</v>
      </c>
      <c r="AT20" s="4">
        <f t="shared" si="44"/>
        <v>0</v>
      </c>
      <c r="AU20" s="4">
        <f t="shared" si="44"/>
        <v>0</v>
      </c>
      <c r="AV20" s="4">
        <f t="shared" si="44"/>
        <v>0</v>
      </c>
      <c r="AW20" s="4">
        <f t="shared" si="44"/>
        <v>0</v>
      </c>
      <c r="AX20" s="4">
        <f t="shared" si="44"/>
        <v>0</v>
      </c>
      <c r="AY20" s="4">
        <f t="shared" si="44"/>
        <v>0</v>
      </c>
      <c r="AZ20" s="4">
        <f t="shared" si="44"/>
        <v>0</v>
      </c>
      <c r="BA20" s="4">
        <f t="shared" si="44"/>
        <v>0</v>
      </c>
      <c r="BB20" s="4">
        <f t="shared" si="44"/>
        <v>0</v>
      </c>
      <c r="BC20" s="4">
        <f t="shared" si="44"/>
        <v>0</v>
      </c>
      <c r="BD20" s="4">
        <f t="shared" si="44"/>
        <v>0</v>
      </c>
      <c r="BE20" s="4">
        <f t="shared" si="44"/>
        <v>0</v>
      </c>
      <c r="BF20" s="4">
        <f t="shared" si="44"/>
        <v>0</v>
      </c>
      <c r="BG20" s="4">
        <f t="shared" si="44"/>
        <v>0</v>
      </c>
      <c r="BH20" s="4">
        <f t="shared" si="45"/>
        <v>0</v>
      </c>
      <c r="BI20" s="4">
        <f t="shared" si="45"/>
        <v>0</v>
      </c>
      <c r="BJ20" s="4">
        <f t="shared" si="45"/>
        <v>0</v>
      </c>
      <c r="BK20" s="4">
        <f t="shared" si="45"/>
        <v>0</v>
      </c>
      <c r="BL20" s="4">
        <f t="shared" si="45"/>
        <v>0</v>
      </c>
      <c r="BM20" s="4">
        <f t="shared" si="45"/>
        <v>0</v>
      </c>
      <c r="BN20" s="4">
        <f t="shared" si="45"/>
        <v>0</v>
      </c>
    </row>
    <row r="21" spans="1:66" x14ac:dyDescent="0.2">
      <c r="A21" s="1" t="s">
        <v>24</v>
      </c>
      <c r="D21">
        <f>G16/A31</f>
        <v>0</v>
      </c>
      <c r="G21" t="s">
        <v>76</v>
      </c>
      <c r="K21" t="s">
        <v>57</v>
      </c>
      <c r="L21" t="s">
        <v>58</v>
      </c>
      <c r="M21" t="s">
        <v>59</v>
      </c>
      <c r="N21" t="s">
        <v>60</v>
      </c>
      <c r="Z21">
        <f t="shared" si="35"/>
        <v>0</v>
      </c>
      <c r="AA21">
        <f t="shared" si="36"/>
        <v>0</v>
      </c>
      <c r="AE21">
        <f t="shared" si="37"/>
        <v>0</v>
      </c>
      <c r="AF21">
        <f t="shared" si="38"/>
        <v>0</v>
      </c>
      <c r="AG21">
        <f t="shared" si="39"/>
        <v>0</v>
      </c>
      <c r="AK21">
        <f t="shared" si="40"/>
        <v>0</v>
      </c>
      <c r="AL21">
        <f t="shared" si="41"/>
        <v>0</v>
      </c>
      <c r="AM21">
        <f t="shared" si="42"/>
        <v>0</v>
      </c>
      <c r="AN21">
        <f t="shared" si="43"/>
        <v>0</v>
      </c>
      <c r="AP21">
        <f t="shared" si="46"/>
        <v>0</v>
      </c>
      <c r="AQ21" s="4">
        <f t="shared" si="47"/>
        <v>0</v>
      </c>
      <c r="AR21" s="4">
        <f t="shared" si="44"/>
        <v>0</v>
      </c>
      <c r="AS21" s="4">
        <f t="shared" si="44"/>
        <v>0</v>
      </c>
      <c r="AT21" s="4">
        <f t="shared" si="44"/>
        <v>0</v>
      </c>
      <c r="AU21" s="4">
        <f t="shared" si="44"/>
        <v>0</v>
      </c>
      <c r="AV21" s="4">
        <f t="shared" si="44"/>
        <v>0</v>
      </c>
      <c r="AW21" s="4">
        <f t="shared" si="44"/>
        <v>0</v>
      </c>
      <c r="AX21" s="4">
        <f t="shared" si="44"/>
        <v>0</v>
      </c>
      <c r="AY21" s="4">
        <f t="shared" si="44"/>
        <v>0</v>
      </c>
      <c r="AZ21" s="4">
        <f t="shared" si="44"/>
        <v>0</v>
      </c>
      <c r="BA21" s="4">
        <f t="shared" si="44"/>
        <v>0</v>
      </c>
      <c r="BB21" s="4">
        <f t="shared" si="44"/>
        <v>0</v>
      </c>
      <c r="BC21" s="4">
        <f t="shared" si="44"/>
        <v>0</v>
      </c>
      <c r="BD21" s="4">
        <f t="shared" si="44"/>
        <v>0</v>
      </c>
      <c r="BE21" s="4">
        <f t="shared" si="44"/>
        <v>0</v>
      </c>
      <c r="BF21" s="4">
        <f t="shared" si="44"/>
        <v>0</v>
      </c>
      <c r="BG21" s="4">
        <f t="shared" si="44"/>
        <v>0</v>
      </c>
      <c r="BH21" s="4">
        <f t="shared" si="45"/>
        <v>0</v>
      </c>
      <c r="BI21" s="4">
        <f t="shared" si="45"/>
        <v>0</v>
      </c>
      <c r="BJ21" s="4">
        <f t="shared" si="45"/>
        <v>0</v>
      </c>
      <c r="BK21" s="4">
        <f t="shared" si="45"/>
        <v>0</v>
      </c>
      <c r="BL21" s="4">
        <f t="shared" si="45"/>
        <v>0</v>
      </c>
      <c r="BM21" s="4">
        <f t="shared" si="45"/>
        <v>0</v>
      </c>
      <c r="BN21" s="4">
        <f t="shared" si="45"/>
        <v>0</v>
      </c>
    </row>
    <row r="22" spans="1:66" x14ac:dyDescent="0.2">
      <c r="A22" t="s">
        <v>36</v>
      </c>
      <c r="B22" t="s">
        <v>10</v>
      </c>
      <c r="D22" t="s">
        <v>48</v>
      </c>
      <c r="G22">
        <f>AL28/AP28</f>
        <v>1</v>
      </c>
      <c r="K22">
        <f>AVERAGE(C39:C50)</f>
        <v>2.3333333333333335</v>
      </c>
      <c r="L22">
        <f>MEDIAN(C39:C50)</f>
        <v>2.5</v>
      </c>
      <c r="M22">
        <f>MAX(C39:C50)</f>
        <v>4</v>
      </c>
      <c r="N22">
        <f>_xlfn.STDEV.S(C39:C50)</f>
        <v>1.3026778945578594</v>
      </c>
      <c r="Z22">
        <f t="shared" si="35"/>
        <v>0</v>
      </c>
      <c r="AA22">
        <f t="shared" si="36"/>
        <v>0</v>
      </c>
      <c r="AE22">
        <f t="shared" si="37"/>
        <v>0</v>
      </c>
      <c r="AF22">
        <f t="shared" si="38"/>
        <v>0</v>
      </c>
      <c r="AG22">
        <f t="shared" si="39"/>
        <v>0</v>
      </c>
      <c r="AK22">
        <f t="shared" si="40"/>
        <v>0</v>
      </c>
      <c r="AL22">
        <f t="shared" si="41"/>
        <v>0</v>
      </c>
      <c r="AM22">
        <f t="shared" si="42"/>
        <v>0</v>
      </c>
      <c r="AN22">
        <f t="shared" si="43"/>
        <v>0</v>
      </c>
      <c r="AP22">
        <f t="shared" si="46"/>
        <v>0</v>
      </c>
      <c r="AQ22" s="4">
        <f t="shared" si="47"/>
        <v>0</v>
      </c>
      <c r="AR22" s="4">
        <f t="shared" si="44"/>
        <v>0</v>
      </c>
      <c r="AS22" s="4">
        <f t="shared" si="44"/>
        <v>0</v>
      </c>
      <c r="AT22" s="4">
        <f t="shared" si="44"/>
        <v>0</v>
      </c>
      <c r="AU22" s="4">
        <f t="shared" si="44"/>
        <v>0</v>
      </c>
      <c r="AV22" s="4">
        <f t="shared" si="44"/>
        <v>0</v>
      </c>
      <c r="AW22" s="4">
        <f t="shared" si="44"/>
        <v>0</v>
      </c>
      <c r="AX22" s="4">
        <f t="shared" si="44"/>
        <v>0</v>
      </c>
      <c r="AY22" s="4">
        <f t="shared" si="44"/>
        <v>0</v>
      </c>
      <c r="AZ22" s="4">
        <f t="shared" si="44"/>
        <v>0</v>
      </c>
      <c r="BA22" s="4">
        <f t="shared" si="44"/>
        <v>0</v>
      </c>
      <c r="BB22" s="4">
        <f t="shared" si="44"/>
        <v>0</v>
      </c>
      <c r="BC22" s="4">
        <f t="shared" si="44"/>
        <v>0</v>
      </c>
      <c r="BD22" s="4">
        <f t="shared" si="44"/>
        <v>0</v>
      </c>
      <c r="BE22" s="4">
        <f t="shared" si="44"/>
        <v>0</v>
      </c>
      <c r="BF22" s="4">
        <f t="shared" si="44"/>
        <v>0</v>
      </c>
      <c r="BG22" s="4">
        <f t="shared" si="44"/>
        <v>0</v>
      </c>
      <c r="BH22" s="4">
        <f t="shared" si="45"/>
        <v>0</v>
      </c>
      <c r="BI22" s="4">
        <f t="shared" si="45"/>
        <v>0</v>
      </c>
      <c r="BJ22" s="4">
        <f t="shared" si="45"/>
        <v>0</v>
      </c>
      <c r="BK22" s="4">
        <f t="shared" si="45"/>
        <v>0</v>
      </c>
      <c r="BL22" s="4">
        <f t="shared" si="45"/>
        <v>0</v>
      </c>
      <c r="BM22" s="4">
        <f t="shared" si="45"/>
        <v>0</v>
      </c>
      <c r="BN22" s="4">
        <f t="shared" si="45"/>
        <v>0</v>
      </c>
    </row>
    <row r="23" spans="1:66" x14ac:dyDescent="0.2">
      <c r="A23" t="s">
        <v>37</v>
      </c>
      <c r="B23" t="s">
        <v>25</v>
      </c>
      <c r="D23">
        <f>H16/A31</f>
        <v>0</v>
      </c>
      <c r="G23" t="s">
        <v>77</v>
      </c>
      <c r="K23" t="s">
        <v>8</v>
      </c>
      <c r="Z23">
        <f t="shared" si="35"/>
        <v>0</v>
      </c>
      <c r="AA23">
        <f t="shared" si="36"/>
        <v>0</v>
      </c>
      <c r="AE23">
        <f t="shared" si="37"/>
        <v>0</v>
      </c>
      <c r="AF23">
        <f t="shared" si="38"/>
        <v>1</v>
      </c>
      <c r="AG23">
        <f t="shared" si="39"/>
        <v>0</v>
      </c>
      <c r="AK23">
        <f t="shared" si="40"/>
        <v>0</v>
      </c>
      <c r="AL23">
        <f t="shared" si="41"/>
        <v>1</v>
      </c>
      <c r="AM23">
        <f t="shared" si="42"/>
        <v>0</v>
      </c>
      <c r="AN23">
        <f t="shared" si="43"/>
        <v>0</v>
      </c>
      <c r="AP23">
        <f t="shared" si="46"/>
        <v>1</v>
      </c>
      <c r="AQ23" s="4">
        <f t="shared" si="47"/>
        <v>1</v>
      </c>
      <c r="AR23" s="4">
        <f t="shared" si="44"/>
        <v>0</v>
      </c>
      <c r="AS23" s="4">
        <f t="shared" si="44"/>
        <v>0</v>
      </c>
      <c r="AT23" s="4">
        <f t="shared" si="44"/>
        <v>0</v>
      </c>
      <c r="AU23" s="4">
        <f t="shared" si="44"/>
        <v>0</v>
      </c>
      <c r="AV23" s="4">
        <f t="shared" si="44"/>
        <v>0</v>
      </c>
      <c r="AW23" s="4">
        <f t="shared" si="44"/>
        <v>0</v>
      </c>
      <c r="AX23" s="4">
        <f t="shared" si="44"/>
        <v>0</v>
      </c>
      <c r="AY23" s="4">
        <f t="shared" si="44"/>
        <v>0</v>
      </c>
      <c r="AZ23" s="4">
        <f t="shared" si="44"/>
        <v>0</v>
      </c>
      <c r="BA23" s="4">
        <f t="shared" si="44"/>
        <v>0</v>
      </c>
      <c r="BB23" s="4">
        <f t="shared" si="44"/>
        <v>0</v>
      </c>
      <c r="BC23" s="4">
        <f t="shared" si="44"/>
        <v>0</v>
      </c>
      <c r="BD23" s="4">
        <f t="shared" si="44"/>
        <v>0</v>
      </c>
      <c r="BE23" s="4">
        <f t="shared" si="44"/>
        <v>0</v>
      </c>
      <c r="BF23" s="4">
        <f t="shared" si="44"/>
        <v>0</v>
      </c>
      <c r="BG23" s="4">
        <f t="shared" si="44"/>
        <v>0</v>
      </c>
      <c r="BH23" s="4">
        <f t="shared" si="45"/>
        <v>0</v>
      </c>
      <c r="BI23" s="4">
        <f t="shared" si="45"/>
        <v>0</v>
      </c>
      <c r="BJ23" s="4">
        <f t="shared" si="45"/>
        <v>0</v>
      </c>
      <c r="BK23" s="4">
        <f t="shared" si="45"/>
        <v>0</v>
      </c>
      <c r="BL23" s="4">
        <f t="shared" si="45"/>
        <v>0</v>
      </c>
      <c r="BM23" s="4">
        <f t="shared" si="45"/>
        <v>0</v>
      </c>
      <c r="BN23" s="4">
        <f t="shared" si="45"/>
        <v>0</v>
      </c>
    </row>
    <row r="24" spans="1:66" x14ac:dyDescent="0.2">
      <c r="A24" t="s">
        <v>38</v>
      </c>
      <c r="B24" t="s">
        <v>26</v>
      </c>
      <c r="D24" t="s">
        <v>50</v>
      </c>
      <c r="G24">
        <f>AM28/AP28</f>
        <v>0</v>
      </c>
      <c r="K24" t="s">
        <v>57</v>
      </c>
      <c r="L24" t="s">
        <v>61</v>
      </c>
      <c r="M24" t="s">
        <v>59</v>
      </c>
      <c r="N24" t="s">
        <v>60</v>
      </c>
      <c r="Z24">
        <f t="shared" si="35"/>
        <v>0</v>
      </c>
      <c r="AA24">
        <f t="shared" si="36"/>
        <v>0</v>
      </c>
      <c r="AE24">
        <f t="shared" si="37"/>
        <v>0</v>
      </c>
      <c r="AF24">
        <f t="shared" si="38"/>
        <v>0</v>
      </c>
      <c r="AG24">
        <f t="shared" si="39"/>
        <v>0</v>
      </c>
      <c r="AK24">
        <f t="shared" si="40"/>
        <v>0</v>
      </c>
      <c r="AL24">
        <f t="shared" si="41"/>
        <v>0</v>
      </c>
      <c r="AM24">
        <f t="shared" si="42"/>
        <v>0</v>
      </c>
      <c r="AN24">
        <f t="shared" si="43"/>
        <v>0</v>
      </c>
      <c r="AP24">
        <f t="shared" si="46"/>
        <v>0</v>
      </c>
      <c r="AQ24" s="4">
        <f t="shared" si="47"/>
        <v>0</v>
      </c>
      <c r="AR24" s="4">
        <f t="shared" si="44"/>
        <v>0</v>
      </c>
      <c r="AS24" s="4">
        <f t="shared" si="44"/>
        <v>0</v>
      </c>
      <c r="AT24" s="4">
        <f t="shared" si="44"/>
        <v>0</v>
      </c>
      <c r="AU24" s="4">
        <f t="shared" si="44"/>
        <v>0</v>
      </c>
      <c r="AV24" s="4">
        <f t="shared" si="44"/>
        <v>0</v>
      </c>
      <c r="AW24" s="4">
        <f t="shared" si="44"/>
        <v>0</v>
      </c>
      <c r="AX24" s="4">
        <f t="shared" si="44"/>
        <v>0</v>
      </c>
      <c r="AY24" s="4">
        <f t="shared" si="44"/>
        <v>0</v>
      </c>
      <c r="AZ24" s="4">
        <f t="shared" si="44"/>
        <v>0</v>
      </c>
      <c r="BA24" s="4">
        <f t="shared" si="44"/>
        <v>0</v>
      </c>
      <c r="BB24" s="4">
        <f t="shared" si="44"/>
        <v>0</v>
      </c>
      <c r="BC24" s="4">
        <f t="shared" si="44"/>
        <v>0</v>
      </c>
      <c r="BD24" s="4">
        <f t="shared" si="44"/>
        <v>0</v>
      </c>
      <c r="BE24" s="4">
        <f t="shared" si="44"/>
        <v>0</v>
      </c>
      <c r="BF24" s="4">
        <f t="shared" si="44"/>
        <v>0</v>
      </c>
      <c r="BG24" s="4">
        <f t="shared" si="44"/>
        <v>0</v>
      </c>
      <c r="BH24" s="4">
        <f t="shared" si="45"/>
        <v>0</v>
      </c>
      <c r="BI24" s="4">
        <f t="shared" si="45"/>
        <v>0</v>
      </c>
      <c r="BJ24" s="4">
        <f t="shared" si="45"/>
        <v>0</v>
      </c>
      <c r="BK24" s="4">
        <f t="shared" si="45"/>
        <v>0</v>
      </c>
      <c r="BL24" s="4">
        <f t="shared" si="45"/>
        <v>0</v>
      </c>
      <c r="BM24" s="4">
        <f t="shared" si="45"/>
        <v>0</v>
      </c>
      <c r="BN24" s="4">
        <f t="shared" si="45"/>
        <v>0</v>
      </c>
    </row>
    <row r="25" spans="1:66" x14ac:dyDescent="0.2">
      <c r="A25" t="s">
        <v>39</v>
      </c>
      <c r="B25" t="s">
        <v>27</v>
      </c>
      <c r="D25">
        <f>Z28/A31</f>
        <v>0</v>
      </c>
      <c r="G25" t="s">
        <v>78</v>
      </c>
      <c r="K25">
        <f>AVERAGE(E39:E50)</f>
        <v>0</v>
      </c>
      <c r="L25">
        <f>MEDIAN(E39:E50)</f>
        <v>0</v>
      </c>
      <c r="M25">
        <f>MAX(E39:E50)</f>
        <v>0</v>
      </c>
      <c r="N25">
        <f>_xlfn.STDEV.S(E39:E50)</f>
        <v>0</v>
      </c>
      <c r="Z25">
        <f t="shared" si="35"/>
        <v>0</v>
      </c>
      <c r="AA25">
        <f t="shared" si="36"/>
        <v>0</v>
      </c>
      <c r="AE25">
        <f t="shared" si="37"/>
        <v>0</v>
      </c>
      <c r="AF25">
        <f t="shared" si="38"/>
        <v>0</v>
      </c>
      <c r="AG25">
        <f t="shared" si="39"/>
        <v>0</v>
      </c>
      <c r="AK25">
        <f t="shared" si="40"/>
        <v>0</v>
      </c>
      <c r="AL25">
        <f t="shared" si="41"/>
        <v>0</v>
      </c>
      <c r="AM25">
        <f t="shared" si="42"/>
        <v>0</v>
      </c>
      <c r="AN25">
        <f t="shared" si="43"/>
        <v>0</v>
      </c>
      <c r="AP25">
        <f t="shared" si="46"/>
        <v>0</v>
      </c>
      <c r="AQ25" s="4">
        <f t="shared" si="47"/>
        <v>0</v>
      </c>
      <c r="AR25" s="4">
        <f t="shared" si="44"/>
        <v>0</v>
      </c>
      <c r="AS25" s="4">
        <f t="shared" si="44"/>
        <v>0</v>
      </c>
      <c r="AT25" s="4">
        <f t="shared" si="44"/>
        <v>0</v>
      </c>
      <c r="AU25" s="4">
        <f t="shared" si="44"/>
        <v>0</v>
      </c>
      <c r="AV25" s="4">
        <f t="shared" si="44"/>
        <v>0</v>
      </c>
      <c r="AW25" s="4">
        <f t="shared" si="44"/>
        <v>0</v>
      </c>
      <c r="AX25" s="4">
        <f t="shared" si="44"/>
        <v>0</v>
      </c>
      <c r="AY25" s="4">
        <f t="shared" si="44"/>
        <v>0</v>
      </c>
      <c r="AZ25" s="4">
        <f t="shared" si="44"/>
        <v>0</v>
      </c>
      <c r="BA25" s="4">
        <f t="shared" si="44"/>
        <v>0</v>
      </c>
      <c r="BB25" s="4">
        <f t="shared" si="44"/>
        <v>0</v>
      </c>
      <c r="BC25" s="4">
        <f t="shared" si="44"/>
        <v>0</v>
      </c>
      <c r="BD25" s="4">
        <f t="shared" si="44"/>
        <v>0</v>
      </c>
      <c r="BE25" s="4">
        <f t="shared" si="44"/>
        <v>0</v>
      </c>
      <c r="BF25" s="4">
        <f t="shared" si="44"/>
        <v>0</v>
      </c>
      <c r="BG25" s="4">
        <f t="shared" si="44"/>
        <v>0</v>
      </c>
      <c r="BH25" s="4">
        <f t="shared" si="45"/>
        <v>0</v>
      </c>
      <c r="BI25" s="4">
        <f t="shared" si="45"/>
        <v>0</v>
      </c>
      <c r="BJ25" s="4">
        <f t="shared" si="45"/>
        <v>0</v>
      </c>
      <c r="BK25" s="4">
        <f t="shared" si="45"/>
        <v>0</v>
      </c>
      <c r="BL25" s="4">
        <f t="shared" si="45"/>
        <v>0</v>
      </c>
      <c r="BM25" s="4">
        <f t="shared" si="45"/>
        <v>0</v>
      </c>
      <c r="BN25" s="4">
        <f t="shared" si="45"/>
        <v>0</v>
      </c>
    </row>
    <row r="26" spans="1:66" x14ac:dyDescent="0.2">
      <c r="A26" t="s">
        <v>44</v>
      </c>
      <c r="D26" t="s">
        <v>51</v>
      </c>
      <c r="G26">
        <f>AN28/AP28</f>
        <v>0</v>
      </c>
      <c r="K26" t="s">
        <v>62</v>
      </c>
      <c r="P26" t="s">
        <v>19</v>
      </c>
      <c r="Z26">
        <f t="shared" si="35"/>
        <v>0</v>
      </c>
      <c r="AA26">
        <f t="shared" si="36"/>
        <v>0</v>
      </c>
      <c r="AE26">
        <f t="shared" si="37"/>
        <v>0</v>
      </c>
      <c r="AF26">
        <f t="shared" si="38"/>
        <v>1</v>
      </c>
      <c r="AG26">
        <f t="shared" si="39"/>
        <v>0</v>
      </c>
      <c r="AK26">
        <f t="shared" si="40"/>
        <v>0</v>
      </c>
      <c r="AL26">
        <f t="shared" si="41"/>
        <v>1</v>
      </c>
      <c r="AM26">
        <f t="shared" si="42"/>
        <v>0</v>
      </c>
      <c r="AN26">
        <f t="shared" si="43"/>
        <v>0</v>
      </c>
      <c r="AP26">
        <f t="shared" si="46"/>
        <v>1</v>
      </c>
      <c r="AQ26" s="4">
        <f t="shared" si="47"/>
        <v>1</v>
      </c>
      <c r="AR26" s="4">
        <f t="shared" si="44"/>
        <v>0</v>
      </c>
      <c r="AS26" s="4">
        <f t="shared" si="44"/>
        <v>0</v>
      </c>
      <c r="AT26" s="4">
        <f t="shared" si="44"/>
        <v>0</v>
      </c>
      <c r="AU26" s="4">
        <f t="shared" si="44"/>
        <v>0</v>
      </c>
      <c r="AV26" s="4">
        <f t="shared" si="44"/>
        <v>0</v>
      </c>
      <c r="AW26" s="4">
        <f t="shared" si="44"/>
        <v>0</v>
      </c>
      <c r="AX26" s="4">
        <f t="shared" si="44"/>
        <v>0</v>
      </c>
      <c r="AY26" s="4">
        <f t="shared" si="44"/>
        <v>0</v>
      </c>
      <c r="AZ26" s="4">
        <f t="shared" si="44"/>
        <v>0</v>
      </c>
      <c r="BA26" s="4">
        <f t="shared" si="44"/>
        <v>0</v>
      </c>
      <c r="BB26" s="4">
        <f t="shared" si="44"/>
        <v>0</v>
      </c>
      <c r="BC26" s="4">
        <f t="shared" si="44"/>
        <v>0</v>
      </c>
      <c r="BD26" s="4">
        <f t="shared" si="44"/>
        <v>0</v>
      </c>
      <c r="BE26" s="4">
        <f t="shared" si="44"/>
        <v>0</v>
      </c>
      <c r="BF26" s="4">
        <f t="shared" si="44"/>
        <v>0</v>
      </c>
      <c r="BG26" s="4">
        <f t="shared" si="44"/>
        <v>0</v>
      </c>
      <c r="BH26" s="4">
        <f t="shared" si="45"/>
        <v>0</v>
      </c>
      <c r="BI26" s="4">
        <f t="shared" si="45"/>
        <v>0</v>
      </c>
      <c r="BJ26" s="4">
        <f t="shared" si="45"/>
        <v>0</v>
      </c>
      <c r="BK26" s="4">
        <f t="shared" si="45"/>
        <v>0</v>
      </c>
      <c r="BL26" s="4">
        <f t="shared" si="45"/>
        <v>0</v>
      </c>
      <c r="BM26" s="4">
        <f t="shared" si="45"/>
        <v>0</v>
      </c>
      <c r="BN26" s="4">
        <f t="shared" si="45"/>
        <v>0</v>
      </c>
    </row>
    <row r="27" spans="1:66" x14ac:dyDescent="0.2">
      <c r="A27" t="s">
        <v>45</v>
      </c>
      <c r="D27">
        <f>AA28/A31</f>
        <v>0</v>
      </c>
      <c r="G27" t="s">
        <v>56</v>
      </c>
      <c r="K27" t="s">
        <v>57</v>
      </c>
      <c r="L27" t="s">
        <v>58</v>
      </c>
      <c r="M27" t="s">
        <v>59</v>
      </c>
      <c r="N27" t="s">
        <v>60</v>
      </c>
      <c r="P27" t="s">
        <v>57</v>
      </c>
      <c r="Q27" t="s">
        <v>58</v>
      </c>
      <c r="R27" t="s">
        <v>59</v>
      </c>
      <c r="S27" t="s">
        <v>60</v>
      </c>
      <c r="Z27">
        <f t="shared" si="35"/>
        <v>0</v>
      </c>
      <c r="AA27">
        <f t="shared" si="36"/>
        <v>0</v>
      </c>
      <c r="AE27">
        <f t="shared" si="37"/>
        <v>0</v>
      </c>
      <c r="AF27">
        <f t="shared" si="38"/>
        <v>1</v>
      </c>
      <c r="AG27">
        <f t="shared" si="39"/>
        <v>0</v>
      </c>
      <c r="AK27">
        <f t="shared" si="40"/>
        <v>0</v>
      </c>
      <c r="AL27">
        <f t="shared" si="41"/>
        <v>0</v>
      </c>
      <c r="AM27">
        <f t="shared" si="42"/>
        <v>0</v>
      </c>
      <c r="AN27">
        <f t="shared" si="43"/>
        <v>0</v>
      </c>
      <c r="AP27">
        <f t="shared" si="46"/>
        <v>0</v>
      </c>
      <c r="AQ27" s="4">
        <f t="shared" si="47"/>
        <v>0</v>
      </c>
      <c r="AR27" s="4">
        <f t="shared" si="44"/>
        <v>0</v>
      </c>
      <c r="AS27" s="4">
        <f t="shared" si="44"/>
        <v>0</v>
      </c>
      <c r="AT27" s="4">
        <f t="shared" si="44"/>
        <v>0</v>
      </c>
      <c r="AU27" s="4">
        <f t="shared" si="44"/>
        <v>0</v>
      </c>
      <c r="AV27" s="4">
        <f t="shared" si="44"/>
        <v>0</v>
      </c>
      <c r="AW27" s="4">
        <f t="shared" si="44"/>
        <v>0</v>
      </c>
      <c r="AX27" s="4">
        <f t="shared" si="44"/>
        <v>0</v>
      </c>
      <c r="AY27" s="4">
        <f t="shared" si="44"/>
        <v>0</v>
      </c>
      <c r="AZ27" s="4">
        <f t="shared" si="44"/>
        <v>0</v>
      </c>
      <c r="BA27" s="4">
        <f t="shared" si="44"/>
        <v>0</v>
      </c>
      <c r="BB27" s="4">
        <f t="shared" si="44"/>
        <v>0</v>
      </c>
      <c r="BC27" s="4">
        <f t="shared" si="44"/>
        <v>0</v>
      </c>
      <c r="BD27" s="4">
        <f t="shared" si="44"/>
        <v>0</v>
      </c>
      <c r="BE27" s="4">
        <f t="shared" si="44"/>
        <v>0</v>
      </c>
      <c r="BF27" s="4">
        <f t="shared" si="44"/>
        <v>0</v>
      </c>
      <c r="BG27" s="4">
        <f t="shared" si="44"/>
        <v>0</v>
      </c>
      <c r="BH27" s="4">
        <f t="shared" si="45"/>
        <v>0</v>
      </c>
      <c r="BI27" s="4">
        <f t="shared" si="45"/>
        <v>0</v>
      </c>
      <c r="BJ27" s="4">
        <f t="shared" si="45"/>
        <v>0</v>
      </c>
      <c r="BK27" s="4">
        <f t="shared" si="45"/>
        <v>0</v>
      </c>
      <c r="BL27" s="4">
        <f t="shared" si="45"/>
        <v>0</v>
      </c>
      <c r="BM27" s="4">
        <f t="shared" si="45"/>
        <v>0</v>
      </c>
      <c r="BN27" s="4">
        <f t="shared" si="45"/>
        <v>0</v>
      </c>
    </row>
    <row r="28" spans="1:66" x14ac:dyDescent="0.2">
      <c r="A28" t="s">
        <v>46</v>
      </c>
      <c r="D28" t="s">
        <v>202</v>
      </c>
      <c r="G28" t="s">
        <v>57</v>
      </c>
      <c r="H28" t="s">
        <v>58</v>
      </c>
      <c r="I28" t="s">
        <v>59</v>
      </c>
      <c r="J28" t="s">
        <v>60</v>
      </c>
      <c r="K28">
        <f>AVERAGE(G39:G50)</f>
        <v>0.25</v>
      </c>
      <c r="L28">
        <f>MEDIAN(G39:G50)</f>
        <v>0</v>
      </c>
      <c r="M28">
        <f>MAX(G39:G50)</f>
        <v>1</v>
      </c>
      <c r="N28">
        <f>_xlfn.STDEV.S(G39:G50)</f>
        <v>0.45226701686664544</v>
      </c>
      <c r="P28">
        <f>AVERAGE(N39:N50)</f>
        <v>4.916666666666667</v>
      </c>
      <c r="Q28">
        <f>MEDIAN(N39:N50)</f>
        <v>0</v>
      </c>
      <c r="R28">
        <f>MAX(N39:N50)</f>
        <v>27</v>
      </c>
      <c r="S28">
        <f>_xlfn.STDEV.S(N39:N50)</f>
        <v>9.4816409524678349</v>
      </c>
      <c r="Y28" t="s">
        <v>33</v>
      </c>
      <c r="Z28">
        <f>SUM(Z16:Z27)</f>
        <v>0</v>
      </c>
      <c r="AA28">
        <f>SUM(AA16:AA27)</f>
        <v>0</v>
      </c>
      <c r="AE28">
        <f>SUM(AE16:AE27)</f>
        <v>0</v>
      </c>
      <c r="AF28">
        <f>SUM(AF16:AF27)</f>
        <v>5</v>
      </c>
      <c r="AG28">
        <f>SUM(AG16:AG27)</f>
        <v>0</v>
      </c>
      <c r="AK28">
        <f>SUM(AK16:AK27)</f>
        <v>0</v>
      </c>
      <c r="AL28">
        <f>SUM(AL16:AL27)</f>
        <v>3</v>
      </c>
      <c r="AM28">
        <f>SUM(AM16:AM27)</f>
        <v>0</v>
      </c>
      <c r="AN28">
        <f>SUM(AN16:AN27)</f>
        <v>0</v>
      </c>
      <c r="AP28">
        <f>SUM(AP16:AP27)</f>
        <v>3</v>
      </c>
    </row>
    <row r="29" spans="1:66" x14ac:dyDescent="0.2">
      <c r="D29">
        <f>SUM(O39:O50)/F16</f>
        <v>1</v>
      </c>
      <c r="G29">
        <f>AVERAGE(A39:A50)</f>
        <v>0.41666666666666669</v>
      </c>
      <c r="H29">
        <f>MEDIAN(A39:A50)</f>
        <v>0</v>
      </c>
      <c r="I29">
        <f>MAX(A39:A50)</f>
        <v>1</v>
      </c>
      <c r="J29">
        <f>_xlfn.STDEV.S(A39:A50)</f>
        <v>0.51492865054443726</v>
      </c>
      <c r="K29" t="s">
        <v>63</v>
      </c>
      <c r="P29" t="s">
        <v>148</v>
      </c>
    </row>
    <row r="30" spans="1:66" x14ac:dyDescent="0.2">
      <c r="A30" t="s">
        <v>147</v>
      </c>
      <c r="D30" t="s">
        <v>203</v>
      </c>
      <c r="G30" t="s">
        <v>50</v>
      </c>
      <c r="H30" t="s">
        <v>51</v>
      </c>
      <c r="I30" t="s">
        <v>89</v>
      </c>
      <c r="K30" t="s">
        <v>57</v>
      </c>
      <c r="L30" t="s">
        <v>58</v>
      </c>
      <c r="M30" t="s">
        <v>59</v>
      </c>
      <c r="N30" t="s">
        <v>60</v>
      </c>
      <c r="P30" t="s">
        <v>57</v>
      </c>
      <c r="Q30" t="s">
        <v>58</v>
      </c>
      <c r="R30" t="s">
        <v>59</v>
      </c>
      <c r="S30" t="s">
        <v>60</v>
      </c>
      <c r="W30" t="s">
        <v>148</v>
      </c>
      <c r="Y30" t="s">
        <v>149</v>
      </c>
      <c r="AH30" t="s">
        <v>79</v>
      </c>
    </row>
    <row r="31" spans="1:66" x14ac:dyDescent="0.2">
      <c r="A31">
        <f>COUNT(B4:B15)</f>
        <v>12</v>
      </c>
      <c r="D31" s="2">
        <f>SUM(S39:S50)/SUM(Q39:Q50)</f>
        <v>0.66666666666666663</v>
      </c>
      <c r="G31">
        <f>AE28/A31</f>
        <v>0</v>
      </c>
      <c r="H31">
        <f>AF28/A31</f>
        <v>0.41666666666666669</v>
      </c>
      <c r="I31">
        <f>AG28/A31</f>
        <v>0</v>
      </c>
      <c r="K31" t="e">
        <f>AVERAGE(I39:I50)</f>
        <v>#DIV/0!</v>
      </c>
      <c r="L31" t="e">
        <f>MEDIAN(I39:I50)</f>
        <v>#NUM!</v>
      </c>
      <c r="M31">
        <f>MAX(I39:I50)</f>
        <v>0</v>
      </c>
      <c r="N31" t="e">
        <f>_xlfn.STDEV.S(I39:I50)</f>
        <v>#DIV/0!</v>
      </c>
      <c r="P31">
        <f>AVERAGE(W31:W42)</f>
        <v>9.6666666666666661</v>
      </c>
      <c r="Q31">
        <f>MEDIAN(W31:W42)</f>
        <v>1</v>
      </c>
      <c r="R31">
        <f>MAX(W31:W42)</f>
        <v>27</v>
      </c>
      <c r="S31">
        <f>_xlfn.STDEV.S(W31:W42)</f>
        <v>15.01110699893027</v>
      </c>
      <c r="W31" t="str">
        <f t="shared" ref="W31:W33" si="48">IF(AND(ISBLANK(Q4), ISBLANK(R4), ISBLANK(G4), ISBLANK(H4)), "", U4)</f>
        <v/>
      </c>
      <c r="Y31" t="str">
        <f t="shared" ref="Y31:Y42" si="49">IF(ISBLANK(Y4), IF(X4 = 0, "", (G4 + H4/3 + V4/9 + W4/3)), U4)</f>
        <v/>
      </c>
      <c r="AH31" t="s">
        <v>80</v>
      </c>
    </row>
    <row r="32" spans="1:66" x14ac:dyDescent="0.2">
      <c r="D32" s="3"/>
      <c r="K32" t="s">
        <v>64</v>
      </c>
      <c r="P32" t="s">
        <v>149</v>
      </c>
      <c r="W32" t="str">
        <f t="shared" si="48"/>
        <v/>
      </c>
      <c r="Y32" t="str">
        <f t="shared" si="49"/>
        <v/>
      </c>
      <c r="AH32" t="s">
        <v>81</v>
      </c>
    </row>
    <row r="33" spans="1:34" x14ac:dyDescent="0.2">
      <c r="A33" t="s">
        <v>281</v>
      </c>
      <c r="D33" s="3"/>
      <c r="K33" t="s">
        <v>57</v>
      </c>
      <c r="L33" t="s">
        <v>58</v>
      </c>
      <c r="M33" t="s">
        <v>59</v>
      </c>
      <c r="N33" t="s">
        <v>60</v>
      </c>
      <c r="P33" t="s">
        <v>57</v>
      </c>
      <c r="Q33" t="s">
        <v>58</v>
      </c>
      <c r="R33" t="s">
        <v>59</v>
      </c>
      <c r="S33" t="s">
        <v>60</v>
      </c>
      <c r="W33" t="str">
        <f t="shared" si="48"/>
        <v/>
      </c>
      <c r="Y33" t="str">
        <f t="shared" si="49"/>
        <v/>
      </c>
      <c r="AH33" t="s">
        <v>82</v>
      </c>
    </row>
    <row r="34" spans="1:34" x14ac:dyDescent="0.2">
      <c r="A34" t="s">
        <v>327</v>
      </c>
      <c r="D34" s="3"/>
      <c r="K34">
        <f>AVERAGE(K39:K50)</f>
        <v>0.25</v>
      </c>
      <c r="L34">
        <f>MEDIAN(K39:K50)</f>
        <v>0</v>
      </c>
      <c r="M34">
        <f>MAX(K39:K50)</f>
        <v>1</v>
      </c>
      <c r="N34">
        <f>_xlfn.STDEV.S(K39:K50)</f>
        <v>0.45226701686664544</v>
      </c>
      <c r="P34">
        <f>AVERAGE(Y31:Y42)</f>
        <v>0.77777777777777768</v>
      </c>
      <c r="Q34">
        <f>MEDIAN(Y31:Y42)</f>
        <v>1</v>
      </c>
      <c r="R34">
        <f>MAX(Y31:Y42)</f>
        <v>1.3333333333333333</v>
      </c>
      <c r="S34">
        <f>_xlfn.STDEV.S(Y31:Y42)</f>
        <v>0.69388866648871106</v>
      </c>
      <c r="W34" t="str">
        <f>IF(AND(ISBLANK(Q7), ISBLANK(R7), ISBLANK(G7), ISBLANK(H7)), "", U7)</f>
        <v/>
      </c>
      <c r="Y34" t="str">
        <f t="shared" si="49"/>
        <v/>
      </c>
      <c r="AH34" t="s">
        <v>83</v>
      </c>
    </row>
    <row r="35" spans="1:34" x14ac:dyDescent="0.2">
      <c r="P35" t="s">
        <v>95</v>
      </c>
      <c r="R35" t="s">
        <v>197</v>
      </c>
      <c r="W35">
        <f t="shared" ref="W35:W42" si="50">IF(AND(ISBLANK(Q8), ISBLANK(R8), ISBLANK(G8), ISBLANK(H8)), "", U8)</f>
        <v>27</v>
      </c>
      <c r="Y35">
        <f t="shared" si="49"/>
        <v>0</v>
      </c>
    </row>
    <row r="36" spans="1:34" x14ac:dyDescent="0.2">
      <c r="P36">
        <f>Q16/(Q16+R16)</f>
        <v>0</v>
      </c>
      <c r="R36">
        <f>R16/(Q16+R16)</f>
        <v>1</v>
      </c>
      <c r="W36" t="str">
        <f t="shared" si="50"/>
        <v/>
      </c>
      <c r="Y36" t="str">
        <f t="shared" si="49"/>
        <v/>
      </c>
    </row>
    <row r="37" spans="1:34" x14ac:dyDescent="0.2">
      <c r="W37" t="str">
        <f t="shared" si="50"/>
        <v/>
      </c>
      <c r="Y37" t="str">
        <f t="shared" si="49"/>
        <v/>
      </c>
    </row>
    <row r="38" spans="1:34" x14ac:dyDescent="0.2">
      <c r="A38" t="s">
        <v>68</v>
      </c>
      <c r="C38" t="s">
        <v>69</v>
      </c>
      <c r="E38" t="s">
        <v>72</v>
      </c>
      <c r="G38" t="s">
        <v>250</v>
      </c>
      <c r="K38" t="s">
        <v>73</v>
      </c>
      <c r="M38" t="s">
        <v>70</v>
      </c>
      <c r="N38" t="s">
        <v>71</v>
      </c>
      <c r="O38" t="s">
        <v>199</v>
      </c>
      <c r="Q38" t="s">
        <v>200</v>
      </c>
      <c r="S38" t="s">
        <v>201</v>
      </c>
      <c r="W38">
        <f t="shared" si="50"/>
        <v>1</v>
      </c>
      <c r="Y38">
        <f t="shared" si="49"/>
        <v>1.3333333333333333</v>
      </c>
    </row>
    <row r="39" spans="1:34" x14ac:dyDescent="0.2">
      <c r="A39">
        <f t="shared" ref="A39:A50" si="51">IF(ISBLANK(B4), "", SUM(AE16+AF16+AG16))</f>
        <v>0</v>
      </c>
      <c r="C39">
        <f t="shared" ref="C39:C50" si="52">IF(ISBLANK(B4), "", O4)</f>
        <v>2</v>
      </c>
      <c r="E39">
        <f t="shared" ref="E39:E50" si="53">IF(ISBLANK(B4), "", Q4)</f>
        <v>0</v>
      </c>
      <c r="G39">
        <f t="shared" ref="G39:G50" si="54">IF(ISBLANK(B4), "", R4)</f>
        <v>0</v>
      </c>
      <c r="K39">
        <f t="shared" ref="K39:K50" si="55">IF(ISBLANK(B4), "", SUM(Q4 + R4))</f>
        <v>0</v>
      </c>
      <c r="M39">
        <f t="shared" ref="M39:M50" si="56">IF(ISBLANK(B4), "", SUM(K4+M4) - O4)</f>
        <v>0</v>
      </c>
      <c r="N39">
        <f t="shared" ref="N39:N50" si="57">IF(ISBLANK(B4), "", U4)</f>
        <v>0</v>
      </c>
      <c r="O39">
        <f t="shared" ref="O39:O50" si="58">COUNTIF(E4, "1")*COUNTIF(F4, "1")</f>
        <v>0</v>
      </c>
      <c r="Q39">
        <f t="shared" ref="Q39:Q50" si="59">COUNTIF(D4, "1")*COUNTIF(F4, "")</f>
        <v>1</v>
      </c>
      <c r="S39">
        <f t="shared" ref="S39:S50" si="60">COUNTIF(E4, "1")*COUNTIF(F4, "")</f>
        <v>1</v>
      </c>
      <c r="W39" t="str">
        <f t="shared" si="50"/>
        <v/>
      </c>
      <c r="Y39" t="str">
        <f t="shared" si="49"/>
        <v/>
      </c>
    </row>
    <row r="40" spans="1:34" x14ac:dyDescent="0.2">
      <c r="A40">
        <f t="shared" si="51"/>
        <v>1</v>
      </c>
      <c r="C40">
        <f t="shared" si="52"/>
        <v>3</v>
      </c>
      <c r="E40">
        <f t="shared" si="53"/>
        <v>0</v>
      </c>
      <c r="G40">
        <f t="shared" si="54"/>
        <v>0</v>
      </c>
      <c r="K40">
        <f t="shared" si="55"/>
        <v>0</v>
      </c>
      <c r="M40">
        <f t="shared" si="56"/>
        <v>0</v>
      </c>
      <c r="N40">
        <f t="shared" si="57"/>
        <v>0</v>
      </c>
      <c r="O40">
        <f t="shared" si="58"/>
        <v>0</v>
      </c>
      <c r="Q40">
        <f t="shared" si="59"/>
        <v>1</v>
      </c>
      <c r="S40">
        <f t="shared" si="60"/>
        <v>0</v>
      </c>
      <c r="W40" t="str">
        <f t="shared" si="50"/>
        <v/>
      </c>
      <c r="Y40" t="str">
        <f t="shared" si="49"/>
        <v/>
      </c>
    </row>
    <row r="41" spans="1:34" x14ac:dyDescent="0.2">
      <c r="A41">
        <f t="shared" si="51"/>
        <v>0</v>
      </c>
      <c r="C41">
        <f t="shared" si="52"/>
        <v>3</v>
      </c>
      <c r="E41">
        <f t="shared" si="53"/>
        <v>0</v>
      </c>
      <c r="G41">
        <f t="shared" si="54"/>
        <v>0</v>
      </c>
      <c r="K41">
        <f t="shared" si="55"/>
        <v>0</v>
      </c>
      <c r="M41">
        <f t="shared" si="56"/>
        <v>-1</v>
      </c>
      <c r="N41">
        <f t="shared" si="57"/>
        <v>0</v>
      </c>
      <c r="O41">
        <f t="shared" si="58"/>
        <v>0</v>
      </c>
      <c r="Q41">
        <f t="shared" si="59"/>
        <v>1</v>
      </c>
      <c r="S41">
        <f t="shared" si="60"/>
        <v>0</v>
      </c>
      <c r="W41">
        <f t="shared" si="50"/>
        <v>1</v>
      </c>
      <c r="Y41">
        <f t="shared" si="49"/>
        <v>1</v>
      </c>
    </row>
    <row r="42" spans="1:34" x14ac:dyDescent="0.2">
      <c r="A42">
        <f t="shared" si="51"/>
        <v>0</v>
      </c>
      <c r="C42">
        <f t="shared" si="52"/>
        <v>3</v>
      </c>
      <c r="E42">
        <f t="shared" si="53"/>
        <v>0</v>
      </c>
      <c r="G42">
        <f t="shared" si="54"/>
        <v>0</v>
      </c>
      <c r="K42">
        <f t="shared" si="55"/>
        <v>0</v>
      </c>
      <c r="M42">
        <f t="shared" si="56"/>
        <v>1</v>
      </c>
      <c r="N42">
        <f t="shared" si="57"/>
        <v>0</v>
      </c>
      <c r="O42">
        <f t="shared" si="58"/>
        <v>1</v>
      </c>
      <c r="Q42">
        <f t="shared" si="59"/>
        <v>0</v>
      </c>
      <c r="S42">
        <f t="shared" si="60"/>
        <v>0</v>
      </c>
      <c r="W42" t="str">
        <f t="shared" si="50"/>
        <v/>
      </c>
      <c r="Y42" t="str">
        <f t="shared" si="49"/>
        <v/>
      </c>
    </row>
    <row r="43" spans="1:34" x14ac:dyDescent="0.2">
      <c r="A43">
        <f t="shared" si="51"/>
        <v>1</v>
      </c>
      <c r="C43">
        <f t="shared" si="52"/>
        <v>2</v>
      </c>
      <c r="E43">
        <f t="shared" si="53"/>
        <v>0</v>
      </c>
      <c r="G43">
        <f t="shared" si="54"/>
        <v>1</v>
      </c>
      <c r="K43">
        <f t="shared" si="55"/>
        <v>1</v>
      </c>
      <c r="M43">
        <f t="shared" si="56"/>
        <v>1</v>
      </c>
      <c r="N43">
        <f t="shared" si="57"/>
        <v>27</v>
      </c>
      <c r="O43">
        <f t="shared" si="58"/>
        <v>0</v>
      </c>
      <c r="Q43">
        <f t="shared" si="59"/>
        <v>1</v>
      </c>
      <c r="S43">
        <f t="shared" si="60"/>
        <v>1</v>
      </c>
    </row>
    <row r="44" spans="1:34" x14ac:dyDescent="0.2">
      <c r="A44">
        <f t="shared" si="51"/>
        <v>0</v>
      </c>
      <c r="C44">
        <f t="shared" si="52"/>
        <v>2</v>
      </c>
      <c r="E44">
        <f t="shared" si="53"/>
        <v>0</v>
      </c>
      <c r="G44">
        <f t="shared" si="54"/>
        <v>0</v>
      </c>
      <c r="K44">
        <f t="shared" si="55"/>
        <v>0</v>
      </c>
      <c r="M44">
        <f t="shared" si="56"/>
        <v>0</v>
      </c>
      <c r="N44">
        <f t="shared" si="57"/>
        <v>22</v>
      </c>
      <c r="O44">
        <f t="shared" si="58"/>
        <v>0</v>
      </c>
      <c r="Q44">
        <f t="shared" si="59"/>
        <v>1</v>
      </c>
      <c r="S44">
        <f t="shared" si="60"/>
        <v>1</v>
      </c>
    </row>
    <row r="45" spans="1:34" x14ac:dyDescent="0.2">
      <c r="A45">
        <f t="shared" si="51"/>
        <v>0</v>
      </c>
      <c r="C45">
        <f t="shared" si="52"/>
        <v>0</v>
      </c>
      <c r="E45">
        <f t="shared" si="53"/>
        <v>0</v>
      </c>
      <c r="G45">
        <f t="shared" si="54"/>
        <v>0</v>
      </c>
      <c r="K45">
        <f t="shared" si="55"/>
        <v>0</v>
      </c>
      <c r="M45">
        <f t="shared" si="56"/>
        <v>0</v>
      </c>
      <c r="N45">
        <f t="shared" si="57"/>
        <v>0</v>
      </c>
      <c r="O45">
        <f t="shared" si="58"/>
        <v>0</v>
      </c>
      <c r="Q45">
        <f t="shared" si="59"/>
        <v>0</v>
      </c>
      <c r="S45">
        <f t="shared" si="60"/>
        <v>0</v>
      </c>
    </row>
    <row r="46" spans="1:34" x14ac:dyDescent="0.2">
      <c r="A46">
        <f t="shared" si="51"/>
        <v>1</v>
      </c>
      <c r="C46">
        <f t="shared" si="52"/>
        <v>3</v>
      </c>
      <c r="E46">
        <f t="shared" si="53"/>
        <v>0</v>
      </c>
      <c r="G46">
        <f t="shared" si="54"/>
        <v>1</v>
      </c>
      <c r="K46">
        <f t="shared" si="55"/>
        <v>1</v>
      </c>
      <c r="M46">
        <f t="shared" si="56"/>
        <v>0</v>
      </c>
      <c r="N46">
        <f t="shared" si="57"/>
        <v>1</v>
      </c>
      <c r="O46">
        <f t="shared" si="58"/>
        <v>0</v>
      </c>
      <c r="Q46">
        <f t="shared" si="59"/>
        <v>1</v>
      </c>
      <c r="S46">
        <f t="shared" si="60"/>
        <v>1</v>
      </c>
    </row>
    <row r="47" spans="1:34" x14ac:dyDescent="0.2">
      <c r="A47">
        <f t="shared" si="51"/>
        <v>0</v>
      </c>
      <c r="C47">
        <f t="shared" si="52"/>
        <v>2</v>
      </c>
      <c r="E47">
        <f t="shared" si="53"/>
        <v>0</v>
      </c>
      <c r="G47">
        <f t="shared" si="54"/>
        <v>0</v>
      </c>
      <c r="K47">
        <f t="shared" si="55"/>
        <v>0</v>
      </c>
      <c r="M47">
        <f t="shared" si="56"/>
        <v>1</v>
      </c>
      <c r="N47">
        <f t="shared" si="57"/>
        <v>8</v>
      </c>
      <c r="O47">
        <f t="shared" si="58"/>
        <v>0</v>
      </c>
      <c r="Q47">
        <f t="shared" si="59"/>
        <v>1</v>
      </c>
      <c r="S47">
        <f t="shared" si="60"/>
        <v>1</v>
      </c>
    </row>
    <row r="48" spans="1:34" x14ac:dyDescent="0.2">
      <c r="A48">
        <f t="shared" si="51"/>
        <v>0</v>
      </c>
      <c r="C48">
        <f t="shared" si="52"/>
        <v>4</v>
      </c>
      <c r="E48">
        <f t="shared" si="53"/>
        <v>0</v>
      </c>
      <c r="G48">
        <f t="shared" si="54"/>
        <v>0</v>
      </c>
      <c r="K48">
        <f t="shared" si="55"/>
        <v>0</v>
      </c>
      <c r="M48">
        <f t="shared" si="56"/>
        <v>0</v>
      </c>
      <c r="N48">
        <f t="shared" si="57"/>
        <v>0</v>
      </c>
      <c r="O48">
        <f t="shared" si="58"/>
        <v>0</v>
      </c>
      <c r="Q48">
        <f t="shared" si="59"/>
        <v>1</v>
      </c>
      <c r="S48">
        <f t="shared" si="60"/>
        <v>1</v>
      </c>
    </row>
    <row r="49" spans="1:19" x14ac:dyDescent="0.2">
      <c r="A49">
        <f t="shared" si="51"/>
        <v>1</v>
      </c>
      <c r="C49">
        <f t="shared" si="52"/>
        <v>0</v>
      </c>
      <c r="E49">
        <f t="shared" si="53"/>
        <v>0</v>
      </c>
      <c r="G49">
        <f t="shared" si="54"/>
        <v>1</v>
      </c>
      <c r="K49">
        <f t="shared" si="55"/>
        <v>1</v>
      </c>
      <c r="M49">
        <f t="shared" si="56"/>
        <v>0</v>
      </c>
      <c r="N49">
        <f t="shared" si="57"/>
        <v>1</v>
      </c>
      <c r="O49">
        <f t="shared" si="58"/>
        <v>0</v>
      </c>
      <c r="Q49">
        <f t="shared" si="59"/>
        <v>1</v>
      </c>
      <c r="S49">
        <f t="shared" si="60"/>
        <v>0</v>
      </c>
    </row>
    <row r="50" spans="1:19" x14ac:dyDescent="0.2">
      <c r="A50">
        <f t="shared" si="51"/>
        <v>1</v>
      </c>
      <c r="C50">
        <f t="shared" si="52"/>
        <v>4</v>
      </c>
      <c r="E50">
        <f t="shared" si="53"/>
        <v>0</v>
      </c>
      <c r="G50">
        <f t="shared" si="54"/>
        <v>0</v>
      </c>
      <c r="K50">
        <f t="shared" si="55"/>
        <v>0</v>
      </c>
      <c r="M50">
        <f t="shared" si="56"/>
        <v>0</v>
      </c>
      <c r="N50">
        <f t="shared" si="57"/>
        <v>0</v>
      </c>
      <c r="O50">
        <f t="shared" si="58"/>
        <v>1</v>
      </c>
      <c r="Q50">
        <f t="shared" si="59"/>
        <v>0</v>
      </c>
      <c r="S50">
        <f t="shared" si="60"/>
        <v>0</v>
      </c>
    </row>
  </sheetData>
  <pageMargins left="0.7" right="0.7" top="0.75" bottom="0.75" header="0.3" footer="0.3"/>
  <legacy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5" enableFormatConditionsCalculation="0"/>
  <dimension ref="A1:BN50"/>
  <sheetViews>
    <sheetView workbookViewId="0">
      <selection activeCell="H9" sqref="H9"/>
    </sheetView>
  </sheetViews>
  <sheetFormatPr baseColWidth="10" defaultRowHeight="15" x14ac:dyDescent="0.2"/>
  <sheetData>
    <row r="1" spans="1:66" x14ac:dyDescent="0.2">
      <c r="A1" s="1" t="s">
        <v>0</v>
      </c>
      <c r="D1" t="s">
        <v>3</v>
      </c>
      <c r="K1" t="s">
        <v>11</v>
      </c>
      <c r="N1" t="s">
        <v>12</v>
      </c>
      <c r="P1" t="s">
        <v>14</v>
      </c>
      <c r="Q1" t="s">
        <v>17</v>
      </c>
      <c r="S1" t="s">
        <v>18</v>
      </c>
      <c r="Z1" t="s">
        <v>29</v>
      </c>
      <c r="AE1" t="s">
        <v>30</v>
      </c>
      <c r="AK1" t="s">
        <v>42</v>
      </c>
    </row>
    <row r="2" spans="1:66" x14ac:dyDescent="0.2">
      <c r="A2" t="s">
        <v>1</v>
      </c>
      <c r="B2" t="s">
        <v>1</v>
      </c>
      <c r="C2" t="s">
        <v>87</v>
      </c>
      <c r="D2" t="s">
        <v>54</v>
      </c>
      <c r="E2" t="s">
        <v>13</v>
      </c>
      <c r="F2" t="s">
        <v>198</v>
      </c>
      <c r="G2" t="s">
        <v>7</v>
      </c>
      <c r="H2" t="s">
        <v>8</v>
      </c>
      <c r="I2" t="s">
        <v>179</v>
      </c>
      <c r="J2" t="s">
        <v>178</v>
      </c>
      <c r="K2" t="s">
        <v>9</v>
      </c>
      <c r="L2" t="s">
        <v>196</v>
      </c>
      <c r="M2" t="s">
        <v>10</v>
      </c>
      <c r="N2" t="s">
        <v>54</v>
      </c>
      <c r="O2" t="s">
        <v>13</v>
      </c>
      <c r="P2" t="s">
        <v>15</v>
      </c>
      <c r="Q2" t="s">
        <v>8</v>
      </c>
      <c r="R2" t="s">
        <v>7</v>
      </c>
      <c r="S2" t="s">
        <v>181</v>
      </c>
      <c r="T2" t="s">
        <v>182</v>
      </c>
      <c r="U2" t="s">
        <v>19</v>
      </c>
      <c r="V2" t="s">
        <v>191</v>
      </c>
      <c r="W2" t="s">
        <v>192</v>
      </c>
      <c r="X2" t="s">
        <v>175</v>
      </c>
      <c r="Y2" t="s">
        <v>173</v>
      </c>
      <c r="Z2" t="str">
        <f t="shared" ref="Z2:Z13" si="0">LEFT(I4, 1)</f>
        <v/>
      </c>
      <c r="AA2" t="str">
        <f t="shared" ref="AA2:AA13" si="1">MID(I4, 4, 1)</f>
        <v/>
      </c>
      <c r="AB2" t="str">
        <f t="shared" ref="AB2:AB13" si="2">MID(I4, 7, 1)</f>
        <v/>
      </c>
      <c r="AC2" t="str">
        <f t="shared" ref="AC2:AC13" si="3">MID(I4, 10, 1)</f>
        <v/>
      </c>
      <c r="AE2" t="str">
        <f t="shared" ref="AE2:AE13" si="4">LEFT(J4, 1)</f>
        <v/>
      </c>
      <c r="AF2" t="str">
        <f t="shared" ref="AF2:AF13" si="5">MID(J4, 4, 1)</f>
        <v/>
      </c>
      <c r="AG2" t="str">
        <f t="shared" ref="AG2:AG13" si="6">MID(J4, 7, 1)</f>
        <v/>
      </c>
      <c r="AH2" t="str">
        <f t="shared" ref="AH2:AH13" si="7">MID(J4, 10, 1)</f>
        <v/>
      </c>
      <c r="AI2" t="str">
        <f t="shared" ref="AI2:AI13" si="8">MID(J4, 13, 1)</f>
        <v/>
      </c>
      <c r="AK2" t="str">
        <f t="shared" ref="AK2:AK13" si="9">LEFT(P4, 2)</f>
        <v>g1</v>
      </c>
      <c r="AL2" t="str">
        <f>MID($P4, 5, 2)</f>
        <v/>
      </c>
      <c r="AM2" t="str">
        <f t="shared" ref="AM2:AM13" si="10">MID($P4, 9, 2)</f>
        <v/>
      </c>
      <c r="AN2" t="str">
        <f t="shared" ref="AN2:AN13" si="11">MID($P4, 13, 2)</f>
        <v/>
      </c>
      <c r="AO2" t="str">
        <f t="shared" ref="AO2:AO13" si="12">MID($P4, 17, 2)</f>
        <v/>
      </c>
      <c r="AP2" t="str">
        <f t="shared" ref="AP2:AP13" si="13">MID($P4, 21, 2)</f>
        <v/>
      </c>
      <c r="AQ2" t="str">
        <f t="shared" ref="AQ2:AQ13" si="14">MID($P4, 25, 2)</f>
        <v/>
      </c>
      <c r="AR2" t="str">
        <f t="shared" ref="AR2:AR13" si="15">MID($P4, 29, 2)</f>
        <v/>
      </c>
      <c r="AS2" t="str">
        <f t="shared" ref="AS2:AS13" si="16">MID($P4, 33, 2)</f>
        <v/>
      </c>
      <c r="AT2" t="str">
        <f t="shared" ref="AT2:AT13" si="17">MID($P4, 37, 2)</f>
        <v/>
      </c>
      <c r="AU2" t="str">
        <f t="shared" ref="AU2:AU13" si="18">MID($P4, 41, 2)</f>
        <v/>
      </c>
      <c r="AV2" t="str">
        <f t="shared" ref="AV2:AV13" si="19">MID($P4, 45, 2)</f>
        <v/>
      </c>
      <c r="AW2" t="str">
        <f t="shared" ref="AW2:AW13" si="20">MID($P4, 49, 2)</f>
        <v/>
      </c>
      <c r="AX2" t="str">
        <f t="shared" ref="AX2:AX13" si="21">MID($P4, 53, 2)</f>
        <v/>
      </c>
      <c r="AY2" t="str">
        <f t="shared" ref="AY2:AY13" si="22">MID($P4, 57, 2)</f>
        <v/>
      </c>
      <c r="AZ2" t="str">
        <f t="shared" ref="AZ2:AZ13" si="23">MID($P4, 61, 2)</f>
        <v/>
      </c>
      <c r="BA2" t="str">
        <f t="shared" ref="BA2:BA13" si="24">MID($P4, 65, 2)</f>
        <v/>
      </c>
      <c r="BB2" t="str">
        <f t="shared" ref="BB2:BB13" si="25">MID($P4, 69, 2)</f>
        <v/>
      </c>
      <c r="BC2" t="str">
        <f t="shared" ref="BC2:BC13" si="26">MID($P4, 73, 2)</f>
        <v/>
      </c>
      <c r="BD2" t="str">
        <f t="shared" ref="BD2:BD13" si="27">MID($P4, 77, 2)</f>
        <v/>
      </c>
      <c r="BE2" t="str">
        <f t="shared" ref="BE2:BE13" si="28">MID($P4, 81, 2)</f>
        <v/>
      </c>
      <c r="BF2" t="str">
        <f t="shared" ref="BF2:BF13" si="29">MID($P4, 85, 2)</f>
        <v/>
      </c>
      <c r="BG2" t="str">
        <f t="shared" ref="BG2:BG13" si="30">MID($P4, 89, 2)</f>
        <v/>
      </c>
      <c r="BH2" t="str">
        <f t="shared" ref="BH2:BH13" si="31">MID($P4, 93, 2)</f>
        <v/>
      </c>
    </row>
    <row r="3" spans="1:66" x14ac:dyDescent="0.2">
      <c r="A3" t="s">
        <v>2</v>
      </c>
      <c r="B3" t="s">
        <v>6</v>
      </c>
      <c r="C3" t="s">
        <v>88</v>
      </c>
      <c r="D3" t="s">
        <v>6</v>
      </c>
      <c r="E3" t="s">
        <v>6</v>
      </c>
      <c r="F3" t="s">
        <v>4</v>
      </c>
      <c r="G3" t="s">
        <v>6</v>
      </c>
      <c r="H3" t="s">
        <v>6</v>
      </c>
      <c r="I3" t="s">
        <v>86</v>
      </c>
      <c r="J3" t="s">
        <v>86</v>
      </c>
      <c r="K3" t="s">
        <v>6</v>
      </c>
      <c r="L3" t="s">
        <v>6</v>
      </c>
      <c r="M3" t="s">
        <v>6</v>
      </c>
      <c r="N3" t="s">
        <v>6</v>
      </c>
      <c r="O3" t="s">
        <v>6</v>
      </c>
      <c r="P3" t="s">
        <v>16</v>
      </c>
      <c r="Q3" t="s">
        <v>6</v>
      </c>
      <c r="R3" t="s">
        <v>6</v>
      </c>
      <c r="S3" t="s">
        <v>4</v>
      </c>
      <c r="T3" t="s">
        <v>4</v>
      </c>
      <c r="U3" t="s">
        <v>6</v>
      </c>
      <c r="V3" t="s">
        <v>6</v>
      </c>
      <c r="W3" t="s">
        <v>6</v>
      </c>
      <c r="X3" t="s">
        <v>6</v>
      </c>
      <c r="Y3" t="s">
        <v>174</v>
      </c>
      <c r="Z3" t="str">
        <f t="shared" si="0"/>
        <v/>
      </c>
      <c r="AA3" t="str">
        <f t="shared" si="1"/>
        <v/>
      </c>
      <c r="AB3" t="str">
        <f t="shared" si="2"/>
        <v/>
      </c>
      <c r="AC3" t="str">
        <f t="shared" si="3"/>
        <v/>
      </c>
      <c r="AE3" t="str">
        <f t="shared" si="4"/>
        <v/>
      </c>
      <c r="AF3" t="str">
        <f t="shared" si="5"/>
        <v/>
      </c>
      <c r="AG3" t="str">
        <f t="shared" si="6"/>
        <v/>
      </c>
      <c r="AH3" t="str">
        <f t="shared" si="7"/>
        <v/>
      </c>
      <c r="AI3" t="str">
        <f t="shared" si="8"/>
        <v/>
      </c>
      <c r="AK3" t="str">
        <f t="shared" si="9"/>
        <v/>
      </c>
      <c r="AL3" t="str">
        <f t="shared" ref="AL3:AL13" si="32">MID(P5, 5, 2)</f>
        <v/>
      </c>
      <c r="AM3" t="str">
        <f t="shared" si="10"/>
        <v/>
      </c>
      <c r="AN3" t="str">
        <f t="shared" si="11"/>
        <v/>
      </c>
      <c r="AO3" t="str">
        <f t="shared" si="12"/>
        <v/>
      </c>
      <c r="AP3" t="str">
        <f t="shared" si="13"/>
        <v/>
      </c>
      <c r="AQ3" t="str">
        <f t="shared" si="14"/>
        <v/>
      </c>
      <c r="AR3" t="str">
        <f t="shared" si="15"/>
        <v/>
      </c>
      <c r="AS3" t="str">
        <f t="shared" si="16"/>
        <v/>
      </c>
      <c r="AT3" t="str">
        <f t="shared" si="17"/>
        <v/>
      </c>
      <c r="AU3" t="str">
        <f t="shared" si="18"/>
        <v/>
      </c>
      <c r="AV3" t="str">
        <f t="shared" si="19"/>
        <v/>
      </c>
      <c r="AW3" t="str">
        <f t="shared" si="20"/>
        <v/>
      </c>
      <c r="AX3" t="str">
        <f t="shared" si="21"/>
        <v/>
      </c>
      <c r="AY3" t="str">
        <f t="shared" si="22"/>
        <v/>
      </c>
      <c r="AZ3" t="str">
        <f t="shared" si="23"/>
        <v/>
      </c>
      <c r="BA3" t="str">
        <f t="shared" si="24"/>
        <v/>
      </c>
      <c r="BB3" t="str">
        <f t="shared" si="25"/>
        <v/>
      </c>
      <c r="BC3" t="str">
        <f t="shared" si="26"/>
        <v/>
      </c>
      <c r="BD3" t="str">
        <f t="shared" si="27"/>
        <v/>
      </c>
      <c r="BE3" t="str">
        <f t="shared" si="28"/>
        <v/>
      </c>
      <c r="BF3" t="str">
        <f t="shared" si="29"/>
        <v/>
      </c>
      <c r="BG3" t="str">
        <f t="shared" si="30"/>
        <v/>
      </c>
      <c r="BH3" t="str">
        <f t="shared" si="31"/>
        <v/>
      </c>
    </row>
    <row r="4" spans="1:66" x14ac:dyDescent="0.2">
      <c r="A4">
        <v>1</v>
      </c>
      <c r="B4">
        <v>9</v>
      </c>
      <c r="C4" t="s">
        <v>207</v>
      </c>
      <c r="G4">
        <v>10</v>
      </c>
      <c r="K4">
        <v>2</v>
      </c>
      <c r="L4">
        <v>1</v>
      </c>
      <c r="N4">
        <v>3</v>
      </c>
      <c r="O4">
        <v>3</v>
      </c>
      <c r="P4" t="s">
        <v>218</v>
      </c>
      <c r="R4">
        <v>1</v>
      </c>
      <c r="S4">
        <v>1</v>
      </c>
      <c r="T4">
        <v>1</v>
      </c>
      <c r="U4">
        <v>10</v>
      </c>
      <c r="W4">
        <v>5</v>
      </c>
      <c r="X4">
        <f t="shared" ref="X4:X15" si="33">G4+H4+Q4+R4</f>
        <v>11</v>
      </c>
      <c r="Y4" t="s">
        <v>174</v>
      </c>
      <c r="Z4" t="str">
        <f t="shared" si="0"/>
        <v/>
      </c>
      <c r="AA4" t="str">
        <f t="shared" si="1"/>
        <v/>
      </c>
      <c r="AB4" t="str">
        <f t="shared" si="2"/>
        <v/>
      </c>
      <c r="AC4" t="str">
        <f t="shared" si="3"/>
        <v/>
      </c>
      <c r="AE4" t="str">
        <f t="shared" si="4"/>
        <v/>
      </c>
      <c r="AF4" t="str">
        <f t="shared" si="5"/>
        <v/>
      </c>
      <c r="AG4" t="str">
        <f t="shared" si="6"/>
        <v/>
      </c>
      <c r="AH4" t="str">
        <f t="shared" si="7"/>
        <v/>
      </c>
      <c r="AI4" t="str">
        <f t="shared" si="8"/>
        <v/>
      </c>
      <c r="AK4" t="str">
        <f t="shared" si="9"/>
        <v/>
      </c>
      <c r="AL4" t="str">
        <f t="shared" si="32"/>
        <v/>
      </c>
      <c r="AM4" t="str">
        <f t="shared" si="10"/>
        <v/>
      </c>
      <c r="AN4" t="str">
        <f t="shared" si="11"/>
        <v/>
      </c>
      <c r="AO4" t="str">
        <f t="shared" si="12"/>
        <v/>
      </c>
      <c r="AP4" t="str">
        <f t="shared" si="13"/>
        <v/>
      </c>
      <c r="AQ4" t="str">
        <f t="shared" si="14"/>
        <v/>
      </c>
      <c r="AR4" t="str">
        <f t="shared" si="15"/>
        <v/>
      </c>
      <c r="AS4" t="str">
        <f t="shared" si="16"/>
        <v/>
      </c>
      <c r="AT4" t="str">
        <f t="shared" si="17"/>
        <v/>
      </c>
      <c r="AU4" t="str">
        <f t="shared" si="18"/>
        <v/>
      </c>
      <c r="AV4" t="str">
        <f t="shared" si="19"/>
        <v/>
      </c>
      <c r="AW4" t="str">
        <f t="shared" si="20"/>
        <v/>
      </c>
      <c r="AX4" t="str">
        <f t="shared" si="21"/>
        <v/>
      </c>
      <c r="AY4" t="str">
        <f t="shared" si="22"/>
        <v/>
      </c>
      <c r="AZ4" t="str">
        <f t="shared" si="23"/>
        <v/>
      </c>
      <c r="BA4" t="str">
        <f t="shared" si="24"/>
        <v/>
      </c>
      <c r="BB4" t="str">
        <f t="shared" si="25"/>
        <v/>
      </c>
      <c r="BC4" t="str">
        <f t="shared" si="26"/>
        <v/>
      </c>
      <c r="BD4" t="str">
        <f t="shared" si="27"/>
        <v/>
      </c>
      <c r="BE4" t="str">
        <f t="shared" si="28"/>
        <v/>
      </c>
      <c r="BF4" t="str">
        <f t="shared" si="29"/>
        <v/>
      </c>
      <c r="BG4" t="str">
        <f t="shared" si="30"/>
        <v/>
      </c>
      <c r="BH4" t="str">
        <f t="shared" si="31"/>
        <v/>
      </c>
    </row>
    <row r="5" spans="1:66" x14ac:dyDescent="0.2">
      <c r="A5">
        <v>2</v>
      </c>
      <c r="B5">
        <v>19</v>
      </c>
      <c r="C5" t="s">
        <v>39</v>
      </c>
      <c r="D5">
        <v>1</v>
      </c>
      <c r="K5">
        <v>2</v>
      </c>
      <c r="N5">
        <v>2</v>
      </c>
      <c r="O5">
        <v>2</v>
      </c>
      <c r="S5">
        <v>1</v>
      </c>
      <c r="T5">
        <v>1</v>
      </c>
      <c r="U5">
        <v>4</v>
      </c>
      <c r="X5">
        <f t="shared" si="33"/>
        <v>0</v>
      </c>
      <c r="Z5" t="str">
        <f t="shared" si="0"/>
        <v/>
      </c>
      <c r="AA5" t="str">
        <f t="shared" si="1"/>
        <v/>
      </c>
      <c r="AB5" t="str">
        <f t="shared" si="2"/>
        <v/>
      </c>
      <c r="AC5" t="str">
        <f t="shared" si="3"/>
        <v/>
      </c>
      <c r="AE5" t="str">
        <f t="shared" si="4"/>
        <v/>
      </c>
      <c r="AF5" t="str">
        <f t="shared" si="5"/>
        <v/>
      </c>
      <c r="AG5" t="str">
        <f t="shared" si="6"/>
        <v/>
      </c>
      <c r="AH5" t="str">
        <f t="shared" si="7"/>
        <v/>
      </c>
      <c r="AI5" t="str">
        <f t="shared" si="8"/>
        <v/>
      </c>
      <c r="AK5" t="str">
        <f t="shared" si="9"/>
        <v/>
      </c>
      <c r="AL5" t="str">
        <f t="shared" si="32"/>
        <v/>
      </c>
      <c r="AM5" t="str">
        <f t="shared" si="10"/>
        <v/>
      </c>
      <c r="AN5" t="str">
        <f t="shared" si="11"/>
        <v/>
      </c>
      <c r="AO5" t="str">
        <f t="shared" si="12"/>
        <v/>
      </c>
      <c r="AP5" t="str">
        <f t="shared" si="13"/>
        <v/>
      </c>
      <c r="AQ5" t="str">
        <f t="shared" si="14"/>
        <v/>
      </c>
      <c r="AR5" t="str">
        <f t="shared" si="15"/>
        <v/>
      </c>
      <c r="AS5" t="str">
        <f t="shared" si="16"/>
        <v/>
      </c>
      <c r="AT5" t="str">
        <f t="shared" si="17"/>
        <v/>
      </c>
      <c r="AU5" t="str">
        <f t="shared" si="18"/>
        <v/>
      </c>
      <c r="AV5" t="str">
        <f t="shared" si="19"/>
        <v/>
      </c>
      <c r="AW5" t="str">
        <f t="shared" si="20"/>
        <v/>
      </c>
      <c r="AX5" t="str">
        <f t="shared" si="21"/>
        <v/>
      </c>
      <c r="AY5" t="str">
        <f t="shared" si="22"/>
        <v/>
      </c>
      <c r="AZ5" t="str">
        <f t="shared" si="23"/>
        <v/>
      </c>
      <c r="BA5" t="str">
        <f t="shared" si="24"/>
        <v/>
      </c>
      <c r="BB5" t="str">
        <f t="shared" si="25"/>
        <v/>
      </c>
      <c r="BC5" t="str">
        <f t="shared" si="26"/>
        <v/>
      </c>
      <c r="BD5" t="str">
        <f t="shared" si="27"/>
        <v/>
      </c>
      <c r="BE5" t="str">
        <f t="shared" si="28"/>
        <v/>
      </c>
      <c r="BF5" t="str">
        <f t="shared" si="29"/>
        <v/>
      </c>
      <c r="BG5" t="str">
        <f t="shared" si="30"/>
        <v/>
      </c>
      <c r="BH5" t="str">
        <f t="shared" si="31"/>
        <v/>
      </c>
    </row>
    <row r="6" spans="1:66" x14ac:dyDescent="0.2">
      <c r="A6">
        <v>3</v>
      </c>
      <c r="B6">
        <v>27</v>
      </c>
      <c r="C6" t="s">
        <v>207</v>
      </c>
      <c r="G6">
        <v>1</v>
      </c>
      <c r="K6">
        <v>2</v>
      </c>
      <c r="N6">
        <v>2</v>
      </c>
      <c r="O6">
        <v>2</v>
      </c>
      <c r="S6">
        <v>1</v>
      </c>
      <c r="T6">
        <v>1</v>
      </c>
      <c r="U6">
        <v>1</v>
      </c>
      <c r="X6">
        <f t="shared" si="33"/>
        <v>1</v>
      </c>
      <c r="Z6" t="str">
        <f t="shared" si="0"/>
        <v/>
      </c>
      <c r="AA6" t="str">
        <f t="shared" si="1"/>
        <v/>
      </c>
      <c r="AB6" t="str">
        <f t="shared" si="2"/>
        <v/>
      </c>
      <c r="AC6" t="str">
        <f t="shared" si="3"/>
        <v/>
      </c>
      <c r="AE6" t="str">
        <f t="shared" si="4"/>
        <v/>
      </c>
      <c r="AF6" t="str">
        <f t="shared" si="5"/>
        <v/>
      </c>
      <c r="AG6" t="str">
        <f t="shared" si="6"/>
        <v/>
      </c>
      <c r="AH6" t="str">
        <f t="shared" si="7"/>
        <v/>
      </c>
      <c r="AI6" t="str">
        <f t="shared" si="8"/>
        <v/>
      </c>
      <c r="AK6" t="str">
        <f t="shared" si="9"/>
        <v/>
      </c>
      <c r="AL6" t="str">
        <f t="shared" si="32"/>
        <v/>
      </c>
      <c r="AM6" t="str">
        <f t="shared" si="10"/>
        <v/>
      </c>
      <c r="AN6" t="str">
        <f t="shared" si="11"/>
        <v/>
      </c>
      <c r="AO6" t="str">
        <f t="shared" si="12"/>
        <v/>
      </c>
      <c r="AP6" t="str">
        <f t="shared" si="13"/>
        <v/>
      </c>
      <c r="AQ6" t="str">
        <f t="shared" si="14"/>
        <v/>
      </c>
      <c r="AR6" t="str">
        <f t="shared" si="15"/>
        <v/>
      </c>
      <c r="AS6" t="str">
        <f t="shared" si="16"/>
        <v/>
      </c>
      <c r="AT6" t="str">
        <f t="shared" si="17"/>
        <v/>
      </c>
      <c r="AU6" t="str">
        <f t="shared" si="18"/>
        <v/>
      </c>
      <c r="AV6" t="str">
        <f t="shared" si="19"/>
        <v/>
      </c>
      <c r="AW6" t="str">
        <f t="shared" si="20"/>
        <v/>
      </c>
      <c r="AX6" t="str">
        <f t="shared" si="21"/>
        <v/>
      </c>
      <c r="AY6" t="str">
        <f t="shared" si="22"/>
        <v/>
      </c>
      <c r="AZ6" t="str">
        <f t="shared" si="23"/>
        <v/>
      </c>
      <c r="BA6" t="str">
        <f t="shared" si="24"/>
        <v/>
      </c>
      <c r="BB6" t="str">
        <f t="shared" si="25"/>
        <v/>
      </c>
      <c r="BC6" t="str">
        <f t="shared" si="26"/>
        <v/>
      </c>
      <c r="BD6" t="str">
        <f t="shared" si="27"/>
        <v/>
      </c>
      <c r="BE6" t="str">
        <f t="shared" si="28"/>
        <v/>
      </c>
      <c r="BF6" t="str">
        <f t="shared" si="29"/>
        <v/>
      </c>
      <c r="BG6" t="str">
        <f t="shared" si="30"/>
        <v/>
      </c>
      <c r="BH6" t="str">
        <f t="shared" si="31"/>
        <v/>
      </c>
    </row>
    <row r="7" spans="1:66" x14ac:dyDescent="0.2">
      <c r="A7">
        <v>4</v>
      </c>
      <c r="B7">
        <v>35</v>
      </c>
      <c r="C7" t="s">
        <v>207</v>
      </c>
      <c r="D7">
        <v>1</v>
      </c>
      <c r="F7">
        <v>1</v>
      </c>
      <c r="K7">
        <v>3</v>
      </c>
      <c r="N7">
        <v>4</v>
      </c>
      <c r="O7">
        <v>4</v>
      </c>
      <c r="X7">
        <f t="shared" si="33"/>
        <v>0</v>
      </c>
      <c r="Z7" t="str">
        <f t="shared" si="0"/>
        <v/>
      </c>
      <c r="AA7" t="str">
        <f t="shared" si="1"/>
        <v/>
      </c>
      <c r="AB7" t="str">
        <f t="shared" si="2"/>
        <v/>
      </c>
      <c r="AC7" t="str">
        <f t="shared" si="3"/>
        <v/>
      </c>
      <c r="AE7" t="str">
        <f t="shared" si="4"/>
        <v/>
      </c>
      <c r="AF7" t="str">
        <f t="shared" si="5"/>
        <v/>
      </c>
      <c r="AG7" t="str">
        <f t="shared" si="6"/>
        <v/>
      </c>
      <c r="AH7" t="str">
        <f t="shared" si="7"/>
        <v/>
      </c>
      <c r="AI7" t="str">
        <f t="shared" si="8"/>
        <v/>
      </c>
      <c r="AK7" t="str">
        <f t="shared" si="9"/>
        <v/>
      </c>
      <c r="AL7" t="str">
        <f t="shared" si="32"/>
        <v/>
      </c>
      <c r="AM7" t="str">
        <f t="shared" si="10"/>
        <v/>
      </c>
      <c r="AN7" t="str">
        <f t="shared" si="11"/>
        <v/>
      </c>
      <c r="AO7" t="str">
        <f t="shared" si="12"/>
        <v/>
      </c>
      <c r="AP7" t="str">
        <f t="shared" si="13"/>
        <v/>
      </c>
      <c r="AQ7" t="str">
        <f t="shared" si="14"/>
        <v/>
      </c>
      <c r="AR7" t="str">
        <f t="shared" si="15"/>
        <v/>
      </c>
      <c r="AS7" t="str">
        <f t="shared" si="16"/>
        <v/>
      </c>
      <c r="AT7" t="str">
        <f t="shared" si="17"/>
        <v/>
      </c>
      <c r="AU7" t="str">
        <f t="shared" si="18"/>
        <v/>
      </c>
      <c r="AV7" t="str">
        <f t="shared" si="19"/>
        <v/>
      </c>
      <c r="AW7" t="str">
        <f t="shared" si="20"/>
        <v/>
      </c>
      <c r="AX7" t="str">
        <f t="shared" si="21"/>
        <v/>
      </c>
      <c r="AY7" t="str">
        <f t="shared" si="22"/>
        <v/>
      </c>
      <c r="AZ7" t="str">
        <f t="shared" si="23"/>
        <v/>
      </c>
      <c r="BA7" t="str">
        <f t="shared" si="24"/>
        <v/>
      </c>
      <c r="BB7" t="str">
        <f t="shared" si="25"/>
        <v/>
      </c>
      <c r="BC7" t="str">
        <f t="shared" si="26"/>
        <v/>
      </c>
      <c r="BD7" t="str">
        <f t="shared" si="27"/>
        <v/>
      </c>
      <c r="BE7" t="str">
        <f t="shared" si="28"/>
        <v/>
      </c>
      <c r="BF7" t="str">
        <f t="shared" si="29"/>
        <v/>
      </c>
      <c r="BG7" t="str">
        <f t="shared" si="30"/>
        <v/>
      </c>
      <c r="BH7" t="str">
        <f t="shared" si="31"/>
        <v/>
      </c>
    </row>
    <row r="8" spans="1:66" x14ac:dyDescent="0.2">
      <c r="A8">
        <v>5</v>
      </c>
      <c r="B8">
        <v>47</v>
      </c>
      <c r="C8" t="s">
        <v>207</v>
      </c>
      <c r="K8">
        <v>2</v>
      </c>
      <c r="N8">
        <v>3</v>
      </c>
      <c r="O8">
        <v>3</v>
      </c>
      <c r="S8">
        <v>1</v>
      </c>
      <c r="T8">
        <v>1</v>
      </c>
      <c r="X8">
        <f t="shared" si="33"/>
        <v>0</v>
      </c>
      <c r="Z8" t="str">
        <f t="shared" si="0"/>
        <v/>
      </c>
      <c r="AA8" t="str">
        <f t="shared" si="1"/>
        <v/>
      </c>
      <c r="AB8" t="str">
        <f t="shared" si="2"/>
        <v/>
      </c>
      <c r="AC8" t="str">
        <f t="shared" si="3"/>
        <v/>
      </c>
      <c r="AE8" t="str">
        <f t="shared" si="4"/>
        <v/>
      </c>
      <c r="AF8" t="str">
        <f t="shared" si="5"/>
        <v/>
      </c>
      <c r="AG8" t="str">
        <f t="shared" si="6"/>
        <v/>
      </c>
      <c r="AH8" t="str">
        <f t="shared" si="7"/>
        <v/>
      </c>
      <c r="AI8" t="str">
        <f t="shared" si="8"/>
        <v/>
      </c>
      <c r="AK8" t="str">
        <f t="shared" si="9"/>
        <v/>
      </c>
      <c r="AL8" t="str">
        <f t="shared" si="32"/>
        <v/>
      </c>
      <c r="AM8" t="str">
        <f t="shared" si="10"/>
        <v/>
      </c>
      <c r="AN8" t="str">
        <f t="shared" si="11"/>
        <v/>
      </c>
      <c r="AO8" t="str">
        <f t="shared" si="12"/>
        <v/>
      </c>
      <c r="AP8" t="str">
        <f t="shared" si="13"/>
        <v/>
      </c>
      <c r="AQ8" t="str">
        <f t="shared" si="14"/>
        <v/>
      </c>
      <c r="AR8" t="str">
        <f t="shared" si="15"/>
        <v/>
      </c>
      <c r="AS8" t="str">
        <f t="shared" si="16"/>
        <v/>
      </c>
      <c r="AT8" t="str">
        <f t="shared" si="17"/>
        <v/>
      </c>
      <c r="AU8" t="str">
        <f t="shared" si="18"/>
        <v/>
      </c>
      <c r="AV8" t="str">
        <f t="shared" si="19"/>
        <v/>
      </c>
      <c r="AW8" t="str">
        <f t="shared" si="20"/>
        <v/>
      </c>
      <c r="AX8" t="str">
        <f t="shared" si="21"/>
        <v/>
      </c>
      <c r="AY8" t="str">
        <f t="shared" si="22"/>
        <v/>
      </c>
      <c r="AZ8" t="str">
        <f t="shared" si="23"/>
        <v/>
      </c>
      <c r="BA8" t="str">
        <f t="shared" si="24"/>
        <v/>
      </c>
      <c r="BB8" t="str">
        <f t="shared" si="25"/>
        <v/>
      </c>
      <c r="BC8" t="str">
        <f t="shared" si="26"/>
        <v/>
      </c>
      <c r="BD8" t="str">
        <f t="shared" si="27"/>
        <v/>
      </c>
      <c r="BE8" t="str">
        <f t="shared" si="28"/>
        <v/>
      </c>
      <c r="BF8" t="str">
        <f t="shared" si="29"/>
        <v/>
      </c>
      <c r="BG8" t="str">
        <f t="shared" si="30"/>
        <v/>
      </c>
      <c r="BH8" t="str">
        <f t="shared" si="31"/>
        <v/>
      </c>
    </row>
    <row r="9" spans="1:66" x14ac:dyDescent="0.2">
      <c r="A9">
        <v>6</v>
      </c>
      <c r="B9">
        <v>52</v>
      </c>
      <c r="C9" t="s">
        <v>39</v>
      </c>
      <c r="K9">
        <v>2</v>
      </c>
      <c r="N9">
        <v>3</v>
      </c>
      <c r="O9">
        <v>3</v>
      </c>
      <c r="S9">
        <v>1</v>
      </c>
      <c r="T9">
        <v>1</v>
      </c>
      <c r="X9">
        <f t="shared" si="33"/>
        <v>0</v>
      </c>
      <c r="Z9" t="str">
        <f t="shared" si="0"/>
        <v/>
      </c>
      <c r="AA9" t="str">
        <f t="shared" si="1"/>
        <v/>
      </c>
      <c r="AB9" t="str">
        <f t="shared" si="2"/>
        <v/>
      </c>
      <c r="AC9" t="str">
        <f t="shared" si="3"/>
        <v/>
      </c>
      <c r="AE9" t="str">
        <f t="shared" si="4"/>
        <v/>
      </c>
      <c r="AF9" t="str">
        <f t="shared" si="5"/>
        <v/>
      </c>
      <c r="AG9" t="str">
        <f t="shared" si="6"/>
        <v/>
      </c>
      <c r="AH9" t="str">
        <f t="shared" si="7"/>
        <v/>
      </c>
      <c r="AI9" t="str">
        <f t="shared" si="8"/>
        <v/>
      </c>
      <c r="AK9" t="str">
        <f t="shared" si="9"/>
        <v/>
      </c>
      <c r="AL9" t="str">
        <f t="shared" si="32"/>
        <v/>
      </c>
      <c r="AM9" t="str">
        <f t="shared" si="10"/>
        <v/>
      </c>
      <c r="AN9" t="str">
        <f t="shared" si="11"/>
        <v/>
      </c>
      <c r="AO9" t="str">
        <f t="shared" si="12"/>
        <v/>
      </c>
      <c r="AP9" t="str">
        <f t="shared" si="13"/>
        <v/>
      </c>
      <c r="AQ9" t="str">
        <f t="shared" si="14"/>
        <v/>
      </c>
      <c r="AR9" t="str">
        <f t="shared" si="15"/>
        <v/>
      </c>
      <c r="AS9" t="str">
        <f t="shared" si="16"/>
        <v/>
      </c>
      <c r="AT9" t="str">
        <f t="shared" si="17"/>
        <v/>
      </c>
      <c r="AU9" t="str">
        <f t="shared" si="18"/>
        <v/>
      </c>
      <c r="AV9" t="str">
        <f t="shared" si="19"/>
        <v/>
      </c>
      <c r="AW9" t="str">
        <f t="shared" si="20"/>
        <v/>
      </c>
      <c r="AX9" t="str">
        <f t="shared" si="21"/>
        <v/>
      </c>
      <c r="AY9" t="str">
        <f t="shared" si="22"/>
        <v/>
      </c>
      <c r="AZ9" t="str">
        <f t="shared" si="23"/>
        <v/>
      </c>
      <c r="BA9" t="str">
        <f t="shared" si="24"/>
        <v/>
      </c>
      <c r="BB9" t="str">
        <f t="shared" si="25"/>
        <v/>
      </c>
      <c r="BC9" t="str">
        <f t="shared" si="26"/>
        <v/>
      </c>
      <c r="BD9" t="str">
        <f t="shared" si="27"/>
        <v/>
      </c>
      <c r="BE9" t="str">
        <f t="shared" si="28"/>
        <v/>
      </c>
      <c r="BF9" t="str">
        <f t="shared" si="29"/>
        <v/>
      </c>
      <c r="BG9" t="str">
        <f t="shared" si="30"/>
        <v/>
      </c>
      <c r="BH9" t="str">
        <f t="shared" si="31"/>
        <v/>
      </c>
    </row>
    <row r="10" spans="1:66" x14ac:dyDescent="0.2">
      <c r="A10">
        <v>7</v>
      </c>
      <c r="B10">
        <v>67</v>
      </c>
      <c r="C10" t="s">
        <v>39</v>
      </c>
      <c r="K10">
        <v>3</v>
      </c>
      <c r="N10">
        <v>4</v>
      </c>
      <c r="O10">
        <v>4</v>
      </c>
      <c r="S10">
        <v>1</v>
      </c>
      <c r="U10">
        <v>7</v>
      </c>
      <c r="X10">
        <f t="shared" si="33"/>
        <v>0</v>
      </c>
      <c r="Z10" t="str">
        <f t="shared" si="0"/>
        <v/>
      </c>
      <c r="AA10" t="str">
        <f t="shared" si="1"/>
        <v/>
      </c>
      <c r="AB10" t="str">
        <f t="shared" si="2"/>
        <v/>
      </c>
      <c r="AC10" t="str">
        <f t="shared" si="3"/>
        <v/>
      </c>
      <c r="AE10" t="str">
        <f t="shared" si="4"/>
        <v>3</v>
      </c>
      <c r="AF10" t="str">
        <f t="shared" si="5"/>
        <v>4</v>
      </c>
      <c r="AG10" t="str">
        <f t="shared" si="6"/>
        <v/>
      </c>
      <c r="AH10" t="str">
        <f t="shared" si="7"/>
        <v/>
      </c>
      <c r="AI10" t="str">
        <f t="shared" si="8"/>
        <v/>
      </c>
      <c r="AK10" t="str">
        <f t="shared" si="9"/>
        <v>h1</v>
      </c>
      <c r="AL10" t="str">
        <f t="shared" si="32"/>
        <v>h2</v>
      </c>
      <c r="AM10" t="str">
        <f t="shared" si="10"/>
        <v/>
      </c>
      <c r="AN10" t="str">
        <f t="shared" si="11"/>
        <v/>
      </c>
      <c r="AO10" t="str">
        <f t="shared" si="12"/>
        <v/>
      </c>
      <c r="AP10" t="str">
        <f t="shared" si="13"/>
        <v/>
      </c>
      <c r="AQ10" t="str">
        <f t="shared" si="14"/>
        <v/>
      </c>
      <c r="AR10" t="str">
        <f t="shared" si="15"/>
        <v/>
      </c>
      <c r="AS10" t="str">
        <f t="shared" si="16"/>
        <v/>
      </c>
      <c r="AT10" t="str">
        <f t="shared" si="17"/>
        <v/>
      </c>
      <c r="AU10" t="str">
        <f t="shared" si="18"/>
        <v/>
      </c>
      <c r="AV10" t="str">
        <f t="shared" si="19"/>
        <v/>
      </c>
      <c r="AW10" t="str">
        <f t="shared" si="20"/>
        <v/>
      </c>
      <c r="AX10" t="str">
        <f t="shared" si="21"/>
        <v/>
      </c>
      <c r="AY10" t="str">
        <f t="shared" si="22"/>
        <v/>
      </c>
      <c r="AZ10" t="str">
        <f t="shared" si="23"/>
        <v/>
      </c>
      <c r="BA10" t="str">
        <f t="shared" si="24"/>
        <v/>
      </c>
      <c r="BB10" t="str">
        <f t="shared" si="25"/>
        <v/>
      </c>
      <c r="BC10" t="str">
        <f t="shared" si="26"/>
        <v/>
      </c>
      <c r="BD10" t="str">
        <f t="shared" si="27"/>
        <v/>
      </c>
      <c r="BE10" t="str">
        <f t="shared" si="28"/>
        <v/>
      </c>
      <c r="BF10" t="str">
        <f t="shared" si="29"/>
        <v/>
      </c>
      <c r="BG10" t="str">
        <f t="shared" si="30"/>
        <v/>
      </c>
      <c r="BH10" t="str">
        <f t="shared" si="31"/>
        <v/>
      </c>
    </row>
    <row r="11" spans="1:66" x14ac:dyDescent="0.2">
      <c r="A11">
        <v>8</v>
      </c>
      <c r="B11">
        <v>73</v>
      </c>
      <c r="C11" t="s">
        <v>207</v>
      </c>
      <c r="G11">
        <v>2</v>
      </c>
      <c r="K11">
        <v>2</v>
      </c>
      <c r="N11">
        <v>2</v>
      </c>
      <c r="O11">
        <v>2</v>
      </c>
      <c r="S11">
        <v>1</v>
      </c>
      <c r="T11">
        <v>1</v>
      </c>
      <c r="U11">
        <v>3</v>
      </c>
      <c r="X11">
        <f t="shared" si="33"/>
        <v>2</v>
      </c>
      <c r="Y11" t="s">
        <v>174</v>
      </c>
      <c r="Z11" t="str">
        <f t="shared" si="0"/>
        <v/>
      </c>
      <c r="AA11" t="str">
        <f t="shared" si="1"/>
        <v/>
      </c>
      <c r="AB11" t="str">
        <f t="shared" si="2"/>
        <v/>
      </c>
      <c r="AC11" t="str">
        <f t="shared" si="3"/>
        <v/>
      </c>
      <c r="AE11" t="str">
        <f t="shared" si="4"/>
        <v>5</v>
      </c>
      <c r="AF11" t="str">
        <f t="shared" si="5"/>
        <v/>
      </c>
      <c r="AG11" t="str">
        <f t="shared" si="6"/>
        <v/>
      </c>
      <c r="AH11" t="str">
        <f t="shared" si="7"/>
        <v/>
      </c>
      <c r="AI11" t="str">
        <f t="shared" si="8"/>
        <v/>
      </c>
      <c r="AK11" t="str">
        <f t="shared" si="9"/>
        <v>h1</v>
      </c>
      <c r="AL11" t="str">
        <f t="shared" si="32"/>
        <v/>
      </c>
      <c r="AM11" t="str">
        <f t="shared" si="10"/>
        <v/>
      </c>
      <c r="AN11" t="str">
        <f t="shared" si="11"/>
        <v/>
      </c>
      <c r="AO11" t="str">
        <f t="shared" si="12"/>
        <v/>
      </c>
      <c r="AP11" t="str">
        <f t="shared" si="13"/>
        <v/>
      </c>
      <c r="AQ11" t="str">
        <f t="shared" si="14"/>
        <v/>
      </c>
      <c r="AR11" t="str">
        <f t="shared" si="15"/>
        <v/>
      </c>
      <c r="AS11" t="str">
        <f t="shared" si="16"/>
        <v/>
      </c>
      <c r="AT11" t="str">
        <f t="shared" si="17"/>
        <v/>
      </c>
      <c r="AU11" t="str">
        <f t="shared" si="18"/>
        <v/>
      </c>
      <c r="AV11" t="str">
        <f t="shared" si="19"/>
        <v/>
      </c>
      <c r="AW11" t="str">
        <f t="shared" si="20"/>
        <v/>
      </c>
      <c r="AX11" t="str">
        <f t="shared" si="21"/>
        <v/>
      </c>
      <c r="AY11" t="str">
        <f t="shared" si="22"/>
        <v/>
      </c>
      <c r="AZ11" t="str">
        <f t="shared" si="23"/>
        <v/>
      </c>
      <c r="BA11" t="str">
        <f t="shared" si="24"/>
        <v/>
      </c>
      <c r="BB11" t="str">
        <f t="shared" si="25"/>
        <v/>
      </c>
      <c r="BC11" t="str">
        <f t="shared" si="26"/>
        <v/>
      </c>
      <c r="BD11" t="str">
        <f t="shared" si="27"/>
        <v/>
      </c>
      <c r="BE11" t="str">
        <f t="shared" si="28"/>
        <v/>
      </c>
      <c r="BF11" t="str">
        <f t="shared" si="29"/>
        <v/>
      </c>
      <c r="BG11" t="str">
        <f t="shared" si="30"/>
        <v/>
      </c>
      <c r="BH11" t="str">
        <f t="shared" si="31"/>
        <v/>
      </c>
    </row>
    <row r="12" spans="1:66" x14ac:dyDescent="0.2">
      <c r="A12">
        <v>9</v>
      </c>
      <c r="B12">
        <v>88</v>
      </c>
      <c r="C12" t="s">
        <v>39</v>
      </c>
      <c r="G12">
        <v>3</v>
      </c>
      <c r="J12" t="s">
        <v>312</v>
      </c>
      <c r="K12">
        <v>1</v>
      </c>
      <c r="N12">
        <v>1</v>
      </c>
      <c r="P12" t="s">
        <v>275</v>
      </c>
      <c r="R12">
        <v>2</v>
      </c>
      <c r="S12">
        <v>1</v>
      </c>
      <c r="T12">
        <v>1</v>
      </c>
      <c r="U12">
        <v>9</v>
      </c>
      <c r="X12">
        <f t="shared" si="33"/>
        <v>5</v>
      </c>
      <c r="Y12" t="s">
        <v>174</v>
      </c>
      <c r="Z12" t="str">
        <f t="shared" si="0"/>
        <v/>
      </c>
      <c r="AA12" t="str">
        <f t="shared" si="1"/>
        <v/>
      </c>
      <c r="AB12" t="str">
        <f t="shared" si="2"/>
        <v/>
      </c>
      <c r="AC12" t="str">
        <f t="shared" si="3"/>
        <v/>
      </c>
      <c r="AE12" t="str">
        <f t="shared" si="4"/>
        <v/>
      </c>
      <c r="AF12" t="str">
        <f t="shared" si="5"/>
        <v/>
      </c>
      <c r="AG12" t="str">
        <f t="shared" si="6"/>
        <v/>
      </c>
      <c r="AH12" t="str">
        <f t="shared" si="7"/>
        <v/>
      </c>
      <c r="AI12" t="str">
        <f t="shared" si="8"/>
        <v/>
      </c>
      <c r="AK12" t="str">
        <f t="shared" si="9"/>
        <v/>
      </c>
      <c r="AL12" t="str">
        <f t="shared" si="32"/>
        <v/>
      </c>
      <c r="AM12" t="str">
        <f t="shared" si="10"/>
        <v/>
      </c>
      <c r="AN12" t="str">
        <f t="shared" si="11"/>
        <v/>
      </c>
      <c r="AO12" t="str">
        <f t="shared" si="12"/>
        <v/>
      </c>
      <c r="AP12" t="str">
        <f t="shared" si="13"/>
        <v/>
      </c>
      <c r="AQ12" t="str">
        <f t="shared" si="14"/>
        <v/>
      </c>
      <c r="AR12" t="str">
        <f t="shared" si="15"/>
        <v/>
      </c>
      <c r="AS12" t="str">
        <f t="shared" si="16"/>
        <v/>
      </c>
      <c r="AT12" t="str">
        <f t="shared" si="17"/>
        <v/>
      </c>
      <c r="AU12" t="str">
        <f t="shared" si="18"/>
        <v/>
      </c>
      <c r="AV12" t="str">
        <f t="shared" si="19"/>
        <v/>
      </c>
      <c r="AW12" t="str">
        <f t="shared" si="20"/>
        <v/>
      </c>
      <c r="AX12" t="str">
        <f t="shared" si="21"/>
        <v/>
      </c>
      <c r="AY12" t="str">
        <f t="shared" si="22"/>
        <v/>
      </c>
      <c r="AZ12" t="str">
        <f t="shared" si="23"/>
        <v/>
      </c>
      <c r="BA12" t="str">
        <f t="shared" si="24"/>
        <v/>
      </c>
      <c r="BB12" t="str">
        <f t="shared" si="25"/>
        <v/>
      </c>
      <c r="BC12" t="str">
        <f t="shared" si="26"/>
        <v/>
      </c>
      <c r="BD12" t="str">
        <f t="shared" si="27"/>
        <v/>
      </c>
      <c r="BE12" t="str">
        <f t="shared" si="28"/>
        <v/>
      </c>
      <c r="BF12" t="str">
        <f t="shared" si="29"/>
        <v/>
      </c>
      <c r="BG12" t="str">
        <f t="shared" si="30"/>
        <v/>
      </c>
      <c r="BH12" t="str">
        <f t="shared" si="31"/>
        <v/>
      </c>
    </row>
    <row r="13" spans="1:66" x14ac:dyDescent="0.2">
      <c r="A13">
        <v>10</v>
      </c>
      <c r="B13">
        <v>99</v>
      </c>
      <c r="C13" t="s">
        <v>39</v>
      </c>
      <c r="G13">
        <v>4</v>
      </c>
      <c r="J13">
        <v>5</v>
      </c>
      <c r="K13">
        <v>1</v>
      </c>
      <c r="L13">
        <v>1</v>
      </c>
      <c r="N13">
        <v>1</v>
      </c>
      <c r="O13">
        <v>1</v>
      </c>
      <c r="P13" t="s">
        <v>209</v>
      </c>
      <c r="R13">
        <v>1</v>
      </c>
      <c r="S13">
        <v>1</v>
      </c>
      <c r="T13">
        <v>1</v>
      </c>
      <c r="U13">
        <v>25</v>
      </c>
      <c r="W13">
        <v>2</v>
      </c>
      <c r="X13">
        <f t="shared" si="33"/>
        <v>5</v>
      </c>
      <c r="Z13" t="str">
        <f t="shared" si="0"/>
        <v/>
      </c>
      <c r="AA13" t="str">
        <f t="shared" si="1"/>
        <v/>
      </c>
      <c r="AB13" t="str">
        <f t="shared" si="2"/>
        <v/>
      </c>
      <c r="AC13" t="str">
        <f t="shared" si="3"/>
        <v/>
      </c>
      <c r="AE13" t="str">
        <f t="shared" si="4"/>
        <v/>
      </c>
      <c r="AF13" t="str">
        <f t="shared" si="5"/>
        <v/>
      </c>
      <c r="AG13" t="str">
        <f t="shared" si="6"/>
        <v/>
      </c>
      <c r="AH13" t="str">
        <f t="shared" si="7"/>
        <v/>
      </c>
      <c r="AI13" t="str">
        <f t="shared" si="8"/>
        <v/>
      </c>
      <c r="AK13" t="str">
        <f t="shared" si="9"/>
        <v/>
      </c>
      <c r="AL13" t="str">
        <f t="shared" si="32"/>
        <v/>
      </c>
      <c r="AM13" t="str">
        <f t="shared" si="10"/>
        <v/>
      </c>
      <c r="AN13" t="str">
        <f t="shared" si="11"/>
        <v/>
      </c>
      <c r="AO13" t="str">
        <f t="shared" si="12"/>
        <v/>
      </c>
      <c r="AP13" t="str">
        <f t="shared" si="13"/>
        <v/>
      </c>
      <c r="AQ13" t="str">
        <f t="shared" si="14"/>
        <v/>
      </c>
      <c r="AR13" t="str">
        <f t="shared" si="15"/>
        <v/>
      </c>
      <c r="AS13" t="str">
        <f t="shared" si="16"/>
        <v/>
      </c>
      <c r="AT13" t="str">
        <f t="shared" si="17"/>
        <v/>
      </c>
      <c r="AU13" t="str">
        <f t="shared" si="18"/>
        <v/>
      </c>
      <c r="AV13" t="str">
        <f t="shared" si="19"/>
        <v/>
      </c>
      <c r="AW13" t="str">
        <f t="shared" si="20"/>
        <v/>
      </c>
      <c r="AX13" t="str">
        <f t="shared" si="21"/>
        <v/>
      </c>
      <c r="AY13" t="str">
        <f t="shared" si="22"/>
        <v/>
      </c>
      <c r="AZ13" t="str">
        <f t="shared" si="23"/>
        <v/>
      </c>
      <c r="BA13" t="str">
        <f t="shared" si="24"/>
        <v/>
      </c>
      <c r="BB13" t="str">
        <f t="shared" si="25"/>
        <v/>
      </c>
      <c r="BC13" t="str">
        <f t="shared" si="26"/>
        <v/>
      </c>
      <c r="BD13" t="str">
        <f t="shared" si="27"/>
        <v/>
      </c>
      <c r="BE13" t="str">
        <f t="shared" si="28"/>
        <v/>
      </c>
      <c r="BF13" t="str">
        <f t="shared" si="29"/>
        <v/>
      </c>
      <c r="BG13" t="str">
        <f t="shared" si="30"/>
        <v/>
      </c>
      <c r="BH13" t="str">
        <f t="shared" si="31"/>
        <v/>
      </c>
    </row>
    <row r="14" spans="1:66" x14ac:dyDescent="0.2">
      <c r="A14">
        <v>11</v>
      </c>
      <c r="B14">
        <v>107</v>
      </c>
      <c r="C14" t="s">
        <v>39</v>
      </c>
      <c r="D14">
        <v>1</v>
      </c>
      <c r="K14">
        <v>3</v>
      </c>
      <c r="N14">
        <v>4</v>
      </c>
      <c r="O14">
        <v>4</v>
      </c>
      <c r="S14">
        <v>1</v>
      </c>
      <c r="X14">
        <f t="shared" si="33"/>
        <v>0</v>
      </c>
      <c r="Z14" t="s">
        <v>31</v>
      </c>
      <c r="AE14" t="s">
        <v>34</v>
      </c>
      <c r="AK14" t="s">
        <v>43</v>
      </c>
      <c r="AP14" t="s">
        <v>84</v>
      </c>
    </row>
    <row r="15" spans="1:66" x14ac:dyDescent="0.2">
      <c r="A15">
        <v>12</v>
      </c>
      <c r="B15">
        <v>114</v>
      </c>
      <c r="C15" t="s">
        <v>39</v>
      </c>
      <c r="D15">
        <v>1</v>
      </c>
      <c r="E15">
        <v>1</v>
      </c>
      <c r="G15">
        <v>6</v>
      </c>
      <c r="K15">
        <v>2</v>
      </c>
      <c r="N15">
        <v>2</v>
      </c>
      <c r="O15">
        <v>2</v>
      </c>
      <c r="S15">
        <v>1</v>
      </c>
      <c r="T15">
        <v>1</v>
      </c>
      <c r="X15">
        <f t="shared" si="33"/>
        <v>6</v>
      </c>
      <c r="Z15" t="s">
        <v>21</v>
      </c>
      <c r="AA15" t="s">
        <v>22</v>
      </c>
      <c r="AE15" t="s">
        <v>21</v>
      </c>
      <c r="AF15" t="s">
        <v>22</v>
      </c>
      <c r="AG15" t="s">
        <v>35</v>
      </c>
      <c r="AK15" t="s">
        <v>10</v>
      </c>
      <c r="AL15" t="s">
        <v>25</v>
      </c>
      <c r="AM15" t="s">
        <v>26</v>
      </c>
      <c r="AN15" t="s">
        <v>27</v>
      </c>
      <c r="AP15" t="s">
        <v>15</v>
      </c>
      <c r="AQ15" t="s">
        <v>85</v>
      </c>
    </row>
    <row r="16" spans="1:66" x14ac:dyDescent="0.2">
      <c r="A16" t="s">
        <v>28</v>
      </c>
      <c r="D16">
        <f>SUM(D4:D15)</f>
        <v>4</v>
      </c>
      <c r="E16">
        <f>SUM(E4:E15)</f>
        <v>1</v>
      </c>
      <c r="F16">
        <f>SUM(F4:F15)</f>
        <v>1</v>
      </c>
      <c r="G16">
        <f>SUM(G4:G15)</f>
        <v>26</v>
      </c>
      <c r="H16">
        <f>SUM(H4:H15)</f>
        <v>0</v>
      </c>
      <c r="K16">
        <f>SUM(K4:K15)</f>
        <v>25</v>
      </c>
      <c r="L16">
        <f>SUM(L4:L15)</f>
        <v>2</v>
      </c>
      <c r="M16">
        <f>SUM(M4:M15)</f>
        <v>0</v>
      </c>
      <c r="N16">
        <f>SUM(N4:N15)</f>
        <v>31</v>
      </c>
      <c r="O16">
        <f>SUM(O4:O15)</f>
        <v>30</v>
      </c>
      <c r="Q16">
        <f t="shared" ref="Q16:R16" si="34">SUM(Q4:Q15)</f>
        <v>0</v>
      </c>
      <c r="R16">
        <f t="shared" si="34"/>
        <v>4</v>
      </c>
      <c r="S16">
        <f>SUM(S4:S15)</f>
        <v>11</v>
      </c>
      <c r="T16">
        <f>SUM(T4:T15)</f>
        <v>9</v>
      </c>
      <c r="U16">
        <f>SUM(U4:U15)</f>
        <v>59</v>
      </c>
      <c r="V16">
        <f>SUM(V4:V15)</f>
        <v>0</v>
      </c>
      <c r="W16">
        <f>SUM(W4:W15)</f>
        <v>7</v>
      </c>
      <c r="Z16">
        <f t="shared" ref="Z16:Z27" si="35">COUNTIF(Z2:AC2, "3")*COUNTIF(C4, "r")+COUNTIF(Z2:AC2, "5")*COUNTIF(C4, "b")</f>
        <v>0</v>
      </c>
      <c r="AA16">
        <f t="shared" ref="AA16:AA27" si="36">COUNTIF(Z2:AC2, "1")+COUNTIF(Z2:AC2, "2")+COUNTIF(Z2:AC2, "4")</f>
        <v>0</v>
      </c>
      <c r="AE16">
        <f t="shared" ref="AE16:AE27" si="37">COUNTIF(AE2:AI2, "3")*COUNTIF(C4, "r") + COUNTIF(AE2:AI2, "5")*COUNTIF(C4, "b")</f>
        <v>0</v>
      </c>
      <c r="AF16">
        <f t="shared" ref="AF16:AF27" si="38">COUNTIF(AE2:AI2, "1")+COUNTIF(AE2:AI2, "2")+COUNTIF(AE2:AI2, "4")</f>
        <v>0</v>
      </c>
      <c r="AG16">
        <f t="shared" ref="AG16:AG27" si="39">COUNTIF(AE2:AI2, "3")*COUNTIF(AE2:AI2, "b")+COUNTIF(AE2:AI2, "5")*COUNTIF(AE2:AI2, "r")</f>
        <v>0</v>
      </c>
      <c r="AK16">
        <f t="shared" ref="AK16:AK27" si="40">SUMPRODUCT(LEN($AK2:$BH2) - LEN(SUBSTITUTE($AK2:$BH2, "g", "")))</f>
        <v>1</v>
      </c>
      <c r="AL16">
        <f t="shared" ref="AL16:AL27" si="41">SUMPRODUCT(LEN($AK2:$BH2) - LEN(SUBSTITUTE($AK2:$BH2, "h", "")))</f>
        <v>0</v>
      </c>
      <c r="AM16">
        <f t="shared" ref="AM16:AM27" si="42">SUMPRODUCT(LEN($AK2:$BH2) - LEN(SUBSTITUTE($AK2:$BH2, "v", "")))</f>
        <v>0</v>
      </c>
      <c r="AN16">
        <f t="shared" ref="AN16:AN27" si="43">SUMPRODUCT(LEN($AK2:$BH2) - LEN(SUBSTITUTE($AK2:$BH2, "r", "")))</f>
        <v>0</v>
      </c>
      <c r="AP16">
        <f>MAX(AQ16:BN16)</f>
        <v>1</v>
      </c>
      <c r="AQ16" s="4">
        <f>_xlfn.NUMBERVALUE(RIGHT(AK2,1))</f>
        <v>1</v>
      </c>
      <c r="AR16" s="4">
        <f t="shared" ref="AR16:BG27" si="44">_xlfn.NUMBERVALUE(RIGHT(AL2,1))</f>
        <v>0</v>
      </c>
      <c r="AS16" s="4">
        <f t="shared" si="44"/>
        <v>0</v>
      </c>
      <c r="AT16" s="4">
        <f t="shared" si="44"/>
        <v>0</v>
      </c>
      <c r="AU16" s="4">
        <f t="shared" si="44"/>
        <v>0</v>
      </c>
      <c r="AV16" s="4">
        <f t="shared" si="44"/>
        <v>0</v>
      </c>
      <c r="AW16" s="4">
        <f t="shared" si="44"/>
        <v>0</v>
      </c>
      <c r="AX16" s="4">
        <f t="shared" si="44"/>
        <v>0</v>
      </c>
      <c r="AY16" s="4">
        <f t="shared" si="44"/>
        <v>0</v>
      </c>
      <c r="AZ16" s="4">
        <f t="shared" si="44"/>
        <v>0</v>
      </c>
      <c r="BA16" s="4">
        <f t="shared" si="44"/>
        <v>0</v>
      </c>
      <c r="BB16" s="4">
        <f t="shared" si="44"/>
        <v>0</v>
      </c>
      <c r="BC16" s="4">
        <f t="shared" si="44"/>
        <v>0</v>
      </c>
      <c r="BD16" s="4">
        <f t="shared" si="44"/>
        <v>0</v>
      </c>
      <c r="BE16" s="4">
        <f t="shared" si="44"/>
        <v>0</v>
      </c>
      <c r="BF16" s="4">
        <f t="shared" si="44"/>
        <v>0</v>
      </c>
      <c r="BG16" s="4">
        <f t="shared" si="44"/>
        <v>0</v>
      </c>
      <c r="BH16" s="4">
        <f t="shared" ref="BH16:BN27" si="45">_xlfn.NUMBERVALUE(RIGHT(BB2,1))</f>
        <v>0</v>
      </c>
      <c r="BI16" s="4">
        <f t="shared" si="45"/>
        <v>0</v>
      </c>
      <c r="BJ16" s="4">
        <f t="shared" si="45"/>
        <v>0</v>
      </c>
      <c r="BK16" s="4">
        <f t="shared" si="45"/>
        <v>0</v>
      </c>
      <c r="BL16" s="4">
        <f t="shared" si="45"/>
        <v>0</v>
      </c>
      <c r="BM16" s="4">
        <f t="shared" si="45"/>
        <v>0</v>
      </c>
      <c r="BN16" s="4">
        <f t="shared" si="45"/>
        <v>0</v>
      </c>
    </row>
    <row r="17" spans="1:66" x14ac:dyDescent="0.2">
      <c r="A17" s="1" t="s">
        <v>20</v>
      </c>
      <c r="D17" s="1" t="s">
        <v>49</v>
      </c>
      <c r="G17" s="1" t="s">
        <v>52</v>
      </c>
      <c r="K17" s="3" t="s">
        <v>74</v>
      </c>
      <c r="P17" s="1" t="s">
        <v>66</v>
      </c>
      <c r="Z17">
        <f t="shared" si="35"/>
        <v>0</v>
      </c>
      <c r="AA17">
        <f t="shared" si="36"/>
        <v>0</v>
      </c>
      <c r="AE17">
        <f t="shared" si="37"/>
        <v>0</v>
      </c>
      <c r="AF17">
        <f t="shared" si="38"/>
        <v>0</v>
      </c>
      <c r="AG17">
        <f t="shared" si="39"/>
        <v>0</v>
      </c>
      <c r="AK17">
        <f t="shared" si="40"/>
        <v>0</v>
      </c>
      <c r="AL17">
        <f t="shared" si="41"/>
        <v>0</v>
      </c>
      <c r="AM17">
        <f t="shared" si="42"/>
        <v>0</v>
      </c>
      <c r="AN17">
        <f t="shared" si="43"/>
        <v>0</v>
      </c>
      <c r="AP17">
        <f t="shared" ref="AP17:AP27" si="46">MAX(AQ17:BN17)</f>
        <v>0</v>
      </c>
      <c r="AQ17" s="4">
        <f t="shared" ref="AQ17:AQ27" si="47">_xlfn.NUMBERVALUE(RIGHT(AK3,1))</f>
        <v>0</v>
      </c>
      <c r="AR17" s="4">
        <f t="shared" si="44"/>
        <v>0</v>
      </c>
      <c r="AS17" s="4">
        <f t="shared" si="44"/>
        <v>0</v>
      </c>
      <c r="AT17" s="4">
        <f t="shared" si="44"/>
        <v>0</v>
      </c>
      <c r="AU17" s="4">
        <f t="shared" si="44"/>
        <v>0</v>
      </c>
      <c r="AV17" s="4">
        <f t="shared" si="44"/>
        <v>0</v>
      </c>
      <c r="AW17" s="4">
        <f t="shared" si="44"/>
        <v>0</v>
      </c>
      <c r="AX17" s="4">
        <f t="shared" si="44"/>
        <v>0</v>
      </c>
      <c r="AY17" s="4">
        <f t="shared" si="44"/>
        <v>0</v>
      </c>
      <c r="AZ17" s="4">
        <f t="shared" si="44"/>
        <v>0</v>
      </c>
      <c r="BA17" s="4">
        <f t="shared" si="44"/>
        <v>0</v>
      </c>
      <c r="BB17" s="4">
        <f t="shared" si="44"/>
        <v>0</v>
      </c>
      <c r="BC17" s="4">
        <f t="shared" si="44"/>
        <v>0</v>
      </c>
      <c r="BD17" s="4">
        <f t="shared" si="44"/>
        <v>0</v>
      </c>
      <c r="BE17" s="4">
        <f t="shared" si="44"/>
        <v>0</v>
      </c>
      <c r="BF17" s="4">
        <f t="shared" si="44"/>
        <v>0</v>
      </c>
      <c r="BG17" s="4">
        <f t="shared" si="44"/>
        <v>0</v>
      </c>
      <c r="BH17" s="4">
        <f t="shared" si="45"/>
        <v>0</v>
      </c>
      <c r="BI17" s="4">
        <f t="shared" si="45"/>
        <v>0</v>
      </c>
      <c r="BJ17" s="4">
        <f t="shared" si="45"/>
        <v>0</v>
      </c>
      <c r="BK17" s="4">
        <f t="shared" si="45"/>
        <v>0</v>
      </c>
      <c r="BL17" s="4">
        <f t="shared" si="45"/>
        <v>0</v>
      </c>
      <c r="BM17" s="4">
        <f t="shared" si="45"/>
        <v>0</v>
      </c>
      <c r="BN17" s="4">
        <f t="shared" si="45"/>
        <v>0</v>
      </c>
    </row>
    <row r="18" spans="1:66" x14ac:dyDescent="0.2">
      <c r="A18" t="s">
        <v>32</v>
      </c>
      <c r="B18" t="s">
        <v>21</v>
      </c>
      <c r="D18" t="s">
        <v>180</v>
      </c>
      <c r="G18" s="3" t="s">
        <v>53</v>
      </c>
      <c r="K18" t="s">
        <v>55</v>
      </c>
      <c r="M18" t="s">
        <v>65</v>
      </c>
      <c r="P18" t="s">
        <v>67</v>
      </c>
      <c r="Z18">
        <f t="shared" si="35"/>
        <v>0</v>
      </c>
      <c r="AA18">
        <f t="shared" si="36"/>
        <v>0</v>
      </c>
      <c r="AE18">
        <f t="shared" si="37"/>
        <v>0</v>
      </c>
      <c r="AF18">
        <f t="shared" si="38"/>
        <v>0</v>
      </c>
      <c r="AG18">
        <f t="shared" si="39"/>
        <v>0</v>
      </c>
      <c r="AK18">
        <f t="shared" si="40"/>
        <v>0</v>
      </c>
      <c r="AL18">
        <f t="shared" si="41"/>
        <v>0</v>
      </c>
      <c r="AM18">
        <f t="shared" si="42"/>
        <v>0</v>
      </c>
      <c r="AN18">
        <f t="shared" si="43"/>
        <v>0</v>
      </c>
      <c r="AP18">
        <f t="shared" si="46"/>
        <v>0</v>
      </c>
      <c r="AQ18" s="4">
        <f t="shared" si="47"/>
        <v>0</v>
      </c>
      <c r="AR18" s="4">
        <f t="shared" si="44"/>
        <v>0</v>
      </c>
      <c r="AS18" s="4">
        <f t="shared" si="44"/>
        <v>0</v>
      </c>
      <c r="AT18" s="4">
        <f t="shared" si="44"/>
        <v>0</v>
      </c>
      <c r="AU18" s="4">
        <f t="shared" si="44"/>
        <v>0</v>
      </c>
      <c r="AV18" s="4">
        <f t="shared" si="44"/>
        <v>0</v>
      </c>
      <c r="AW18" s="4">
        <f t="shared" si="44"/>
        <v>0</v>
      </c>
      <c r="AX18" s="4">
        <f t="shared" si="44"/>
        <v>0</v>
      </c>
      <c r="AY18" s="4">
        <f t="shared" si="44"/>
        <v>0</v>
      </c>
      <c r="AZ18" s="4">
        <f t="shared" si="44"/>
        <v>0</v>
      </c>
      <c r="BA18" s="4">
        <f t="shared" si="44"/>
        <v>0</v>
      </c>
      <c r="BB18" s="4">
        <f t="shared" si="44"/>
        <v>0</v>
      </c>
      <c r="BC18" s="4">
        <f t="shared" si="44"/>
        <v>0</v>
      </c>
      <c r="BD18" s="4">
        <f t="shared" si="44"/>
        <v>0</v>
      </c>
      <c r="BE18" s="4">
        <f t="shared" si="44"/>
        <v>0</v>
      </c>
      <c r="BF18" s="4">
        <f t="shared" si="44"/>
        <v>0</v>
      </c>
      <c r="BG18" s="4">
        <f t="shared" si="44"/>
        <v>0</v>
      </c>
      <c r="BH18" s="4">
        <f t="shared" si="45"/>
        <v>0</v>
      </c>
      <c r="BI18" s="4">
        <f t="shared" si="45"/>
        <v>0</v>
      </c>
      <c r="BJ18" s="4">
        <f t="shared" si="45"/>
        <v>0</v>
      </c>
      <c r="BK18" s="4">
        <f t="shared" si="45"/>
        <v>0</v>
      </c>
      <c r="BL18" s="4">
        <f t="shared" si="45"/>
        <v>0</v>
      </c>
      <c r="BM18" s="4">
        <f t="shared" si="45"/>
        <v>0</v>
      </c>
      <c r="BN18" s="4">
        <f t="shared" si="45"/>
        <v>0</v>
      </c>
    </row>
    <row r="19" spans="1:66" x14ac:dyDescent="0.2">
      <c r="A19" t="s">
        <v>40</v>
      </c>
      <c r="B19" t="s">
        <v>22</v>
      </c>
      <c r="D19">
        <f>E16/D16</f>
        <v>0.25</v>
      </c>
      <c r="G19" t="s">
        <v>75</v>
      </c>
      <c r="K19">
        <f>O16/N16</f>
        <v>0.967741935483871</v>
      </c>
      <c r="M19">
        <f>SUM(M39:M50)</f>
        <v>-5</v>
      </c>
      <c r="P19">
        <f>T16/S16</f>
        <v>0.81818181818181823</v>
      </c>
      <c r="Z19">
        <f t="shared" si="35"/>
        <v>0</v>
      </c>
      <c r="AA19">
        <f t="shared" si="36"/>
        <v>0</v>
      </c>
      <c r="AE19">
        <f t="shared" si="37"/>
        <v>0</v>
      </c>
      <c r="AF19">
        <f t="shared" si="38"/>
        <v>0</v>
      </c>
      <c r="AG19">
        <f t="shared" si="39"/>
        <v>0</v>
      </c>
      <c r="AK19">
        <f t="shared" si="40"/>
        <v>0</v>
      </c>
      <c r="AL19">
        <f t="shared" si="41"/>
        <v>0</v>
      </c>
      <c r="AM19">
        <f t="shared" si="42"/>
        <v>0</v>
      </c>
      <c r="AN19">
        <f t="shared" si="43"/>
        <v>0</v>
      </c>
      <c r="AP19">
        <f t="shared" si="46"/>
        <v>0</v>
      </c>
      <c r="AQ19" s="4">
        <f t="shared" si="47"/>
        <v>0</v>
      </c>
      <c r="AR19" s="4">
        <f t="shared" si="44"/>
        <v>0</v>
      </c>
      <c r="AS19" s="4">
        <f t="shared" si="44"/>
        <v>0</v>
      </c>
      <c r="AT19" s="4">
        <f t="shared" si="44"/>
        <v>0</v>
      </c>
      <c r="AU19" s="4">
        <f t="shared" si="44"/>
        <v>0</v>
      </c>
      <c r="AV19" s="4">
        <f t="shared" si="44"/>
        <v>0</v>
      </c>
      <c r="AW19" s="4">
        <f t="shared" si="44"/>
        <v>0</v>
      </c>
      <c r="AX19" s="4">
        <f t="shared" si="44"/>
        <v>0</v>
      </c>
      <c r="AY19" s="4">
        <f t="shared" si="44"/>
        <v>0</v>
      </c>
      <c r="AZ19" s="4">
        <f t="shared" si="44"/>
        <v>0</v>
      </c>
      <c r="BA19" s="4">
        <f t="shared" si="44"/>
        <v>0</v>
      </c>
      <c r="BB19" s="4">
        <f t="shared" si="44"/>
        <v>0</v>
      </c>
      <c r="BC19" s="4">
        <f t="shared" si="44"/>
        <v>0</v>
      </c>
      <c r="BD19" s="4">
        <f t="shared" si="44"/>
        <v>0</v>
      </c>
      <c r="BE19" s="4">
        <f t="shared" si="44"/>
        <v>0</v>
      </c>
      <c r="BF19" s="4">
        <f t="shared" si="44"/>
        <v>0</v>
      </c>
      <c r="BG19" s="4">
        <f t="shared" si="44"/>
        <v>0</v>
      </c>
      <c r="BH19" s="4">
        <f t="shared" si="45"/>
        <v>0</v>
      </c>
      <c r="BI19" s="4">
        <f t="shared" si="45"/>
        <v>0</v>
      </c>
      <c r="BJ19" s="4">
        <f t="shared" si="45"/>
        <v>0</v>
      </c>
      <c r="BK19" s="4">
        <f t="shared" si="45"/>
        <v>0</v>
      </c>
      <c r="BL19" s="4">
        <f t="shared" si="45"/>
        <v>0</v>
      </c>
      <c r="BM19" s="4">
        <f t="shared" si="45"/>
        <v>0</v>
      </c>
      <c r="BN19" s="4">
        <f t="shared" si="45"/>
        <v>0</v>
      </c>
    </row>
    <row r="20" spans="1:66" x14ac:dyDescent="0.2">
      <c r="A20" t="s">
        <v>41</v>
      </c>
      <c r="B20" t="s">
        <v>23</v>
      </c>
      <c r="D20" t="s">
        <v>47</v>
      </c>
      <c r="G20">
        <f>AK28/AP28</f>
        <v>0.25</v>
      </c>
      <c r="K20" t="s">
        <v>13</v>
      </c>
      <c r="Z20">
        <f t="shared" si="35"/>
        <v>0</v>
      </c>
      <c r="AA20">
        <f t="shared" si="36"/>
        <v>0</v>
      </c>
      <c r="AE20">
        <f t="shared" si="37"/>
        <v>0</v>
      </c>
      <c r="AF20">
        <f t="shared" si="38"/>
        <v>0</v>
      </c>
      <c r="AG20">
        <f t="shared" si="39"/>
        <v>0</v>
      </c>
      <c r="AK20">
        <f t="shared" si="40"/>
        <v>0</v>
      </c>
      <c r="AL20">
        <f t="shared" si="41"/>
        <v>0</v>
      </c>
      <c r="AM20">
        <f t="shared" si="42"/>
        <v>0</v>
      </c>
      <c r="AN20">
        <f t="shared" si="43"/>
        <v>0</v>
      </c>
      <c r="AP20">
        <f t="shared" si="46"/>
        <v>0</v>
      </c>
      <c r="AQ20" s="4">
        <f t="shared" si="47"/>
        <v>0</v>
      </c>
      <c r="AR20" s="4">
        <f t="shared" si="44"/>
        <v>0</v>
      </c>
      <c r="AS20" s="4">
        <f t="shared" si="44"/>
        <v>0</v>
      </c>
      <c r="AT20" s="4">
        <f t="shared" si="44"/>
        <v>0</v>
      </c>
      <c r="AU20" s="4">
        <f t="shared" si="44"/>
        <v>0</v>
      </c>
      <c r="AV20" s="4">
        <f t="shared" si="44"/>
        <v>0</v>
      </c>
      <c r="AW20" s="4">
        <f t="shared" si="44"/>
        <v>0</v>
      </c>
      <c r="AX20" s="4">
        <f t="shared" si="44"/>
        <v>0</v>
      </c>
      <c r="AY20" s="4">
        <f t="shared" si="44"/>
        <v>0</v>
      </c>
      <c r="AZ20" s="4">
        <f t="shared" si="44"/>
        <v>0</v>
      </c>
      <c r="BA20" s="4">
        <f t="shared" si="44"/>
        <v>0</v>
      </c>
      <c r="BB20" s="4">
        <f t="shared" si="44"/>
        <v>0</v>
      </c>
      <c r="BC20" s="4">
        <f t="shared" si="44"/>
        <v>0</v>
      </c>
      <c r="BD20" s="4">
        <f t="shared" si="44"/>
        <v>0</v>
      </c>
      <c r="BE20" s="4">
        <f t="shared" si="44"/>
        <v>0</v>
      </c>
      <c r="BF20" s="4">
        <f t="shared" si="44"/>
        <v>0</v>
      </c>
      <c r="BG20" s="4">
        <f t="shared" si="44"/>
        <v>0</v>
      </c>
      <c r="BH20" s="4">
        <f t="shared" si="45"/>
        <v>0</v>
      </c>
      <c r="BI20" s="4">
        <f t="shared" si="45"/>
        <v>0</v>
      </c>
      <c r="BJ20" s="4">
        <f t="shared" si="45"/>
        <v>0</v>
      </c>
      <c r="BK20" s="4">
        <f t="shared" si="45"/>
        <v>0</v>
      </c>
      <c r="BL20" s="4">
        <f t="shared" si="45"/>
        <v>0</v>
      </c>
      <c r="BM20" s="4">
        <f t="shared" si="45"/>
        <v>0</v>
      </c>
      <c r="BN20" s="4">
        <f t="shared" si="45"/>
        <v>0</v>
      </c>
    </row>
    <row r="21" spans="1:66" x14ac:dyDescent="0.2">
      <c r="A21" s="1" t="s">
        <v>24</v>
      </c>
      <c r="D21">
        <f>G16/A31</f>
        <v>2.1666666666666665</v>
      </c>
      <c r="G21" t="s">
        <v>76</v>
      </c>
      <c r="K21" t="s">
        <v>57</v>
      </c>
      <c r="L21" t="s">
        <v>58</v>
      </c>
      <c r="M21" t="s">
        <v>59</v>
      </c>
      <c r="N21" t="s">
        <v>60</v>
      </c>
      <c r="Z21">
        <f t="shared" si="35"/>
        <v>0</v>
      </c>
      <c r="AA21">
        <f t="shared" si="36"/>
        <v>0</v>
      </c>
      <c r="AE21">
        <f t="shared" si="37"/>
        <v>0</v>
      </c>
      <c r="AF21">
        <f t="shared" si="38"/>
        <v>0</v>
      </c>
      <c r="AG21">
        <f t="shared" si="39"/>
        <v>0</v>
      </c>
      <c r="AK21">
        <f t="shared" si="40"/>
        <v>0</v>
      </c>
      <c r="AL21">
        <f t="shared" si="41"/>
        <v>0</v>
      </c>
      <c r="AM21">
        <f t="shared" si="42"/>
        <v>0</v>
      </c>
      <c r="AN21">
        <f t="shared" si="43"/>
        <v>0</v>
      </c>
      <c r="AP21">
        <f t="shared" si="46"/>
        <v>0</v>
      </c>
      <c r="AQ21" s="4">
        <f t="shared" si="47"/>
        <v>0</v>
      </c>
      <c r="AR21" s="4">
        <f t="shared" si="44"/>
        <v>0</v>
      </c>
      <c r="AS21" s="4">
        <f t="shared" si="44"/>
        <v>0</v>
      </c>
      <c r="AT21" s="4">
        <f t="shared" si="44"/>
        <v>0</v>
      </c>
      <c r="AU21" s="4">
        <f t="shared" si="44"/>
        <v>0</v>
      </c>
      <c r="AV21" s="4">
        <f t="shared" si="44"/>
        <v>0</v>
      </c>
      <c r="AW21" s="4">
        <f t="shared" si="44"/>
        <v>0</v>
      </c>
      <c r="AX21" s="4">
        <f t="shared" si="44"/>
        <v>0</v>
      </c>
      <c r="AY21" s="4">
        <f t="shared" si="44"/>
        <v>0</v>
      </c>
      <c r="AZ21" s="4">
        <f t="shared" si="44"/>
        <v>0</v>
      </c>
      <c r="BA21" s="4">
        <f t="shared" si="44"/>
        <v>0</v>
      </c>
      <c r="BB21" s="4">
        <f t="shared" si="44"/>
        <v>0</v>
      </c>
      <c r="BC21" s="4">
        <f t="shared" si="44"/>
        <v>0</v>
      </c>
      <c r="BD21" s="4">
        <f t="shared" si="44"/>
        <v>0</v>
      </c>
      <c r="BE21" s="4">
        <f t="shared" si="44"/>
        <v>0</v>
      </c>
      <c r="BF21" s="4">
        <f t="shared" si="44"/>
        <v>0</v>
      </c>
      <c r="BG21" s="4">
        <f t="shared" si="44"/>
        <v>0</v>
      </c>
      <c r="BH21" s="4">
        <f t="shared" si="45"/>
        <v>0</v>
      </c>
      <c r="BI21" s="4">
        <f t="shared" si="45"/>
        <v>0</v>
      </c>
      <c r="BJ21" s="4">
        <f t="shared" si="45"/>
        <v>0</v>
      </c>
      <c r="BK21" s="4">
        <f t="shared" si="45"/>
        <v>0</v>
      </c>
      <c r="BL21" s="4">
        <f t="shared" si="45"/>
        <v>0</v>
      </c>
      <c r="BM21" s="4">
        <f t="shared" si="45"/>
        <v>0</v>
      </c>
      <c r="BN21" s="4">
        <f t="shared" si="45"/>
        <v>0</v>
      </c>
    </row>
    <row r="22" spans="1:66" x14ac:dyDescent="0.2">
      <c r="A22" t="s">
        <v>36</v>
      </c>
      <c r="B22" t="s">
        <v>10</v>
      </c>
      <c r="D22" t="s">
        <v>48</v>
      </c>
      <c r="G22">
        <f>AL28/AP28</f>
        <v>0.75</v>
      </c>
      <c r="K22">
        <f>AVERAGE(C39:C50)</f>
        <v>2.5</v>
      </c>
      <c r="L22">
        <f>MEDIAN(C39:C50)</f>
        <v>2.5</v>
      </c>
      <c r="M22">
        <f>MAX(C39:C50)</f>
        <v>4</v>
      </c>
      <c r="N22">
        <f>_xlfn.STDEV.S(C39:C50)</f>
        <v>1.243163121016122</v>
      </c>
      <c r="Z22">
        <f t="shared" si="35"/>
        <v>0</v>
      </c>
      <c r="AA22">
        <f t="shared" si="36"/>
        <v>0</v>
      </c>
      <c r="AE22">
        <f t="shared" si="37"/>
        <v>0</v>
      </c>
      <c r="AF22">
        <f t="shared" si="38"/>
        <v>0</v>
      </c>
      <c r="AG22">
        <f t="shared" si="39"/>
        <v>0</v>
      </c>
      <c r="AK22">
        <f t="shared" si="40"/>
        <v>0</v>
      </c>
      <c r="AL22">
        <f t="shared" si="41"/>
        <v>0</v>
      </c>
      <c r="AM22">
        <f t="shared" si="42"/>
        <v>0</v>
      </c>
      <c r="AN22">
        <f t="shared" si="43"/>
        <v>0</v>
      </c>
      <c r="AP22">
        <f t="shared" si="46"/>
        <v>0</v>
      </c>
      <c r="AQ22" s="4">
        <f t="shared" si="47"/>
        <v>0</v>
      </c>
      <c r="AR22" s="4">
        <f t="shared" si="44"/>
        <v>0</v>
      </c>
      <c r="AS22" s="4">
        <f t="shared" si="44"/>
        <v>0</v>
      </c>
      <c r="AT22" s="4">
        <f t="shared" si="44"/>
        <v>0</v>
      </c>
      <c r="AU22" s="4">
        <f t="shared" si="44"/>
        <v>0</v>
      </c>
      <c r="AV22" s="4">
        <f t="shared" si="44"/>
        <v>0</v>
      </c>
      <c r="AW22" s="4">
        <f t="shared" si="44"/>
        <v>0</v>
      </c>
      <c r="AX22" s="4">
        <f t="shared" si="44"/>
        <v>0</v>
      </c>
      <c r="AY22" s="4">
        <f t="shared" si="44"/>
        <v>0</v>
      </c>
      <c r="AZ22" s="4">
        <f t="shared" si="44"/>
        <v>0</v>
      </c>
      <c r="BA22" s="4">
        <f t="shared" si="44"/>
        <v>0</v>
      </c>
      <c r="BB22" s="4">
        <f t="shared" si="44"/>
        <v>0</v>
      </c>
      <c r="BC22" s="4">
        <f t="shared" si="44"/>
        <v>0</v>
      </c>
      <c r="BD22" s="4">
        <f t="shared" si="44"/>
        <v>0</v>
      </c>
      <c r="BE22" s="4">
        <f t="shared" si="44"/>
        <v>0</v>
      </c>
      <c r="BF22" s="4">
        <f t="shared" si="44"/>
        <v>0</v>
      </c>
      <c r="BG22" s="4">
        <f t="shared" si="44"/>
        <v>0</v>
      </c>
      <c r="BH22" s="4">
        <f t="shared" si="45"/>
        <v>0</v>
      </c>
      <c r="BI22" s="4">
        <f t="shared" si="45"/>
        <v>0</v>
      </c>
      <c r="BJ22" s="4">
        <f t="shared" si="45"/>
        <v>0</v>
      </c>
      <c r="BK22" s="4">
        <f t="shared" si="45"/>
        <v>0</v>
      </c>
      <c r="BL22" s="4">
        <f t="shared" si="45"/>
        <v>0</v>
      </c>
      <c r="BM22" s="4">
        <f t="shared" si="45"/>
        <v>0</v>
      </c>
      <c r="BN22" s="4">
        <f t="shared" si="45"/>
        <v>0</v>
      </c>
    </row>
    <row r="23" spans="1:66" x14ac:dyDescent="0.2">
      <c r="A23" t="s">
        <v>37</v>
      </c>
      <c r="B23" t="s">
        <v>25</v>
      </c>
      <c r="D23">
        <f>H16/A31</f>
        <v>0</v>
      </c>
      <c r="G23" t="s">
        <v>77</v>
      </c>
      <c r="K23" t="s">
        <v>8</v>
      </c>
      <c r="Z23">
        <f t="shared" si="35"/>
        <v>0</v>
      </c>
      <c r="AA23">
        <f t="shared" si="36"/>
        <v>0</v>
      </c>
      <c r="AE23">
        <f t="shared" si="37"/>
        <v>0</v>
      </c>
      <c r="AF23">
        <f t="shared" si="38"/>
        <v>0</v>
      </c>
      <c r="AG23">
        <f t="shared" si="39"/>
        <v>0</v>
      </c>
      <c r="AK23">
        <f t="shared" si="40"/>
        <v>0</v>
      </c>
      <c r="AL23">
        <f t="shared" si="41"/>
        <v>0</v>
      </c>
      <c r="AM23">
        <f t="shared" si="42"/>
        <v>0</v>
      </c>
      <c r="AN23">
        <f t="shared" si="43"/>
        <v>0</v>
      </c>
      <c r="AP23">
        <f t="shared" si="46"/>
        <v>0</v>
      </c>
      <c r="AQ23" s="4">
        <f t="shared" si="47"/>
        <v>0</v>
      </c>
      <c r="AR23" s="4">
        <f t="shared" si="44"/>
        <v>0</v>
      </c>
      <c r="AS23" s="4">
        <f t="shared" si="44"/>
        <v>0</v>
      </c>
      <c r="AT23" s="4">
        <f t="shared" si="44"/>
        <v>0</v>
      </c>
      <c r="AU23" s="4">
        <f t="shared" si="44"/>
        <v>0</v>
      </c>
      <c r="AV23" s="4">
        <f t="shared" si="44"/>
        <v>0</v>
      </c>
      <c r="AW23" s="4">
        <f t="shared" si="44"/>
        <v>0</v>
      </c>
      <c r="AX23" s="4">
        <f t="shared" si="44"/>
        <v>0</v>
      </c>
      <c r="AY23" s="4">
        <f t="shared" si="44"/>
        <v>0</v>
      </c>
      <c r="AZ23" s="4">
        <f t="shared" si="44"/>
        <v>0</v>
      </c>
      <c r="BA23" s="4">
        <f t="shared" si="44"/>
        <v>0</v>
      </c>
      <c r="BB23" s="4">
        <f t="shared" si="44"/>
        <v>0</v>
      </c>
      <c r="BC23" s="4">
        <f t="shared" si="44"/>
        <v>0</v>
      </c>
      <c r="BD23" s="4">
        <f t="shared" si="44"/>
        <v>0</v>
      </c>
      <c r="BE23" s="4">
        <f t="shared" si="44"/>
        <v>0</v>
      </c>
      <c r="BF23" s="4">
        <f t="shared" si="44"/>
        <v>0</v>
      </c>
      <c r="BG23" s="4">
        <f t="shared" si="44"/>
        <v>0</v>
      </c>
      <c r="BH23" s="4">
        <f t="shared" si="45"/>
        <v>0</v>
      </c>
      <c r="BI23" s="4">
        <f t="shared" si="45"/>
        <v>0</v>
      </c>
      <c r="BJ23" s="4">
        <f t="shared" si="45"/>
        <v>0</v>
      </c>
      <c r="BK23" s="4">
        <f t="shared" si="45"/>
        <v>0</v>
      </c>
      <c r="BL23" s="4">
        <f t="shared" si="45"/>
        <v>0</v>
      </c>
      <c r="BM23" s="4">
        <f t="shared" si="45"/>
        <v>0</v>
      </c>
      <c r="BN23" s="4">
        <f t="shared" si="45"/>
        <v>0</v>
      </c>
    </row>
    <row r="24" spans="1:66" x14ac:dyDescent="0.2">
      <c r="A24" t="s">
        <v>38</v>
      </c>
      <c r="B24" t="s">
        <v>26</v>
      </c>
      <c r="D24" t="s">
        <v>50</v>
      </c>
      <c r="G24">
        <f>AM28/AP28</f>
        <v>0</v>
      </c>
      <c r="K24" t="s">
        <v>57</v>
      </c>
      <c r="L24" t="s">
        <v>61</v>
      </c>
      <c r="M24" t="s">
        <v>59</v>
      </c>
      <c r="N24" t="s">
        <v>60</v>
      </c>
      <c r="Z24">
        <f t="shared" si="35"/>
        <v>0</v>
      </c>
      <c r="AA24">
        <f t="shared" si="36"/>
        <v>0</v>
      </c>
      <c r="AE24">
        <f t="shared" si="37"/>
        <v>1</v>
      </c>
      <c r="AF24">
        <f t="shared" si="38"/>
        <v>1</v>
      </c>
      <c r="AG24">
        <f t="shared" si="39"/>
        <v>0</v>
      </c>
      <c r="AK24">
        <f t="shared" si="40"/>
        <v>0</v>
      </c>
      <c r="AL24">
        <f t="shared" si="41"/>
        <v>2</v>
      </c>
      <c r="AM24">
        <f t="shared" si="42"/>
        <v>0</v>
      </c>
      <c r="AN24">
        <f t="shared" si="43"/>
        <v>0</v>
      </c>
      <c r="AP24">
        <f t="shared" si="46"/>
        <v>2</v>
      </c>
      <c r="AQ24" s="4">
        <f t="shared" si="47"/>
        <v>1</v>
      </c>
      <c r="AR24" s="4">
        <f t="shared" si="44"/>
        <v>2</v>
      </c>
      <c r="AS24" s="4">
        <f t="shared" si="44"/>
        <v>0</v>
      </c>
      <c r="AT24" s="4">
        <f t="shared" si="44"/>
        <v>0</v>
      </c>
      <c r="AU24" s="4">
        <f t="shared" si="44"/>
        <v>0</v>
      </c>
      <c r="AV24" s="4">
        <f t="shared" si="44"/>
        <v>0</v>
      </c>
      <c r="AW24" s="4">
        <f t="shared" si="44"/>
        <v>0</v>
      </c>
      <c r="AX24" s="4">
        <f t="shared" si="44"/>
        <v>0</v>
      </c>
      <c r="AY24" s="4">
        <f t="shared" si="44"/>
        <v>0</v>
      </c>
      <c r="AZ24" s="4">
        <f t="shared" si="44"/>
        <v>0</v>
      </c>
      <c r="BA24" s="4">
        <f t="shared" si="44"/>
        <v>0</v>
      </c>
      <c r="BB24" s="4">
        <f t="shared" si="44"/>
        <v>0</v>
      </c>
      <c r="BC24" s="4">
        <f t="shared" si="44"/>
        <v>0</v>
      </c>
      <c r="BD24" s="4">
        <f t="shared" si="44"/>
        <v>0</v>
      </c>
      <c r="BE24" s="4">
        <f t="shared" si="44"/>
        <v>0</v>
      </c>
      <c r="BF24" s="4">
        <f t="shared" si="44"/>
        <v>0</v>
      </c>
      <c r="BG24" s="4">
        <f t="shared" si="44"/>
        <v>0</v>
      </c>
      <c r="BH24" s="4">
        <f t="shared" si="45"/>
        <v>0</v>
      </c>
      <c r="BI24" s="4">
        <f t="shared" si="45"/>
        <v>0</v>
      </c>
      <c r="BJ24" s="4">
        <f t="shared" si="45"/>
        <v>0</v>
      </c>
      <c r="BK24" s="4">
        <f t="shared" si="45"/>
        <v>0</v>
      </c>
      <c r="BL24" s="4">
        <f t="shared" si="45"/>
        <v>0</v>
      </c>
      <c r="BM24" s="4">
        <f t="shared" si="45"/>
        <v>0</v>
      </c>
      <c r="BN24" s="4">
        <f t="shared" si="45"/>
        <v>0</v>
      </c>
    </row>
    <row r="25" spans="1:66" x14ac:dyDescent="0.2">
      <c r="A25" t="s">
        <v>39</v>
      </c>
      <c r="B25" t="s">
        <v>27</v>
      </c>
      <c r="D25">
        <f>Z28/A31</f>
        <v>0</v>
      </c>
      <c r="G25" t="s">
        <v>78</v>
      </c>
      <c r="K25">
        <f>AVERAGE(E39:E50)</f>
        <v>0</v>
      </c>
      <c r="L25">
        <f>MEDIAN(E39:E50)</f>
        <v>0</v>
      </c>
      <c r="M25">
        <f>MAX(E39:E50)</f>
        <v>0</v>
      </c>
      <c r="N25">
        <f>_xlfn.STDEV.S(E39:E50)</f>
        <v>0</v>
      </c>
      <c r="Z25">
        <f t="shared" si="35"/>
        <v>0</v>
      </c>
      <c r="AA25">
        <f t="shared" si="36"/>
        <v>0</v>
      </c>
      <c r="AE25">
        <f t="shared" si="37"/>
        <v>0</v>
      </c>
      <c r="AF25">
        <f t="shared" si="38"/>
        <v>0</v>
      </c>
      <c r="AG25">
        <f t="shared" si="39"/>
        <v>0</v>
      </c>
      <c r="AK25">
        <f t="shared" si="40"/>
        <v>0</v>
      </c>
      <c r="AL25">
        <f t="shared" si="41"/>
        <v>1</v>
      </c>
      <c r="AM25">
        <f t="shared" si="42"/>
        <v>0</v>
      </c>
      <c r="AN25">
        <f t="shared" si="43"/>
        <v>0</v>
      </c>
      <c r="AP25">
        <f t="shared" si="46"/>
        <v>1</v>
      </c>
      <c r="AQ25" s="4">
        <f t="shared" si="47"/>
        <v>1</v>
      </c>
      <c r="AR25" s="4">
        <f t="shared" si="44"/>
        <v>0</v>
      </c>
      <c r="AS25" s="4">
        <f t="shared" si="44"/>
        <v>0</v>
      </c>
      <c r="AT25" s="4">
        <f t="shared" si="44"/>
        <v>0</v>
      </c>
      <c r="AU25" s="4">
        <f t="shared" si="44"/>
        <v>0</v>
      </c>
      <c r="AV25" s="4">
        <f t="shared" si="44"/>
        <v>0</v>
      </c>
      <c r="AW25" s="4">
        <f t="shared" si="44"/>
        <v>0</v>
      </c>
      <c r="AX25" s="4">
        <f t="shared" si="44"/>
        <v>0</v>
      </c>
      <c r="AY25" s="4">
        <f t="shared" si="44"/>
        <v>0</v>
      </c>
      <c r="AZ25" s="4">
        <f t="shared" si="44"/>
        <v>0</v>
      </c>
      <c r="BA25" s="4">
        <f t="shared" si="44"/>
        <v>0</v>
      </c>
      <c r="BB25" s="4">
        <f t="shared" si="44"/>
        <v>0</v>
      </c>
      <c r="BC25" s="4">
        <f t="shared" si="44"/>
        <v>0</v>
      </c>
      <c r="BD25" s="4">
        <f t="shared" si="44"/>
        <v>0</v>
      </c>
      <c r="BE25" s="4">
        <f t="shared" si="44"/>
        <v>0</v>
      </c>
      <c r="BF25" s="4">
        <f t="shared" si="44"/>
        <v>0</v>
      </c>
      <c r="BG25" s="4">
        <f t="shared" si="44"/>
        <v>0</v>
      </c>
      <c r="BH25" s="4">
        <f t="shared" si="45"/>
        <v>0</v>
      </c>
      <c r="BI25" s="4">
        <f t="shared" si="45"/>
        <v>0</v>
      </c>
      <c r="BJ25" s="4">
        <f t="shared" si="45"/>
        <v>0</v>
      </c>
      <c r="BK25" s="4">
        <f t="shared" si="45"/>
        <v>0</v>
      </c>
      <c r="BL25" s="4">
        <f t="shared" si="45"/>
        <v>0</v>
      </c>
      <c r="BM25" s="4">
        <f t="shared" si="45"/>
        <v>0</v>
      </c>
      <c r="BN25" s="4">
        <f t="shared" si="45"/>
        <v>0</v>
      </c>
    </row>
    <row r="26" spans="1:66" x14ac:dyDescent="0.2">
      <c r="A26" t="s">
        <v>44</v>
      </c>
      <c r="D26" t="s">
        <v>51</v>
      </c>
      <c r="G26">
        <f>AN28/AP28</f>
        <v>0</v>
      </c>
      <c r="K26" t="s">
        <v>62</v>
      </c>
      <c r="P26" t="s">
        <v>19</v>
      </c>
      <c r="Z26">
        <f t="shared" si="35"/>
        <v>0</v>
      </c>
      <c r="AA26">
        <f t="shared" si="36"/>
        <v>0</v>
      </c>
      <c r="AE26">
        <f t="shared" si="37"/>
        <v>0</v>
      </c>
      <c r="AF26">
        <f t="shared" si="38"/>
        <v>0</v>
      </c>
      <c r="AG26">
        <f t="shared" si="39"/>
        <v>0</v>
      </c>
      <c r="AK26">
        <f t="shared" si="40"/>
        <v>0</v>
      </c>
      <c r="AL26">
        <f t="shared" si="41"/>
        <v>0</v>
      </c>
      <c r="AM26">
        <f t="shared" si="42"/>
        <v>0</v>
      </c>
      <c r="AN26">
        <f t="shared" si="43"/>
        <v>0</v>
      </c>
      <c r="AP26">
        <f t="shared" si="46"/>
        <v>0</v>
      </c>
      <c r="AQ26" s="4">
        <f t="shared" si="47"/>
        <v>0</v>
      </c>
      <c r="AR26" s="4">
        <f t="shared" si="44"/>
        <v>0</v>
      </c>
      <c r="AS26" s="4">
        <f t="shared" si="44"/>
        <v>0</v>
      </c>
      <c r="AT26" s="4">
        <f t="shared" si="44"/>
        <v>0</v>
      </c>
      <c r="AU26" s="4">
        <f t="shared" si="44"/>
        <v>0</v>
      </c>
      <c r="AV26" s="4">
        <f t="shared" si="44"/>
        <v>0</v>
      </c>
      <c r="AW26" s="4">
        <f t="shared" si="44"/>
        <v>0</v>
      </c>
      <c r="AX26" s="4">
        <f t="shared" si="44"/>
        <v>0</v>
      </c>
      <c r="AY26" s="4">
        <f t="shared" si="44"/>
        <v>0</v>
      </c>
      <c r="AZ26" s="4">
        <f t="shared" si="44"/>
        <v>0</v>
      </c>
      <c r="BA26" s="4">
        <f t="shared" si="44"/>
        <v>0</v>
      </c>
      <c r="BB26" s="4">
        <f t="shared" si="44"/>
        <v>0</v>
      </c>
      <c r="BC26" s="4">
        <f t="shared" si="44"/>
        <v>0</v>
      </c>
      <c r="BD26" s="4">
        <f t="shared" si="44"/>
        <v>0</v>
      </c>
      <c r="BE26" s="4">
        <f t="shared" si="44"/>
        <v>0</v>
      </c>
      <c r="BF26" s="4">
        <f t="shared" si="44"/>
        <v>0</v>
      </c>
      <c r="BG26" s="4">
        <f t="shared" si="44"/>
        <v>0</v>
      </c>
      <c r="BH26" s="4">
        <f t="shared" si="45"/>
        <v>0</v>
      </c>
      <c r="BI26" s="4">
        <f t="shared" si="45"/>
        <v>0</v>
      </c>
      <c r="BJ26" s="4">
        <f t="shared" si="45"/>
        <v>0</v>
      </c>
      <c r="BK26" s="4">
        <f t="shared" si="45"/>
        <v>0</v>
      </c>
      <c r="BL26" s="4">
        <f t="shared" si="45"/>
        <v>0</v>
      </c>
      <c r="BM26" s="4">
        <f t="shared" si="45"/>
        <v>0</v>
      </c>
      <c r="BN26" s="4">
        <f t="shared" si="45"/>
        <v>0</v>
      </c>
    </row>
    <row r="27" spans="1:66" x14ac:dyDescent="0.2">
      <c r="A27" t="s">
        <v>45</v>
      </c>
      <c r="D27">
        <f>AA28/A31</f>
        <v>0</v>
      </c>
      <c r="G27" t="s">
        <v>56</v>
      </c>
      <c r="K27" t="s">
        <v>57</v>
      </c>
      <c r="L27" t="s">
        <v>58</v>
      </c>
      <c r="M27" t="s">
        <v>59</v>
      </c>
      <c r="N27" t="s">
        <v>60</v>
      </c>
      <c r="P27" t="s">
        <v>57</v>
      </c>
      <c r="Q27" t="s">
        <v>58</v>
      </c>
      <c r="R27" t="s">
        <v>59</v>
      </c>
      <c r="S27" t="s">
        <v>60</v>
      </c>
      <c r="Z27">
        <f t="shared" si="35"/>
        <v>0</v>
      </c>
      <c r="AA27">
        <f t="shared" si="36"/>
        <v>0</v>
      </c>
      <c r="AE27">
        <f t="shared" si="37"/>
        <v>0</v>
      </c>
      <c r="AF27">
        <f t="shared" si="38"/>
        <v>0</v>
      </c>
      <c r="AG27">
        <f t="shared" si="39"/>
        <v>0</v>
      </c>
      <c r="AK27">
        <f t="shared" si="40"/>
        <v>0</v>
      </c>
      <c r="AL27">
        <f t="shared" si="41"/>
        <v>0</v>
      </c>
      <c r="AM27">
        <f t="shared" si="42"/>
        <v>0</v>
      </c>
      <c r="AN27">
        <f t="shared" si="43"/>
        <v>0</v>
      </c>
      <c r="AP27">
        <f t="shared" si="46"/>
        <v>0</v>
      </c>
      <c r="AQ27" s="4">
        <f t="shared" si="47"/>
        <v>0</v>
      </c>
      <c r="AR27" s="4">
        <f t="shared" si="44"/>
        <v>0</v>
      </c>
      <c r="AS27" s="4">
        <f t="shared" si="44"/>
        <v>0</v>
      </c>
      <c r="AT27" s="4">
        <f t="shared" si="44"/>
        <v>0</v>
      </c>
      <c r="AU27" s="4">
        <f t="shared" si="44"/>
        <v>0</v>
      </c>
      <c r="AV27" s="4">
        <f t="shared" si="44"/>
        <v>0</v>
      </c>
      <c r="AW27" s="4">
        <f t="shared" si="44"/>
        <v>0</v>
      </c>
      <c r="AX27" s="4">
        <f t="shared" si="44"/>
        <v>0</v>
      </c>
      <c r="AY27" s="4">
        <f t="shared" si="44"/>
        <v>0</v>
      </c>
      <c r="AZ27" s="4">
        <f t="shared" si="44"/>
        <v>0</v>
      </c>
      <c r="BA27" s="4">
        <f t="shared" si="44"/>
        <v>0</v>
      </c>
      <c r="BB27" s="4">
        <f t="shared" si="44"/>
        <v>0</v>
      </c>
      <c r="BC27" s="4">
        <f t="shared" si="44"/>
        <v>0</v>
      </c>
      <c r="BD27" s="4">
        <f t="shared" si="44"/>
        <v>0</v>
      </c>
      <c r="BE27" s="4">
        <f t="shared" si="44"/>
        <v>0</v>
      </c>
      <c r="BF27" s="4">
        <f t="shared" si="44"/>
        <v>0</v>
      </c>
      <c r="BG27" s="4">
        <f t="shared" si="44"/>
        <v>0</v>
      </c>
      <c r="BH27" s="4">
        <f t="shared" si="45"/>
        <v>0</v>
      </c>
      <c r="BI27" s="4">
        <f t="shared" si="45"/>
        <v>0</v>
      </c>
      <c r="BJ27" s="4">
        <f t="shared" si="45"/>
        <v>0</v>
      </c>
      <c r="BK27" s="4">
        <f t="shared" si="45"/>
        <v>0</v>
      </c>
      <c r="BL27" s="4">
        <f t="shared" si="45"/>
        <v>0</v>
      </c>
      <c r="BM27" s="4">
        <f t="shared" si="45"/>
        <v>0</v>
      </c>
      <c r="BN27" s="4">
        <f t="shared" si="45"/>
        <v>0</v>
      </c>
    </row>
    <row r="28" spans="1:66" x14ac:dyDescent="0.2">
      <c r="A28" t="s">
        <v>46</v>
      </c>
      <c r="D28" t="s">
        <v>202</v>
      </c>
      <c r="G28" t="s">
        <v>57</v>
      </c>
      <c r="H28" t="s">
        <v>58</v>
      </c>
      <c r="I28" t="s">
        <v>59</v>
      </c>
      <c r="J28" t="s">
        <v>60</v>
      </c>
      <c r="K28">
        <f>AVERAGE(G39:G50)</f>
        <v>0.33333333333333331</v>
      </c>
      <c r="L28">
        <f>MEDIAN(G39:G50)</f>
        <v>0</v>
      </c>
      <c r="M28">
        <f>MAX(G39:G50)</f>
        <v>2</v>
      </c>
      <c r="N28">
        <f>_xlfn.STDEV.S(G39:G50)</f>
        <v>0.6513389472789296</v>
      </c>
      <c r="P28">
        <f>AVERAGE(N39:N50)</f>
        <v>4.916666666666667</v>
      </c>
      <c r="Q28">
        <f>MEDIAN(N39:N50)</f>
        <v>2</v>
      </c>
      <c r="R28">
        <f>MAX(N39:N50)</f>
        <v>25</v>
      </c>
      <c r="S28">
        <f>_xlfn.STDEV.S(N39:N50)</f>
        <v>7.3293722084293806</v>
      </c>
      <c r="Y28" t="s">
        <v>33</v>
      </c>
      <c r="Z28">
        <f>SUM(Z16:Z27)</f>
        <v>0</v>
      </c>
      <c r="AA28">
        <f>SUM(AA16:AA27)</f>
        <v>0</v>
      </c>
      <c r="AE28">
        <f>SUM(AE16:AE27)</f>
        <v>1</v>
      </c>
      <c r="AF28">
        <f>SUM(AF16:AF27)</f>
        <v>1</v>
      </c>
      <c r="AG28">
        <f>SUM(AG16:AG27)</f>
        <v>0</v>
      </c>
      <c r="AK28">
        <f>SUM(AK16:AK27)</f>
        <v>1</v>
      </c>
      <c r="AL28">
        <f>SUM(AL16:AL27)</f>
        <v>3</v>
      </c>
      <c r="AM28">
        <f>SUM(AM16:AM27)</f>
        <v>0</v>
      </c>
      <c r="AN28">
        <f>SUM(AN16:AN27)</f>
        <v>0</v>
      </c>
      <c r="AP28">
        <f>SUM(AP16:AP27)</f>
        <v>4</v>
      </c>
    </row>
    <row r="29" spans="1:66" x14ac:dyDescent="0.2">
      <c r="D29">
        <f>SUM(O39:O50)/F16</f>
        <v>0</v>
      </c>
      <c r="G29">
        <f>AVERAGE(A39:A50)</f>
        <v>0.16666666666666666</v>
      </c>
      <c r="H29">
        <f>MEDIAN(A39:A50)</f>
        <v>0</v>
      </c>
      <c r="I29">
        <f>MAX(A39:A50)</f>
        <v>2</v>
      </c>
      <c r="J29">
        <f>_xlfn.STDEV.S(A39:A50)</f>
        <v>0.57735026918962573</v>
      </c>
      <c r="K29" t="s">
        <v>63</v>
      </c>
      <c r="P29" t="s">
        <v>148</v>
      </c>
    </row>
    <row r="30" spans="1:66" x14ac:dyDescent="0.2">
      <c r="A30" t="s">
        <v>147</v>
      </c>
      <c r="D30" t="s">
        <v>203</v>
      </c>
      <c r="G30" t="s">
        <v>50</v>
      </c>
      <c r="H30" t="s">
        <v>51</v>
      </c>
      <c r="I30" t="s">
        <v>89</v>
      </c>
      <c r="K30" t="s">
        <v>57</v>
      </c>
      <c r="L30" t="s">
        <v>58</v>
      </c>
      <c r="M30" t="s">
        <v>59</v>
      </c>
      <c r="N30" t="s">
        <v>60</v>
      </c>
      <c r="P30" t="s">
        <v>57</v>
      </c>
      <c r="Q30" t="s">
        <v>58</v>
      </c>
      <c r="R30" t="s">
        <v>59</v>
      </c>
      <c r="S30" t="s">
        <v>60</v>
      </c>
      <c r="W30" t="s">
        <v>148</v>
      </c>
      <c r="Y30" t="s">
        <v>149</v>
      </c>
      <c r="AH30" t="s">
        <v>79</v>
      </c>
    </row>
    <row r="31" spans="1:66" x14ac:dyDescent="0.2">
      <c r="A31">
        <f>COUNT(B4:B15)</f>
        <v>12</v>
      </c>
      <c r="B31" t="s">
        <v>230</v>
      </c>
      <c r="D31" s="2">
        <f>SUM(S39:S50)/SUM(Q39:Q50)</f>
        <v>0.33333333333333331</v>
      </c>
      <c r="G31">
        <f>AE28/A31</f>
        <v>8.3333333333333329E-2</v>
      </c>
      <c r="H31">
        <f>AF28/A31</f>
        <v>8.3333333333333329E-2</v>
      </c>
      <c r="I31">
        <f>AG28/A31</f>
        <v>0</v>
      </c>
      <c r="K31" t="e">
        <f>AVERAGE(I39:I50)</f>
        <v>#DIV/0!</v>
      </c>
      <c r="L31" t="e">
        <f>MEDIAN(I39:I50)</f>
        <v>#NUM!</v>
      </c>
      <c r="M31">
        <f>MAX(I39:I50)</f>
        <v>0</v>
      </c>
      <c r="N31" t="e">
        <f>_xlfn.STDEV.S(I39:I50)</f>
        <v>#DIV/0!</v>
      </c>
      <c r="P31">
        <f>AVERAGE(W31:W42)</f>
        <v>8</v>
      </c>
      <c r="Q31">
        <f>MEDIAN(W31:W42)</f>
        <v>6</v>
      </c>
      <c r="R31">
        <f>MAX(W31:W42)</f>
        <v>25</v>
      </c>
      <c r="S31">
        <f>_xlfn.STDEV.S(W31:W42)</f>
        <v>9.2951600308978009</v>
      </c>
      <c r="W31">
        <f t="shared" ref="W31:W33" si="48">IF(AND(ISBLANK(Q4), ISBLANK(R4), ISBLANK(G4), ISBLANK(H4)), "", U4)</f>
        <v>10</v>
      </c>
      <c r="Y31">
        <f t="shared" ref="Y31:Y42" si="49">IF(ISBLANK(Y4), IF(X4 = 0, "", (G4 + H4/3 + V4/9 + W4/3)), U4)</f>
        <v>10</v>
      </c>
      <c r="AH31" t="s">
        <v>80</v>
      </c>
    </row>
    <row r="32" spans="1:66" x14ac:dyDescent="0.2">
      <c r="B32" t="s">
        <v>271</v>
      </c>
      <c r="D32" s="3"/>
      <c r="K32" t="s">
        <v>64</v>
      </c>
      <c r="P32" t="s">
        <v>149</v>
      </c>
      <c r="W32" t="str">
        <f t="shared" si="48"/>
        <v/>
      </c>
      <c r="Y32" t="str">
        <f t="shared" si="49"/>
        <v/>
      </c>
      <c r="AH32" t="s">
        <v>81</v>
      </c>
    </row>
    <row r="33" spans="1:34" x14ac:dyDescent="0.2">
      <c r="B33" t="s">
        <v>338</v>
      </c>
      <c r="D33" s="3"/>
      <c r="K33" t="s">
        <v>57</v>
      </c>
      <c r="L33" t="s">
        <v>58</v>
      </c>
      <c r="M33" t="s">
        <v>59</v>
      </c>
      <c r="N33" t="s">
        <v>60</v>
      </c>
      <c r="P33" t="s">
        <v>57</v>
      </c>
      <c r="Q33" t="s">
        <v>58</v>
      </c>
      <c r="R33" t="s">
        <v>59</v>
      </c>
      <c r="S33" t="s">
        <v>60</v>
      </c>
      <c r="W33">
        <f t="shared" si="48"/>
        <v>1</v>
      </c>
      <c r="Y33">
        <f t="shared" si="49"/>
        <v>1</v>
      </c>
      <c r="AH33" t="s">
        <v>82</v>
      </c>
    </row>
    <row r="34" spans="1:34" x14ac:dyDescent="0.2">
      <c r="D34" s="3"/>
      <c r="K34">
        <f>AVERAGE(K39:K50)</f>
        <v>0.33333333333333331</v>
      </c>
      <c r="L34">
        <f>MEDIAN(K39:K50)</f>
        <v>0</v>
      </c>
      <c r="M34">
        <f>MAX(K39:K50)</f>
        <v>2</v>
      </c>
      <c r="N34">
        <f>_xlfn.STDEV.S(K39:K50)</f>
        <v>0.6513389472789296</v>
      </c>
      <c r="P34">
        <f>AVERAGE(Y31:Y42)</f>
        <v>5.6111111111111116</v>
      </c>
      <c r="Q34">
        <f>MEDIAN(Y31:Y42)</f>
        <v>5.3333333333333339</v>
      </c>
      <c r="R34">
        <f>MAX(Y31:Y42)</f>
        <v>10</v>
      </c>
      <c r="S34">
        <f>_xlfn.STDEV.S(Y31:Y42)</f>
        <v>3.4603575066854089</v>
      </c>
      <c r="W34" t="str">
        <f>IF(AND(ISBLANK(Q7), ISBLANK(R7), ISBLANK(G7), ISBLANK(H7)), "", U7)</f>
        <v/>
      </c>
      <c r="Y34" t="str">
        <f t="shared" si="49"/>
        <v/>
      </c>
      <c r="AH34" t="s">
        <v>83</v>
      </c>
    </row>
    <row r="35" spans="1:34" x14ac:dyDescent="0.2">
      <c r="P35" t="s">
        <v>95</v>
      </c>
      <c r="R35" t="s">
        <v>197</v>
      </c>
      <c r="W35" t="str">
        <f t="shared" ref="W35:W42" si="50">IF(AND(ISBLANK(Q8), ISBLANK(R8), ISBLANK(G8), ISBLANK(H8)), "", U8)</f>
        <v/>
      </c>
      <c r="Y35" t="str">
        <f t="shared" si="49"/>
        <v/>
      </c>
    </row>
    <row r="36" spans="1:34" x14ac:dyDescent="0.2">
      <c r="P36">
        <f>Q16/(Q16+R16)</f>
        <v>0</v>
      </c>
      <c r="R36">
        <f>R16/(Q16+R16)</f>
        <v>1</v>
      </c>
      <c r="W36" t="str">
        <f t="shared" si="50"/>
        <v/>
      </c>
      <c r="Y36" t="str">
        <f t="shared" si="49"/>
        <v/>
      </c>
    </row>
    <row r="37" spans="1:34" x14ac:dyDescent="0.2">
      <c r="W37" t="str">
        <f t="shared" si="50"/>
        <v/>
      </c>
      <c r="Y37" t="str">
        <f t="shared" si="49"/>
        <v/>
      </c>
    </row>
    <row r="38" spans="1:34" x14ac:dyDescent="0.2">
      <c r="A38" t="s">
        <v>68</v>
      </c>
      <c r="C38" t="s">
        <v>69</v>
      </c>
      <c r="E38" t="s">
        <v>72</v>
      </c>
      <c r="G38" t="s">
        <v>250</v>
      </c>
      <c r="K38" t="s">
        <v>73</v>
      </c>
      <c r="M38" t="s">
        <v>70</v>
      </c>
      <c r="N38" t="s">
        <v>71</v>
      </c>
      <c r="O38" t="s">
        <v>199</v>
      </c>
      <c r="Q38" t="s">
        <v>200</v>
      </c>
      <c r="S38" t="s">
        <v>201</v>
      </c>
      <c r="W38">
        <f t="shared" si="50"/>
        <v>3</v>
      </c>
      <c r="Y38">
        <f t="shared" si="49"/>
        <v>3</v>
      </c>
    </row>
    <row r="39" spans="1:34" x14ac:dyDescent="0.2">
      <c r="A39">
        <f t="shared" ref="A39:A50" si="51">IF(ISBLANK(B4), "", SUM(AE16+AF16+AG16))</f>
        <v>0</v>
      </c>
      <c r="C39">
        <f t="shared" ref="C39:C50" si="52">IF(ISBLANK(B4), "", O4)</f>
        <v>3</v>
      </c>
      <c r="E39">
        <f t="shared" ref="E39:E50" si="53">IF(ISBLANK(B4), "", Q4)</f>
        <v>0</v>
      </c>
      <c r="G39">
        <f t="shared" ref="G39:G50" si="54">IF(ISBLANK(B4), "", R4)</f>
        <v>1</v>
      </c>
      <c r="K39">
        <f t="shared" ref="K39:K50" si="55">IF(ISBLANK(B4), "", SUM(Q4 + R4))</f>
        <v>1</v>
      </c>
      <c r="M39">
        <f t="shared" ref="M39:M50" si="56">IF(ISBLANK(B4), "", SUM(K4+M4) - O4)</f>
        <v>-1</v>
      </c>
      <c r="N39">
        <f t="shared" ref="N39:N50" si="57">IF(ISBLANK(B4), "", U4)</f>
        <v>10</v>
      </c>
      <c r="O39">
        <f t="shared" ref="O39:O50" si="58">COUNTIF(E4, "1")*COUNTIF(F4, "1")</f>
        <v>0</v>
      </c>
      <c r="Q39">
        <f t="shared" ref="Q39:Q50" si="59">COUNTIF(D4, "1")*COUNTIF(F4, "")</f>
        <v>0</v>
      </c>
      <c r="S39">
        <f t="shared" ref="S39:S50" si="60">COUNTIF(E4, "1")*COUNTIF(F4, "")</f>
        <v>0</v>
      </c>
      <c r="W39">
        <f t="shared" si="50"/>
        <v>9</v>
      </c>
      <c r="Y39">
        <f t="shared" si="49"/>
        <v>9</v>
      </c>
    </row>
    <row r="40" spans="1:34" x14ac:dyDescent="0.2">
      <c r="A40">
        <f t="shared" si="51"/>
        <v>0</v>
      </c>
      <c r="C40">
        <f t="shared" si="52"/>
        <v>2</v>
      </c>
      <c r="E40">
        <f t="shared" si="53"/>
        <v>0</v>
      </c>
      <c r="G40">
        <f t="shared" si="54"/>
        <v>0</v>
      </c>
      <c r="K40">
        <f t="shared" si="55"/>
        <v>0</v>
      </c>
      <c r="M40">
        <f t="shared" si="56"/>
        <v>0</v>
      </c>
      <c r="N40">
        <f t="shared" si="57"/>
        <v>4</v>
      </c>
      <c r="O40">
        <f t="shared" si="58"/>
        <v>0</v>
      </c>
      <c r="Q40">
        <f t="shared" si="59"/>
        <v>1</v>
      </c>
      <c r="S40">
        <f t="shared" si="60"/>
        <v>0</v>
      </c>
      <c r="W40">
        <f t="shared" si="50"/>
        <v>25</v>
      </c>
      <c r="Y40">
        <f t="shared" si="49"/>
        <v>4.666666666666667</v>
      </c>
    </row>
    <row r="41" spans="1:34" x14ac:dyDescent="0.2">
      <c r="A41">
        <f t="shared" si="51"/>
        <v>0</v>
      </c>
      <c r="C41">
        <f t="shared" si="52"/>
        <v>2</v>
      </c>
      <c r="E41">
        <f t="shared" si="53"/>
        <v>0</v>
      </c>
      <c r="G41">
        <f t="shared" si="54"/>
        <v>0</v>
      </c>
      <c r="K41">
        <f t="shared" si="55"/>
        <v>0</v>
      </c>
      <c r="M41">
        <f t="shared" si="56"/>
        <v>0</v>
      </c>
      <c r="N41">
        <f t="shared" si="57"/>
        <v>1</v>
      </c>
      <c r="O41">
        <f t="shared" si="58"/>
        <v>0</v>
      </c>
      <c r="Q41">
        <f t="shared" si="59"/>
        <v>0</v>
      </c>
      <c r="S41">
        <f t="shared" si="60"/>
        <v>0</v>
      </c>
      <c r="W41" t="str">
        <f t="shared" si="50"/>
        <v/>
      </c>
      <c r="Y41" t="str">
        <f t="shared" si="49"/>
        <v/>
      </c>
    </row>
    <row r="42" spans="1:34" x14ac:dyDescent="0.2">
      <c r="A42">
        <f t="shared" si="51"/>
        <v>0</v>
      </c>
      <c r="C42">
        <f t="shared" si="52"/>
        <v>4</v>
      </c>
      <c r="E42">
        <f t="shared" si="53"/>
        <v>0</v>
      </c>
      <c r="G42">
        <f t="shared" si="54"/>
        <v>0</v>
      </c>
      <c r="K42">
        <f t="shared" si="55"/>
        <v>0</v>
      </c>
      <c r="M42">
        <f t="shared" si="56"/>
        <v>-1</v>
      </c>
      <c r="N42">
        <f t="shared" si="57"/>
        <v>0</v>
      </c>
      <c r="O42">
        <f t="shared" si="58"/>
        <v>0</v>
      </c>
      <c r="Q42">
        <f t="shared" si="59"/>
        <v>0</v>
      </c>
      <c r="S42">
        <f t="shared" si="60"/>
        <v>0</v>
      </c>
      <c r="W42">
        <f t="shared" si="50"/>
        <v>0</v>
      </c>
      <c r="Y42">
        <f t="shared" si="49"/>
        <v>6</v>
      </c>
    </row>
    <row r="43" spans="1:34" x14ac:dyDescent="0.2">
      <c r="A43">
        <f t="shared" si="51"/>
        <v>0</v>
      </c>
      <c r="C43">
        <f t="shared" si="52"/>
        <v>3</v>
      </c>
      <c r="E43">
        <f t="shared" si="53"/>
        <v>0</v>
      </c>
      <c r="G43">
        <f t="shared" si="54"/>
        <v>0</v>
      </c>
      <c r="K43">
        <f t="shared" si="55"/>
        <v>0</v>
      </c>
      <c r="M43">
        <f t="shared" si="56"/>
        <v>-1</v>
      </c>
      <c r="N43">
        <f t="shared" si="57"/>
        <v>0</v>
      </c>
      <c r="O43">
        <f t="shared" si="58"/>
        <v>0</v>
      </c>
      <c r="Q43">
        <f t="shared" si="59"/>
        <v>0</v>
      </c>
      <c r="S43">
        <f t="shared" si="60"/>
        <v>0</v>
      </c>
    </row>
    <row r="44" spans="1:34" x14ac:dyDescent="0.2">
      <c r="A44">
        <f t="shared" si="51"/>
        <v>0</v>
      </c>
      <c r="C44">
        <f t="shared" si="52"/>
        <v>3</v>
      </c>
      <c r="E44">
        <f t="shared" si="53"/>
        <v>0</v>
      </c>
      <c r="G44">
        <f t="shared" si="54"/>
        <v>0</v>
      </c>
      <c r="K44">
        <f t="shared" si="55"/>
        <v>0</v>
      </c>
      <c r="M44">
        <f t="shared" si="56"/>
        <v>-1</v>
      </c>
      <c r="N44">
        <f t="shared" si="57"/>
        <v>0</v>
      </c>
      <c r="O44">
        <f t="shared" si="58"/>
        <v>0</v>
      </c>
      <c r="Q44">
        <f t="shared" si="59"/>
        <v>0</v>
      </c>
      <c r="S44">
        <f t="shared" si="60"/>
        <v>0</v>
      </c>
    </row>
    <row r="45" spans="1:34" x14ac:dyDescent="0.2">
      <c r="A45">
        <f t="shared" si="51"/>
        <v>0</v>
      </c>
      <c r="C45">
        <f t="shared" si="52"/>
        <v>4</v>
      </c>
      <c r="E45">
        <f t="shared" si="53"/>
        <v>0</v>
      </c>
      <c r="G45">
        <f t="shared" si="54"/>
        <v>0</v>
      </c>
      <c r="K45">
        <f t="shared" si="55"/>
        <v>0</v>
      </c>
      <c r="M45">
        <f t="shared" si="56"/>
        <v>-1</v>
      </c>
      <c r="N45">
        <f t="shared" si="57"/>
        <v>7</v>
      </c>
      <c r="O45">
        <f t="shared" si="58"/>
        <v>0</v>
      </c>
      <c r="Q45">
        <f t="shared" si="59"/>
        <v>0</v>
      </c>
      <c r="S45">
        <f t="shared" si="60"/>
        <v>0</v>
      </c>
    </row>
    <row r="46" spans="1:34" x14ac:dyDescent="0.2">
      <c r="A46">
        <f t="shared" si="51"/>
        <v>0</v>
      </c>
      <c r="C46">
        <f t="shared" si="52"/>
        <v>2</v>
      </c>
      <c r="E46">
        <f t="shared" si="53"/>
        <v>0</v>
      </c>
      <c r="G46">
        <f t="shared" si="54"/>
        <v>0</v>
      </c>
      <c r="K46">
        <f t="shared" si="55"/>
        <v>0</v>
      </c>
      <c r="M46">
        <f t="shared" si="56"/>
        <v>0</v>
      </c>
      <c r="N46">
        <f t="shared" si="57"/>
        <v>3</v>
      </c>
      <c r="O46">
        <f t="shared" si="58"/>
        <v>0</v>
      </c>
      <c r="Q46">
        <f t="shared" si="59"/>
        <v>0</v>
      </c>
      <c r="S46">
        <f t="shared" si="60"/>
        <v>0</v>
      </c>
    </row>
    <row r="47" spans="1:34" x14ac:dyDescent="0.2">
      <c r="A47">
        <f t="shared" si="51"/>
        <v>2</v>
      </c>
      <c r="C47">
        <f t="shared" si="52"/>
        <v>0</v>
      </c>
      <c r="E47">
        <f t="shared" si="53"/>
        <v>0</v>
      </c>
      <c r="G47">
        <f t="shared" si="54"/>
        <v>2</v>
      </c>
      <c r="K47">
        <f t="shared" si="55"/>
        <v>2</v>
      </c>
      <c r="M47">
        <f t="shared" si="56"/>
        <v>1</v>
      </c>
      <c r="N47">
        <f t="shared" si="57"/>
        <v>9</v>
      </c>
      <c r="O47">
        <f t="shared" si="58"/>
        <v>0</v>
      </c>
      <c r="Q47">
        <f t="shared" si="59"/>
        <v>0</v>
      </c>
      <c r="S47">
        <f t="shared" si="60"/>
        <v>0</v>
      </c>
    </row>
    <row r="48" spans="1:34" x14ac:dyDescent="0.2">
      <c r="A48">
        <f t="shared" si="51"/>
        <v>0</v>
      </c>
      <c r="C48">
        <f t="shared" si="52"/>
        <v>1</v>
      </c>
      <c r="E48">
        <f t="shared" si="53"/>
        <v>0</v>
      </c>
      <c r="G48">
        <f t="shared" si="54"/>
        <v>1</v>
      </c>
      <c r="K48">
        <f t="shared" si="55"/>
        <v>1</v>
      </c>
      <c r="M48">
        <f t="shared" si="56"/>
        <v>0</v>
      </c>
      <c r="N48">
        <f t="shared" si="57"/>
        <v>25</v>
      </c>
      <c r="O48">
        <f t="shared" si="58"/>
        <v>0</v>
      </c>
      <c r="Q48">
        <f t="shared" si="59"/>
        <v>0</v>
      </c>
      <c r="S48">
        <f t="shared" si="60"/>
        <v>0</v>
      </c>
    </row>
    <row r="49" spans="1:19" x14ac:dyDescent="0.2">
      <c r="A49">
        <f t="shared" si="51"/>
        <v>0</v>
      </c>
      <c r="C49">
        <f t="shared" si="52"/>
        <v>4</v>
      </c>
      <c r="E49">
        <f t="shared" si="53"/>
        <v>0</v>
      </c>
      <c r="G49">
        <f t="shared" si="54"/>
        <v>0</v>
      </c>
      <c r="K49">
        <f t="shared" si="55"/>
        <v>0</v>
      </c>
      <c r="M49">
        <f t="shared" si="56"/>
        <v>-1</v>
      </c>
      <c r="N49">
        <f t="shared" si="57"/>
        <v>0</v>
      </c>
      <c r="O49">
        <f t="shared" si="58"/>
        <v>0</v>
      </c>
      <c r="Q49">
        <f t="shared" si="59"/>
        <v>1</v>
      </c>
      <c r="S49">
        <f t="shared" si="60"/>
        <v>0</v>
      </c>
    </row>
    <row r="50" spans="1:19" x14ac:dyDescent="0.2">
      <c r="A50">
        <f t="shared" si="51"/>
        <v>0</v>
      </c>
      <c r="C50">
        <f t="shared" si="52"/>
        <v>2</v>
      </c>
      <c r="E50">
        <f t="shared" si="53"/>
        <v>0</v>
      </c>
      <c r="G50">
        <f t="shared" si="54"/>
        <v>0</v>
      </c>
      <c r="K50">
        <f t="shared" si="55"/>
        <v>0</v>
      </c>
      <c r="M50">
        <f t="shared" si="56"/>
        <v>0</v>
      </c>
      <c r="N50">
        <f t="shared" si="57"/>
        <v>0</v>
      </c>
      <c r="O50">
        <f t="shared" si="58"/>
        <v>0</v>
      </c>
      <c r="Q50">
        <f t="shared" si="59"/>
        <v>1</v>
      </c>
      <c r="S50">
        <f t="shared" si="60"/>
        <v>1</v>
      </c>
    </row>
  </sheetData>
  <pageMargins left="0.7" right="0.7" top="0.75" bottom="0.75" header="0.3" footer="0.3"/>
  <legacy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6" enableFormatConditionsCalculation="0"/>
  <dimension ref="A1:BN50"/>
  <sheetViews>
    <sheetView workbookViewId="0">
      <selection activeCell="P15" sqref="P15"/>
    </sheetView>
  </sheetViews>
  <sheetFormatPr baseColWidth="10" defaultRowHeight="15" x14ac:dyDescent="0.2"/>
  <sheetData>
    <row r="1" spans="1:66" x14ac:dyDescent="0.2">
      <c r="A1" s="1" t="s">
        <v>0</v>
      </c>
      <c r="D1" t="s">
        <v>3</v>
      </c>
      <c r="K1" t="s">
        <v>11</v>
      </c>
      <c r="N1" t="s">
        <v>12</v>
      </c>
      <c r="P1" t="s">
        <v>14</v>
      </c>
      <c r="Q1" t="s">
        <v>17</v>
      </c>
      <c r="S1" t="s">
        <v>18</v>
      </c>
      <c r="Z1" t="s">
        <v>29</v>
      </c>
      <c r="AE1" t="s">
        <v>30</v>
      </c>
      <c r="AK1" t="s">
        <v>42</v>
      </c>
    </row>
    <row r="2" spans="1:66" x14ac:dyDescent="0.2">
      <c r="A2" t="s">
        <v>1</v>
      </c>
      <c r="B2" t="s">
        <v>1</v>
      </c>
      <c r="C2" t="s">
        <v>87</v>
      </c>
      <c r="D2" t="s">
        <v>54</v>
      </c>
      <c r="E2" t="s">
        <v>13</v>
      </c>
      <c r="F2" t="s">
        <v>198</v>
      </c>
      <c r="G2" t="s">
        <v>7</v>
      </c>
      <c r="H2" t="s">
        <v>8</v>
      </c>
      <c r="I2" t="s">
        <v>179</v>
      </c>
      <c r="J2" t="s">
        <v>178</v>
      </c>
      <c r="K2" t="s">
        <v>9</v>
      </c>
      <c r="L2" t="s">
        <v>196</v>
      </c>
      <c r="M2" t="s">
        <v>10</v>
      </c>
      <c r="N2" t="s">
        <v>54</v>
      </c>
      <c r="O2" t="s">
        <v>13</v>
      </c>
      <c r="P2" t="s">
        <v>15</v>
      </c>
      <c r="Q2" t="s">
        <v>8</v>
      </c>
      <c r="R2" t="s">
        <v>7</v>
      </c>
      <c r="S2" t="s">
        <v>181</v>
      </c>
      <c r="T2" t="s">
        <v>182</v>
      </c>
      <c r="U2" t="s">
        <v>19</v>
      </c>
      <c r="V2" t="s">
        <v>191</v>
      </c>
      <c r="W2" t="s">
        <v>192</v>
      </c>
      <c r="X2" t="s">
        <v>175</v>
      </c>
      <c r="Y2" t="s">
        <v>173</v>
      </c>
      <c r="Z2" t="str">
        <f t="shared" ref="Z2:Z13" si="0">LEFT(I4, 1)</f>
        <v/>
      </c>
      <c r="AA2" t="str">
        <f t="shared" ref="AA2:AA13" si="1">MID(I4, 4, 1)</f>
        <v/>
      </c>
      <c r="AB2" t="str">
        <f t="shared" ref="AB2:AB13" si="2">MID(I4, 7, 1)</f>
        <v/>
      </c>
      <c r="AC2" t="str">
        <f t="shared" ref="AC2:AC13" si="3">MID(I4, 10, 1)</f>
        <v/>
      </c>
      <c r="AE2" t="str">
        <f t="shared" ref="AE2:AE13" si="4">LEFT(J4, 1)</f>
        <v>5</v>
      </c>
      <c r="AF2" t="str">
        <f t="shared" ref="AF2:AF13" si="5">MID(J4, 4, 1)</f>
        <v/>
      </c>
      <c r="AG2" t="str">
        <f t="shared" ref="AG2:AG13" si="6">MID(J4, 7, 1)</f>
        <v/>
      </c>
      <c r="AH2" t="str">
        <f t="shared" ref="AH2:AH13" si="7">MID(J4, 10, 1)</f>
        <v/>
      </c>
      <c r="AI2" t="str">
        <f t="shared" ref="AI2:AI13" si="8">MID(J4, 13, 1)</f>
        <v/>
      </c>
      <c r="AK2" t="str">
        <f t="shared" ref="AK2:AK13" si="9">LEFT(P4, 2)</f>
        <v/>
      </c>
      <c r="AL2" t="str">
        <f>MID($P4, 5, 2)</f>
        <v/>
      </c>
      <c r="AM2" t="str">
        <f t="shared" ref="AM2:AM13" si="10">MID($P4, 9, 2)</f>
        <v/>
      </c>
      <c r="AN2" t="str">
        <f t="shared" ref="AN2:AN13" si="11">MID($P4, 13, 2)</f>
        <v/>
      </c>
      <c r="AO2" t="str">
        <f t="shared" ref="AO2:AO13" si="12">MID($P4, 17, 2)</f>
        <v/>
      </c>
      <c r="AP2" t="str">
        <f t="shared" ref="AP2:AP13" si="13">MID($P4, 21, 2)</f>
        <v/>
      </c>
      <c r="AQ2" t="str">
        <f t="shared" ref="AQ2:AQ13" si="14">MID($P4, 25, 2)</f>
        <v/>
      </c>
      <c r="AR2" t="str">
        <f t="shared" ref="AR2:AR13" si="15">MID($P4, 29, 2)</f>
        <v/>
      </c>
      <c r="AS2" t="str">
        <f t="shared" ref="AS2:AS13" si="16">MID($P4, 33, 2)</f>
        <v/>
      </c>
      <c r="AT2" t="str">
        <f t="shared" ref="AT2:AT13" si="17">MID($P4, 37, 2)</f>
        <v/>
      </c>
      <c r="AU2" t="str">
        <f t="shared" ref="AU2:AU13" si="18">MID($P4, 41, 2)</f>
        <v/>
      </c>
      <c r="AV2" t="str">
        <f t="shared" ref="AV2:AV13" si="19">MID($P4, 45, 2)</f>
        <v/>
      </c>
      <c r="AW2" t="str">
        <f t="shared" ref="AW2:AW13" si="20">MID($P4, 49, 2)</f>
        <v/>
      </c>
      <c r="AX2" t="str">
        <f t="shared" ref="AX2:AX13" si="21">MID($P4, 53, 2)</f>
        <v/>
      </c>
      <c r="AY2" t="str">
        <f t="shared" ref="AY2:AY13" si="22">MID($P4, 57, 2)</f>
        <v/>
      </c>
      <c r="AZ2" t="str">
        <f t="shared" ref="AZ2:AZ13" si="23">MID($P4, 61, 2)</f>
        <v/>
      </c>
      <c r="BA2" t="str">
        <f t="shared" ref="BA2:BA13" si="24">MID($P4, 65, 2)</f>
        <v/>
      </c>
      <c r="BB2" t="str">
        <f t="shared" ref="BB2:BB13" si="25">MID($P4, 69, 2)</f>
        <v/>
      </c>
      <c r="BC2" t="str">
        <f t="shared" ref="BC2:BC13" si="26">MID($P4, 73, 2)</f>
        <v/>
      </c>
      <c r="BD2" t="str">
        <f t="shared" ref="BD2:BD13" si="27">MID($P4, 77, 2)</f>
        <v/>
      </c>
      <c r="BE2" t="str">
        <f t="shared" ref="BE2:BE13" si="28">MID($P4, 81, 2)</f>
        <v/>
      </c>
      <c r="BF2" t="str">
        <f t="shared" ref="BF2:BF13" si="29">MID($P4, 85, 2)</f>
        <v/>
      </c>
      <c r="BG2" t="str">
        <f t="shared" ref="BG2:BG13" si="30">MID($P4, 89, 2)</f>
        <v/>
      </c>
      <c r="BH2" t="str">
        <f t="shared" ref="BH2:BH13" si="31">MID($P4, 93, 2)</f>
        <v/>
      </c>
    </row>
    <row r="3" spans="1:66" x14ac:dyDescent="0.2">
      <c r="A3" t="s">
        <v>2</v>
      </c>
      <c r="B3" t="s">
        <v>6</v>
      </c>
      <c r="C3" t="s">
        <v>88</v>
      </c>
      <c r="D3" t="s">
        <v>6</v>
      </c>
      <c r="E3" t="s">
        <v>6</v>
      </c>
      <c r="F3" t="s">
        <v>4</v>
      </c>
      <c r="G3" t="s">
        <v>6</v>
      </c>
      <c r="H3" t="s">
        <v>6</v>
      </c>
      <c r="I3" t="s">
        <v>86</v>
      </c>
      <c r="J3" t="s">
        <v>86</v>
      </c>
      <c r="K3" t="s">
        <v>6</v>
      </c>
      <c r="L3" t="s">
        <v>6</v>
      </c>
      <c r="M3" t="s">
        <v>6</v>
      </c>
      <c r="N3" t="s">
        <v>6</v>
      </c>
      <c r="O3" t="s">
        <v>6</v>
      </c>
      <c r="P3" t="s">
        <v>16</v>
      </c>
      <c r="Q3" t="s">
        <v>6</v>
      </c>
      <c r="R3" t="s">
        <v>6</v>
      </c>
      <c r="S3" t="s">
        <v>4</v>
      </c>
      <c r="T3" t="s">
        <v>4</v>
      </c>
      <c r="U3" t="s">
        <v>6</v>
      </c>
      <c r="V3" t="s">
        <v>6</v>
      </c>
      <c r="W3" t="s">
        <v>6</v>
      </c>
      <c r="X3" t="s">
        <v>6</v>
      </c>
      <c r="Y3" t="s">
        <v>174</v>
      </c>
      <c r="Z3" t="str">
        <f t="shared" si="0"/>
        <v/>
      </c>
      <c r="AA3" t="str">
        <f t="shared" si="1"/>
        <v/>
      </c>
      <c r="AB3" t="str">
        <f t="shared" si="2"/>
        <v/>
      </c>
      <c r="AC3" t="str">
        <f t="shared" si="3"/>
        <v/>
      </c>
      <c r="AE3" t="str">
        <f t="shared" si="4"/>
        <v/>
      </c>
      <c r="AF3" t="str">
        <f t="shared" si="5"/>
        <v/>
      </c>
      <c r="AG3" t="str">
        <f t="shared" si="6"/>
        <v/>
      </c>
      <c r="AH3" t="str">
        <f t="shared" si="7"/>
        <v/>
      </c>
      <c r="AI3" t="str">
        <f t="shared" si="8"/>
        <v/>
      </c>
      <c r="AK3" t="str">
        <f t="shared" si="9"/>
        <v/>
      </c>
      <c r="AL3" t="str">
        <f t="shared" ref="AL3:AL13" si="32">MID(P5, 5, 2)</f>
        <v/>
      </c>
      <c r="AM3" t="str">
        <f t="shared" si="10"/>
        <v/>
      </c>
      <c r="AN3" t="str">
        <f t="shared" si="11"/>
        <v/>
      </c>
      <c r="AO3" t="str">
        <f t="shared" si="12"/>
        <v/>
      </c>
      <c r="AP3" t="str">
        <f t="shared" si="13"/>
        <v/>
      </c>
      <c r="AQ3" t="str">
        <f t="shared" si="14"/>
        <v/>
      </c>
      <c r="AR3" t="str">
        <f t="shared" si="15"/>
        <v/>
      </c>
      <c r="AS3" t="str">
        <f t="shared" si="16"/>
        <v/>
      </c>
      <c r="AT3" t="str">
        <f t="shared" si="17"/>
        <v/>
      </c>
      <c r="AU3" t="str">
        <f t="shared" si="18"/>
        <v/>
      </c>
      <c r="AV3" t="str">
        <f t="shared" si="19"/>
        <v/>
      </c>
      <c r="AW3" t="str">
        <f t="shared" si="20"/>
        <v/>
      </c>
      <c r="AX3" t="str">
        <f t="shared" si="21"/>
        <v/>
      </c>
      <c r="AY3" t="str">
        <f t="shared" si="22"/>
        <v/>
      </c>
      <c r="AZ3" t="str">
        <f t="shared" si="23"/>
        <v/>
      </c>
      <c r="BA3" t="str">
        <f t="shared" si="24"/>
        <v/>
      </c>
      <c r="BB3" t="str">
        <f t="shared" si="25"/>
        <v/>
      </c>
      <c r="BC3" t="str">
        <f t="shared" si="26"/>
        <v/>
      </c>
      <c r="BD3" t="str">
        <f t="shared" si="27"/>
        <v/>
      </c>
      <c r="BE3" t="str">
        <f t="shared" si="28"/>
        <v/>
      </c>
      <c r="BF3" t="str">
        <f t="shared" si="29"/>
        <v/>
      </c>
      <c r="BG3" t="str">
        <f t="shared" si="30"/>
        <v/>
      </c>
      <c r="BH3" t="str">
        <f t="shared" si="31"/>
        <v/>
      </c>
    </row>
    <row r="4" spans="1:66" x14ac:dyDescent="0.2">
      <c r="A4">
        <v>1</v>
      </c>
      <c r="B4">
        <v>3</v>
      </c>
      <c r="C4" t="s">
        <v>207</v>
      </c>
      <c r="D4">
        <v>1</v>
      </c>
      <c r="J4">
        <v>5</v>
      </c>
      <c r="K4">
        <v>1</v>
      </c>
      <c r="L4">
        <v>2</v>
      </c>
      <c r="M4">
        <v>1</v>
      </c>
      <c r="N4">
        <v>2</v>
      </c>
      <c r="O4">
        <v>2</v>
      </c>
      <c r="S4">
        <v>1</v>
      </c>
      <c r="T4">
        <v>1</v>
      </c>
      <c r="X4">
        <f t="shared" ref="X4:X15" si="33">G4+H4+Q4+R4</f>
        <v>0</v>
      </c>
      <c r="Z4" t="str">
        <f t="shared" si="0"/>
        <v/>
      </c>
      <c r="AA4" t="str">
        <f t="shared" si="1"/>
        <v/>
      </c>
      <c r="AB4" t="str">
        <f t="shared" si="2"/>
        <v/>
      </c>
      <c r="AC4" t="str">
        <f t="shared" si="3"/>
        <v/>
      </c>
      <c r="AE4" t="str">
        <f t="shared" si="4"/>
        <v/>
      </c>
      <c r="AF4" t="str">
        <f t="shared" si="5"/>
        <v/>
      </c>
      <c r="AG4" t="str">
        <f t="shared" si="6"/>
        <v/>
      </c>
      <c r="AH4" t="str">
        <f t="shared" si="7"/>
        <v/>
      </c>
      <c r="AI4" t="str">
        <f t="shared" si="8"/>
        <v/>
      </c>
      <c r="AK4" t="str">
        <f t="shared" si="9"/>
        <v/>
      </c>
      <c r="AL4" t="str">
        <f t="shared" si="32"/>
        <v/>
      </c>
      <c r="AM4" t="str">
        <f t="shared" si="10"/>
        <v/>
      </c>
      <c r="AN4" t="str">
        <f t="shared" si="11"/>
        <v/>
      </c>
      <c r="AO4" t="str">
        <f t="shared" si="12"/>
        <v/>
      </c>
      <c r="AP4" t="str">
        <f t="shared" si="13"/>
        <v/>
      </c>
      <c r="AQ4" t="str">
        <f t="shared" si="14"/>
        <v/>
      </c>
      <c r="AR4" t="str">
        <f t="shared" si="15"/>
        <v/>
      </c>
      <c r="AS4" t="str">
        <f t="shared" si="16"/>
        <v/>
      </c>
      <c r="AT4" t="str">
        <f t="shared" si="17"/>
        <v/>
      </c>
      <c r="AU4" t="str">
        <f t="shared" si="18"/>
        <v/>
      </c>
      <c r="AV4" t="str">
        <f t="shared" si="19"/>
        <v/>
      </c>
      <c r="AW4" t="str">
        <f t="shared" si="20"/>
        <v/>
      </c>
      <c r="AX4" t="str">
        <f t="shared" si="21"/>
        <v/>
      </c>
      <c r="AY4" t="str">
        <f t="shared" si="22"/>
        <v/>
      </c>
      <c r="AZ4" t="str">
        <f t="shared" si="23"/>
        <v/>
      </c>
      <c r="BA4" t="str">
        <f t="shared" si="24"/>
        <v/>
      </c>
      <c r="BB4" t="str">
        <f t="shared" si="25"/>
        <v/>
      </c>
      <c r="BC4" t="str">
        <f t="shared" si="26"/>
        <v/>
      </c>
      <c r="BD4" t="str">
        <f t="shared" si="27"/>
        <v/>
      </c>
      <c r="BE4" t="str">
        <f t="shared" si="28"/>
        <v/>
      </c>
      <c r="BF4" t="str">
        <f t="shared" si="29"/>
        <v/>
      </c>
      <c r="BG4" t="str">
        <f t="shared" si="30"/>
        <v/>
      </c>
      <c r="BH4" t="str">
        <f t="shared" si="31"/>
        <v/>
      </c>
    </row>
    <row r="5" spans="1:66" x14ac:dyDescent="0.2">
      <c r="A5">
        <v>2</v>
      </c>
      <c r="B5">
        <v>18</v>
      </c>
      <c r="C5" t="s">
        <v>39</v>
      </c>
      <c r="D5">
        <v>1</v>
      </c>
      <c r="F5">
        <v>1</v>
      </c>
      <c r="K5">
        <v>1</v>
      </c>
      <c r="N5">
        <v>4</v>
      </c>
      <c r="O5">
        <v>2</v>
      </c>
      <c r="S5">
        <v>1</v>
      </c>
      <c r="T5">
        <v>1</v>
      </c>
      <c r="U5">
        <v>7</v>
      </c>
      <c r="X5">
        <f t="shared" si="33"/>
        <v>0</v>
      </c>
      <c r="Z5" t="str">
        <f t="shared" si="0"/>
        <v/>
      </c>
      <c r="AA5" t="str">
        <f t="shared" si="1"/>
        <v/>
      </c>
      <c r="AB5" t="str">
        <f t="shared" si="2"/>
        <v/>
      </c>
      <c r="AC5" t="str">
        <f t="shared" si="3"/>
        <v/>
      </c>
      <c r="AE5" t="str">
        <f t="shared" si="4"/>
        <v/>
      </c>
      <c r="AF5" t="str">
        <f t="shared" si="5"/>
        <v/>
      </c>
      <c r="AG5" t="str">
        <f t="shared" si="6"/>
        <v/>
      </c>
      <c r="AH5" t="str">
        <f t="shared" si="7"/>
        <v/>
      </c>
      <c r="AI5" t="str">
        <f t="shared" si="8"/>
        <v/>
      </c>
      <c r="AK5" t="str">
        <f t="shared" si="9"/>
        <v/>
      </c>
      <c r="AL5" t="str">
        <f t="shared" si="32"/>
        <v/>
      </c>
      <c r="AM5" t="str">
        <f t="shared" si="10"/>
        <v/>
      </c>
      <c r="AN5" t="str">
        <f t="shared" si="11"/>
        <v/>
      </c>
      <c r="AO5" t="str">
        <f t="shared" si="12"/>
        <v/>
      </c>
      <c r="AP5" t="str">
        <f t="shared" si="13"/>
        <v/>
      </c>
      <c r="AQ5" t="str">
        <f t="shared" si="14"/>
        <v/>
      </c>
      <c r="AR5" t="str">
        <f t="shared" si="15"/>
        <v/>
      </c>
      <c r="AS5" t="str">
        <f t="shared" si="16"/>
        <v/>
      </c>
      <c r="AT5" t="str">
        <f t="shared" si="17"/>
        <v/>
      </c>
      <c r="AU5" t="str">
        <f t="shared" si="18"/>
        <v/>
      </c>
      <c r="AV5" t="str">
        <f t="shared" si="19"/>
        <v/>
      </c>
      <c r="AW5" t="str">
        <f t="shared" si="20"/>
        <v/>
      </c>
      <c r="AX5" t="str">
        <f t="shared" si="21"/>
        <v/>
      </c>
      <c r="AY5" t="str">
        <f t="shared" si="22"/>
        <v/>
      </c>
      <c r="AZ5" t="str">
        <f t="shared" si="23"/>
        <v/>
      </c>
      <c r="BA5" t="str">
        <f t="shared" si="24"/>
        <v/>
      </c>
      <c r="BB5" t="str">
        <f t="shared" si="25"/>
        <v/>
      </c>
      <c r="BC5" t="str">
        <f t="shared" si="26"/>
        <v/>
      </c>
      <c r="BD5" t="str">
        <f t="shared" si="27"/>
        <v/>
      </c>
      <c r="BE5" t="str">
        <f t="shared" si="28"/>
        <v/>
      </c>
      <c r="BF5" t="str">
        <f t="shared" si="29"/>
        <v/>
      </c>
      <c r="BG5" t="str">
        <f t="shared" si="30"/>
        <v/>
      </c>
      <c r="BH5" t="str">
        <f t="shared" si="31"/>
        <v/>
      </c>
    </row>
    <row r="6" spans="1:66" x14ac:dyDescent="0.2">
      <c r="A6">
        <v>3</v>
      </c>
      <c r="B6">
        <v>23</v>
      </c>
      <c r="C6" t="s">
        <v>207</v>
      </c>
      <c r="D6">
        <v>1</v>
      </c>
      <c r="K6">
        <v>4</v>
      </c>
      <c r="N6">
        <v>5</v>
      </c>
      <c r="O6">
        <v>5</v>
      </c>
      <c r="S6">
        <v>1</v>
      </c>
      <c r="X6">
        <f t="shared" si="33"/>
        <v>0</v>
      </c>
      <c r="Z6" t="str">
        <f t="shared" si="0"/>
        <v/>
      </c>
      <c r="AA6" t="str">
        <f t="shared" si="1"/>
        <v/>
      </c>
      <c r="AB6" t="str">
        <f t="shared" si="2"/>
        <v/>
      </c>
      <c r="AC6" t="str">
        <f t="shared" si="3"/>
        <v/>
      </c>
      <c r="AE6" t="str">
        <f t="shared" si="4"/>
        <v/>
      </c>
      <c r="AF6" t="str">
        <f t="shared" si="5"/>
        <v/>
      </c>
      <c r="AG6" t="str">
        <f t="shared" si="6"/>
        <v/>
      </c>
      <c r="AH6" t="str">
        <f t="shared" si="7"/>
        <v/>
      </c>
      <c r="AI6" t="str">
        <f t="shared" si="8"/>
        <v/>
      </c>
      <c r="AK6" t="str">
        <f t="shared" si="9"/>
        <v/>
      </c>
      <c r="AL6" t="str">
        <f t="shared" si="32"/>
        <v/>
      </c>
      <c r="AM6" t="str">
        <f t="shared" si="10"/>
        <v/>
      </c>
      <c r="AN6" t="str">
        <f t="shared" si="11"/>
        <v/>
      </c>
      <c r="AO6" t="str">
        <f t="shared" si="12"/>
        <v/>
      </c>
      <c r="AP6" t="str">
        <f t="shared" si="13"/>
        <v/>
      </c>
      <c r="AQ6" t="str">
        <f t="shared" si="14"/>
        <v/>
      </c>
      <c r="AR6" t="str">
        <f t="shared" si="15"/>
        <v/>
      </c>
      <c r="AS6" t="str">
        <f t="shared" si="16"/>
        <v/>
      </c>
      <c r="AT6" t="str">
        <f t="shared" si="17"/>
        <v/>
      </c>
      <c r="AU6" t="str">
        <f t="shared" si="18"/>
        <v/>
      </c>
      <c r="AV6" t="str">
        <f t="shared" si="19"/>
        <v/>
      </c>
      <c r="AW6" t="str">
        <f t="shared" si="20"/>
        <v/>
      </c>
      <c r="AX6" t="str">
        <f t="shared" si="21"/>
        <v/>
      </c>
      <c r="AY6" t="str">
        <f t="shared" si="22"/>
        <v/>
      </c>
      <c r="AZ6" t="str">
        <f t="shared" si="23"/>
        <v/>
      </c>
      <c r="BA6" t="str">
        <f t="shared" si="24"/>
        <v/>
      </c>
      <c r="BB6" t="str">
        <f t="shared" si="25"/>
        <v/>
      </c>
      <c r="BC6" t="str">
        <f t="shared" si="26"/>
        <v/>
      </c>
      <c r="BD6" t="str">
        <f t="shared" si="27"/>
        <v/>
      </c>
      <c r="BE6" t="str">
        <f t="shared" si="28"/>
        <v/>
      </c>
      <c r="BF6" t="str">
        <f t="shared" si="29"/>
        <v/>
      </c>
      <c r="BG6" t="str">
        <f t="shared" si="30"/>
        <v/>
      </c>
      <c r="BH6" t="str">
        <f t="shared" si="31"/>
        <v/>
      </c>
    </row>
    <row r="7" spans="1:66" x14ac:dyDescent="0.2">
      <c r="A7">
        <v>4</v>
      </c>
      <c r="B7">
        <v>40</v>
      </c>
      <c r="C7" t="s">
        <v>39</v>
      </c>
      <c r="D7">
        <v>1</v>
      </c>
      <c r="K7">
        <v>3</v>
      </c>
      <c r="L7">
        <v>1</v>
      </c>
      <c r="N7">
        <v>3</v>
      </c>
      <c r="O7">
        <v>3</v>
      </c>
      <c r="S7">
        <v>1</v>
      </c>
      <c r="T7">
        <v>1</v>
      </c>
      <c r="X7">
        <f t="shared" si="33"/>
        <v>0</v>
      </c>
      <c r="Z7" t="str">
        <f t="shared" si="0"/>
        <v/>
      </c>
      <c r="AA7" t="str">
        <f t="shared" si="1"/>
        <v/>
      </c>
      <c r="AB7" t="str">
        <f t="shared" si="2"/>
        <v/>
      </c>
      <c r="AC7" t="str">
        <f t="shared" si="3"/>
        <v/>
      </c>
      <c r="AE7" t="str">
        <f t="shared" si="4"/>
        <v>2</v>
      </c>
      <c r="AF7" t="str">
        <f t="shared" si="5"/>
        <v/>
      </c>
      <c r="AG7" t="str">
        <f t="shared" si="6"/>
        <v/>
      </c>
      <c r="AH7" t="str">
        <f t="shared" si="7"/>
        <v/>
      </c>
      <c r="AI7" t="str">
        <f t="shared" si="8"/>
        <v/>
      </c>
      <c r="AK7" t="str">
        <f t="shared" si="9"/>
        <v/>
      </c>
      <c r="AL7" t="str">
        <f t="shared" si="32"/>
        <v/>
      </c>
      <c r="AM7" t="str">
        <f t="shared" si="10"/>
        <v/>
      </c>
      <c r="AN7" t="str">
        <f t="shared" si="11"/>
        <v/>
      </c>
      <c r="AO7" t="str">
        <f t="shared" si="12"/>
        <v/>
      </c>
      <c r="AP7" t="str">
        <f t="shared" si="13"/>
        <v/>
      </c>
      <c r="AQ7" t="str">
        <f t="shared" si="14"/>
        <v/>
      </c>
      <c r="AR7" t="str">
        <f t="shared" si="15"/>
        <v/>
      </c>
      <c r="AS7" t="str">
        <f t="shared" si="16"/>
        <v/>
      </c>
      <c r="AT7" t="str">
        <f t="shared" si="17"/>
        <v/>
      </c>
      <c r="AU7" t="str">
        <f t="shared" si="18"/>
        <v/>
      </c>
      <c r="AV7" t="str">
        <f t="shared" si="19"/>
        <v/>
      </c>
      <c r="AW7" t="str">
        <f t="shared" si="20"/>
        <v/>
      </c>
      <c r="AX7" t="str">
        <f t="shared" si="21"/>
        <v/>
      </c>
      <c r="AY7" t="str">
        <f t="shared" si="22"/>
        <v/>
      </c>
      <c r="AZ7" t="str">
        <f t="shared" si="23"/>
        <v/>
      </c>
      <c r="BA7" t="str">
        <f t="shared" si="24"/>
        <v/>
      </c>
      <c r="BB7" t="str">
        <f t="shared" si="25"/>
        <v/>
      </c>
      <c r="BC7" t="str">
        <f t="shared" si="26"/>
        <v/>
      </c>
      <c r="BD7" t="str">
        <f t="shared" si="27"/>
        <v/>
      </c>
      <c r="BE7" t="str">
        <f t="shared" si="28"/>
        <v/>
      </c>
      <c r="BF7" t="str">
        <f t="shared" si="29"/>
        <v/>
      </c>
      <c r="BG7" t="str">
        <f t="shared" si="30"/>
        <v/>
      </c>
      <c r="BH7" t="str">
        <f t="shared" si="31"/>
        <v/>
      </c>
    </row>
    <row r="8" spans="1:66" x14ac:dyDescent="0.2">
      <c r="A8">
        <v>5</v>
      </c>
      <c r="B8">
        <v>49</v>
      </c>
      <c r="C8" t="s">
        <v>207</v>
      </c>
      <c r="D8">
        <v>1</v>
      </c>
      <c r="E8">
        <v>1</v>
      </c>
      <c r="K8">
        <v>1</v>
      </c>
      <c r="L8">
        <v>1</v>
      </c>
      <c r="N8">
        <v>1</v>
      </c>
      <c r="O8">
        <v>1</v>
      </c>
      <c r="S8">
        <v>1</v>
      </c>
      <c r="T8">
        <v>1</v>
      </c>
      <c r="U8">
        <v>10</v>
      </c>
      <c r="X8">
        <f t="shared" si="33"/>
        <v>0</v>
      </c>
      <c r="Z8" t="str">
        <f t="shared" si="0"/>
        <v/>
      </c>
      <c r="AA8" t="str">
        <f t="shared" si="1"/>
        <v/>
      </c>
      <c r="AB8" t="str">
        <f t="shared" si="2"/>
        <v/>
      </c>
      <c r="AC8" t="str">
        <f t="shared" si="3"/>
        <v/>
      </c>
      <c r="AE8" t="str">
        <f t="shared" si="4"/>
        <v/>
      </c>
      <c r="AF8" t="str">
        <f t="shared" si="5"/>
        <v/>
      </c>
      <c r="AG8" t="str">
        <f t="shared" si="6"/>
        <v/>
      </c>
      <c r="AH8" t="str">
        <f t="shared" si="7"/>
        <v/>
      </c>
      <c r="AI8" t="str">
        <f t="shared" si="8"/>
        <v/>
      </c>
      <c r="AK8" t="str">
        <f t="shared" si="9"/>
        <v/>
      </c>
      <c r="AL8" t="str">
        <f t="shared" si="32"/>
        <v/>
      </c>
      <c r="AM8" t="str">
        <f t="shared" si="10"/>
        <v/>
      </c>
      <c r="AN8" t="str">
        <f t="shared" si="11"/>
        <v/>
      </c>
      <c r="AO8" t="str">
        <f t="shared" si="12"/>
        <v/>
      </c>
      <c r="AP8" t="str">
        <f t="shared" si="13"/>
        <v/>
      </c>
      <c r="AQ8" t="str">
        <f t="shared" si="14"/>
        <v/>
      </c>
      <c r="AR8" t="str">
        <f t="shared" si="15"/>
        <v/>
      </c>
      <c r="AS8" t="str">
        <f t="shared" si="16"/>
        <v/>
      </c>
      <c r="AT8" t="str">
        <f t="shared" si="17"/>
        <v/>
      </c>
      <c r="AU8" t="str">
        <f t="shared" si="18"/>
        <v/>
      </c>
      <c r="AV8" t="str">
        <f t="shared" si="19"/>
        <v/>
      </c>
      <c r="AW8" t="str">
        <f t="shared" si="20"/>
        <v/>
      </c>
      <c r="AX8" t="str">
        <f t="shared" si="21"/>
        <v/>
      </c>
      <c r="AY8" t="str">
        <f t="shared" si="22"/>
        <v/>
      </c>
      <c r="AZ8" t="str">
        <f t="shared" si="23"/>
        <v/>
      </c>
      <c r="BA8" t="str">
        <f t="shared" si="24"/>
        <v/>
      </c>
      <c r="BB8" t="str">
        <f t="shared" si="25"/>
        <v/>
      </c>
      <c r="BC8" t="str">
        <f t="shared" si="26"/>
        <v/>
      </c>
      <c r="BD8" t="str">
        <f t="shared" si="27"/>
        <v/>
      </c>
      <c r="BE8" t="str">
        <f t="shared" si="28"/>
        <v/>
      </c>
      <c r="BF8" t="str">
        <f t="shared" si="29"/>
        <v/>
      </c>
      <c r="BG8" t="str">
        <f t="shared" si="30"/>
        <v/>
      </c>
      <c r="BH8" t="str">
        <f t="shared" si="31"/>
        <v/>
      </c>
    </row>
    <row r="9" spans="1:66" x14ac:dyDescent="0.2">
      <c r="A9">
        <v>6</v>
      </c>
      <c r="B9">
        <v>55</v>
      </c>
      <c r="C9" t="s">
        <v>39</v>
      </c>
      <c r="D9">
        <v>1</v>
      </c>
      <c r="J9">
        <v>2</v>
      </c>
      <c r="K9">
        <v>2</v>
      </c>
      <c r="M9">
        <v>1</v>
      </c>
      <c r="N9">
        <v>4</v>
      </c>
      <c r="O9">
        <v>4</v>
      </c>
      <c r="X9">
        <f t="shared" si="33"/>
        <v>0</v>
      </c>
      <c r="Z9" t="str">
        <f t="shared" si="0"/>
        <v/>
      </c>
      <c r="AA9" t="str">
        <f t="shared" si="1"/>
        <v/>
      </c>
      <c r="AB9" t="str">
        <f t="shared" si="2"/>
        <v/>
      </c>
      <c r="AC9" t="str">
        <f t="shared" si="3"/>
        <v/>
      </c>
      <c r="AE9" t="str">
        <f t="shared" si="4"/>
        <v/>
      </c>
      <c r="AF9" t="str">
        <f t="shared" si="5"/>
        <v/>
      </c>
      <c r="AG9" t="str">
        <f t="shared" si="6"/>
        <v/>
      </c>
      <c r="AH9" t="str">
        <f t="shared" si="7"/>
        <v/>
      </c>
      <c r="AI9" t="str">
        <f t="shared" si="8"/>
        <v/>
      </c>
      <c r="AK9" t="str">
        <f t="shared" si="9"/>
        <v/>
      </c>
      <c r="AL9" t="str">
        <f t="shared" si="32"/>
        <v/>
      </c>
      <c r="AM9" t="str">
        <f t="shared" si="10"/>
        <v/>
      </c>
      <c r="AN9" t="str">
        <f t="shared" si="11"/>
        <v/>
      </c>
      <c r="AO9" t="str">
        <f t="shared" si="12"/>
        <v/>
      </c>
      <c r="AP9" t="str">
        <f t="shared" si="13"/>
        <v/>
      </c>
      <c r="AQ9" t="str">
        <f t="shared" si="14"/>
        <v/>
      </c>
      <c r="AR9" t="str">
        <f t="shared" si="15"/>
        <v/>
      </c>
      <c r="AS9" t="str">
        <f t="shared" si="16"/>
        <v/>
      </c>
      <c r="AT9" t="str">
        <f t="shared" si="17"/>
        <v/>
      </c>
      <c r="AU9" t="str">
        <f t="shared" si="18"/>
        <v/>
      </c>
      <c r="AV9" t="str">
        <f t="shared" si="19"/>
        <v/>
      </c>
      <c r="AW9" t="str">
        <f t="shared" si="20"/>
        <v/>
      </c>
      <c r="AX9" t="str">
        <f t="shared" si="21"/>
        <v/>
      </c>
      <c r="AY9" t="str">
        <f t="shared" si="22"/>
        <v/>
      </c>
      <c r="AZ9" t="str">
        <f t="shared" si="23"/>
        <v/>
      </c>
      <c r="BA9" t="str">
        <f t="shared" si="24"/>
        <v/>
      </c>
      <c r="BB9" t="str">
        <f t="shared" si="25"/>
        <v/>
      </c>
      <c r="BC9" t="str">
        <f t="shared" si="26"/>
        <v/>
      </c>
      <c r="BD9" t="str">
        <f t="shared" si="27"/>
        <v/>
      </c>
      <c r="BE9" t="str">
        <f t="shared" si="28"/>
        <v/>
      </c>
      <c r="BF9" t="str">
        <f t="shared" si="29"/>
        <v/>
      </c>
      <c r="BG9" t="str">
        <f t="shared" si="30"/>
        <v/>
      </c>
      <c r="BH9" t="str">
        <f t="shared" si="31"/>
        <v/>
      </c>
    </row>
    <row r="10" spans="1:66" x14ac:dyDescent="0.2">
      <c r="A10">
        <v>7</v>
      </c>
      <c r="B10">
        <v>67</v>
      </c>
      <c r="C10" t="s">
        <v>207</v>
      </c>
      <c r="D10">
        <v>1</v>
      </c>
      <c r="E10">
        <v>1</v>
      </c>
      <c r="K10">
        <v>2</v>
      </c>
      <c r="M10">
        <v>2</v>
      </c>
      <c r="N10">
        <v>4</v>
      </c>
      <c r="O10">
        <v>3</v>
      </c>
      <c r="S10">
        <v>1</v>
      </c>
      <c r="T10">
        <v>1</v>
      </c>
      <c r="X10">
        <f t="shared" si="33"/>
        <v>0</v>
      </c>
      <c r="Z10" t="str">
        <f t="shared" si="0"/>
        <v/>
      </c>
      <c r="AA10" t="str">
        <f t="shared" si="1"/>
        <v/>
      </c>
      <c r="AB10" t="str">
        <f t="shared" si="2"/>
        <v/>
      </c>
      <c r="AC10" t="str">
        <f t="shared" si="3"/>
        <v/>
      </c>
      <c r="AE10" t="str">
        <f t="shared" si="4"/>
        <v>1</v>
      </c>
      <c r="AF10" t="str">
        <f t="shared" si="5"/>
        <v/>
      </c>
      <c r="AG10" t="str">
        <f t="shared" si="6"/>
        <v/>
      </c>
      <c r="AH10" t="str">
        <f t="shared" si="7"/>
        <v/>
      </c>
      <c r="AI10" t="str">
        <f t="shared" si="8"/>
        <v/>
      </c>
      <c r="AK10" t="str">
        <f t="shared" si="9"/>
        <v/>
      </c>
      <c r="AL10" t="str">
        <f t="shared" si="32"/>
        <v/>
      </c>
      <c r="AM10" t="str">
        <f t="shared" si="10"/>
        <v/>
      </c>
      <c r="AN10" t="str">
        <f t="shared" si="11"/>
        <v/>
      </c>
      <c r="AO10" t="str">
        <f t="shared" si="12"/>
        <v/>
      </c>
      <c r="AP10" t="str">
        <f t="shared" si="13"/>
        <v/>
      </c>
      <c r="AQ10" t="str">
        <f t="shared" si="14"/>
        <v/>
      </c>
      <c r="AR10" t="str">
        <f t="shared" si="15"/>
        <v/>
      </c>
      <c r="AS10" t="str">
        <f t="shared" si="16"/>
        <v/>
      </c>
      <c r="AT10" t="str">
        <f t="shared" si="17"/>
        <v/>
      </c>
      <c r="AU10" t="str">
        <f t="shared" si="18"/>
        <v/>
      </c>
      <c r="AV10" t="str">
        <f t="shared" si="19"/>
        <v/>
      </c>
      <c r="AW10" t="str">
        <f t="shared" si="20"/>
        <v/>
      </c>
      <c r="AX10" t="str">
        <f t="shared" si="21"/>
        <v/>
      </c>
      <c r="AY10" t="str">
        <f t="shared" si="22"/>
        <v/>
      </c>
      <c r="AZ10" t="str">
        <f t="shared" si="23"/>
        <v/>
      </c>
      <c r="BA10" t="str">
        <f t="shared" si="24"/>
        <v/>
      </c>
      <c r="BB10" t="str">
        <f t="shared" si="25"/>
        <v/>
      </c>
      <c r="BC10" t="str">
        <f t="shared" si="26"/>
        <v/>
      </c>
      <c r="BD10" t="str">
        <f t="shared" si="27"/>
        <v/>
      </c>
      <c r="BE10" t="str">
        <f t="shared" si="28"/>
        <v/>
      </c>
      <c r="BF10" t="str">
        <f t="shared" si="29"/>
        <v/>
      </c>
      <c r="BG10" t="str">
        <f t="shared" si="30"/>
        <v/>
      </c>
      <c r="BH10" t="str">
        <f t="shared" si="31"/>
        <v/>
      </c>
    </row>
    <row r="11" spans="1:66" x14ac:dyDescent="0.2">
      <c r="A11">
        <v>8</v>
      </c>
      <c r="B11">
        <v>76</v>
      </c>
      <c r="C11" t="s">
        <v>207</v>
      </c>
      <c r="D11">
        <v>1</v>
      </c>
      <c r="F11">
        <v>1</v>
      </c>
      <c r="L11">
        <v>3</v>
      </c>
      <c r="M11">
        <v>3</v>
      </c>
      <c r="N11">
        <v>3</v>
      </c>
      <c r="O11">
        <v>3</v>
      </c>
      <c r="S11">
        <v>1</v>
      </c>
      <c r="T11">
        <v>1</v>
      </c>
      <c r="X11">
        <f t="shared" si="33"/>
        <v>0</v>
      </c>
      <c r="Z11" t="str">
        <f t="shared" si="0"/>
        <v/>
      </c>
      <c r="AA11" t="str">
        <f t="shared" si="1"/>
        <v/>
      </c>
      <c r="AB11" t="str">
        <f t="shared" si="2"/>
        <v/>
      </c>
      <c r="AC11" t="str">
        <f t="shared" si="3"/>
        <v/>
      </c>
      <c r="AE11" t="str">
        <f t="shared" si="4"/>
        <v/>
      </c>
      <c r="AF11" t="str">
        <f t="shared" si="5"/>
        <v/>
      </c>
      <c r="AG11" t="str">
        <f t="shared" si="6"/>
        <v/>
      </c>
      <c r="AH11" t="str">
        <f t="shared" si="7"/>
        <v/>
      </c>
      <c r="AI11" t="str">
        <f t="shared" si="8"/>
        <v/>
      </c>
      <c r="AK11" t="str">
        <f t="shared" si="9"/>
        <v/>
      </c>
      <c r="AL11" t="str">
        <f t="shared" si="32"/>
        <v/>
      </c>
      <c r="AM11" t="str">
        <f t="shared" si="10"/>
        <v/>
      </c>
      <c r="AN11" t="str">
        <f t="shared" si="11"/>
        <v/>
      </c>
      <c r="AO11" t="str">
        <f t="shared" si="12"/>
        <v/>
      </c>
      <c r="AP11" t="str">
        <f t="shared" si="13"/>
        <v/>
      </c>
      <c r="AQ11" t="str">
        <f t="shared" si="14"/>
        <v/>
      </c>
      <c r="AR11" t="str">
        <f t="shared" si="15"/>
        <v/>
      </c>
      <c r="AS11" t="str">
        <f t="shared" si="16"/>
        <v/>
      </c>
      <c r="AT11" t="str">
        <f t="shared" si="17"/>
        <v/>
      </c>
      <c r="AU11" t="str">
        <f t="shared" si="18"/>
        <v/>
      </c>
      <c r="AV11" t="str">
        <f t="shared" si="19"/>
        <v/>
      </c>
      <c r="AW11" t="str">
        <f t="shared" si="20"/>
        <v/>
      </c>
      <c r="AX11" t="str">
        <f t="shared" si="21"/>
        <v/>
      </c>
      <c r="AY11" t="str">
        <f t="shared" si="22"/>
        <v/>
      </c>
      <c r="AZ11" t="str">
        <f t="shared" si="23"/>
        <v/>
      </c>
      <c r="BA11" t="str">
        <f t="shared" si="24"/>
        <v/>
      </c>
      <c r="BB11" t="str">
        <f t="shared" si="25"/>
        <v/>
      </c>
      <c r="BC11" t="str">
        <f t="shared" si="26"/>
        <v/>
      </c>
      <c r="BD11" t="str">
        <f t="shared" si="27"/>
        <v/>
      </c>
      <c r="BE11" t="str">
        <f t="shared" si="28"/>
        <v/>
      </c>
      <c r="BF11" t="str">
        <f t="shared" si="29"/>
        <v/>
      </c>
      <c r="BG11" t="str">
        <f t="shared" si="30"/>
        <v/>
      </c>
      <c r="BH11" t="str">
        <f t="shared" si="31"/>
        <v/>
      </c>
    </row>
    <row r="12" spans="1:66" x14ac:dyDescent="0.2">
      <c r="A12">
        <v>9</v>
      </c>
      <c r="B12">
        <v>85</v>
      </c>
      <c r="C12" t="s">
        <v>207</v>
      </c>
      <c r="D12">
        <v>1</v>
      </c>
      <c r="E12">
        <v>1</v>
      </c>
      <c r="J12">
        <v>1</v>
      </c>
      <c r="K12">
        <v>3</v>
      </c>
      <c r="M12">
        <v>1</v>
      </c>
      <c r="N12">
        <v>4</v>
      </c>
      <c r="O12">
        <v>4</v>
      </c>
      <c r="S12">
        <v>1</v>
      </c>
      <c r="T12">
        <v>1</v>
      </c>
      <c r="U12">
        <v>1</v>
      </c>
      <c r="X12">
        <f t="shared" si="33"/>
        <v>0</v>
      </c>
      <c r="Z12" t="str">
        <f t="shared" si="0"/>
        <v/>
      </c>
      <c r="AA12" t="str">
        <f t="shared" si="1"/>
        <v/>
      </c>
      <c r="AB12" t="str">
        <f t="shared" si="2"/>
        <v/>
      </c>
      <c r="AC12" t="str">
        <f t="shared" si="3"/>
        <v/>
      </c>
      <c r="AE12" t="str">
        <f t="shared" si="4"/>
        <v/>
      </c>
      <c r="AF12" t="str">
        <f t="shared" si="5"/>
        <v/>
      </c>
      <c r="AG12" t="str">
        <f t="shared" si="6"/>
        <v/>
      </c>
      <c r="AH12" t="str">
        <f t="shared" si="7"/>
        <v/>
      </c>
      <c r="AI12" t="str">
        <f t="shared" si="8"/>
        <v/>
      </c>
      <c r="AK12" t="str">
        <f t="shared" si="9"/>
        <v/>
      </c>
      <c r="AL12" t="str">
        <f t="shared" si="32"/>
        <v/>
      </c>
      <c r="AM12" t="str">
        <f t="shared" si="10"/>
        <v/>
      </c>
      <c r="AN12" t="str">
        <f t="shared" si="11"/>
        <v/>
      </c>
      <c r="AO12" t="str">
        <f t="shared" si="12"/>
        <v/>
      </c>
      <c r="AP12" t="str">
        <f t="shared" si="13"/>
        <v/>
      </c>
      <c r="AQ12" t="str">
        <f t="shared" si="14"/>
        <v/>
      </c>
      <c r="AR12" t="str">
        <f t="shared" si="15"/>
        <v/>
      </c>
      <c r="AS12" t="str">
        <f t="shared" si="16"/>
        <v/>
      </c>
      <c r="AT12" t="str">
        <f t="shared" si="17"/>
        <v/>
      </c>
      <c r="AU12" t="str">
        <f t="shared" si="18"/>
        <v/>
      </c>
      <c r="AV12" t="str">
        <f t="shared" si="19"/>
        <v/>
      </c>
      <c r="AW12" t="str">
        <f t="shared" si="20"/>
        <v/>
      </c>
      <c r="AX12" t="str">
        <f t="shared" si="21"/>
        <v/>
      </c>
      <c r="AY12" t="str">
        <f t="shared" si="22"/>
        <v/>
      </c>
      <c r="AZ12" t="str">
        <f t="shared" si="23"/>
        <v/>
      </c>
      <c r="BA12" t="str">
        <f t="shared" si="24"/>
        <v/>
      </c>
      <c r="BB12" t="str">
        <f t="shared" si="25"/>
        <v/>
      </c>
      <c r="BC12" t="str">
        <f t="shared" si="26"/>
        <v/>
      </c>
      <c r="BD12" t="str">
        <f t="shared" si="27"/>
        <v/>
      </c>
      <c r="BE12" t="str">
        <f t="shared" si="28"/>
        <v/>
      </c>
      <c r="BF12" t="str">
        <f t="shared" si="29"/>
        <v/>
      </c>
      <c r="BG12" t="str">
        <f t="shared" si="30"/>
        <v/>
      </c>
      <c r="BH12" t="str">
        <f t="shared" si="31"/>
        <v/>
      </c>
    </row>
    <row r="13" spans="1:66" x14ac:dyDescent="0.2">
      <c r="A13">
        <v>10</v>
      </c>
      <c r="B13">
        <v>98</v>
      </c>
      <c r="C13" t="s">
        <v>39</v>
      </c>
      <c r="D13">
        <v>1</v>
      </c>
      <c r="K13">
        <v>2</v>
      </c>
      <c r="M13">
        <v>1</v>
      </c>
      <c r="N13">
        <v>4</v>
      </c>
      <c r="O13">
        <v>3</v>
      </c>
      <c r="S13">
        <v>1</v>
      </c>
      <c r="T13">
        <v>1</v>
      </c>
      <c r="U13">
        <v>1</v>
      </c>
      <c r="X13">
        <f t="shared" si="33"/>
        <v>0</v>
      </c>
      <c r="Z13" t="str">
        <f t="shared" si="0"/>
        <v/>
      </c>
      <c r="AA13" t="str">
        <f t="shared" si="1"/>
        <v/>
      </c>
      <c r="AB13" t="str">
        <f t="shared" si="2"/>
        <v/>
      </c>
      <c r="AC13" t="str">
        <f t="shared" si="3"/>
        <v/>
      </c>
      <c r="AE13" t="str">
        <f t="shared" si="4"/>
        <v/>
      </c>
      <c r="AF13" t="str">
        <f t="shared" si="5"/>
        <v/>
      </c>
      <c r="AG13" t="str">
        <f t="shared" si="6"/>
        <v/>
      </c>
      <c r="AH13" t="str">
        <f t="shared" si="7"/>
        <v/>
      </c>
      <c r="AI13" t="str">
        <f t="shared" si="8"/>
        <v/>
      </c>
      <c r="AK13" t="str">
        <f t="shared" si="9"/>
        <v/>
      </c>
      <c r="AL13" t="str">
        <f t="shared" si="32"/>
        <v/>
      </c>
      <c r="AM13" t="str">
        <f t="shared" si="10"/>
        <v/>
      </c>
      <c r="AN13" t="str">
        <f t="shared" si="11"/>
        <v/>
      </c>
      <c r="AO13" t="str">
        <f t="shared" si="12"/>
        <v/>
      </c>
      <c r="AP13" t="str">
        <f t="shared" si="13"/>
        <v/>
      </c>
      <c r="AQ13" t="str">
        <f t="shared" si="14"/>
        <v/>
      </c>
      <c r="AR13" t="str">
        <f t="shared" si="15"/>
        <v/>
      </c>
      <c r="AS13" t="str">
        <f t="shared" si="16"/>
        <v/>
      </c>
      <c r="AT13" t="str">
        <f t="shared" si="17"/>
        <v/>
      </c>
      <c r="AU13" t="str">
        <f t="shared" si="18"/>
        <v/>
      </c>
      <c r="AV13" t="str">
        <f t="shared" si="19"/>
        <v/>
      </c>
      <c r="AW13" t="str">
        <f t="shared" si="20"/>
        <v/>
      </c>
      <c r="AX13" t="str">
        <f t="shared" si="21"/>
        <v/>
      </c>
      <c r="AY13" t="str">
        <f t="shared" si="22"/>
        <v/>
      </c>
      <c r="AZ13" t="str">
        <f t="shared" si="23"/>
        <v/>
      </c>
      <c r="BA13" t="str">
        <f t="shared" si="24"/>
        <v/>
      </c>
      <c r="BB13" t="str">
        <f t="shared" si="25"/>
        <v/>
      </c>
      <c r="BC13" t="str">
        <f t="shared" si="26"/>
        <v/>
      </c>
      <c r="BD13" t="str">
        <f t="shared" si="27"/>
        <v/>
      </c>
      <c r="BE13" t="str">
        <f t="shared" si="28"/>
        <v/>
      </c>
      <c r="BF13" t="str">
        <f t="shared" si="29"/>
        <v/>
      </c>
      <c r="BG13" t="str">
        <f t="shared" si="30"/>
        <v/>
      </c>
      <c r="BH13" t="str">
        <f t="shared" si="31"/>
        <v/>
      </c>
    </row>
    <row r="14" spans="1:66" x14ac:dyDescent="0.2">
      <c r="A14">
        <v>11</v>
      </c>
      <c r="B14">
        <v>109</v>
      </c>
      <c r="C14" t="s">
        <v>39</v>
      </c>
      <c r="D14">
        <v>1</v>
      </c>
      <c r="E14">
        <v>1</v>
      </c>
      <c r="K14">
        <v>3</v>
      </c>
      <c r="M14">
        <v>1</v>
      </c>
      <c r="N14">
        <v>4</v>
      </c>
      <c r="O14">
        <v>4</v>
      </c>
      <c r="S14">
        <v>1</v>
      </c>
      <c r="T14">
        <v>1</v>
      </c>
      <c r="X14">
        <f t="shared" si="33"/>
        <v>0</v>
      </c>
      <c r="Z14" t="s">
        <v>31</v>
      </c>
      <c r="AE14" t="s">
        <v>34</v>
      </c>
      <c r="AK14" t="s">
        <v>43</v>
      </c>
      <c r="AP14" t="s">
        <v>84</v>
      </c>
    </row>
    <row r="15" spans="1:66" x14ac:dyDescent="0.2">
      <c r="A15">
        <v>12</v>
      </c>
      <c r="B15">
        <v>120</v>
      </c>
      <c r="C15" t="s">
        <v>39</v>
      </c>
      <c r="D15">
        <v>1</v>
      </c>
      <c r="N15">
        <v>1</v>
      </c>
      <c r="O15">
        <v>1</v>
      </c>
      <c r="S15">
        <v>1</v>
      </c>
      <c r="T15">
        <v>1</v>
      </c>
      <c r="X15">
        <f t="shared" si="33"/>
        <v>0</v>
      </c>
      <c r="Z15" t="s">
        <v>21</v>
      </c>
      <c r="AA15" t="s">
        <v>22</v>
      </c>
      <c r="AE15" t="s">
        <v>21</v>
      </c>
      <c r="AF15" t="s">
        <v>22</v>
      </c>
      <c r="AG15" t="s">
        <v>35</v>
      </c>
      <c r="AK15" t="s">
        <v>10</v>
      </c>
      <c r="AL15" t="s">
        <v>25</v>
      </c>
      <c r="AM15" t="s">
        <v>26</v>
      </c>
      <c r="AN15" t="s">
        <v>27</v>
      </c>
      <c r="AP15" t="s">
        <v>15</v>
      </c>
      <c r="AQ15" t="s">
        <v>85</v>
      </c>
    </row>
    <row r="16" spans="1:66" x14ac:dyDescent="0.2">
      <c r="A16" t="s">
        <v>28</v>
      </c>
      <c r="D16">
        <f>SUM(D4:D15)</f>
        <v>12</v>
      </c>
      <c r="E16">
        <f>SUM(E4:E15)</f>
        <v>4</v>
      </c>
      <c r="F16">
        <f>SUM(F4:F15)</f>
        <v>2</v>
      </c>
      <c r="G16">
        <f>SUM(G4:G15)</f>
        <v>0</v>
      </c>
      <c r="H16">
        <f>SUM(H4:H15)</f>
        <v>0</v>
      </c>
      <c r="K16">
        <f>SUM(K4:K15)</f>
        <v>22</v>
      </c>
      <c r="L16">
        <f>SUM(L4:L15)</f>
        <v>7</v>
      </c>
      <c r="M16">
        <f>SUM(M4:M15)</f>
        <v>10</v>
      </c>
      <c r="N16">
        <f>SUM(N4:N15)</f>
        <v>39</v>
      </c>
      <c r="O16">
        <f>SUM(O4:O15)</f>
        <v>35</v>
      </c>
      <c r="Q16">
        <f t="shared" ref="Q16:R16" si="34">SUM(Q4:Q15)</f>
        <v>0</v>
      </c>
      <c r="R16">
        <f t="shared" si="34"/>
        <v>0</v>
      </c>
      <c r="S16">
        <f>SUM(S4:S15)</f>
        <v>11</v>
      </c>
      <c r="T16">
        <f>SUM(T4:T15)</f>
        <v>10</v>
      </c>
      <c r="U16">
        <f>SUM(U4:U15)</f>
        <v>19</v>
      </c>
      <c r="V16">
        <f>SUM(V4:V15)</f>
        <v>0</v>
      </c>
      <c r="W16">
        <f>SUM(W4:W15)</f>
        <v>0</v>
      </c>
      <c r="Z16">
        <f t="shared" ref="Z16:Z27" si="35">COUNTIF(Z2:AC2, "3")*COUNTIF(C4, "r")+COUNTIF(Z2:AC2, "5")*COUNTIF(C4, "b")</f>
        <v>0</v>
      </c>
      <c r="AA16">
        <f t="shared" ref="AA16:AA27" si="36">COUNTIF(Z2:AC2, "1")+COUNTIF(Z2:AC2, "2")+COUNTIF(Z2:AC2, "4")</f>
        <v>0</v>
      </c>
      <c r="AE16">
        <f t="shared" ref="AE16:AE27" si="37">COUNTIF(AE2:AI2, "3")*COUNTIF(C4, "r") + COUNTIF(AE2:AI2, "5")*COUNTIF(C4, "b")</f>
        <v>1</v>
      </c>
      <c r="AF16">
        <f t="shared" ref="AF16:AF27" si="38">COUNTIF(AE2:AI2, "1")+COUNTIF(AE2:AI2, "2")+COUNTIF(AE2:AI2, "4")</f>
        <v>0</v>
      </c>
      <c r="AG16">
        <f t="shared" ref="AG16:AG27" si="39">COUNTIF(AE2:AI2, "3")*COUNTIF(AE2:AI2, "b")+COUNTIF(AE2:AI2, "5")*COUNTIF(AE2:AI2, "r")</f>
        <v>0</v>
      </c>
      <c r="AK16">
        <f t="shared" ref="AK16:AK27" si="40">SUMPRODUCT(LEN($AK2:$BH2) - LEN(SUBSTITUTE($AK2:$BH2, "g", "")))</f>
        <v>0</v>
      </c>
      <c r="AL16">
        <f t="shared" ref="AL16:AL27" si="41">SUMPRODUCT(LEN($AK2:$BH2) - LEN(SUBSTITUTE($AK2:$BH2, "h", "")))</f>
        <v>0</v>
      </c>
      <c r="AM16">
        <f t="shared" ref="AM16:AM27" si="42">SUMPRODUCT(LEN($AK2:$BH2) - LEN(SUBSTITUTE($AK2:$BH2, "v", "")))</f>
        <v>0</v>
      </c>
      <c r="AN16">
        <f t="shared" ref="AN16:AN27" si="43">SUMPRODUCT(LEN($AK2:$BH2) - LEN(SUBSTITUTE($AK2:$BH2, "r", "")))</f>
        <v>0</v>
      </c>
      <c r="AP16">
        <f>MAX(AQ16:BN16)</f>
        <v>0</v>
      </c>
      <c r="AQ16" s="4">
        <f>_xlfn.NUMBERVALUE(RIGHT(AK2,1))</f>
        <v>0</v>
      </c>
      <c r="AR16" s="4">
        <f t="shared" ref="AR16:BG27" si="44">_xlfn.NUMBERVALUE(RIGHT(AL2,1))</f>
        <v>0</v>
      </c>
      <c r="AS16" s="4">
        <f t="shared" si="44"/>
        <v>0</v>
      </c>
      <c r="AT16" s="4">
        <f t="shared" si="44"/>
        <v>0</v>
      </c>
      <c r="AU16" s="4">
        <f t="shared" si="44"/>
        <v>0</v>
      </c>
      <c r="AV16" s="4">
        <f t="shared" si="44"/>
        <v>0</v>
      </c>
      <c r="AW16" s="4">
        <f t="shared" si="44"/>
        <v>0</v>
      </c>
      <c r="AX16" s="4">
        <f t="shared" si="44"/>
        <v>0</v>
      </c>
      <c r="AY16" s="4">
        <f t="shared" si="44"/>
        <v>0</v>
      </c>
      <c r="AZ16" s="4">
        <f t="shared" si="44"/>
        <v>0</v>
      </c>
      <c r="BA16" s="4">
        <f t="shared" si="44"/>
        <v>0</v>
      </c>
      <c r="BB16" s="4">
        <f t="shared" si="44"/>
        <v>0</v>
      </c>
      <c r="BC16" s="4">
        <f t="shared" si="44"/>
        <v>0</v>
      </c>
      <c r="BD16" s="4">
        <f t="shared" si="44"/>
        <v>0</v>
      </c>
      <c r="BE16" s="4">
        <f t="shared" si="44"/>
        <v>0</v>
      </c>
      <c r="BF16" s="4">
        <f t="shared" si="44"/>
        <v>0</v>
      </c>
      <c r="BG16" s="4">
        <f t="shared" si="44"/>
        <v>0</v>
      </c>
      <c r="BH16" s="4">
        <f t="shared" ref="BH16:BN27" si="45">_xlfn.NUMBERVALUE(RIGHT(BB2,1))</f>
        <v>0</v>
      </c>
      <c r="BI16" s="4">
        <f t="shared" si="45"/>
        <v>0</v>
      </c>
      <c r="BJ16" s="4">
        <f t="shared" si="45"/>
        <v>0</v>
      </c>
      <c r="BK16" s="4">
        <f t="shared" si="45"/>
        <v>0</v>
      </c>
      <c r="BL16" s="4">
        <f t="shared" si="45"/>
        <v>0</v>
      </c>
      <c r="BM16" s="4">
        <f t="shared" si="45"/>
        <v>0</v>
      </c>
      <c r="BN16" s="4">
        <f t="shared" si="45"/>
        <v>0</v>
      </c>
    </row>
    <row r="17" spans="1:66" x14ac:dyDescent="0.2">
      <c r="A17" s="1" t="s">
        <v>20</v>
      </c>
      <c r="D17" s="1" t="s">
        <v>49</v>
      </c>
      <c r="G17" s="1" t="s">
        <v>52</v>
      </c>
      <c r="K17" s="3" t="s">
        <v>74</v>
      </c>
      <c r="P17" s="1" t="s">
        <v>66</v>
      </c>
      <c r="Z17">
        <f t="shared" si="35"/>
        <v>0</v>
      </c>
      <c r="AA17">
        <f t="shared" si="36"/>
        <v>0</v>
      </c>
      <c r="AE17">
        <f t="shared" si="37"/>
        <v>0</v>
      </c>
      <c r="AF17">
        <f t="shared" si="38"/>
        <v>0</v>
      </c>
      <c r="AG17">
        <f t="shared" si="39"/>
        <v>0</v>
      </c>
      <c r="AK17">
        <f t="shared" si="40"/>
        <v>0</v>
      </c>
      <c r="AL17">
        <f t="shared" si="41"/>
        <v>0</v>
      </c>
      <c r="AM17">
        <f t="shared" si="42"/>
        <v>0</v>
      </c>
      <c r="AN17">
        <f t="shared" si="43"/>
        <v>0</v>
      </c>
      <c r="AP17">
        <f t="shared" ref="AP17:AP27" si="46">MAX(AQ17:BN17)</f>
        <v>0</v>
      </c>
      <c r="AQ17" s="4">
        <f t="shared" ref="AQ17:AQ27" si="47">_xlfn.NUMBERVALUE(RIGHT(AK3,1))</f>
        <v>0</v>
      </c>
      <c r="AR17" s="4">
        <f t="shared" si="44"/>
        <v>0</v>
      </c>
      <c r="AS17" s="4">
        <f t="shared" si="44"/>
        <v>0</v>
      </c>
      <c r="AT17" s="4">
        <f t="shared" si="44"/>
        <v>0</v>
      </c>
      <c r="AU17" s="4">
        <f t="shared" si="44"/>
        <v>0</v>
      </c>
      <c r="AV17" s="4">
        <f t="shared" si="44"/>
        <v>0</v>
      </c>
      <c r="AW17" s="4">
        <f t="shared" si="44"/>
        <v>0</v>
      </c>
      <c r="AX17" s="4">
        <f t="shared" si="44"/>
        <v>0</v>
      </c>
      <c r="AY17" s="4">
        <f t="shared" si="44"/>
        <v>0</v>
      </c>
      <c r="AZ17" s="4">
        <f t="shared" si="44"/>
        <v>0</v>
      </c>
      <c r="BA17" s="4">
        <f t="shared" si="44"/>
        <v>0</v>
      </c>
      <c r="BB17" s="4">
        <f t="shared" si="44"/>
        <v>0</v>
      </c>
      <c r="BC17" s="4">
        <f t="shared" si="44"/>
        <v>0</v>
      </c>
      <c r="BD17" s="4">
        <f t="shared" si="44"/>
        <v>0</v>
      </c>
      <c r="BE17" s="4">
        <f t="shared" si="44"/>
        <v>0</v>
      </c>
      <c r="BF17" s="4">
        <f t="shared" si="44"/>
        <v>0</v>
      </c>
      <c r="BG17" s="4">
        <f t="shared" si="44"/>
        <v>0</v>
      </c>
      <c r="BH17" s="4">
        <f t="shared" si="45"/>
        <v>0</v>
      </c>
      <c r="BI17" s="4">
        <f t="shared" si="45"/>
        <v>0</v>
      </c>
      <c r="BJ17" s="4">
        <f t="shared" si="45"/>
        <v>0</v>
      </c>
      <c r="BK17" s="4">
        <f t="shared" si="45"/>
        <v>0</v>
      </c>
      <c r="BL17" s="4">
        <f t="shared" si="45"/>
        <v>0</v>
      </c>
      <c r="BM17" s="4">
        <f t="shared" si="45"/>
        <v>0</v>
      </c>
      <c r="BN17" s="4">
        <f t="shared" si="45"/>
        <v>0</v>
      </c>
    </row>
    <row r="18" spans="1:66" x14ac:dyDescent="0.2">
      <c r="A18" t="s">
        <v>32</v>
      </c>
      <c r="B18" t="s">
        <v>21</v>
      </c>
      <c r="D18" t="s">
        <v>180</v>
      </c>
      <c r="G18" s="3" t="s">
        <v>53</v>
      </c>
      <c r="K18" t="s">
        <v>55</v>
      </c>
      <c r="M18" t="s">
        <v>65</v>
      </c>
      <c r="P18" t="s">
        <v>67</v>
      </c>
      <c r="Z18">
        <f t="shared" si="35"/>
        <v>0</v>
      </c>
      <c r="AA18">
        <f t="shared" si="36"/>
        <v>0</v>
      </c>
      <c r="AE18">
        <f t="shared" si="37"/>
        <v>0</v>
      </c>
      <c r="AF18">
        <f t="shared" si="38"/>
        <v>0</v>
      </c>
      <c r="AG18">
        <f t="shared" si="39"/>
        <v>0</v>
      </c>
      <c r="AK18">
        <f t="shared" si="40"/>
        <v>0</v>
      </c>
      <c r="AL18">
        <f t="shared" si="41"/>
        <v>0</v>
      </c>
      <c r="AM18">
        <f t="shared" si="42"/>
        <v>0</v>
      </c>
      <c r="AN18">
        <f t="shared" si="43"/>
        <v>0</v>
      </c>
      <c r="AP18">
        <f t="shared" si="46"/>
        <v>0</v>
      </c>
      <c r="AQ18" s="4">
        <f t="shared" si="47"/>
        <v>0</v>
      </c>
      <c r="AR18" s="4">
        <f t="shared" si="44"/>
        <v>0</v>
      </c>
      <c r="AS18" s="4">
        <f t="shared" si="44"/>
        <v>0</v>
      </c>
      <c r="AT18" s="4">
        <f t="shared" si="44"/>
        <v>0</v>
      </c>
      <c r="AU18" s="4">
        <f t="shared" si="44"/>
        <v>0</v>
      </c>
      <c r="AV18" s="4">
        <f t="shared" si="44"/>
        <v>0</v>
      </c>
      <c r="AW18" s="4">
        <f t="shared" si="44"/>
        <v>0</v>
      </c>
      <c r="AX18" s="4">
        <f t="shared" si="44"/>
        <v>0</v>
      </c>
      <c r="AY18" s="4">
        <f t="shared" si="44"/>
        <v>0</v>
      </c>
      <c r="AZ18" s="4">
        <f t="shared" si="44"/>
        <v>0</v>
      </c>
      <c r="BA18" s="4">
        <f t="shared" si="44"/>
        <v>0</v>
      </c>
      <c r="BB18" s="4">
        <f t="shared" si="44"/>
        <v>0</v>
      </c>
      <c r="BC18" s="4">
        <f t="shared" si="44"/>
        <v>0</v>
      </c>
      <c r="BD18" s="4">
        <f t="shared" si="44"/>
        <v>0</v>
      </c>
      <c r="BE18" s="4">
        <f t="shared" si="44"/>
        <v>0</v>
      </c>
      <c r="BF18" s="4">
        <f t="shared" si="44"/>
        <v>0</v>
      </c>
      <c r="BG18" s="4">
        <f t="shared" si="44"/>
        <v>0</v>
      </c>
      <c r="BH18" s="4">
        <f t="shared" si="45"/>
        <v>0</v>
      </c>
      <c r="BI18" s="4">
        <f t="shared" si="45"/>
        <v>0</v>
      </c>
      <c r="BJ18" s="4">
        <f t="shared" si="45"/>
        <v>0</v>
      </c>
      <c r="BK18" s="4">
        <f t="shared" si="45"/>
        <v>0</v>
      </c>
      <c r="BL18" s="4">
        <f t="shared" si="45"/>
        <v>0</v>
      </c>
      <c r="BM18" s="4">
        <f t="shared" si="45"/>
        <v>0</v>
      </c>
      <c r="BN18" s="4">
        <f t="shared" si="45"/>
        <v>0</v>
      </c>
    </row>
    <row r="19" spans="1:66" x14ac:dyDescent="0.2">
      <c r="A19" t="s">
        <v>40</v>
      </c>
      <c r="B19" t="s">
        <v>22</v>
      </c>
      <c r="D19">
        <f>E16/D16</f>
        <v>0.33333333333333331</v>
      </c>
      <c r="G19" t="s">
        <v>75</v>
      </c>
      <c r="K19">
        <f>O16/N16</f>
        <v>0.89743589743589747</v>
      </c>
      <c r="M19">
        <f>SUM(M39:M50)</f>
        <v>-3</v>
      </c>
      <c r="P19">
        <f>T16/S16</f>
        <v>0.90909090909090906</v>
      </c>
      <c r="Z19">
        <f t="shared" si="35"/>
        <v>0</v>
      </c>
      <c r="AA19">
        <f t="shared" si="36"/>
        <v>0</v>
      </c>
      <c r="AE19">
        <f t="shared" si="37"/>
        <v>0</v>
      </c>
      <c r="AF19">
        <f t="shared" si="38"/>
        <v>0</v>
      </c>
      <c r="AG19">
        <f t="shared" si="39"/>
        <v>0</v>
      </c>
      <c r="AK19">
        <f t="shared" si="40"/>
        <v>0</v>
      </c>
      <c r="AL19">
        <f t="shared" si="41"/>
        <v>0</v>
      </c>
      <c r="AM19">
        <f t="shared" si="42"/>
        <v>0</v>
      </c>
      <c r="AN19">
        <f t="shared" si="43"/>
        <v>0</v>
      </c>
      <c r="AP19">
        <f t="shared" si="46"/>
        <v>0</v>
      </c>
      <c r="AQ19" s="4">
        <f t="shared" si="47"/>
        <v>0</v>
      </c>
      <c r="AR19" s="4">
        <f t="shared" si="44"/>
        <v>0</v>
      </c>
      <c r="AS19" s="4">
        <f t="shared" si="44"/>
        <v>0</v>
      </c>
      <c r="AT19" s="4">
        <f t="shared" si="44"/>
        <v>0</v>
      </c>
      <c r="AU19" s="4">
        <f t="shared" si="44"/>
        <v>0</v>
      </c>
      <c r="AV19" s="4">
        <f t="shared" si="44"/>
        <v>0</v>
      </c>
      <c r="AW19" s="4">
        <f t="shared" si="44"/>
        <v>0</v>
      </c>
      <c r="AX19" s="4">
        <f t="shared" si="44"/>
        <v>0</v>
      </c>
      <c r="AY19" s="4">
        <f t="shared" si="44"/>
        <v>0</v>
      </c>
      <c r="AZ19" s="4">
        <f t="shared" si="44"/>
        <v>0</v>
      </c>
      <c r="BA19" s="4">
        <f t="shared" si="44"/>
        <v>0</v>
      </c>
      <c r="BB19" s="4">
        <f t="shared" si="44"/>
        <v>0</v>
      </c>
      <c r="BC19" s="4">
        <f t="shared" si="44"/>
        <v>0</v>
      </c>
      <c r="BD19" s="4">
        <f t="shared" si="44"/>
        <v>0</v>
      </c>
      <c r="BE19" s="4">
        <f t="shared" si="44"/>
        <v>0</v>
      </c>
      <c r="BF19" s="4">
        <f t="shared" si="44"/>
        <v>0</v>
      </c>
      <c r="BG19" s="4">
        <f t="shared" si="44"/>
        <v>0</v>
      </c>
      <c r="BH19" s="4">
        <f t="shared" si="45"/>
        <v>0</v>
      </c>
      <c r="BI19" s="4">
        <f t="shared" si="45"/>
        <v>0</v>
      </c>
      <c r="BJ19" s="4">
        <f t="shared" si="45"/>
        <v>0</v>
      </c>
      <c r="BK19" s="4">
        <f t="shared" si="45"/>
        <v>0</v>
      </c>
      <c r="BL19" s="4">
        <f t="shared" si="45"/>
        <v>0</v>
      </c>
      <c r="BM19" s="4">
        <f t="shared" si="45"/>
        <v>0</v>
      </c>
      <c r="BN19" s="4">
        <f t="shared" si="45"/>
        <v>0</v>
      </c>
    </row>
    <row r="20" spans="1:66" x14ac:dyDescent="0.2">
      <c r="A20" t="s">
        <v>41</v>
      </c>
      <c r="B20" t="s">
        <v>23</v>
      </c>
      <c r="D20" t="s">
        <v>47</v>
      </c>
      <c r="G20" t="e">
        <f>AK28/AP28</f>
        <v>#DIV/0!</v>
      </c>
      <c r="K20" t="s">
        <v>13</v>
      </c>
      <c r="Z20">
        <f t="shared" si="35"/>
        <v>0</v>
      </c>
      <c r="AA20">
        <f t="shared" si="36"/>
        <v>0</v>
      </c>
      <c r="AE20">
        <f t="shared" si="37"/>
        <v>0</v>
      </c>
      <c r="AF20">
        <f t="shared" si="38"/>
        <v>0</v>
      </c>
      <c r="AG20">
        <f t="shared" si="39"/>
        <v>0</v>
      </c>
      <c r="AK20">
        <f t="shared" si="40"/>
        <v>0</v>
      </c>
      <c r="AL20">
        <f t="shared" si="41"/>
        <v>0</v>
      </c>
      <c r="AM20">
        <f t="shared" si="42"/>
        <v>0</v>
      </c>
      <c r="AN20">
        <f t="shared" si="43"/>
        <v>0</v>
      </c>
      <c r="AP20">
        <f t="shared" si="46"/>
        <v>0</v>
      </c>
      <c r="AQ20" s="4">
        <f t="shared" si="47"/>
        <v>0</v>
      </c>
      <c r="AR20" s="4">
        <f t="shared" si="44"/>
        <v>0</v>
      </c>
      <c r="AS20" s="4">
        <f t="shared" si="44"/>
        <v>0</v>
      </c>
      <c r="AT20" s="4">
        <f t="shared" si="44"/>
        <v>0</v>
      </c>
      <c r="AU20" s="4">
        <f t="shared" si="44"/>
        <v>0</v>
      </c>
      <c r="AV20" s="4">
        <f t="shared" si="44"/>
        <v>0</v>
      </c>
      <c r="AW20" s="4">
        <f t="shared" si="44"/>
        <v>0</v>
      </c>
      <c r="AX20" s="4">
        <f t="shared" si="44"/>
        <v>0</v>
      </c>
      <c r="AY20" s="4">
        <f t="shared" si="44"/>
        <v>0</v>
      </c>
      <c r="AZ20" s="4">
        <f t="shared" si="44"/>
        <v>0</v>
      </c>
      <c r="BA20" s="4">
        <f t="shared" si="44"/>
        <v>0</v>
      </c>
      <c r="BB20" s="4">
        <f t="shared" si="44"/>
        <v>0</v>
      </c>
      <c r="BC20" s="4">
        <f t="shared" si="44"/>
        <v>0</v>
      </c>
      <c r="BD20" s="4">
        <f t="shared" si="44"/>
        <v>0</v>
      </c>
      <c r="BE20" s="4">
        <f t="shared" si="44"/>
        <v>0</v>
      </c>
      <c r="BF20" s="4">
        <f t="shared" si="44"/>
        <v>0</v>
      </c>
      <c r="BG20" s="4">
        <f t="shared" si="44"/>
        <v>0</v>
      </c>
      <c r="BH20" s="4">
        <f t="shared" si="45"/>
        <v>0</v>
      </c>
      <c r="BI20" s="4">
        <f t="shared" si="45"/>
        <v>0</v>
      </c>
      <c r="BJ20" s="4">
        <f t="shared" si="45"/>
        <v>0</v>
      </c>
      <c r="BK20" s="4">
        <f t="shared" si="45"/>
        <v>0</v>
      </c>
      <c r="BL20" s="4">
        <f t="shared" si="45"/>
        <v>0</v>
      </c>
      <c r="BM20" s="4">
        <f t="shared" si="45"/>
        <v>0</v>
      </c>
      <c r="BN20" s="4">
        <f t="shared" si="45"/>
        <v>0</v>
      </c>
    </row>
    <row r="21" spans="1:66" x14ac:dyDescent="0.2">
      <c r="A21" s="1" t="s">
        <v>24</v>
      </c>
      <c r="D21">
        <f>G16/A31</f>
        <v>0</v>
      </c>
      <c r="G21" t="s">
        <v>76</v>
      </c>
      <c r="K21" t="s">
        <v>57</v>
      </c>
      <c r="L21" t="s">
        <v>58</v>
      </c>
      <c r="M21" t="s">
        <v>59</v>
      </c>
      <c r="N21" t="s">
        <v>60</v>
      </c>
      <c r="Z21">
        <f t="shared" si="35"/>
        <v>0</v>
      </c>
      <c r="AA21">
        <f t="shared" si="36"/>
        <v>0</v>
      </c>
      <c r="AE21">
        <f t="shared" si="37"/>
        <v>0</v>
      </c>
      <c r="AF21">
        <f t="shared" si="38"/>
        <v>1</v>
      </c>
      <c r="AG21">
        <f t="shared" si="39"/>
        <v>0</v>
      </c>
      <c r="AK21">
        <f t="shared" si="40"/>
        <v>0</v>
      </c>
      <c r="AL21">
        <f t="shared" si="41"/>
        <v>0</v>
      </c>
      <c r="AM21">
        <f t="shared" si="42"/>
        <v>0</v>
      </c>
      <c r="AN21">
        <f t="shared" si="43"/>
        <v>0</v>
      </c>
      <c r="AP21">
        <f t="shared" si="46"/>
        <v>0</v>
      </c>
      <c r="AQ21" s="4">
        <f t="shared" si="47"/>
        <v>0</v>
      </c>
      <c r="AR21" s="4">
        <f t="shared" si="44"/>
        <v>0</v>
      </c>
      <c r="AS21" s="4">
        <f t="shared" si="44"/>
        <v>0</v>
      </c>
      <c r="AT21" s="4">
        <f t="shared" si="44"/>
        <v>0</v>
      </c>
      <c r="AU21" s="4">
        <f t="shared" si="44"/>
        <v>0</v>
      </c>
      <c r="AV21" s="4">
        <f t="shared" si="44"/>
        <v>0</v>
      </c>
      <c r="AW21" s="4">
        <f t="shared" si="44"/>
        <v>0</v>
      </c>
      <c r="AX21" s="4">
        <f t="shared" si="44"/>
        <v>0</v>
      </c>
      <c r="AY21" s="4">
        <f t="shared" si="44"/>
        <v>0</v>
      </c>
      <c r="AZ21" s="4">
        <f t="shared" si="44"/>
        <v>0</v>
      </c>
      <c r="BA21" s="4">
        <f t="shared" si="44"/>
        <v>0</v>
      </c>
      <c r="BB21" s="4">
        <f t="shared" si="44"/>
        <v>0</v>
      </c>
      <c r="BC21" s="4">
        <f t="shared" si="44"/>
        <v>0</v>
      </c>
      <c r="BD21" s="4">
        <f t="shared" si="44"/>
        <v>0</v>
      </c>
      <c r="BE21" s="4">
        <f t="shared" si="44"/>
        <v>0</v>
      </c>
      <c r="BF21" s="4">
        <f t="shared" si="44"/>
        <v>0</v>
      </c>
      <c r="BG21" s="4">
        <f t="shared" si="44"/>
        <v>0</v>
      </c>
      <c r="BH21" s="4">
        <f t="shared" si="45"/>
        <v>0</v>
      </c>
      <c r="BI21" s="4">
        <f t="shared" si="45"/>
        <v>0</v>
      </c>
      <c r="BJ21" s="4">
        <f t="shared" si="45"/>
        <v>0</v>
      </c>
      <c r="BK21" s="4">
        <f t="shared" si="45"/>
        <v>0</v>
      </c>
      <c r="BL21" s="4">
        <f t="shared" si="45"/>
        <v>0</v>
      </c>
      <c r="BM21" s="4">
        <f t="shared" si="45"/>
        <v>0</v>
      </c>
      <c r="BN21" s="4">
        <f t="shared" si="45"/>
        <v>0</v>
      </c>
    </row>
    <row r="22" spans="1:66" x14ac:dyDescent="0.2">
      <c r="A22" t="s">
        <v>36</v>
      </c>
      <c r="B22" t="s">
        <v>10</v>
      </c>
      <c r="D22" t="s">
        <v>48</v>
      </c>
      <c r="G22" t="e">
        <f>AL28/AP28</f>
        <v>#DIV/0!</v>
      </c>
      <c r="K22">
        <f>AVERAGE(C39:C50)</f>
        <v>2.9166666666666665</v>
      </c>
      <c r="L22">
        <f>MEDIAN(C39:C50)</f>
        <v>3</v>
      </c>
      <c r="M22">
        <f>MAX(C39:C50)</f>
        <v>5</v>
      </c>
      <c r="N22">
        <f>_xlfn.STDEV.S(C39:C50)</f>
        <v>1.2401124093721456</v>
      </c>
      <c r="Z22">
        <f t="shared" si="35"/>
        <v>0</v>
      </c>
      <c r="AA22">
        <f t="shared" si="36"/>
        <v>0</v>
      </c>
      <c r="AE22">
        <f t="shared" si="37"/>
        <v>0</v>
      </c>
      <c r="AF22">
        <f t="shared" si="38"/>
        <v>0</v>
      </c>
      <c r="AG22">
        <f t="shared" si="39"/>
        <v>0</v>
      </c>
      <c r="AK22">
        <f t="shared" si="40"/>
        <v>0</v>
      </c>
      <c r="AL22">
        <f t="shared" si="41"/>
        <v>0</v>
      </c>
      <c r="AM22">
        <f t="shared" si="42"/>
        <v>0</v>
      </c>
      <c r="AN22">
        <f t="shared" si="43"/>
        <v>0</v>
      </c>
      <c r="AP22">
        <f t="shared" si="46"/>
        <v>0</v>
      </c>
      <c r="AQ22" s="4">
        <f t="shared" si="47"/>
        <v>0</v>
      </c>
      <c r="AR22" s="4">
        <f t="shared" si="44"/>
        <v>0</v>
      </c>
      <c r="AS22" s="4">
        <f t="shared" si="44"/>
        <v>0</v>
      </c>
      <c r="AT22" s="4">
        <f t="shared" si="44"/>
        <v>0</v>
      </c>
      <c r="AU22" s="4">
        <f t="shared" si="44"/>
        <v>0</v>
      </c>
      <c r="AV22" s="4">
        <f t="shared" si="44"/>
        <v>0</v>
      </c>
      <c r="AW22" s="4">
        <f t="shared" si="44"/>
        <v>0</v>
      </c>
      <c r="AX22" s="4">
        <f t="shared" si="44"/>
        <v>0</v>
      </c>
      <c r="AY22" s="4">
        <f t="shared" si="44"/>
        <v>0</v>
      </c>
      <c r="AZ22" s="4">
        <f t="shared" si="44"/>
        <v>0</v>
      </c>
      <c r="BA22" s="4">
        <f t="shared" si="44"/>
        <v>0</v>
      </c>
      <c r="BB22" s="4">
        <f t="shared" si="44"/>
        <v>0</v>
      </c>
      <c r="BC22" s="4">
        <f t="shared" si="44"/>
        <v>0</v>
      </c>
      <c r="BD22" s="4">
        <f t="shared" si="44"/>
        <v>0</v>
      </c>
      <c r="BE22" s="4">
        <f t="shared" si="44"/>
        <v>0</v>
      </c>
      <c r="BF22" s="4">
        <f t="shared" si="44"/>
        <v>0</v>
      </c>
      <c r="BG22" s="4">
        <f t="shared" si="44"/>
        <v>0</v>
      </c>
      <c r="BH22" s="4">
        <f t="shared" si="45"/>
        <v>0</v>
      </c>
      <c r="BI22" s="4">
        <f t="shared" si="45"/>
        <v>0</v>
      </c>
      <c r="BJ22" s="4">
        <f t="shared" si="45"/>
        <v>0</v>
      </c>
      <c r="BK22" s="4">
        <f t="shared" si="45"/>
        <v>0</v>
      </c>
      <c r="BL22" s="4">
        <f t="shared" si="45"/>
        <v>0</v>
      </c>
      <c r="BM22" s="4">
        <f t="shared" si="45"/>
        <v>0</v>
      </c>
      <c r="BN22" s="4">
        <f t="shared" si="45"/>
        <v>0</v>
      </c>
    </row>
    <row r="23" spans="1:66" x14ac:dyDescent="0.2">
      <c r="A23" t="s">
        <v>37</v>
      </c>
      <c r="B23" t="s">
        <v>25</v>
      </c>
      <c r="D23">
        <f>H16/A31</f>
        <v>0</v>
      </c>
      <c r="G23" t="s">
        <v>77</v>
      </c>
      <c r="K23" t="s">
        <v>8</v>
      </c>
      <c r="Z23">
        <f t="shared" si="35"/>
        <v>0</v>
      </c>
      <c r="AA23">
        <f t="shared" si="36"/>
        <v>0</v>
      </c>
      <c r="AE23">
        <f t="shared" si="37"/>
        <v>0</v>
      </c>
      <c r="AF23">
        <f t="shared" si="38"/>
        <v>0</v>
      </c>
      <c r="AG23">
        <f t="shared" si="39"/>
        <v>0</v>
      </c>
      <c r="AK23">
        <f t="shared" si="40"/>
        <v>0</v>
      </c>
      <c r="AL23">
        <f t="shared" si="41"/>
        <v>0</v>
      </c>
      <c r="AM23">
        <f t="shared" si="42"/>
        <v>0</v>
      </c>
      <c r="AN23">
        <f t="shared" si="43"/>
        <v>0</v>
      </c>
      <c r="AP23">
        <f t="shared" si="46"/>
        <v>0</v>
      </c>
      <c r="AQ23" s="4">
        <f t="shared" si="47"/>
        <v>0</v>
      </c>
      <c r="AR23" s="4">
        <f t="shared" si="44"/>
        <v>0</v>
      </c>
      <c r="AS23" s="4">
        <f t="shared" si="44"/>
        <v>0</v>
      </c>
      <c r="AT23" s="4">
        <f t="shared" si="44"/>
        <v>0</v>
      </c>
      <c r="AU23" s="4">
        <f t="shared" si="44"/>
        <v>0</v>
      </c>
      <c r="AV23" s="4">
        <f t="shared" si="44"/>
        <v>0</v>
      </c>
      <c r="AW23" s="4">
        <f t="shared" si="44"/>
        <v>0</v>
      </c>
      <c r="AX23" s="4">
        <f t="shared" si="44"/>
        <v>0</v>
      </c>
      <c r="AY23" s="4">
        <f t="shared" si="44"/>
        <v>0</v>
      </c>
      <c r="AZ23" s="4">
        <f t="shared" si="44"/>
        <v>0</v>
      </c>
      <c r="BA23" s="4">
        <f t="shared" si="44"/>
        <v>0</v>
      </c>
      <c r="BB23" s="4">
        <f t="shared" si="44"/>
        <v>0</v>
      </c>
      <c r="BC23" s="4">
        <f t="shared" si="44"/>
        <v>0</v>
      </c>
      <c r="BD23" s="4">
        <f t="shared" si="44"/>
        <v>0</v>
      </c>
      <c r="BE23" s="4">
        <f t="shared" si="44"/>
        <v>0</v>
      </c>
      <c r="BF23" s="4">
        <f t="shared" si="44"/>
        <v>0</v>
      </c>
      <c r="BG23" s="4">
        <f t="shared" si="44"/>
        <v>0</v>
      </c>
      <c r="BH23" s="4">
        <f t="shared" si="45"/>
        <v>0</v>
      </c>
      <c r="BI23" s="4">
        <f t="shared" si="45"/>
        <v>0</v>
      </c>
      <c r="BJ23" s="4">
        <f t="shared" si="45"/>
        <v>0</v>
      </c>
      <c r="BK23" s="4">
        <f t="shared" si="45"/>
        <v>0</v>
      </c>
      <c r="BL23" s="4">
        <f t="shared" si="45"/>
        <v>0</v>
      </c>
      <c r="BM23" s="4">
        <f t="shared" si="45"/>
        <v>0</v>
      </c>
      <c r="BN23" s="4">
        <f t="shared" si="45"/>
        <v>0</v>
      </c>
    </row>
    <row r="24" spans="1:66" x14ac:dyDescent="0.2">
      <c r="A24" t="s">
        <v>38</v>
      </c>
      <c r="B24" t="s">
        <v>26</v>
      </c>
      <c r="D24" t="s">
        <v>50</v>
      </c>
      <c r="G24" t="e">
        <f>AM28/AP28</f>
        <v>#DIV/0!</v>
      </c>
      <c r="K24" t="s">
        <v>57</v>
      </c>
      <c r="L24" t="s">
        <v>61</v>
      </c>
      <c r="M24" t="s">
        <v>59</v>
      </c>
      <c r="N24" t="s">
        <v>60</v>
      </c>
      <c r="Z24">
        <f t="shared" si="35"/>
        <v>0</v>
      </c>
      <c r="AA24">
        <f t="shared" si="36"/>
        <v>0</v>
      </c>
      <c r="AE24">
        <f t="shared" si="37"/>
        <v>0</v>
      </c>
      <c r="AF24">
        <f t="shared" si="38"/>
        <v>1</v>
      </c>
      <c r="AG24">
        <f t="shared" si="39"/>
        <v>0</v>
      </c>
      <c r="AK24">
        <f t="shared" si="40"/>
        <v>0</v>
      </c>
      <c r="AL24">
        <f t="shared" si="41"/>
        <v>0</v>
      </c>
      <c r="AM24">
        <f t="shared" si="42"/>
        <v>0</v>
      </c>
      <c r="AN24">
        <f t="shared" si="43"/>
        <v>0</v>
      </c>
      <c r="AP24">
        <f t="shared" si="46"/>
        <v>0</v>
      </c>
      <c r="AQ24" s="4">
        <f t="shared" si="47"/>
        <v>0</v>
      </c>
      <c r="AR24" s="4">
        <f t="shared" si="44"/>
        <v>0</v>
      </c>
      <c r="AS24" s="4">
        <f t="shared" si="44"/>
        <v>0</v>
      </c>
      <c r="AT24" s="4">
        <f t="shared" si="44"/>
        <v>0</v>
      </c>
      <c r="AU24" s="4">
        <f t="shared" si="44"/>
        <v>0</v>
      </c>
      <c r="AV24" s="4">
        <f t="shared" si="44"/>
        <v>0</v>
      </c>
      <c r="AW24" s="4">
        <f t="shared" si="44"/>
        <v>0</v>
      </c>
      <c r="AX24" s="4">
        <f t="shared" si="44"/>
        <v>0</v>
      </c>
      <c r="AY24" s="4">
        <f t="shared" si="44"/>
        <v>0</v>
      </c>
      <c r="AZ24" s="4">
        <f t="shared" si="44"/>
        <v>0</v>
      </c>
      <c r="BA24" s="4">
        <f t="shared" si="44"/>
        <v>0</v>
      </c>
      <c r="BB24" s="4">
        <f t="shared" si="44"/>
        <v>0</v>
      </c>
      <c r="BC24" s="4">
        <f t="shared" si="44"/>
        <v>0</v>
      </c>
      <c r="BD24" s="4">
        <f t="shared" si="44"/>
        <v>0</v>
      </c>
      <c r="BE24" s="4">
        <f t="shared" si="44"/>
        <v>0</v>
      </c>
      <c r="BF24" s="4">
        <f t="shared" si="44"/>
        <v>0</v>
      </c>
      <c r="BG24" s="4">
        <f t="shared" si="44"/>
        <v>0</v>
      </c>
      <c r="BH24" s="4">
        <f t="shared" si="45"/>
        <v>0</v>
      </c>
      <c r="BI24" s="4">
        <f t="shared" si="45"/>
        <v>0</v>
      </c>
      <c r="BJ24" s="4">
        <f t="shared" si="45"/>
        <v>0</v>
      </c>
      <c r="BK24" s="4">
        <f t="shared" si="45"/>
        <v>0</v>
      </c>
      <c r="BL24" s="4">
        <f t="shared" si="45"/>
        <v>0</v>
      </c>
      <c r="BM24" s="4">
        <f t="shared" si="45"/>
        <v>0</v>
      </c>
      <c r="BN24" s="4">
        <f t="shared" si="45"/>
        <v>0</v>
      </c>
    </row>
    <row r="25" spans="1:66" x14ac:dyDescent="0.2">
      <c r="A25" t="s">
        <v>39</v>
      </c>
      <c r="B25" t="s">
        <v>27</v>
      </c>
      <c r="D25">
        <f>Z28/A31</f>
        <v>0</v>
      </c>
      <c r="G25" t="s">
        <v>78</v>
      </c>
      <c r="K25">
        <f>AVERAGE(E39:E50)</f>
        <v>0</v>
      </c>
      <c r="L25">
        <f>MEDIAN(E39:E50)</f>
        <v>0</v>
      </c>
      <c r="M25">
        <f>MAX(E39:E50)</f>
        <v>0</v>
      </c>
      <c r="N25">
        <f>_xlfn.STDEV.S(E39:E50)</f>
        <v>0</v>
      </c>
      <c r="Z25">
        <f t="shared" si="35"/>
        <v>0</v>
      </c>
      <c r="AA25">
        <f t="shared" si="36"/>
        <v>0</v>
      </c>
      <c r="AE25">
        <f t="shared" si="37"/>
        <v>0</v>
      </c>
      <c r="AF25">
        <f t="shared" si="38"/>
        <v>0</v>
      </c>
      <c r="AG25">
        <f t="shared" si="39"/>
        <v>0</v>
      </c>
      <c r="AK25">
        <f t="shared" si="40"/>
        <v>0</v>
      </c>
      <c r="AL25">
        <f t="shared" si="41"/>
        <v>0</v>
      </c>
      <c r="AM25">
        <f t="shared" si="42"/>
        <v>0</v>
      </c>
      <c r="AN25">
        <f t="shared" si="43"/>
        <v>0</v>
      </c>
      <c r="AP25">
        <f t="shared" si="46"/>
        <v>0</v>
      </c>
      <c r="AQ25" s="4">
        <f t="shared" si="47"/>
        <v>0</v>
      </c>
      <c r="AR25" s="4">
        <f t="shared" si="44"/>
        <v>0</v>
      </c>
      <c r="AS25" s="4">
        <f t="shared" si="44"/>
        <v>0</v>
      </c>
      <c r="AT25" s="4">
        <f t="shared" si="44"/>
        <v>0</v>
      </c>
      <c r="AU25" s="4">
        <f t="shared" si="44"/>
        <v>0</v>
      </c>
      <c r="AV25" s="4">
        <f t="shared" si="44"/>
        <v>0</v>
      </c>
      <c r="AW25" s="4">
        <f t="shared" si="44"/>
        <v>0</v>
      </c>
      <c r="AX25" s="4">
        <f t="shared" si="44"/>
        <v>0</v>
      </c>
      <c r="AY25" s="4">
        <f t="shared" si="44"/>
        <v>0</v>
      </c>
      <c r="AZ25" s="4">
        <f t="shared" si="44"/>
        <v>0</v>
      </c>
      <c r="BA25" s="4">
        <f t="shared" si="44"/>
        <v>0</v>
      </c>
      <c r="BB25" s="4">
        <f t="shared" si="44"/>
        <v>0</v>
      </c>
      <c r="BC25" s="4">
        <f t="shared" si="44"/>
        <v>0</v>
      </c>
      <c r="BD25" s="4">
        <f t="shared" si="44"/>
        <v>0</v>
      </c>
      <c r="BE25" s="4">
        <f t="shared" si="44"/>
        <v>0</v>
      </c>
      <c r="BF25" s="4">
        <f t="shared" si="44"/>
        <v>0</v>
      </c>
      <c r="BG25" s="4">
        <f t="shared" si="44"/>
        <v>0</v>
      </c>
      <c r="BH25" s="4">
        <f t="shared" si="45"/>
        <v>0</v>
      </c>
      <c r="BI25" s="4">
        <f t="shared" si="45"/>
        <v>0</v>
      </c>
      <c r="BJ25" s="4">
        <f t="shared" si="45"/>
        <v>0</v>
      </c>
      <c r="BK25" s="4">
        <f t="shared" si="45"/>
        <v>0</v>
      </c>
      <c r="BL25" s="4">
        <f t="shared" si="45"/>
        <v>0</v>
      </c>
      <c r="BM25" s="4">
        <f t="shared" si="45"/>
        <v>0</v>
      </c>
      <c r="BN25" s="4">
        <f t="shared" si="45"/>
        <v>0</v>
      </c>
    </row>
    <row r="26" spans="1:66" x14ac:dyDescent="0.2">
      <c r="A26" t="s">
        <v>44</v>
      </c>
      <c r="D26" t="s">
        <v>51</v>
      </c>
      <c r="G26" t="e">
        <f>AN28/AP28</f>
        <v>#DIV/0!</v>
      </c>
      <c r="K26" t="s">
        <v>62</v>
      </c>
      <c r="P26" t="s">
        <v>19</v>
      </c>
      <c r="Z26">
        <f t="shared" si="35"/>
        <v>0</v>
      </c>
      <c r="AA26">
        <f t="shared" si="36"/>
        <v>0</v>
      </c>
      <c r="AE26">
        <f t="shared" si="37"/>
        <v>0</v>
      </c>
      <c r="AF26">
        <f t="shared" si="38"/>
        <v>0</v>
      </c>
      <c r="AG26">
        <f t="shared" si="39"/>
        <v>0</v>
      </c>
      <c r="AK26">
        <f t="shared" si="40"/>
        <v>0</v>
      </c>
      <c r="AL26">
        <f t="shared" si="41"/>
        <v>0</v>
      </c>
      <c r="AM26">
        <f t="shared" si="42"/>
        <v>0</v>
      </c>
      <c r="AN26">
        <f t="shared" si="43"/>
        <v>0</v>
      </c>
      <c r="AP26">
        <f t="shared" si="46"/>
        <v>0</v>
      </c>
      <c r="AQ26" s="4">
        <f t="shared" si="47"/>
        <v>0</v>
      </c>
      <c r="AR26" s="4">
        <f t="shared" si="44"/>
        <v>0</v>
      </c>
      <c r="AS26" s="4">
        <f t="shared" si="44"/>
        <v>0</v>
      </c>
      <c r="AT26" s="4">
        <f t="shared" si="44"/>
        <v>0</v>
      </c>
      <c r="AU26" s="4">
        <f t="shared" si="44"/>
        <v>0</v>
      </c>
      <c r="AV26" s="4">
        <f t="shared" si="44"/>
        <v>0</v>
      </c>
      <c r="AW26" s="4">
        <f t="shared" si="44"/>
        <v>0</v>
      </c>
      <c r="AX26" s="4">
        <f t="shared" si="44"/>
        <v>0</v>
      </c>
      <c r="AY26" s="4">
        <f t="shared" si="44"/>
        <v>0</v>
      </c>
      <c r="AZ26" s="4">
        <f t="shared" si="44"/>
        <v>0</v>
      </c>
      <c r="BA26" s="4">
        <f t="shared" si="44"/>
        <v>0</v>
      </c>
      <c r="BB26" s="4">
        <f t="shared" si="44"/>
        <v>0</v>
      </c>
      <c r="BC26" s="4">
        <f t="shared" si="44"/>
        <v>0</v>
      </c>
      <c r="BD26" s="4">
        <f t="shared" si="44"/>
        <v>0</v>
      </c>
      <c r="BE26" s="4">
        <f t="shared" si="44"/>
        <v>0</v>
      </c>
      <c r="BF26" s="4">
        <f t="shared" si="44"/>
        <v>0</v>
      </c>
      <c r="BG26" s="4">
        <f t="shared" si="44"/>
        <v>0</v>
      </c>
      <c r="BH26" s="4">
        <f t="shared" si="45"/>
        <v>0</v>
      </c>
      <c r="BI26" s="4">
        <f t="shared" si="45"/>
        <v>0</v>
      </c>
      <c r="BJ26" s="4">
        <f t="shared" si="45"/>
        <v>0</v>
      </c>
      <c r="BK26" s="4">
        <f t="shared" si="45"/>
        <v>0</v>
      </c>
      <c r="BL26" s="4">
        <f t="shared" si="45"/>
        <v>0</v>
      </c>
      <c r="BM26" s="4">
        <f t="shared" si="45"/>
        <v>0</v>
      </c>
      <c r="BN26" s="4">
        <f t="shared" si="45"/>
        <v>0</v>
      </c>
    </row>
    <row r="27" spans="1:66" x14ac:dyDescent="0.2">
      <c r="A27" t="s">
        <v>45</v>
      </c>
      <c r="D27">
        <f>AA28/A31</f>
        <v>0</v>
      </c>
      <c r="G27" t="s">
        <v>56</v>
      </c>
      <c r="K27" t="s">
        <v>57</v>
      </c>
      <c r="L27" t="s">
        <v>58</v>
      </c>
      <c r="M27" t="s">
        <v>59</v>
      </c>
      <c r="N27" t="s">
        <v>60</v>
      </c>
      <c r="P27" t="s">
        <v>57</v>
      </c>
      <c r="Q27" t="s">
        <v>58</v>
      </c>
      <c r="R27" t="s">
        <v>59</v>
      </c>
      <c r="S27" t="s">
        <v>60</v>
      </c>
      <c r="Z27">
        <f t="shared" si="35"/>
        <v>0</v>
      </c>
      <c r="AA27">
        <f t="shared" si="36"/>
        <v>0</v>
      </c>
      <c r="AE27">
        <f t="shared" si="37"/>
        <v>0</v>
      </c>
      <c r="AF27">
        <f t="shared" si="38"/>
        <v>0</v>
      </c>
      <c r="AG27">
        <f t="shared" si="39"/>
        <v>0</v>
      </c>
      <c r="AK27">
        <f t="shared" si="40"/>
        <v>0</v>
      </c>
      <c r="AL27">
        <f t="shared" si="41"/>
        <v>0</v>
      </c>
      <c r="AM27">
        <f t="shared" si="42"/>
        <v>0</v>
      </c>
      <c r="AN27">
        <f t="shared" si="43"/>
        <v>0</v>
      </c>
      <c r="AP27">
        <f t="shared" si="46"/>
        <v>0</v>
      </c>
      <c r="AQ27" s="4">
        <f t="shared" si="47"/>
        <v>0</v>
      </c>
      <c r="AR27" s="4">
        <f t="shared" si="44"/>
        <v>0</v>
      </c>
      <c r="AS27" s="4">
        <f t="shared" si="44"/>
        <v>0</v>
      </c>
      <c r="AT27" s="4">
        <f t="shared" si="44"/>
        <v>0</v>
      </c>
      <c r="AU27" s="4">
        <f t="shared" si="44"/>
        <v>0</v>
      </c>
      <c r="AV27" s="4">
        <f t="shared" si="44"/>
        <v>0</v>
      </c>
      <c r="AW27" s="4">
        <f t="shared" si="44"/>
        <v>0</v>
      </c>
      <c r="AX27" s="4">
        <f t="shared" si="44"/>
        <v>0</v>
      </c>
      <c r="AY27" s="4">
        <f t="shared" si="44"/>
        <v>0</v>
      </c>
      <c r="AZ27" s="4">
        <f t="shared" si="44"/>
        <v>0</v>
      </c>
      <c r="BA27" s="4">
        <f t="shared" si="44"/>
        <v>0</v>
      </c>
      <c r="BB27" s="4">
        <f t="shared" si="44"/>
        <v>0</v>
      </c>
      <c r="BC27" s="4">
        <f t="shared" si="44"/>
        <v>0</v>
      </c>
      <c r="BD27" s="4">
        <f t="shared" si="44"/>
        <v>0</v>
      </c>
      <c r="BE27" s="4">
        <f t="shared" si="44"/>
        <v>0</v>
      </c>
      <c r="BF27" s="4">
        <f t="shared" si="44"/>
        <v>0</v>
      </c>
      <c r="BG27" s="4">
        <f t="shared" si="44"/>
        <v>0</v>
      </c>
      <c r="BH27" s="4">
        <f t="shared" si="45"/>
        <v>0</v>
      </c>
      <c r="BI27" s="4">
        <f t="shared" si="45"/>
        <v>0</v>
      </c>
      <c r="BJ27" s="4">
        <f t="shared" si="45"/>
        <v>0</v>
      </c>
      <c r="BK27" s="4">
        <f t="shared" si="45"/>
        <v>0</v>
      </c>
      <c r="BL27" s="4">
        <f t="shared" si="45"/>
        <v>0</v>
      </c>
      <c r="BM27" s="4">
        <f t="shared" si="45"/>
        <v>0</v>
      </c>
      <c r="BN27" s="4">
        <f t="shared" si="45"/>
        <v>0</v>
      </c>
    </row>
    <row r="28" spans="1:66" x14ac:dyDescent="0.2">
      <c r="A28" t="s">
        <v>46</v>
      </c>
      <c r="D28" t="s">
        <v>202</v>
      </c>
      <c r="G28" t="s">
        <v>57</v>
      </c>
      <c r="H28" t="s">
        <v>58</v>
      </c>
      <c r="I28" t="s">
        <v>59</v>
      </c>
      <c r="J28" t="s">
        <v>60</v>
      </c>
      <c r="K28">
        <f>AVERAGE(G39:G50)</f>
        <v>0</v>
      </c>
      <c r="L28">
        <f>MEDIAN(G39:G50)</f>
        <v>0</v>
      </c>
      <c r="M28">
        <f>MAX(G39:G50)</f>
        <v>0</v>
      </c>
      <c r="N28">
        <f>_xlfn.STDEV.S(G39:G50)</f>
        <v>0</v>
      </c>
      <c r="P28">
        <f>AVERAGE(N39:N50)</f>
        <v>1.5833333333333333</v>
      </c>
      <c r="Q28">
        <f>MEDIAN(N39:N50)</f>
        <v>0</v>
      </c>
      <c r="R28">
        <f>MAX(N39:N50)</f>
        <v>10</v>
      </c>
      <c r="S28">
        <f>_xlfn.STDEV.S(N39:N50)</f>
        <v>3.3154825052206567</v>
      </c>
      <c r="Y28" t="s">
        <v>33</v>
      </c>
      <c r="Z28">
        <f>SUM(Z16:Z27)</f>
        <v>0</v>
      </c>
      <c r="AA28">
        <f>SUM(AA16:AA27)</f>
        <v>0</v>
      </c>
      <c r="AE28">
        <f>SUM(AE16:AE27)</f>
        <v>1</v>
      </c>
      <c r="AF28">
        <f>SUM(AF16:AF27)</f>
        <v>2</v>
      </c>
      <c r="AG28">
        <f>SUM(AG16:AG27)</f>
        <v>0</v>
      </c>
      <c r="AK28">
        <f>SUM(AK16:AK27)</f>
        <v>0</v>
      </c>
      <c r="AL28">
        <f>SUM(AL16:AL27)</f>
        <v>0</v>
      </c>
      <c r="AM28">
        <f>SUM(AM16:AM27)</f>
        <v>0</v>
      </c>
      <c r="AN28">
        <f>SUM(AN16:AN27)</f>
        <v>0</v>
      </c>
      <c r="AP28">
        <f>SUM(AP16:AP27)</f>
        <v>0</v>
      </c>
    </row>
    <row r="29" spans="1:66" x14ac:dyDescent="0.2">
      <c r="D29">
        <f>SUM(O39:O50)/F16</f>
        <v>0</v>
      </c>
      <c r="G29">
        <f>AVERAGE(A39:A50)</f>
        <v>0.25</v>
      </c>
      <c r="H29">
        <f>MEDIAN(A39:A50)</f>
        <v>0</v>
      </c>
      <c r="I29">
        <f>MAX(A39:A50)</f>
        <v>1</v>
      </c>
      <c r="J29">
        <f>_xlfn.STDEV.S(A39:A50)</f>
        <v>0.45226701686664544</v>
      </c>
      <c r="K29" t="s">
        <v>63</v>
      </c>
      <c r="P29" t="s">
        <v>148</v>
      </c>
    </row>
    <row r="30" spans="1:66" x14ac:dyDescent="0.2">
      <c r="A30" t="s">
        <v>147</v>
      </c>
      <c r="D30" t="s">
        <v>203</v>
      </c>
      <c r="G30" t="s">
        <v>50</v>
      </c>
      <c r="H30" t="s">
        <v>51</v>
      </c>
      <c r="I30" t="s">
        <v>89</v>
      </c>
      <c r="K30" t="s">
        <v>57</v>
      </c>
      <c r="L30" t="s">
        <v>58</v>
      </c>
      <c r="M30" t="s">
        <v>59</v>
      </c>
      <c r="N30" t="s">
        <v>60</v>
      </c>
      <c r="P30" t="s">
        <v>57</v>
      </c>
      <c r="Q30" t="s">
        <v>58</v>
      </c>
      <c r="R30" t="s">
        <v>59</v>
      </c>
      <c r="S30" t="s">
        <v>60</v>
      </c>
      <c r="W30" t="s">
        <v>148</v>
      </c>
      <c r="Y30" t="s">
        <v>149</v>
      </c>
      <c r="AH30" t="s">
        <v>79</v>
      </c>
    </row>
    <row r="31" spans="1:66" x14ac:dyDescent="0.2">
      <c r="A31">
        <f>COUNT(B4:B15)</f>
        <v>12</v>
      </c>
      <c r="D31" s="2">
        <f>SUM(S39:S50)/SUM(Q39:Q50)</f>
        <v>0.4</v>
      </c>
      <c r="G31">
        <f>AE28/A31</f>
        <v>8.3333333333333329E-2</v>
      </c>
      <c r="H31">
        <f>AF28/A31</f>
        <v>0.16666666666666666</v>
      </c>
      <c r="I31">
        <f>AG28/A31</f>
        <v>0</v>
      </c>
      <c r="K31" t="e">
        <f>AVERAGE(I39:I50)</f>
        <v>#DIV/0!</v>
      </c>
      <c r="L31" t="e">
        <f>MEDIAN(I39:I50)</f>
        <v>#NUM!</v>
      </c>
      <c r="M31">
        <f>MAX(I39:I50)</f>
        <v>0</v>
      </c>
      <c r="N31" t="e">
        <f>_xlfn.STDEV.S(I39:I50)</f>
        <v>#DIV/0!</v>
      </c>
      <c r="P31" t="e">
        <f>AVERAGE(W31:W42)</f>
        <v>#DIV/0!</v>
      </c>
      <c r="Q31" t="e">
        <f>MEDIAN(W31:W42)</f>
        <v>#NUM!</v>
      </c>
      <c r="R31">
        <f>MAX(W31:W42)</f>
        <v>0</v>
      </c>
      <c r="S31" t="e">
        <f>_xlfn.STDEV.S(W31:W42)</f>
        <v>#DIV/0!</v>
      </c>
      <c r="W31" t="str">
        <f t="shared" ref="W31:W33" si="48">IF(AND(ISBLANK(Q4), ISBLANK(R4), ISBLANK(G4), ISBLANK(H4)), "", U4)</f>
        <v/>
      </c>
      <c r="Y31" t="str">
        <f t="shared" ref="Y31:Y42" si="49">IF(ISBLANK(Y4), IF(X4 = 0, "", (G4 + H4/3 + V4/9 + W4/3)), U4)</f>
        <v/>
      </c>
      <c r="AH31" t="s">
        <v>80</v>
      </c>
    </row>
    <row r="32" spans="1:66" x14ac:dyDescent="0.2">
      <c r="A32" t="s">
        <v>274</v>
      </c>
      <c r="D32" s="3"/>
      <c r="K32" t="s">
        <v>64</v>
      </c>
      <c r="P32" t="s">
        <v>149</v>
      </c>
      <c r="W32" t="str">
        <f t="shared" si="48"/>
        <v/>
      </c>
      <c r="Y32" t="str">
        <f t="shared" si="49"/>
        <v/>
      </c>
      <c r="AH32" t="s">
        <v>81</v>
      </c>
    </row>
    <row r="33" spans="1:34" x14ac:dyDescent="0.2">
      <c r="A33" t="s">
        <v>297</v>
      </c>
      <c r="D33" s="3"/>
      <c r="K33" t="s">
        <v>57</v>
      </c>
      <c r="L33" t="s">
        <v>58</v>
      </c>
      <c r="M33" t="s">
        <v>59</v>
      </c>
      <c r="N33" t="s">
        <v>60</v>
      </c>
      <c r="P33" t="s">
        <v>57</v>
      </c>
      <c r="Q33" t="s">
        <v>58</v>
      </c>
      <c r="R33" t="s">
        <v>59</v>
      </c>
      <c r="S33" t="s">
        <v>60</v>
      </c>
      <c r="W33" t="str">
        <f t="shared" si="48"/>
        <v/>
      </c>
      <c r="Y33" t="str">
        <f t="shared" si="49"/>
        <v/>
      </c>
      <c r="AH33" t="s">
        <v>82</v>
      </c>
    </row>
    <row r="34" spans="1:34" x14ac:dyDescent="0.2">
      <c r="A34" t="s">
        <v>298</v>
      </c>
      <c r="D34" s="3"/>
      <c r="K34">
        <f>AVERAGE(K39:K50)</f>
        <v>0</v>
      </c>
      <c r="L34">
        <f>MEDIAN(K39:K50)</f>
        <v>0</v>
      </c>
      <c r="M34">
        <f>MAX(K39:K50)</f>
        <v>0</v>
      </c>
      <c r="N34">
        <f>_xlfn.STDEV.S(K39:K50)</f>
        <v>0</v>
      </c>
      <c r="P34" t="e">
        <f>AVERAGE(Y31:Y42)</f>
        <v>#DIV/0!</v>
      </c>
      <c r="Q34" t="e">
        <f>MEDIAN(Y31:Y42)</f>
        <v>#NUM!</v>
      </c>
      <c r="R34">
        <f>MAX(Y31:Y42)</f>
        <v>0</v>
      </c>
      <c r="S34" t="e">
        <f>_xlfn.STDEV.S(Y31:Y42)</f>
        <v>#DIV/0!</v>
      </c>
      <c r="W34" t="str">
        <f>IF(AND(ISBLANK(Q7), ISBLANK(R7), ISBLANK(G7), ISBLANK(H7)), "", U7)</f>
        <v/>
      </c>
      <c r="Y34" t="str">
        <f t="shared" si="49"/>
        <v/>
      </c>
      <c r="AH34" t="s">
        <v>83</v>
      </c>
    </row>
    <row r="35" spans="1:34" x14ac:dyDescent="0.2">
      <c r="P35" t="s">
        <v>95</v>
      </c>
      <c r="R35" t="s">
        <v>197</v>
      </c>
      <c r="W35" t="str">
        <f t="shared" ref="W35:W42" si="50">IF(AND(ISBLANK(Q8), ISBLANK(R8), ISBLANK(G8), ISBLANK(H8)), "", U8)</f>
        <v/>
      </c>
      <c r="Y35" t="str">
        <f t="shared" si="49"/>
        <v/>
      </c>
    </row>
    <row r="36" spans="1:34" x14ac:dyDescent="0.2">
      <c r="P36" t="e">
        <f>Q16/(Q16+R16)</f>
        <v>#DIV/0!</v>
      </c>
      <c r="R36" t="e">
        <f>R16/(Q16+R16)</f>
        <v>#DIV/0!</v>
      </c>
      <c r="W36" t="str">
        <f t="shared" si="50"/>
        <v/>
      </c>
      <c r="Y36" t="str">
        <f t="shared" si="49"/>
        <v/>
      </c>
    </row>
    <row r="37" spans="1:34" x14ac:dyDescent="0.2">
      <c r="W37" t="str">
        <f t="shared" si="50"/>
        <v/>
      </c>
      <c r="Y37" t="str">
        <f t="shared" si="49"/>
        <v/>
      </c>
    </row>
    <row r="38" spans="1:34" x14ac:dyDescent="0.2">
      <c r="A38" t="s">
        <v>68</v>
      </c>
      <c r="C38" t="s">
        <v>69</v>
      </c>
      <c r="E38" t="s">
        <v>72</v>
      </c>
      <c r="G38" t="s">
        <v>250</v>
      </c>
      <c r="K38" t="s">
        <v>73</v>
      </c>
      <c r="M38" t="s">
        <v>70</v>
      </c>
      <c r="N38" t="s">
        <v>71</v>
      </c>
      <c r="O38" t="s">
        <v>199</v>
      </c>
      <c r="Q38" t="s">
        <v>200</v>
      </c>
      <c r="S38" t="s">
        <v>201</v>
      </c>
      <c r="W38" t="str">
        <f t="shared" si="50"/>
        <v/>
      </c>
      <c r="Y38" t="str">
        <f t="shared" si="49"/>
        <v/>
      </c>
    </row>
    <row r="39" spans="1:34" x14ac:dyDescent="0.2">
      <c r="A39">
        <f t="shared" ref="A39:A50" si="51">IF(ISBLANK(B4), "", SUM(AE16+AF16+AG16))</f>
        <v>1</v>
      </c>
      <c r="C39">
        <f t="shared" ref="C39:C50" si="52">IF(ISBLANK(B4), "", O4)</f>
        <v>2</v>
      </c>
      <c r="E39">
        <f t="shared" ref="E39:E50" si="53">IF(ISBLANK(B4), "", Q4)</f>
        <v>0</v>
      </c>
      <c r="G39">
        <f t="shared" ref="G39:G50" si="54">IF(ISBLANK(B4), "", R4)</f>
        <v>0</v>
      </c>
      <c r="K39">
        <f t="shared" ref="K39:K50" si="55">IF(ISBLANK(B4), "", SUM(Q4 + R4))</f>
        <v>0</v>
      </c>
      <c r="M39">
        <f t="shared" ref="M39:M50" si="56">IF(ISBLANK(B4), "", SUM(K4+M4) - O4)</f>
        <v>0</v>
      </c>
      <c r="N39">
        <f t="shared" ref="N39:N50" si="57">IF(ISBLANK(B4), "", U4)</f>
        <v>0</v>
      </c>
      <c r="O39">
        <f t="shared" ref="O39:O50" si="58">COUNTIF(E4, "1")*COUNTIF(F4, "1")</f>
        <v>0</v>
      </c>
      <c r="Q39">
        <f t="shared" ref="Q39:Q50" si="59">COUNTIF(D4, "1")*COUNTIF(F4, "")</f>
        <v>1</v>
      </c>
      <c r="S39">
        <f t="shared" ref="S39:S50" si="60">COUNTIF(E4, "1")*COUNTIF(F4, "")</f>
        <v>0</v>
      </c>
      <c r="W39" t="str">
        <f t="shared" si="50"/>
        <v/>
      </c>
      <c r="Y39" t="str">
        <f t="shared" si="49"/>
        <v/>
      </c>
    </row>
    <row r="40" spans="1:34" x14ac:dyDescent="0.2">
      <c r="A40">
        <f t="shared" si="51"/>
        <v>0</v>
      </c>
      <c r="C40">
        <f t="shared" si="52"/>
        <v>2</v>
      </c>
      <c r="E40">
        <f t="shared" si="53"/>
        <v>0</v>
      </c>
      <c r="G40">
        <f t="shared" si="54"/>
        <v>0</v>
      </c>
      <c r="K40">
        <f t="shared" si="55"/>
        <v>0</v>
      </c>
      <c r="M40">
        <f t="shared" si="56"/>
        <v>-1</v>
      </c>
      <c r="N40">
        <f t="shared" si="57"/>
        <v>7</v>
      </c>
      <c r="O40">
        <f t="shared" si="58"/>
        <v>0</v>
      </c>
      <c r="Q40">
        <f t="shared" si="59"/>
        <v>0</v>
      </c>
      <c r="S40">
        <f t="shared" si="60"/>
        <v>0</v>
      </c>
      <c r="W40" t="str">
        <f t="shared" si="50"/>
        <v/>
      </c>
      <c r="Y40" t="str">
        <f t="shared" si="49"/>
        <v/>
      </c>
    </row>
    <row r="41" spans="1:34" x14ac:dyDescent="0.2">
      <c r="A41">
        <f t="shared" si="51"/>
        <v>0</v>
      </c>
      <c r="C41">
        <f t="shared" si="52"/>
        <v>5</v>
      </c>
      <c r="E41">
        <f t="shared" si="53"/>
        <v>0</v>
      </c>
      <c r="G41">
        <f t="shared" si="54"/>
        <v>0</v>
      </c>
      <c r="K41">
        <f t="shared" si="55"/>
        <v>0</v>
      </c>
      <c r="M41">
        <f t="shared" si="56"/>
        <v>-1</v>
      </c>
      <c r="N41">
        <f t="shared" si="57"/>
        <v>0</v>
      </c>
      <c r="O41">
        <f t="shared" si="58"/>
        <v>0</v>
      </c>
      <c r="Q41">
        <f t="shared" si="59"/>
        <v>1</v>
      </c>
      <c r="S41">
        <f t="shared" si="60"/>
        <v>0</v>
      </c>
      <c r="W41" t="str">
        <f t="shared" si="50"/>
        <v/>
      </c>
      <c r="Y41" t="str">
        <f t="shared" si="49"/>
        <v/>
      </c>
    </row>
    <row r="42" spans="1:34" x14ac:dyDescent="0.2">
      <c r="A42">
        <f t="shared" si="51"/>
        <v>0</v>
      </c>
      <c r="C42">
        <f t="shared" si="52"/>
        <v>3</v>
      </c>
      <c r="E42">
        <f t="shared" si="53"/>
        <v>0</v>
      </c>
      <c r="G42">
        <f t="shared" si="54"/>
        <v>0</v>
      </c>
      <c r="K42">
        <f t="shared" si="55"/>
        <v>0</v>
      </c>
      <c r="M42">
        <f t="shared" si="56"/>
        <v>0</v>
      </c>
      <c r="N42">
        <f t="shared" si="57"/>
        <v>0</v>
      </c>
      <c r="O42">
        <f t="shared" si="58"/>
        <v>0</v>
      </c>
      <c r="Q42">
        <f t="shared" si="59"/>
        <v>1</v>
      </c>
      <c r="S42">
        <f t="shared" si="60"/>
        <v>0</v>
      </c>
      <c r="W42" t="str">
        <f t="shared" si="50"/>
        <v/>
      </c>
      <c r="Y42" t="str">
        <f t="shared" si="49"/>
        <v/>
      </c>
    </row>
    <row r="43" spans="1:34" x14ac:dyDescent="0.2">
      <c r="A43">
        <f t="shared" si="51"/>
        <v>0</v>
      </c>
      <c r="C43">
        <f t="shared" si="52"/>
        <v>1</v>
      </c>
      <c r="E43">
        <f t="shared" si="53"/>
        <v>0</v>
      </c>
      <c r="G43">
        <f t="shared" si="54"/>
        <v>0</v>
      </c>
      <c r="K43">
        <f t="shared" si="55"/>
        <v>0</v>
      </c>
      <c r="M43">
        <f t="shared" si="56"/>
        <v>0</v>
      </c>
      <c r="N43">
        <f t="shared" si="57"/>
        <v>10</v>
      </c>
      <c r="O43">
        <f t="shared" si="58"/>
        <v>0</v>
      </c>
      <c r="Q43">
        <f t="shared" si="59"/>
        <v>1</v>
      </c>
      <c r="S43">
        <f t="shared" si="60"/>
        <v>1</v>
      </c>
    </row>
    <row r="44" spans="1:34" x14ac:dyDescent="0.2">
      <c r="A44">
        <f t="shared" si="51"/>
        <v>1</v>
      </c>
      <c r="C44">
        <f t="shared" si="52"/>
        <v>4</v>
      </c>
      <c r="E44">
        <f t="shared" si="53"/>
        <v>0</v>
      </c>
      <c r="G44">
        <f t="shared" si="54"/>
        <v>0</v>
      </c>
      <c r="K44">
        <f t="shared" si="55"/>
        <v>0</v>
      </c>
      <c r="M44">
        <f t="shared" si="56"/>
        <v>-1</v>
      </c>
      <c r="N44">
        <f t="shared" si="57"/>
        <v>0</v>
      </c>
      <c r="O44">
        <f t="shared" si="58"/>
        <v>0</v>
      </c>
      <c r="Q44">
        <f t="shared" si="59"/>
        <v>1</v>
      </c>
      <c r="S44">
        <f t="shared" si="60"/>
        <v>0</v>
      </c>
    </row>
    <row r="45" spans="1:34" x14ac:dyDescent="0.2">
      <c r="A45">
        <f t="shared" si="51"/>
        <v>0</v>
      </c>
      <c r="C45">
        <f t="shared" si="52"/>
        <v>3</v>
      </c>
      <c r="E45">
        <f t="shared" si="53"/>
        <v>0</v>
      </c>
      <c r="G45">
        <f t="shared" si="54"/>
        <v>0</v>
      </c>
      <c r="K45">
        <f t="shared" si="55"/>
        <v>0</v>
      </c>
      <c r="M45">
        <f t="shared" si="56"/>
        <v>1</v>
      </c>
      <c r="N45">
        <f t="shared" si="57"/>
        <v>0</v>
      </c>
      <c r="O45">
        <f t="shared" si="58"/>
        <v>0</v>
      </c>
      <c r="Q45">
        <f t="shared" si="59"/>
        <v>1</v>
      </c>
      <c r="S45">
        <f t="shared" si="60"/>
        <v>1</v>
      </c>
    </row>
    <row r="46" spans="1:34" x14ac:dyDescent="0.2">
      <c r="A46">
        <f t="shared" si="51"/>
        <v>0</v>
      </c>
      <c r="C46">
        <f t="shared" si="52"/>
        <v>3</v>
      </c>
      <c r="E46">
        <f t="shared" si="53"/>
        <v>0</v>
      </c>
      <c r="G46">
        <f t="shared" si="54"/>
        <v>0</v>
      </c>
      <c r="K46">
        <f t="shared" si="55"/>
        <v>0</v>
      </c>
      <c r="M46">
        <f t="shared" si="56"/>
        <v>0</v>
      </c>
      <c r="N46">
        <f t="shared" si="57"/>
        <v>0</v>
      </c>
      <c r="O46">
        <f t="shared" si="58"/>
        <v>0</v>
      </c>
      <c r="Q46">
        <f t="shared" si="59"/>
        <v>0</v>
      </c>
      <c r="S46">
        <f t="shared" si="60"/>
        <v>0</v>
      </c>
    </row>
    <row r="47" spans="1:34" x14ac:dyDescent="0.2">
      <c r="A47">
        <f t="shared" si="51"/>
        <v>1</v>
      </c>
      <c r="C47">
        <f t="shared" si="52"/>
        <v>4</v>
      </c>
      <c r="E47">
        <f t="shared" si="53"/>
        <v>0</v>
      </c>
      <c r="G47">
        <f t="shared" si="54"/>
        <v>0</v>
      </c>
      <c r="K47">
        <f t="shared" si="55"/>
        <v>0</v>
      </c>
      <c r="M47">
        <f t="shared" si="56"/>
        <v>0</v>
      </c>
      <c r="N47">
        <f t="shared" si="57"/>
        <v>1</v>
      </c>
      <c r="O47">
        <f t="shared" si="58"/>
        <v>0</v>
      </c>
      <c r="Q47">
        <f t="shared" si="59"/>
        <v>1</v>
      </c>
      <c r="S47">
        <f t="shared" si="60"/>
        <v>1</v>
      </c>
    </row>
    <row r="48" spans="1:34" x14ac:dyDescent="0.2">
      <c r="A48">
        <f t="shared" si="51"/>
        <v>0</v>
      </c>
      <c r="C48">
        <f t="shared" si="52"/>
        <v>3</v>
      </c>
      <c r="E48">
        <f t="shared" si="53"/>
        <v>0</v>
      </c>
      <c r="G48">
        <f t="shared" si="54"/>
        <v>0</v>
      </c>
      <c r="K48">
        <f t="shared" si="55"/>
        <v>0</v>
      </c>
      <c r="M48">
        <f t="shared" si="56"/>
        <v>0</v>
      </c>
      <c r="N48">
        <f t="shared" si="57"/>
        <v>1</v>
      </c>
      <c r="O48">
        <f t="shared" si="58"/>
        <v>0</v>
      </c>
      <c r="Q48">
        <f t="shared" si="59"/>
        <v>1</v>
      </c>
      <c r="S48">
        <f t="shared" si="60"/>
        <v>0</v>
      </c>
    </row>
    <row r="49" spans="1:19" x14ac:dyDescent="0.2">
      <c r="A49">
        <f t="shared" si="51"/>
        <v>0</v>
      </c>
      <c r="C49">
        <f t="shared" si="52"/>
        <v>4</v>
      </c>
      <c r="E49">
        <f t="shared" si="53"/>
        <v>0</v>
      </c>
      <c r="G49">
        <f t="shared" si="54"/>
        <v>0</v>
      </c>
      <c r="K49">
        <f t="shared" si="55"/>
        <v>0</v>
      </c>
      <c r="M49">
        <f t="shared" si="56"/>
        <v>0</v>
      </c>
      <c r="N49">
        <f t="shared" si="57"/>
        <v>0</v>
      </c>
      <c r="O49">
        <f t="shared" si="58"/>
        <v>0</v>
      </c>
      <c r="Q49">
        <f t="shared" si="59"/>
        <v>1</v>
      </c>
      <c r="S49">
        <f t="shared" si="60"/>
        <v>1</v>
      </c>
    </row>
    <row r="50" spans="1:19" x14ac:dyDescent="0.2">
      <c r="A50">
        <f t="shared" si="51"/>
        <v>0</v>
      </c>
      <c r="C50">
        <f t="shared" si="52"/>
        <v>1</v>
      </c>
      <c r="E50">
        <f t="shared" si="53"/>
        <v>0</v>
      </c>
      <c r="G50">
        <f t="shared" si="54"/>
        <v>0</v>
      </c>
      <c r="K50">
        <f t="shared" si="55"/>
        <v>0</v>
      </c>
      <c r="M50">
        <f t="shared" si="56"/>
        <v>-1</v>
      </c>
      <c r="N50">
        <f t="shared" si="57"/>
        <v>0</v>
      </c>
      <c r="O50">
        <f t="shared" si="58"/>
        <v>0</v>
      </c>
      <c r="Q50">
        <f t="shared" si="59"/>
        <v>1</v>
      </c>
      <c r="S50">
        <f t="shared" si="60"/>
        <v>0</v>
      </c>
    </row>
  </sheetData>
  <pageMargins left="0.7" right="0.7" top="0.75" bottom="0.75" header="0.3" footer="0.3"/>
  <legacyDrawing r:id="rId1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7" enableFormatConditionsCalculation="0"/>
  <dimension ref="A1:BN50"/>
  <sheetViews>
    <sheetView topLeftCell="B1" workbookViewId="0">
      <selection activeCell="U15" sqref="U15"/>
    </sheetView>
  </sheetViews>
  <sheetFormatPr baseColWidth="10" defaultRowHeight="15" x14ac:dyDescent="0.2"/>
  <sheetData>
    <row r="1" spans="1:66" x14ac:dyDescent="0.2">
      <c r="A1" s="1" t="s">
        <v>0</v>
      </c>
      <c r="D1" t="s">
        <v>3</v>
      </c>
      <c r="K1" t="s">
        <v>11</v>
      </c>
      <c r="N1" t="s">
        <v>12</v>
      </c>
      <c r="P1" t="s">
        <v>14</v>
      </c>
      <c r="Q1" t="s">
        <v>17</v>
      </c>
      <c r="S1" t="s">
        <v>18</v>
      </c>
      <c r="Z1" t="s">
        <v>29</v>
      </c>
      <c r="AE1" t="s">
        <v>30</v>
      </c>
      <c r="AK1" t="s">
        <v>42</v>
      </c>
    </row>
    <row r="2" spans="1:66" x14ac:dyDescent="0.2">
      <c r="A2" t="s">
        <v>1</v>
      </c>
      <c r="B2" t="s">
        <v>1</v>
      </c>
      <c r="C2" t="s">
        <v>87</v>
      </c>
      <c r="D2" t="s">
        <v>54</v>
      </c>
      <c r="E2" t="s">
        <v>13</v>
      </c>
      <c r="F2" t="s">
        <v>198</v>
      </c>
      <c r="G2" t="s">
        <v>7</v>
      </c>
      <c r="H2" t="s">
        <v>8</v>
      </c>
      <c r="I2" t="s">
        <v>179</v>
      </c>
      <c r="J2" t="s">
        <v>178</v>
      </c>
      <c r="K2" t="s">
        <v>9</v>
      </c>
      <c r="L2" t="s">
        <v>196</v>
      </c>
      <c r="M2" t="s">
        <v>10</v>
      </c>
      <c r="N2" t="s">
        <v>54</v>
      </c>
      <c r="O2" t="s">
        <v>13</v>
      </c>
      <c r="P2" t="s">
        <v>15</v>
      </c>
      <c r="Q2" t="s">
        <v>8</v>
      </c>
      <c r="R2" t="s">
        <v>7</v>
      </c>
      <c r="S2" t="s">
        <v>181</v>
      </c>
      <c r="T2" t="s">
        <v>182</v>
      </c>
      <c r="U2" t="s">
        <v>19</v>
      </c>
      <c r="V2" t="s">
        <v>191</v>
      </c>
      <c r="W2" t="s">
        <v>192</v>
      </c>
      <c r="X2" t="s">
        <v>175</v>
      </c>
      <c r="Y2" t="s">
        <v>173</v>
      </c>
      <c r="Z2" t="str">
        <f t="shared" ref="Z2:Z13" si="0">LEFT(I4, 1)</f>
        <v/>
      </c>
      <c r="AA2" t="str">
        <f t="shared" ref="AA2:AA13" si="1">MID(I4, 4, 1)</f>
        <v/>
      </c>
      <c r="AB2" t="str">
        <f t="shared" ref="AB2:AB13" si="2">MID(I4, 7, 1)</f>
        <v/>
      </c>
      <c r="AC2" t="str">
        <f t="shared" ref="AC2:AC13" si="3">MID(I4, 10, 1)</f>
        <v/>
      </c>
      <c r="AE2" t="str">
        <f t="shared" ref="AE2:AE13" si="4">LEFT(J4, 1)</f>
        <v/>
      </c>
      <c r="AF2" t="str">
        <f t="shared" ref="AF2:AF13" si="5">MID(J4, 4, 1)</f>
        <v/>
      </c>
      <c r="AG2" t="str">
        <f t="shared" ref="AG2:AG13" si="6">MID(J4, 7, 1)</f>
        <v/>
      </c>
      <c r="AH2" t="str">
        <f t="shared" ref="AH2:AH13" si="7">MID(J4, 10, 1)</f>
        <v/>
      </c>
      <c r="AI2" t="str">
        <f t="shared" ref="AI2:AI13" si="8">MID(J4, 13, 1)</f>
        <v/>
      </c>
      <c r="AK2" t="str">
        <f t="shared" ref="AK2:AK13" si="9">LEFT(P4, 2)</f>
        <v/>
      </c>
      <c r="AL2" t="str">
        <f>MID($P4, 5, 2)</f>
        <v/>
      </c>
      <c r="AM2" t="str">
        <f t="shared" ref="AM2:AM13" si="10">MID($P4, 9, 2)</f>
        <v/>
      </c>
      <c r="AN2" t="str">
        <f t="shared" ref="AN2:AN13" si="11">MID($P4, 13, 2)</f>
        <v/>
      </c>
      <c r="AO2" t="str">
        <f t="shared" ref="AO2:AO13" si="12">MID($P4, 17, 2)</f>
        <v/>
      </c>
      <c r="AP2" t="str">
        <f t="shared" ref="AP2:AP13" si="13">MID($P4, 21, 2)</f>
        <v/>
      </c>
      <c r="AQ2" t="str">
        <f t="shared" ref="AQ2:AQ13" si="14">MID($P4, 25, 2)</f>
        <v/>
      </c>
      <c r="AR2" t="str">
        <f t="shared" ref="AR2:AR13" si="15">MID($P4, 29, 2)</f>
        <v/>
      </c>
      <c r="AS2" t="str">
        <f t="shared" ref="AS2:AS13" si="16">MID($P4, 33, 2)</f>
        <v/>
      </c>
      <c r="AT2" t="str">
        <f t="shared" ref="AT2:AT13" si="17">MID($P4, 37, 2)</f>
        <v/>
      </c>
      <c r="AU2" t="str">
        <f t="shared" ref="AU2:AU13" si="18">MID($P4, 41, 2)</f>
        <v/>
      </c>
      <c r="AV2" t="str">
        <f t="shared" ref="AV2:AV13" si="19">MID($P4, 45, 2)</f>
        <v/>
      </c>
      <c r="AW2" t="str">
        <f t="shared" ref="AW2:AW13" si="20">MID($P4, 49, 2)</f>
        <v/>
      </c>
      <c r="AX2" t="str">
        <f t="shared" ref="AX2:AX13" si="21">MID($P4, 53, 2)</f>
        <v/>
      </c>
      <c r="AY2" t="str">
        <f t="shared" ref="AY2:AY13" si="22">MID($P4, 57, 2)</f>
        <v/>
      </c>
      <c r="AZ2" t="str">
        <f t="shared" ref="AZ2:AZ13" si="23">MID($P4, 61, 2)</f>
        <v/>
      </c>
      <c r="BA2" t="str">
        <f t="shared" ref="BA2:BA13" si="24">MID($P4, 65, 2)</f>
        <v/>
      </c>
      <c r="BB2" t="str">
        <f t="shared" ref="BB2:BB13" si="25">MID($P4, 69, 2)</f>
        <v/>
      </c>
      <c r="BC2" t="str">
        <f t="shared" ref="BC2:BC13" si="26">MID($P4, 73, 2)</f>
        <v/>
      </c>
      <c r="BD2" t="str">
        <f t="shared" ref="BD2:BD13" si="27">MID($P4, 77, 2)</f>
        <v/>
      </c>
      <c r="BE2" t="str">
        <f t="shared" ref="BE2:BE13" si="28">MID($P4, 81, 2)</f>
        <v/>
      </c>
      <c r="BF2" t="str">
        <f t="shared" ref="BF2:BF13" si="29">MID($P4, 85, 2)</f>
        <v/>
      </c>
      <c r="BG2" t="str">
        <f t="shared" ref="BG2:BG13" si="30">MID($P4, 89, 2)</f>
        <v/>
      </c>
      <c r="BH2" t="str">
        <f t="shared" ref="BH2:BH13" si="31">MID($P4, 93, 2)</f>
        <v/>
      </c>
    </row>
    <row r="3" spans="1:66" x14ac:dyDescent="0.2">
      <c r="A3" t="s">
        <v>2</v>
      </c>
      <c r="B3" t="s">
        <v>6</v>
      </c>
      <c r="C3" t="s">
        <v>88</v>
      </c>
      <c r="D3" t="s">
        <v>6</v>
      </c>
      <c r="E3" t="s">
        <v>6</v>
      </c>
      <c r="F3" t="s">
        <v>4</v>
      </c>
      <c r="G3" t="s">
        <v>6</v>
      </c>
      <c r="H3" t="s">
        <v>6</v>
      </c>
      <c r="I3" t="s">
        <v>86</v>
      </c>
      <c r="J3" t="s">
        <v>86</v>
      </c>
      <c r="K3" t="s">
        <v>6</v>
      </c>
      <c r="L3" t="s">
        <v>6</v>
      </c>
      <c r="M3" t="s">
        <v>6</v>
      </c>
      <c r="N3" t="s">
        <v>6</v>
      </c>
      <c r="O3" t="s">
        <v>6</v>
      </c>
      <c r="P3" t="s">
        <v>16</v>
      </c>
      <c r="Q3" t="s">
        <v>6</v>
      </c>
      <c r="R3" t="s">
        <v>6</v>
      </c>
      <c r="S3" t="s">
        <v>4</v>
      </c>
      <c r="T3" t="s">
        <v>4</v>
      </c>
      <c r="U3" t="s">
        <v>6</v>
      </c>
      <c r="V3" t="s">
        <v>6</v>
      </c>
      <c r="W3" t="s">
        <v>6</v>
      </c>
      <c r="X3" t="s">
        <v>6</v>
      </c>
      <c r="Y3" t="s">
        <v>174</v>
      </c>
      <c r="Z3" t="str">
        <f t="shared" si="0"/>
        <v/>
      </c>
      <c r="AA3" t="str">
        <f t="shared" si="1"/>
        <v/>
      </c>
      <c r="AB3" t="str">
        <f t="shared" si="2"/>
        <v/>
      </c>
      <c r="AC3" t="str">
        <f t="shared" si="3"/>
        <v/>
      </c>
      <c r="AE3" t="str">
        <f t="shared" si="4"/>
        <v/>
      </c>
      <c r="AF3" t="str">
        <f t="shared" si="5"/>
        <v/>
      </c>
      <c r="AG3" t="str">
        <f t="shared" si="6"/>
        <v/>
      </c>
      <c r="AH3" t="str">
        <f t="shared" si="7"/>
        <v/>
      </c>
      <c r="AI3" t="str">
        <f t="shared" si="8"/>
        <v/>
      </c>
      <c r="AK3" t="str">
        <f t="shared" si="9"/>
        <v/>
      </c>
      <c r="AL3" t="str">
        <f t="shared" ref="AL3:AL13" si="32">MID(P5, 5, 2)</f>
        <v/>
      </c>
      <c r="AM3" t="str">
        <f t="shared" si="10"/>
        <v/>
      </c>
      <c r="AN3" t="str">
        <f t="shared" si="11"/>
        <v/>
      </c>
      <c r="AO3" t="str">
        <f t="shared" si="12"/>
        <v/>
      </c>
      <c r="AP3" t="str">
        <f t="shared" si="13"/>
        <v/>
      </c>
      <c r="AQ3" t="str">
        <f t="shared" si="14"/>
        <v/>
      </c>
      <c r="AR3" t="str">
        <f t="shared" si="15"/>
        <v/>
      </c>
      <c r="AS3" t="str">
        <f t="shared" si="16"/>
        <v/>
      </c>
      <c r="AT3" t="str">
        <f t="shared" si="17"/>
        <v/>
      </c>
      <c r="AU3" t="str">
        <f t="shared" si="18"/>
        <v/>
      </c>
      <c r="AV3" t="str">
        <f t="shared" si="19"/>
        <v/>
      </c>
      <c r="AW3" t="str">
        <f t="shared" si="20"/>
        <v/>
      </c>
      <c r="AX3" t="str">
        <f t="shared" si="21"/>
        <v/>
      </c>
      <c r="AY3" t="str">
        <f t="shared" si="22"/>
        <v/>
      </c>
      <c r="AZ3" t="str">
        <f t="shared" si="23"/>
        <v/>
      </c>
      <c r="BA3" t="str">
        <f t="shared" si="24"/>
        <v/>
      </c>
      <c r="BB3" t="str">
        <f t="shared" si="25"/>
        <v/>
      </c>
      <c r="BC3" t="str">
        <f t="shared" si="26"/>
        <v/>
      </c>
      <c r="BD3" t="str">
        <f t="shared" si="27"/>
        <v/>
      </c>
      <c r="BE3" t="str">
        <f t="shared" si="28"/>
        <v/>
      </c>
      <c r="BF3" t="str">
        <f t="shared" si="29"/>
        <v/>
      </c>
      <c r="BG3" t="str">
        <f t="shared" si="30"/>
        <v/>
      </c>
      <c r="BH3" t="str">
        <f t="shared" si="31"/>
        <v/>
      </c>
    </row>
    <row r="4" spans="1:66" x14ac:dyDescent="0.2">
      <c r="A4">
        <v>1</v>
      </c>
      <c r="B4">
        <v>8</v>
      </c>
      <c r="C4" t="s">
        <v>39</v>
      </c>
      <c r="K4">
        <v>1</v>
      </c>
      <c r="L4">
        <v>3</v>
      </c>
      <c r="N4">
        <v>2</v>
      </c>
      <c r="O4">
        <v>2</v>
      </c>
      <c r="R4">
        <v>1</v>
      </c>
      <c r="S4">
        <v>1</v>
      </c>
      <c r="T4">
        <v>1</v>
      </c>
      <c r="W4">
        <v>3</v>
      </c>
      <c r="X4">
        <f t="shared" ref="X4:X15" si="33">G4+H4+Q4+R4</f>
        <v>1</v>
      </c>
      <c r="Z4" t="str">
        <f t="shared" si="0"/>
        <v/>
      </c>
      <c r="AA4" t="str">
        <f t="shared" si="1"/>
        <v/>
      </c>
      <c r="AB4" t="str">
        <f t="shared" si="2"/>
        <v/>
      </c>
      <c r="AC4" t="str">
        <f t="shared" si="3"/>
        <v/>
      </c>
      <c r="AE4" t="str">
        <f t="shared" si="4"/>
        <v/>
      </c>
      <c r="AF4" t="str">
        <f t="shared" si="5"/>
        <v/>
      </c>
      <c r="AG4" t="str">
        <f t="shared" si="6"/>
        <v/>
      </c>
      <c r="AH4" t="str">
        <f t="shared" si="7"/>
        <v/>
      </c>
      <c r="AI4" t="str">
        <f t="shared" si="8"/>
        <v/>
      </c>
      <c r="AK4" t="str">
        <f t="shared" si="9"/>
        <v/>
      </c>
      <c r="AL4" t="str">
        <f t="shared" si="32"/>
        <v/>
      </c>
      <c r="AM4" t="str">
        <f t="shared" si="10"/>
        <v/>
      </c>
      <c r="AN4" t="str">
        <f t="shared" si="11"/>
        <v/>
      </c>
      <c r="AO4" t="str">
        <f t="shared" si="12"/>
        <v/>
      </c>
      <c r="AP4" t="str">
        <f t="shared" si="13"/>
        <v/>
      </c>
      <c r="AQ4" t="str">
        <f t="shared" si="14"/>
        <v/>
      </c>
      <c r="AR4" t="str">
        <f t="shared" si="15"/>
        <v/>
      </c>
      <c r="AS4" t="str">
        <f t="shared" si="16"/>
        <v/>
      </c>
      <c r="AT4" t="str">
        <f t="shared" si="17"/>
        <v/>
      </c>
      <c r="AU4" t="str">
        <f t="shared" si="18"/>
        <v/>
      </c>
      <c r="AV4" t="str">
        <f t="shared" si="19"/>
        <v/>
      </c>
      <c r="AW4" t="str">
        <f t="shared" si="20"/>
        <v/>
      </c>
      <c r="AX4" t="str">
        <f t="shared" si="21"/>
        <v/>
      </c>
      <c r="AY4" t="str">
        <f t="shared" si="22"/>
        <v/>
      </c>
      <c r="AZ4" t="str">
        <f t="shared" si="23"/>
        <v/>
      </c>
      <c r="BA4" t="str">
        <f t="shared" si="24"/>
        <v/>
      </c>
      <c r="BB4" t="str">
        <f t="shared" si="25"/>
        <v/>
      </c>
      <c r="BC4" t="str">
        <f t="shared" si="26"/>
        <v/>
      </c>
      <c r="BD4" t="str">
        <f t="shared" si="27"/>
        <v/>
      </c>
      <c r="BE4" t="str">
        <f t="shared" si="28"/>
        <v/>
      </c>
      <c r="BF4" t="str">
        <f t="shared" si="29"/>
        <v/>
      </c>
      <c r="BG4" t="str">
        <f t="shared" si="30"/>
        <v/>
      </c>
      <c r="BH4" t="str">
        <f t="shared" si="31"/>
        <v/>
      </c>
    </row>
    <row r="5" spans="1:66" x14ac:dyDescent="0.2">
      <c r="A5">
        <v>2</v>
      </c>
      <c r="B5">
        <v>18</v>
      </c>
      <c r="C5" t="s">
        <v>207</v>
      </c>
      <c r="D5">
        <v>1</v>
      </c>
      <c r="K5">
        <v>3</v>
      </c>
      <c r="N5">
        <v>4</v>
      </c>
      <c r="O5">
        <v>4</v>
      </c>
      <c r="S5">
        <v>1</v>
      </c>
      <c r="T5">
        <v>1</v>
      </c>
      <c r="X5">
        <f t="shared" si="33"/>
        <v>0</v>
      </c>
      <c r="Z5" t="str">
        <f t="shared" si="0"/>
        <v/>
      </c>
      <c r="AA5" t="str">
        <f t="shared" si="1"/>
        <v/>
      </c>
      <c r="AB5" t="str">
        <f t="shared" si="2"/>
        <v/>
      </c>
      <c r="AC5" t="str">
        <f t="shared" si="3"/>
        <v/>
      </c>
      <c r="AE5" t="str">
        <f t="shared" si="4"/>
        <v/>
      </c>
      <c r="AF5" t="str">
        <f t="shared" si="5"/>
        <v/>
      </c>
      <c r="AG5" t="str">
        <f t="shared" si="6"/>
        <v/>
      </c>
      <c r="AH5" t="str">
        <f t="shared" si="7"/>
        <v/>
      </c>
      <c r="AI5" t="str">
        <f t="shared" si="8"/>
        <v/>
      </c>
      <c r="AK5" t="str">
        <f t="shared" si="9"/>
        <v/>
      </c>
      <c r="AL5" t="str">
        <f t="shared" si="32"/>
        <v/>
      </c>
      <c r="AM5" t="str">
        <f t="shared" si="10"/>
        <v/>
      </c>
      <c r="AN5" t="str">
        <f t="shared" si="11"/>
        <v/>
      </c>
      <c r="AO5" t="str">
        <f t="shared" si="12"/>
        <v/>
      </c>
      <c r="AP5" t="str">
        <f t="shared" si="13"/>
        <v/>
      </c>
      <c r="AQ5" t="str">
        <f t="shared" si="14"/>
        <v/>
      </c>
      <c r="AR5" t="str">
        <f t="shared" si="15"/>
        <v/>
      </c>
      <c r="AS5" t="str">
        <f t="shared" si="16"/>
        <v/>
      </c>
      <c r="AT5" t="str">
        <f t="shared" si="17"/>
        <v/>
      </c>
      <c r="AU5" t="str">
        <f t="shared" si="18"/>
        <v/>
      </c>
      <c r="AV5" t="str">
        <f t="shared" si="19"/>
        <v/>
      </c>
      <c r="AW5" t="str">
        <f t="shared" si="20"/>
        <v/>
      </c>
      <c r="AX5" t="str">
        <f t="shared" si="21"/>
        <v/>
      </c>
      <c r="AY5" t="str">
        <f t="shared" si="22"/>
        <v/>
      </c>
      <c r="AZ5" t="str">
        <f t="shared" si="23"/>
        <v/>
      </c>
      <c r="BA5" t="str">
        <f t="shared" si="24"/>
        <v/>
      </c>
      <c r="BB5" t="str">
        <f t="shared" si="25"/>
        <v/>
      </c>
      <c r="BC5" t="str">
        <f t="shared" si="26"/>
        <v/>
      </c>
      <c r="BD5" t="str">
        <f t="shared" si="27"/>
        <v/>
      </c>
      <c r="BE5" t="str">
        <f t="shared" si="28"/>
        <v/>
      </c>
      <c r="BF5" t="str">
        <f t="shared" si="29"/>
        <v/>
      </c>
      <c r="BG5" t="str">
        <f t="shared" si="30"/>
        <v/>
      </c>
      <c r="BH5" t="str">
        <f t="shared" si="31"/>
        <v/>
      </c>
    </row>
    <row r="6" spans="1:66" x14ac:dyDescent="0.2">
      <c r="A6">
        <v>3</v>
      </c>
      <c r="B6">
        <v>26</v>
      </c>
      <c r="C6" t="s">
        <v>207</v>
      </c>
      <c r="D6">
        <v>1</v>
      </c>
      <c r="K6">
        <v>3</v>
      </c>
      <c r="L6">
        <v>2</v>
      </c>
      <c r="N6">
        <v>4</v>
      </c>
      <c r="O6">
        <v>4</v>
      </c>
      <c r="S6">
        <v>1</v>
      </c>
      <c r="T6">
        <v>1</v>
      </c>
      <c r="U6">
        <v>3</v>
      </c>
      <c r="X6">
        <f t="shared" si="33"/>
        <v>0</v>
      </c>
      <c r="Z6" t="str">
        <f t="shared" si="0"/>
        <v/>
      </c>
      <c r="AA6" t="str">
        <f t="shared" si="1"/>
        <v/>
      </c>
      <c r="AB6" t="str">
        <f t="shared" si="2"/>
        <v/>
      </c>
      <c r="AC6" t="str">
        <f t="shared" si="3"/>
        <v/>
      </c>
      <c r="AE6" t="str">
        <f t="shared" si="4"/>
        <v/>
      </c>
      <c r="AF6" t="str">
        <f t="shared" si="5"/>
        <v/>
      </c>
      <c r="AG6" t="str">
        <f t="shared" si="6"/>
        <v/>
      </c>
      <c r="AH6" t="str">
        <f t="shared" si="7"/>
        <v/>
      </c>
      <c r="AI6" t="str">
        <f t="shared" si="8"/>
        <v/>
      </c>
      <c r="AK6" t="str">
        <f t="shared" si="9"/>
        <v/>
      </c>
      <c r="AL6" t="str">
        <f t="shared" si="32"/>
        <v/>
      </c>
      <c r="AM6" t="str">
        <f t="shared" si="10"/>
        <v/>
      </c>
      <c r="AN6" t="str">
        <f t="shared" si="11"/>
        <v/>
      </c>
      <c r="AO6" t="str">
        <f t="shared" si="12"/>
        <v/>
      </c>
      <c r="AP6" t="str">
        <f t="shared" si="13"/>
        <v/>
      </c>
      <c r="AQ6" t="str">
        <f t="shared" si="14"/>
        <v/>
      </c>
      <c r="AR6" t="str">
        <f t="shared" si="15"/>
        <v/>
      </c>
      <c r="AS6" t="str">
        <f t="shared" si="16"/>
        <v/>
      </c>
      <c r="AT6" t="str">
        <f t="shared" si="17"/>
        <v/>
      </c>
      <c r="AU6" t="str">
        <f t="shared" si="18"/>
        <v/>
      </c>
      <c r="AV6" t="str">
        <f t="shared" si="19"/>
        <v/>
      </c>
      <c r="AW6" t="str">
        <f t="shared" si="20"/>
        <v/>
      </c>
      <c r="AX6" t="str">
        <f t="shared" si="21"/>
        <v/>
      </c>
      <c r="AY6" t="str">
        <f t="shared" si="22"/>
        <v/>
      </c>
      <c r="AZ6" t="str">
        <f t="shared" si="23"/>
        <v/>
      </c>
      <c r="BA6" t="str">
        <f t="shared" si="24"/>
        <v/>
      </c>
      <c r="BB6" t="str">
        <f t="shared" si="25"/>
        <v/>
      </c>
      <c r="BC6" t="str">
        <f t="shared" si="26"/>
        <v/>
      </c>
      <c r="BD6" t="str">
        <f t="shared" si="27"/>
        <v/>
      </c>
      <c r="BE6" t="str">
        <f t="shared" si="28"/>
        <v/>
      </c>
      <c r="BF6" t="str">
        <f t="shared" si="29"/>
        <v/>
      </c>
      <c r="BG6" t="str">
        <f t="shared" si="30"/>
        <v/>
      </c>
      <c r="BH6" t="str">
        <f t="shared" si="31"/>
        <v/>
      </c>
    </row>
    <row r="7" spans="1:66" x14ac:dyDescent="0.2">
      <c r="A7">
        <v>4</v>
      </c>
      <c r="B7">
        <v>35</v>
      </c>
      <c r="C7" t="s">
        <v>39</v>
      </c>
      <c r="G7">
        <v>5</v>
      </c>
      <c r="K7">
        <v>3</v>
      </c>
      <c r="N7">
        <v>4</v>
      </c>
      <c r="O7">
        <v>4</v>
      </c>
      <c r="S7">
        <v>1</v>
      </c>
      <c r="T7">
        <v>1</v>
      </c>
      <c r="U7">
        <v>4</v>
      </c>
      <c r="X7">
        <f t="shared" si="33"/>
        <v>5</v>
      </c>
      <c r="Z7" t="str">
        <f t="shared" si="0"/>
        <v/>
      </c>
      <c r="AA7" t="str">
        <f t="shared" si="1"/>
        <v/>
      </c>
      <c r="AB7" t="str">
        <f t="shared" si="2"/>
        <v/>
      </c>
      <c r="AC7" t="str">
        <f t="shared" si="3"/>
        <v/>
      </c>
      <c r="AE7" t="str">
        <f t="shared" si="4"/>
        <v/>
      </c>
      <c r="AF7" t="str">
        <f t="shared" si="5"/>
        <v/>
      </c>
      <c r="AG7" t="str">
        <f t="shared" si="6"/>
        <v/>
      </c>
      <c r="AH7" t="str">
        <f t="shared" si="7"/>
        <v/>
      </c>
      <c r="AI7" t="str">
        <f t="shared" si="8"/>
        <v/>
      </c>
      <c r="AK7" t="str">
        <f t="shared" si="9"/>
        <v/>
      </c>
      <c r="AL7" t="str">
        <f t="shared" si="32"/>
        <v/>
      </c>
      <c r="AM7" t="str">
        <f t="shared" si="10"/>
        <v/>
      </c>
      <c r="AN7" t="str">
        <f t="shared" si="11"/>
        <v/>
      </c>
      <c r="AO7" t="str">
        <f t="shared" si="12"/>
        <v/>
      </c>
      <c r="AP7" t="str">
        <f t="shared" si="13"/>
        <v/>
      </c>
      <c r="AQ7" t="str">
        <f t="shared" si="14"/>
        <v/>
      </c>
      <c r="AR7" t="str">
        <f t="shared" si="15"/>
        <v/>
      </c>
      <c r="AS7" t="str">
        <f t="shared" si="16"/>
        <v/>
      </c>
      <c r="AT7" t="str">
        <f t="shared" si="17"/>
        <v/>
      </c>
      <c r="AU7" t="str">
        <f t="shared" si="18"/>
        <v/>
      </c>
      <c r="AV7" t="str">
        <f t="shared" si="19"/>
        <v/>
      </c>
      <c r="AW7" t="str">
        <f t="shared" si="20"/>
        <v/>
      </c>
      <c r="AX7" t="str">
        <f t="shared" si="21"/>
        <v/>
      </c>
      <c r="AY7" t="str">
        <f t="shared" si="22"/>
        <v/>
      </c>
      <c r="AZ7" t="str">
        <f t="shared" si="23"/>
        <v/>
      </c>
      <c r="BA7" t="str">
        <f t="shared" si="24"/>
        <v/>
      </c>
      <c r="BB7" t="str">
        <f t="shared" si="25"/>
        <v/>
      </c>
      <c r="BC7" t="str">
        <f t="shared" si="26"/>
        <v/>
      </c>
      <c r="BD7" t="str">
        <f t="shared" si="27"/>
        <v/>
      </c>
      <c r="BE7" t="str">
        <f t="shared" si="28"/>
        <v/>
      </c>
      <c r="BF7" t="str">
        <f t="shared" si="29"/>
        <v/>
      </c>
      <c r="BG7" t="str">
        <f t="shared" si="30"/>
        <v/>
      </c>
      <c r="BH7" t="str">
        <f t="shared" si="31"/>
        <v/>
      </c>
    </row>
    <row r="8" spans="1:66" x14ac:dyDescent="0.2">
      <c r="A8">
        <v>5</v>
      </c>
      <c r="B8">
        <v>42</v>
      </c>
      <c r="C8" t="s">
        <v>39</v>
      </c>
      <c r="D8">
        <v>1</v>
      </c>
      <c r="K8">
        <v>1</v>
      </c>
      <c r="N8">
        <v>1</v>
      </c>
      <c r="O8">
        <v>2</v>
      </c>
      <c r="S8">
        <v>1</v>
      </c>
      <c r="T8">
        <v>1</v>
      </c>
      <c r="X8">
        <f t="shared" si="33"/>
        <v>0</v>
      </c>
      <c r="Z8" t="str">
        <f t="shared" si="0"/>
        <v/>
      </c>
      <c r="AA8" t="str">
        <f t="shared" si="1"/>
        <v/>
      </c>
      <c r="AB8" t="str">
        <f t="shared" si="2"/>
        <v/>
      </c>
      <c r="AC8" t="str">
        <f t="shared" si="3"/>
        <v/>
      </c>
      <c r="AE8" t="str">
        <f t="shared" si="4"/>
        <v/>
      </c>
      <c r="AF8" t="str">
        <f t="shared" si="5"/>
        <v/>
      </c>
      <c r="AG8" t="str">
        <f t="shared" si="6"/>
        <v/>
      </c>
      <c r="AH8" t="str">
        <f t="shared" si="7"/>
        <v/>
      </c>
      <c r="AI8" t="str">
        <f t="shared" si="8"/>
        <v/>
      </c>
      <c r="AK8" t="str">
        <f t="shared" si="9"/>
        <v/>
      </c>
      <c r="AL8" t="str">
        <f t="shared" si="32"/>
        <v/>
      </c>
      <c r="AM8" t="str">
        <f t="shared" si="10"/>
        <v/>
      </c>
      <c r="AN8" t="str">
        <f t="shared" si="11"/>
        <v/>
      </c>
      <c r="AO8" t="str">
        <f t="shared" si="12"/>
        <v/>
      </c>
      <c r="AP8" t="str">
        <f t="shared" si="13"/>
        <v/>
      </c>
      <c r="AQ8" t="str">
        <f t="shared" si="14"/>
        <v/>
      </c>
      <c r="AR8" t="str">
        <f t="shared" si="15"/>
        <v/>
      </c>
      <c r="AS8" t="str">
        <f t="shared" si="16"/>
        <v/>
      </c>
      <c r="AT8" t="str">
        <f t="shared" si="17"/>
        <v/>
      </c>
      <c r="AU8" t="str">
        <f t="shared" si="18"/>
        <v/>
      </c>
      <c r="AV8" t="str">
        <f t="shared" si="19"/>
        <v/>
      </c>
      <c r="AW8" t="str">
        <f t="shared" si="20"/>
        <v/>
      </c>
      <c r="AX8" t="str">
        <f t="shared" si="21"/>
        <v/>
      </c>
      <c r="AY8" t="str">
        <f t="shared" si="22"/>
        <v/>
      </c>
      <c r="AZ8" t="str">
        <f t="shared" si="23"/>
        <v/>
      </c>
      <c r="BA8" t="str">
        <f t="shared" si="24"/>
        <v/>
      </c>
      <c r="BB8" t="str">
        <f t="shared" si="25"/>
        <v/>
      </c>
      <c r="BC8" t="str">
        <f t="shared" si="26"/>
        <v/>
      </c>
      <c r="BD8" t="str">
        <f t="shared" si="27"/>
        <v/>
      </c>
      <c r="BE8" t="str">
        <f t="shared" si="28"/>
        <v/>
      </c>
      <c r="BF8" t="str">
        <f t="shared" si="29"/>
        <v/>
      </c>
      <c r="BG8" t="str">
        <f t="shared" si="30"/>
        <v/>
      </c>
      <c r="BH8" t="str">
        <f t="shared" si="31"/>
        <v/>
      </c>
    </row>
    <row r="9" spans="1:66" x14ac:dyDescent="0.2">
      <c r="A9">
        <v>6</v>
      </c>
      <c r="B9">
        <v>53</v>
      </c>
      <c r="C9" t="s">
        <v>39</v>
      </c>
      <c r="D9">
        <v>1</v>
      </c>
      <c r="K9">
        <v>2</v>
      </c>
      <c r="L9">
        <v>2</v>
      </c>
      <c r="N9">
        <v>3</v>
      </c>
      <c r="O9">
        <v>3</v>
      </c>
      <c r="S9">
        <v>1</v>
      </c>
      <c r="T9">
        <v>1</v>
      </c>
      <c r="U9">
        <v>17</v>
      </c>
      <c r="X9">
        <f t="shared" si="33"/>
        <v>0</v>
      </c>
      <c r="Z9" t="str">
        <f t="shared" si="0"/>
        <v/>
      </c>
      <c r="AA9" t="str">
        <f t="shared" si="1"/>
        <v/>
      </c>
      <c r="AB9" t="str">
        <f t="shared" si="2"/>
        <v/>
      </c>
      <c r="AC9" t="str">
        <f t="shared" si="3"/>
        <v/>
      </c>
      <c r="AE9" t="str">
        <f t="shared" si="4"/>
        <v/>
      </c>
      <c r="AF9" t="str">
        <f t="shared" si="5"/>
        <v/>
      </c>
      <c r="AG9" t="str">
        <f t="shared" si="6"/>
        <v/>
      </c>
      <c r="AH9" t="str">
        <f t="shared" si="7"/>
        <v/>
      </c>
      <c r="AI9" t="str">
        <f t="shared" si="8"/>
        <v/>
      </c>
      <c r="AK9" t="str">
        <f t="shared" si="9"/>
        <v/>
      </c>
      <c r="AL9" t="str">
        <f t="shared" si="32"/>
        <v/>
      </c>
      <c r="AM9" t="str">
        <f t="shared" si="10"/>
        <v/>
      </c>
      <c r="AN9" t="str">
        <f t="shared" si="11"/>
        <v/>
      </c>
      <c r="AO9" t="str">
        <f t="shared" si="12"/>
        <v/>
      </c>
      <c r="AP9" t="str">
        <f t="shared" si="13"/>
        <v/>
      </c>
      <c r="AQ9" t="str">
        <f t="shared" si="14"/>
        <v/>
      </c>
      <c r="AR9" t="str">
        <f t="shared" si="15"/>
        <v/>
      </c>
      <c r="AS9" t="str">
        <f t="shared" si="16"/>
        <v/>
      </c>
      <c r="AT9" t="str">
        <f t="shared" si="17"/>
        <v/>
      </c>
      <c r="AU9" t="str">
        <f t="shared" si="18"/>
        <v/>
      </c>
      <c r="AV9" t="str">
        <f t="shared" si="19"/>
        <v/>
      </c>
      <c r="AW9" t="str">
        <f t="shared" si="20"/>
        <v/>
      </c>
      <c r="AX9" t="str">
        <f t="shared" si="21"/>
        <v/>
      </c>
      <c r="AY9" t="str">
        <f t="shared" si="22"/>
        <v/>
      </c>
      <c r="AZ9" t="str">
        <f t="shared" si="23"/>
        <v/>
      </c>
      <c r="BA9" t="str">
        <f t="shared" si="24"/>
        <v/>
      </c>
      <c r="BB9" t="str">
        <f t="shared" si="25"/>
        <v/>
      </c>
      <c r="BC9" t="str">
        <f t="shared" si="26"/>
        <v/>
      </c>
      <c r="BD9" t="str">
        <f t="shared" si="27"/>
        <v/>
      </c>
      <c r="BE9" t="str">
        <f t="shared" si="28"/>
        <v/>
      </c>
      <c r="BF9" t="str">
        <f t="shared" si="29"/>
        <v/>
      </c>
      <c r="BG9" t="str">
        <f t="shared" si="30"/>
        <v/>
      </c>
      <c r="BH9" t="str">
        <f t="shared" si="31"/>
        <v/>
      </c>
    </row>
    <row r="10" spans="1:66" x14ac:dyDescent="0.2">
      <c r="A10">
        <v>7</v>
      </c>
      <c r="B10">
        <v>61</v>
      </c>
      <c r="C10" t="s">
        <v>207</v>
      </c>
      <c r="D10">
        <v>1</v>
      </c>
      <c r="E10">
        <v>1</v>
      </c>
      <c r="K10">
        <v>3</v>
      </c>
      <c r="N10">
        <v>3</v>
      </c>
      <c r="O10">
        <v>3</v>
      </c>
      <c r="S10">
        <v>1</v>
      </c>
      <c r="T10">
        <v>1</v>
      </c>
      <c r="X10">
        <f t="shared" si="33"/>
        <v>0</v>
      </c>
      <c r="Z10" t="str">
        <f t="shared" si="0"/>
        <v/>
      </c>
      <c r="AA10" t="str">
        <f t="shared" si="1"/>
        <v/>
      </c>
      <c r="AB10" t="str">
        <f t="shared" si="2"/>
        <v/>
      </c>
      <c r="AC10" t="str">
        <f t="shared" si="3"/>
        <v/>
      </c>
      <c r="AE10" t="str">
        <f t="shared" si="4"/>
        <v/>
      </c>
      <c r="AF10" t="str">
        <f t="shared" si="5"/>
        <v/>
      </c>
      <c r="AG10" t="str">
        <f t="shared" si="6"/>
        <v/>
      </c>
      <c r="AH10" t="str">
        <f t="shared" si="7"/>
        <v/>
      </c>
      <c r="AI10" t="str">
        <f t="shared" si="8"/>
        <v/>
      </c>
      <c r="AK10" t="str">
        <f t="shared" si="9"/>
        <v/>
      </c>
      <c r="AL10" t="str">
        <f t="shared" si="32"/>
        <v/>
      </c>
      <c r="AM10" t="str">
        <f t="shared" si="10"/>
        <v/>
      </c>
      <c r="AN10" t="str">
        <f t="shared" si="11"/>
        <v/>
      </c>
      <c r="AO10" t="str">
        <f t="shared" si="12"/>
        <v/>
      </c>
      <c r="AP10" t="str">
        <f t="shared" si="13"/>
        <v/>
      </c>
      <c r="AQ10" t="str">
        <f t="shared" si="14"/>
        <v/>
      </c>
      <c r="AR10" t="str">
        <f t="shared" si="15"/>
        <v/>
      </c>
      <c r="AS10" t="str">
        <f t="shared" si="16"/>
        <v/>
      </c>
      <c r="AT10" t="str">
        <f t="shared" si="17"/>
        <v/>
      </c>
      <c r="AU10" t="str">
        <f t="shared" si="18"/>
        <v/>
      </c>
      <c r="AV10" t="str">
        <f t="shared" si="19"/>
        <v/>
      </c>
      <c r="AW10" t="str">
        <f t="shared" si="20"/>
        <v/>
      </c>
      <c r="AX10" t="str">
        <f t="shared" si="21"/>
        <v/>
      </c>
      <c r="AY10" t="str">
        <f t="shared" si="22"/>
        <v/>
      </c>
      <c r="AZ10" t="str">
        <f t="shared" si="23"/>
        <v/>
      </c>
      <c r="BA10" t="str">
        <f t="shared" si="24"/>
        <v/>
      </c>
      <c r="BB10" t="str">
        <f t="shared" si="25"/>
        <v/>
      </c>
      <c r="BC10" t="str">
        <f t="shared" si="26"/>
        <v/>
      </c>
      <c r="BD10" t="str">
        <f t="shared" si="27"/>
        <v/>
      </c>
      <c r="BE10" t="str">
        <f t="shared" si="28"/>
        <v/>
      </c>
      <c r="BF10" t="str">
        <f t="shared" si="29"/>
        <v/>
      </c>
      <c r="BG10" t="str">
        <f t="shared" si="30"/>
        <v/>
      </c>
      <c r="BH10" t="str">
        <f t="shared" si="31"/>
        <v/>
      </c>
    </row>
    <row r="11" spans="1:66" x14ac:dyDescent="0.2">
      <c r="A11">
        <v>8</v>
      </c>
      <c r="B11">
        <v>80</v>
      </c>
      <c r="C11" t="s">
        <v>207</v>
      </c>
      <c r="D11">
        <v>1</v>
      </c>
      <c r="K11">
        <v>3</v>
      </c>
      <c r="N11">
        <v>4</v>
      </c>
      <c r="O11">
        <v>4</v>
      </c>
      <c r="S11">
        <v>1</v>
      </c>
      <c r="T11">
        <v>1</v>
      </c>
      <c r="U11">
        <v>7</v>
      </c>
      <c r="X11">
        <f t="shared" si="33"/>
        <v>0</v>
      </c>
      <c r="Z11" t="str">
        <f t="shared" si="0"/>
        <v/>
      </c>
      <c r="AA11" t="str">
        <f t="shared" si="1"/>
        <v/>
      </c>
      <c r="AB11" t="str">
        <f t="shared" si="2"/>
        <v/>
      </c>
      <c r="AC11" t="str">
        <f t="shared" si="3"/>
        <v/>
      </c>
      <c r="AE11" t="str">
        <f t="shared" si="4"/>
        <v/>
      </c>
      <c r="AF11" t="str">
        <f t="shared" si="5"/>
        <v/>
      </c>
      <c r="AG11" t="str">
        <f t="shared" si="6"/>
        <v/>
      </c>
      <c r="AH11" t="str">
        <f t="shared" si="7"/>
        <v/>
      </c>
      <c r="AI11" t="str">
        <f t="shared" si="8"/>
        <v/>
      </c>
      <c r="AK11" t="str">
        <f t="shared" si="9"/>
        <v/>
      </c>
      <c r="AL11" t="str">
        <f t="shared" si="32"/>
        <v/>
      </c>
      <c r="AM11" t="str">
        <f t="shared" si="10"/>
        <v/>
      </c>
      <c r="AN11" t="str">
        <f t="shared" si="11"/>
        <v/>
      </c>
      <c r="AO11" t="str">
        <f t="shared" si="12"/>
        <v/>
      </c>
      <c r="AP11" t="str">
        <f t="shared" si="13"/>
        <v/>
      </c>
      <c r="AQ11" t="str">
        <f t="shared" si="14"/>
        <v/>
      </c>
      <c r="AR11" t="str">
        <f t="shared" si="15"/>
        <v/>
      </c>
      <c r="AS11" t="str">
        <f t="shared" si="16"/>
        <v/>
      </c>
      <c r="AT11" t="str">
        <f t="shared" si="17"/>
        <v/>
      </c>
      <c r="AU11" t="str">
        <f t="shared" si="18"/>
        <v/>
      </c>
      <c r="AV11" t="str">
        <f t="shared" si="19"/>
        <v/>
      </c>
      <c r="AW11" t="str">
        <f t="shared" si="20"/>
        <v/>
      </c>
      <c r="AX11" t="str">
        <f t="shared" si="21"/>
        <v/>
      </c>
      <c r="AY11" t="str">
        <f t="shared" si="22"/>
        <v/>
      </c>
      <c r="AZ11" t="str">
        <f t="shared" si="23"/>
        <v/>
      </c>
      <c r="BA11" t="str">
        <f t="shared" si="24"/>
        <v/>
      </c>
      <c r="BB11" t="str">
        <f t="shared" si="25"/>
        <v/>
      </c>
      <c r="BC11" t="str">
        <f t="shared" si="26"/>
        <v/>
      </c>
      <c r="BD11" t="str">
        <f t="shared" si="27"/>
        <v/>
      </c>
      <c r="BE11" t="str">
        <f t="shared" si="28"/>
        <v/>
      </c>
      <c r="BF11" t="str">
        <f t="shared" si="29"/>
        <v/>
      </c>
      <c r="BG11" t="str">
        <f t="shared" si="30"/>
        <v/>
      </c>
      <c r="BH11" t="str">
        <f t="shared" si="31"/>
        <v/>
      </c>
    </row>
    <row r="12" spans="1:66" x14ac:dyDescent="0.2">
      <c r="A12">
        <v>9</v>
      </c>
      <c r="B12">
        <v>89</v>
      </c>
      <c r="C12" t="s">
        <v>207</v>
      </c>
      <c r="K12">
        <v>3</v>
      </c>
      <c r="L12">
        <v>1</v>
      </c>
      <c r="N12">
        <v>4</v>
      </c>
      <c r="O12">
        <v>3</v>
      </c>
      <c r="S12">
        <v>1</v>
      </c>
      <c r="T12">
        <v>1</v>
      </c>
      <c r="U12">
        <v>4</v>
      </c>
      <c r="X12">
        <f t="shared" si="33"/>
        <v>0</v>
      </c>
      <c r="Z12" t="str">
        <f t="shared" si="0"/>
        <v/>
      </c>
      <c r="AA12" t="str">
        <f t="shared" si="1"/>
        <v/>
      </c>
      <c r="AB12" t="str">
        <f t="shared" si="2"/>
        <v/>
      </c>
      <c r="AC12" t="str">
        <f t="shared" si="3"/>
        <v/>
      </c>
      <c r="AE12" t="str">
        <f t="shared" si="4"/>
        <v/>
      </c>
      <c r="AF12" t="str">
        <f t="shared" si="5"/>
        <v/>
      </c>
      <c r="AG12" t="str">
        <f t="shared" si="6"/>
        <v/>
      </c>
      <c r="AH12" t="str">
        <f t="shared" si="7"/>
        <v/>
      </c>
      <c r="AI12" t="str">
        <f t="shared" si="8"/>
        <v/>
      </c>
      <c r="AK12" t="str">
        <f t="shared" si="9"/>
        <v/>
      </c>
      <c r="AL12" t="str">
        <f t="shared" si="32"/>
        <v/>
      </c>
      <c r="AM12" t="str">
        <f t="shared" si="10"/>
        <v/>
      </c>
      <c r="AN12" t="str">
        <f t="shared" si="11"/>
        <v/>
      </c>
      <c r="AO12" t="str">
        <f t="shared" si="12"/>
        <v/>
      </c>
      <c r="AP12" t="str">
        <f t="shared" si="13"/>
        <v/>
      </c>
      <c r="AQ12" t="str">
        <f t="shared" si="14"/>
        <v/>
      </c>
      <c r="AR12" t="str">
        <f t="shared" si="15"/>
        <v/>
      </c>
      <c r="AS12" t="str">
        <f t="shared" si="16"/>
        <v/>
      </c>
      <c r="AT12" t="str">
        <f t="shared" si="17"/>
        <v/>
      </c>
      <c r="AU12" t="str">
        <f t="shared" si="18"/>
        <v/>
      </c>
      <c r="AV12" t="str">
        <f t="shared" si="19"/>
        <v/>
      </c>
      <c r="AW12" t="str">
        <f t="shared" si="20"/>
        <v/>
      </c>
      <c r="AX12" t="str">
        <f t="shared" si="21"/>
        <v/>
      </c>
      <c r="AY12" t="str">
        <f t="shared" si="22"/>
        <v/>
      </c>
      <c r="AZ12" t="str">
        <f t="shared" si="23"/>
        <v/>
      </c>
      <c r="BA12" t="str">
        <f t="shared" si="24"/>
        <v/>
      </c>
      <c r="BB12" t="str">
        <f t="shared" si="25"/>
        <v/>
      </c>
      <c r="BC12" t="str">
        <f t="shared" si="26"/>
        <v/>
      </c>
      <c r="BD12" t="str">
        <f t="shared" si="27"/>
        <v/>
      </c>
      <c r="BE12" t="str">
        <f t="shared" si="28"/>
        <v/>
      </c>
      <c r="BF12" t="str">
        <f t="shared" si="29"/>
        <v/>
      </c>
      <c r="BG12" t="str">
        <f t="shared" si="30"/>
        <v/>
      </c>
      <c r="BH12" t="str">
        <f t="shared" si="31"/>
        <v/>
      </c>
    </row>
    <row r="13" spans="1:66" x14ac:dyDescent="0.2">
      <c r="A13">
        <v>10</v>
      </c>
      <c r="B13">
        <v>96</v>
      </c>
      <c r="C13" t="s">
        <v>207</v>
      </c>
      <c r="D13">
        <v>1</v>
      </c>
      <c r="E13">
        <v>1</v>
      </c>
      <c r="K13">
        <v>2</v>
      </c>
      <c r="L13">
        <v>1</v>
      </c>
      <c r="N13">
        <v>2</v>
      </c>
      <c r="O13">
        <v>2</v>
      </c>
      <c r="R13">
        <v>1</v>
      </c>
      <c r="S13">
        <v>1</v>
      </c>
      <c r="T13">
        <v>1</v>
      </c>
      <c r="W13">
        <v>1</v>
      </c>
      <c r="X13">
        <f t="shared" si="33"/>
        <v>1</v>
      </c>
      <c r="Y13" t="s">
        <v>174</v>
      </c>
      <c r="Z13" t="str">
        <f t="shared" si="0"/>
        <v/>
      </c>
      <c r="AA13" t="str">
        <f t="shared" si="1"/>
        <v/>
      </c>
      <c r="AB13" t="str">
        <f t="shared" si="2"/>
        <v/>
      </c>
      <c r="AC13" t="str">
        <f t="shared" si="3"/>
        <v/>
      </c>
      <c r="AE13" t="str">
        <f t="shared" si="4"/>
        <v/>
      </c>
      <c r="AF13" t="str">
        <f t="shared" si="5"/>
        <v/>
      </c>
      <c r="AG13" t="str">
        <f t="shared" si="6"/>
        <v/>
      </c>
      <c r="AH13" t="str">
        <f t="shared" si="7"/>
        <v/>
      </c>
      <c r="AI13" t="str">
        <f t="shared" si="8"/>
        <v/>
      </c>
      <c r="AK13" t="str">
        <f t="shared" si="9"/>
        <v/>
      </c>
      <c r="AL13" t="str">
        <f t="shared" si="32"/>
        <v/>
      </c>
      <c r="AM13" t="str">
        <f t="shared" si="10"/>
        <v/>
      </c>
      <c r="AN13" t="str">
        <f t="shared" si="11"/>
        <v/>
      </c>
      <c r="AO13" t="str">
        <f t="shared" si="12"/>
        <v/>
      </c>
      <c r="AP13" t="str">
        <f t="shared" si="13"/>
        <v/>
      </c>
      <c r="AQ13" t="str">
        <f t="shared" si="14"/>
        <v/>
      </c>
      <c r="AR13" t="str">
        <f t="shared" si="15"/>
        <v/>
      </c>
      <c r="AS13" t="str">
        <f t="shared" si="16"/>
        <v/>
      </c>
      <c r="AT13" t="str">
        <f t="shared" si="17"/>
        <v/>
      </c>
      <c r="AU13" t="str">
        <f t="shared" si="18"/>
        <v/>
      </c>
      <c r="AV13" t="str">
        <f t="shared" si="19"/>
        <v/>
      </c>
      <c r="AW13" t="str">
        <f t="shared" si="20"/>
        <v/>
      </c>
      <c r="AX13" t="str">
        <f t="shared" si="21"/>
        <v/>
      </c>
      <c r="AY13" t="str">
        <f t="shared" si="22"/>
        <v/>
      </c>
      <c r="AZ13" t="str">
        <f t="shared" si="23"/>
        <v/>
      </c>
      <c r="BA13" t="str">
        <f t="shared" si="24"/>
        <v/>
      </c>
      <c r="BB13" t="str">
        <f t="shared" si="25"/>
        <v/>
      </c>
      <c r="BC13" t="str">
        <f t="shared" si="26"/>
        <v/>
      </c>
      <c r="BD13" t="str">
        <f t="shared" si="27"/>
        <v/>
      </c>
      <c r="BE13" t="str">
        <f t="shared" si="28"/>
        <v/>
      </c>
      <c r="BF13" t="str">
        <f t="shared" si="29"/>
        <v/>
      </c>
      <c r="BG13" t="str">
        <f t="shared" si="30"/>
        <v/>
      </c>
      <c r="BH13" t="str">
        <f t="shared" si="31"/>
        <v/>
      </c>
    </row>
    <row r="14" spans="1:66" x14ac:dyDescent="0.2">
      <c r="A14">
        <v>11</v>
      </c>
      <c r="B14">
        <v>108</v>
      </c>
      <c r="C14" t="s">
        <v>39</v>
      </c>
      <c r="D14">
        <v>1</v>
      </c>
      <c r="K14">
        <v>3</v>
      </c>
      <c r="L14">
        <v>1</v>
      </c>
      <c r="N14">
        <v>4</v>
      </c>
      <c r="O14">
        <v>4</v>
      </c>
      <c r="S14">
        <v>1</v>
      </c>
      <c r="T14">
        <v>1</v>
      </c>
      <c r="U14">
        <v>5</v>
      </c>
      <c r="X14">
        <f t="shared" si="33"/>
        <v>0</v>
      </c>
      <c r="Z14" t="s">
        <v>31</v>
      </c>
      <c r="AE14" t="s">
        <v>34</v>
      </c>
      <c r="AK14" t="s">
        <v>43</v>
      </c>
      <c r="AP14" t="s">
        <v>84</v>
      </c>
    </row>
    <row r="15" spans="1:66" x14ac:dyDescent="0.2">
      <c r="A15">
        <v>12</v>
      </c>
      <c r="B15">
        <v>118</v>
      </c>
      <c r="C15" t="s">
        <v>39</v>
      </c>
      <c r="D15">
        <v>1</v>
      </c>
      <c r="K15">
        <v>2</v>
      </c>
      <c r="L15">
        <v>4</v>
      </c>
      <c r="N15">
        <v>3</v>
      </c>
      <c r="O15">
        <v>3</v>
      </c>
      <c r="S15">
        <v>1</v>
      </c>
      <c r="T15">
        <v>1</v>
      </c>
      <c r="X15">
        <f t="shared" si="33"/>
        <v>0</v>
      </c>
      <c r="Z15" t="s">
        <v>21</v>
      </c>
      <c r="AA15" t="s">
        <v>22</v>
      </c>
      <c r="AE15" t="s">
        <v>21</v>
      </c>
      <c r="AF15" t="s">
        <v>22</v>
      </c>
      <c r="AG15" t="s">
        <v>35</v>
      </c>
      <c r="AK15" t="s">
        <v>10</v>
      </c>
      <c r="AL15" t="s">
        <v>25</v>
      </c>
      <c r="AM15" t="s">
        <v>26</v>
      </c>
      <c r="AN15" t="s">
        <v>27</v>
      </c>
      <c r="AP15" t="s">
        <v>15</v>
      </c>
      <c r="AQ15" t="s">
        <v>85</v>
      </c>
    </row>
    <row r="16" spans="1:66" x14ac:dyDescent="0.2">
      <c r="A16" t="s">
        <v>28</v>
      </c>
      <c r="D16">
        <f>SUM(D4:D15)</f>
        <v>9</v>
      </c>
      <c r="E16">
        <f>SUM(E4:E15)</f>
        <v>2</v>
      </c>
      <c r="F16">
        <f>SUM(F4:F15)</f>
        <v>0</v>
      </c>
      <c r="G16">
        <f>SUM(G4:G15)</f>
        <v>5</v>
      </c>
      <c r="H16">
        <f>SUM(H4:H15)</f>
        <v>0</v>
      </c>
      <c r="K16">
        <f>SUM(K4:K15)</f>
        <v>29</v>
      </c>
      <c r="L16">
        <f>SUM(L4:L15)</f>
        <v>14</v>
      </c>
      <c r="M16">
        <f>SUM(M4:M15)</f>
        <v>0</v>
      </c>
      <c r="N16">
        <f>SUM(N4:N15)</f>
        <v>38</v>
      </c>
      <c r="O16">
        <f>SUM(O4:O15)</f>
        <v>38</v>
      </c>
      <c r="Q16">
        <f t="shared" ref="Q16:R16" si="34">SUM(Q4:Q15)</f>
        <v>0</v>
      </c>
      <c r="R16">
        <f t="shared" si="34"/>
        <v>2</v>
      </c>
      <c r="S16">
        <f>SUM(S4:S15)</f>
        <v>12</v>
      </c>
      <c r="T16">
        <f>SUM(T4:T15)</f>
        <v>12</v>
      </c>
      <c r="U16">
        <f>SUM(U4:U15)</f>
        <v>40</v>
      </c>
      <c r="V16">
        <f>SUM(V4:V15)</f>
        <v>0</v>
      </c>
      <c r="W16">
        <f>SUM(W4:W15)</f>
        <v>4</v>
      </c>
      <c r="Z16">
        <f t="shared" ref="Z16:Z27" si="35">COUNTIF(Z2:AC2, "3")*COUNTIF(C4, "r")+COUNTIF(Z2:AC2, "5")*COUNTIF(C4, "b")</f>
        <v>0</v>
      </c>
      <c r="AA16">
        <f t="shared" ref="AA16:AA27" si="36">COUNTIF(Z2:AC2, "1")+COUNTIF(Z2:AC2, "2")+COUNTIF(Z2:AC2, "4")</f>
        <v>0</v>
      </c>
      <c r="AE16">
        <f t="shared" ref="AE16:AE27" si="37">COUNTIF(AE2:AI2, "3")*COUNTIF(C4, "r") + COUNTIF(AE2:AI2, "5")*COUNTIF(C4, "b")</f>
        <v>0</v>
      </c>
      <c r="AF16">
        <f t="shared" ref="AF16:AF27" si="38">COUNTIF(AE2:AI2, "1")+COUNTIF(AE2:AI2, "2")+COUNTIF(AE2:AI2, "4")</f>
        <v>0</v>
      </c>
      <c r="AG16">
        <f t="shared" ref="AG16:AG27" si="39">COUNTIF(AE2:AI2, "3")*COUNTIF(AE2:AI2, "b")+COUNTIF(AE2:AI2, "5")*COUNTIF(AE2:AI2, "r")</f>
        <v>0</v>
      </c>
      <c r="AK16">
        <f t="shared" ref="AK16:AK27" si="40">SUMPRODUCT(LEN($AK2:$BH2) - LEN(SUBSTITUTE($AK2:$BH2, "g", "")))</f>
        <v>0</v>
      </c>
      <c r="AL16">
        <f t="shared" ref="AL16:AL27" si="41">SUMPRODUCT(LEN($AK2:$BH2) - LEN(SUBSTITUTE($AK2:$BH2, "h", "")))</f>
        <v>0</v>
      </c>
      <c r="AM16">
        <f t="shared" ref="AM16:AM27" si="42">SUMPRODUCT(LEN($AK2:$BH2) - LEN(SUBSTITUTE($AK2:$BH2, "v", "")))</f>
        <v>0</v>
      </c>
      <c r="AN16">
        <f t="shared" ref="AN16:AN27" si="43">SUMPRODUCT(LEN($AK2:$BH2) - LEN(SUBSTITUTE($AK2:$BH2, "r", "")))</f>
        <v>0</v>
      </c>
      <c r="AP16">
        <f>MAX(AQ16:BN16)</f>
        <v>0</v>
      </c>
      <c r="AQ16" s="4">
        <f>_xlfn.NUMBERVALUE(RIGHT(AK2,1))</f>
        <v>0</v>
      </c>
      <c r="AR16" s="4">
        <f t="shared" ref="AR16:BG27" si="44">_xlfn.NUMBERVALUE(RIGHT(AL2,1))</f>
        <v>0</v>
      </c>
      <c r="AS16" s="4">
        <f t="shared" si="44"/>
        <v>0</v>
      </c>
      <c r="AT16" s="4">
        <f t="shared" si="44"/>
        <v>0</v>
      </c>
      <c r="AU16" s="4">
        <f t="shared" si="44"/>
        <v>0</v>
      </c>
      <c r="AV16" s="4">
        <f t="shared" si="44"/>
        <v>0</v>
      </c>
      <c r="AW16" s="4">
        <f t="shared" si="44"/>
        <v>0</v>
      </c>
      <c r="AX16" s="4">
        <f t="shared" si="44"/>
        <v>0</v>
      </c>
      <c r="AY16" s="4">
        <f t="shared" si="44"/>
        <v>0</v>
      </c>
      <c r="AZ16" s="4">
        <f t="shared" si="44"/>
        <v>0</v>
      </c>
      <c r="BA16" s="4">
        <f t="shared" si="44"/>
        <v>0</v>
      </c>
      <c r="BB16" s="4">
        <f t="shared" si="44"/>
        <v>0</v>
      </c>
      <c r="BC16" s="4">
        <f t="shared" si="44"/>
        <v>0</v>
      </c>
      <c r="BD16" s="4">
        <f t="shared" si="44"/>
        <v>0</v>
      </c>
      <c r="BE16" s="4">
        <f t="shared" si="44"/>
        <v>0</v>
      </c>
      <c r="BF16" s="4">
        <f t="shared" si="44"/>
        <v>0</v>
      </c>
      <c r="BG16" s="4">
        <f t="shared" si="44"/>
        <v>0</v>
      </c>
      <c r="BH16" s="4">
        <f t="shared" ref="BH16:BN27" si="45">_xlfn.NUMBERVALUE(RIGHT(BB2,1))</f>
        <v>0</v>
      </c>
      <c r="BI16" s="4">
        <f t="shared" si="45"/>
        <v>0</v>
      </c>
      <c r="BJ16" s="4">
        <f t="shared" si="45"/>
        <v>0</v>
      </c>
      <c r="BK16" s="4">
        <f t="shared" si="45"/>
        <v>0</v>
      </c>
      <c r="BL16" s="4">
        <f t="shared" si="45"/>
        <v>0</v>
      </c>
      <c r="BM16" s="4">
        <f t="shared" si="45"/>
        <v>0</v>
      </c>
      <c r="BN16" s="4">
        <f t="shared" si="45"/>
        <v>0</v>
      </c>
    </row>
    <row r="17" spans="1:66" x14ac:dyDescent="0.2">
      <c r="A17" s="1" t="s">
        <v>20</v>
      </c>
      <c r="D17" s="1" t="s">
        <v>49</v>
      </c>
      <c r="G17" s="1" t="s">
        <v>52</v>
      </c>
      <c r="K17" s="3" t="s">
        <v>74</v>
      </c>
      <c r="P17" s="1" t="s">
        <v>66</v>
      </c>
      <c r="Z17">
        <f t="shared" si="35"/>
        <v>0</v>
      </c>
      <c r="AA17">
        <f t="shared" si="36"/>
        <v>0</v>
      </c>
      <c r="AE17">
        <f t="shared" si="37"/>
        <v>0</v>
      </c>
      <c r="AF17">
        <f t="shared" si="38"/>
        <v>0</v>
      </c>
      <c r="AG17">
        <f t="shared" si="39"/>
        <v>0</v>
      </c>
      <c r="AK17">
        <f t="shared" si="40"/>
        <v>0</v>
      </c>
      <c r="AL17">
        <f t="shared" si="41"/>
        <v>0</v>
      </c>
      <c r="AM17">
        <f t="shared" si="42"/>
        <v>0</v>
      </c>
      <c r="AN17">
        <f t="shared" si="43"/>
        <v>0</v>
      </c>
      <c r="AP17">
        <f t="shared" ref="AP17:AP27" si="46">MAX(AQ17:BN17)</f>
        <v>0</v>
      </c>
      <c r="AQ17" s="4">
        <f t="shared" ref="AQ17:AQ27" si="47">_xlfn.NUMBERVALUE(RIGHT(AK3,1))</f>
        <v>0</v>
      </c>
      <c r="AR17" s="4">
        <f t="shared" si="44"/>
        <v>0</v>
      </c>
      <c r="AS17" s="4">
        <f t="shared" si="44"/>
        <v>0</v>
      </c>
      <c r="AT17" s="4">
        <f t="shared" si="44"/>
        <v>0</v>
      </c>
      <c r="AU17" s="4">
        <f t="shared" si="44"/>
        <v>0</v>
      </c>
      <c r="AV17" s="4">
        <f t="shared" si="44"/>
        <v>0</v>
      </c>
      <c r="AW17" s="4">
        <f t="shared" si="44"/>
        <v>0</v>
      </c>
      <c r="AX17" s="4">
        <f t="shared" si="44"/>
        <v>0</v>
      </c>
      <c r="AY17" s="4">
        <f t="shared" si="44"/>
        <v>0</v>
      </c>
      <c r="AZ17" s="4">
        <f t="shared" si="44"/>
        <v>0</v>
      </c>
      <c r="BA17" s="4">
        <f t="shared" si="44"/>
        <v>0</v>
      </c>
      <c r="BB17" s="4">
        <f t="shared" si="44"/>
        <v>0</v>
      </c>
      <c r="BC17" s="4">
        <f t="shared" si="44"/>
        <v>0</v>
      </c>
      <c r="BD17" s="4">
        <f t="shared" si="44"/>
        <v>0</v>
      </c>
      <c r="BE17" s="4">
        <f t="shared" si="44"/>
        <v>0</v>
      </c>
      <c r="BF17" s="4">
        <f t="shared" si="44"/>
        <v>0</v>
      </c>
      <c r="BG17" s="4">
        <f t="shared" si="44"/>
        <v>0</v>
      </c>
      <c r="BH17" s="4">
        <f t="shared" si="45"/>
        <v>0</v>
      </c>
      <c r="BI17" s="4">
        <f t="shared" si="45"/>
        <v>0</v>
      </c>
      <c r="BJ17" s="4">
        <f t="shared" si="45"/>
        <v>0</v>
      </c>
      <c r="BK17" s="4">
        <f t="shared" si="45"/>
        <v>0</v>
      </c>
      <c r="BL17" s="4">
        <f t="shared" si="45"/>
        <v>0</v>
      </c>
      <c r="BM17" s="4">
        <f t="shared" si="45"/>
        <v>0</v>
      </c>
      <c r="BN17" s="4">
        <f t="shared" si="45"/>
        <v>0</v>
      </c>
    </row>
    <row r="18" spans="1:66" x14ac:dyDescent="0.2">
      <c r="A18" t="s">
        <v>32</v>
      </c>
      <c r="B18" t="s">
        <v>21</v>
      </c>
      <c r="D18" t="s">
        <v>180</v>
      </c>
      <c r="G18" s="3" t="s">
        <v>53</v>
      </c>
      <c r="K18" t="s">
        <v>55</v>
      </c>
      <c r="M18" t="s">
        <v>65</v>
      </c>
      <c r="P18" t="s">
        <v>67</v>
      </c>
      <c r="Z18">
        <f t="shared" si="35"/>
        <v>0</v>
      </c>
      <c r="AA18">
        <f t="shared" si="36"/>
        <v>0</v>
      </c>
      <c r="AE18">
        <f t="shared" si="37"/>
        <v>0</v>
      </c>
      <c r="AF18">
        <f t="shared" si="38"/>
        <v>0</v>
      </c>
      <c r="AG18">
        <f t="shared" si="39"/>
        <v>0</v>
      </c>
      <c r="AK18">
        <f t="shared" si="40"/>
        <v>0</v>
      </c>
      <c r="AL18">
        <f t="shared" si="41"/>
        <v>0</v>
      </c>
      <c r="AM18">
        <f t="shared" si="42"/>
        <v>0</v>
      </c>
      <c r="AN18">
        <f t="shared" si="43"/>
        <v>0</v>
      </c>
      <c r="AP18">
        <f t="shared" si="46"/>
        <v>0</v>
      </c>
      <c r="AQ18" s="4">
        <f t="shared" si="47"/>
        <v>0</v>
      </c>
      <c r="AR18" s="4">
        <f t="shared" si="44"/>
        <v>0</v>
      </c>
      <c r="AS18" s="4">
        <f t="shared" si="44"/>
        <v>0</v>
      </c>
      <c r="AT18" s="4">
        <f t="shared" si="44"/>
        <v>0</v>
      </c>
      <c r="AU18" s="4">
        <f t="shared" si="44"/>
        <v>0</v>
      </c>
      <c r="AV18" s="4">
        <f t="shared" si="44"/>
        <v>0</v>
      </c>
      <c r="AW18" s="4">
        <f t="shared" si="44"/>
        <v>0</v>
      </c>
      <c r="AX18" s="4">
        <f t="shared" si="44"/>
        <v>0</v>
      </c>
      <c r="AY18" s="4">
        <f t="shared" si="44"/>
        <v>0</v>
      </c>
      <c r="AZ18" s="4">
        <f t="shared" si="44"/>
        <v>0</v>
      </c>
      <c r="BA18" s="4">
        <f t="shared" si="44"/>
        <v>0</v>
      </c>
      <c r="BB18" s="4">
        <f t="shared" si="44"/>
        <v>0</v>
      </c>
      <c r="BC18" s="4">
        <f t="shared" si="44"/>
        <v>0</v>
      </c>
      <c r="BD18" s="4">
        <f t="shared" si="44"/>
        <v>0</v>
      </c>
      <c r="BE18" s="4">
        <f t="shared" si="44"/>
        <v>0</v>
      </c>
      <c r="BF18" s="4">
        <f t="shared" si="44"/>
        <v>0</v>
      </c>
      <c r="BG18" s="4">
        <f t="shared" si="44"/>
        <v>0</v>
      </c>
      <c r="BH18" s="4">
        <f t="shared" si="45"/>
        <v>0</v>
      </c>
      <c r="BI18" s="4">
        <f t="shared" si="45"/>
        <v>0</v>
      </c>
      <c r="BJ18" s="4">
        <f t="shared" si="45"/>
        <v>0</v>
      </c>
      <c r="BK18" s="4">
        <f t="shared" si="45"/>
        <v>0</v>
      </c>
      <c r="BL18" s="4">
        <f t="shared" si="45"/>
        <v>0</v>
      </c>
      <c r="BM18" s="4">
        <f t="shared" si="45"/>
        <v>0</v>
      </c>
      <c r="BN18" s="4">
        <f t="shared" si="45"/>
        <v>0</v>
      </c>
    </row>
    <row r="19" spans="1:66" x14ac:dyDescent="0.2">
      <c r="A19" t="s">
        <v>40</v>
      </c>
      <c r="B19" t="s">
        <v>22</v>
      </c>
      <c r="D19">
        <f>E16/D16</f>
        <v>0.22222222222222221</v>
      </c>
      <c r="G19" t="s">
        <v>75</v>
      </c>
      <c r="K19">
        <f>O16/N16</f>
        <v>1</v>
      </c>
      <c r="M19">
        <f>SUM(M39:M50)</f>
        <v>-9</v>
      </c>
      <c r="P19">
        <f>T16/S16</f>
        <v>1</v>
      </c>
      <c r="Z19">
        <f t="shared" si="35"/>
        <v>0</v>
      </c>
      <c r="AA19">
        <f t="shared" si="36"/>
        <v>0</v>
      </c>
      <c r="AE19">
        <f t="shared" si="37"/>
        <v>0</v>
      </c>
      <c r="AF19">
        <f t="shared" si="38"/>
        <v>0</v>
      </c>
      <c r="AG19">
        <f t="shared" si="39"/>
        <v>0</v>
      </c>
      <c r="AK19">
        <f t="shared" si="40"/>
        <v>0</v>
      </c>
      <c r="AL19">
        <f t="shared" si="41"/>
        <v>0</v>
      </c>
      <c r="AM19">
        <f t="shared" si="42"/>
        <v>0</v>
      </c>
      <c r="AN19">
        <f t="shared" si="43"/>
        <v>0</v>
      </c>
      <c r="AP19">
        <f t="shared" si="46"/>
        <v>0</v>
      </c>
      <c r="AQ19" s="4">
        <f t="shared" si="47"/>
        <v>0</v>
      </c>
      <c r="AR19" s="4">
        <f t="shared" si="44"/>
        <v>0</v>
      </c>
      <c r="AS19" s="4">
        <f t="shared" si="44"/>
        <v>0</v>
      </c>
      <c r="AT19" s="4">
        <f t="shared" si="44"/>
        <v>0</v>
      </c>
      <c r="AU19" s="4">
        <f t="shared" si="44"/>
        <v>0</v>
      </c>
      <c r="AV19" s="4">
        <f t="shared" si="44"/>
        <v>0</v>
      </c>
      <c r="AW19" s="4">
        <f t="shared" si="44"/>
        <v>0</v>
      </c>
      <c r="AX19" s="4">
        <f t="shared" si="44"/>
        <v>0</v>
      </c>
      <c r="AY19" s="4">
        <f t="shared" si="44"/>
        <v>0</v>
      </c>
      <c r="AZ19" s="4">
        <f t="shared" si="44"/>
        <v>0</v>
      </c>
      <c r="BA19" s="4">
        <f t="shared" si="44"/>
        <v>0</v>
      </c>
      <c r="BB19" s="4">
        <f t="shared" si="44"/>
        <v>0</v>
      </c>
      <c r="BC19" s="4">
        <f t="shared" si="44"/>
        <v>0</v>
      </c>
      <c r="BD19" s="4">
        <f t="shared" si="44"/>
        <v>0</v>
      </c>
      <c r="BE19" s="4">
        <f t="shared" si="44"/>
        <v>0</v>
      </c>
      <c r="BF19" s="4">
        <f t="shared" si="44"/>
        <v>0</v>
      </c>
      <c r="BG19" s="4">
        <f t="shared" si="44"/>
        <v>0</v>
      </c>
      <c r="BH19" s="4">
        <f t="shared" si="45"/>
        <v>0</v>
      </c>
      <c r="BI19" s="4">
        <f t="shared" si="45"/>
        <v>0</v>
      </c>
      <c r="BJ19" s="4">
        <f t="shared" si="45"/>
        <v>0</v>
      </c>
      <c r="BK19" s="4">
        <f t="shared" si="45"/>
        <v>0</v>
      </c>
      <c r="BL19" s="4">
        <f t="shared" si="45"/>
        <v>0</v>
      </c>
      <c r="BM19" s="4">
        <f t="shared" si="45"/>
        <v>0</v>
      </c>
      <c r="BN19" s="4">
        <f t="shared" si="45"/>
        <v>0</v>
      </c>
    </row>
    <row r="20" spans="1:66" x14ac:dyDescent="0.2">
      <c r="A20" t="s">
        <v>41</v>
      </c>
      <c r="B20" t="s">
        <v>23</v>
      </c>
      <c r="D20" t="s">
        <v>47</v>
      </c>
      <c r="G20" t="e">
        <f>AK28/AP28</f>
        <v>#DIV/0!</v>
      </c>
      <c r="K20" t="s">
        <v>13</v>
      </c>
      <c r="Z20">
        <f t="shared" si="35"/>
        <v>0</v>
      </c>
      <c r="AA20">
        <f t="shared" si="36"/>
        <v>0</v>
      </c>
      <c r="AE20">
        <f t="shared" si="37"/>
        <v>0</v>
      </c>
      <c r="AF20">
        <f t="shared" si="38"/>
        <v>0</v>
      </c>
      <c r="AG20">
        <f t="shared" si="39"/>
        <v>0</v>
      </c>
      <c r="AK20">
        <f t="shared" si="40"/>
        <v>0</v>
      </c>
      <c r="AL20">
        <f t="shared" si="41"/>
        <v>0</v>
      </c>
      <c r="AM20">
        <f t="shared" si="42"/>
        <v>0</v>
      </c>
      <c r="AN20">
        <f t="shared" si="43"/>
        <v>0</v>
      </c>
      <c r="AP20">
        <f t="shared" si="46"/>
        <v>0</v>
      </c>
      <c r="AQ20" s="4">
        <f t="shared" si="47"/>
        <v>0</v>
      </c>
      <c r="AR20" s="4">
        <f t="shared" si="44"/>
        <v>0</v>
      </c>
      <c r="AS20" s="4">
        <f t="shared" si="44"/>
        <v>0</v>
      </c>
      <c r="AT20" s="4">
        <f t="shared" si="44"/>
        <v>0</v>
      </c>
      <c r="AU20" s="4">
        <f t="shared" si="44"/>
        <v>0</v>
      </c>
      <c r="AV20" s="4">
        <f t="shared" si="44"/>
        <v>0</v>
      </c>
      <c r="AW20" s="4">
        <f t="shared" si="44"/>
        <v>0</v>
      </c>
      <c r="AX20" s="4">
        <f t="shared" si="44"/>
        <v>0</v>
      </c>
      <c r="AY20" s="4">
        <f t="shared" si="44"/>
        <v>0</v>
      </c>
      <c r="AZ20" s="4">
        <f t="shared" si="44"/>
        <v>0</v>
      </c>
      <c r="BA20" s="4">
        <f t="shared" si="44"/>
        <v>0</v>
      </c>
      <c r="BB20" s="4">
        <f t="shared" si="44"/>
        <v>0</v>
      </c>
      <c r="BC20" s="4">
        <f t="shared" si="44"/>
        <v>0</v>
      </c>
      <c r="BD20" s="4">
        <f t="shared" si="44"/>
        <v>0</v>
      </c>
      <c r="BE20" s="4">
        <f t="shared" si="44"/>
        <v>0</v>
      </c>
      <c r="BF20" s="4">
        <f t="shared" si="44"/>
        <v>0</v>
      </c>
      <c r="BG20" s="4">
        <f t="shared" si="44"/>
        <v>0</v>
      </c>
      <c r="BH20" s="4">
        <f t="shared" si="45"/>
        <v>0</v>
      </c>
      <c r="BI20" s="4">
        <f t="shared" si="45"/>
        <v>0</v>
      </c>
      <c r="BJ20" s="4">
        <f t="shared" si="45"/>
        <v>0</v>
      </c>
      <c r="BK20" s="4">
        <f t="shared" si="45"/>
        <v>0</v>
      </c>
      <c r="BL20" s="4">
        <f t="shared" si="45"/>
        <v>0</v>
      </c>
      <c r="BM20" s="4">
        <f t="shared" si="45"/>
        <v>0</v>
      </c>
      <c r="BN20" s="4">
        <f t="shared" si="45"/>
        <v>0</v>
      </c>
    </row>
    <row r="21" spans="1:66" x14ac:dyDescent="0.2">
      <c r="A21" s="1" t="s">
        <v>24</v>
      </c>
      <c r="D21">
        <f>G16/A31</f>
        <v>0.41666666666666669</v>
      </c>
      <c r="G21" t="s">
        <v>76</v>
      </c>
      <c r="K21" t="s">
        <v>57</v>
      </c>
      <c r="L21" t="s">
        <v>58</v>
      </c>
      <c r="M21" t="s">
        <v>59</v>
      </c>
      <c r="N21" t="s">
        <v>60</v>
      </c>
      <c r="Z21">
        <f t="shared" si="35"/>
        <v>0</v>
      </c>
      <c r="AA21">
        <f t="shared" si="36"/>
        <v>0</v>
      </c>
      <c r="AE21">
        <f t="shared" si="37"/>
        <v>0</v>
      </c>
      <c r="AF21">
        <f t="shared" si="38"/>
        <v>0</v>
      </c>
      <c r="AG21">
        <f t="shared" si="39"/>
        <v>0</v>
      </c>
      <c r="AK21">
        <f t="shared" si="40"/>
        <v>0</v>
      </c>
      <c r="AL21">
        <f t="shared" si="41"/>
        <v>0</v>
      </c>
      <c r="AM21">
        <f t="shared" si="42"/>
        <v>0</v>
      </c>
      <c r="AN21">
        <f t="shared" si="43"/>
        <v>0</v>
      </c>
      <c r="AP21">
        <f t="shared" si="46"/>
        <v>0</v>
      </c>
      <c r="AQ21" s="4">
        <f t="shared" si="47"/>
        <v>0</v>
      </c>
      <c r="AR21" s="4">
        <f t="shared" si="44"/>
        <v>0</v>
      </c>
      <c r="AS21" s="4">
        <f t="shared" si="44"/>
        <v>0</v>
      </c>
      <c r="AT21" s="4">
        <f t="shared" si="44"/>
        <v>0</v>
      </c>
      <c r="AU21" s="4">
        <f t="shared" si="44"/>
        <v>0</v>
      </c>
      <c r="AV21" s="4">
        <f t="shared" si="44"/>
        <v>0</v>
      </c>
      <c r="AW21" s="4">
        <f t="shared" si="44"/>
        <v>0</v>
      </c>
      <c r="AX21" s="4">
        <f t="shared" si="44"/>
        <v>0</v>
      </c>
      <c r="AY21" s="4">
        <f t="shared" si="44"/>
        <v>0</v>
      </c>
      <c r="AZ21" s="4">
        <f t="shared" si="44"/>
        <v>0</v>
      </c>
      <c r="BA21" s="4">
        <f t="shared" si="44"/>
        <v>0</v>
      </c>
      <c r="BB21" s="4">
        <f t="shared" si="44"/>
        <v>0</v>
      </c>
      <c r="BC21" s="4">
        <f t="shared" si="44"/>
        <v>0</v>
      </c>
      <c r="BD21" s="4">
        <f t="shared" si="44"/>
        <v>0</v>
      </c>
      <c r="BE21" s="4">
        <f t="shared" si="44"/>
        <v>0</v>
      </c>
      <c r="BF21" s="4">
        <f t="shared" si="44"/>
        <v>0</v>
      </c>
      <c r="BG21" s="4">
        <f t="shared" si="44"/>
        <v>0</v>
      </c>
      <c r="BH21" s="4">
        <f t="shared" si="45"/>
        <v>0</v>
      </c>
      <c r="BI21" s="4">
        <f t="shared" si="45"/>
        <v>0</v>
      </c>
      <c r="BJ21" s="4">
        <f t="shared" si="45"/>
        <v>0</v>
      </c>
      <c r="BK21" s="4">
        <f t="shared" si="45"/>
        <v>0</v>
      </c>
      <c r="BL21" s="4">
        <f t="shared" si="45"/>
        <v>0</v>
      </c>
      <c r="BM21" s="4">
        <f t="shared" si="45"/>
        <v>0</v>
      </c>
      <c r="BN21" s="4">
        <f t="shared" si="45"/>
        <v>0</v>
      </c>
    </row>
    <row r="22" spans="1:66" x14ac:dyDescent="0.2">
      <c r="A22" t="s">
        <v>36</v>
      </c>
      <c r="B22" t="s">
        <v>10</v>
      </c>
      <c r="D22" t="s">
        <v>48</v>
      </c>
      <c r="G22" t="e">
        <f>AL28/AP28</f>
        <v>#DIV/0!</v>
      </c>
      <c r="K22">
        <f>AVERAGE(C39:C50)</f>
        <v>3.1666666666666665</v>
      </c>
      <c r="L22">
        <f>MEDIAN(C39:C50)</f>
        <v>3</v>
      </c>
      <c r="M22">
        <f>MAX(C39:C50)</f>
        <v>4</v>
      </c>
      <c r="N22">
        <f>_xlfn.STDEV.S(C39:C50)</f>
        <v>0.83484710993672206</v>
      </c>
      <c r="Z22">
        <f t="shared" si="35"/>
        <v>0</v>
      </c>
      <c r="AA22">
        <f t="shared" si="36"/>
        <v>0</v>
      </c>
      <c r="AE22">
        <f t="shared" si="37"/>
        <v>0</v>
      </c>
      <c r="AF22">
        <f t="shared" si="38"/>
        <v>0</v>
      </c>
      <c r="AG22">
        <f t="shared" si="39"/>
        <v>0</v>
      </c>
      <c r="AK22">
        <f t="shared" si="40"/>
        <v>0</v>
      </c>
      <c r="AL22">
        <f t="shared" si="41"/>
        <v>0</v>
      </c>
      <c r="AM22">
        <f t="shared" si="42"/>
        <v>0</v>
      </c>
      <c r="AN22">
        <f t="shared" si="43"/>
        <v>0</v>
      </c>
      <c r="AP22">
        <f t="shared" si="46"/>
        <v>0</v>
      </c>
      <c r="AQ22" s="4">
        <f t="shared" si="47"/>
        <v>0</v>
      </c>
      <c r="AR22" s="4">
        <f t="shared" si="44"/>
        <v>0</v>
      </c>
      <c r="AS22" s="4">
        <f t="shared" si="44"/>
        <v>0</v>
      </c>
      <c r="AT22" s="4">
        <f t="shared" si="44"/>
        <v>0</v>
      </c>
      <c r="AU22" s="4">
        <f t="shared" si="44"/>
        <v>0</v>
      </c>
      <c r="AV22" s="4">
        <f t="shared" si="44"/>
        <v>0</v>
      </c>
      <c r="AW22" s="4">
        <f t="shared" si="44"/>
        <v>0</v>
      </c>
      <c r="AX22" s="4">
        <f t="shared" si="44"/>
        <v>0</v>
      </c>
      <c r="AY22" s="4">
        <f t="shared" si="44"/>
        <v>0</v>
      </c>
      <c r="AZ22" s="4">
        <f t="shared" si="44"/>
        <v>0</v>
      </c>
      <c r="BA22" s="4">
        <f t="shared" si="44"/>
        <v>0</v>
      </c>
      <c r="BB22" s="4">
        <f t="shared" si="44"/>
        <v>0</v>
      </c>
      <c r="BC22" s="4">
        <f t="shared" si="44"/>
        <v>0</v>
      </c>
      <c r="BD22" s="4">
        <f t="shared" si="44"/>
        <v>0</v>
      </c>
      <c r="BE22" s="4">
        <f t="shared" si="44"/>
        <v>0</v>
      </c>
      <c r="BF22" s="4">
        <f t="shared" si="44"/>
        <v>0</v>
      </c>
      <c r="BG22" s="4">
        <f t="shared" si="44"/>
        <v>0</v>
      </c>
      <c r="BH22" s="4">
        <f t="shared" si="45"/>
        <v>0</v>
      </c>
      <c r="BI22" s="4">
        <f t="shared" si="45"/>
        <v>0</v>
      </c>
      <c r="BJ22" s="4">
        <f t="shared" si="45"/>
        <v>0</v>
      </c>
      <c r="BK22" s="4">
        <f t="shared" si="45"/>
        <v>0</v>
      </c>
      <c r="BL22" s="4">
        <f t="shared" si="45"/>
        <v>0</v>
      </c>
      <c r="BM22" s="4">
        <f t="shared" si="45"/>
        <v>0</v>
      </c>
      <c r="BN22" s="4">
        <f t="shared" si="45"/>
        <v>0</v>
      </c>
    </row>
    <row r="23" spans="1:66" x14ac:dyDescent="0.2">
      <c r="A23" t="s">
        <v>37</v>
      </c>
      <c r="B23" t="s">
        <v>25</v>
      </c>
      <c r="D23">
        <f>H16/A31</f>
        <v>0</v>
      </c>
      <c r="G23" t="s">
        <v>77</v>
      </c>
      <c r="K23" t="s">
        <v>8</v>
      </c>
      <c r="Z23">
        <f t="shared" si="35"/>
        <v>0</v>
      </c>
      <c r="AA23">
        <f t="shared" si="36"/>
        <v>0</v>
      </c>
      <c r="AE23">
        <f t="shared" si="37"/>
        <v>0</v>
      </c>
      <c r="AF23">
        <f t="shared" si="38"/>
        <v>0</v>
      </c>
      <c r="AG23">
        <f t="shared" si="39"/>
        <v>0</v>
      </c>
      <c r="AK23">
        <f t="shared" si="40"/>
        <v>0</v>
      </c>
      <c r="AL23">
        <f t="shared" si="41"/>
        <v>0</v>
      </c>
      <c r="AM23">
        <f t="shared" si="42"/>
        <v>0</v>
      </c>
      <c r="AN23">
        <f t="shared" si="43"/>
        <v>0</v>
      </c>
      <c r="AP23">
        <f t="shared" si="46"/>
        <v>0</v>
      </c>
      <c r="AQ23" s="4">
        <f t="shared" si="47"/>
        <v>0</v>
      </c>
      <c r="AR23" s="4">
        <f t="shared" si="44"/>
        <v>0</v>
      </c>
      <c r="AS23" s="4">
        <f t="shared" si="44"/>
        <v>0</v>
      </c>
      <c r="AT23" s="4">
        <f t="shared" si="44"/>
        <v>0</v>
      </c>
      <c r="AU23" s="4">
        <f t="shared" si="44"/>
        <v>0</v>
      </c>
      <c r="AV23" s="4">
        <f t="shared" si="44"/>
        <v>0</v>
      </c>
      <c r="AW23" s="4">
        <f t="shared" si="44"/>
        <v>0</v>
      </c>
      <c r="AX23" s="4">
        <f t="shared" si="44"/>
        <v>0</v>
      </c>
      <c r="AY23" s="4">
        <f t="shared" si="44"/>
        <v>0</v>
      </c>
      <c r="AZ23" s="4">
        <f t="shared" si="44"/>
        <v>0</v>
      </c>
      <c r="BA23" s="4">
        <f t="shared" si="44"/>
        <v>0</v>
      </c>
      <c r="BB23" s="4">
        <f t="shared" si="44"/>
        <v>0</v>
      </c>
      <c r="BC23" s="4">
        <f t="shared" si="44"/>
        <v>0</v>
      </c>
      <c r="BD23" s="4">
        <f t="shared" si="44"/>
        <v>0</v>
      </c>
      <c r="BE23" s="4">
        <f t="shared" si="44"/>
        <v>0</v>
      </c>
      <c r="BF23" s="4">
        <f t="shared" si="44"/>
        <v>0</v>
      </c>
      <c r="BG23" s="4">
        <f t="shared" si="44"/>
        <v>0</v>
      </c>
      <c r="BH23" s="4">
        <f t="shared" si="45"/>
        <v>0</v>
      </c>
      <c r="BI23" s="4">
        <f t="shared" si="45"/>
        <v>0</v>
      </c>
      <c r="BJ23" s="4">
        <f t="shared" si="45"/>
        <v>0</v>
      </c>
      <c r="BK23" s="4">
        <f t="shared" si="45"/>
        <v>0</v>
      </c>
      <c r="BL23" s="4">
        <f t="shared" si="45"/>
        <v>0</v>
      </c>
      <c r="BM23" s="4">
        <f t="shared" si="45"/>
        <v>0</v>
      </c>
      <c r="BN23" s="4">
        <f t="shared" si="45"/>
        <v>0</v>
      </c>
    </row>
    <row r="24" spans="1:66" x14ac:dyDescent="0.2">
      <c r="A24" t="s">
        <v>38</v>
      </c>
      <c r="B24" t="s">
        <v>26</v>
      </c>
      <c r="D24" t="s">
        <v>50</v>
      </c>
      <c r="G24" t="e">
        <f>AM28/AP28</f>
        <v>#DIV/0!</v>
      </c>
      <c r="K24" t="s">
        <v>57</v>
      </c>
      <c r="L24" t="s">
        <v>61</v>
      </c>
      <c r="M24" t="s">
        <v>59</v>
      </c>
      <c r="N24" t="s">
        <v>60</v>
      </c>
      <c r="Z24">
        <f t="shared" si="35"/>
        <v>0</v>
      </c>
      <c r="AA24">
        <f t="shared" si="36"/>
        <v>0</v>
      </c>
      <c r="AE24">
        <f t="shared" si="37"/>
        <v>0</v>
      </c>
      <c r="AF24">
        <f t="shared" si="38"/>
        <v>0</v>
      </c>
      <c r="AG24">
        <f t="shared" si="39"/>
        <v>0</v>
      </c>
      <c r="AK24">
        <f t="shared" si="40"/>
        <v>0</v>
      </c>
      <c r="AL24">
        <f t="shared" si="41"/>
        <v>0</v>
      </c>
      <c r="AM24">
        <f t="shared" si="42"/>
        <v>0</v>
      </c>
      <c r="AN24">
        <f t="shared" si="43"/>
        <v>0</v>
      </c>
      <c r="AP24">
        <f t="shared" si="46"/>
        <v>0</v>
      </c>
      <c r="AQ24" s="4">
        <f t="shared" si="47"/>
        <v>0</v>
      </c>
      <c r="AR24" s="4">
        <f t="shared" si="44"/>
        <v>0</v>
      </c>
      <c r="AS24" s="4">
        <f t="shared" si="44"/>
        <v>0</v>
      </c>
      <c r="AT24" s="4">
        <f t="shared" si="44"/>
        <v>0</v>
      </c>
      <c r="AU24" s="4">
        <f t="shared" si="44"/>
        <v>0</v>
      </c>
      <c r="AV24" s="4">
        <f t="shared" si="44"/>
        <v>0</v>
      </c>
      <c r="AW24" s="4">
        <f t="shared" si="44"/>
        <v>0</v>
      </c>
      <c r="AX24" s="4">
        <f t="shared" si="44"/>
        <v>0</v>
      </c>
      <c r="AY24" s="4">
        <f t="shared" si="44"/>
        <v>0</v>
      </c>
      <c r="AZ24" s="4">
        <f t="shared" si="44"/>
        <v>0</v>
      </c>
      <c r="BA24" s="4">
        <f t="shared" si="44"/>
        <v>0</v>
      </c>
      <c r="BB24" s="4">
        <f t="shared" si="44"/>
        <v>0</v>
      </c>
      <c r="BC24" s="4">
        <f t="shared" si="44"/>
        <v>0</v>
      </c>
      <c r="BD24" s="4">
        <f t="shared" si="44"/>
        <v>0</v>
      </c>
      <c r="BE24" s="4">
        <f t="shared" si="44"/>
        <v>0</v>
      </c>
      <c r="BF24" s="4">
        <f t="shared" si="44"/>
        <v>0</v>
      </c>
      <c r="BG24" s="4">
        <f t="shared" si="44"/>
        <v>0</v>
      </c>
      <c r="BH24" s="4">
        <f t="shared" si="45"/>
        <v>0</v>
      </c>
      <c r="BI24" s="4">
        <f t="shared" si="45"/>
        <v>0</v>
      </c>
      <c r="BJ24" s="4">
        <f t="shared" si="45"/>
        <v>0</v>
      </c>
      <c r="BK24" s="4">
        <f t="shared" si="45"/>
        <v>0</v>
      </c>
      <c r="BL24" s="4">
        <f t="shared" si="45"/>
        <v>0</v>
      </c>
      <c r="BM24" s="4">
        <f t="shared" si="45"/>
        <v>0</v>
      </c>
      <c r="BN24" s="4">
        <f t="shared" si="45"/>
        <v>0</v>
      </c>
    </row>
    <row r="25" spans="1:66" x14ac:dyDescent="0.2">
      <c r="A25" t="s">
        <v>39</v>
      </c>
      <c r="B25" t="s">
        <v>27</v>
      </c>
      <c r="D25">
        <f>Z28/A31</f>
        <v>0</v>
      </c>
      <c r="G25" t="s">
        <v>78</v>
      </c>
      <c r="K25">
        <f>AVERAGE(E39:E50)</f>
        <v>0</v>
      </c>
      <c r="L25">
        <f>MEDIAN(E39:E50)</f>
        <v>0</v>
      </c>
      <c r="M25">
        <f>MAX(E39:E50)</f>
        <v>0</v>
      </c>
      <c r="N25">
        <f>_xlfn.STDEV.S(E39:E50)</f>
        <v>0</v>
      </c>
      <c r="Z25">
        <f t="shared" si="35"/>
        <v>0</v>
      </c>
      <c r="AA25">
        <f t="shared" si="36"/>
        <v>0</v>
      </c>
      <c r="AE25">
        <f t="shared" si="37"/>
        <v>0</v>
      </c>
      <c r="AF25">
        <f t="shared" si="38"/>
        <v>0</v>
      </c>
      <c r="AG25">
        <f t="shared" si="39"/>
        <v>0</v>
      </c>
      <c r="AK25">
        <f t="shared" si="40"/>
        <v>0</v>
      </c>
      <c r="AL25">
        <f t="shared" si="41"/>
        <v>0</v>
      </c>
      <c r="AM25">
        <f t="shared" si="42"/>
        <v>0</v>
      </c>
      <c r="AN25">
        <f t="shared" si="43"/>
        <v>0</v>
      </c>
      <c r="AP25">
        <f t="shared" si="46"/>
        <v>0</v>
      </c>
      <c r="AQ25" s="4">
        <f t="shared" si="47"/>
        <v>0</v>
      </c>
      <c r="AR25" s="4">
        <f t="shared" si="44"/>
        <v>0</v>
      </c>
      <c r="AS25" s="4">
        <f t="shared" si="44"/>
        <v>0</v>
      </c>
      <c r="AT25" s="4">
        <f t="shared" si="44"/>
        <v>0</v>
      </c>
      <c r="AU25" s="4">
        <f t="shared" si="44"/>
        <v>0</v>
      </c>
      <c r="AV25" s="4">
        <f t="shared" si="44"/>
        <v>0</v>
      </c>
      <c r="AW25" s="4">
        <f t="shared" si="44"/>
        <v>0</v>
      </c>
      <c r="AX25" s="4">
        <f t="shared" si="44"/>
        <v>0</v>
      </c>
      <c r="AY25" s="4">
        <f t="shared" si="44"/>
        <v>0</v>
      </c>
      <c r="AZ25" s="4">
        <f t="shared" si="44"/>
        <v>0</v>
      </c>
      <c r="BA25" s="4">
        <f t="shared" si="44"/>
        <v>0</v>
      </c>
      <c r="BB25" s="4">
        <f t="shared" si="44"/>
        <v>0</v>
      </c>
      <c r="BC25" s="4">
        <f t="shared" si="44"/>
        <v>0</v>
      </c>
      <c r="BD25" s="4">
        <f t="shared" si="44"/>
        <v>0</v>
      </c>
      <c r="BE25" s="4">
        <f t="shared" si="44"/>
        <v>0</v>
      </c>
      <c r="BF25" s="4">
        <f t="shared" si="44"/>
        <v>0</v>
      </c>
      <c r="BG25" s="4">
        <f t="shared" si="44"/>
        <v>0</v>
      </c>
      <c r="BH25" s="4">
        <f t="shared" si="45"/>
        <v>0</v>
      </c>
      <c r="BI25" s="4">
        <f t="shared" si="45"/>
        <v>0</v>
      </c>
      <c r="BJ25" s="4">
        <f t="shared" si="45"/>
        <v>0</v>
      </c>
      <c r="BK25" s="4">
        <f t="shared" si="45"/>
        <v>0</v>
      </c>
      <c r="BL25" s="4">
        <f t="shared" si="45"/>
        <v>0</v>
      </c>
      <c r="BM25" s="4">
        <f t="shared" si="45"/>
        <v>0</v>
      </c>
      <c r="BN25" s="4">
        <f t="shared" si="45"/>
        <v>0</v>
      </c>
    </row>
    <row r="26" spans="1:66" x14ac:dyDescent="0.2">
      <c r="A26" t="s">
        <v>44</v>
      </c>
      <c r="D26" t="s">
        <v>51</v>
      </c>
      <c r="G26" t="e">
        <f>AN28/AP28</f>
        <v>#DIV/0!</v>
      </c>
      <c r="K26" t="s">
        <v>62</v>
      </c>
      <c r="P26" t="s">
        <v>19</v>
      </c>
      <c r="Z26">
        <f t="shared" si="35"/>
        <v>0</v>
      </c>
      <c r="AA26">
        <f t="shared" si="36"/>
        <v>0</v>
      </c>
      <c r="AE26">
        <f t="shared" si="37"/>
        <v>0</v>
      </c>
      <c r="AF26">
        <f t="shared" si="38"/>
        <v>0</v>
      </c>
      <c r="AG26">
        <f t="shared" si="39"/>
        <v>0</v>
      </c>
      <c r="AK26">
        <f t="shared" si="40"/>
        <v>0</v>
      </c>
      <c r="AL26">
        <f t="shared" si="41"/>
        <v>0</v>
      </c>
      <c r="AM26">
        <f t="shared" si="42"/>
        <v>0</v>
      </c>
      <c r="AN26">
        <f t="shared" si="43"/>
        <v>0</v>
      </c>
      <c r="AP26">
        <f t="shared" si="46"/>
        <v>0</v>
      </c>
      <c r="AQ26" s="4">
        <f t="shared" si="47"/>
        <v>0</v>
      </c>
      <c r="AR26" s="4">
        <f t="shared" si="44"/>
        <v>0</v>
      </c>
      <c r="AS26" s="4">
        <f t="shared" si="44"/>
        <v>0</v>
      </c>
      <c r="AT26" s="4">
        <f t="shared" si="44"/>
        <v>0</v>
      </c>
      <c r="AU26" s="4">
        <f t="shared" si="44"/>
        <v>0</v>
      </c>
      <c r="AV26" s="4">
        <f t="shared" si="44"/>
        <v>0</v>
      </c>
      <c r="AW26" s="4">
        <f t="shared" si="44"/>
        <v>0</v>
      </c>
      <c r="AX26" s="4">
        <f t="shared" si="44"/>
        <v>0</v>
      </c>
      <c r="AY26" s="4">
        <f t="shared" si="44"/>
        <v>0</v>
      </c>
      <c r="AZ26" s="4">
        <f t="shared" si="44"/>
        <v>0</v>
      </c>
      <c r="BA26" s="4">
        <f t="shared" si="44"/>
        <v>0</v>
      </c>
      <c r="BB26" s="4">
        <f t="shared" si="44"/>
        <v>0</v>
      </c>
      <c r="BC26" s="4">
        <f t="shared" si="44"/>
        <v>0</v>
      </c>
      <c r="BD26" s="4">
        <f t="shared" si="44"/>
        <v>0</v>
      </c>
      <c r="BE26" s="4">
        <f t="shared" si="44"/>
        <v>0</v>
      </c>
      <c r="BF26" s="4">
        <f t="shared" si="44"/>
        <v>0</v>
      </c>
      <c r="BG26" s="4">
        <f t="shared" si="44"/>
        <v>0</v>
      </c>
      <c r="BH26" s="4">
        <f t="shared" si="45"/>
        <v>0</v>
      </c>
      <c r="BI26" s="4">
        <f t="shared" si="45"/>
        <v>0</v>
      </c>
      <c r="BJ26" s="4">
        <f t="shared" si="45"/>
        <v>0</v>
      </c>
      <c r="BK26" s="4">
        <f t="shared" si="45"/>
        <v>0</v>
      </c>
      <c r="BL26" s="4">
        <f t="shared" si="45"/>
        <v>0</v>
      </c>
      <c r="BM26" s="4">
        <f t="shared" si="45"/>
        <v>0</v>
      </c>
      <c r="BN26" s="4">
        <f t="shared" si="45"/>
        <v>0</v>
      </c>
    </row>
    <row r="27" spans="1:66" x14ac:dyDescent="0.2">
      <c r="A27" t="s">
        <v>45</v>
      </c>
      <c r="D27">
        <f>AA28/A31</f>
        <v>0</v>
      </c>
      <c r="G27" t="s">
        <v>56</v>
      </c>
      <c r="K27" t="s">
        <v>57</v>
      </c>
      <c r="L27" t="s">
        <v>58</v>
      </c>
      <c r="M27" t="s">
        <v>59</v>
      </c>
      <c r="N27" t="s">
        <v>60</v>
      </c>
      <c r="P27" t="s">
        <v>57</v>
      </c>
      <c r="Q27" t="s">
        <v>58</v>
      </c>
      <c r="R27" t="s">
        <v>59</v>
      </c>
      <c r="S27" t="s">
        <v>60</v>
      </c>
      <c r="Z27">
        <f t="shared" si="35"/>
        <v>0</v>
      </c>
      <c r="AA27">
        <f t="shared" si="36"/>
        <v>0</v>
      </c>
      <c r="AE27">
        <f t="shared" si="37"/>
        <v>0</v>
      </c>
      <c r="AF27">
        <f t="shared" si="38"/>
        <v>0</v>
      </c>
      <c r="AG27">
        <f t="shared" si="39"/>
        <v>0</v>
      </c>
      <c r="AK27">
        <f t="shared" si="40"/>
        <v>0</v>
      </c>
      <c r="AL27">
        <f t="shared" si="41"/>
        <v>0</v>
      </c>
      <c r="AM27">
        <f t="shared" si="42"/>
        <v>0</v>
      </c>
      <c r="AN27">
        <f t="shared" si="43"/>
        <v>0</v>
      </c>
      <c r="AP27">
        <f t="shared" si="46"/>
        <v>0</v>
      </c>
      <c r="AQ27" s="4">
        <f t="shared" si="47"/>
        <v>0</v>
      </c>
      <c r="AR27" s="4">
        <f t="shared" si="44"/>
        <v>0</v>
      </c>
      <c r="AS27" s="4">
        <f t="shared" si="44"/>
        <v>0</v>
      </c>
      <c r="AT27" s="4">
        <f t="shared" si="44"/>
        <v>0</v>
      </c>
      <c r="AU27" s="4">
        <f t="shared" si="44"/>
        <v>0</v>
      </c>
      <c r="AV27" s="4">
        <f t="shared" si="44"/>
        <v>0</v>
      </c>
      <c r="AW27" s="4">
        <f t="shared" si="44"/>
        <v>0</v>
      </c>
      <c r="AX27" s="4">
        <f t="shared" si="44"/>
        <v>0</v>
      </c>
      <c r="AY27" s="4">
        <f t="shared" si="44"/>
        <v>0</v>
      </c>
      <c r="AZ27" s="4">
        <f t="shared" si="44"/>
        <v>0</v>
      </c>
      <c r="BA27" s="4">
        <f t="shared" si="44"/>
        <v>0</v>
      </c>
      <c r="BB27" s="4">
        <f t="shared" si="44"/>
        <v>0</v>
      </c>
      <c r="BC27" s="4">
        <f t="shared" si="44"/>
        <v>0</v>
      </c>
      <c r="BD27" s="4">
        <f t="shared" si="44"/>
        <v>0</v>
      </c>
      <c r="BE27" s="4">
        <f t="shared" si="44"/>
        <v>0</v>
      </c>
      <c r="BF27" s="4">
        <f t="shared" si="44"/>
        <v>0</v>
      </c>
      <c r="BG27" s="4">
        <f t="shared" si="44"/>
        <v>0</v>
      </c>
      <c r="BH27" s="4">
        <f t="shared" si="45"/>
        <v>0</v>
      </c>
      <c r="BI27" s="4">
        <f t="shared" si="45"/>
        <v>0</v>
      </c>
      <c r="BJ27" s="4">
        <f t="shared" si="45"/>
        <v>0</v>
      </c>
      <c r="BK27" s="4">
        <f t="shared" si="45"/>
        <v>0</v>
      </c>
      <c r="BL27" s="4">
        <f t="shared" si="45"/>
        <v>0</v>
      </c>
      <c r="BM27" s="4">
        <f t="shared" si="45"/>
        <v>0</v>
      </c>
      <c r="BN27" s="4">
        <f t="shared" si="45"/>
        <v>0</v>
      </c>
    </row>
    <row r="28" spans="1:66" x14ac:dyDescent="0.2">
      <c r="A28" t="s">
        <v>46</v>
      </c>
      <c r="D28" t="s">
        <v>202</v>
      </c>
      <c r="G28" t="s">
        <v>57</v>
      </c>
      <c r="H28" t="s">
        <v>58</v>
      </c>
      <c r="I28" t="s">
        <v>59</v>
      </c>
      <c r="J28" t="s">
        <v>60</v>
      </c>
      <c r="K28">
        <f>AVERAGE(G39:G50)</f>
        <v>0.16666666666666666</v>
      </c>
      <c r="L28">
        <f>MEDIAN(G39:G50)</f>
        <v>0</v>
      </c>
      <c r="M28">
        <f>MAX(G39:G50)</f>
        <v>1</v>
      </c>
      <c r="N28">
        <f>_xlfn.STDEV.S(G39:G50)</f>
        <v>0.38924947208076149</v>
      </c>
      <c r="P28">
        <f>AVERAGE(N39:N50)</f>
        <v>3.3333333333333335</v>
      </c>
      <c r="Q28">
        <f>MEDIAN(N39:N50)</f>
        <v>1.5</v>
      </c>
      <c r="R28">
        <f>MAX(N39:N50)</f>
        <v>17</v>
      </c>
      <c r="S28">
        <f>_xlfn.STDEV.S(N39:N50)</f>
        <v>4.9604496374885816</v>
      </c>
      <c r="Y28" t="s">
        <v>33</v>
      </c>
      <c r="Z28">
        <f>SUM(Z16:Z27)</f>
        <v>0</v>
      </c>
      <c r="AA28">
        <f>SUM(AA16:AA27)</f>
        <v>0</v>
      </c>
      <c r="AE28">
        <f>SUM(AE16:AE27)</f>
        <v>0</v>
      </c>
      <c r="AF28">
        <f>SUM(AF16:AF27)</f>
        <v>0</v>
      </c>
      <c r="AG28">
        <f>SUM(AG16:AG27)</f>
        <v>0</v>
      </c>
      <c r="AK28">
        <f>SUM(AK16:AK27)</f>
        <v>0</v>
      </c>
      <c r="AL28">
        <f>SUM(AL16:AL27)</f>
        <v>0</v>
      </c>
      <c r="AM28">
        <f>SUM(AM16:AM27)</f>
        <v>0</v>
      </c>
      <c r="AN28">
        <f>SUM(AN16:AN27)</f>
        <v>0</v>
      </c>
      <c r="AP28">
        <f>SUM(AP16:AP27)</f>
        <v>0</v>
      </c>
    </row>
    <row r="29" spans="1:66" x14ac:dyDescent="0.2">
      <c r="D29" t="e">
        <f>SUM(O39:O50)/F16</f>
        <v>#DIV/0!</v>
      </c>
      <c r="G29">
        <f>AVERAGE(A39:A50)</f>
        <v>0</v>
      </c>
      <c r="H29">
        <f>MEDIAN(A39:A50)</f>
        <v>0</v>
      </c>
      <c r="I29">
        <f>MAX(A39:A50)</f>
        <v>0</v>
      </c>
      <c r="J29">
        <f>_xlfn.STDEV.S(A39:A50)</f>
        <v>0</v>
      </c>
      <c r="K29" t="s">
        <v>63</v>
      </c>
      <c r="P29" t="s">
        <v>148</v>
      </c>
    </row>
    <row r="30" spans="1:66" x14ac:dyDescent="0.2">
      <c r="A30" t="s">
        <v>147</v>
      </c>
      <c r="D30" t="s">
        <v>203</v>
      </c>
      <c r="G30" t="s">
        <v>50</v>
      </c>
      <c r="H30" t="s">
        <v>51</v>
      </c>
      <c r="I30" t="s">
        <v>89</v>
      </c>
      <c r="K30" t="s">
        <v>57</v>
      </c>
      <c r="L30" t="s">
        <v>58</v>
      </c>
      <c r="M30" t="s">
        <v>59</v>
      </c>
      <c r="N30" t="s">
        <v>60</v>
      </c>
      <c r="P30" t="s">
        <v>57</v>
      </c>
      <c r="Q30" t="s">
        <v>58</v>
      </c>
      <c r="R30" t="s">
        <v>59</v>
      </c>
      <c r="S30" t="s">
        <v>60</v>
      </c>
      <c r="W30" t="s">
        <v>148</v>
      </c>
      <c r="Y30" t="s">
        <v>149</v>
      </c>
      <c r="AH30" t="s">
        <v>79</v>
      </c>
    </row>
    <row r="31" spans="1:66" x14ac:dyDescent="0.2">
      <c r="A31">
        <f>COUNT(B4:B15)</f>
        <v>12</v>
      </c>
      <c r="D31" s="2">
        <f>SUM(S39:S50)/SUM(Q39:Q50)</f>
        <v>0.22222222222222221</v>
      </c>
      <c r="G31">
        <f>AE28/A31</f>
        <v>0</v>
      </c>
      <c r="H31">
        <f>AF28/A31</f>
        <v>0</v>
      </c>
      <c r="I31">
        <f>AG28/A31</f>
        <v>0</v>
      </c>
      <c r="K31" t="e">
        <f>AVERAGE(I39:I50)</f>
        <v>#DIV/0!</v>
      </c>
      <c r="L31" t="e">
        <f>MEDIAN(I39:I50)</f>
        <v>#NUM!</v>
      </c>
      <c r="M31">
        <f>MAX(I39:I50)</f>
        <v>0</v>
      </c>
      <c r="N31" t="e">
        <f>_xlfn.STDEV.S(I39:I50)</f>
        <v>#DIV/0!</v>
      </c>
      <c r="P31">
        <f>AVERAGE(W31:W42)</f>
        <v>1.3333333333333333</v>
      </c>
      <c r="Q31">
        <f>MEDIAN(W31:W42)</f>
        <v>0</v>
      </c>
      <c r="R31">
        <f>MAX(W31:W42)</f>
        <v>4</v>
      </c>
      <c r="S31">
        <f>_xlfn.STDEV.S(W31:W42)</f>
        <v>2.3094010767585034</v>
      </c>
      <c r="W31">
        <f t="shared" ref="W31:W33" si="48">IF(AND(ISBLANK(Q4), ISBLANK(R4), ISBLANK(G4), ISBLANK(H4)), "", U4)</f>
        <v>0</v>
      </c>
      <c r="Y31">
        <f t="shared" ref="Y31:Y42" si="49">IF(ISBLANK(Y4), IF(X4 = 0, "", (G4 + H4/3 + V4/9 + W4/3)), U4)</f>
        <v>1</v>
      </c>
      <c r="AH31" t="s">
        <v>80</v>
      </c>
    </row>
    <row r="32" spans="1:66" x14ac:dyDescent="0.2">
      <c r="D32" s="3"/>
      <c r="K32" t="s">
        <v>64</v>
      </c>
      <c r="P32" t="s">
        <v>149</v>
      </c>
      <c r="W32" t="str">
        <f t="shared" si="48"/>
        <v/>
      </c>
      <c r="Y32" t="str">
        <f t="shared" si="49"/>
        <v/>
      </c>
      <c r="AH32" t="s">
        <v>81</v>
      </c>
    </row>
    <row r="33" spans="1:34" x14ac:dyDescent="0.2">
      <c r="D33" s="3"/>
      <c r="K33" t="s">
        <v>57</v>
      </c>
      <c r="L33" t="s">
        <v>58</v>
      </c>
      <c r="M33" t="s">
        <v>59</v>
      </c>
      <c r="N33" t="s">
        <v>60</v>
      </c>
      <c r="P33" t="s">
        <v>57</v>
      </c>
      <c r="Q33" t="s">
        <v>58</v>
      </c>
      <c r="R33" t="s">
        <v>59</v>
      </c>
      <c r="S33" t="s">
        <v>60</v>
      </c>
      <c r="W33" t="str">
        <f t="shared" si="48"/>
        <v/>
      </c>
      <c r="Y33" t="str">
        <f t="shared" si="49"/>
        <v/>
      </c>
      <c r="AH33" t="s">
        <v>82</v>
      </c>
    </row>
    <row r="34" spans="1:34" x14ac:dyDescent="0.2">
      <c r="D34" s="3"/>
      <c r="K34">
        <f>AVERAGE(K39:K50)</f>
        <v>0.16666666666666666</v>
      </c>
      <c r="L34">
        <f>MEDIAN(K39:K50)</f>
        <v>0</v>
      </c>
      <c r="M34">
        <f>MAX(K39:K50)</f>
        <v>1</v>
      </c>
      <c r="N34">
        <f>_xlfn.STDEV.S(K39:K50)</f>
        <v>0.38924947208076149</v>
      </c>
      <c r="P34">
        <f>AVERAGE(Y31:Y42)</f>
        <v>2</v>
      </c>
      <c r="Q34">
        <f>MEDIAN(Y31:Y42)</f>
        <v>1</v>
      </c>
      <c r="R34">
        <f>MAX(Y31:Y42)</f>
        <v>5</v>
      </c>
      <c r="S34">
        <f>_xlfn.STDEV.S(Y31:Y42)</f>
        <v>2.6457513110645907</v>
      </c>
      <c r="W34">
        <f>IF(AND(ISBLANK(Q7), ISBLANK(R7), ISBLANK(G7), ISBLANK(H7)), "", U7)</f>
        <v>4</v>
      </c>
      <c r="Y34">
        <f t="shared" si="49"/>
        <v>5</v>
      </c>
      <c r="AH34" t="s">
        <v>83</v>
      </c>
    </row>
    <row r="35" spans="1:34" x14ac:dyDescent="0.2">
      <c r="P35" t="s">
        <v>95</v>
      </c>
      <c r="R35" t="s">
        <v>197</v>
      </c>
      <c r="W35" t="str">
        <f t="shared" ref="W35:W42" si="50">IF(AND(ISBLANK(Q8), ISBLANK(R8), ISBLANK(G8), ISBLANK(H8)), "", U8)</f>
        <v/>
      </c>
      <c r="Y35" t="str">
        <f t="shared" si="49"/>
        <v/>
      </c>
    </row>
    <row r="36" spans="1:34" x14ac:dyDescent="0.2">
      <c r="P36">
        <f>Q16/(Q16+R16)</f>
        <v>0</v>
      </c>
      <c r="R36">
        <f>R16/(Q16+R16)</f>
        <v>1</v>
      </c>
      <c r="W36" t="str">
        <f t="shared" si="50"/>
        <v/>
      </c>
      <c r="Y36" t="str">
        <f t="shared" si="49"/>
        <v/>
      </c>
    </row>
    <row r="37" spans="1:34" x14ac:dyDescent="0.2">
      <c r="W37" t="str">
        <f t="shared" si="50"/>
        <v/>
      </c>
      <c r="Y37" t="str">
        <f t="shared" si="49"/>
        <v/>
      </c>
    </row>
    <row r="38" spans="1:34" x14ac:dyDescent="0.2">
      <c r="A38" t="s">
        <v>68</v>
      </c>
      <c r="C38" t="s">
        <v>69</v>
      </c>
      <c r="E38" t="s">
        <v>72</v>
      </c>
      <c r="G38" t="s">
        <v>250</v>
      </c>
      <c r="K38" t="s">
        <v>73</v>
      </c>
      <c r="M38" t="s">
        <v>70</v>
      </c>
      <c r="N38" t="s">
        <v>71</v>
      </c>
      <c r="O38" t="s">
        <v>199</v>
      </c>
      <c r="Q38" t="s">
        <v>200</v>
      </c>
      <c r="S38" t="s">
        <v>201</v>
      </c>
      <c r="W38" t="str">
        <f t="shared" si="50"/>
        <v/>
      </c>
      <c r="Y38" t="str">
        <f t="shared" si="49"/>
        <v/>
      </c>
    </row>
    <row r="39" spans="1:34" x14ac:dyDescent="0.2">
      <c r="A39">
        <f t="shared" ref="A39:A50" si="51">IF(ISBLANK(B4), "", SUM(AE16+AF16+AG16))</f>
        <v>0</v>
      </c>
      <c r="C39">
        <f t="shared" ref="C39:C50" si="52">IF(ISBLANK(B4), "", O4)</f>
        <v>2</v>
      </c>
      <c r="E39">
        <f t="shared" ref="E39:E50" si="53">IF(ISBLANK(B4), "", Q4)</f>
        <v>0</v>
      </c>
      <c r="G39">
        <f t="shared" ref="G39:G50" si="54">IF(ISBLANK(B4), "", R4)</f>
        <v>1</v>
      </c>
      <c r="K39">
        <f t="shared" ref="K39:K50" si="55">IF(ISBLANK(B4), "", SUM(Q4 + R4))</f>
        <v>1</v>
      </c>
      <c r="M39">
        <f t="shared" ref="M39:M50" si="56">IF(ISBLANK(B4), "", SUM(K4+M4) - O4)</f>
        <v>-1</v>
      </c>
      <c r="N39">
        <f t="shared" ref="N39:N50" si="57">IF(ISBLANK(B4), "", U4)</f>
        <v>0</v>
      </c>
      <c r="O39">
        <f t="shared" ref="O39:O50" si="58">COUNTIF(E4, "1")*COUNTIF(F4, "1")</f>
        <v>0</v>
      </c>
      <c r="Q39">
        <f t="shared" ref="Q39:Q50" si="59">COUNTIF(D4, "1")*COUNTIF(F4, "")</f>
        <v>0</v>
      </c>
      <c r="S39">
        <f t="shared" ref="S39:S50" si="60">COUNTIF(E4, "1")*COUNTIF(F4, "")</f>
        <v>0</v>
      </c>
      <c r="W39" t="str">
        <f t="shared" si="50"/>
        <v/>
      </c>
      <c r="Y39" t="str">
        <f t="shared" si="49"/>
        <v/>
      </c>
    </row>
    <row r="40" spans="1:34" x14ac:dyDescent="0.2">
      <c r="A40">
        <f t="shared" si="51"/>
        <v>0</v>
      </c>
      <c r="C40">
        <f t="shared" si="52"/>
        <v>4</v>
      </c>
      <c r="E40">
        <f t="shared" si="53"/>
        <v>0</v>
      </c>
      <c r="G40">
        <f t="shared" si="54"/>
        <v>0</v>
      </c>
      <c r="K40">
        <f t="shared" si="55"/>
        <v>0</v>
      </c>
      <c r="M40">
        <f t="shared" si="56"/>
        <v>-1</v>
      </c>
      <c r="N40">
        <f t="shared" si="57"/>
        <v>0</v>
      </c>
      <c r="O40">
        <f t="shared" si="58"/>
        <v>0</v>
      </c>
      <c r="Q40">
        <f t="shared" si="59"/>
        <v>1</v>
      </c>
      <c r="S40">
        <f t="shared" si="60"/>
        <v>0</v>
      </c>
      <c r="W40">
        <f t="shared" si="50"/>
        <v>0</v>
      </c>
      <c r="Y40">
        <f t="shared" si="49"/>
        <v>0</v>
      </c>
    </row>
    <row r="41" spans="1:34" x14ac:dyDescent="0.2">
      <c r="A41">
        <f t="shared" si="51"/>
        <v>0</v>
      </c>
      <c r="C41">
        <f t="shared" si="52"/>
        <v>4</v>
      </c>
      <c r="E41">
        <f t="shared" si="53"/>
        <v>0</v>
      </c>
      <c r="G41">
        <f t="shared" si="54"/>
        <v>0</v>
      </c>
      <c r="K41">
        <f t="shared" si="55"/>
        <v>0</v>
      </c>
      <c r="M41">
        <f t="shared" si="56"/>
        <v>-1</v>
      </c>
      <c r="N41">
        <f t="shared" si="57"/>
        <v>3</v>
      </c>
      <c r="O41">
        <f t="shared" si="58"/>
        <v>0</v>
      </c>
      <c r="Q41">
        <f t="shared" si="59"/>
        <v>1</v>
      </c>
      <c r="S41">
        <f t="shared" si="60"/>
        <v>0</v>
      </c>
      <c r="W41" t="str">
        <f t="shared" si="50"/>
        <v/>
      </c>
      <c r="Y41" t="str">
        <f t="shared" si="49"/>
        <v/>
      </c>
    </row>
    <row r="42" spans="1:34" x14ac:dyDescent="0.2">
      <c r="A42">
        <f t="shared" si="51"/>
        <v>0</v>
      </c>
      <c r="C42">
        <f t="shared" si="52"/>
        <v>4</v>
      </c>
      <c r="E42">
        <f t="shared" si="53"/>
        <v>0</v>
      </c>
      <c r="G42">
        <f t="shared" si="54"/>
        <v>0</v>
      </c>
      <c r="K42">
        <f t="shared" si="55"/>
        <v>0</v>
      </c>
      <c r="M42">
        <f t="shared" si="56"/>
        <v>-1</v>
      </c>
      <c r="N42">
        <f t="shared" si="57"/>
        <v>4</v>
      </c>
      <c r="O42">
        <f t="shared" si="58"/>
        <v>0</v>
      </c>
      <c r="Q42">
        <f t="shared" si="59"/>
        <v>0</v>
      </c>
      <c r="S42">
        <f t="shared" si="60"/>
        <v>0</v>
      </c>
      <c r="W42" t="str">
        <f t="shared" si="50"/>
        <v/>
      </c>
      <c r="Y42" t="str">
        <f t="shared" si="49"/>
        <v/>
      </c>
    </row>
    <row r="43" spans="1:34" x14ac:dyDescent="0.2">
      <c r="A43">
        <f t="shared" si="51"/>
        <v>0</v>
      </c>
      <c r="C43">
        <f t="shared" si="52"/>
        <v>2</v>
      </c>
      <c r="E43">
        <f t="shared" si="53"/>
        <v>0</v>
      </c>
      <c r="G43">
        <f t="shared" si="54"/>
        <v>0</v>
      </c>
      <c r="K43">
        <f t="shared" si="55"/>
        <v>0</v>
      </c>
      <c r="M43">
        <f t="shared" si="56"/>
        <v>-1</v>
      </c>
      <c r="N43">
        <f t="shared" si="57"/>
        <v>0</v>
      </c>
      <c r="O43">
        <f t="shared" si="58"/>
        <v>0</v>
      </c>
      <c r="Q43">
        <f t="shared" si="59"/>
        <v>1</v>
      </c>
      <c r="S43">
        <f t="shared" si="60"/>
        <v>0</v>
      </c>
    </row>
    <row r="44" spans="1:34" x14ac:dyDescent="0.2">
      <c r="A44">
        <f t="shared" si="51"/>
        <v>0</v>
      </c>
      <c r="C44">
        <f t="shared" si="52"/>
        <v>3</v>
      </c>
      <c r="E44">
        <f t="shared" si="53"/>
        <v>0</v>
      </c>
      <c r="G44">
        <f t="shared" si="54"/>
        <v>0</v>
      </c>
      <c r="K44">
        <f t="shared" si="55"/>
        <v>0</v>
      </c>
      <c r="M44">
        <f t="shared" si="56"/>
        <v>-1</v>
      </c>
      <c r="N44">
        <f t="shared" si="57"/>
        <v>17</v>
      </c>
      <c r="O44">
        <f t="shared" si="58"/>
        <v>0</v>
      </c>
      <c r="Q44">
        <f t="shared" si="59"/>
        <v>1</v>
      </c>
      <c r="S44">
        <f t="shared" si="60"/>
        <v>0</v>
      </c>
    </row>
    <row r="45" spans="1:34" x14ac:dyDescent="0.2">
      <c r="A45">
        <f t="shared" si="51"/>
        <v>0</v>
      </c>
      <c r="C45">
        <f t="shared" si="52"/>
        <v>3</v>
      </c>
      <c r="E45">
        <f t="shared" si="53"/>
        <v>0</v>
      </c>
      <c r="G45">
        <f t="shared" si="54"/>
        <v>0</v>
      </c>
      <c r="K45">
        <f t="shared" si="55"/>
        <v>0</v>
      </c>
      <c r="M45">
        <f t="shared" si="56"/>
        <v>0</v>
      </c>
      <c r="N45">
        <f t="shared" si="57"/>
        <v>0</v>
      </c>
      <c r="O45">
        <f t="shared" si="58"/>
        <v>0</v>
      </c>
      <c r="Q45">
        <f t="shared" si="59"/>
        <v>1</v>
      </c>
      <c r="S45">
        <f t="shared" si="60"/>
        <v>1</v>
      </c>
    </row>
    <row r="46" spans="1:34" x14ac:dyDescent="0.2">
      <c r="A46">
        <f t="shared" si="51"/>
        <v>0</v>
      </c>
      <c r="C46">
        <f t="shared" si="52"/>
        <v>4</v>
      </c>
      <c r="E46">
        <f t="shared" si="53"/>
        <v>0</v>
      </c>
      <c r="G46">
        <f t="shared" si="54"/>
        <v>0</v>
      </c>
      <c r="K46">
        <f t="shared" si="55"/>
        <v>0</v>
      </c>
      <c r="M46">
        <f t="shared" si="56"/>
        <v>-1</v>
      </c>
      <c r="N46">
        <f t="shared" si="57"/>
        <v>7</v>
      </c>
      <c r="O46">
        <f t="shared" si="58"/>
        <v>0</v>
      </c>
      <c r="Q46">
        <f t="shared" si="59"/>
        <v>1</v>
      </c>
      <c r="S46">
        <f t="shared" si="60"/>
        <v>0</v>
      </c>
    </row>
    <row r="47" spans="1:34" x14ac:dyDescent="0.2">
      <c r="A47">
        <f t="shared" si="51"/>
        <v>0</v>
      </c>
      <c r="C47">
        <f t="shared" si="52"/>
        <v>3</v>
      </c>
      <c r="E47">
        <f t="shared" si="53"/>
        <v>0</v>
      </c>
      <c r="G47">
        <f t="shared" si="54"/>
        <v>0</v>
      </c>
      <c r="K47">
        <f t="shared" si="55"/>
        <v>0</v>
      </c>
      <c r="M47">
        <f t="shared" si="56"/>
        <v>0</v>
      </c>
      <c r="N47">
        <f t="shared" si="57"/>
        <v>4</v>
      </c>
      <c r="O47">
        <f t="shared" si="58"/>
        <v>0</v>
      </c>
      <c r="Q47">
        <f t="shared" si="59"/>
        <v>0</v>
      </c>
      <c r="S47">
        <f t="shared" si="60"/>
        <v>0</v>
      </c>
    </row>
    <row r="48" spans="1:34" x14ac:dyDescent="0.2">
      <c r="A48">
        <f t="shared" si="51"/>
        <v>0</v>
      </c>
      <c r="C48">
        <f t="shared" si="52"/>
        <v>2</v>
      </c>
      <c r="E48">
        <f t="shared" si="53"/>
        <v>0</v>
      </c>
      <c r="G48">
        <f t="shared" si="54"/>
        <v>1</v>
      </c>
      <c r="K48">
        <f t="shared" si="55"/>
        <v>1</v>
      </c>
      <c r="M48">
        <f t="shared" si="56"/>
        <v>0</v>
      </c>
      <c r="N48">
        <f t="shared" si="57"/>
        <v>0</v>
      </c>
      <c r="O48">
        <f t="shared" si="58"/>
        <v>0</v>
      </c>
      <c r="Q48">
        <f t="shared" si="59"/>
        <v>1</v>
      </c>
      <c r="S48">
        <f t="shared" si="60"/>
        <v>1</v>
      </c>
    </row>
    <row r="49" spans="1:19" x14ac:dyDescent="0.2">
      <c r="A49">
        <f t="shared" si="51"/>
        <v>0</v>
      </c>
      <c r="C49">
        <f t="shared" si="52"/>
        <v>4</v>
      </c>
      <c r="E49">
        <f t="shared" si="53"/>
        <v>0</v>
      </c>
      <c r="G49">
        <f t="shared" si="54"/>
        <v>0</v>
      </c>
      <c r="K49">
        <f t="shared" si="55"/>
        <v>0</v>
      </c>
      <c r="M49">
        <f t="shared" si="56"/>
        <v>-1</v>
      </c>
      <c r="N49">
        <f t="shared" si="57"/>
        <v>5</v>
      </c>
      <c r="O49">
        <f t="shared" si="58"/>
        <v>0</v>
      </c>
      <c r="Q49">
        <f t="shared" si="59"/>
        <v>1</v>
      </c>
      <c r="S49">
        <f t="shared" si="60"/>
        <v>0</v>
      </c>
    </row>
    <row r="50" spans="1:19" x14ac:dyDescent="0.2">
      <c r="A50">
        <f t="shared" si="51"/>
        <v>0</v>
      </c>
      <c r="C50">
        <f t="shared" si="52"/>
        <v>3</v>
      </c>
      <c r="E50">
        <f t="shared" si="53"/>
        <v>0</v>
      </c>
      <c r="G50">
        <f t="shared" si="54"/>
        <v>0</v>
      </c>
      <c r="K50">
        <f t="shared" si="55"/>
        <v>0</v>
      </c>
      <c r="M50">
        <f t="shared" si="56"/>
        <v>-1</v>
      </c>
      <c r="N50">
        <f t="shared" si="57"/>
        <v>0</v>
      </c>
      <c r="O50">
        <f t="shared" si="58"/>
        <v>0</v>
      </c>
      <c r="Q50">
        <f t="shared" si="59"/>
        <v>1</v>
      </c>
      <c r="S50">
        <f t="shared" si="60"/>
        <v>0</v>
      </c>
    </row>
  </sheetData>
  <pageMargins left="0.7" right="0.7" top="0.75" bottom="0.75" header="0.3" footer="0.3"/>
  <legacyDrawing r:id="rId1"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8" enableFormatConditionsCalculation="0"/>
  <dimension ref="A1:BN50"/>
  <sheetViews>
    <sheetView topLeftCell="C1" workbookViewId="0">
      <selection activeCell="V15" sqref="V15"/>
    </sheetView>
  </sheetViews>
  <sheetFormatPr baseColWidth="10" defaultRowHeight="15" x14ac:dyDescent="0.2"/>
  <sheetData>
    <row r="1" spans="1:66" x14ac:dyDescent="0.2">
      <c r="A1" s="1" t="s">
        <v>0</v>
      </c>
      <c r="D1" t="s">
        <v>3</v>
      </c>
      <c r="K1" t="s">
        <v>11</v>
      </c>
      <c r="N1" t="s">
        <v>12</v>
      </c>
      <c r="P1" t="s">
        <v>14</v>
      </c>
      <c r="Q1" t="s">
        <v>17</v>
      </c>
      <c r="S1" t="s">
        <v>18</v>
      </c>
      <c r="Z1" t="s">
        <v>29</v>
      </c>
      <c r="AE1" t="s">
        <v>30</v>
      </c>
      <c r="AK1" t="s">
        <v>42</v>
      </c>
    </row>
    <row r="2" spans="1:66" x14ac:dyDescent="0.2">
      <c r="A2" t="s">
        <v>1</v>
      </c>
      <c r="B2" t="s">
        <v>1</v>
      </c>
      <c r="C2" t="s">
        <v>87</v>
      </c>
      <c r="D2" t="s">
        <v>54</v>
      </c>
      <c r="E2" t="s">
        <v>13</v>
      </c>
      <c r="F2" t="s">
        <v>198</v>
      </c>
      <c r="G2" t="s">
        <v>7</v>
      </c>
      <c r="H2" t="s">
        <v>8</v>
      </c>
      <c r="I2" t="s">
        <v>179</v>
      </c>
      <c r="J2" t="s">
        <v>178</v>
      </c>
      <c r="K2" t="s">
        <v>9</v>
      </c>
      <c r="L2" t="s">
        <v>196</v>
      </c>
      <c r="M2" t="s">
        <v>10</v>
      </c>
      <c r="N2" t="s">
        <v>54</v>
      </c>
      <c r="O2" t="s">
        <v>13</v>
      </c>
      <c r="P2" t="s">
        <v>15</v>
      </c>
      <c r="Q2" t="s">
        <v>8</v>
      </c>
      <c r="R2" t="s">
        <v>7</v>
      </c>
      <c r="S2" t="s">
        <v>181</v>
      </c>
      <c r="T2" t="s">
        <v>182</v>
      </c>
      <c r="U2" t="s">
        <v>19</v>
      </c>
      <c r="V2" t="s">
        <v>191</v>
      </c>
      <c r="W2" t="s">
        <v>192</v>
      </c>
      <c r="X2" t="s">
        <v>175</v>
      </c>
      <c r="Y2" t="s">
        <v>173</v>
      </c>
      <c r="Z2" t="str">
        <f t="shared" ref="Z2:Z13" si="0">LEFT(I4, 1)</f>
        <v/>
      </c>
      <c r="AA2" t="str">
        <f t="shared" ref="AA2:AA13" si="1">MID(I4, 4, 1)</f>
        <v/>
      </c>
      <c r="AB2" t="str">
        <f t="shared" ref="AB2:AB13" si="2">MID(I4, 7, 1)</f>
        <v/>
      </c>
      <c r="AC2" t="str">
        <f t="shared" ref="AC2:AC13" si="3">MID(I4, 10, 1)</f>
        <v/>
      </c>
      <c r="AE2" t="str">
        <f t="shared" ref="AE2:AE13" si="4">LEFT(J4, 1)</f>
        <v/>
      </c>
      <c r="AF2" t="str">
        <f t="shared" ref="AF2:AF13" si="5">MID(J4, 4, 1)</f>
        <v/>
      </c>
      <c r="AG2" t="str">
        <f t="shared" ref="AG2:AG13" si="6">MID(J4, 7, 1)</f>
        <v/>
      </c>
      <c r="AH2" t="str">
        <f t="shared" ref="AH2:AH13" si="7">MID(J4, 10, 1)</f>
        <v/>
      </c>
      <c r="AI2" t="str">
        <f t="shared" ref="AI2:AI13" si="8">MID(J4, 13, 1)</f>
        <v/>
      </c>
      <c r="AK2" t="str">
        <f t="shared" ref="AK2:AK13" si="9">LEFT(P4, 2)</f>
        <v/>
      </c>
      <c r="AL2" t="str">
        <f>MID($P4, 5, 2)</f>
        <v/>
      </c>
      <c r="AM2" t="str">
        <f t="shared" ref="AM2:AM13" si="10">MID($P4, 9, 2)</f>
        <v/>
      </c>
      <c r="AN2" t="str">
        <f t="shared" ref="AN2:AN13" si="11">MID($P4, 13, 2)</f>
        <v/>
      </c>
      <c r="AO2" t="str">
        <f t="shared" ref="AO2:AO13" si="12">MID($P4, 17, 2)</f>
        <v/>
      </c>
      <c r="AP2" t="str">
        <f t="shared" ref="AP2:AP13" si="13">MID($P4, 21, 2)</f>
        <v/>
      </c>
      <c r="AQ2" t="str">
        <f t="shared" ref="AQ2:AQ13" si="14">MID($P4, 25, 2)</f>
        <v/>
      </c>
      <c r="AR2" t="str">
        <f t="shared" ref="AR2:AR13" si="15">MID($P4, 29, 2)</f>
        <v/>
      </c>
      <c r="AS2" t="str">
        <f t="shared" ref="AS2:AS13" si="16">MID($P4, 33, 2)</f>
        <v/>
      </c>
      <c r="AT2" t="str">
        <f t="shared" ref="AT2:AT13" si="17">MID($P4, 37, 2)</f>
        <v/>
      </c>
      <c r="AU2" t="str">
        <f t="shared" ref="AU2:AU13" si="18">MID($P4, 41, 2)</f>
        <v/>
      </c>
      <c r="AV2" t="str">
        <f t="shared" ref="AV2:AV13" si="19">MID($P4, 45, 2)</f>
        <v/>
      </c>
      <c r="AW2" t="str">
        <f t="shared" ref="AW2:AW13" si="20">MID($P4, 49, 2)</f>
        <v/>
      </c>
      <c r="AX2" t="str">
        <f t="shared" ref="AX2:AX13" si="21">MID($P4, 53, 2)</f>
        <v/>
      </c>
      <c r="AY2" t="str">
        <f t="shared" ref="AY2:AY13" si="22">MID($P4, 57, 2)</f>
        <v/>
      </c>
      <c r="AZ2" t="str">
        <f t="shared" ref="AZ2:AZ13" si="23">MID($P4, 61, 2)</f>
        <v/>
      </c>
      <c r="BA2" t="str">
        <f t="shared" ref="BA2:BA13" si="24">MID($P4, 65, 2)</f>
        <v/>
      </c>
      <c r="BB2" t="str">
        <f t="shared" ref="BB2:BB13" si="25">MID($P4, 69, 2)</f>
        <v/>
      </c>
      <c r="BC2" t="str">
        <f t="shared" ref="BC2:BC13" si="26">MID($P4, 73, 2)</f>
        <v/>
      </c>
      <c r="BD2" t="str">
        <f t="shared" ref="BD2:BD13" si="27">MID($P4, 77, 2)</f>
        <v/>
      </c>
      <c r="BE2" t="str">
        <f t="shared" ref="BE2:BE13" si="28">MID($P4, 81, 2)</f>
        <v/>
      </c>
      <c r="BF2" t="str">
        <f t="shared" ref="BF2:BF13" si="29">MID($P4, 85, 2)</f>
        <v/>
      </c>
      <c r="BG2" t="str">
        <f t="shared" ref="BG2:BG13" si="30">MID($P4, 89, 2)</f>
        <v/>
      </c>
      <c r="BH2" t="str">
        <f t="shared" ref="BH2:BH13" si="31">MID($P4, 93, 2)</f>
        <v/>
      </c>
    </row>
    <row r="3" spans="1:66" x14ac:dyDescent="0.2">
      <c r="A3" t="s">
        <v>2</v>
      </c>
      <c r="B3" t="s">
        <v>6</v>
      </c>
      <c r="C3" t="s">
        <v>88</v>
      </c>
      <c r="D3" t="s">
        <v>6</v>
      </c>
      <c r="E3" t="s">
        <v>6</v>
      </c>
      <c r="F3" t="s">
        <v>4</v>
      </c>
      <c r="G3" t="s">
        <v>6</v>
      </c>
      <c r="H3" t="s">
        <v>6</v>
      </c>
      <c r="I3" t="s">
        <v>86</v>
      </c>
      <c r="J3" t="s">
        <v>86</v>
      </c>
      <c r="K3" t="s">
        <v>6</v>
      </c>
      <c r="L3" t="s">
        <v>6</v>
      </c>
      <c r="M3" t="s">
        <v>6</v>
      </c>
      <c r="N3" t="s">
        <v>6</v>
      </c>
      <c r="O3" t="s">
        <v>6</v>
      </c>
      <c r="P3" t="s">
        <v>16</v>
      </c>
      <c r="Q3" t="s">
        <v>6</v>
      </c>
      <c r="R3" t="s">
        <v>6</v>
      </c>
      <c r="S3" t="s">
        <v>4</v>
      </c>
      <c r="T3" t="s">
        <v>4</v>
      </c>
      <c r="U3" t="s">
        <v>6</v>
      </c>
      <c r="V3" t="s">
        <v>6</v>
      </c>
      <c r="W3" t="s">
        <v>6</v>
      </c>
      <c r="X3" t="s">
        <v>6</v>
      </c>
      <c r="Y3" t="s">
        <v>174</v>
      </c>
      <c r="Z3" t="str">
        <f t="shared" si="0"/>
        <v/>
      </c>
      <c r="AA3" t="str">
        <f t="shared" si="1"/>
        <v/>
      </c>
      <c r="AB3" t="str">
        <f t="shared" si="2"/>
        <v/>
      </c>
      <c r="AC3" t="str">
        <f t="shared" si="3"/>
        <v/>
      </c>
      <c r="AE3" t="str">
        <f t="shared" si="4"/>
        <v/>
      </c>
      <c r="AF3" t="str">
        <f t="shared" si="5"/>
        <v/>
      </c>
      <c r="AG3" t="str">
        <f t="shared" si="6"/>
        <v/>
      </c>
      <c r="AH3" t="str">
        <f t="shared" si="7"/>
        <v/>
      </c>
      <c r="AI3" t="str">
        <f t="shared" si="8"/>
        <v/>
      </c>
      <c r="AK3" t="str">
        <f t="shared" si="9"/>
        <v/>
      </c>
      <c r="AL3" t="str">
        <f t="shared" ref="AL3:AL13" si="32">MID(P5, 5, 2)</f>
        <v/>
      </c>
      <c r="AM3" t="str">
        <f t="shared" si="10"/>
        <v/>
      </c>
      <c r="AN3" t="str">
        <f t="shared" si="11"/>
        <v/>
      </c>
      <c r="AO3" t="str">
        <f t="shared" si="12"/>
        <v/>
      </c>
      <c r="AP3" t="str">
        <f t="shared" si="13"/>
        <v/>
      </c>
      <c r="AQ3" t="str">
        <f t="shared" si="14"/>
        <v/>
      </c>
      <c r="AR3" t="str">
        <f t="shared" si="15"/>
        <v/>
      </c>
      <c r="AS3" t="str">
        <f t="shared" si="16"/>
        <v/>
      </c>
      <c r="AT3" t="str">
        <f t="shared" si="17"/>
        <v/>
      </c>
      <c r="AU3" t="str">
        <f t="shared" si="18"/>
        <v/>
      </c>
      <c r="AV3" t="str">
        <f t="shared" si="19"/>
        <v/>
      </c>
      <c r="AW3" t="str">
        <f t="shared" si="20"/>
        <v/>
      </c>
      <c r="AX3" t="str">
        <f t="shared" si="21"/>
        <v/>
      </c>
      <c r="AY3" t="str">
        <f t="shared" si="22"/>
        <v/>
      </c>
      <c r="AZ3" t="str">
        <f t="shared" si="23"/>
        <v/>
      </c>
      <c r="BA3" t="str">
        <f t="shared" si="24"/>
        <v/>
      </c>
      <c r="BB3" t="str">
        <f t="shared" si="25"/>
        <v/>
      </c>
      <c r="BC3" t="str">
        <f t="shared" si="26"/>
        <v/>
      </c>
      <c r="BD3" t="str">
        <f t="shared" si="27"/>
        <v/>
      </c>
      <c r="BE3" t="str">
        <f t="shared" si="28"/>
        <v/>
      </c>
      <c r="BF3" t="str">
        <f t="shared" si="29"/>
        <v/>
      </c>
      <c r="BG3" t="str">
        <f t="shared" si="30"/>
        <v/>
      </c>
      <c r="BH3" t="str">
        <f t="shared" si="31"/>
        <v/>
      </c>
    </row>
    <row r="4" spans="1:66" x14ac:dyDescent="0.2">
      <c r="A4">
        <v>1</v>
      </c>
      <c r="B4">
        <v>3</v>
      </c>
      <c r="C4" t="s">
        <v>207</v>
      </c>
      <c r="K4">
        <v>3</v>
      </c>
      <c r="N4">
        <v>4</v>
      </c>
      <c r="O4">
        <v>4</v>
      </c>
      <c r="S4">
        <v>1</v>
      </c>
      <c r="X4">
        <f t="shared" ref="X4:X15" si="33">G4+H4+Q4+R4</f>
        <v>0</v>
      </c>
      <c r="Z4" t="str">
        <f t="shared" si="0"/>
        <v/>
      </c>
      <c r="AA4" t="str">
        <f t="shared" si="1"/>
        <v/>
      </c>
      <c r="AB4" t="str">
        <f t="shared" si="2"/>
        <v/>
      </c>
      <c r="AC4" t="str">
        <f t="shared" si="3"/>
        <v/>
      </c>
      <c r="AE4" t="str">
        <f t="shared" si="4"/>
        <v>1</v>
      </c>
      <c r="AF4" t="str">
        <f t="shared" si="5"/>
        <v/>
      </c>
      <c r="AG4" t="str">
        <f t="shared" si="6"/>
        <v/>
      </c>
      <c r="AH4" t="str">
        <f t="shared" si="7"/>
        <v/>
      </c>
      <c r="AI4" t="str">
        <f t="shared" si="8"/>
        <v/>
      </c>
      <c r="AK4" t="str">
        <f t="shared" si="9"/>
        <v/>
      </c>
      <c r="AL4" t="str">
        <f t="shared" si="32"/>
        <v/>
      </c>
      <c r="AM4" t="str">
        <f t="shared" si="10"/>
        <v/>
      </c>
      <c r="AN4" t="str">
        <f t="shared" si="11"/>
        <v/>
      </c>
      <c r="AO4" t="str">
        <f t="shared" si="12"/>
        <v/>
      </c>
      <c r="AP4" t="str">
        <f t="shared" si="13"/>
        <v/>
      </c>
      <c r="AQ4" t="str">
        <f t="shared" si="14"/>
        <v/>
      </c>
      <c r="AR4" t="str">
        <f t="shared" si="15"/>
        <v/>
      </c>
      <c r="AS4" t="str">
        <f t="shared" si="16"/>
        <v/>
      </c>
      <c r="AT4" t="str">
        <f t="shared" si="17"/>
        <v/>
      </c>
      <c r="AU4" t="str">
        <f t="shared" si="18"/>
        <v/>
      </c>
      <c r="AV4" t="str">
        <f t="shared" si="19"/>
        <v/>
      </c>
      <c r="AW4" t="str">
        <f t="shared" si="20"/>
        <v/>
      </c>
      <c r="AX4" t="str">
        <f t="shared" si="21"/>
        <v/>
      </c>
      <c r="AY4" t="str">
        <f t="shared" si="22"/>
        <v/>
      </c>
      <c r="AZ4" t="str">
        <f t="shared" si="23"/>
        <v/>
      </c>
      <c r="BA4" t="str">
        <f t="shared" si="24"/>
        <v/>
      </c>
      <c r="BB4" t="str">
        <f t="shared" si="25"/>
        <v/>
      </c>
      <c r="BC4" t="str">
        <f t="shared" si="26"/>
        <v/>
      </c>
      <c r="BD4" t="str">
        <f t="shared" si="27"/>
        <v/>
      </c>
      <c r="BE4" t="str">
        <f t="shared" si="28"/>
        <v/>
      </c>
      <c r="BF4" t="str">
        <f t="shared" si="29"/>
        <v/>
      </c>
      <c r="BG4" t="str">
        <f t="shared" si="30"/>
        <v/>
      </c>
      <c r="BH4" t="str">
        <f t="shared" si="31"/>
        <v/>
      </c>
    </row>
    <row r="5" spans="1:66" x14ac:dyDescent="0.2">
      <c r="A5">
        <v>2</v>
      </c>
      <c r="B5">
        <v>11</v>
      </c>
      <c r="C5" t="s">
        <v>39</v>
      </c>
      <c r="D5">
        <v>1</v>
      </c>
      <c r="E5">
        <v>1</v>
      </c>
      <c r="F5">
        <v>1</v>
      </c>
      <c r="K5">
        <v>3</v>
      </c>
      <c r="N5">
        <v>3</v>
      </c>
      <c r="O5">
        <v>3</v>
      </c>
      <c r="S5">
        <v>1</v>
      </c>
      <c r="T5">
        <v>1</v>
      </c>
      <c r="U5">
        <v>5</v>
      </c>
      <c r="X5">
        <f t="shared" si="33"/>
        <v>0</v>
      </c>
      <c r="Z5" t="str">
        <f t="shared" si="0"/>
        <v/>
      </c>
      <c r="AA5" t="str">
        <f t="shared" si="1"/>
        <v/>
      </c>
      <c r="AB5" t="str">
        <f t="shared" si="2"/>
        <v/>
      </c>
      <c r="AC5" t="str">
        <f t="shared" si="3"/>
        <v/>
      </c>
      <c r="AE5" t="str">
        <f t="shared" si="4"/>
        <v/>
      </c>
      <c r="AF5" t="str">
        <f t="shared" si="5"/>
        <v/>
      </c>
      <c r="AG5" t="str">
        <f t="shared" si="6"/>
        <v/>
      </c>
      <c r="AH5" t="str">
        <f t="shared" si="7"/>
        <v/>
      </c>
      <c r="AI5" t="str">
        <f t="shared" si="8"/>
        <v/>
      </c>
      <c r="AK5" t="str">
        <f t="shared" si="9"/>
        <v/>
      </c>
      <c r="AL5" t="str">
        <f t="shared" si="32"/>
        <v/>
      </c>
      <c r="AM5" t="str">
        <f t="shared" si="10"/>
        <v/>
      </c>
      <c r="AN5" t="str">
        <f t="shared" si="11"/>
        <v/>
      </c>
      <c r="AO5" t="str">
        <f t="shared" si="12"/>
        <v/>
      </c>
      <c r="AP5" t="str">
        <f t="shared" si="13"/>
        <v/>
      </c>
      <c r="AQ5" t="str">
        <f t="shared" si="14"/>
        <v/>
      </c>
      <c r="AR5" t="str">
        <f t="shared" si="15"/>
        <v/>
      </c>
      <c r="AS5" t="str">
        <f t="shared" si="16"/>
        <v/>
      </c>
      <c r="AT5" t="str">
        <f t="shared" si="17"/>
        <v/>
      </c>
      <c r="AU5" t="str">
        <f t="shared" si="18"/>
        <v/>
      </c>
      <c r="AV5" t="str">
        <f t="shared" si="19"/>
        <v/>
      </c>
      <c r="AW5" t="str">
        <f t="shared" si="20"/>
        <v/>
      </c>
      <c r="AX5" t="str">
        <f t="shared" si="21"/>
        <v/>
      </c>
      <c r="AY5" t="str">
        <f t="shared" si="22"/>
        <v/>
      </c>
      <c r="AZ5" t="str">
        <f t="shared" si="23"/>
        <v/>
      </c>
      <c r="BA5" t="str">
        <f t="shared" si="24"/>
        <v/>
      </c>
      <c r="BB5" t="str">
        <f t="shared" si="25"/>
        <v/>
      </c>
      <c r="BC5" t="str">
        <f t="shared" si="26"/>
        <v/>
      </c>
      <c r="BD5" t="str">
        <f t="shared" si="27"/>
        <v/>
      </c>
      <c r="BE5" t="str">
        <f t="shared" si="28"/>
        <v/>
      </c>
      <c r="BF5" t="str">
        <f t="shared" si="29"/>
        <v/>
      </c>
      <c r="BG5" t="str">
        <f t="shared" si="30"/>
        <v/>
      </c>
      <c r="BH5" t="str">
        <f t="shared" si="31"/>
        <v/>
      </c>
    </row>
    <row r="6" spans="1:66" x14ac:dyDescent="0.2">
      <c r="A6">
        <v>3</v>
      </c>
      <c r="B6">
        <v>23</v>
      </c>
      <c r="C6" t="s">
        <v>39</v>
      </c>
      <c r="J6">
        <v>1</v>
      </c>
      <c r="K6">
        <v>2</v>
      </c>
      <c r="N6">
        <v>3</v>
      </c>
      <c r="O6">
        <v>3</v>
      </c>
      <c r="S6">
        <v>1</v>
      </c>
      <c r="T6">
        <v>1</v>
      </c>
      <c r="U6">
        <v>8</v>
      </c>
      <c r="X6">
        <f t="shared" si="33"/>
        <v>0</v>
      </c>
      <c r="Z6" t="str">
        <f t="shared" si="0"/>
        <v/>
      </c>
      <c r="AA6" t="str">
        <f t="shared" si="1"/>
        <v/>
      </c>
      <c r="AB6" t="str">
        <f t="shared" si="2"/>
        <v/>
      </c>
      <c r="AC6" t="str">
        <f t="shared" si="3"/>
        <v/>
      </c>
      <c r="AE6" t="str">
        <f t="shared" si="4"/>
        <v/>
      </c>
      <c r="AF6" t="str">
        <f t="shared" si="5"/>
        <v/>
      </c>
      <c r="AG6" t="str">
        <f t="shared" si="6"/>
        <v/>
      </c>
      <c r="AH6" t="str">
        <f t="shared" si="7"/>
        <v/>
      </c>
      <c r="AI6" t="str">
        <f t="shared" si="8"/>
        <v/>
      </c>
      <c r="AK6" t="str">
        <f t="shared" si="9"/>
        <v/>
      </c>
      <c r="AL6" t="str">
        <f t="shared" si="32"/>
        <v/>
      </c>
      <c r="AM6" t="str">
        <f t="shared" si="10"/>
        <v/>
      </c>
      <c r="AN6" t="str">
        <f t="shared" si="11"/>
        <v/>
      </c>
      <c r="AO6" t="str">
        <f t="shared" si="12"/>
        <v/>
      </c>
      <c r="AP6" t="str">
        <f t="shared" si="13"/>
        <v/>
      </c>
      <c r="AQ6" t="str">
        <f t="shared" si="14"/>
        <v/>
      </c>
      <c r="AR6" t="str">
        <f t="shared" si="15"/>
        <v/>
      </c>
      <c r="AS6" t="str">
        <f t="shared" si="16"/>
        <v/>
      </c>
      <c r="AT6" t="str">
        <f t="shared" si="17"/>
        <v/>
      </c>
      <c r="AU6" t="str">
        <f t="shared" si="18"/>
        <v/>
      </c>
      <c r="AV6" t="str">
        <f t="shared" si="19"/>
        <v/>
      </c>
      <c r="AW6" t="str">
        <f t="shared" si="20"/>
        <v/>
      </c>
      <c r="AX6" t="str">
        <f t="shared" si="21"/>
        <v/>
      </c>
      <c r="AY6" t="str">
        <f t="shared" si="22"/>
        <v/>
      </c>
      <c r="AZ6" t="str">
        <f t="shared" si="23"/>
        <v/>
      </c>
      <c r="BA6" t="str">
        <f t="shared" si="24"/>
        <v/>
      </c>
      <c r="BB6" t="str">
        <f t="shared" si="25"/>
        <v/>
      </c>
      <c r="BC6" t="str">
        <f t="shared" si="26"/>
        <v/>
      </c>
      <c r="BD6" t="str">
        <f t="shared" si="27"/>
        <v/>
      </c>
      <c r="BE6" t="str">
        <f t="shared" si="28"/>
        <v/>
      </c>
      <c r="BF6" t="str">
        <f t="shared" si="29"/>
        <v/>
      </c>
      <c r="BG6" t="str">
        <f t="shared" si="30"/>
        <v/>
      </c>
      <c r="BH6" t="str">
        <f t="shared" si="31"/>
        <v/>
      </c>
    </row>
    <row r="7" spans="1:66" x14ac:dyDescent="0.2">
      <c r="A7">
        <v>4</v>
      </c>
      <c r="B7">
        <v>32</v>
      </c>
      <c r="C7" t="s">
        <v>207</v>
      </c>
      <c r="U7">
        <v>29</v>
      </c>
      <c r="X7">
        <f t="shared" si="33"/>
        <v>0</v>
      </c>
      <c r="Z7" t="str">
        <f t="shared" si="0"/>
        <v/>
      </c>
      <c r="AA7" t="str">
        <f t="shared" si="1"/>
        <v/>
      </c>
      <c r="AB7" t="str">
        <f t="shared" si="2"/>
        <v/>
      </c>
      <c r="AC7" t="str">
        <f t="shared" si="3"/>
        <v/>
      </c>
      <c r="AE7" t="str">
        <f t="shared" si="4"/>
        <v/>
      </c>
      <c r="AF7" t="str">
        <f t="shared" si="5"/>
        <v/>
      </c>
      <c r="AG7" t="str">
        <f t="shared" si="6"/>
        <v/>
      </c>
      <c r="AH7" t="str">
        <f t="shared" si="7"/>
        <v/>
      </c>
      <c r="AI7" t="str">
        <f t="shared" si="8"/>
        <v/>
      </c>
      <c r="AK7" t="str">
        <f t="shared" si="9"/>
        <v/>
      </c>
      <c r="AL7" t="str">
        <f t="shared" si="32"/>
        <v/>
      </c>
      <c r="AM7" t="str">
        <f t="shared" si="10"/>
        <v/>
      </c>
      <c r="AN7" t="str">
        <f t="shared" si="11"/>
        <v/>
      </c>
      <c r="AO7" t="str">
        <f t="shared" si="12"/>
        <v/>
      </c>
      <c r="AP7" t="str">
        <f t="shared" si="13"/>
        <v/>
      </c>
      <c r="AQ7" t="str">
        <f t="shared" si="14"/>
        <v/>
      </c>
      <c r="AR7" t="str">
        <f t="shared" si="15"/>
        <v/>
      </c>
      <c r="AS7" t="str">
        <f t="shared" si="16"/>
        <v/>
      </c>
      <c r="AT7" t="str">
        <f t="shared" si="17"/>
        <v/>
      </c>
      <c r="AU7" t="str">
        <f t="shared" si="18"/>
        <v/>
      </c>
      <c r="AV7" t="str">
        <f t="shared" si="19"/>
        <v/>
      </c>
      <c r="AW7" t="str">
        <f t="shared" si="20"/>
        <v/>
      </c>
      <c r="AX7" t="str">
        <f t="shared" si="21"/>
        <v/>
      </c>
      <c r="AY7" t="str">
        <f t="shared" si="22"/>
        <v/>
      </c>
      <c r="AZ7" t="str">
        <f t="shared" si="23"/>
        <v/>
      </c>
      <c r="BA7" t="str">
        <f t="shared" si="24"/>
        <v/>
      </c>
      <c r="BB7" t="str">
        <f t="shared" si="25"/>
        <v/>
      </c>
      <c r="BC7" t="str">
        <f t="shared" si="26"/>
        <v/>
      </c>
      <c r="BD7" t="str">
        <f t="shared" si="27"/>
        <v/>
      </c>
      <c r="BE7" t="str">
        <f t="shared" si="28"/>
        <v/>
      </c>
      <c r="BF7" t="str">
        <f t="shared" si="29"/>
        <v/>
      </c>
      <c r="BG7" t="str">
        <f t="shared" si="30"/>
        <v/>
      </c>
      <c r="BH7" t="str">
        <f t="shared" si="31"/>
        <v/>
      </c>
    </row>
    <row r="8" spans="1:66" x14ac:dyDescent="0.2">
      <c r="A8">
        <v>5</v>
      </c>
      <c r="B8">
        <v>46</v>
      </c>
      <c r="C8" t="s">
        <v>207</v>
      </c>
      <c r="D8">
        <v>1</v>
      </c>
      <c r="G8">
        <v>2</v>
      </c>
      <c r="L8">
        <v>2</v>
      </c>
      <c r="N8">
        <v>1</v>
      </c>
      <c r="O8">
        <v>1</v>
      </c>
      <c r="U8">
        <v>2</v>
      </c>
      <c r="X8">
        <f t="shared" si="33"/>
        <v>2</v>
      </c>
      <c r="Z8" t="str">
        <f t="shared" si="0"/>
        <v/>
      </c>
      <c r="AA8" t="str">
        <f t="shared" si="1"/>
        <v/>
      </c>
      <c r="AB8" t="str">
        <f t="shared" si="2"/>
        <v/>
      </c>
      <c r="AC8" t="str">
        <f t="shared" si="3"/>
        <v/>
      </c>
      <c r="AE8" t="str">
        <f t="shared" si="4"/>
        <v/>
      </c>
      <c r="AF8" t="str">
        <f t="shared" si="5"/>
        <v/>
      </c>
      <c r="AG8" t="str">
        <f t="shared" si="6"/>
        <v/>
      </c>
      <c r="AH8" t="str">
        <f t="shared" si="7"/>
        <v/>
      </c>
      <c r="AI8" t="str">
        <f t="shared" si="8"/>
        <v/>
      </c>
      <c r="AK8" t="str">
        <f t="shared" si="9"/>
        <v/>
      </c>
      <c r="AL8" t="str">
        <f t="shared" si="32"/>
        <v/>
      </c>
      <c r="AM8" t="str">
        <f t="shared" si="10"/>
        <v/>
      </c>
      <c r="AN8" t="str">
        <f t="shared" si="11"/>
        <v/>
      </c>
      <c r="AO8" t="str">
        <f t="shared" si="12"/>
        <v/>
      </c>
      <c r="AP8" t="str">
        <f t="shared" si="13"/>
        <v/>
      </c>
      <c r="AQ8" t="str">
        <f t="shared" si="14"/>
        <v/>
      </c>
      <c r="AR8" t="str">
        <f t="shared" si="15"/>
        <v/>
      </c>
      <c r="AS8" t="str">
        <f t="shared" si="16"/>
        <v/>
      </c>
      <c r="AT8" t="str">
        <f t="shared" si="17"/>
        <v/>
      </c>
      <c r="AU8" t="str">
        <f t="shared" si="18"/>
        <v/>
      </c>
      <c r="AV8" t="str">
        <f t="shared" si="19"/>
        <v/>
      </c>
      <c r="AW8" t="str">
        <f t="shared" si="20"/>
        <v/>
      </c>
      <c r="AX8" t="str">
        <f t="shared" si="21"/>
        <v/>
      </c>
      <c r="AY8" t="str">
        <f t="shared" si="22"/>
        <v/>
      </c>
      <c r="AZ8" t="str">
        <f t="shared" si="23"/>
        <v/>
      </c>
      <c r="BA8" t="str">
        <f t="shared" si="24"/>
        <v/>
      </c>
      <c r="BB8" t="str">
        <f t="shared" si="25"/>
        <v/>
      </c>
      <c r="BC8" t="str">
        <f t="shared" si="26"/>
        <v/>
      </c>
      <c r="BD8" t="str">
        <f t="shared" si="27"/>
        <v/>
      </c>
      <c r="BE8" t="str">
        <f t="shared" si="28"/>
        <v/>
      </c>
      <c r="BF8" t="str">
        <f t="shared" si="29"/>
        <v/>
      </c>
      <c r="BG8" t="str">
        <f t="shared" si="30"/>
        <v/>
      </c>
      <c r="BH8" t="str">
        <f t="shared" si="31"/>
        <v/>
      </c>
    </row>
    <row r="9" spans="1:66" x14ac:dyDescent="0.2">
      <c r="A9">
        <v>6</v>
      </c>
      <c r="B9">
        <v>56</v>
      </c>
      <c r="C9" t="s">
        <v>39</v>
      </c>
      <c r="D9">
        <v>1</v>
      </c>
      <c r="E9">
        <v>1</v>
      </c>
      <c r="F9">
        <v>1</v>
      </c>
      <c r="K9">
        <v>3</v>
      </c>
      <c r="N9">
        <v>3</v>
      </c>
      <c r="O9">
        <v>3</v>
      </c>
      <c r="X9">
        <f t="shared" si="33"/>
        <v>0</v>
      </c>
      <c r="Z9" t="str">
        <f t="shared" si="0"/>
        <v/>
      </c>
      <c r="AA9" t="str">
        <f t="shared" si="1"/>
        <v/>
      </c>
      <c r="AB9" t="str">
        <f t="shared" si="2"/>
        <v/>
      </c>
      <c r="AC9" t="str">
        <f t="shared" si="3"/>
        <v/>
      </c>
      <c r="AE9" t="str">
        <f t="shared" si="4"/>
        <v>2</v>
      </c>
      <c r="AF9" t="str">
        <f t="shared" si="5"/>
        <v/>
      </c>
      <c r="AG9" t="str">
        <f t="shared" si="6"/>
        <v/>
      </c>
      <c r="AH9" t="str">
        <f t="shared" si="7"/>
        <v/>
      </c>
      <c r="AI9" t="str">
        <f t="shared" si="8"/>
        <v/>
      </c>
      <c r="AK9" t="str">
        <f t="shared" si="9"/>
        <v/>
      </c>
      <c r="AL9" t="str">
        <f t="shared" si="32"/>
        <v/>
      </c>
      <c r="AM9" t="str">
        <f t="shared" si="10"/>
        <v/>
      </c>
      <c r="AN9" t="str">
        <f t="shared" si="11"/>
        <v/>
      </c>
      <c r="AO9" t="str">
        <f t="shared" si="12"/>
        <v/>
      </c>
      <c r="AP9" t="str">
        <f t="shared" si="13"/>
        <v/>
      </c>
      <c r="AQ9" t="str">
        <f t="shared" si="14"/>
        <v/>
      </c>
      <c r="AR9" t="str">
        <f t="shared" si="15"/>
        <v/>
      </c>
      <c r="AS9" t="str">
        <f t="shared" si="16"/>
        <v/>
      </c>
      <c r="AT9" t="str">
        <f t="shared" si="17"/>
        <v/>
      </c>
      <c r="AU9" t="str">
        <f t="shared" si="18"/>
        <v/>
      </c>
      <c r="AV9" t="str">
        <f t="shared" si="19"/>
        <v/>
      </c>
      <c r="AW9" t="str">
        <f t="shared" si="20"/>
        <v/>
      </c>
      <c r="AX9" t="str">
        <f t="shared" si="21"/>
        <v/>
      </c>
      <c r="AY9" t="str">
        <f t="shared" si="22"/>
        <v/>
      </c>
      <c r="AZ9" t="str">
        <f t="shared" si="23"/>
        <v/>
      </c>
      <c r="BA9" t="str">
        <f t="shared" si="24"/>
        <v/>
      </c>
      <c r="BB9" t="str">
        <f t="shared" si="25"/>
        <v/>
      </c>
      <c r="BC9" t="str">
        <f t="shared" si="26"/>
        <v/>
      </c>
      <c r="BD9" t="str">
        <f t="shared" si="27"/>
        <v/>
      </c>
      <c r="BE9" t="str">
        <f t="shared" si="28"/>
        <v/>
      </c>
      <c r="BF9" t="str">
        <f t="shared" si="29"/>
        <v/>
      </c>
      <c r="BG9" t="str">
        <f t="shared" si="30"/>
        <v/>
      </c>
      <c r="BH9" t="str">
        <f t="shared" si="31"/>
        <v/>
      </c>
    </row>
    <row r="10" spans="1:66" x14ac:dyDescent="0.2">
      <c r="A10">
        <v>7</v>
      </c>
      <c r="B10">
        <v>61</v>
      </c>
      <c r="C10" t="s">
        <v>207</v>
      </c>
      <c r="D10">
        <v>1</v>
      </c>
      <c r="K10">
        <v>3</v>
      </c>
      <c r="N10">
        <v>4</v>
      </c>
      <c r="O10">
        <v>4</v>
      </c>
      <c r="X10">
        <f t="shared" si="33"/>
        <v>0</v>
      </c>
      <c r="Z10" t="str">
        <f t="shared" si="0"/>
        <v/>
      </c>
      <c r="AA10" t="str">
        <f t="shared" si="1"/>
        <v/>
      </c>
      <c r="AB10" t="str">
        <f t="shared" si="2"/>
        <v/>
      </c>
      <c r="AC10" t="str">
        <f t="shared" si="3"/>
        <v/>
      </c>
      <c r="AE10" t="str">
        <f t="shared" si="4"/>
        <v/>
      </c>
      <c r="AF10" t="str">
        <f t="shared" si="5"/>
        <v/>
      </c>
      <c r="AG10" t="str">
        <f t="shared" si="6"/>
        <v/>
      </c>
      <c r="AH10" t="str">
        <f t="shared" si="7"/>
        <v/>
      </c>
      <c r="AI10" t="str">
        <f t="shared" si="8"/>
        <v/>
      </c>
      <c r="AK10" t="str">
        <f t="shared" si="9"/>
        <v/>
      </c>
      <c r="AL10" t="str">
        <f t="shared" si="32"/>
        <v/>
      </c>
      <c r="AM10" t="str">
        <f t="shared" si="10"/>
        <v/>
      </c>
      <c r="AN10" t="str">
        <f t="shared" si="11"/>
        <v/>
      </c>
      <c r="AO10" t="str">
        <f t="shared" si="12"/>
        <v/>
      </c>
      <c r="AP10" t="str">
        <f t="shared" si="13"/>
        <v/>
      </c>
      <c r="AQ10" t="str">
        <f t="shared" si="14"/>
        <v/>
      </c>
      <c r="AR10" t="str">
        <f t="shared" si="15"/>
        <v/>
      </c>
      <c r="AS10" t="str">
        <f t="shared" si="16"/>
        <v/>
      </c>
      <c r="AT10" t="str">
        <f t="shared" si="17"/>
        <v/>
      </c>
      <c r="AU10" t="str">
        <f t="shared" si="18"/>
        <v/>
      </c>
      <c r="AV10" t="str">
        <f t="shared" si="19"/>
        <v/>
      </c>
      <c r="AW10" t="str">
        <f t="shared" si="20"/>
        <v/>
      </c>
      <c r="AX10" t="str">
        <f t="shared" si="21"/>
        <v/>
      </c>
      <c r="AY10" t="str">
        <f t="shared" si="22"/>
        <v/>
      </c>
      <c r="AZ10" t="str">
        <f t="shared" si="23"/>
        <v/>
      </c>
      <c r="BA10" t="str">
        <f t="shared" si="24"/>
        <v/>
      </c>
      <c r="BB10" t="str">
        <f t="shared" si="25"/>
        <v/>
      </c>
      <c r="BC10" t="str">
        <f t="shared" si="26"/>
        <v/>
      </c>
      <c r="BD10" t="str">
        <f t="shared" si="27"/>
        <v/>
      </c>
      <c r="BE10" t="str">
        <f t="shared" si="28"/>
        <v/>
      </c>
      <c r="BF10" t="str">
        <f t="shared" si="29"/>
        <v/>
      </c>
      <c r="BG10" t="str">
        <f t="shared" si="30"/>
        <v/>
      </c>
      <c r="BH10" t="str">
        <f t="shared" si="31"/>
        <v/>
      </c>
    </row>
    <row r="11" spans="1:66" x14ac:dyDescent="0.2">
      <c r="A11">
        <v>8</v>
      </c>
      <c r="B11">
        <v>71</v>
      </c>
      <c r="C11" t="s">
        <v>207</v>
      </c>
      <c r="J11">
        <v>2</v>
      </c>
      <c r="K11">
        <v>1</v>
      </c>
      <c r="L11">
        <v>1</v>
      </c>
      <c r="N11">
        <v>2</v>
      </c>
      <c r="O11">
        <v>2</v>
      </c>
      <c r="S11">
        <v>1</v>
      </c>
      <c r="T11">
        <v>1</v>
      </c>
      <c r="U11">
        <v>2</v>
      </c>
      <c r="X11">
        <f t="shared" si="33"/>
        <v>0</v>
      </c>
      <c r="Z11" t="str">
        <f t="shared" si="0"/>
        <v/>
      </c>
      <c r="AA11" t="str">
        <f t="shared" si="1"/>
        <v/>
      </c>
      <c r="AB11" t="str">
        <f t="shared" si="2"/>
        <v/>
      </c>
      <c r="AC11" t="str">
        <f t="shared" si="3"/>
        <v/>
      </c>
      <c r="AE11" t="str">
        <f t="shared" si="4"/>
        <v>2</v>
      </c>
      <c r="AF11" t="str">
        <f t="shared" si="5"/>
        <v/>
      </c>
      <c r="AG11" t="str">
        <f t="shared" si="6"/>
        <v/>
      </c>
      <c r="AH11" t="str">
        <f t="shared" si="7"/>
        <v/>
      </c>
      <c r="AI11" t="str">
        <f t="shared" si="8"/>
        <v/>
      </c>
      <c r="AK11" t="str">
        <f t="shared" si="9"/>
        <v/>
      </c>
      <c r="AL11" t="str">
        <f t="shared" si="32"/>
        <v/>
      </c>
      <c r="AM11" t="str">
        <f t="shared" si="10"/>
        <v/>
      </c>
      <c r="AN11" t="str">
        <f t="shared" si="11"/>
        <v/>
      </c>
      <c r="AO11" t="str">
        <f t="shared" si="12"/>
        <v/>
      </c>
      <c r="AP11" t="str">
        <f t="shared" si="13"/>
        <v/>
      </c>
      <c r="AQ11" t="str">
        <f t="shared" si="14"/>
        <v/>
      </c>
      <c r="AR11" t="str">
        <f t="shared" si="15"/>
        <v/>
      </c>
      <c r="AS11" t="str">
        <f t="shared" si="16"/>
        <v/>
      </c>
      <c r="AT11" t="str">
        <f t="shared" si="17"/>
        <v/>
      </c>
      <c r="AU11" t="str">
        <f t="shared" si="18"/>
        <v/>
      </c>
      <c r="AV11" t="str">
        <f t="shared" si="19"/>
        <v/>
      </c>
      <c r="AW11" t="str">
        <f t="shared" si="20"/>
        <v/>
      </c>
      <c r="AX11" t="str">
        <f t="shared" si="21"/>
        <v/>
      </c>
      <c r="AY11" t="str">
        <f t="shared" si="22"/>
        <v/>
      </c>
      <c r="AZ11" t="str">
        <f t="shared" si="23"/>
        <v/>
      </c>
      <c r="BA11" t="str">
        <f t="shared" si="24"/>
        <v/>
      </c>
      <c r="BB11" t="str">
        <f t="shared" si="25"/>
        <v/>
      </c>
      <c r="BC11" t="str">
        <f t="shared" si="26"/>
        <v/>
      </c>
      <c r="BD11" t="str">
        <f t="shared" si="27"/>
        <v/>
      </c>
      <c r="BE11" t="str">
        <f t="shared" si="28"/>
        <v/>
      </c>
      <c r="BF11" t="str">
        <f t="shared" si="29"/>
        <v/>
      </c>
      <c r="BG11" t="str">
        <f t="shared" si="30"/>
        <v/>
      </c>
      <c r="BH11" t="str">
        <f t="shared" si="31"/>
        <v/>
      </c>
    </row>
    <row r="12" spans="1:66" x14ac:dyDescent="0.2">
      <c r="A12">
        <v>9</v>
      </c>
      <c r="B12">
        <v>81</v>
      </c>
      <c r="C12" t="s">
        <v>207</v>
      </c>
      <c r="D12">
        <v>1</v>
      </c>
      <c r="E12">
        <v>1</v>
      </c>
      <c r="F12">
        <v>1</v>
      </c>
      <c r="N12">
        <v>3</v>
      </c>
      <c r="O12">
        <v>3</v>
      </c>
      <c r="S12">
        <v>1</v>
      </c>
      <c r="T12">
        <v>1</v>
      </c>
      <c r="U12">
        <v>4</v>
      </c>
      <c r="X12">
        <f t="shared" si="33"/>
        <v>0</v>
      </c>
      <c r="Z12" t="str">
        <f t="shared" si="0"/>
        <v/>
      </c>
      <c r="AA12" t="str">
        <f t="shared" si="1"/>
        <v/>
      </c>
      <c r="AB12" t="str">
        <f t="shared" si="2"/>
        <v/>
      </c>
      <c r="AC12" t="str">
        <f t="shared" si="3"/>
        <v/>
      </c>
      <c r="AE12" t="str">
        <f t="shared" si="4"/>
        <v/>
      </c>
      <c r="AF12" t="str">
        <f t="shared" si="5"/>
        <v/>
      </c>
      <c r="AG12" t="str">
        <f t="shared" si="6"/>
        <v/>
      </c>
      <c r="AH12" t="str">
        <f t="shared" si="7"/>
        <v/>
      </c>
      <c r="AI12" t="str">
        <f t="shared" si="8"/>
        <v/>
      </c>
      <c r="AK12" t="str">
        <f t="shared" si="9"/>
        <v/>
      </c>
      <c r="AL12" t="str">
        <f t="shared" si="32"/>
        <v/>
      </c>
      <c r="AM12" t="str">
        <f t="shared" si="10"/>
        <v/>
      </c>
      <c r="AN12" t="str">
        <f t="shared" si="11"/>
        <v/>
      </c>
      <c r="AO12" t="str">
        <f t="shared" si="12"/>
        <v/>
      </c>
      <c r="AP12" t="str">
        <f t="shared" si="13"/>
        <v/>
      </c>
      <c r="AQ12" t="str">
        <f t="shared" si="14"/>
        <v/>
      </c>
      <c r="AR12" t="str">
        <f t="shared" si="15"/>
        <v/>
      </c>
      <c r="AS12" t="str">
        <f t="shared" si="16"/>
        <v/>
      </c>
      <c r="AT12" t="str">
        <f t="shared" si="17"/>
        <v/>
      </c>
      <c r="AU12" t="str">
        <f t="shared" si="18"/>
        <v/>
      </c>
      <c r="AV12" t="str">
        <f t="shared" si="19"/>
        <v/>
      </c>
      <c r="AW12" t="str">
        <f t="shared" si="20"/>
        <v/>
      </c>
      <c r="AX12" t="str">
        <f t="shared" si="21"/>
        <v/>
      </c>
      <c r="AY12" t="str">
        <f t="shared" si="22"/>
        <v/>
      </c>
      <c r="AZ12" t="str">
        <f t="shared" si="23"/>
        <v/>
      </c>
      <c r="BA12" t="str">
        <f t="shared" si="24"/>
        <v/>
      </c>
      <c r="BB12" t="str">
        <f t="shared" si="25"/>
        <v/>
      </c>
      <c r="BC12" t="str">
        <f t="shared" si="26"/>
        <v/>
      </c>
      <c r="BD12" t="str">
        <f t="shared" si="27"/>
        <v/>
      </c>
      <c r="BE12" t="str">
        <f t="shared" si="28"/>
        <v/>
      </c>
      <c r="BF12" t="str">
        <f t="shared" si="29"/>
        <v/>
      </c>
      <c r="BG12" t="str">
        <f t="shared" si="30"/>
        <v/>
      </c>
      <c r="BH12" t="str">
        <f t="shared" si="31"/>
        <v/>
      </c>
    </row>
    <row r="13" spans="1:66" x14ac:dyDescent="0.2">
      <c r="A13">
        <v>10</v>
      </c>
      <c r="B13">
        <v>93</v>
      </c>
      <c r="C13" t="s">
        <v>39</v>
      </c>
      <c r="D13">
        <v>1</v>
      </c>
      <c r="E13">
        <v>1</v>
      </c>
      <c r="F13">
        <v>1</v>
      </c>
      <c r="J13">
        <v>2</v>
      </c>
      <c r="K13">
        <v>3</v>
      </c>
      <c r="N13">
        <v>3</v>
      </c>
      <c r="O13">
        <v>3</v>
      </c>
      <c r="S13">
        <v>1</v>
      </c>
      <c r="X13">
        <f t="shared" si="33"/>
        <v>0</v>
      </c>
      <c r="Z13" t="str">
        <f t="shared" si="0"/>
        <v/>
      </c>
      <c r="AA13" t="str">
        <f t="shared" si="1"/>
        <v/>
      </c>
      <c r="AB13" t="str">
        <f t="shared" si="2"/>
        <v/>
      </c>
      <c r="AC13" t="str">
        <f t="shared" si="3"/>
        <v/>
      </c>
      <c r="AE13" t="str">
        <f t="shared" si="4"/>
        <v/>
      </c>
      <c r="AF13" t="str">
        <f t="shared" si="5"/>
        <v/>
      </c>
      <c r="AG13" t="str">
        <f t="shared" si="6"/>
        <v/>
      </c>
      <c r="AH13" t="str">
        <f t="shared" si="7"/>
        <v/>
      </c>
      <c r="AI13" t="str">
        <f t="shared" si="8"/>
        <v/>
      </c>
      <c r="AK13" t="str">
        <f t="shared" si="9"/>
        <v/>
      </c>
      <c r="AL13" t="str">
        <f t="shared" si="32"/>
        <v/>
      </c>
      <c r="AM13" t="str">
        <f t="shared" si="10"/>
        <v/>
      </c>
      <c r="AN13" t="str">
        <f t="shared" si="11"/>
        <v/>
      </c>
      <c r="AO13" t="str">
        <f t="shared" si="12"/>
        <v/>
      </c>
      <c r="AP13" t="str">
        <f t="shared" si="13"/>
        <v/>
      </c>
      <c r="AQ13" t="str">
        <f t="shared" si="14"/>
        <v/>
      </c>
      <c r="AR13" t="str">
        <f t="shared" si="15"/>
        <v/>
      </c>
      <c r="AS13" t="str">
        <f t="shared" si="16"/>
        <v/>
      </c>
      <c r="AT13" t="str">
        <f t="shared" si="17"/>
        <v/>
      </c>
      <c r="AU13" t="str">
        <f t="shared" si="18"/>
        <v/>
      </c>
      <c r="AV13" t="str">
        <f t="shared" si="19"/>
        <v/>
      </c>
      <c r="AW13" t="str">
        <f t="shared" si="20"/>
        <v/>
      </c>
      <c r="AX13" t="str">
        <f t="shared" si="21"/>
        <v/>
      </c>
      <c r="AY13" t="str">
        <f t="shared" si="22"/>
        <v/>
      </c>
      <c r="AZ13" t="str">
        <f t="shared" si="23"/>
        <v/>
      </c>
      <c r="BA13" t="str">
        <f t="shared" si="24"/>
        <v/>
      </c>
      <c r="BB13" t="str">
        <f t="shared" si="25"/>
        <v/>
      </c>
      <c r="BC13" t="str">
        <f t="shared" si="26"/>
        <v/>
      </c>
      <c r="BD13" t="str">
        <f t="shared" si="27"/>
        <v/>
      </c>
      <c r="BE13" t="str">
        <f t="shared" si="28"/>
        <v/>
      </c>
      <c r="BF13" t="str">
        <f t="shared" si="29"/>
        <v/>
      </c>
      <c r="BG13" t="str">
        <f t="shared" si="30"/>
        <v/>
      </c>
      <c r="BH13" t="str">
        <f t="shared" si="31"/>
        <v/>
      </c>
    </row>
    <row r="14" spans="1:66" x14ac:dyDescent="0.2">
      <c r="A14">
        <v>11</v>
      </c>
      <c r="B14">
        <v>102</v>
      </c>
      <c r="C14" t="s">
        <v>39</v>
      </c>
      <c r="D14">
        <v>1</v>
      </c>
      <c r="E14">
        <v>1</v>
      </c>
      <c r="F14">
        <v>1</v>
      </c>
      <c r="K14">
        <v>1</v>
      </c>
      <c r="L14">
        <v>4</v>
      </c>
      <c r="N14">
        <v>1</v>
      </c>
      <c r="S14">
        <v>1</v>
      </c>
      <c r="T14">
        <v>1</v>
      </c>
      <c r="U14">
        <v>1</v>
      </c>
      <c r="X14">
        <f t="shared" si="33"/>
        <v>0</v>
      </c>
      <c r="Z14" t="s">
        <v>31</v>
      </c>
      <c r="AE14" t="s">
        <v>34</v>
      </c>
      <c r="AK14" t="s">
        <v>43</v>
      </c>
      <c r="AP14" t="s">
        <v>84</v>
      </c>
    </row>
    <row r="15" spans="1:66" x14ac:dyDescent="0.2">
      <c r="A15">
        <v>12</v>
      </c>
      <c r="B15">
        <v>112</v>
      </c>
      <c r="C15" t="s">
        <v>39</v>
      </c>
      <c r="D15">
        <v>1</v>
      </c>
      <c r="F15">
        <v>1</v>
      </c>
      <c r="K15">
        <v>3</v>
      </c>
      <c r="N15">
        <v>4</v>
      </c>
      <c r="O15">
        <v>4</v>
      </c>
      <c r="S15">
        <v>1</v>
      </c>
      <c r="T15">
        <v>1</v>
      </c>
      <c r="U15">
        <v>1</v>
      </c>
      <c r="X15">
        <f t="shared" si="33"/>
        <v>0</v>
      </c>
      <c r="Z15" t="s">
        <v>21</v>
      </c>
      <c r="AA15" t="s">
        <v>22</v>
      </c>
      <c r="AE15" t="s">
        <v>21</v>
      </c>
      <c r="AF15" t="s">
        <v>22</v>
      </c>
      <c r="AG15" t="s">
        <v>35</v>
      </c>
      <c r="AK15" t="s">
        <v>10</v>
      </c>
      <c r="AL15" t="s">
        <v>25</v>
      </c>
      <c r="AM15" t="s">
        <v>26</v>
      </c>
      <c r="AN15" t="s">
        <v>27</v>
      </c>
      <c r="AP15" t="s">
        <v>15</v>
      </c>
      <c r="AQ15" t="s">
        <v>85</v>
      </c>
    </row>
    <row r="16" spans="1:66" x14ac:dyDescent="0.2">
      <c r="A16" t="s">
        <v>28</v>
      </c>
      <c r="D16">
        <f>SUM(D4:D15)</f>
        <v>8</v>
      </c>
      <c r="E16">
        <f>SUM(E4:E15)</f>
        <v>5</v>
      </c>
      <c r="F16">
        <f>SUM(F4:F15)</f>
        <v>6</v>
      </c>
      <c r="G16">
        <f>SUM(G4:G15)</f>
        <v>2</v>
      </c>
      <c r="H16">
        <f>SUM(H4:H15)</f>
        <v>0</v>
      </c>
      <c r="K16">
        <f>SUM(K4:K15)</f>
        <v>22</v>
      </c>
      <c r="L16">
        <f>SUM(L4:L15)</f>
        <v>7</v>
      </c>
      <c r="M16">
        <f>SUM(M4:M15)</f>
        <v>0</v>
      </c>
      <c r="N16">
        <f>SUM(N4:N15)</f>
        <v>31</v>
      </c>
      <c r="O16">
        <f>SUM(O4:O15)</f>
        <v>30</v>
      </c>
      <c r="Q16">
        <f t="shared" ref="Q16:R16" si="34">SUM(Q4:Q15)</f>
        <v>0</v>
      </c>
      <c r="R16">
        <f t="shared" si="34"/>
        <v>0</v>
      </c>
      <c r="S16">
        <f>SUM(S4:S15)</f>
        <v>8</v>
      </c>
      <c r="T16">
        <f>SUM(T4:T15)</f>
        <v>6</v>
      </c>
      <c r="U16">
        <f>SUM(U4:U15)</f>
        <v>52</v>
      </c>
      <c r="V16">
        <f>SUM(V4:V15)</f>
        <v>0</v>
      </c>
      <c r="W16">
        <f>SUM(W4:W15)</f>
        <v>0</v>
      </c>
      <c r="Z16">
        <f t="shared" ref="Z16:Z27" si="35">COUNTIF(Z2:AC2, "3")*COUNTIF(C4, "r")+COUNTIF(Z2:AC2, "5")*COUNTIF(C4, "b")</f>
        <v>0</v>
      </c>
      <c r="AA16">
        <f t="shared" ref="AA16:AA27" si="36">COUNTIF(Z2:AC2, "1")+COUNTIF(Z2:AC2, "2")+COUNTIF(Z2:AC2, "4")</f>
        <v>0</v>
      </c>
      <c r="AE16">
        <f t="shared" ref="AE16:AE27" si="37">COUNTIF(AE2:AI2, "3")*COUNTIF(C4, "r") + COUNTIF(AE2:AI2, "5")*COUNTIF(C4, "b")</f>
        <v>0</v>
      </c>
      <c r="AF16">
        <f t="shared" ref="AF16:AF27" si="38">COUNTIF(AE2:AI2, "1")+COUNTIF(AE2:AI2, "2")+COUNTIF(AE2:AI2, "4")</f>
        <v>0</v>
      </c>
      <c r="AG16">
        <f t="shared" ref="AG16:AG27" si="39">COUNTIF(AE2:AI2, "3")*COUNTIF(AE2:AI2, "b")+COUNTIF(AE2:AI2, "5")*COUNTIF(AE2:AI2, "r")</f>
        <v>0</v>
      </c>
      <c r="AK16">
        <f t="shared" ref="AK16:AK27" si="40">SUMPRODUCT(LEN($AK2:$BH2) - LEN(SUBSTITUTE($AK2:$BH2, "g", "")))</f>
        <v>0</v>
      </c>
      <c r="AL16">
        <f t="shared" ref="AL16:AL27" si="41">SUMPRODUCT(LEN($AK2:$BH2) - LEN(SUBSTITUTE($AK2:$BH2, "h", "")))</f>
        <v>0</v>
      </c>
      <c r="AM16">
        <f t="shared" ref="AM16:AM27" si="42">SUMPRODUCT(LEN($AK2:$BH2) - LEN(SUBSTITUTE($AK2:$BH2, "v", "")))</f>
        <v>0</v>
      </c>
      <c r="AN16">
        <f t="shared" ref="AN16:AN27" si="43">SUMPRODUCT(LEN($AK2:$BH2) - LEN(SUBSTITUTE($AK2:$BH2, "r", "")))</f>
        <v>0</v>
      </c>
      <c r="AP16">
        <f>MAX(AQ16:BN16)</f>
        <v>0</v>
      </c>
      <c r="AQ16" s="4">
        <f>_xlfn.NUMBERVALUE(RIGHT(AK2,1))</f>
        <v>0</v>
      </c>
      <c r="AR16" s="4">
        <f t="shared" ref="AR16:BG27" si="44">_xlfn.NUMBERVALUE(RIGHT(AL2,1))</f>
        <v>0</v>
      </c>
      <c r="AS16" s="4">
        <f t="shared" si="44"/>
        <v>0</v>
      </c>
      <c r="AT16" s="4">
        <f t="shared" si="44"/>
        <v>0</v>
      </c>
      <c r="AU16" s="4">
        <f t="shared" si="44"/>
        <v>0</v>
      </c>
      <c r="AV16" s="4">
        <f t="shared" si="44"/>
        <v>0</v>
      </c>
      <c r="AW16" s="4">
        <f t="shared" si="44"/>
        <v>0</v>
      </c>
      <c r="AX16" s="4">
        <f t="shared" si="44"/>
        <v>0</v>
      </c>
      <c r="AY16" s="4">
        <f t="shared" si="44"/>
        <v>0</v>
      </c>
      <c r="AZ16" s="4">
        <f t="shared" si="44"/>
        <v>0</v>
      </c>
      <c r="BA16" s="4">
        <f t="shared" si="44"/>
        <v>0</v>
      </c>
      <c r="BB16" s="4">
        <f t="shared" si="44"/>
        <v>0</v>
      </c>
      <c r="BC16" s="4">
        <f t="shared" si="44"/>
        <v>0</v>
      </c>
      <c r="BD16" s="4">
        <f t="shared" si="44"/>
        <v>0</v>
      </c>
      <c r="BE16" s="4">
        <f t="shared" si="44"/>
        <v>0</v>
      </c>
      <c r="BF16" s="4">
        <f t="shared" si="44"/>
        <v>0</v>
      </c>
      <c r="BG16" s="4">
        <f t="shared" si="44"/>
        <v>0</v>
      </c>
      <c r="BH16" s="4">
        <f t="shared" ref="BH16:BN27" si="45">_xlfn.NUMBERVALUE(RIGHT(BB2,1))</f>
        <v>0</v>
      </c>
      <c r="BI16" s="4">
        <f t="shared" si="45"/>
        <v>0</v>
      </c>
      <c r="BJ16" s="4">
        <f t="shared" si="45"/>
        <v>0</v>
      </c>
      <c r="BK16" s="4">
        <f t="shared" si="45"/>
        <v>0</v>
      </c>
      <c r="BL16" s="4">
        <f t="shared" si="45"/>
        <v>0</v>
      </c>
      <c r="BM16" s="4">
        <f t="shared" si="45"/>
        <v>0</v>
      </c>
      <c r="BN16" s="4">
        <f t="shared" si="45"/>
        <v>0</v>
      </c>
    </row>
    <row r="17" spans="1:66" x14ac:dyDescent="0.2">
      <c r="A17" s="1" t="s">
        <v>20</v>
      </c>
      <c r="D17" s="1" t="s">
        <v>49</v>
      </c>
      <c r="G17" s="1" t="s">
        <v>52</v>
      </c>
      <c r="K17" s="3" t="s">
        <v>74</v>
      </c>
      <c r="P17" s="1" t="s">
        <v>66</v>
      </c>
      <c r="Z17">
        <f t="shared" si="35"/>
        <v>0</v>
      </c>
      <c r="AA17">
        <f t="shared" si="36"/>
        <v>0</v>
      </c>
      <c r="AE17">
        <f t="shared" si="37"/>
        <v>0</v>
      </c>
      <c r="AF17">
        <f t="shared" si="38"/>
        <v>0</v>
      </c>
      <c r="AG17">
        <f t="shared" si="39"/>
        <v>0</v>
      </c>
      <c r="AK17">
        <f t="shared" si="40"/>
        <v>0</v>
      </c>
      <c r="AL17">
        <f t="shared" si="41"/>
        <v>0</v>
      </c>
      <c r="AM17">
        <f t="shared" si="42"/>
        <v>0</v>
      </c>
      <c r="AN17">
        <f t="shared" si="43"/>
        <v>0</v>
      </c>
      <c r="AP17">
        <f t="shared" ref="AP17:AP27" si="46">MAX(AQ17:BN17)</f>
        <v>0</v>
      </c>
      <c r="AQ17" s="4">
        <f t="shared" ref="AQ17:AQ27" si="47">_xlfn.NUMBERVALUE(RIGHT(AK3,1))</f>
        <v>0</v>
      </c>
      <c r="AR17" s="4">
        <f t="shared" si="44"/>
        <v>0</v>
      </c>
      <c r="AS17" s="4">
        <f t="shared" si="44"/>
        <v>0</v>
      </c>
      <c r="AT17" s="4">
        <f t="shared" si="44"/>
        <v>0</v>
      </c>
      <c r="AU17" s="4">
        <f t="shared" si="44"/>
        <v>0</v>
      </c>
      <c r="AV17" s="4">
        <f t="shared" si="44"/>
        <v>0</v>
      </c>
      <c r="AW17" s="4">
        <f t="shared" si="44"/>
        <v>0</v>
      </c>
      <c r="AX17" s="4">
        <f t="shared" si="44"/>
        <v>0</v>
      </c>
      <c r="AY17" s="4">
        <f t="shared" si="44"/>
        <v>0</v>
      </c>
      <c r="AZ17" s="4">
        <f t="shared" si="44"/>
        <v>0</v>
      </c>
      <c r="BA17" s="4">
        <f t="shared" si="44"/>
        <v>0</v>
      </c>
      <c r="BB17" s="4">
        <f t="shared" si="44"/>
        <v>0</v>
      </c>
      <c r="BC17" s="4">
        <f t="shared" si="44"/>
        <v>0</v>
      </c>
      <c r="BD17" s="4">
        <f t="shared" si="44"/>
        <v>0</v>
      </c>
      <c r="BE17" s="4">
        <f t="shared" si="44"/>
        <v>0</v>
      </c>
      <c r="BF17" s="4">
        <f t="shared" si="44"/>
        <v>0</v>
      </c>
      <c r="BG17" s="4">
        <f t="shared" si="44"/>
        <v>0</v>
      </c>
      <c r="BH17" s="4">
        <f t="shared" si="45"/>
        <v>0</v>
      </c>
      <c r="BI17" s="4">
        <f t="shared" si="45"/>
        <v>0</v>
      </c>
      <c r="BJ17" s="4">
        <f t="shared" si="45"/>
        <v>0</v>
      </c>
      <c r="BK17" s="4">
        <f t="shared" si="45"/>
        <v>0</v>
      </c>
      <c r="BL17" s="4">
        <f t="shared" si="45"/>
        <v>0</v>
      </c>
      <c r="BM17" s="4">
        <f t="shared" si="45"/>
        <v>0</v>
      </c>
      <c r="BN17" s="4">
        <f t="shared" si="45"/>
        <v>0</v>
      </c>
    </row>
    <row r="18" spans="1:66" x14ac:dyDescent="0.2">
      <c r="A18" t="s">
        <v>32</v>
      </c>
      <c r="B18" t="s">
        <v>21</v>
      </c>
      <c r="D18" t="s">
        <v>180</v>
      </c>
      <c r="G18" s="3" t="s">
        <v>53</v>
      </c>
      <c r="K18" t="s">
        <v>55</v>
      </c>
      <c r="M18" t="s">
        <v>65</v>
      </c>
      <c r="P18" t="s">
        <v>67</v>
      </c>
      <c r="Z18">
        <f t="shared" si="35"/>
        <v>0</v>
      </c>
      <c r="AA18">
        <f t="shared" si="36"/>
        <v>0</v>
      </c>
      <c r="AE18">
        <f t="shared" si="37"/>
        <v>0</v>
      </c>
      <c r="AF18">
        <f t="shared" si="38"/>
        <v>1</v>
      </c>
      <c r="AG18">
        <f t="shared" si="39"/>
        <v>0</v>
      </c>
      <c r="AK18">
        <f t="shared" si="40"/>
        <v>0</v>
      </c>
      <c r="AL18">
        <f t="shared" si="41"/>
        <v>0</v>
      </c>
      <c r="AM18">
        <f t="shared" si="42"/>
        <v>0</v>
      </c>
      <c r="AN18">
        <f t="shared" si="43"/>
        <v>0</v>
      </c>
      <c r="AP18">
        <f t="shared" si="46"/>
        <v>0</v>
      </c>
      <c r="AQ18" s="4">
        <f t="shared" si="47"/>
        <v>0</v>
      </c>
      <c r="AR18" s="4">
        <f t="shared" si="44"/>
        <v>0</v>
      </c>
      <c r="AS18" s="4">
        <f t="shared" si="44"/>
        <v>0</v>
      </c>
      <c r="AT18" s="4">
        <f t="shared" si="44"/>
        <v>0</v>
      </c>
      <c r="AU18" s="4">
        <f t="shared" si="44"/>
        <v>0</v>
      </c>
      <c r="AV18" s="4">
        <f t="shared" si="44"/>
        <v>0</v>
      </c>
      <c r="AW18" s="4">
        <f t="shared" si="44"/>
        <v>0</v>
      </c>
      <c r="AX18" s="4">
        <f t="shared" si="44"/>
        <v>0</v>
      </c>
      <c r="AY18" s="4">
        <f t="shared" si="44"/>
        <v>0</v>
      </c>
      <c r="AZ18" s="4">
        <f t="shared" si="44"/>
        <v>0</v>
      </c>
      <c r="BA18" s="4">
        <f t="shared" si="44"/>
        <v>0</v>
      </c>
      <c r="BB18" s="4">
        <f t="shared" si="44"/>
        <v>0</v>
      </c>
      <c r="BC18" s="4">
        <f t="shared" si="44"/>
        <v>0</v>
      </c>
      <c r="BD18" s="4">
        <f t="shared" si="44"/>
        <v>0</v>
      </c>
      <c r="BE18" s="4">
        <f t="shared" si="44"/>
        <v>0</v>
      </c>
      <c r="BF18" s="4">
        <f t="shared" si="44"/>
        <v>0</v>
      </c>
      <c r="BG18" s="4">
        <f t="shared" si="44"/>
        <v>0</v>
      </c>
      <c r="BH18" s="4">
        <f t="shared" si="45"/>
        <v>0</v>
      </c>
      <c r="BI18" s="4">
        <f t="shared" si="45"/>
        <v>0</v>
      </c>
      <c r="BJ18" s="4">
        <f t="shared" si="45"/>
        <v>0</v>
      </c>
      <c r="BK18" s="4">
        <f t="shared" si="45"/>
        <v>0</v>
      </c>
      <c r="BL18" s="4">
        <f t="shared" si="45"/>
        <v>0</v>
      </c>
      <c r="BM18" s="4">
        <f t="shared" si="45"/>
        <v>0</v>
      </c>
      <c r="BN18" s="4">
        <f t="shared" si="45"/>
        <v>0</v>
      </c>
    </row>
    <row r="19" spans="1:66" x14ac:dyDescent="0.2">
      <c r="A19" t="s">
        <v>40</v>
      </c>
      <c r="B19" t="s">
        <v>22</v>
      </c>
      <c r="D19">
        <f>E16/D16</f>
        <v>0.625</v>
      </c>
      <c r="G19" t="s">
        <v>75</v>
      </c>
      <c r="K19">
        <f>O16/N16</f>
        <v>0.967741935483871</v>
      </c>
      <c r="M19">
        <f>SUM(M39:M50)</f>
        <v>-8</v>
      </c>
      <c r="P19">
        <f>T16/S16</f>
        <v>0.75</v>
      </c>
      <c r="Z19">
        <f t="shared" si="35"/>
        <v>0</v>
      </c>
      <c r="AA19">
        <f t="shared" si="36"/>
        <v>0</v>
      </c>
      <c r="AE19">
        <f t="shared" si="37"/>
        <v>0</v>
      </c>
      <c r="AF19">
        <f t="shared" si="38"/>
        <v>0</v>
      </c>
      <c r="AG19">
        <f t="shared" si="39"/>
        <v>0</v>
      </c>
      <c r="AK19">
        <f t="shared" si="40"/>
        <v>0</v>
      </c>
      <c r="AL19">
        <f t="shared" si="41"/>
        <v>0</v>
      </c>
      <c r="AM19">
        <f t="shared" si="42"/>
        <v>0</v>
      </c>
      <c r="AN19">
        <f t="shared" si="43"/>
        <v>0</v>
      </c>
      <c r="AP19">
        <f t="shared" si="46"/>
        <v>0</v>
      </c>
      <c r="AQ19" s="4">
        <f t="shared" si="47"/>
        <v>0</v>
      </c>
      <c r="AR19" s="4">
        <f t="shared" si="44"/>
        <v>0</v>
      </c>
      <c r="AS19" s="4">
        <f t="shared" si="44"/>
        <v>0</v>
      </c>
      <c r="AT19" s="4">
        <f t="shared" si="44"/>
        <v>0</v>
      </c>
      <c r="AU19" s="4">
        <f t="shared" si="44"/>
        <v>0</v>
      </c>
      <c r="AV19" s="4">
        <f t="shared" si="44"/>
        <v>0</v>
      </c>
      <c r="AW19" s="4">
        <f t="shared" si="44"/>
        <v>0</v>
      </c>
      <c r="AX19" s="4">
        <f t="shared" si="44"/>
        <v>0</v>
      </c>
      <c r="AY19" s="4">
        <f t="shared" si="44"/>
        <v>0</v>
      </c>
      <c r="AZ19" s="4">
        <f t="shared" si="44"/>
        <v>0</v>
      </c>
      <c r="BA19" s="4">
        <f t="shared" si="44"/>
        <v>0</v>
      </c>
      <c r="BB19" s="4">
        <f t="shared" si="44"/>
        <v>0</v>
      </c>
      <c r="BC19" s="4">
        <f t="shared" si="44"/>
        <v>0</v>
      </c>
      <c r="BD19" s="4">
        <f t="shared" si="44"/>
        <v>0</v>
      </c>
      <c r="BE19" s="4">
        <f t="shared" si="44"/>
        <v>0</v>
      </c>
      <c r="BF19" s="4">
        <f t="shared" si="44"/>
        <v>0</v>
      </c>
      <c r="BG19" s="4">
        <f t="shared" si="44"/>
        <v>0</v>
      </c>
      <c r="BH19" s="4">
        <f t="shared" si="45"/>
        <v>0</v>
      </c>
      <c r="BI19" s="4">
        <f t="shared" si="45"/>
        <v>0</v>
      </c>
      <c r="BJ19" s="4">
        <f t="shared" si="45"/>
        <v>0</v>
      </c>
      <c r="BK19" s="4">
        <f t="shared" si="45"/>
        <v>0</v>
      </c>
      <c r="BL19" s="4">
        <f t="shared" si="45"/>
        <v>0</v>
      </c>
      <c r="BM19" s="4">
        <f t="shared" si="45"/>
        <v>0</v>
      </c>
      <c r="BN19" s="4">
        <f t="shared" si="45"/>
        <v>0</v>
      </c>
    </row>
    <row r="20" spans="1:66" x14ac:dyDescent="0.2">
      <c r="A20" t="s">
        <v>41</v>
      </c>
      <c r="B20" t="s">
        <v>23</v>
      </c>
      <c r="D20" t="s">
        <v>47</v>
      </c>
      <c r="G20" t="e">
        <f>AK28/AP28</f>
        <v>#DIV/0!</v>
      </c>
      <c r="K20" t="s">
        <v>13</v>
      </c>
      <c r="Z20">
        <f t="shared" si="35"/>
        <v>0</v>
      </c>
      <c r="AA20">
        <f t="shared" si="36"/>
        <v>0</v>
      </c>
      <c r="AE20">
        <f t="shared" si="37"/>
        <v>0</v>
      </c>
      <c r="AF20">
        <f t="shared" si="38"/>
        <v>0</v>
      </c>
      <c r="AG20">
        <f t="shared" si="39"/>
        <v>0</v>
      </c>
      <c r="AK20">
        <f t="shared" si="40"/>
        <v>0</v>
      </c>
      <c r="AL20">
        <f t="shared" si="41"/>
        <v>0</v>
      </c>
      <c r="AM20">
        <f t="shared" si="42"/>
        <v>0</v>
      </c>
      <c r="AN20">
        <f t="shared" si="43"/>
        <v>0</v>
      </c>
      <c r="AP20">
        <f t="shared" si="46"/>
        <v>0</v>
      </c>
      <c r="AQ20" s="4">
        <f t="shared" si="47"/>
        <v>0</v>
      </c>
      <c r="AR20" s="4">
        <f t="shared" si="44"/>
        <v>0</v>
      </c>
      <c r="AS20" s="4">
        <f t="shared" si="44"/>
        <v>0</v>
      </c>
      <c r="AT20" s="4">
        <f t="shared" si="44"/>
        <v>0</v>
      </c>
      <c r="AU20" s="4">
        <f t="shared" si="44"/>
        <v>0</v>
      </c>
      <c r="AV20" s="4">
        <f t="shared" si="44"/>
        <v>0</v>
      </c>
      <c r="AW20" s="4">
        <f t="shared" si="44"/>
        <v>0</v>
      </c>
      <c r="AX20" s="4">
        <f t="shared" si="44"/>
        <v>0</v>
      </c>
      <c r="AY20" s="4">
        <f t="shared" si="44"/>
        <v>0</v>
      </c>
      <c r="AZ20" s="4">
        <f t="shared" si="44"/>
        <v>0</v>
      </c>
      <c r="BA20" s="4">
        <f t="shared" si="44"/>
        <v>0</v>
      </c>
      <c r="BB20" s="4">
        <f t="shared" si="44"/>
        <v>0</v>
      </c>
      <c r="BC20" s="4">
        <f t="shared" si="44"/>
        <v>0</v>
      </c>
      <c r="BD20" s="4">
        <f t="shared" si="44"/>
        <v>0</v>
      </c>
      <c r="BE20" s="4">
        <f t="shared" si="44"/>
        <v>0</v>
      </c>
      <c r="BF20" s="4">
        <f t="shared" si="44"/>
        <v>0</v>
      </c>
      <c r="BG20" s="4">
        <f t="shared" si="44"/>
        <v>0</v>
      </c>
      <c r="BH20" s="4">
        <f t="shared" si="45"/>
        <v>0</v>
      </c>
      <c r="BI20" s="4">
        <f t="shared" si="45"/>
        <v>0</v>
      </c>
      <c r="BJ20" s="4">
        <f t="shared" si="45"/>
        <v>0</v>
      </c>
      <c r="BK20" s="4">
        <f t="shared" si="45"/>
        <v>0</v>
      </c>
      <c r="BL20" s="4">
        <f t="shared" si="45"/>
        <v>0</v>
      </c>
      <c r="BM20" s="4">
        <f t="shared" si="45"/>
        <v>0</v>
      </c>
      <c r="BN20" s="4">
        <f t="shared" si="45"/>
        <v>0</v>
      </c>
    </row>
    <row r="21" spans="1:66" x14ac:dyDescent="0.2">
      <c r="A21" s="1" t="s">
        <v>24</v>
      </c>
      <c r="D21">
        <f>G16/A31</f>
        <v>0.16666666666666666</v>
      </c>
      <c r="G21" t="s">
        <v>76</v>
      </c>
      <c r="K21" t="s">
        <v>57</v>
      </c>
      <c r="L21" t="s">
        <v>58</v>
      </c>
      <c r="M21" t="s">
        <v>59</v>
      </c>
      <c r="N21" t="s">
        <v>60</v>
      </c>
      <c r="Z21">
        <f t="shared" si="35"/>
        <v>0</v>
      </c>
      <c r="AA21">
        <f t="shared" si="36"/>
        <v>0</v>
      </c>
      <c r="AE21">
        <f t="shared" si="37"/>
        <v>0</v>
      </c>
      <c r="AF21">
        <f t="shared" si="38"/>
        <v>0</v>
      </c>
      <c r="AG21">
        <f t="shared" si="39"/>
        <v>0</v>
      </c>
      <c r="AK21">
        <f t="shared" si="40"/>
        <v>0</v>
      </c>
      <c r="AL21">
        <f t="shared" si="41"/>
        <v>0</v>
      </c>
      <c r="AM21">
        <f t="shared" si="42"/>
        <v>0</v>
      </c>
      <c r="AN21">
        <f t="shared" si="43"/>
        <v>0</v>
      </c>
      <c r="AP21">
        <f t="shared" si="46"/>
        <v>0</v>
      </c>
      <c r="AQ21" s="4">
        <f t="shared" si="47"/>
        <v>0</v>
      </c>
      <c r="AR21" s="4">
        <f t="shared" si="44"/>
        <v>0</v>
      </c>
      <c r="AS21" s="4">
        <f t="shared" si="44"/>
        <v>0</v>
      </c>
      <c r="AT21" s="4">
        <f t="shared" si="44"/>
        <v>0</v>
      </c>
      <c r="AU21" s="4">
        <f t="shared" si="44"/>
        <v>0</v>
      </c>
      <c r="AV21" s="4">
        <f t="shared" si="44"/>
        <v>0</v>
      </c>
      <c r="AW21" s="4">
        <f t="shared" si="44"/>
        <v>0</v>
      </c>
      <c r="AX21" s="4">
        <f t="shared" si="44"/>
        <v>0</v>
      </c>
      <c r="AY21" s="4">
        <f t="shared" si="44"/>
        <v>0</v>
      </c>
      <c r="AZ21" s="4">
        <f t="shared" si="44"/>
        <v>0</v>
      </c>
      <c r="BA21" s="4">
        <f t="shared" si="44"/>
        <v>0</v>
      </c>
      <c r="BB21" s="4">
        <f t="shared" si="44"/>
        <v>0</v>
      </c>
      <c r="BC21" s="4">
        <f t="shared" si="44"/>
        <v>0</v>
      </c>
      <c r="BD21" s="4">
        <f t="shared" si="44"/>
        <v>0</v>
      </c>
      <c r="BE21" s="4">
        <f t="shared" si="44"/>
        <v>0</v>
      </c>
      <c r="BF21" s="4">
        <f t="shared" si="44"/>
        <v>0</v>
      </c>
      <c r="BG21" s="4">
        <f t="shared" si="44"/>
        <v>0</v>
      </c>
      <c r="BH21" s="4">
        <f t="shared" si="45"/>
        <v>0</v>
      </c>
      <c r="BI21" s="4">
        <f t="shared" si="45"/>
        <v>0</v>
      </c>
      <c r="BJ21" s="4">
        <f t="shared" si="45"/>
        <v>0</v>
      </c>
      <c r="BK21" s="4">
        <f t="shared" si="45"/>
        <v>0</v>
      </c>
      <c r="BL21" s="4">
        <f t="shared" si="45"/>
        <v>0</v>
      </c>
      <c r="BM21" s="4">
        <f t="shared" si="45"/>
        <v>0</v>
      </c>
      <c r="BN21" s="4">
        <f t="shared" si="45"/>
        <v>0</v>
      </c>
    </row>
    <row r="22" spans="1:66" x14ac:dyDescent="0.2">
      <c r="A22" t="s">
        <v>36</v>
      </c>
      <c r="B22" t="s">
        <v>10</v>
      </c>
      <c r="D22" t="s">
        <v>48</v>
      </c>
      <c r="G22" t="e">
        <f>AL28/AP28</f>
        <v>#DIV/0!</v>
      </c>
      <c r="K22">
        <f>AVERAGE(C39:C50)</f>
        <v>2.5</v>
      </c>
      <c r="L22">
        <f>MEDIAN(C39:C50)</f>
        <v>3</v>
      </c>
      <c r="M22">
        <f>MAX(C39:C50)</f>
        <v>4</v>
      </c>
      <c r="N22">
        <f>_xlfn.STDEV.S(C39:C50)</f>
        <v>1.4459976109624424</v>
      </c>
      <c r="Z22">
        <f t="shared" si="35"/>
        <v>0</v>
      </c>
      <c r="AA22">
        <f t="shared" si="36"/>
        <v>0</v>
      </c>
      <c r="AE22">
        <f t="shared" si="37"/>
        <v>0</v>
      </c>
      <c r="AF22">
        <f t="shared" si="38"/>
        <v>0</v>
      </c>
      <c r="AG22">
        <f t="shared" si="39"/>
        <v>0</v>
      </c>
      <c r="AK22">
        <f t="shared" si="40"/>
        <v>0</v>
      </c>
      <c r="AL22">
        <f t="shared" si="41"/>
        <v>0</v>
      </c>
      <c r="AM22">
        <f t="shared" si="42"/>
        <v>0</v>
      </c>
      <c r="AN22">
        <f t="shared" si="43"/>
        <v>0</v>
      </c>
      <c r="AP22">
        <f t="shared" si="46"/>
        <v>0</v>
      </c>
      <c r="AQ22" s="4">
        <f t="shared" si="47"/>
        <v>0</v>
      </c>
      <c r="AR22" s="4">
        <f t="shared" si="44"/>
        <v>0</v>
      </c>
      <c r="AS22" s="4">
        <f t="shared" si="44"/>
        <v>0</v>
      </c>
      <c r="AT22" s="4">
        <f t="shared" si="44"/>
        <v>0</v>
      </c>
      <c r="AU22" s="4">
        <f t="shared" si="44"/>
        <v>0</v>
      </c>
      <c r="AV22" s="4">
        <f t="shared" si="44"/>
        <v>0</v>
      </c>
      <c r="AW22" s="4">
        <f t="shared" si="44"/>
        <v>0</v>
      </c>
      <c r="AX22" s="4">
        <f t="shared" si="44"/>
        <v>0</v>
      </c>
      <c r="AY22" s="4">
        <f t="shared" si="44"/>
        <v>0</v>
      </c>
      <c r="AZ22" s="4">
        <f t="shared" si="44"/>
        <v>0</v>
      </c>
      <c r="BA22" s="4">
        <f t="shared" si="44"/>
        <v>0</v>
      </c>
      <c r="BB22" s="4">
        <f t="shared" si="44"/>
        <v>0</v>
      </c>
      <c r="BC22" s="4">
        <f t="shared" si="44"/>
        <v>0</v>
      </c>
      <c r="BD22" s="4">
        <f t="shared" si="44"/>
        <v>0</v>
      </c>
      <c r="BE22" s="4">
        <f t="shared" si="44"/>
        <v>0</v>
      </c>
      <c r="BF22" s="4">
        <f t="shared" si="44"/>
        <v>0</v>
      </c>
      <c r="BG22" s="4">
        <f t="shared" si="44"/>
        <v>0</v>
      </c>
      <c r="BH22" s="4">
        <f t="shared" si="45"/>
        <v>0</v>
      </c>
      <c r="BI22" s="4">
        <f t="shared" si="45"/>
        <v>0</v>
      </c>
      <c r="BJ22" s="4">
        <f t="shared" si="45"/>
        <v>0</v>
      </c>
      <c r="BK22" s="4">
        <f t="shared" si="45"/>
        <v>0</v>
      </c>
      <c r="BL22" s="4">
        <f t="shared" si="45"/>
        <v>0</v>
      </c>
      <c r="BM22" s="4">
        <f t="shared" si="45"/>
        <v>0</v>
      </c>
      <c r="BN22" s="4">
        <f t="shared" si="45"/>
        <v>0</v>
      </c>
    </row>
    <row r="23" spans="1:66" x14ac:dyDescent="0.2">
      <c r="A23" t="s">
        <v>37</v>
      </c>
      <c r="B23" t="s">
        <v>25</v>
      </c>
      <c r="D23">
        <f>H16/A31</f>
        <v>0</v>
      </c>
      <c r="G23" t="s">
        <v>77</v>
      </c>
      <c r="K23" t="s">
        <v>8</v>
      </c>
      <c r="Z23">
        <f t="shared" si="35"/>
        <v>0</v>
      </c>
      <c r="AA23">
        <f t="shared" si="36"/>
        <v>0</v>
      </c>
      <c r="AE23">
        <f t="shared" si="37"/>
        <v>0</v>
      </c>
      <c r="AF23">
        <f t="shared" si="38"/>
        <v>1</v>
      </c>
      <c r="AG23">
        <f t="shared" si="39"/>
        <v>0</v>
      </c>
      <c r="AK23">
        <f t="shared" si="40"/>
        <v>0</v>
      </c>
      <c r="AL23">
        <f t="shared" si="41"/>
        <v>0</v>
      </c>
      <c r="AM23">
        <f t="shared" si="42"/>
        <v>0</v>
      </c>
      <c r="AN23">
        <f t="shared" si="43"/>
        <v>0</v>
      </c>
      <c r="AP23">
        <f t="shared" si="46"/>
        <v>0</v>
      </c>
      <c r="AQ23" s="4">
        <f t="shared" si="47"/>
        <v>0</v>
      </c>
      <c r="AR23" s="4">
        <f t="shared" si="44"/>
        <v>0</v>
      </c>
      <c r="AS23" s="4">
        <f t="shared" si="44"/>
        <v>0</v>
      </c>
      <c r="AT23" s="4">
        <f t="shared" si="44"/>
        <v>0</v>
      </c>
      <c r="AU23" s="4">
        <f t="shared" si="44"/>
        <v>0</v>
      </c>
      <c r="AV23" s="4">
        <f t="shared" si="44"/>
        <v>0</v>
      </c>
      <c r="AW23" s="4">
        <f t="shared" si="44"/>
        <v>0</v>
      </c>
      <c r="AX23" s="4">
        <f t="shared" si="44"/>
        <v>0</v>
      </c>
      <c r="AY23" s="4">
        <f t="shared" si="44"/>
        <v>0</v>
      </c>
      <c r="AZ23" s="4">
        <f t="shared" si="44"/>
        <v>0</v>
      </c>
      <c r="BA23" s="4">
        <f t="shared" si="44"/>
        <v>0</v>
      </c>
      <c r="BB23" s="4">
        <f t="shared" si="44"/>
        <v>0</v>
      </c>
      <c r="BC23" s="4">
        <f t="shared" si="44"/>
        <v>0</v>
      </c>
      <c r="BD23" s="4">
        <f t="shared" si="44"/>
        <v>0</v>
      </c>
      <c r="BE23" s="4">
        <f t="shared" si="44"/>
        <v>0</v>
      </c>
      <c r="BF23" s="4">
        <f t="shared" si="44"/>
        <v>0</v>
      </c>
      <c r="BG23" s="4">
        <f t="shared" si="44"/>
        <v>0</v>
      </c>
      <c r="BH23" s="4">
        <f t="shared" si="45"/>
        <v>0</v>
      </c>
      <c r="BI23" s="4">
        <f t="shared" si="45"/>
        <v>0</v>
      </c>
      <c r="BJ23" s="4">
        <f t="shared" si="45"/>
        <v>0</v>
      </c>
      <c r="BK23" s="4">
        <f t="shared" si="45"/>
        <v>0</v>
      </c>
      <c r="BL23" s="4">
        <f t="shared" si="45"/>
        <v>0</v>
      </c>
      <c r="BM23" s="4">
        <f t="shared" si="45"/>
        <v>0</v>
      </c>
      <c r="BN23" s="4">
        <f t="shared" si="45"/>
        <v>0</v>
      </c>
    </row>
    <row r="24" spans="1:66" x14ac:dyDescent="0.2">
      <c r="A24" t="s">
        <v>38</v>
      </c>
      <c r="B24" t="s">
        <v>26</v>
      </c>
      <c r="D24" t="s">
        <v>50</v>
      </c>
      <c r="G24" t="e">
        <f>AM28/AP28</f>
        <v>#DIV/0!</v>
      </c>
      <c r="K24" t="s">
        <v>57</v>
      </c>
      <c r="L24" t="s">
        <v>61</v>
      </c>
      <c r="M24" t="s">
        <v>59</v>
      </c>
      <c r="N24" t="s">
        <v>60</v>
      </c>
      <c r="Z24">
        <f t="shared" si="35"/>
        <v>0</v>
      </c>
      <c r="AA24">
        <f t="shared" si="36"/>
        <v>0</v>
      </c>
      <c r="AE24">
        <f t="shared" si="37"/>
        <v>0</v>
      </c>
      <c r="AF24">
        <f t="shared" si="38"/>
        <v>0</v>
      </c>
      <c r="AG24">
        <f t="shared" si="39"/>
        <v>0</v>
      </c>
      <c r="AK24">
        <f t="shared" si="40"/>
        <v>0</v>
      </c>
      <c r="AL24">
        <f t="shared" si="41"/>
        <v>0</v>
      </c>
      <c r="AM24">
        <f t="shared" si="42"/>
        <v>0</v>
      </c>
      <c r="AN24">
        <f t="shared" si="43"/>
        <v>0</v>
      </c>
      <c r="AP24">
        <f t="shared" si="46"/>
        <v>0</v>
      </c>
      <c r="AQ24" s="4">
        <f t="shared" si="47"/>
        <v>0</v>
      </c>
      <c r="AR24" s="4">
        <f t="shared" si="44"/>
        <v>0</v>
      </c>
      <c r="AS24" s="4">
        <f t="shared" si="44"/>
        <v>0</v>
      </c>
      <c r="AT24" s="4">
        <f t="shared" si="44"/>
        <v>0</v>
      </c>
      <c r="AU24" s="4">
        <f t="shared" si="44"/>
        <v>0</v>
      </c>
      <c r="AV24" s="4">
        <f t="shared" si="44"/>
        <v>0</v>
      </c>
      <c r="AW24" s="4">
        <f t="shared" si="44"/>
        <v>0</v>
      </c>
      <c r="AX24" s="4">
        <f t="shared" si="44"/>
        <v>0</v>
      </c>
      <c r="AY24" s="4">
        <f t="shared" si="44"/>
        <v>0</v>
      </c>
      <c r="AZ24" s="4">
        <f t="shared" si="44"/>
        <v>0</v>
      </c>
      <c r="BA24" s="4">
        <f t="shared" si="44"/>
        <v>0</v>
      </c>
      <c r="BB24" s="4">
        <f t="shared" si="44"/>
        <v>0</v>
      </c>
      <c r="BC24" s="4">
        <f t="shared" si="44"/>
        <v>0</v>
      </c>
      <c r="BD24" s="4">
        <f t="shared" si="44"/>
        <v>0</v>
      </c>
      <c r="BE24" s="4">
        <f t="shared" si="44"/>
        <v>0</v>
      </c>
      <c r="BF24" s="4">
        <f t="shared" si="44"/>
        <v>0</v>
      </c>
      <c r="BG24" s="4">
        <f t="shared" si="44"/>
        <v>0</v>
      </c>
      <c r="BH24" s="4">
        <f t="shared" si="45"/>
        <v>0</v>
      </c>
      <c r="BI24" s="4">
        <f t="shared" si="45"/>
        <v>0</v>
      </c>
      <c r="BJ24" s="4">
        <f t="shared" si="45"/>
        <v>0</v>
      </c>
      <c r="BK24" s="4">
        <f t="shared" si="45"/>
        <v>0</v>
      </c>
      <c r="BL24" s="4">
        <f t="shared" si="45"/>
        <v>0</v>
      </c>
      <c r="BM24" s="4">
        <f t="shared" si="45"/>
        <v>0</v>
      </c>
      <c r="BN24" s="4">
        <f t="shared" si="45"/>
        <v>0</v>
      </c>
    </row>
    <row r="25" spans="1:66" x14ac:dyDescent="0.2">
      <c r="A25" t="s">
        <v>39</v>
      </c>
      <c r="B25" t="s">
        <v>27</v>
      </c>
      <c r="D25">
        <f>Z28/A31</f>
        <v>0</v>
      </c>
      <c r="G25" t="s">
        <v>78</v>
      </c>
      <c r="K25">
        <f>AVERAGE(E39:E50)</f>
        <v>0</v>
      </c>
      <c r="L25">
        <f>MEDIAN(E39:E50)</f>
        <v>0</v>
      </c>
      <c r="M25">
        <f>MAX(E39:E50)</f>
        <v>0</v>
      </c>
      <c r="N25">
        <f>_xlfn.STDEV.S(E39:E50)</f>
        <v>0</v>
      </c>
      <c r="Z25">
        <f t="shared" si="35"/>
        <v>0</v>
      </c>
      <c r="AA25">
        <f t="shared" si="36"/>
        <v>0</v>
      </c>
      <c r="AE25">
        <f t="shared" si="37"/>
        <v>0</v>
      </c>
      <c r="AF25">
        <f t="shared" si="38"/>
        <v>1</v>
      </c>
      <c r="AG25">
        <f t="shared" si="39"/>
        <v>0</v>
      </c>
      <c r="AK25">
        <f t="shared" si="40"/>
        <v>0</v>
      </c>
      <c r="AL25">
        <f t="shared" si="41"/>
        <v>0</v>
      </c>
      <c r="AM25">
        <f t="shared" si="42"/>
        <v>0</v>
      </c>
      <c r="AN25">
        <f t="shared" si="43"/>
        <v>0</v>
      </c>
      <c r="AP25">
        <f t="shared" si="46"/>
        <v>0</v>
      </c>
      <c r="AQ25" s="4">
        <f t="shared" si="47"/>
        <v>0</v>
      </c>
      <c r="AR25" s="4">
        <f t="shared" si="44"/>
        <v>0</v>
      </c>
      <c r="AS25" s="4">
        <f t="shared" si="44"/>
        <v>0</v>
      </c>
      <c r="AT25" s="4">
        <f t="shared" si="44"/>
        <v>0</v>
      </c>
      <c r="AU25" s="4">
        <f t="shared" si="44"/>
        <v>0</v>
      </c>
      <c r="AV25" s="4">
        <f t="shared" si="44"/>
        <v>0</v>
      </c>
      <c r="AW25" s="4">
        <f t="shared" si="44"/>
        <v>0</v>
      </c>
      <c r="AX25" s="4">
        <f t="shared" si="44"/>
        <v>0</v>
      </c>
      <c r="AY25" s="4">
        <f t="shared" si="44"/>
        <v>0</v>
      </c>
      <c r="AZ25" s="4">
        <f t="shared" si="44"/>
        <v>0</v>
      </c>
      <c r="BA25" s="4">
        <f t="shared" si="44"/>
        <v>0</v>
      </c>
      <c r="BB25" s="4">
        <f t="shared" si="44"/>
        <v>0</v>
      </c>
      <c r="BC25" s="4">
        <f t="shared" si="44"/>
        <v>0</v>
      </c>
      <c r="BD25" s="4">
        <f t="shared" si="44"/>
        <v>0</v>
      </c>
      <c r="BE25" s="4">
        <f t="shared" si="44"/>
        <v>0</v>
      </c>
      <c r="BF25" s="4">
        <f t="shared" si="44"/>
        <v>0</v>
      </c>
      <c r="BG25" s="4">
        <f t="shared" si="44"/>
        <v>0</v>
      </c>
      <c r="BH25" s="4">
        <f t="shared" si="45"/>
        <v>0</v>
      </c>
      <c r="BI25" s="4">
        <f t="shared" si="45"/>
        <v>0</v>
      </c>
      <c r="BJ25" s="4">
        <f t="shared" si="45"/>
        <v>0</v>
      </c>
      <c r="BK25" s="4">
        <f t="shared" si="45"/>
        <v>0</v>
      </c>
      <c r="BL25" s="4">
        <f t="shared" si="45"/>
        <v>0</v>
      </c>
      <c r="BM25" s="4">
        <f t="shared" si="45"/>
        <v>0</v>
      </c>
      <c r="BN25" s="4">
        <f t="shared" si="45"/>
        <v>0</v>
      </c>
    </row>
    <row r="26" spans="1:66" x14ac:dyDescent="0.2">
      <c r="A26" t="s">
        <v>44</v>
      </c>
      <c r="D26" t="s">
        <v>51</v>
      </c>
      <c r="G26" t="e">
        <f>AN28/AP28</f>
        <v>#DIV/0!</v>
      </c>
      <c r="K26" t="s">
        <v>62</v>
      </c>
      <c r="P26" t="s">
        <v>19</v>
      </c>
      <c r="Z26">
        <f t="shared" si="35"/>
        <v>0</v>
      </c>
      <c r="AA26">
        <f t="shared" si="36"/>
        <v>0</v>
      </c>
      <c r="AE26">
        <f t="shared" si="37"/>
        <v>0</v>
      </c>
      <c r="AF26">
        <f t="shared" si="38"/>
        <v>0</v>
      </c>
      <c r="AG26">
        <f t="shared" si="39"/>
        <v>0</v>
      </c>
      <c r="AK26">
        <f t="shared" si="40"/>
        <v>0</v>
      </c>
      <c r="AL26">
        <f t="shared" si="41"/>
        <v>0</v>
      </c>
      <c r="AM26">
        <f t="shared" si="42"/>
        <v>0</v>
      </c>
      <c r="AN26">
        <f t="shared" si="43"/>
        <v>0</v>
      </c>
      <c r="AP26">
        <f t="shared" si="46"/>
        <v>0</v>
      </c>
      <c r="AQ26" s="4">
        <f t="shared" si="47"/>
        <v>0</v>
      </c>
      <c r="AR26" s="4">
        <f t="shared" si="44"/>
        <v>0</v>
      </c>
      <c r="AS26" s="4">
        <f t="shared" si="44"/>
        <v>0</v>
      </c>
      <c r="AT26" s="4">
        <f t="shared" si="44"/>
        <v>0</v>
      </c>
      <c r="AU26" s="4">
        <f t="shared" si="44"/>
        <v>0</v>
      </c>
      <c r="AV26" s="4">
        <f t="shared" si="44"/>
        <v>0</v>
      </c>
      <c r="AW26" s="4">
        <f t="shared" si="44"/>
        <v>0</v>
      </c>
      <c r="AX26" s="4">
        <f t="shared" si="44"/>
        <v>0</v>
      </c>
      <c r="AY26" s="4">
        <f t="shared" si="44"/>
        <v>0</v>
      </c>
      <c r="AZ26" s="4">
        <f t="shared" si="44"/>
        <v>0</v>
      </c>
      <c r="BA26" s="4">
        <f t="shared" si="44"/>
        <v>0</v>
      </c>
      <c r="BB26" s="4">
        <f t="shared" si="44"/>
        <v>0</v>
      </c>
      <c r="BC26" s="4">
        <f t="shared" si="44"/>
        <v>0</v>
      </c>
      <c r="BD26" s="4">
        <f t="shared" si="44"/>
        <v>0</v>
      </c>
      <c r="BE26" s="4">
        <f t="shared" si="44"/>
        <v>0</v>
      </c>
      <c r="BF26" s="4">
        <f t="shared" si="44"/>
        <v>0</v>
      </c>
      <c r="BG26" s="4">
        <f t="shared" si="44"/>
        <v>0</v>
      </c>
      <c r="BH26" s="4">
        <f t="shared" si="45"/>
        <v>0</v>
      </c>
      <c r="BI26" s="4">
        <f t="shared" si="45"/>
        <v>0</v>
      </c>
      <c r="BJ26" s="4">
        <f t="shared" si="45"/>
        <v>0</v>
      </c>
      <c r="BK26" s="4">
        <f t="shared" si="45"/>
        <v>0</v>
      </c>
      <c r="BL26" s="4">
        <f t="shared" si="45"/>
        <v>0</v>
      </c>
      <c r="BM26" s="4">
        <f t="shared" si="45"/>
        <v>0</v>
      </c>
      <c r="BN26" s="4">
        <f t="shared" si="45"/>
        <v>0</v>
      </c>
    </row>
    <row r="27" spans="1:66" x14ac:dyDescent="0.2">
      <c r="A27" t="s">
        <v>45</v>
      </c>
      <c r="D27">
        <f>AA28/A31</f>
        <v>0</v>
      </c>
      <c r="G27" t="s">
        <v>56</v>
      </c>
      <c r="K27" t="s">
        <v>57</v>
      </c>
      <c r="L27" t="s">
        <v>58</v>
      </c>
      <c r="M27" t="s">
        <v>59</v>
      </c>
      <c r="N27" t="s">
        <v>60</v>
      </c>
      <c r="P27" t="s">
        <v>57</v>
      </c>
      <c r="Q27" t="s">
        <v>58</v>
      </c>
      <c r="R27" t="s">
        <v>59</v>
      </c>
      <c r="S27" t="s">
        <v>60</v>
      </c>
      <c r="Z27">
        <f t="shared" si="35"/>
        <v>0</v>
      </c>
      <c r="AA27">
        <f t="shared" si="36"/>
        <v>0</v>
      </c>
      <c r="AE27">
        <f t="shared" si="37"/>
        <v>0</v>
      </c>
      <c r="AF27">
        <f t="shared" si="38"/>
        <v>0</v>
      </c>
      <c r="AG27">
        <f t="shared" si="39"/>
        <v>0</v>
      </c>
      <c r="AK27">
        <f t="shared" si="40"/>
        <v>0</v>
      </c>
      <c r="AL27">
        <f t="shared" si="41"/>
        <v>0</v>
      </c>
      <c r="AM27">
        <f t="shared" si="42"/>
        <v>0</v>
      </c>
      <c r="AN27">
        <f t="shared" si="43"/>
        <v>0</v>
      </c>
      <c r="AP27">
        <f t="shared" si="46"/>
        <v>0</v>
      </c>
      <c r="AQ27" s="4">
        <f t="shared" si="47"/>
        <v>0</v>
      </c>
      <c r="AR27" s="4">
        <f t="shared" si="44"/>
        <v>0</v>
      </c>
      <c r="AS27" s="4">
        <f t="shared" si="44"/>
        <v>0</v>
      </c>
      <c r="AT27" s="4">
        <f t="shared" si="44"/>
        <v>0</v>
      </c>
      <c r="AU27" s="4">
        <f t="shared" si="44"/>
        <v>0</v>
      </c>
      <c r="AV27" s="4">
        <f t="shared" si="44"/>
        <v>0</v>
      </c>
      <c r="AW27" s="4">
        <f t="shared" si="44"/>
        <v>0</v>
      </c>
      <c r="AX27" s="4">
        <f t="shared" si="44"/>
        <v>0</v>
      </c>
      <c r="AY27" s="4">
        <f t="shared" si="44"/>
        <v>0</v>
      </c>
      <c r="AZ27" s="4">
        <f t="shared" si="44"/>
        <v>0</v>
      </c>
      <c r="BA27" s="4">
        <f t="shared" si="44"/>
        <v>0</v>
      </c>
      <c r="BB27" s="4">
        <f t="shared" si="44"/>
        <v>0</v>
      </c>
      <c r="BC27" s="4">
        <f t="shared" si="44"/>
        <v>0</v>
      </c>
      <c r="BD27" s="4">
        <f t="shared" si="44"/>
        <v>0</v>
      </c>
      <c r="BE27" s="4">
        <f t="shared" si="44"/>
        <v>0</v>
      </c>
      <c r="BF27" s="4">
        <f t="shared" si="44"/>
        <v>0</v>
      </c>
      <c r="BG27" s="4">
        <f t="shared" si="44"/>
        <v>0</v>
      </c>
      <c r="BH27" s="4">
        <f t="shared" si="45"/>
        <v>0</v>
      </c>
      <c r="BI27" s="4">
        <f t="shared" si="45"/>
        <v>0</v>
      </c>
      <c r="BJ27" s="4">
        <f t="shared" si="45"/>
        <v>0</v>
      </c>
      <c r="BK27" s="4">
        <f t="shared" si="45"/>
        <v>0</v>
      </c>
      <c r="BL27" s="4">
        <f t="shared" si="45"/>
        <v>0</v>
      </c>
      <c r="BM27" s="4">
        <f t="shared" si="45"/>
        <v>0</v>
      </c>
      <c r="BN27" s="4">
        <f t="shared" si="45"/>
        <v>0</v>
      </c>
    </row>
    <row r="28" spans="1:66" x14ac:dyDescent="0.2">
      <c r="A28" t="s">
        <v>46</v>
      </c>
      <c r="D28" t="s">
        <v>202</v>
      </c>
      <c r="G28" t="s">
        <v>57</v>
      </c>
      <c r="H28" t="s">
        <v>58</v>
      </c>
      <c r="I28" t="s">
        <v>59</v>
      </c>
      <c r="J28" t="s">
        <v>60</v>
      </c>
      <c r="K28">
        <f>AVERAGE(G39:G50)</f>
        <v>0</v>
      </c>
      <c r="L28">
        <f>MEDIAN(G39:G50)</f>
        <v>0</v>
      </c>
      <c r="M28">
        <f>MAX(G39:G50)</f>
        <v>0</v>
      </c>
      <c r="N28">
        <f>_xlfn.STDEV.S(G39:G50)</f>
        <v>0</v>
      </c>
      <c r="P28">
        <f>AVERAGE(N39:N50)</f>
        <v>4.333333333333333</v>
      </c>
      <c r="Q28">
        <f>MEDIAN(N39:N50)</f>
        <v>1.5</v>
      </c>
      <c r="R28">
        <f>MAX(N39:N50)</f>
        <v>29</v>
      </c>
      <c r="S28">
        <f>_xlfn.STDEV.S(N39:N50)</f>
        <v>8.1501068964917529</v>
      </c>
      <c r="Y28" t="s">
        <v>33</v>
      </c>
      <c r="Z28">
        <f>SUM(Z16:Z27)</f>
        <v>0</v>
      </c>
      <c r="AA28">
        <f>SUM(AA16:AA27)</f>
        <v>0</v>
      </c>
      <c r="AE28">
        <f>SUM(AE16:AE27)</f>
        <v>0</v>
      </c>
      <c r="AF28">
        <f>SUM(AF16:AF27)</f>
        <v>3</v>
      </c>
      <c r="AG28">
        <f>SUM(AG16:AG27)</f>
        <v>0</v>
      </c>
      <c r="AK28">
        <f>SUM(AK16:AK27)</f>
        <v>0</v>
      </c>
      <c r="AL28">
        <f>SUM(AL16:AL27)</f>
        <v>0</v>
      </c>
      <c r="AM28">
        <f>SUM(AM16:AM27)</f>
        <v>0</v>
      </c>
      <c r="AN28">
        <f>SUM(AN16:AN27)</f>
        <v>0</v>
      </c>
      <c r="AP28">
        <f>SUM(AP16:AP27)</f>
        <v>0</v>
      </c>
    </row>
    <row r="29" spans="1:66" x14ac:dyDescent="0.2">
      <c r="D29">
        <f>SUM(O39:O50)/F16</f>
        <v>0.83333333333333337</v>
      </c>
      <c r="G29">
        <f>AVERAGE(A39:A50)</f>
        <v>0.25</v>
      </c>
      <c r="H29">
        <f>MEDIAN(A39:A50)</f>
        <v>0</v>
      </c>
      <c r="I29">
        <f>MAX(A39:A50)</f>
        <v>1</v>
      </c>
      <c r="J29">
        <f>_xlfn.STDEV.S(A39:A50)</f>
        <v>0.45226701686664544</v>
      </c>
      <c r="K29" t="s">
        <v>63</v>
      </c>
      <c r="P29" t="s">
        <v>148</v>
      </c>
    </row>
    <row r="30" spans="1:66" x14ac:dyDescent="0.2">
      <c r="A30" t="s">
        <v>147</v>
      </c>
      <c r="D30" t="s">
        <v>203</v>
      </c>
      <c r="G30" t="s">
        <v>50</v>
      </c>
      <c r="H30" t="s">
        <v>51</v>
      </c>
      <c r="I30" t="s">
        <v>89</v>
      </c>
      <c r="K30" t="s">
        <v>57</v>
      </c>
      <c r="L30" t="s">
        <v>58</v>
      </c>
      <c r="M30" t="s">
        <v>59</v>
      </c>
      <c r="N30" t="s">
        <v>60</v>
      </c>
      <c r="P30" t="s">
        <v>57</v>
      </c>
      <c r="Q30" t="s">
        <v>58</v>
      </c>
      <c r="R30" t="s">
        <v>59</v>
      </c>
      <c r="S30" t="s">
        <v>60</v>
      </c>
      <c r="W30" t="s">
        <v>148</v>
      </c>
      <c r="Y30" t="s">
        <v>149</v>
      </c>
      <c r="AH30" t="s">
        <v>79</v>
      </c>
    </row>
    <row r="31" spans="1:66" x14ac:dyDescent="0.2">
      <c r="A31">
        <f>COUNT(B4:B15)</f>
        <v>12</v>
      </c>
      <c r="D31" s="2">
        <f>SUM(S39:S50)/SUM(Q39:Q50)</f>
        <v>0</v>
      </c>
      <c r="G31">
        <f>AE28/A31</f>
        <v>0</v>
      </c>
      <c r="H31">
        <f>AF28/A31</f>
        <v>0.25</v>
      </c>
      <c r="I31">
        <f>AG28/A31</f>
        <v>0</v>
      </c>
      <c r="K31" t="e">
        <f>AVERAGE(I39:I50)</f>
        <v>#DIV/0!</v>
      </c>
      <c r="L31" t="e">
        <f>MEDIAN(I39:I50)</f>
        <v>#NUM!</v>
      </c>
      <c r="M31">
        <f>MAX(I39:I50)</f>
        <v>0</v>
      </c>
      <c r="N31" t="e">
        <f>_xlfn.STDEV.S(I39:I50)</f>
        <v>#DIV/0!</v>
      </c>
      <c r="P31">
        <f>AVERAGE(W31:W42)</f>
        <v>2</v>
      </c>
      <c r="Q31">
        <f>MEDIAN(W31:W42)</f>
        <v>2</v>
      </c>
      <c r="R31">
        <f>MAX(W31:W42)</f>
        <v>2</v>
      </c>
      <c r="S31" t="e">
        <f>_xlfn.STDEV.S(W31:W42)</f>
        <v>#DIV/0!</v>
      </c>
      <c r="W31" t="str">
        <f t="shared" ref="W31:W33" si="48">IF(AND(ISBLANK(Q4), ISBLANK(R4), ISBLANK(G4), ISBLANK(H4)), "", U4)</f>
        <v/>
      </c>
      <c r="Y31" t="str">
        <f t="shared" ref="Y31:Y42" si="49">IF(ISBLANK(Y4), IF(X4 = 0, "", (G4 + H4/3 + V4/9 + W4/3)), U4)</f>
        <v/>
      </c>
      <c r="AH31" t="s">
        <v>80</v>
      </c>
    </row>
    <row r="32" spans="1:66" x14ac:dyDescent="0.2">
      <c r="A32" t="s">
        <v>248</v>
      </c>
      <c r="D32" s="3"/>
      <c r="K32" t="s">
        <v>64</v>
      </c>
      <c r="P32" t="s">
        <v>149</v>
      </c>
      <c r="W32" t="str">
        <f t="shared" si="48"/>
        <v/>
      </c>
      <c r="Y32" t="str">
        <f t="shared" si="49"/>
        <v/>
      </c>
      <c r="AH32" t="s">
        <v>81</v>
      </c>
    </row>
    <row r="33" spans="1:34" x14ac:dyDescent="0.2">
      <c r="D33" s="3"/>
      <c r="K33" t="s">
        <v>57</v>
      </c>
      <c r="L33" t="s">
        <v>58</v>
      </c>
      <c r="M33" t="s">
        <v>59</v>
      </c>
      <c r="N33" t="s">
        <v>60</v>
      </c>
      <c r="P33" t="s">
        <v>57</v>
      </c>
      <c r="Q33" t="s">
        <v>58</v>
      </c>
      <c r="R33" t="s">
        <v>59</v>
      </c>
      <c r="S33" t="s">
        <v>60</v>
      </c>
      <c r="W33" t="str">
        <f t="shared" si="48"/>
        <v/>
      </c>
      <c r="Y33" t="str">
        <f t="shared" si="49"/>
        <v/>
      </c>
      <c r="AH33" t="s">
        <v>82</v>
      </c>
    </row>
    <row r="34" spans="1:34" x14ac:dyDescent="0.2">
      <c r="A34" t="s">
        <v>328</v>
      </c>
      <c r="D34" s="3"/>
      <c r="K34">
        <f>AVERAGE(K39:K50)</f>
        <v>0</v>
      </c>
      <c r="L34">
        <f>MEDIAN(K39:K50)</f>
        <v>0</v>
      </c>
      <c r="M34">
        <f>MAX(K39:K50)</f>
        <v>0</v>
      </c>
      <c r="N34">
        <f>_xlfn.STDEV.S(K39:K50)</f>
        <v>0</v>
      </c>
      <c r="P34">
        <f>AVERAGE(Y31:Y42)</f>
        <v>2</v>
      </c>
      <c r="Q34">
        <f>MEDIAN(Y31:Y42)</f>
        <v>2</v>
      </c>
      <c r="R34">
        <f>MAX(Y31:Y42)</f>
        <v>2</v>
      </c>
      <c r="S34" t="e">
        <f>_xlfn.STDEV.S(Y31:Y42)</f>
        <v>#DIV/0!</v>
      </c>
      <c r="W34" t="str">
        <f>IF(AND(ISBLANK(Q7), ISBLANK(R7), ISBLANK(G7), ISBLANK(H7)), "", U7)</f>
        <v/>
      </c>
      <c r="Y34" t="str">
        <f t="shared" si="49"/>
        <v/>
      </c>
      <c r="AH34" t="s">
        <v>83</v>
      </c>
    </row>
    <row r="35" spans="1:34" x14ac:dyDescent="0.2">
      <c r="P35" t="s">
        <v>95</v>
      </c>
      <c r="R35" t="s">
        <v>197</v>
      </c>
      <c r="W35">
        <f t="shared" ref="W35:W42" si="50">IF(AND(ISBLANK(Q8), ISBLANK(R8), ISBLANK(G8), ISBLANK(H8)), "", U8)</f>
        <v>2</v>
      </c>
      <c r="Y35">
        <f t="shared" si="49"/>
        <v>2</v>
      </c>
    </row>
    <row r="36" spans="1:34" x14ac:dyDescent="0.2">
      <c r="P36" t="e">
        <f>Q16/(Q16+R16)</f>
        <v>#DIV/0!</v>
      </c>
      <c r="R36" t="e">
        <f>R16/(Q16+R16)</f>
        <v>#DIV/0!</v>
      </c>
      <c r="W36" t="str">
        <f t="shared" si="50"/>
        <v/>
      </c>
      <c r="Y36" t="str">
        <f t="shared" si="49"/>
        <v/>
      </c>
    </row>
    <row r="37" spans="1:34" x14ac:dyDescent="0.2">
      <c r="W37" t="str">
        <f t="shared" si="50"/>
        <v/>
      </c>
      <c r="Y37" t="str">
        <f t="shared" si="49"/>
        <v/>
      </c>
    </row>
    <row r="38" spans="1:34" x14ac:dyDescent="0.2">
      <c r="A38" t="s">
        <v>68</v>
      </c>
      <c r="C38" t="s">
        <v>69</v>
      </c>
      <c r="E38" t="s">
        <v>72</v>
      </c>
      <c r="G38" t="s">
        <v>250</v>
      </c>
      <c r="K38" t="s">
        <v>73</v>
      </c>
      <c r="M38" t="s">
        <v>70</v>
      </c>
      <c r="N38" t="s">
        <v>71</v>
      </c>
      <c r="O38" t="s">
        <v>199</v>
      </c>
      <c r="Q38" t="s">
        <v>200</v>
      </c>
      <c r="S38" t="s">
        <v>201</v>
      </c>
      <c r="W38" t="str">
        <f t="shared" si="50"/>
        <v/>
      </c>
      <c r="Y38" t="str">
        <f t="shared" si="49"/>
        <v/>
      </c>
    </row>
    <row r="39" spans="1:34" x14ac:dyDescent="0.2">
      <c r="A39">
        <f t="shared" ref="A39:A50" si="51">IF(ISBLANK(B4), "", SUM(AE16+AF16+AG16))</f>
        <v>0</v>
      </c>
      <c r="C39">
        <f t="shared" ref="C39:C50" si="52">IF(ISBLANK(B4), "", O4)</f>
        <v>4</v>
      </c>
      <c r="E39">
        <f t="shared" ref="E39:E50" si="53">IF(ISBLANK(B4), "", Q4)</f>
        <v>0</v>
      </c>
      <c r="G39">
        <f t="shared" ref="G39:G50" si="54">IF(ISBLANK(B4), "", R4)</f>
        <v>0</v>
      </c>
      <c r="K39">
        <f t="shared" ref="K39:K50" si="55">IF(ISBLANK(B4), "", SUM(Q4 + R4))</f>
        <v>0</v>
      </c>
      <c r="M39">
        <f t="shared" ref="M39:M50" si="56">IF(ISBLANK(B4), "", SUM(K4+M4) - O4)</f>
        <v>-1</v>
      </c>
      <c r="N39">
        <f t="shared" ref="N39:N50" si="57">IF(ISBLANK(B4), "", U4)</f>
        <v>0</v>
      </c>
      <c r="O39">
        <f t="shared" ref="O39:O50" si="58">COUNTIF(E4, "1")*COUNTIF(F4, "1")</f>
        <v>0</v>
      </c>
      <c r="Q39">
        <f t="shared" ref="Q39:Q50" si="59">COUNTIF(D4, "1")*COUNTIF(F4, "")</f>
        <v>0</v>
      </c>
      <c r="S39">
        <f t="shared" ref="S39:S50" si="60">COUNTIF(E4, "1")*COUNTIF(F4, "")</f>
        <v>0</v>
      </c>
      <c r="W39" t="str">
        <f t="shared" si="50"/>
        <v/>
      </c>
      <c r="Y39" t="str">
        <f t="shared" si="49"/>
        <v/>
      </c>
    </row>
    <row r="40" spans="1:34" x14ac:dyDescent="0.2">
      <c r="A40">
        <f t="shared" si="51"/>
        <v>0</v>
      </c>
      <c r="C40">
        <f t="shared" si="52"/>
        <v>3</v>
      </c>
      <c r="E40">
        <f t="shared" si="53"/>
        <v>0</v>
      </c>
      <c r="G40">
        <f t="shared" si="54"/>
        <v>0</v>
      </c>
      <c r="K40">
        <f t="shared" si="55"/>
        <v>0</v>
      </c>
      <c r="M40">
        <f t="shared" si="56"/>
        <v>0</v>
      </c>
      <c r="N40">
        <f t="shared" si="57"/>
        <v>5</v>
      </c>
      <c r="O40">
        <f t="shared" si="58"/>
        <v>1</v>
      </c>
      <c r="Q40">
        <f t="shared" si="59"/>
        <v>0</v>
      </c>
      <c r="S40">
        <f t="shared" si="60"/>
        <v>0</v>
      </c>
      <c r="W40" t="str">
        <f t="shared" si="50"/>
        <v/>
      </c>
      <c r="Y40" t="str">
        <f t="shared" si="49"/>
        <v/>
      </c>
    </row>
    <row r="41" spans="1:34" x14ac:dyDescent="0.2">
      <c r="A41">
        <f t="shared" si="51"/>
        <v>1</v>
      </c>
      <c r="C41">
        <f t="shared" si="52"/>
        <v>3</v>
      </c>
      <c r="E41">
        <f t="shared" si="53"/>
        <v>0</v>
      </c>
      <c r="G41">
        <f t="shared" si="54"/>
        <v>0</v>
      </c>
      <c r="K41">
        <f t="shared" si="55"/>
        <v>0</v>
      </c>
      <c r="M41">
        <f t="shared" si="56"/>
        <v>-1</v>
      </c>
      <c r="N41">
        <f t="shared" si="57"/>
        <v>8</v>
      </c>
      <c r="O41">
        <f t="shared" si="58"/>
        <v>0</v>
      </c>
      <c r="Q41">
        <f t="shared" si="59"/>
        <v>0</v>
      </c>
      <c r="S41">
        <f t="shared" si="60"/>
        <v>0</v>
      </c>
      <c r="W41" t="str">
        <f t="shared" si="50"/>
        <v/>
      </c>
      <c r="Y41" t="str">
        <f t="shared" si="49"/>
        <v/>
      </c>
    </row>
    <row r="42" spans="1:34" x14ac:dyDescent="0.2">
      <c r="A42">
        <f t="shared" si="51"/>
        <v>0</v>
      </c>
      <c r="C42">
        <f t="shared" si="52"/>
        <v>0</v>
      </c>
      <c r="E42">
        <f t="shared" si="53"/>
        <v>0</v>
      </c>
      <c r="G42">
        <f t="shared" si="54"/>
        <v>0</v>
      </c>
      <c r="K42">
        <f t="shared" si="55"/>
        <v>0</v>
      </c>
      <c r="M42">
        <f t="shared" si="56"/>
        <v>0</v>
      </c>
      <c r="N42">
        <f t="shared" si="57"/>
        <v>29</v>
      </c>
      <c r="O42">
        <f t="shared" si="58"/>
        <v>0</v>
      </c>
      <c r="Q42">
        <f t="shared" si="59"/>
        <v>0</v>
      </c>
      <c r="S42">
        <f t="shared" si="60"/>
        <v>0</v>
      </c>
      <c r="W42" t="str">
        <f t="shared" si="50"/>
        <v/>
      </c>
      <c r="Y42" t="str">
        <f t="shared" si="49"/>
        <v/>
      </c>
    </row>
    <row r="43" spans="1:34" x14ac:dyDescent="0.2">
      <c r="A43">
        <f t="shared" si="51"/>
        <v>0</v>
      </c>
      <c r="C43">
        <f t="shared" si="52"/>
        <v>1</v>
      </c>
      <c r="E43">
        <f t="shared" si="53"/>
        <v>0</v>
      </c>
      <c r="G43">
        <f t="shared" si="54"/>
        <v>0</v>
      </c>
      <c r="K43">
        <f t="shared" si="55"/>
        <v>0</v>
      </c>
      <c r="M43">
        <f t="shared" si="56"/>
        <v>-1</v>
      </c>
      <c r="N43">
        <f t="shared" si="57"/>
        <v>2</v>
      </c>
      <c r="O43">
        <f t="shared" si="58"/>
        <v>0</v>
      </c>
      <c r="Q43">
        <f t="shared" si="59"/>
        <v>1</v>
      </c>
      <c r="S43">
        <f t="shared" si="60"/>
        <v>0</v>
      </c>
    </row>
    <row r="44" spans="1:34" x14ac:dyDescent="0.2">
      <c r="A44">
        <f t="shared" si="51"/>
        <v>0</v>
      </c>
      <c r="C44">
        <f t="shared" si="52"/>
        <v>3</v>
      </c>
      <c r="E44">
        <f t="shared" si="53"/>
        <v>0</v>
      </c>
      <c r="G44">
        <f t="shared" si="54"/>
        <v>0</v>
      </c>
      <c r="K44">
        <f t="shared" si="55"/>
        <v>0</v>
      </c>
      <c r="M44">
        <f t="shared" si="56"/>
        <v>0</v>
      </c>
      <c r="N44">
        <f t="shared" si="57"/>
        <v>0</v>
      </c>
      <c r="O44">
        <f t="shared" si="58"/>
        <v>1</v>
      </c>
      <c r="Q44">
        <f t="shared" si="59"/>
        <v>0</v>
      </c>
      <c r="S44">
        <f t="shared" si="60"/>
        <v>0</v>
      </c>
    </row>
    <row r="45" spans="1:34" x14ac:dyDescent="0.2">
      <c r="A45">
        <f t="shared" si="51"/>
        <v>0</v>
      </c>
      <c r="C45">
        <f t="shared" si="52"/>
        <v>4</v>
      </c>
      <c r="E45">
        <f t="shared" si="53"/>
        <v>0</v>
      </c>
      <c r="G45">
        <f t="shared" si="54"/>
        <v>0</v>
      </c>
      <c r="K45">
        <f t="shared" si="55"/>
        <v>0</v>
      </c>
      <c r="M45">
        <f t="shared" si="56"/>
        <v>-1</v>
      </c>
      <c r="N45">
        <f t="shared" si="57"/>
        <v>0</v>
      </c>
      <c r="O45">
        <f t="shared" si="58"/>
        <v>0</v>
      </c>
      <c r="Q45">
        <f t="shared" si="59"/>
        <v>1</v>
      </c>
      <c r="S45">
        <f t="shared" si="60"/>
        <v>0</v>
      </c>
    </row>
    <row r="46" spans="1:34" x14ac:dyDescent="0.2">
      <c r="A46">
        <f t="shared" si="51"/>
        <v>1</v>
      </c>
      <c r="C46">
        <f t="shared" si="52"/>
        <v>2</v>
      </c>
      <c r="E46">
        <f t="shared" si="53"/>
        <v>0</v>
      </c>
      <c r="G46">
        <f t="shared" si="54"/>
        <v>0</v>
      </c>
      <c r="K46">
        <f t="shared" si="55"/>
        <v>0</v>
      </c>
      <c r="M46">
        <f t="shared" si="56"/>
        <v>-1</v>
      </c>
      <c r="N46">
        <f t="shared" si="57"/>
        <v>2</v>
      </c>
      <c r="O46">
        <f t="shared" si="58"/>
        <v>0</v>
      </c>
      <c r="Q46">
        <f t="shared" si="59"/>
        <v>0</v>
      </c>
      <c r="S46">
        <f t="shared" si="60"/>
        <v>0</v>
      </c>
    </row>
    <row r="47" spans="1:34" x14ac:dyDescent="0.2">
      <c r="A47">
        <f t="shared" si="51"/>
        <v>0</v>
      </c>
      <c r="C47">
        <f t="shared" si="52"/>
        <v>3</v>
      </c>
      <c r="E47">
        <f t="shared" si="53"/>
        <v>0</v>
      </c>
      <c r="G47">
        <f t="shared" si="54"/>
        <v>0</v>
      </c>
      <c r="K47">
        <f t="shared" si="55"/>
        <v>0</v>
      </c>
      <c r="M47">
        <f t="shared" si="56"/>
        <v>-3</v>
      </c>
      <c r="N47">
        <f t="shared" si="57"/>
        <v>4</v>
      </c>
      <c r="O47">
        <f t="shared" si="58"/>
        <v>1</v>
      </c>
      <c r="Q47">
        <f t="shared" si="59"/>
        <v>0</v>
      </c>
      <c r="S47">
        <f t="shared" si="60"/>
        <v>0</v>
      </c>
    </row>
    <row r="48" spans="1:34" x14ac:dyDescent="0.2">
      <c r="A48">
        <f t="shared" si="51"/>
        <v>1</v>
      </c>
      <c r="C48">
        <f t="shared" si="52"/>
        <v>3</v>
      </c>
      <c r="E48">
        <f t="shared" si="53"/>
        <v>0</v>
      </c>
      <c r="G48">
        <f t="shared" si="54"/>
        <v>0</v>
      </c>
      <c r="K48">
        <f t="shared" si="55"/>
        <v>0</v>
      </c>
      <c r="M48">
        <f t="shared" si="56"/>
        <v>0</v>
      </c>
      <c r="N48">
        <f t="shared" si="57"/>
        <v>0</v>
      </c>
      <c r="O48">
        <f t="shared" si="58"/>
        <v>1</v>
      </c>
      <c r="Q48">
        <f t="shared" si="59"/>
        <v>0</v>
      </c>
      <c r="S48">
        <f t="shared" si="60"/>
        <v>0</v>
      </c>
    </row>
    <row r="49" spans="1:19" x14ac:dyDescent="0.2">
      <c r="A49">
        <f t="shared" si="51"/>
        <v>0</v>
      </c>
      <c r="C49">
        <f t="shared" si="52"/>
        <v>0</v>
      </c>
      <c r="E49">
        <f t="shared" si="53"/>
        <v>0</v>
      </c>
      <c r="G49">
        <f t="shared" si="54"/>
        <v>0</v>
      </c>
      <c r="K49">
        <f t="shared" si="55"/>
        <v>0</v>
      </c>
      <c r="M49">
        <f t="shared" si="56"/>
        <v>1</v>
      </c>
      <c r="N49">
        <f t="shared" si="57"/>
        <v>1</v>
      </c>
      <c r="O49">
        <f t="shared" si="58"/>
        <v>1</v>
      </c>
      <c r="Q49">
        <f t="shared" si="59"/>
        <v>0</v>
      </c>
      <c r="S49">
        <f t="shared" si="60"/>
        <v>0</v>
      </c>
    </row>
    <row r="50" spans="1:19" x14ac:dyDescent="0.2">
      <c r="A50">
        <f t="shared" si="51"/>
        <v>0</v>
      </c>
      <c r="C50">
        <f t="shared" si="52"/>
        <v>4</v>
      </c>
      <c r="E50">
        <f t="shared" si="53"/>
        <v>0</v>
      </c>
      <c r="G50">
        <f t="shared" si="54"/>
        <v>0</v>
      </c>
      <c r="K50">
        <f t="shared" si="55"/>
        <v>0</v>
      </c>
      <c r="M50">
        <f t="shared" si="56"/>
        <v>-1</v>
      </c>
      <c r="N50">
        <f t="shared" si="57"/>
        <v>1</v>
      </c>
      <c r="O50">
        <f t="shared" si="58"/>
        <v>0</v>
      </c>
      <c r="Q50">
        <f t="shared" si="59"/>
        <v>0</v>
      </c>
      <c r="S50">
        <f t="shared" si="60"/>
        <v>0</v>
      </c>
    </row>
  </sheetData>
  <pageMargins left="0.7" right="0.7" top="0.75" bottom="0.75" header="0.3" footer="0.3"/>
  <legacyDrawing r:id="rId1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9" enableFormatConditionsCalculation="0"/>
  <dimension ref="A1:BN50"/>
  <sheetViews>
    <sheetView topLeftCell="C1" workbookViewId="0">
      <selection activeCell="U16" sqref="U16"/>
    </sheetView>
  </sheetViews>
  <sheetFormatPr baseColWidth="10" defaultRowHeight="15" x14ac:dyDescent="0.2"/>
  <sheetData>
    <row r="1" spans="1:66" x14ac:dyDescent="0.2">
      <c r="A1" s="1" t="s">
        <v>0</v>
      </c>
      <c r="D1" t="s">
        <v>3</v>
      </c>
      <c r="K1" t="s">
        <v>11</v>
      </c>
      <c r="N1" t="s">
        <v>12</v>
      </c>
      <c r="P1" t="s">
        <v>14</v>
      </c>
      <c r="Q1" t="s">
        <v>17</v>
      </c>
      <c r="S1" t="s">
        <v>18</v>
      </c>
      <c r="Z1" t="s">
        <v>29</v>
      </c>
      <c r="AE1" t="s">
        <v>30</v>
      </c>
      <c r="AK1" t="s">
        <v>42</v>
      </c>
    </row>
    <row r="2" spans="1:66" x14ac:dyDescent="0.2">
      <c r="A2" t="s">
        <v>1</v>
      </c>
      <c r="B2" t="s">
        <v>1</v>
      </c>
      <c r="C2" t="s">
        <v>87</v>
      </c>
      <c r="D2" t="s">
        <v>54</v>
      </c>
      <c r="E2" t="s">
        <v>13</v>
      </c>
      <c r="F2" t="s">
        <v>198</v>
      </c>
      <c r="G2" t="s">
        <v>7</v>
      </c>
      <c r="H2" t="s">
        <v>8</v>
      </c>
      <c r="I2" t="s">
        <v>179</v>
      </c>
      <c r="J2" t="s">
        <v>178</v>
      </c>
      <c r="K2" t="s">
        <v>9</v>
      </c>
      <c r="L2" t="s">
        <v>196</v>
      </c>
      <c r="M2" t="s">
        <v>10</v>
      </c>
      <c r="N2" t="s">
        <v>54</v>
      </c>
      <c r="O2" t="s">
        <v>13</v>
      </c>
      <c r="P2" t="s">
        <v>15</v>
      </c>
      <c r="Q2" t="s">
        <v>8</v>
      </c>
      <c r="R2" t="s">
        <v>7</v>
      </c>
      <c r="S2" t="s">
        <v>181</v>
      </c>
      <c r="T2" t="s">
        <v>182</v>
      </c>
      <c r="U2" t="s">
        <v>19</v>
      </c>
      <c r="V2" t="s">
        <v>191</v>
      </c>
      <c r="W2" t="s">
        <v>192</v>
      </c>
      <c r="X2" t="s">
        <v>175</v>
      </c>
      <c r="Y2" t="s">
        <v>173</v>
      </c>
      <c r="Z2" t="str">
        <f t="shared" ref="Z2:Z13" si="0">LEFT(I4, 1)</f>
        <v>5</v>
      </c>
      <c r="AA2" t="str">
        <f t="shared" ref="AA2:AA13" si="1">MID(I4, 4, 1)</f>
        <v/>
      </c>
      <c r="AB2" t="str">
        <f t="shared" ref="AB2:AB13" si="2">MID(I4, 7, 1)</f>
        <v/>
      </c>
      <c r="AC2" t="str">
        <f t="shared" ref="AC2:AC13" si="3">MID(I4, 10, 1)</f>
        <v/>
      </c>
      <c r="AE2" t="str">
        <f t="shared" ref="AE2:AE13" si="4">LEFT(J4, 1)</f>
        <v/>
      </c>
      <c r="AF2" t="str">
        <f t="shared" ref="AF2:AF13" si="5">MID(J4, 4, 1)</f>
        <v/>
      </c>
      <c r="AG2" t="str">
        <f t="shared" ref="AG2:AG13" si="6">MID(J4, 7, 1)</f>
        <v/>
      </c>
      <c r="AH2" t="str">
        <f t="shared" ref="AH2:AH13" si="7">MID(J4, 10, 1)</f>
        <v/>
      </c>
      <c r="AI2" t="str">
        <f t="shared" ref="AI2:AI13" si="8">MID(J4, 13, 1)</f>
        <v/>
      </c>
      <c r="AK2" t="str">
        <f t="shared" ref="AK2:AK13" si="9">LEFT(P4, 2)</f>
        <v>r1</v>
      </c>
      <c r="AL2" t="str">
        <f>MID($P4, 5, 2)</f>
        <v/>
      </c>
      <c r="AM2" t="str">
        <f t="shared" ref="AM2:AM13" si="10">MID($P4, 9, 2)</f>
        <v/>
      </c>
      <c r="AN2" t="str">
        <f t="shared" ref="AN2:AN13" si="11">MID($P4, 13, 2)</f>
        <v/>
      </c>
      <c r="AO2" t="str">
        <f t="shared" ref="AO2:AO13" si="12">MID($P4, 17, 2)</f>
        <v/>
      </c>
      <c r="AP2" t="str">
        <f t="shared" ref="AP2:AP13" si="13">MID($P4, 21, 2)</f>
        <v/>
      </c>
      <c r="AQ2" t="str">
        <f t="shared" ref="AQ2:AQ13" si="14">MID($P4, 25, 2)</f>
        <v/>
      </c>
      <c r="AR2" t="str">
        <f t="shared" ref="AR2:AR13" si="15">MID($P4, 29, 2)</f>
        <v/>
      </c>
      <c r="AS2" t="str">
        <f t="shared" ref="AS2:AS13" si="16">MID($P4, 33, 2)</f>
        <v/>
      </c>
      <c r="AT2" t="str">
        <f t="shared" ref="AT2:AT13" si="17">MID($P4, 37, 2)</f>
        <v/>
      </c>
      <c r="AU2" t="str">
        <f t="shared" ref="AU2:AU13" si="18">MID($P4, 41, 2)</f>
        <v/>
      </c>
      <c r="AV2" t="str">
        <f t="shared" ref="AV2:AV13" si="19">MID($P4, 45, 2)</f>
        <v/>
      </c>
      <c r="AW2" t="str">
        <f t="shared" ref="AW2:AW13" si="20">MID($P4, 49, 2)</f>
        <v/>
      </c>
      <c r="AX2" t="str">
        <f t="shared" ref="AX2:AX13" si="21">MID($P4, 53, 2)</f>
        <v/>
      </c>
      <c r="AY2" t="str">
        <f t="shared" ref="AY2:AY13" si="22">MID($P4, 57, 2)</f>
        <v/>
      </c>
      <c r="AZ2" t="str">
        <f t="shared" ref="AZ2:AZ13" si="23">MID($P4, 61, 2)</f>
        <v/>
      </c>
      <c r="BA2" t="str">
        <f t="shared" ref="BA2:BA13" si="24">MID($P4, 65, 2)</f>
        <v/>
      </c>
      <c r="BB2" t="str">
        <f t="shared" ref="BB2:BB13" si="25">MID($P4, 69, 2)</f>
        <v/>
      </c>
      <c r="BC2" t="str">
        <f t="shared" ref="BC2:BC13" si="26">MID($P4, 73, 2)</f>
        <v/>
      </c>
      <c r="BD2" t="str">
        <f t="shared" ref="BD2:BD13" si="27">MID($P4, 77, 2)</f>
        <v/>
      </c>
      <c r="BE2" t="str">
        <f t="shared" ref="BE2:BE13" si="28">MID($P4, 81, 2)</f>
        <v/>
      </c>
      <c r="BF2" t="str">
        <f t="shared" ref="BF2:BF13" si="29">MID($P4, 85, 2)</f>
        <v/>
      </c>
      <c r="BG2" t="str">
        <f t="shared" ref="BG2:BG13" si="30">MID($P4, 89, 2)</f>
        <v/>
      </c>
      <c r="BH2" t="str">
        <f t="shared" ref="BH2:BH13" si="31">MID($P4, 93, 2)</f>
        <v/>
      </c>
    </row>
    <row r="3" spans="1:66" x14ac:dyDescent="0.2">
      <c r="A3" t="s">
        <v>2</v>
      </c>
      <c r="B3" t="s">
        <v>6</v>
      </c>
      <c r="C3" t="s">
        <v>88</v>
      </c>
      <c r="D3" t="s">
        <v>6</v>
      </c>
      <c r="E3" t="s">
        <v>6</v>
      </c>
      <c r="F3" t="s">
        <v>4</v>
      </c>
      <c r="G3" t="s">
        <v>6</v>
      </c>
      <c r="H3" t="s">
        <v>6</v>
      </c>
      <c r="I3" t="s">
        <v>86</v>
      </c>
      <c r="J3" t="s">
        <v>86</v>
      </c>
      <c r="K3" t="s">
        <v>6</v>
      </c>
      <c r="L3" t="s">
        <v>6</v>
      </c>
      <c r="M3" t="s">
        <v>6</v>
      </c>
      <c r="N3" t="s">
        <v>6</v>
      </c>
      <c r="O3" t="s">
        <v>6</v>
      </c>
      <c r="P3" t="s">
        <v>16</v>
      </c>
      <c r="Q3" t="s">
        <v>6</v>
      </c>
      <c r="R3" t="s">
        <v>6</v>
      </c>
      <c r="S3" t="s">
        <v>4</v>
      </c>
      <c r="T3" t="s">
        <v>4</v>
      </c>
      <c r="U3" t="s">
        <v>6</v>
      </c>
      <c r="V3" t="s">
        <v>6</v>
      </c>
      <c r="W3" t="s">
        <v>6</v>
      </c>
      <c r="X3" t="s">
        <v>6</v>
      </c>
      <c r="Y3" t="s">
        <v>174</v>
      </c>
      <c r="Z3" t="str">
        <f t="shared" si="0"/>
        <v/>
      </c>
      <c r="AA3" t="str">
        <f t="shared" si="1"/>
        <v/>
      </c>
      <c r="AB3" t="str">
        <f t="shared" si="2"/>
        <v/>
      </c>
      <c r="AC3" t="str">
        <f t="shared" si="3"/>
        <v/>
      </c>
      <c r="AE3" t="str">
        <f t="shared" si="4"/>
        <v>3</v>
      </c>
      <c r="AF3" t="str">
        <f t="shared" si="5"/>
        <v/>
      </c>
      <c r="AG3" t="str">
        <f t="shared" si="6"/>
        <v/>
      </c>
      <c r="AH3" t="str">
        <f t="shared" si="7"/>
        <v/>
      </c>
      <c r="AI3" t="str">
        <f t="shared" si="8"/>
        <v/>
      </c>
      <c r="AK3" t="str">
        <f t="shared" si="9"/>
        <v>h1</v>
      </c>
      <c r="AL3" t="str">
        <f t="shared" ref="AL3:AL13" si="32">MID(P5, 5, 2)</f>
        <v>r2</v>
      </c>
      <c r="AM3" t="str">
        <f t="shared" si="10"/>
        <v/>
      </c>
      <c r="AN3" t="str">
        <f t="shared" si="11"/>
        <v/>
      </c>
      <c r="AO3" t="str">
        <f t="shared" si="12"/>
        <v/>
      </c>
      <c r="AP3" t="str">
        <f t="shared" si="13"/>
        <v/>
      </c>
      <c r="AQ3" t="str">
        <f t="shared" si="14"/>
        <v/>
      </c>
      <c r="AR3" t="str">
        <f t="shared" si="15"/>
        <v/>
      </c>
      <c r="AS3" t="str">
        <f t="shared" si="16"/>
        <v/>
      </c>
      <c r="AT3" t="str">
        <f t="shared" si="17"/>
        <v/>
      </c>
      <c r="AU3" t="str">
        <f t="shared" si="18"/>
        <v/>
      </c>
      <c r="AV3" t="str">
        <f t="shared" si="19"/>
        <v/>
      </c>
      <c r="AW3" t="str">
        <f t="shared" si="20"/>
        <v/>
      </c>
      <c r="AX3" t="str">
        <f t="shared" si="21"/>
        <v/>
      </c>
      <c r="AY3" t="str">
        <f t="shared" si="22"/>
        <v/>
      </c>
      <c r="AZ3" t="str">
        <f t="shared" si="23"/>
        <v/>
      </c>
      <c r="BA3" t="str">
        <f t="shared" si="24"/>
        <v/>
      </c>
      <c r="BB3" t="str">
        <f t="shared" si="25"/>
        <v/>
      </c>
      <c r="BC3" t="str">
        <f t="shared" si="26"/>
        <v/>
      </c>
      <c r="BD3" t="str">
        <f t="shared" si="27"/>
        <v/>
      </c>
      <c r="BE3" t="str">
        <f t="shared" si="28"/>
        <v/>
      </c>
      <c r="BF3" t="str">
        <f t="shared" si="29"/>
        <v/>
      </c>
      <c r="BG3" t="str">
        <f t="shared" si="30"/>
        <v/>
      </c>
      <c r="BH3" t="str">
        <f t="shared" si="31"/>
        <v/>
      </c>
    </row>
    <row r="4" spans="1:66" x14ac:dyDescent="0.2">
      <c r="A4">
        <v>1</v>
      </c>
      <c r="B4">
        <v>8</v>
      </c>
      <c r="C4" t="s">
        <v>207</v>
      </c>
      <c r="G4">
        <v>9</v>
      </c>
      <c r="I4">
        <v>5</v>
      </c>
      <c r="K4">
        <v>2</v>
      </c>
      <c r="N4">
        <v>3</v>
      </c>
      <c r="O4">
        <v>3</v>
      </c>
      <c r="P4" t="s">
        <v>210</v>
      </c>
      <c r="R4">
        <v>2</v>
      </c>
      <c r="S4">
        <v>1</v>
      </c>
      <c r="T4">
        <v>1</v>
      </c>
      <c r="U4">
        <v>23</v>
      </c>
      <c r="X4">
        <f t="shared" ref="X4:X15" si="33">G4+H4+Q4+R4</f>
        <v>11</v>
      </c>
      <c r="Y4" t="s">
        <v>174</v>
      </c>
      <c r="Z4" t="str">
        <f t="shared" si="0"/>
        <v/>
      </c>
      <c r="AA4" t="str">
        <f t="shared" si="1"/>
        <v/>
      </c>
      <c r="AB4" t="str">
        <f t="shared" si="2"/>
        <v/>
      </c>
      <c r="AC4" t="str">
        <f t="shared" si="3"/>
        <v/>
      </c>
      <c r="AE4" t="str">
        <f t="shared" si="4"/>
        <v>1</v>
      </c>
      <c r="AF4" t="str">
        <f t="shared" si="5"/>
        <v/>
      </c>
      <c r="AG4" t="str">
        <f t="shared" si="6"/>
        <v/>
      </c>
      <c r="AH4" t="str">
        <f t="shared" si="7"/>
        <v/>
      </c>
      <c r="AI4" t="str">
        <f t="shared" si="8"/>
        <v/>
      </c>
      <c r="AK4" t="str">
        <f t="shared" si="9"/>
        <v>g1</v>
      </c>
      <c r="AL4" t="str">
        <f t="shared" si="32"/>
        <v/>
      </c>
      <c r="AM4" t="str">
        <f t="shared" si="10"/>
        <v/>
      </c>
      <c r="AN4" t="str">
        <f t="shared" si="11"/>
        <v/>
      </c>
      <c r="AO4" t="str">
        <f t="shared" si="12"/>
        <v/>
      </c>
      <c r="AP4" t="str">
        <f t="shared" si="13"/>
        <v/>
      </c>
      <c r="AQ4" t="str">
        <f t="shared" si="14"/>
        <v/>
      </c>
      <c r="AR4" t="str">
        <f t="shared" si="15"/>
        <v/>
      </c>
      <c r="AS4" t="str">
        <f t="shared" si="16"/>
        <v/>
      </c>
      <c r="AT4" t="str">
        <f t="shared" si="17"/>
        <v/>
      </c>
      <c r="AU4" t="str">
        <f t="shared" si="18"/>
        <v/>
      </c>
      <c r="AV4" t="str">
        <f t="shared" si="19"/>
        <v/>
      </c>
      <c r="AW4" t="str">
        <f t="shared" si="20"/>
        <v/>
      </c>
      <c r="AX4" t="str">
        <f t="shared" si="21"/>
        <v/>
      </c>
      <c r="AY4" t="str">
        <f t="shared" si="22"/>
        <v/>
      </c>
      <c r="AZ4" t="str">
        <f t="shared" si="23"/>
        <v/>
      </c>
      <c r="BA4" t="str">
        <f t="shared" si="24"/>
        <v/>
      </c>
      <c r="BB4" t="str">
        <f t="shared" si="25"/>
        <v/>
      </c>
      <c r="BC4" t="str">
        <f t="shared" si="26"/>
        <v/>
      </c>
      <c r="BD4" t="str">
        <f t="shared" si="27"/>
        <v/>
      </c>
      <c r="BE4" t="str">
        <f t="shared" si="28"/>
        <v/>
      </c>
      <c r="BF4" t="str">
        <f t="shared" si="29"/>
        <v/>
      </c>
      <c r="BG4" t="str">
        <f t="shared" si="30"/>
        <v/>
      </c>
      <c r="BH4" t="str">
        <f t="shared" si="31"/>
        <v/>
      </c>
    </row>
    <row r="5" spans="1:66" x14ac:dyDescent="0.2">
      <c r="A5">
        <v>2</v>
      </c>
      <c r="B5">
        <v>14</v>
      </c>
      <c r="C5" t="s">
        <v>39</v>
      </c>
      <c r="G5">
        <v>9</v>
      </c>
      <c r="J5">
        <v>3</v>
      </c>
      <c r="K5">
        <v>2</v>
      </c>
      <c r="N5">
        <v>2</v>
      </c>
      <c r="O5">
        <v>2</v>
      </c>
      <c r="P5" t="s">
        <v>224</v>
      </c>
      <c r="R5">
        <v>3</v>
      </c>
      <c r="S5">
        <v>1</v>
      </c>
      <c r="T5">
        <v>1</v>
      </c>
      <c r="U5">
        <v>18</v>
      </c>
      <c r="W5">
        <v>28</v>
      </c>
      <c r="X5">
        <f t="shared" si="33"/>
        <v>12</v>
      </c>
      <c r="Z5" t="str">
        <f t="shared" si="0"/>
        <v/>
      </c>
      <c r="AA5" t="str">
        <f t="shared" si="1"/>
        <v/>
      </c>
      <c r="AB5" t="str">
        <f t="shared" si="2"/>
        <v/>
      </c>
      <c r="AC5" t="str">
        <f t="shared" si="3"/>
        <v/>
      </c>
      <c r="AE5" t="str">
        <f t="shared" si="4"/>
        <v>5</v>
      </c>
      <c r="AF5" t="str">
        <f t="shared" si="5"/>
        <v/>
      </c>
      <c r="AG5" t="str">
        <f t="shared" si="6"/>
        <v/>
      </c>
      <c r="AH5" t="str">
        <f t="shared" si="7"/>
        <v/>
      </c>
      <c r="AI5" t="str">
        <f t="shared" si="8"/>
        <v/>
      </c>
      <c r="AK5" t="str">
        <f t="shared" si="9"/>
        <v/>
      </c>
      <c r="AL5" t="str">
        <f t="shared" si="32"/>
        <v/>
      </c>
      <c r="AM5" t="str">
        <f t="shared" si="10"/>
        <v/>
      </c>
      <c r="AN5" t="str">
        <f t="shared" si="11"/>
        <v/>
      </c>
      <c r="AO5" t="str">
        <f t="shared" si="12"/>
        <v/>
      </c>
      <c r="AP5" t="str">
        <f t="shared" si="13"/>
        <v/>
      </c>
      <c r="AQ5" t="str">
        <f t="shared" si="14"/>
        <v/>
      </c>
      <c r="AR5" t="str">
        <f t="shared" si="15"/>
        <v/>
      </c>
      <c r="AS5" t="str">
        <f t="shared" si="16"/>
        <v/>
      </c>
      <c r="AT5" t="str">
        <f t="shared" si="17"/>
        <v/>
      </c>
      <c r="AU5" t="str">
        <f t="shared" si="18"/>
        <v/>
      </c>
      <c r="AV5" t="str">
        <f t="shared" si="19"/>
        <v/>
      </c>
      <c r="AW5" t="str">
        <f t="shared" si="20"/>
        <v/>
      </c>
      <c r="AX5" t="str">
        <f t="shared" si="21"/>
        <v/>
      </c>
      <c r="AY5" t="str">
        <f t="shared" si="22"/>
        <v/>
      </c>
      <c r="AZ5" t="str">
        <f t="shared" si="23"/>
        <v/>
      </c>
      <c r="BA5" t="str">
        <f t="shared" si="24"/>
        <v/>
      </c>
      <c r="BB5" t="str">
        <f t="shared" si="25"/>
        <v/>
      </c>
      <c r="BC5" t="str">
        <f t="shared" si="26"/>
        <v/>
      </c>
      <c r="BD5" t="str">
        <f t="shared" si="27"/>
        <v/>
      </c>
      <c r="BE5" t="str">
        <f t="shared" si="28"/>
        <v/>
      </c>
      <c r="BF5" t="str">
        <f t="shared" si="29"/>
        <v/>
      </c>
      <c r="BG5" t="str">
        <f t="shared" si="30"/>
        <v/>
      </c>
      <c r="BH5" t="str">
        <f t="shared" si="31"/>
        <v/>
      </c>
    </row>
    <row r="6" spans="1:66" x14ac:dyDescent="0.2">
      <c r="A6">
        <v>3</v>
      </c>
      <c r="B6">
        <v>22</v>
      </c>
      <c r="C6" t="s">
        <v>39</v>
      </c>
      <c r="G6">
        <v>5</v>
      </c>
      <c r="J6">
        <v>1</v>
      </c>
      <c r="K6">
        <v>4</v>
      </c>
      <c r="N6">
        <v>4</v>
      </c>
      <c r="O6">
        <v>4</v>
      </c>
      <c r="P6" t="s">
        <v>228</v>
      </c>
      <c r="R6">
        <v>1</v>
      </c>
      <c r="S6">
        <v>1</v>
      </c>
      <c r="T6">
        <v>1</v>
      </c>
      <c r="U6">
        <v>9</v>
      </c>
      <c r="W6">
        <v>4</v>
      </c>
      <c r="X6">
        <f t="shared" si="33"/>
        <v>6</v>
      </c>
      <c r="Y6" t="s">
        <v>174</v>
      </c>
      <c r="Z6" t="str">
        <f t="shared" si="0"/>
        <v/>
      </c>
      <c r="AA6" t="str">
        <f t="shared" si="1"/>
        <v/>
      </c>
      <c r="AB6" t="str">
        <f t="shared" si="2"/>
        <v/>
      </c>
      <c r="AC6" t="str">
        <f t="shared" si="3"/>
        <v/>
      </c>
      <c r="AE6" t="str">
        <f t="shared" si="4"/>
        <v/>
      </c>
      <c r="AF6" t="str">
        <f t="shared" si="5"/>
        <v/>
      </c>
      <c r="AG6" t="str">
        <f t="shared" si="6"/>
        <v/>
      </c>
      <c r="AH6" t="str">
        <f t="shared" si="7"/>
        <v/>
      </c>
      <c r="AI6" t="str">
        <f t="shared" si="8"/>
        <v/>
      </c>
      <c r="AK6" t="str">
        <f t="shared" si="9"/>
        <v/>
      </c>
      <c r="AL6" t="str">
        <f t="shared" si="32"/>
        <v/>
      </c>
      <c r="AM6" t="str">
        <f t="shared" si="10"/>
        <v/>
      </c>
      <c r="AN6" t="str">
        <f t="shared" si="11"/>
        <v/>
      </c>
      <c r="AO6" t="str">
        <f t="shared" si="12"/>
        <v/>
      </c>
      <c r="AP6" t="str">
        <f t="shared" si="13"/>
        <v/>
      </c>
      <c r="AQ6" t="str">
        <f t="shared" si="14"/>
        <v/>
      </c>
      <c r="AR6" t="str">
        <f t="shared" si="15"/>
        <v/>
      </c>
      <c r="AS6" t="str">
        <f t="shared" si="16"/>
        <v/>
      </c>
      <c r="AT6" t="str">
        <f t="shared" si="17"/>
        <v/>
      </c>
      <c r="AU6" t="str">
        <f t="shared" si="18"/>
        <v/>
      </c>
      <c r="AV6" t="str">
        <f t="shared" si="19"/>
        <v/>
      </c>
      <c r="AW6" t="str">
        <f t="shared" si="20"/>
        <v/>
      </c>
      <c r="AX6" t="str">
        <f t="shared" si="21"/>
        <v/>
      </c>
      <c r="AY6" t="str">
        <f t="shared" si="22"/>
        <v/>
      </c>
      <c r="AZ6" t="str">
        <f t="shared" si="23"/>
        <v/>
      </c>
      <c r="BA6" t="str">
        <f t="shared" si="24"/>
        <v/>
      </c>
      <c r="BB6" t="str">
        <f t="shared" si="25"/>
        <v/>
      </c>
      <c r="BC6" t="str">
        <f t="shared" si="26"/>
        <v/>
      </c>
      <c r="BD6" t="str">
        <f t="shared" si="27"/>
        <v/>
      </c>
      <c r="BE6" t="str">
        <f t="shared" si="28"/>
        <v/>
      </c>
      <c r="BF6" t="str">
        <f t="shared" si="29"/>
        <v/>
      </c>
      <c r="BG6" t="str">
        <f t="shared" si="30"/>
        <v/>
      </c>
      <c r="BH6" t="str">
        <f t="shared" si="31"/>
        <v/>
      </c>
    </row>
    <row r="7" spans="1:66" x14ac:dyDescent="0.2">
      <c r="A7">
        <v>4</v>
      </c>
      <c r="B7">
        <v>37</v>
      </c>
      <c r="C7" t="s">
        <v>207</v>
      </c>
      <c r="D7">
        <v>1</v>
      </c>
      <c r="G7">
        <v>1</v>
      </c>
      <c r="J7">
        <v>5</v>
      </c>
      <c r="K7">
        <v>2</v>
      </c>
      <c r="L7">
        <v>2</v>
      </c>
      <c r="N7">
        <v>2</v>
      </c>
      <c r="O7">
        <v>2</v>
      </c>
      <c r="R7">
        <v>1</v>
      </c>
      <c r="S7">
        <v>1</v>
      </c>
      <c r="T7">
        <v>1</v>
      </c>
      <c r="U7">
        <v>8</v>
      </c>
      <c r="W7">
        <v>10</v>
      </c>
      <c r="X7">
        <f t="shared" si="33"/>
        <v>2</v>
      </c>
      <c r="Z7" t="str">
        <f t="shared" si="0"/>
        <v/>
      </c>
      <c r="AA7" t="str">
        <f t="shared" si="1"/>
        <v/>
      </c>
      <c r="AB7" t="str">
        <f t="shared" si="2"/>
        <v/>
      </c>
      <c r="AC7" t="str">
        <f t="shared" si="3"/>
        <v/>
      </c>
      <c r="AE7" t="str">
        <f t="shared" si="4"/>
        <v>5</v>
      </c>
      <c r="AF7" t="str">
        <f t="shared" si="5"/>
        <v/>
      </c>
      <c r="AG7" t="str">
        <f t="shared" si="6"/>
        <v/>
      </c>
      <c r="AH7" t="str">
        <f t="shared" si="7"/>
        <v/>
      </c>
      <c r="AI7" t="str">
        <f t="shared" si="8"/>
        <v/>
      </c>
      <c r="AK7" t="str">
        <f t="shared" si="9"/>
        <v>h1</v>
      </c>
      <c r="AL7" t="str">
        <f t="shared" si="32"/>
        <v>h2</v>
      </c>
      <c r="AM7" t="str">
        <f t="shared" si="10"/>
        <v/>
      </c>
      <c r="AN7" t="str">
        <f t="shared" si="11"/>
        <v/>
      </c>
      <c r="AO7" t="str">
        <f t="shared" si="12"/>
        <v/>
      </c>
      <c r="AP7" t="str">
        <f t="shared" si="13"/>
        <v/>
      </c>
      <c r="AQ7" t="str">
        <f t="shared" si="14"/>
        <v/>
      </c>
      <c r="AR7" t="str">
        <f t="shared" si="15"/>
        <v/>
      </c>
      <c r="AS7" t="str">
        <f t="shared" si="16"/>
        <v/>
      </c>
      <c r="AT7" t="str">
        <f t="shared" si="17"/>
        <v/>
      </c>
      <c r="AU7" t="str">
        <f t="shared" si="18"/>
        <v/>
      </c>
      <c r="AV7" t="str">
        <f t="shared" si="19"/>
        <v/>
      </c>
      <c r="AW7" t="str">
        <f t="shared" si="20"/>
        <v/>
      </c>
      <c r="AX7" t="str">
        <f t="shared" si="21"/>
        <v/>
      </c>
      <c r="AY7" t="str">
        <f t="shared" si="22"/>
        <v/>
      </c>
      <c r="AZ7" t="str">
        <f t="shared" si="23"/>
        <v/>
      </c>
      <c r="BA7" t="str">
        <f t="shared" si="24"/>
        <v/>
      </c>
      <c r="BB7" t="str">
        <f t="shared" si="25"/>
        <v/>
      </c>
      <c r="BC7" t="str">
        <f t="shared" si="26"/>
        <v/>
      </c>
      <c r="BD7" t="str">
        <f t="shared" si="27"/>
        <v/>
      </c>
      <c r="BE7" t="str">
        <f t="shared" si="28"/>
        <v/>
      </c>
      <c r="BF7" t="str">
        <f t="shared" si="29"/>
        <v/>
      </c>
      <c r="BG7" t="str">
        <f t="shared" si="30"/>
        <v/>
      </c>
      <c r="BH7" t="str">
        <f t="shared" si="31"/>
        <v/>
      </c>
    </row>
    <row r="8" spans="1:66" x14ac:dyDescent="0.2">
      <c r="A8">
        <v>5</v>
      </c>
      <c r="B8">
        <v>49</v>
      </c>
      <c r="G8">
        <v>1</v>
      </c>
      <c r="K8">
        <v>4</v>
      </c>
      <c r="N8">
        <v>4</v>
      </c>
      <c r="O8">
        <v>3</v>
      </c>
      <c r="R8">
        <v>1</v>
      </c>
      <c r="S8">
        <v>1</v>
      </c>
      <c r="T8">
        <v>1</v>
      </c>
      <c r="U8">
        <v>10</v>
      </c>
      <c r="X8">
        <f t="shared" si="33"/>
        <v>2</v>
      </c>
      <c r="Z8" t="str">
        <f t="shared" si="0"/>
        <v/>
      </c>
      <c r="AA8" t="str">
        <f t="shared" si="1"/>
        <v/>
      </c>
      <c r="AB8" t="str">
        <f t="shared" si="2"/>
        <v/>
      </c>
      <c r="AC8" t="str">
        <f t="shared" si="3"/>
        <v/>
      </c>
      <c r="AE8" t="str">
        <f t="shared" si="4"/>
        <v/>
      </c>
      <c r="AF8" t="str">
        <f t="shared" si="5"/>
        <v/>
      </c>
      <c r="AG8" t="str">
        <f t="shared" si="6"/>
        <v/>
      </c>
      <c r="AH8" t="str">
        <f t="shared" si="7"/>
        <v/>
      </c>
      <c r="AI8" t="str">
        <f t="shared" si="8"/>
        <v/>
      </c>
      <c r="AK8" t="str">
        <f t="shared" si="9"/>
        <v>g1</v>
      </c>
      <c r="AL8" t="str">
        <f t="shared" si="32"/>
        <v>h1</v>
      </c>
      <c r="AM8" t="str">
        <f t="shared" si="10"/>
        <v>r2</v>
      </c>
      <c r="AN8" t="str">
        <f t="shared" si="11"/>
        <v>h3</v>
      </c>
      <c r="AO8" t="str">
        <f t="shared" si="12"/>
        <v/>
      </c>
      <c r="AP8" t="str">
        <f t="shared" si="13"/>
        <v/>
      </c>
      <c r="AQ8" t="str">
        <f t="shared" si="14"/>
        <v/>
      </c>
      <c r="AR8" t="str">
        <f t="shared" si="15"/>
        <v/>
      </c>
      <c r="AS8" t="str">
        <f t="shared" si="16"/>
        <v/>
      </c>
      <c r="AT8" t="str">
        <f t="shared" si="17"/>
        <v/>
      </c>
      <c r="AU8" t="str">
        <f t="shared" si="18"/>
        <v/>
      </c>
      <c r="AV8" t="str">
        <f t="shared" si="19"/>
        <v/>
      </c>
      <c r="AW8" t="str">
        <f t="shared" si="20"/>
        <v/>
      </c>
      <c r="AX8" t="str">
        <f t="shared" si="21"/>
        <v/>
      </c>
      <c r="AY8" t="str">
        <f t="shared" si="22"/>
        <v/>
      </c>
      <c r="AZ8" t="str">
        <f t="shared" si="23"/>
        <v/>
      </c>
      <c r="BA8" t="str">
        <f t="shared" si="24"/>
        <v/>
      </c>
      <c r="BB8" t="str">
        <f t="shared" si="25"/>
        <v/>
      </c>
      <c r="BC8" t="str">
        <f t="shared" si="26"/>
        <v/>
      </c>
      <c r="BD8" t="str">
        <f t="shared" si="27"/>
        <v/>
      </c>
      <c r="BE8" t="str">
        <f t="shared" si="28"/>
        <v/>
      </c>
      <c r="BF8" t="str">
        <f t="shared" si="29"/>
        <v/>
      </c>
      <c r="BG8" t="str">
        <f t="shared" si="30"/>
        <v/>
      </c>
      <c r="BH8" t="str">
        <f t="shared" si="31"/>
        <v/>
      </c>
    </row>
    <row r="9" spans="1:66" x14ac:dyDescent="0.2">
      <c r="A9">
        <v>6</v>
      </c>
      <c r="B9">
        <v>55</v>
      </c>
      <c r="C9" t="s">
        <v>207</v>
      </c>
      <c r="G9">
        <v>5</v>
      </c>
      <c r="J9">
        <v>5</v>
      </c>
      <c r="K9">
        <v>3</v>
      </c>
      <c r="N9">
        <v>3</v>
      </c>
      <c r="O9">
        <v>3</v>
      </c>
      <c r="P9" t="s">
        <v>275</v>
      </c>
      <c r="R9">
        <v>2</v>
      </c>
      <c r="S9">
        <v>1</v>
      </c>
      <c r="T9">
        <v>1</v>
      </c>
      <c r="U9">
        <v>11</v>
      </c>
      <c r="W9">
        <v>40</v>
      </c>
      <c r="X9">
        <f t="shared" si="33"/>
        <v>7</v>
      </c>
      <c r="Y9" t="s">
        <v>174</v>
      </c>
      <c r="Z9" t="str">
        <f t="shared" si="0"/>
        <v/>
      </c>
      <c r="AA9" t="str">
        <f t="shared" si="1"/>
        <v/>
      </c>
      <c r="AB9" t="str">
        <f t="shared" si="2"/>
        <v/>
      </c>
      <c r="AC9" t="str">
        <f t="shared" si="3"/>
        <v/>
      </c>
      <c r="AE9" t="str">
        <f t="shared" si="4"/>
        <v>3</v>
      </c>
      <c r="AF9" t="str">
        <f t="shared" si="5"/>
        <v/>
      </c>
      <c r="AG9" t="str">
        <f t="shared" si="6"/>
        <v/>
      </c>
      <c r="AH9" t="str">
        <f t="shared" si="7"/>
        <v/>
      </c>
      <c r="AI9" t="str">
        <f t="shared" si="8"/>
        <v/>
      </c>
      <c r="AK9" t="str">
        <f t="shared" si="9"/>
        <v>h1</v>
      </c>
      <c r="AL9" t="str">
        <f t="shared" si="32"/>
        <v>g2</v>
      </c>
      <c r="AM9" t="str">
        <f t="shared" si="10"/>
        <v/>
      </c>
      <c r="AN9" t="str">
        <f t="shared" si="11"/>
        <v/>
      </c>
      <c r="AO9" t="str">
        <f t="shared" si="12"/>
        <v/>
      </c>
      <c r="AP9" t="str">
        <f t="shared" si="13"/>
        <v/>
      </c>
      <c r="AQ9" t="str">
        <f t="shared" si="14"/>
        <v/>
      </c>
      <c r="AR9" t="str">
        <f t="shared" si="15"/>
        <v/>
      </c>
      <c r="AS9" t="str">
        <f t="shared" si="16"/>
        <v/>
      </c>
      <c r="AT9" t="str">
        <f t="shared" si="17"/>
        <v/>
      </c>
      <c r="AU9" t="str">
        <f t="shared" si="18"/>
        <v/>
      </c>
      <c r="AV9" t="str">
        <f t="shared" si="19"/>
        <v/>
      </c>
      <c r="AW9" t="str">
        <f t="shared" si="20"/>
        <v/>
      </c>
      <c r="AX9" t="str">
        <f t="shared" si="21"/>
        <v/>
      </c>
      <c r="AY9" t="str">
        <f t="shared" si="22"/>
        <v/>
      </c>
      <c r="AZ9" t="str">
        <f t="shared" si="23"/>
        <v/>
      </c>
      <c r="BA9" t="str">
        <f t="shared" si="24"/>
        <v/>
      </c>
      <c r="BB9" t="str">
        <f t="shared" si="25"/>
        <v/>
      </c>
      <c r="BC9" t="str">
        <f t="shared" si="26"/>
        <v/>
      </c>
      <c r="BD9" t="str">
        <f t="shared" si="27"/>
        <v/>
      </c>
      <c r="BE9" t="str">
        <f t="shared" si="28"/>
        <v/>
      </c>
      <c r="BF9" t="str">
        <f t="shared" si="29"/>
        <v/>
      </c>
      <c r="BG9" t="str">
        <f t="shared" si="30"/>
        <v/>
      </c>
      <c r="BH9" t="str">
        <f t="shared" si="31"/>
        <v/>
      </c>
    </row>
    <row r="10" spans="1:66" x14ac:dyDescent="0.2">
      <c r="A10">
        <v>7</v>
      </c>
      <c r="B10">
        <v>69</v>
      </c>
      <c r="C10" t="s">
        <v>39</v>
      </c>
      <c r="G10">
        <v>7</v>
      </c>
      <c r="K10">
        <v>1</v>
      </c>
      <c r="N10">
        <v>2</v>
      </c>
      <c r="O10">
        <v>2</v>
      </c>
      <c r="P10" t="s">
        <v>284</v>
      </c>
      <c r="R10">
        <v>3</v>
      </c>
      <c r="S10">
        <v>1</v>
      </c>
      <c r="T10">
        <v>1</v>
      </c>
      <c r="U10">
        <v>19</v>
      </c>
      <c r="X10">
        <f t="shared" si="33"/>
        <v>10</v>
      </c>
      <c r="Y10" t="s">
        <v>174</v>
      </c>
      <c r="Z10" t="str">
        <f t="shared" si="0"/>
        <v/>
      </c>
      <c r="AA10" t="str">
        <f t="shared" si="1"/>
        <v/>
      </c>
      <c r="AB10" t="str">
        <f t="shared" si="2"/>
        <v/>
      </c>
      <c r="AC10" t="str">
        <f t="shared" si="3"/>
        <v/>
      </c>
      <c r="AE10" t="str">
        <f t="shared" si="4"/>
        <v>4</v>
      </c>
      <c r="AF10" t="str">
        <f t="shared" si="5"/>
        <v>5</v>
      </c>
      <c r="AG10" t="str">
        <f t="shared" si="6"/>
        <v/>
      </c>
      <c r="AH10" t="str">
        <f t="shared" si="7"/>
        <v/>
      </c>
      <c r="AI10" t="str">
        <f t="shared" si="8"/>
        <v/>
      </c>
      <c r="AK10" t="str">
        <f t="shared" si="9"/>
        <v>h1</v>
      </c>
      <c r="AL10" t="str">
        <f t="shared" si="32"/>
        <v>h2</v>
      </c>
      <c r="AM10" t="str">
        <f t="shared" si="10"/>
        <v/>
      </c>
      <c r="AN10" t="str">
        <f t="shared" si="11"/>
        <v/>
      </c>
      <c r="AO10" t="str">
        <f t="shared" si="12"/>
        <v/>
      </c>
      <c r="AP10" t="str">
        <f t="shared" si="13"/>
        <v/>
      </c>
      <c r="AQ10" t="str">
        <f t="shared" si="14"/>
        <v/>
      </c>
      <c r="AR10" t="str">
        <f t="shared" si="15"/>
        <v/>
      </c>
      <c r="AS10" t="str">
        <f t="shared" si="16"/>
        <v/>
      </c>
      <c r="AT10" t="str">
        <f t="shared" si="17"/>
        <v/>
      </c>
      <c r="AU10" t="str">
        <f t="shared" si="18"/>
        <v/>
      </c>
      <c r="AV10" t="str">
        <f t="shared" si="19"/>
        <v/>
      </c>
      <c r="AW10" t="str">
        <f t="shared" si="20"/>
        <v/>
      </c>
      <c r="AX10" t="str">
        <f t="shared" si="21"/>
        <v/>
      </c>
      <c r="AY10" t="str">
        <f t="shared" si="22"/>
        <v/>
      </c>
      <c r="AZ10" t="str">
        <f t="shared" si="23"/>
        <v/>
      </c>
      <c r="BA10" t="str">
        <f t="shared" si="24"/>
        <v/>
      </c>
      <c r="BB10" t="str">
        <f t="shared" si="25"/>
        <v/>
      </c>
      <c r="BC10" t="str">
        <f t="shared" si="26"/>
        <v/>
      </c>
      <c r="BD10" t="str">
        <f t="shared" si="27"/>
        <v/>
      </c>
      <c r="BE10" t="str">
        <f t="shared" si="28"/>
        <v/>
      </c>
      <c r="BF10" t="str">
        <f t="shared" si="29"/>
        <v/>
      </c>
      <c r="BG10" t="str">
        <f t="shared" si="30"/>
        <v/>
      </c>
      <c r="BH10" t="str">
        <f t="shared" si="31"/>
        <v/>
      </c>
    </row>
    <row r="11" spans="1:66" x14ac:dyDescent="0.2">
      <c r="A11">
        <v>8</v>
      </c>
      <c r="B11">
        <v>74</v>
      </c>
      <c r="C11" t="s">
        <v>39</v>
      </c>
      <c r="G11">
        <v>1</v>
      </c>
      <c r="J11">
        <v>3</v>
      </c>
      <c r="K11">
        <v>5</v>
      </c>
      <c r="N11">
        <v>4</v>
      </c>
      <c r="O11">
        <v>4</v>
      </c>
      <c r="P11" t="s">
        <v>302</v>
      </c>
      <c r="R11">
        <v>2</v>
      </c>
      <c r="S11">
        <v>1</v>
      </c>
      <c r="T11">
        <v>1</v>
      </c>
      <c r="U11">
        <v>13</v>
      </c>
      <c r="X11">
        <f t="shared" si="33"/>
        <v>3</v>
      </c>
      <c r="Y11" t="s">
        <v>174</v>
      </c>
      <c r="Z11" t="str">
        <f t="shared" si="0"/>
        <v/>
      </c>
      <c r="AA11" t="str">
        <f t="shared" si="1"/>
        <v/>
      </c>
      <c r="AB11" t="str">
        <f t="shared" si="2"/>
        <v/>
      </c>
      <c r="AC11" t="str">
        <f t="shared" si="3"/>
        <v/>
      </c>
      <c r="AE11" t="str">
        <f t="shared" si="4"/>
        <v>4</v>
      </c>
      <c r="AF11" t="str">
        <f t="shared" si="5"/>
        <v>5</v>
      </c>
      <c r="AG11" t="str">
        <f t="shared" si="6"/>
        <v/>
      </c>
      <c r="AH11" t="str">
        <f t="shared" si="7"/>
        <v/>
      </c>
      <c r="AI11" t="str">
        <f t="shared" si="8"/>
        <v/>
      </c>
      <c r="AK11" t="str">
        <f t="shared" si="9"/>
        <v>h1</v>
      </c>
      <c r="AL11" t="str">
        <f t="shared" si="32"/>
        <v>h2</v>
      </c>
      <c r="AM11" t="str">
        <f t="shared" si="10"/>
        <v/>
      </c>
      <c r="AN11" t="str">
        <f t="shared" si="11"/>
        <v/>
      </c>
      <c r="AO11" t="str">
        <f t="shared" si="12"/>
        <v/>
      </c>
      <c r="AP11" t="str">
        <f t="shared" si="13"/>
        <v/>
      </c>
      <c r="AQ11" t="str">
        <f t="shared" si="14"/>
        <v/>
      </c>
      <c r="AR11" t="str">
        <f t="shared" si="15"/>
        <v/>
      </c>
      <c r="AS11" t="str">
        <f t="shared" si="16"/>
        <v/>
      </c>
      <c r="AT11" t="str">
        <f t="shared" si="17"/>
        <v/>
      </c>
      <c r="AU11" t="str">
        <f t="shared" si="18"/>
        <v/>
      </c>
      <c r="AV11" t="str">
        <f t="shared" si="19"/>
        <v/>
      </c>
      <c r="AW11" t="str">
        <f t="shared" si="20"/>
        <v/>
      </c>
      <c r="AX11" t="str">
        <f t="shared" si="21"/>
        <v/>
      </c>
      <c r="AY11" t="str">
        <f t="shared" si="22"/>
        <v/>
      </c>
      <c r="AZ11" t="str">
        <f t="shared" si="23"/>
        <v/>
      </c>
      <c r="BA11" t="str">
        <f t="shared" si="24"/>
        <v/>
      </c>
      <c r="BB11" t="str">
        <f t="shared" si="25"/>
        <v/>
      </c>
      <c r="BC11" t="str">
        <f t="shared" si="26"/>
        <v/>
      </c>
      <c r="BD11" t="str">
        <f t="shared" si="27"/>
        <v/>
      </c>
      <c r="BE11" t="str">
        <f t="shared" si="28"/>
        <v/>
      </c>
      <c r="BF11" t="str">
        <f t="shared" si="29"/>
        <v/>
      </c>
      <c r="BG11" t="str">
        <f t="shared" si="30"/>
        <v/>
      </c>
      <c r="BH11" t="str">
        <f t="shared" si="31"/>
        <v/>
      </c>
    </row>
    <row r="12" spans="1:66" x14ac:dyDescent="0.2">
      <c r="A12">
        <v>9</v>
      </c>
      <c r="B12">
        <v>86</v>
      </c>
      <c r="C12" t="s">
        <v>207</v>
      </c>
      <c r="G12">
        <v>1</v>
      </c>
      <c r="J12" t="s">
        <v>285</v>
      </c>
      <c r="K12">
        <v>3</v>
      </c>
      <c r="N12">
        <v>4</v>
      </c>
      <c r="O12">
        <v>4</v>
      </c>
      <c r="P12" t="s">
        <v>275</v>
      </c>
      <c r="R12">
        <v>1</v>
      </c>
      <c r="S12">
        <v>1</v>
      </c>
      <c r="T12">
        <v>1</v>
      </c>
      <c r="U12">
        <v>10</v>
      </c>
      <c r="W12">
        <v>10</v>
      </c>
      <c r="X12">
        <f t="shared" si="33"/>
        <v>2</v>
      </c>
      <c r="Y12" t="s">
        <v>174</v>
      </c>
      <c r="Z12" t="str">
        <f t="shared" si="0"/>
        <v/>
      </c>
      <c r="AA12" t="str">
        <f t="shared" si="1"/>
        <v/>
      </c>
      <c r="AB12" t="str">
        <f t="shared" si="2"/>
        <v/>
      </c>
      <c r="AC12" t="str">
        <f t="shared" si="3"/>
        <v/>
      </c>
      <c r="AE12" t="str">
        <f t="shared" si="4"/>
        <v/>
      </c>
      <c r="AF12" t="str">
        <f t="shared" si="5"/>
        <v/>
      </c>
      <c r="AG12" t="str">
        <f t="shared" si="6"/>
        <v/>
      </c>
      <c r="AH12" t="str">
        <f t="shared" si="7"/>
        <v/>
      </c>
      <c r="AI12" t="str">
        <f t="shared" si="8"/>
        <v/>
      </c>
      <c r="AK12" t="str">
        <f t="shared" si="9"/>
        <v/>
      </c>
      <c r="AL12" t="str">
        <f t="shared" si="32"/>
        <v/>
      </c>
      <c r="AM12" t="str">
        <f t="shared" si="10"/>
        <v/>
      </c>
      <c r="AN12" t="str">
        <f t="shared" si="11"/>
        <v/>
      </c>
      <c r="AO12" t="str">
        <f t="shared" si="12"/>
        <v/>
      </c>
      <c r="AP12" t="str">
        <f t="shared" si="13"/>
        <v/>
      </c>
      <c r="AQ12" t="str">
        <f t="shared" si="14"/>
        <v/>
      </c>
      <c r="AR12" t="str">
        <f t="shared" si="15"/>
        <v/>
      </c>
      <c r="AS12" t="str">
        <f t="shared" si="16"/>
        <v/>
      </c>
      <c r="AT12" t="str">
        <f t="shared" si="17"/>
        <v/>
      </c>
      <c r="AU12" t="str">
        <f t="shared" si="18"/>
        <v/>
      </c>
      <c r="AV12" t="str">
        <f t="shared" si="19"/>
        <v/>
      </c>
      <c r="AW12" t="str">
        <f t="shared" si="20"/>
        <v/>
      </c>
      <c r="AX12" t="str">
        <f t="shared" si="21"/>
        <v/>
      </c>
      <c r="AY12" t="str">
        <f t="shared" si="22"/>
        <v/>
      </c>
      <c r="AZ12" t="str">
        <f t="shared" si="23"/>
        <v/>
      </c>
      <c r="BA12" t="str">
        <f t="shared" si="24"/>
        <v/>
      </c>
      <c r="BB12" t="str">
        <f t="shared" si="25"/>
        <v/>
      </c>
      <c r="BC12" t="str">
        <f t="shared" si="26"/>
        <v/>
      </c>
      <c r="BD12" t="str">
        <f t="shared" si="27"/>
        <v/>
      </c>
      <c r="BE12" t="str">
        <f t="shared" si="28"/>
        <v/>
      </c>
      <c r="BF12" t="str">
        <f t="shared" si="29"/>
        <v/>
      </c>
      <c r="BG12" t="str">
        <f t="shared" si="30"/>
        <v/>
      </c>
      <c r="BH12" t="str">
        <f t="shared" si="31"/>
        <v/>
      </c>
    </row>
    <row r="13" spans="1:66" x14ac:dyDescent="0.2">
      <c r="A13">
        <v>10</v>
      </c>
      <c r="B13">
        <v>93</v>
      </c>
      <c r="C13" t="s">
        <v>207</v>
      </c>
      <c r="G13">
        <v>4</v>
      </c>
      <c r="J13" t="s">
        <v>285</v>
      </c>
      <c r="K13">
        <v>3</v>
      </c>
      <c r="N13">
        <v>4</v>
      </c>
      <c r="O13">
        <v>4</v>
      </c>
      <c r="P13" t="s">
        <v>275</v>
      </c>
      <c r="R13">
        <v>1</v>
      </c>
      <c r="S13">
        <v>1</v>
      </c>
      <c r="U13">
        <v>11</v>
      </c>
      <c r="W13">
        <v>25</v>
      </c>
      <c r="X13">
        <f t="shared" si="33"/>
        <v>5</v>
      </c>
      <c r="Y13" t="s">
        <v>174</v>
      </c>
      <c r="Z13" t="str">
        <f t="shared" si="0"/>
        <v/>
      </c>
      <c r="AA13" t="str">
        <f t="shared" si="1"/>
        <v/>
      </c>
      <c r="AB13" t="str">
        <f t="shared" si="2"/>
        <v/>
      </c>
      <c r="AC13" t="str">
        <f t="shared" si="3"/>
        <v/>
      </c>
      <c r="AE13" t="str">
        <f t="shared" si="4"/>
        <v/>
      </c>
      <c r="AF13" t="str">
        <f t="shared" si="5"/>
        <v/>
      </c>
      <c r="AG13" t="str">
        <f t="shared" si="6"/>
        <v/>
      </c>
      <c r="AH13" t="str">
        <f t="shared" si="7"/>
        <v/>
      </c>
      <c r="AI13" t="str">
        <f t="shared" si="8"/>
        <v/>
      </c>
      <c r="AK13" t="str">
        <f t="shared" si="9"/>
        <v/>
      </c>
      <c r="AL13" t="str">
        <f t="shared" si="32"/>
        <v/>
      </c>
      <c r="AM13" t="str">
        <f t="shared" si="10"/>
        <v/>
      </c>
      <c r="AN13" t="str">
        <f t="shared" si="11"/>
        <v/>
      </c>
      <c r="AO13" t="str">
        <f t="shared" si="12"/>
        <v/>
      </c>
      <c r="AP13" t="str">
        <f t="shared" si="13"/>
        <v/>
      </c>
      <c r="AQ13" t="str">
        <f t="shared" si="14"/>
        <v/>
      </c>
      <c r="AR13" t="str">
        <f t="shared" si="15"/>
        <v/>
      </c>
      <c r="AS13" t="str">
        <f t="shared" si="16"/>
        <v/>
      </c>
      <c r="AT13" t="str">
        <f t="shared" si="17"/>
        <v/>
      </c>
      <c r="AU13" t="str">
        <f t="shared" si="18"/>
        <v/>
      </c>
      <c r="AV13" t="str">
        <f t="shared" si="19"/>
        <v/>
      </c>
      <c r="AW13" t="str">
        <f t="shared" si="20"/>
        <v/>
      </c>
      <c r="AX13" t="str">
        <f t="shared" si="21"/>
        <v/>
      </c>
      <c r="AY13" t="str">
        <f t="shared" si="22"/>
        <v/>
      </c>
      <c r="AZ13" t="str">
        <f t="shared" si="23"/>
        <v/>
      </c>
      <c r="BA13" t="str">
        <f t="shared" si="24"/>
        <v/>
      </c>
      <c r="BB13" t="str">
        <f t="shared" si="25"/>
        <v/>
      </c>
      <c r="BC13" t="str">
        <f t="shared" si="26"/>
        <v/>
      </c>
      <c r="BD13" t="str">
        <f t="shared" si="27"/>
        <v/>
      </c>
      <c r="BE13" t="str">
        <f t="shared" si="28"/>
        <v/>
      </c>
      <c r="BF13" t="str">
        <f t="shared" si="29"/>
        <v/>
      </c>
      <c r="BG13" t="str">
        <f t="shared" si="30"/>
        <v/>
      </c>
      <c r="BH13" t="str">
        <f t="shared" si="31"/>
        <v/>
      </c>
    </row>
    <row r="14" spans="1:66" x14ac:dyDescent="0.2">
      <c r="A14">
        <v>11</v>
      </c>
      <c r="B14">
        <v>106</v>
      </c>
      <c r="G14">
        <v>5</v>
      </c>
      <c r="K14">
        <v>5</v>
      </c>
      <c r="L14">
        <v>1</v>
      </c>
      <c r="N14">
        <v>5</v>
      </c>
      <c r="O14">
        <v>5</v>
      </c>
      <c r="R14">
        <v>1</v>
      </c>
      <c r="S14">
        <v>1</v>
      </c>
      <c r="T14">
        <v>1</v>
      </c>
      <c r="U14">
        <v>6</v>
      </c>
      <c r="W14">
        <v>10</v>
      </c>
      <c r="X14">
        <f t="shared" si="33"/>
        <v>6</v>
      </c>
      <c r="Z14" t="s">
        <v>31</v>
      </c>
      <c r="AE14" t="s">
        <v>34</v>
      </c>
      <c r="AK14" t="s">
        <v>43</v>
      </c>
      <c r="AP14" t="s">
        <v>84</v>
      </c>
    </row>
    <row r="15" spans="1:66" x14ac:dyDescent="0.2">
      <c r="A15">
        <v>12</v>
      </c>
      <c r="B15">
        <v>117</v>
      </c>
      <c r="C15" t="s">
        <v>39</v>
      </c>
      <c r="G15">
        <v>8</v>
      </c>
      <c r="K15">
        <v>1</v>
      </c>
      <c r="N15">
        <v>2</v>
      </c>
      <c r="O15">
        <v>2</v>
      </c>
      <c r="U15">
        <v>40</v>
      </c>
      <c r="X15">
        <f t="shared" si="33"/>
        <v>8</v>
      </c>
      <c r="Z15" t="s">
        <v>21</v>
      </c>
      <c r="AA15" t="s">
        <v>22</v>
      </c>
      <c r="AE15" t="s">
        <v>21</v>
      </c>
      <c r="AF15" t="s">
        <v>22</v>
      </c>
      <c r="AG15" t="s">
        <v>35</v>
      </c>
      <c r="AK15" t="s">
        <v>10</v>
      </c>
      <c r="AL15" t="s">
        <v>25</v>
      </c>
      <c r="AM15" t="s">
        <v>26</v>
      </c>
      <c r="AN15" t="s">
        <v>27</v>
      </c>
      <c r="AP15" t="s">
        <v>15</v>
      </c>
      <c r="AQ15" t="s">
        <v>85</v>
      </c>
    </row>
    <row r="16" spans="1:66" x14ac:dyDescent="0.2">
      <c r="A16" t="s">
        <v>28</v>
      </c>
      <c r="D16">
        <f>SUM(D4:D15)</f>
        <v>1</v>
      </c>
      <c r="E16">
        <f>SUM(E4:E15)</f>
        <v>0</v>
      </c>
      <c r="F16">
        <f>SUM(F4:F15)</f>
        <v>0</v>
      </c>
      <c r="G16">
        <f>SUM(G4:G15)</f>
        <v>56</v>
      </c>
      <c r="H16">
        <f>SUM(H4:H15)</f>
        <v>0</v>
      </c>
      <c r="K16">
        <f>SUM(K4:K15)</f>
        <v>35</v>
      </c>
      <c r="L16">
        <f>SUM(L4:L15)</f>
        <v>3</v>
      </c>
      <c r="M16">
        <f>SUM(M4:M15)</f>
        <v>0</v>
      </c>
      <c r="N16">
        <f>SUM(N4:N15)</f>
        <v>39</v>
      </c>
      <c r="O16">
        <f>SUM(O4:O15)</f>
        <v>38</v>
      </c>
      <c r="Q16">
        <f t="shared" ref="Q16:R16" si="34">SUM(Q4:Q15)</f>
        <v>0</v>
      </c>
      <c r="R16">
        <f t="shared" si="34"/>
        <v>18</v>
      </c>
      <c r="S16">
        <f>SUM(S4:S15)</f>
        <v>11</v>
      </c>
      <c r="T16">
        <f>SUM(T4:T15)</f>
        <v>10</v>
      </c>
      <c r="U16">
        <f>SUM(U4:U15)</f>
        <v>178</v>
      </c>
      <c r="V16">
        <f>SUM(V4:V15)</f>
        <v>0</v>
      </c>
      <c r="W16">
        <f>SUM(W4:W15)</f>
        <v>127</v>
      </c>
      <c r="Z16">
        <f t="shared" ref="Z16:Z27" si="35">COUNTIF(Z2:AC2, "3")*COUNTIF(C4, "r")+COUNTIF(Z2:AC2, "5")*COUNTIF(C4, "b")</f>
        <v>1</v>
      </c>
      <c r="AA16">
        <f t="shared" ref="AA16:AA27" si="36">COUNTIF(Z2:AC2, "1")+COUNTIF(Z2:AC2, "2")+COUNTIF(Z2:AC2, "4")</f>
        <v>0</v>
      </c>
      <c r="AE16">
        <f t="shared" ref="AE16:AE27" si="37">COUNTIF(AE2:AI2, "3")*COUNTIF(C4, "r") + COUNTIF(AE2:AI2, "5")*COUNTIF(C4, "b")</f>
        <v>0</v>
      </c>
      <c r="AF16">
        <f t="shared" ref="AF16:AF27" si="38">COUNTIF(AE2:AI2, "1")+COUNTIF(AE2:AI2, "2")+COUNTIF(AE2:AI2, "4")</f>
        <v>0</v>
      </c>
      <c r="AG16">
        <f t="shared" ref="AG16:AG27" si="39">COUNTIF(AE2:AI2, "3")*COUNTIF(AE2:AI2, "b")+COUNTIF(AE2:AI2, "5")*COUNTIF(AE2:AI2, "r")</f>
        <v>0</v>
      </c>
      <c r="AK16">
        <f t="shared" ref="AK16:AK27" si="40">SUMPRODUCT(LEN($AK2:$BH2) - LEN(SUBSTITUTE($AK2:$BH2, "g", "")))</f>
        <v>0</v>
      </c>
      <c r="AL16">
        <f t="shared" ref="AL16:AL27" si="41">SUMPRODUCT(LEN($AK2:$BH2) - LEN(SUBSTITUTE($AK2:$BH2, "h", "")))</f>
        <v>0</v>
      </c>
      <c r="AM16">
        <f t="shared" ref="AM16:AM27" si="42">SUMPRODUCT(LEN($AK2:$BH2) - LEN(SUBSTITUTE($AK2:$BH2, "v", "")))</f>
        <v>0</v>
      </c>
      <c r="AN16">
        <f t="shared" ref="AN16:AN27" si="43">SUMPRODUCT(LEN($AK2:$BH2) - LEN(SUBSTITUTE($AK2:$BH2, "r", "")))</f>
        <v>1</v>
      </c>
      <c r="AP16">
        <f>MAX(AQ16:BN16)</f>
        <v>1</v>
      </c>
      <c r="AQ16" s="4">
        <f>_xlfn.NUMBERVALUE(RIGHT(AK2,1))</f>
        <v>1</v>
      </c>
      <c r="AR16" s="4">
        <f t="shared" ref="AR16:BG27" si="44">_xlfn.NUMBERVALUE(RIGHT(AL2,1))</f>
        <v>0</v>
      </c>
      <c r="AS16" s="4">
        <f t="shared" si="44"/>
        <v>0</v>
      </c>
      <c r="AT16" s="4">
        <f t="shared" si="44"/>
        <v>0</v>
      </c>
      <c r="AU16" s="4">
        <f t="shared" si="44"/>
        <v>0</v>
      </c>
      <c r="AV16" s="4">
        <f t="shared" si="44"/>
        <v>0</v>
      </c>
      <c r="AW16" s="4">
        <f t="shared" si="44"/>
        <v>0</v>
      </c>
      <c r="AX16" s="4">
        <f t="shared" si="44"/>
        <v>0</v>
      </c>
      <c r="AY16" s="4">
        <f t="shared" si="44"/>
        <v>0</v>
      </c>
      <c r="AZ16" s="4">
        <f t="shared" si="44"/>
        <v>0</v>
      </c>
      <c r="BA16" s="4">
        <f t="shared" si="44"/>
        <v>0</v>
      </c>
      <c r="BB16" s="4">
        <f t="shared" si="44"/>
        <v>0</v>
      </c>
      <c r="BC16" s="4">
        <f t="shared" si="44"/>
        <v>0</v>
      </c>
      <c r="BD16" s="4">
        <f t="shared" si="44"/>
        <v>0</v>
      </c>
      <c r="BE16" s="4">
        <f t="shared" si="44"/>
        <v>0</v>
      </c>
      <c r="BF16" s="4">
        <f t="shared" si="44"/>
        <v>0</v>
      </c>
      <c r="BG16" s="4">
        <f t="shared" si="44"/>
        <v>0</v>
      </c>
      <c r="BH16" s="4">
        <f t="shared" ref="BH16:BN27" si="45">_xlfn.NUMBERVALUE(RIGHT(BB2,1))</f>
        <v>0</v>
      </c>
      <c r="BI16" s="4">
        <f t="shared" si="45"/>
        <v>0</v>
      </c>
      <c r="BJ16" s="4">
        <f t="shared" si="45"/>
        <v>0</v>
      </c>
      <c r="BK16" s="4">
        <f t="shared" si="45"/>
        <v>0</v>
      </c>
      <c r="BL16" s="4">
        <f t="shared" si="45"/>
        <v>0</v>
      </c>
      <c r="BM16" s="4">
        <f t="shared" si="45"/>
        <v>0</v>
      </c>
      <c r="BN16" s="4">
        <f t="shared" si="45"/>
        <v>0</v>
      </c>
    </row>
    <row r="17" spans="1:66" x14ac:dyDescent="0.2">
      <c r="A17" s="1" t="s">
        <v>20</v>
      </c>
      <c r="D17" s="1" t="s">
        <v>49</v>
      </c>
      <c r="G17" s="1" t="s">
        <v>52</v>
      </c>
      <c r="K17" s="3" t="s">
        <v>74</v>
      </c>
      <c r="P17" s="1" t="s">
        <v>66</v>
      </c>
      <c r="Z17">
        <f t="shared" si="35"/>
        <v>0</v>
      </c>
      <c r="AA17">
        <f t="shared" si="36"/>
        <v>0</v>
      </c>
      <c r="AE17">
        <f t="shared" si="37"/>
        <v>1</v>
      </c>
      <c r="AF17">
        <f t="shared" si="38"/>
        <v>0</v>
      </c>
      <c r="AG17">
        <f t="shared" si="39"/>
        <v>0</v>
      </c>
      <c r="AK17">
        <f t="shared" si="40"/>
        <v>0</v>
      </c>
      <c r="AL17">
        <f t="shared" si="41"/>
        <v>1</v>
      </c>
      <c r="AM17">
        <f t="shared" si="42"/>
        <v>0</v>
      </c>
      <c r="AN17">
        <f t="shared" si="43"/>
        <v>1</v>
      </c>
      <c r="AP17">
        <f t="shared" ref="AP17:AP27" si="46">MAX(AQ17:BN17)</f>
        <v>2</v>
      </c>
      <c r="AQ17" s="4">
        <f t="shared" ref="AQ17:AQ27" si="47">_xlfn.NUMBERVALUE(RIGHT(AK3,1))</f>
        <v>1</v>
      </c>
      <c r="AR17" s="4">
        <f t="shared" si="44"/>
        <v>2</v>
      </c>
      <c r="AS17" s="4">
        <f t="shared" si="44"/>
        <v>0</v>
      </c>
      <c r="AT17" s="4">
        <f t="shared" si="44"/>
        <v>0</v>
      </c>
      <c r="AU17" s="4">
        <f t="shared" si="44"/>
        <v>0</v>
      </c>
      <c r="AV17" s="4">
        <f t="shared" si="44"/>
        <v>0</v>
      </c>
      <c r="AW17" s="4">
        <f t="shared" si="44"/>
        <v>0</v>
      </c>
      <c r="AX17" s="4">
        <f t="shared" si="44"/>
        <v>0</v>
      </c>
      <c r="AY17" s="4">
        <f t="shared" si="44"/>
        <v>0</v>
      </c>
      <c r="AZ17" s="4">
        <f t="shared" si="44"/>
        <v>0</v>
      </c>
      <c r="BA17" s="4">
        <f t="shared" si="44"/>
        <v>0</v>
      </c>
      <c r="BB17" s="4">
        <f t="shared" si="44"/>
        <v>0</v>
      </c>
      <c r="BC17" s="4">
        <f t="shared" si="44"/>
        <v>0</v>
      </c>
      <c r="BD17" s="4">
        <f t="shared" si="44"/>
        <v>0</v>
      </c>
      <c r="BE17" s="4">
        <f t="shared" si="44"/>
        <v>0</v>
      </c>
      <c r="BF17" s="4">
        <f t="shared" si="44"/>
        <v>0</v>
      </c>
      <c r="BG17" s="4">
        <f t="shared" si="44"/>
        <v>0</v>
      </c>
      <c r="BH17" s="4">
        <f t="shared" si="45"/>
        <v>0</v>
      </c>
      <c r="BI17" s="4">
        <f t="shared" si="45"/>
        <v>0</v>
      </c>
      <c r="BJ17" s="4">
        <f t="shared" si="45"/>
        <v>0</v>
      </c>
      <c r="BK17" s="4">
        <f t="shared" si="45"/>
        <v>0</v>
      </c>
      <c r="BL17" s="4">
        <f t="shared" si="45"/>
        <v>0</v>
      </c>
      <c r="BM17" s="4">
        <f t="shared" si="45"/>
        <v>0</v>
      </c>
      <c r="BN17" s="4">
        <f t="shared" si="45"/>
        <v>0</v>
      </c>
    </row>
    <row r="18" spans="1:66" x14ac:dyDescent="0.2">
      <c r="A18" t="s">
        <v>32</v>
      </c>
      <c r="B18" t="s">
        <v>21</v>
      </c>
      <c r="D18" t="s">
        <v>180</v>
      </c>
      <c r="G18" s="3" t="s">
        <v>53</v>
      </c>
      <c r="K18" t="s">
        <v>55</v>
      </c>
      <c r="M18" t="s">
        <v>65</v>
      </c>
      <c r="P18" t="s">
        <v>67</v>
      </c>
      <c r="Z18">
        <f t="shared" si="35"/>
        <v>0</v>
      </c>
      <c r="AA18">
        <f t="shared" si="36"/>
        <v>0</v>
      </c>
      <c r="AE18">
        <f t="shared" si="37"/>
        <v>0</v>
      </c>
      <c r="AF18">
        <f t="shared" si="38"/>
        <v>1</v>
      </c>
      <c r="AG18">
        <f t="shared" si="39"/>
        <v>0</v>
      </c>
      <c r="AK18">
        <f t="shared" si="40"/>
        <v>1</v>
      </c>
      <c r="AL18">
        <f t="shared" si="41"/>
        <v>0</v>
      </c>
      <c r="AM18">
        <f t="shared" si="42"/>
        <v>0</v>
      </c>
      <c r="AN18">
        <f t="shared" si="43"/>
        <v>0</v>
      </c>
      <c r="AP18">
        <f t="shared" si="46"/>
        <v>1</v>
      </c>
      <c r="AQ18" s="4">
        <f t="shared" si="47"/>
        <v>1</v>
      </c>
      <c r="AR18" s="4">
        <f t="shared" si="44"/>
        <v>0</v>
      </c>
      <c r="AS18" s="4">
        <f t="shared" si="44"/>
        <v>0</v>
      </c>
      <c r="AT18" s="4">
        <f t="shared" si="44"/>
        <v>0</v>
      </c>
      <c r="AU18" s="4">
        <f t="shared" si="44"/>
        <v>0</v>
      </c>
      <c r="AV18" s="4">
        <f t="shared" si="44"/>
        <v>0</v>
      </c>
      <c r="AW18" s="4">
        <f t="shared" si="44"/>
        <v>0</v>
      </c>
      <c r="AX18" s="4">
        <f t="shared" si="44"/>
        <v>0</v>
      </c>
      <c r="AY18" s="4">
        <f t="shared" si="44"/>
        <v>0</v>
      </c>
      <c r="AZ18" s="4">
        <f t="shared" si="44"/>
        <v>0</v>
      </c>
      <c r="BA18" s="4">
        <f t="shared" si="44"/>
        <v>0</v>
      </c>
      <c r="BB18" s="4">
        <f t="shared" si="44"/>
        <v>0</v>
      </c>
      <c r="BC18" s="4">
        <f t="shared" si="44"/>
        <v>0</v>
      </c>
      <c r="BD18" s="4">
        <f t="shared" si="44"/>
        <v>0</v>
      </c>
      <c r="BE18" s="4">
        <f t="shared" si="44"/>
        <v>0</v>
      </c>
      <c r="BF18" s="4">
        <f t="shared" si="44"/>
        <v>0</v>
      </c>
      <c r="BG18" s="4">
        <f t="shared" si="44"/>
        <v>0</v>
      </c>
      <c r="BH18" s="4">
        <f t="shared" si="45"/>
        <v>0</v>
      </c>
      <c r="BI18" s="4">
        <f t="shared" si="45"/>
        <v>0</v>
      </c>
      <c r="BJ18" s="4">
        <f t="shared" si="45"/>
        <v>0</v>
      </c>
      <c r="BK18" s="4">
        <f t="shared" si="45"/>
        <v>0</v>
      </c>
      <c r="BL18" s="4">
        <f t="shared" si="45"/>
        <v>0</v>
      </c>
      <c r="BM18" s="4">
        <f t="shared" si="45"/>
        <v>0</v>
      </c>
      <c r="BN18" s="4">
        <f t="shared" si="45"/>
        <v>0</v>
      </c>
    </row>
    <row r="19" spans="1:66" x14ac:dyDescent="0.2">
      <c r="A19" t="s">
        <v>40</v>
      </c>
      <c r="B19" t="s">
        <v>22</v>
      </c>
      <c r="D19">
        <f>E16/D16</f>
        <v>0</v>
      </c>
      <c r="G19" t="s">
        <v>75</v>
      </c>
      <c r="K19">
        <f>O16/N16</f>
        <v>0.97435897435897434</v>
      </c>
      <c r="M19">
        <f>SUM(M39:M50)</f>
        <v>-3</v>
      </c>
      <c r="P19">
        <f>T16/S16</f>
        <v>0.90909090909090906</v>
      </c>
      <c r="Z19">
        <f t="shared" si="35"/>
        <v>0</v>
      </c>
      <c r="AA19">
        <f t="shared" si="36"/>
        <v>0</v>
      </c>
      <c r="AE19">
        <f t="shared" si="37"/>
        <v>1</v>
      </c>
      <c r="AF19">
        <f t="shared" si="38"/>
        <v>0</v>
      </c>
      <c r="AG19">
        <f t="shared" si="39"/>
        <v>0</v>
      </c>
      <c r="AK19">
        <f t="shared" si="40"/>
        <v>0</v>
      </c>
      <c r="AL19">
        <f t="shared" si="41"/>
        <v>0</v>
      </c>
      <c r="AM19">
        <f t="shared" si="42"/>
        <v>0</v>
      </c>
      <c r="AN19">
        <f t="shared" si="43"/>
        <v>0</v>
      </c>
      <c r="AP19">
        <f t="shared" si="46"/>
        <v>0</v>
      </c>
      <c r="AQ19" s="4">
        <f t="shared" si="47"/>
        <v>0</v>
      </c>
      <c r="AR19" s="4">
        <f t="shared" si="44"/>
        <v>0</v>
      </c>
      <c r="AS19" s="4">
        <f t="shared" si="44"/>
        <v>0</v>
      </c>
      <c r="AT19" s="4">
        <f t="shared" si="44"/>
        <v>0</v>
      </c>
      <c r="AU19" s="4">
        <f t="shared" si="44"/>
        <v>0</v>
      </c>
      <c r="AV19" s="4">
        <f t="shared" si="44"/>
        <v>0</v>
      </c>
      <c r="AW19" s="4">
        <f t="shared" si="44"/>
        <v>0</v>
      </c>
      <c r="AX19" s="4">
        <f t="shared" si="44"/>
        <v>0</v>
      </c>
      <c r="AY19" s="4">
        <f t="shared" si="44"/>
        <v>0</v>
      </c>
      <c r="AZ19" s="4">
        <f t="shared" si="44"/>
        <v>0</v>
      </c>
      <c r="BA19" s="4">
        <f t="shared" si="44"/>
        <v>0</v>
      </c>
      <c r="BB19" s="4">
        <f t="shared" si="44"/>
        <v>0</v>
      </c>
      <c r="BC19" s="4">
        <f t="shared" si="44"/>
        <v>0</v>
      </c>
      <c r="BD19" s="4">
        <f t="shared" si="44"/>
        <v>0</v>
      </c>
      <c r="BE19" s="4">
        <f t="shared" si="44"/>
        <v>0</v>
      </c>
      <c r="BF19" s="4">
        <f t="shared" si="44"/>
        <v>0</v>
      </c>
      <c r="BG19" s="4">
        <f t="shared" si="44"/>
        <v>0</v>
      </c>
      <c r="BH19" s="4">
        <f t="shared" si="45"/>
        <v>0</v>
      </c>
      <c r="BI19" s="4">
        <f t="shared" si="45"/>
        <v>0</v>
      </c>
      <c r="BJ19" s="4">
        <f t="shared" si="45"/>
        <v>0</v>
      </c>
      <c r="BK19" s="4">
        <f t="shared" si="45"/>
        <v>0</v>
      </c>
      <c r="BL19" s="4">
        <f t="shared" si="45"/>
        <v>0</v>
      </c>
      <c r="BM19" s="4">
        <f t="shared" si="45"/>
        <v>0</v>
      </c>
      <c r="BN19" s="4">
        <f t="shared" si="45"/>
        <v>0</v>
      </c>
    </row>
    <row r="20" spans="1:66" x14ac:dyDescent="0.2">
      <c r="A20" t="s">
        <v>41</v>
      </c>
      <c r="B20" t="s">
        <v>23</v>
      </c>
      <c r="D20" t="s">
        <v>47</v>
      </c>
      <c r="G20">
        <f>AK28/AP28</f>
        <v>0.2</v>
      </c>
      <c r="K20" t="s">
        <v>13</v>
      </c>
      <c r="Z20">
        <f t="shared" si="35"/>
        <v>0</v>
      </c>
      <c r="AA20">
        <f t="shared" si="36"/>
        <v>0</v>
      </c>
      <c r="AE20">
        <f t="shared" si="37"/>
        <v>0</v>
      </c>
      <c r="AF20">
        <f t="shared" si="38"/>
        <v>0</v>
      </c>
      <c r="AG20">
        <f t="shared" si="39"/>
        <v>0</v>
      </c>
      <c r="AK20">
        <f t="shared" si="40"/>
        <v>0</v>
      </c>
      <c r="AL20">
        <f t="shared" si="41"/>
        <v>0</v>
      </c>
      <c r="AM20">
        <f t="shared" si="42"/>
        <v>0</v>
      </c>
      <c r="AN20">
        <f t="shared" si="43"/>
        <v>0</v>
      </c>
      <c r="AP20">
        <f t="shared" si="46"/>
        <v>0</v>
      </c>
      <c r="AQ20" s="4">
        <f t="shared" si="47"/>
        <v>0</v>
      </c>
      <c r="AR20" s="4">
        <f t="shared" si="44"/>
        <v>0</v>
      </c>
      <c r="AS20" s="4">
        <f t="shared" si="44"/>
        <v>0</v>
      </c>
      <c r="AT20" s="4">
        <f t="shared" si="44"/>
        <v>0</v>
      </c>
      <c r="AU20" s="4">
        <f t="shared" si="44"/>
        <v>0</v>
      </c>
      <c r="AV20" s="4">
        <f t="shared" si="44"/>
        <v>0</v>
      </c>
      <c r="AW20" s="4">
        <f t="shared" si="44"/>
        <v>0</v>
      </c>
      <c r="AX20" s="4">
        <f t="shared" si="44"/>
        <v>0</v>
      </c>
      <c r="AY20" s="4">
        <f t="shared" si="44"/>
        <v>0</v>
      </c>
      <c r="AZ20" s="4">
        <f t="shared" si="44"/>
        <v>0</v>
      </c>
      <c r="BA20" s="4">
        <f t="shared" si="44"/>
        <v>0</v>
      </c>
      <c r="BB20" s="4">
        <f t="shared" si="44"/>
        <v>0</v>
      </c>
      <c r="BC20" s="4">
        <f t="shared" si="44"/>
        <v>0</v>
      </c>
      <c r="BD20" s="4">
        <f t="shared" si="44"/>
        <v>0</v>
      </c>
      <c r="BE20" s="4">
        <f t="shared" si="44"/>
        <v>0</v>
      </c>
      <c r="BF20" s="4">
        <f t="shared" si="44"/>
        <v>0</v>
      </c>
      <c r="BG20" s="4">
        <f t="shared" si="44"/>
        <v>0</v>
      </c>
      <c r="BH20" s="4">
        <f t="shared" si="45"/>
        <v>0</v>
      </c>
      <c r="BI20" s="4">
        <f t="shared" si="45"/>
        <v>0</v>
      </c>
      <c r="BJ20" s="4">
        <f t="shared" si="45"/>
        <v>0</v>
      </c>
      <c r="BK20" s="4">
        <f t="shared" si="45"/>
        <v>0</v>
      </c>
      <c r="BL20" s="4">
        <f t="shared" si="45"/>
        <v>0</v>
      </c>
      <c r="BM20" s="4">
        <f t="shared" si="45"/>
        <v>0</v>
      </c>
      <c r="BN20" s="4">
        <f t="shared" si="45"/>
        <v>0</v>
      </c>
    </row>
    <row r="21" spans="1:66" x14ac:dyDescent="0.2">
      <c r="A21" s="1" t="s">
        <v>24</v>
      </c>
      <c r="D21">
        <f>G16/A31</f>
        <v>4.666666666666667</v>
      </c>
      <c r="G21" t="s">
        <v>76</v>
      </c>
      <c r="K21" t="s">
        <v>57</v>
      </c>
      <c r="L21" t="s">
        <v>58</v>
      </c>
      <c r="M21" t="s">
        <v>59</v>
      </c>
      <c r="N21" t="s">
        <v>60</v>
      </c>
      <c r="Z21">
        <f t="shared" si="35"/>
        <v>0</v>
      </c>
      <c r="AA21">
        <f t="shared" si="36"/>
        <v>0</v>
      </c>
      <c r="AE21">
        <f t="shared" si="37"/>
        <v>1</v>
      </c>
      <c r="AF21">
        <f t="shared" si="38"/>
        <v>0</v>
      </c>
      <c r="AG21">
        <f t="shared" si="39"/>
        <v>0</v>
      </c>
      <c r="AK21">
        <f t="shared" si="40"/>
        <v>0</v>
      </c>
      <c r="AL21">
        <f t="shared" si="41"/>
        <v>2</v>
      </c>
      <c r="AM21">
        <f t="shared" si="42"/>
        <v>0</v>
      </c>
      <c r="AN21">
        <f t="shared" si="43"/>
        <v>0</v>
      </c>
      <c r="AP21">
        <f t="shared" si="46"/>
        <v>2</v>
      </c>
      <c r="AQ21" s="4">
        <f t="shared" si="47"/>
        <v>1</v>
      </c>
      <c r="AR21" s="4">
        <f t="shared" si="44"/>
        <v>2</v>
      </c>
      <c r="AS21" s="4">
        <f t="shared" si="44"/>
        <v>0</v>
      </c>
      <c r="AT21" s="4">
        <f t="shared" si="44"/>
        <v>0</v>
      </c>
      <c r="AU21" s="4">
        <f t="shared" si="44"/>
        <v>0</v>
      </c>
      <c r="AV21" s="4">
        <f t="shared" si="44"/>
        <v>0</v>
      </c>
      <c r="AW21" s="4">
        <f t="shared" si="44"/>
        <v>0</v>
      </c>
      <c r="AX21" s="4">
        <f t="shared" si="44"/>
        <v>0</v>
      </c>
      <c r="AY21" s="4">
        <f t="shared" si="44"/>
        <v>0</v>
      </c>
      <c r="AZ21" s="4">
        <f t="shared" si="44"/>
        <v>0</v>
      </c>
      <c r="BA21" s="4">
        <f t="shared" si="44"/>
        <v>0</v>
      </c>
      <c r="BB21" s="4">
        <f t="shared" si="44"/>
        <v>0</v>
      </c>
      <c r="BC21" s="4">
        <f t="shared" si="44"/>
        <v>0</v>
      </c>
      <c r="BD21" s="4">
        <f t="shared" si="44"/>
        <v>0</v>
      </c>
      <c r="BE21" s="4">
        <f t="shared" si="44"/>
        <v>0</v>
      </c>
      <c r="BF21" s="4">
        <f t="shared" si="44"/>
        <v>0</v>
      </c>
      <c r="BG21" s="4">
        <f t="shared" si="44"/>
        <v>0</v>
      </c>
      <c r="BH21" s="4">
        <f t="shared" si="45"/>
        <v>0</v>
      </c>
      <c r="BI21" s="4">
        <f t="shared" si="45"/>
        <v>0</v>
      </c>
      <c r="BJ21" s="4">
        <f t="shared" si="45"/>
        <v>0</v>
      </c>
      <c r="BK21" s="4">
        <f t="shared" si="45"/>
        <v>0</v>
      </c>
      <c r="BL21" s="4">
        <f t="shared" si="45"/>
        <v>0</v>
      </c>
      <c r="BM21" s="4">
        <f t="shared" si="45"/>
        <v>0</v>
      </c>
      <c r="BN21" s="4">
        <f t="shared" si="45"/>
        <v>0</v>
      </c>
    </row>
    <row r="22" spans="1:66" x14ac:dyDescent="0.2">
      <c r="A22" t="s">
        <v>36</v>
      </c>
      <c r="B22" t="s">
        <v>10</v>
      </c>
      <c r="D22" t="s">
        <v>48</v>
      </c>
      <c r="G22">
        <f>AL28/AP28</f>
        <v>0.66666666666666663</v>
      </c>
      <c r="K22">
        <f>AVERAGE(C39:C50)</f>
        <v>3.1666666666666665</v>
      </c>
      <c r="L22">
        <f>MEDIAN(C39:C50)</f>
        <v>3</v>
      </c>
      <c r="M22">
        <f>MAX(C39:C50)</f>
        <v>5</v>
      </c>
      <c r="N22">
        <f>_xlfn.STDEV.S(C39:C50)</f>
        <v>1.0298573010888747</v>
      </c>
      <c r="Z22">
        <f t="shared" si="35"/>
        <v>0</v>
      </c>
      <c r="AA22">
        <f t="shared" si="36"/>
        <v>0</v>
      </c>
      <c r="AE22">
        <f t="shared" si="37"/>
        <v>0</v>
      </c>
      <c r="AF22">
        <f t="shared" si="38"/>
        <v>0</v>
      </c>
      <c r="AG22">
        <f t="shared" si="39"/>
        <v>0</v>
      </c>
      <c r="AK22">
        <f t="shared" si="40"/>
        <v>1</v>
      </c>
      <c r="AL22">
        <f t="shared" si="41"/>
        <v>2</v>
      </c>
      <c r="AM22">
        <f t="shared" si="42"/>
        <v>0</v>
      </c>
      <c r="AN22">
        <f t="shared" si="43"/>
        <v>1</v>
      </c>
      <c r="AP22">
        <f t="shared" si="46"/>
        <v>3</v>
      </c>
      <c r="AQ22" s="4">
        <f t="shared" si="47"/>
        <v>1</v>
      </c>
      <c r="AR22" s="4">
        <f t="shared" si="44"/>
        <v>1</v>
      </c>
      <c r="AS22" s="4">
        <f t="shared" si="44"/>
        <v>2</v>
      </c>
      <c r="AT22" s="4">
        <f t="shared" si="44"/>
        <v>3</v>
      </c>
      <c r="AU22" s="4">
        <f t="shared" si="44"/>
        <v>0</v>
      </c>
      <c r="AV22" s="4">
        <f t="shared" si="44"/>
        <v>0</v>
      </c>
      <c r="AW22" s="4">
        <f t="shared" si="44"/>
        <v>0</v>
      </c>
      <c r="AX22" s="4">
        <f t="shared" si="44"/>
        <v>0</v>
      </c>
      <c r="AY22" s="4">
        <f t="shared" si="44"/>
        <v>0</v>
      </c>
      <c r="AZ22" s="4">
        <f t="shared" si="44"/>
        <v>0</v>
      </c>
      <c r="BA22" s="4">
        <f t="shared" si="44"/>
        <v>0</v>
      </c>
      <c r="BB22" s="4">
        <f t="shared" si="44"/>
        <v>0</v>
      </c>
      <c r="BC22" s="4">
        <f t="shared" si="44"/>
        <v>0</v>
      </c>
      <c r="BD22" s="4">
        <f t="shared" si="44"/>
        <v>0</v>
      </c>
      <c r="BE22" s="4">
        <f t="shared" si="44"/>
        <v>0</v>
      </c>
      <c r="BF22" s="4">
        <f t="shared" si="44"/>
        <v>0</v>
      </c>
      <c r="BG22" s="4">
        <f t="shared" si="44"/>
        <v>0</v>
      </c>
      <c r="BH22" s="4">
        <f t="shared" si="45"/>
        <v>0</v>
      </c>
      <c r="BI22" s="4">
        <f t="shared" si="45"/>
        <v>0</v>
      </c>
      <c r="BJ22" s="4">
        <f t="shared" si="45"/>
        <v>0</v>
      </c>
      <c r="BK22" s="4">
        <f t="shared" si="45"/>
        <v>0</v>
      </c>
      <c r="BL22" s="4">
        <f t="shared" si="45"/>
        <v>0</v>
      </c>
      <c r="BM22" s="4">
        <f t="shared" si="45"/>
        <v>0</v>
      </c>
      <c r="BN22" s="4">
        <f t="shared" si="45"/>
        <v>0</v>
      </c>
    </row>
    <row r="23" spans="1:66" x14ac:dyDescent="0.2">
      <c r="A23" t="s">
        <v>37</v>
      </c>
      <c r="B23" t="s">
        <v>25</v>
      </c>
      <c r="D23">
        <f>H16/A31</f>
        <v>0</v>
      </c>
      <c r="G23" t="s">
        <v>77</v>
      </c>
      <c r="K23" t="s">
        <v>8</v>
      </c>
      <c r="Z23">
        <f t="shared" si="35"/>
        <v>0</v>
      </c>
      <c r="AA23">
        <f t="shared" si="36"/>
        <v>0</v>
      </c>
      <c r="AE23">
        <f t="shared" si="37"/>
        <v>1</v>
      </c>
      <c r="AF23">
        <f t="shared" si="38"/>
        <v>0</v>
      </c>
      <c r="AG23">
        <f t="shared" si="39"/>
        <v>0</v>
      </c>
      <c r="AK23">
        <f t="shared" si="40"/>
        <v>1</v>
      </c>
      <c r="AL23">
        <f t="shared" si="41"/>
        <v>1</v>
      </c>
      <c r="AM23">
        <f t="shared" si="42"/>
        <v>0</v>
      </c>
      <c r="AN23">
        <f t="shared" si="43"/>
        <v>0</v>
      </c>
      <c r="AP23">
        <f t="shared" si="46"/>
        <v>2</v>
      </c>
      <c r="AQ23" s="4">
        <f t="shared" si="47"/>
        <v>1</v>
      </c>
      <c r="AR23" s="4">
        <f t="shared" si="44"/>
        <v>2</v>
      </c>
      <c r="AS23" s="4">
        <f t="shared" si="44"/>
        <v>0</v>
      </c>
      <c r="AT23" s="4">
        <f t="shared" si="44"/>
        <v>0</v>
      </c>
      <c r="AU23" s="4">
        <f t="shared" si="44"/>
        <v>0</v>
      </c>
      <c r="AV23" s="4">
        <f t="shared" si="44"/>
        <v>0</v>
      </c>
      <c r="AW23" s="4">
        <f t="shared" si="44"/>
        <v>0</v>
      </c>
      <c r="AX23" s="4">
        <f t="shared" si="44"/>
        <v>0</v>
      </c>
      <c r="AY23" s="4">
        <f t="shared" si="44"/>
        <v>0</v>
      </c>
      <c r="AZ23" s="4">
        <f t="shared" si="44"/>
        <v>0</v>
      </c>
      <c r="BA23" s="4">
        <f t="shared" si="44"/>
        <v>0</v>
      </c>
      <c r="BB23" s="4">
        <f t="shared" si="44"/>
        <v>0</v>
      </c>
      <c r="BC23" s="4">
        <f t="shared" si="44"/>
        <v>0</v>
      </c>
      <c r="BD23" s="4">
        <f t="shared" si="44"/>
        <v>0</v>
      </c>
      <c r="BE23" s="4">
        <f t="shared" si="44"/>
        <v>0</v>
      </c>
      <c r="BF23" s="4">
        <f t="shared" si="44"/>
        <v>0</v>
      </c>
      <c r="BG23" s="4">
        <f t="shared" si="44"/>
        <v>0</v>
      </c>
      <c r="BH23" s="4">
        <f t="shared" si="45"/>
        <v>0</v>
      </c>
      <c r="BI23" s="4">
        <f t="shared" si="45"/>
        <v>0</v>
      </c>
      <c r="BJ23" s="4">
        <f t="shared" si="45"/>
        <v>0</v>
      </c>
      <c r="BK23" s="4">
        <f t="shared" si="45"/>
        <v>0</v>
      </c>
      <c r="BL23" s="4">
        <f t="shared" si="45"/>
        <v>0</v>
      </c>
      <c r="BM23" s="4">
        <f t="shared" si="45"/>
        <v>0</v>
      </c>
      <c r="BN23" s="4">
        <f t="shared" si="45"/>
        <v>0</v>
      </c>
    </row>
    <row r="24" spans="1:66" x14ac:dyDescent="0.2">
      <c r="A24" t="s">
        <v>38</v>
      </c>
      <c r="B24" t="s">
        <v>26</v>
      </c>
      <c r="D24" t="s">
        <v>50</v>
      </c>
      <c r="G24">
        <f>AM28/AP28</f>
        <v>0</v>
      </c>
      <c r="K24" t="s">
        <v>57</v>
      </c>
      <c r="L24" t="s">
        <v>61</v>
      </c>
      <c r="M24" t="s">
        <v>59</v>
      </c>
      <c r="N24" t="s">
        <v>60</v>
      </c>
      <c r="Z24">
        <f t="shared" si="35"/>
        <v>0</v>
      </c>
      <c r="AA24">
        <f t="shared" si="36"/>
        <v>0</v>
      </c>
      <c r="AE24">
        <f t="shared" si="37"/>
        <v>1</v>
      </c>
      <c r="AF24">
        <f t="shared" si="38"/>
        <v>1</v>
      </c>
      <c r="AG24">
        <f t="shared" si="39"/>
        <v>0</v>
      </c>
      <c r="AK24">
        <f t="shared" si="40"/>
        <v>0</v>
      </c>
      <c r="AL24">
        <f t="shared" si="41"/>
        <v>2</v>
      </c>
      <c r="AM24">
        <f t="shared" si="42"/>
        <v>0</v>
      </c>
      <c r="AN24">
        <f t="shared" si="43"/>
        <v>0</v>
      </c>
      <c r="AP24">
        <f t="shared" si="46"/>
        <v>2</v>
      </c>
      <c r="AQ24" s="4">
        <f t="shared" si="47"/>
        <v>1</v>
      </c>
      <c r="AR24" s="4">
        <f t="shared" si="44"/>
        <v>2</v>
      </c>
      <c r="AS24" s="4">
        <f t="shared" si="44"/>
        <v>0</v>
      </c>
      <c r="AT24" s="4">
        <f t="shared" si="44"/>
        <v>0</v>
      </c>
      <c r="AU24" s="4">
        <f t="shared" si="44"/>
        <v>0</v>
      </c>
      <c r="AV24" s="4">
        <f t="shared" si="44"/>
        <v>0</v>
      </c>
      <c r="AW24" s="4">
        <f t="shared" si="44"/>
        <v>0</v>
      </c>
      <c r="AX24" s="4">
        <f t="shared" si="44"/>
        <v>0</v>
      </c>
      <c r="AY24" s="4">
        <f t="shared" si="44"/>
        <v>0</v>
      </c>
      <c r="AZ24" s="4">
        <f t="shared" si="44"/>
        <v>0</v>
      </c>
      <c r="BA24" s="4">
        <f t="shared" si="44"/>
        <v>0</v>
      </c>
      <c r="BB24" s="4">
        <f t="shared" si="44"/>
        <v>0</v>
      </c>
      <c r="BC24" s="4">
        <f t="shared" si="44"/>
        <v>0</v>
      </c>
      <c r="BD24" s="4">
        <f t="shared" si="44"/>
        <v>0</v>
      </c>
      <c r="BE24" s="4">
        <f t="shared" si="44"/>
        <v>0</v>
      </c>
      <c r="BF24" s="4">
        <f t="shared" si="44"/>
        <v>0</v>
      </c>
      <c r="BG24" s="4">
        <f t="shared" si="44"/>
        <v>0</v>
      </c>
      <c r="BH24" s="4">
        <f t="shared" si="45"/>
        <v>0</v>
      </c>
      <c r="BI24" s="4">
        <f t="shared" si="45"/>
        <v>0</v>
      </c>
      <c r="BJ24" s="4">
        <f t="shared" si="45"/>
        <v>0</v>
      </c>
      <c r="BK24" s="4">
        <f t="shared" si="45"/>
        <v>0</v>
      </c>
      <c r="BL24" s="4">
        <f t="shared" si="45"/>
        <v>0</v>
      </c>
      <c r="BM24" s="4">
        <f t="shared" si="45"/>
        <v>0</v>
      </c>
      <c r="BN24" s="4">
        <f t="shared" si="45"/>
        <v>0</v>
      </c>
    </row>
    <row r="25" spans="1:66" x14ac:dyDescent="0.2">
      <c r="A25" t="s">
        <v>39</v>
      </c>
      <c r="B25" t="s">
        <v>27</v>
      </c>
      <c r="D25">
        <f>Z28/A31</f>
        <v>8.3333333333333329E-2</v>
      </c>
      <c r="G25" t="s">
        <v>78</v>
      </c>
      <c r="K25">
        <f>AVERAGE(E39:E50)</f>
        <v>0</v>
      </c>
      <c r="L25">
        <f>MEDIAN(E39:E50)</f>
        <v>0</v>
      </c>
      <c r="M25">
        <f>MAX(E39:E50)</f>
        <v>0</v>
      </c>
      <c r="N25">
        <f>_xlfn.STDEV.S(E39:E50)</f>
        <v>0</v>
      </c>
      <c r="Z25">
        <f t="shared" si="35"/>
        <v>0</v>
      </c>
      <c r="AA25">
        <f t="shared" si="36"/>
        <v>0</v>
      </c>
      <c r="AE25">
        <f t="shared" si="37"/>
        <v>1</v>
      </c>
      <c r="AF25">
        <f t="shared" si="38"/>
        <v>1</v>
      </c>
      <c r="AG25">
        <f t="shared" si="39"/>
        <v>0</v>
      </c>
      <c r="AK25">
        <f t="shared" si="40"/>
        <v>0</v>
      </c>
      <c r="AL25">
        <f t="shared" si="41"/>
        <v>2</v>
      </c>
      <c r="AM25">
        <f t="shared" si="42"/>
        <v>0</v>
      </c>
      <c r="AN25">
        <f t="shared" si="43"/>
        <v>0</v>
      </c>
      <c r="AP25">
        <f t="shared" si="46"/>
        <v>2</v>
      </c>
      <c r="AQ25" s="4">
        <f t="shared" si="47"/>
        <v>1</v>
      </c>
      <c r="AR25" s="4">
        <f t="shared" si="44"/>
        <v>2</v>
      </c>
      <c r="AS25" s="4">
        <f t="shared" si="44"/>
        <v>0</v>
      </c>
      <c r="AT25" s="4">
        <f t="shared" si="44"/>
        <v>0</v>
      </c>
      <c r="AU25" s="4">
        <f t="shared" si="44"/>
        <v>0</v>
      </c>
      <c r="AV25" s="4">
        <f t="shared" si="44"/>
        <v>0</v>
      </c>
      <c r="AW25" s="4">
        <f t="shared" si="44"/>
        <v>0</v>
      </c>
      <c r="AX25" s="4">
        <f t="shared" si="44"/>
        <v>0</v>
      </c>
      <c r="AY25" s="4">
        <f t="shared" si="44"/>
        <v>0</v>
      </c>
      <c r="AZ25" s="4">
        <f t="shared" si="44"/>
        <v>0</v>
      </c>
      <c r="BA25" s="4">
        <f t="shared" si="44"/>
        <v>0</v>
      </c>
      <c r="BB25" s="4">
        <f t="shared" si="44"/>
        <v>0</v>
      </c>
      <c r="BC25" s="4">
        <f t="shared" si="44"/>
        <v>0</v>
      </c>
      <c r="BD25" s="4">
        <f t="shared" si="44"/>
        <v>0</v>
      </c>
      <c r="BE25" s="4">
        <f t="shared" si="44"/>
        <v>0</v>
      </c>
      <c r="BF25" s="4">
        <f t="shared" si="44"/>
        <v>0</v>
      </c>
      <c r="BG25" s="4">
        <f t="shared" si="44"/>
        <v>0</v>
      </c>
      <c r="BH25" s="4">
        <f t="shared" si="45"/>
        <v>0</v>
      </c>
      <c r="BI25" s="4">
        <f t="shared" si="45"/>
        <v>0</v>
      </c>
      <c r="BJ25" s="4">
        <f t="shared" si="45"/>
        <v>0</v>
      </c>
      <c r="BK25" s="4">
        <f t="shared" si="45"/>
        <v>0</v>
      </c>
      <c r="BL25" s="4">
        <f t="shared" si="45"/>
        <v>0</v>
      </c>
      <c r="BM25" s="4">
        <f t="shared" si="45"/>
        <v>0</v>
      </c>
      <c r="BN25" s="4">
        <f t="shared" si="45"/>
        <v>0</v>
      </c>
    </row>
    <row r="26" spans="1:66" x14ac:dyDescent="0.2">
      <c r="A26" t="s">
        <v>44</v>
      </c>
      <c r="D26" t="s">
        <v>51</v>
      </c>
      <c r="G26">
        <f>AN28/AP28</f>
        <v>0.2</v>
      </c>
      <c r="K26" t="s">
        <v>62</v>
      </c>
      <c r="P26" t="s">
        <v>19</v>
      </c>
      <c r="Z26">
        <f t="shared" si="35"/>
        <v>0</v>
      </c>
      <c r="AA26">
        <f t="shared" si="36"/>
        <v>0</v>
      </c>
      <c r="AE26">
        <f t="shared" si="37"/>
        <v>0</v>
      </c>
      <c r="AF26">
        <f t="shared" si="38"/>
        <v>0</v>
      </c>
      <c r="AG26">
        <f t="shared" si="39"/>
        <v>0</v>
      </c>
      <c r="AK26">
        <f t="shared" si="40"/>
        <v>0</v>
      </c>
      <c r="AL26">
        <f t="shared" si="41"/>
        <v>0</v>
      </c>
      <c r="AM26">
        <f t="shared" si="42"/>
        <v>0</v>
      </c>
      <c r="AN26">
        <f t="shared" si="43"/>
        <v>0</v>
      </c>
      <c r="AP26">
        <f t="shared" si="46"/>
        <v>0</v>
      </c>
      <c r="AQ26" s="4">
        <f t="shared" si="47"/>
        <v>0</v>
      </c>
      <c r="AR26" s="4">
        <f t="shared" si="44"/>
        <v>0</v>
      </c>
      <c r="AS26" s="4">
        <f t="shared" si="44"/>
        <v>0</v>
      </c>
      <c r="AT26" s="4">
        <f t="shared" si="44"/>
        <v>0</v>
      </c>
      <c r="AU26" s="4">
        <f t="shared" si="44"/>
        <v>0</v>
      </c>
      <c r="AV26" s="4">
        <f t="shared" si="44"/>
        <v>0</v>
      </c>
      <c r="AW26" s="4">
        <f t="shared" si="44"/>
        <v>0</v>
      </c>
      <c r="AX26" s="4">
        <f t="shared" si="44"/>
        <v>0</v>
      </c>
      <c r="AY26" s="4">
        <f t="shared" si="44"/>
        <v>0</v>
      </c>
      <c r="AZ26" s="4">
        <f t="shared" si="44"/>
        <v>0</v>
      </c>
      <c r="BA26" s="4">
        <f t="shared" si="44"/>
        <v>0</v>
      </c>
      <c r="BB26" s="4">
        <f t="shared" si="44"/>
        <v>0</v>
      </c>
      <c r="BC26" s="4">
        <f t="shared" si="44"/>
        <v>0</v>
      </c>
      <c r="BD26" s="4">
        <f t="shared" si="44"/>
        <v>0</v>
      </c>
      <c r="BE26" s="4">
        <f t="shared" si="44"/>
        <v>0</v>
      </c>
      <c r="BF26" s="4">
        <f t="shared" si="44"/>
        <v>0</v>
      </c>
      <c r="BG26" s="4">
        <f t="shared" si="44"/>
        <v>0</v>
      </c>
      <c r="BH26" s="4">
        <f t="shared" si="45"/>
        <v>0</v>
      </c>
      <c r="BI26" s="4">
        <f t="shared" si="45"/>
        <v>0</v>
      </c>
      <c r="BJ26" s="4">
        <f t="shared" si="45"/>
        <v>0</v>
      </c>
      <c r="BK26" s="4">
        <f t="shared" si="45"/>
        <v>0</v>
      </c>
      <c r="BL26" s="4">
        <f t="shared" si="45"/>
        <v>0</v>
      </c>
      <c r="BM26" s="4">
        <f t="shared" si="45"/>
        <v>0</v>
      </c>
      <c r="BN26" s="4">
        <f t="shared" si="45"/>
        <v>0</v>
      </c>
    </row>
    <row r="27" spans="1:66" x14ac:dyDescent="0.2">
      <c r="A27" t="s">
        <v>45</v>
      </c>
      <c r="D27">
        <f>AA28/A31</f>
        <v>0</v>
      </c>
      <c r="G27" t="s">
        <v>56</v>
      </c>
      <c r="K27" t="s">
        <v>57</v>
      </c>
      <c r="L27" t="s">
        <v>58</v>
      </c>
      <c r="M27" t="s">
        <v>59</v>
      </c>
      <c r="N27" t="s">
        <v>60</v>
      </c>
      <c r="P27" t="s">
        <v>57</v>
      </c>
      <c r="Q27" t="s">
        <v>58</v>
      </c>
      <c r="R27" t="s">
        <v>59</v>
      </c>
      <c r="S27" t="s">
        <v>60</v>
      </c>
      <c r="Z27">
        <f t="shared" si="35"/>
        <v>0</v>
      </c>
      <c r="AA27">
        <f t="shared" si="36"/>
        <v>0</v>
      </c>
      <c r="AE27">
        <f t="shared" si="37"/>
        <v>0</v>
      </c>
      <c r="AF27">
        <f t="shared" si="38"/>
        <v>0</v>
      </c>
      <c r="AG27">
        <f t="shared" si="39"/>
        <v>0</v>
      </c>
      <c r="AK27">
        <f t="shared" si="40"/>
        <v>0</v>
      </c>
      <c r="AL27">
        <f t="shared" si="41"/>
        <v>0</v>
      </c>
      <c r="AM27">
        <f t="shared" si="42"/>
        <v>0</v>
      </c>
      <c r="AN27">
        <f t="shared" si="43"/>
        <v>0</v>
      </c>
      <c r="AP27">
        <f t="shared" si="46"/>
        <v>0</v>
      </c>
      <c r="AQ27" s="4">
        <f t="shared" si="47"/>
        <v>0</v>
      </c>
      <c r="AR27" s="4">
        <f t="shared" si="44"/>
        <v>0</v>
      </c>
      <c r="AS27" s="4">
        <f t="shared" si="44"/>
        <v>0</v>
      </c>
      <c r="AT27" s="4">
        <f t="shared" si="44"/>
        <v>0</v>
      </c>
      <c r="AU27" s="4">
        <f t="shared" si="44"/>
        <v>0</v>
      </c>
      <c r="AV27" s="4">
        <f t="shared" si="44"/>
        <v>0</v>
      </c>
      <c r="AW27" s="4">
        <f t="shared" si="44"/>
        <v>0</v>
      </c>
      <c r="AX27" s="4">
        <f t="shared" si="44"/>
        <v>0</v>
      </c>
      <c r="AY27" s="4">
        <f t="shared" si="44"/>
        <v>0</v>
      </c>
      <c r="AZ27" s="4">
        <f t="shared" si="44"/>
        <v>0</v>
      </c>
      <c r="BA27" s="4">
        <f t="shared" si="44"/>
        <v>0</v>
      </c>
      <c r="BB27" s="4">
        <f t="shared" si="44"/>
        <v>0</v>
      </c>
      <c r="BC27" s="4">
        <f t="shared" si="44"/>
        <v>0</v>
      </c>
      <c r="BD27" s="4">
        <f t="shared" si="44"/>
        <v>0</v>
      </c>
      <c r="BE27" s="4">
        <f t="shared" si="44"/>
        <v>0</v>
      </c>
      <c r="BF27" s="4">
        <f t="shared" si="44"/>
        <v>0</v>
      </c>
      <c r="BG27" s="4">
        <f t="shared" si="44"/>
        <v>0</v>
      </c>
      <c r="BH27" s="4">
        <f t="shared" si="45"/>
        <v>0</v>
      </c>
      <c r="BI27" s="4">
        <f t="shared" si="45"/>
        <v>0</v>
      </c>
      <c r="BJ27" s="4">
        <f t="shared" si="45"/>
        <v>0</v>
      </c>
      <c r="BK27" s="4">
        <f t="shared" si="45"/>
        <v>0</v>
      </c>
      <c r="BL27" s="4">
        <f t="shared" si="45"/>
        <v>0</v>
      </c>
      <c r="BM27" s="4">
        <f t="shared" si="45"/>
        <v>0</v>
      </c>
      <c r="BN27" s="4">
        <f t="shared" si="45"/>
        <v>0</v>
      </c>
    </row>
    <row r="28" spans="1:66" x14ac:dyDescent="0.2">
      <c r="A28" t="s">
        <v>46</v>
      </c>
      <c r="D28" t="s">
        <v>202</v>
      </c>
      <c r="G28" t="s">
        <v>57</v>
      </c>
      <c r="H28" t="s">
        <v>58</v>
      </c>
      <c r="I28" t="s">
        <v>59</v>
      </c>
      <c r="J28" t="s">
        <v>60</v>
      </c>
      <c r="K28">
        <f>AVERAGE(G39:G50)</f>
        <v>1.5</v>
      </c>
      <c r="L28">
        <f>MEDIAN(G39:G50)</f>
        <v>1</v>
      </c>
      <c r="M28">
        <f>MAX(G39:G50)</f>
        <v>3</v>
      </c>
      <c r="N28">
        <f>_xlfn.STDEV.S(G39:G50)</f>
        <v>0.90453403373329089</v>
      </c>
      <c r="P28">
        <f>AVERAGE(N39:N50)</f>
        <v>14.833333333333334</v>
      </c>
      <c r="Q28">
        <f>MEDIAN(N39:N50)</f>
        <v>11</v>
      </c>
      <c r="R28">
        <f>MAX(N39:N50)</f>
        <v>40</v>
      </c>
      <c r="S28">
        <f>_xlfn.STDEV.S(N39:N50)</f>
        <v>9.3695185995801715</v>
      </c>
      <c r="Y28" t="s">
        <v>33</v>
      </c>
      <c r="Z28">
        <f>SUM(Z16:Z27)</f>
        <v>1</v>
      </c>
      <c r="AA28">
        <f>SUM(AA16:AA27)</f>
        <v>0</v>
      </c>
      <c r="AE28">
        <f>SUM(AE16:AE27)</f>
        <v>6</v>
      </c>
      <c r="AF28">
        <f>SUM(AF16:AF27)</f>
        <v>3</v>
      </c>
      <c r="AG28">
        <f>SUM(AG16:AG27)</f>
        <v>0</v>
      </c>
      <c r="AK28">
        <f>SUM(AK16:AK27)</f>
        <v>3</v>
      </c>
      <c r="AL28">
        <f>SUM(AL16:AL27)</f>
        <v>10</v>
      </c>
      <c r="AM28">
        <f>SUM(AM16:AM27)</f>
        <v>0</v>
      </c>
      <c r="AN28">
        <f>SUM(AN16:AN27)</f>
        <v>3</v>
      </c>
      <c r="AP28">
        <f>SUM(AP16:AP27)</f>
        <v>15</v>
      </c>
    </row>
    <row r="29" spans="1:66" x14ac:dyDescent="0.2">
      <c r="D29" t="e">
        <f>SUM(O39:O50)/F16</f>
        <v>#DIV/0!</v>
      </c>
      <c r="G29">
        <f>AVERAGE(A39:A50)</f>
        <v>0.75</v>
      </c>
      <c r="H29">
        <f>MEDIAN(A39:A50)</f>
        <v>1</v>
      </c>
      <c r="I29">
        <f>MAX(A39:A50)</f>
        <v>2</v>
      </c>
      <c r="J29">
        <f>_xlfn.STDEV.S(A39:A50)</f>
        <v>0.75377836144440913</v>
      </c>
      <c r="K29" t="s">
        <v>63</v>
      </c>
      <c r="P29" t="s">
        <v>148</v>
      </c>
    </row>
    <row r="30" spans="1:66" x14ac:dyDescent="0.2">
      <c r="A30" t="s">
        <v>147</v>
      </c>
      <c r="D30" t="s">
        <v>203</v>
      </c>
      <c r="G30" t="s">
        <v>50</v>
      </c>
      <c r="H30" t="s">
        <v>51</v>
      </c>
      <c r="I30" t="s">
        <v>89</v>
      </c>
      <c r="K30" t="s">
        <v>57</v>
      </c>
      <c r="L30" t="s">
        <v>58</v>
      </c>
      <c r="M30" t="s">
        <v>59</v>
      </c>
      <c r="N30" t="s">
        <v>60</v>
      </c>
      <c r="P30" t="s">
        <v>57</v>
      </c>
      <c r="Q30" t="s">
        <v>58</v>
      </c>
      <c r="R30" t="s">
        <v>59</v>
      </c>
      <c r="S30" t="s">
        <v>60</v>
      </c>
      <c r="W30" t="s">
        <v>148</v>
      </c>
      <c r="Y30" t="s">
        <v>149</v>
      </c>
      <c r="AH30" t="s">
        <v>79</v>
      </c>
    </row>
    <row r="31" spans="1:66" x14ac:dyDescent="0.2">
      <c r="A31">
        <f>COUNT(B4:B15)</f>
        <v>12</v>
      </c>
      <c r="D31" s="2">
        <f>SUM(S39:S50)/SUM(Q39:Q50)</f>
        <v>0</v>
      </c>
      <c r="G31">
        <f>AE28/A31</f>
        <v>0.5</v>
      </c>
      <c r="H31">
        <f>AF28/A31</f>
        <v>0.25</v>
      </c>
      <c r="I31">
        <f>AG28/A31</f>
        <v>0</v>
      </c>
      <c r="K31" t="e">
        <f>AVERAGE(I39:I50)</f>
        <v>#DIV/0!</v>
      </c>
      <c r="L31" t="e">
        <f>MEDIAN(I39:I50)</f>
        <v>#NUM!</v>
      </c>
      <c r="M31">
        <f>MAX(I39:I50)</f>
        <v>0</v>
      </c>
      <c r="N31" t="e">
        <f>_xlfn.STDEV.S(I39:I50)</f>
        <v>#DIV/0!</v>
      </c>
      <c r="P31">
        <f>AVERAGE(W31:W42)</f>
        <v>14.833333333333334</v>
      </c>
      <c r="Q31">
        <f>MEDIAN(W31:W42)</f>
        <v>11</v>
      </c>
      <c r="R31">
        <f>MAX(W31:W42)</f>
        <v>40</v>
      </c>
      <c r="S31">
        <f>_xlfn.STDEV.S(W31:W42)</f>
        <v>9.3695185995801715</v>
      </c>
      <c r="W31">
        <f t="shared" ref="W31:W33" si="48">IF(AND(ISBLANK(Q4), ISBLANK(R4), ISBLANK(G4), ISBLANK(H4)), "", U4)</f>
        <v>23</v>
      </c>
      <c r="Y31">
        <f t="shared" ref="Y31:Y42" si="49">IF(ISBLANK(Y4), IF(X4 = 0, "", (G4 + H4/3 + V4/9 + W4/3)), U4)</f>
        <v>23</v>
      </c>
      <c r="AH31" t="s">
        <v>80</v>
      </c>
    </row>
    <row r="32" spans="1:66" x14ac:dyDescent="0.2">
      <c r="D32" s="3"/>
      <c r="K32" t="s">
        <v>64</v>
      </c>
      <c r="P32" t="s">
        <v>149</v>
      </c>
      <c r="W32">
        <f t="shared" si="48"/>
        <v>18</v>
      </c>
      <c r="Y32">
        <f t="shared" si="49"/>
        <v>18.333333333333336</v>
      </c>
      <c r="AH32" t="s">
        <v>81</v>
      </c>
    </row>
    <row r="33" spans="1:34" x14ac:dyDescent="0.2">
      <c r="D33" s="3"/>
      <c r="K33" t="s">
        <v>57</v>
      </c>
      <c r="L33" t="s">
        <v>58</v>
      </c>
      <c r="M33" t="s">
        <v>59</v>
      </c>
      <c r="N33" t="s">
        <v>60</v>
      </c>
      <c r="P33" t="s">
        <v>57</v>
      </c>
      <c r="Q33" t="s">
        <v>58</v>
      </c>
      <c r="R33" t="s">
        <v>59</v>
      </c>
      <c r="S33" t="s">
        <v>60</v>
      </c>
      <c r="W33">
        <f t="shared" si="48"/>
        <v>9</v>
      </c>
      <c r="Y33">
        <f t="shared" si="49"/>
        <v>9</v>
      </c>
      <c r="AH33" t="s">
        <v>82</v>
      </c>
    </row>
    <row r="34" spans="1:34" x14ac:dyDescent="0.2">
      <c r="D34" s="3"/>
      <c r="K34">
        <f>AVERAGE(K39:K50)</f>
        <v>1.5</v>
      </c>
      <c r="L34">
        <f>MEDIAN(K39:K50)</f>
        <v>1</v>
      </c>
      <c r="M34">
        <f>MAX(K39:K50)</f>
        <v>3</v>
      </c>
      <c r="N34">
        <f>_xlfn.STDEV.S(K39:K50)</f>
        <v>0.90453403373329089</v>
      </c>
      <c r="P34">
        <f>AVERAGE(Y31:Y42)</f>
        <v>11.333333333333334</v>
      </c>
      <c r="Q34">
        <f>MEDIAN(Y31:Y42)</f>
        <v>10.5</v>
      </c>
      <c r="R34">
        <f>MAX(Y31:Y42)</f>
        <v>23</v>
      </c>
      <c r="S34">
        <f>_xlfn.STDEV.S(Y31:Y42)</f>
        <v>6.2522723141997831</v>
      </c>
      <c r="W34">
        <f>IF(AND(ISBLANK(Q7), ISBLANK(R7), ISBLANK(G7), ISBLANK(H7)), "", U7)</f>
        <v>8</v>
      </c>
      <c r="Y34">
        <f t="shared" si="49"/>
        <v>4.3333333333333339</v>
      </c>
      <c r="AH34" t="s">
        <v>83</v>
      </c>
    </row>
    <row r="35" spans="1:34" x14ac:dyDescent="0.2">
      <c r="P35" t="s">
        <v>95</v>
      </c>
      <c r="R35" t="s">
        <v>197</v>
      </c>
      <c r="W35">
        <f t="shared" ref="W35:W42" si="50">IF(AND(ISBLANK(Q8), ISBLANK(R8), ISBLANK(G8), ISBLANK(H8)), "", U8)</f>
        <v>10</v>
      </c>
      <c r="Y35">
        <f t="shared" si="49"/>
        <v>1</v>
      </c>
    </row>
    <row r="36" spans="1:34" x14ac:dyDescent="0.2">
      <c r="P36">
        <f>Q16/(Q16+R16)</f>
        <v>0</v>
      </c>
      <c r="R36">
        <f>R16/(Q16+R16)</f>
        <v>1</v>
      </c>
      <c r="W36">
        <f t="shared" si="50"/>
        <v>11</v>
      </c>
      <c r="Y36">
        <f t="shared" si="49"/>
        <v>11</v>
      </c>
    </row>
    <row r="37" spans="1:34" x14ac:dyDescent="0.2">
      <c r="W37">
        <f t="shared" si="50"/>
        <v>19</v>
      </c>
      <c r="Y37">
        <f t="shared" si="49"/>
        <v>19</v>
      </c>
    </row>
    <row r="38" spans="1:34" x14ac:dyDescent="0.2">
      <c r="A38" t="s">
        <v>68</v>
      </c>
      <c r="C38" t="s">
        <v>69</v>
      </c>
      <c r="E38" t="s">
        <v>72</v>
      </c>
      <c r="G38" t="s">
        <v>250</v>
      </c>
      <c r="K38" t="s">
        <v>73</v>
      </c>
      <c r="M38" t="s">
        <v>70</v>
      </c>
      <c r="N38" t="s">
        <v>71</v>
      </c>
      <c r="O38" t="s">
        <v>199</v>
      </c>
      <c r="Q38" t="s">
        <v>200</v>
      </c>
      <c r="S38" t="s">
        <v>201</v>
      </c>
      <c r="W38">
        <f t="shared" si="50"/>
        <v>13</v>
      </c>
      <c r="Y38">
        <f t="shared" si="49"/>
        <v>13</v>
      </c>
    </row>
    <row r="39" spans="1:34" x14ac:dyDescent="0.2">
      <c r="A39">
        <f t="shared" ref="A39:A50" si="51">IF(ISBLANK(B4), "", SUM(AE16+AF16+AG16))</f>
        <v>0</v>
      </c>
      <c r="C39">
        <f t="shared" ref="C39:C50" si="52">IF(ISBLANK(B4), "", O4)</f>
        <v>3</v>
      </c>
      <c r="E39">
        <f t="shared" ref="E39:E50" si="53">IF(ISBLANK(B4), "", Q4)</f>
        <v>0</v>
      </c>
      <c r="G39">
        <f t="shared" ref="G39:G50" si="54">IF(ISBLANK(B4), "", R4)</f>
        <v>2</v>
      </c>
      <c r="K39">
        <f t="shared" ref="K39:K50" si="55">IF(ISBLANK(B4), "", SUM(Q4 + R4))</f>
        <v>2</v>
      </c>
      <c r="M39">
        <f t="shared" ref="M39:M50" si="56">IF(ISBLANK(B4), "", SUM(K4+M4) - O4)</f>
        <v>-1</v>
      </c>
      <c r="N39">
        <f t="shared" ref="N39:N50" si="57">IF(ISBLANK(B4), "", U4)</f>
        <v>23</v>
      </c>
      <c r="O39">
        <f t="shared" ref="O39:O50" si="58">COUNTIF(E4, "1")*COUNTIF(F4, "1")</f>
        <v>0</v>
      </c>
      <c r="Q39">
        <f t="shared" ref="Q39:Q50" si="59">COUNTIF(D4, "1")*COUNTIF(F4, "")</f>
        <v>0</v>
      </c>
      <c r="S39">
        <f t="shared" ref="S39:S50" si="60">COUNTIF(E4, "1")*COUNTIF(F4, "")</f>
        <v>0</v>
      </c>
      <c r="W39">
        <f t="shared" si="50"/>
        <v>10</v>
      </c>
      <c r="Y39">
        <f t="shared" si="49"/>
        <v>10</v>
      </c>
    </row>
    <row r="40" spans="1:34" x14ac:dyDescent="0.2">
      <c r="A40">
        <f t="shared" si="51"/>
        <v>1</v>
      </c>
      <c r="C40">
        <f t="shared" si="52"/>
        <v>2</v>
      </c>
      <c r="E40">
        <f t="shared" si="53"/>
        <v>0</v>
      </c>
      <c r="G40">
        <f t="shared" si="54"/>
        <v>3</v>
      </c>
      <c r="K40">
        <f t="shared" si="55"/>
        <v>3</v>
      </c>
      <c r="M40">
        <f t="shared" si="56"/>
        <v>0</v>
      </c>
      <c r="N40">
        <f t="shared" si="57"/>
        <v>18</v>
      </c>
      <c r="O40">
        <f t="shared" si="58"/>
        <v>0</v>
      </c>
      <c r="Q40">
        <f t="shared" si="59"/>
        <v>0</v>
      </c>
      <c r="S40">
        <f t="shared" si="60"/>
        <v>0</v>
      </c>
      <c r="W40">
        <f t="shared" si="50"/>
        <v>11</v>
      </c>
      <c r="Y40">
        <f t="shared" si="49"/>
        <v>11</v>
      </c>
    </row>
    <row r="41" spans="1:34" x14ac:dyDescent="0.2">
      <c r="A41">
        <f t="shared" si="51"/>
        <v>1</v>
      </c>
      <c r="C41">
        <f t="shared" si="52"/>
        <v>4</v>
      </c>
      <c r="E41">
        <f t="shared" si="53"/>
        <v>0</v>
      </c>
      <c r="G41">
        <f t="shared" si="54"/>
        <v>1</v>
      </c>
      <c r="K41">
        <f t="shared" si="55"/>
        <v>1</v>
      </c>
      <c r="M41">
        <f t="shared" si="56"/>
        <v>0</v>
      </c>
      <c r="N41">
        <f t="shared" si="57"/>
        <v>9</v>
      </c>
      <c r="O41">
        <f t="shared" si="58"/>
        <v>0</v>
      </c>
      <c r="Q41">
        <f t="shared" si="59"/>
        <v>0</v>
      </c>
      <c r="S41">
        <f t="shared" si="60"/>
        <v>0</v>
      </c>
      <c r="W41">
        <f t="shared" si="50"/>
        <v>6</v>
      </c>
      <c r="Y41">
        <f t="shared" si="49"/>
        <v>8.3333333333333339</v>
      </c>
    </row>
    <row r="42" spans="1:34" x14ac:dyDescent="0.2">
      <c r="A42">
        <f t="shared" si="51"/>
        <v>1</v>
      </c>
      <c r="C42">
        <f t="shared" si="52"/>
        <v>2</v>
      </c>
      <c r="E42">
        <f t="shared" si="53"/>
        <v>0</v>
      </c>
      <c r="G42">
        <f t="shared" si="54"/>
        <v>1</v>
      </c>
      <c r="K42">
        <f t="shared" si="55"/>
        <v>1</v>
      </c>
      <c r="M42">
        <f t="shared" si="56"/>
        <v>0</v>
      </c>
      <c r="N42">
        <f t="shared" si="57"/>
        <v>8</v>
      </c>
      <c r="O42">
        <f t="shared" si="58"/>
        <v>0</v>
      </c>
      <c r="Q42">
        <f t="shared" si="59"/>
        <v>1</v>
      </c>
      <c r="S42">
        <f t="shared" si="60"/>
        <v>0</v>
      </c>
      <c r="W42">
        <f t="shared" si="50"/>
        <v>40</v>
      </c>
      <c r="Y42">
        <f t="shared" si="49"/>
        <v>8</v>
      </c>
    </row>
    <row r="43" spans="1:34" x14ac:dyDescent="0.2">
      <c r="A43">
        <f t="shared" si="51"/>
        <v>0</v>
      </c>
      <c r="C43">
        <f t="shared" si="52"/>
        <v>3</v>
      </c>
      <c r="E43">
        <f t="shared" si="53"/>
        <v>0</v>
      </c>
      <c r="G43">
        <f t="shared" si="54"/>
        <v>1</v>
      </c>
      <c r="K43">
        <f t="shared" si="55"/>
        <v>1</v>
      </c>
      <c r="M43">
        <f t="shared" si="56"/>
        <v>1</v>
      </c>
      <c r="N43">
        <f t="shared" si="57"/>
        <v>10</v>
      </c>
      <c r="O43">
        <f t="shared" si="58"/>
        <v>0</v>
      </c>
      <c r="Q43">
        <f t="shared" si="59"/>
        <v>0</v>
      </c>
      <c r="S43">
        <f t="shared" si="60"/>
        <v>0</v>
      </c>
    </row>
    <row r="44" spans="1:34" x14ac:dyDescent="0.2">
      <c r="A44">
        <f t="shared" si="51"/>
        <v>1</v>
      </c>
      <c r="C44">
        <f t="shared" si="52"/>
        <v>3</v>
      </c>
      <c r="E44">
        <f t="shared" si="53"/>
        <v>0</v>
      </c>
      <c r="G44">
        <f t="shared" si="54"/>
        <v>2</v>
      </c>
      <c r="K44">
        <f t="shared" si="55"/>
        <v>2</v>
      </c>
      <c r="M44">
        <f t="shared" si="56"/>
        <v>0</v>
      </c>
      <c r="N44">
        <f t="shared" si="57"/>
        <v>11</v>
      </c>
      <c r="O44">
        <f t="shared" si="58"/>
        <v>0</v>
      </c>
      <c r="Q44">
        <f t="shared" si="59"/>
        <v>0</v>
      </c>
      <c r="S44">
        <f t="shared" si="60"/>
        <v>0</v>
      </c>
    </row>
    <row r="45" spans="1:34" x14ac:dyDescent="0.2">
      <c r="A45">
        <f t="shared" si="51"/>
        <v>0</v>
      </c>
      <c r="C45">
        <f t="shared" si="52"/>
        <v>2</v>
      </c>
      <c r="E45">
        <f t="shared" si="53"/>
        <v>0</v>
      </c>
      <c r="G45">
        <f t="shared" si="54"/>
        <v>3</v>
      </c>
      <c r="K45">
        <f t="shared" si="55"/>
        <v>3</v>
      </c>
      <c r="M45">
        <f t="shared" si="56"/>
        <v>-1</v>
      </c>
      <c r="N45">
        <f t="shared" si="57"/>
        <v>19</v>
      </c>
      <c r="O45">
        <f t="shared" si="58"/>
        <v>0</v>
      </c>
      <c r="Q45">
        <f t="shared" si="59"/>
        <v>0</v>
      </c>
      <c r="S45">
        <f t="shared" si="60"/>
        <v>0</v>
      </c>
    </row>
    <row r="46" spans="1:34" x14ac:dyDescent="0.2">
      <c r="A46">
        <f t="shared" si="51"/>
        <v>1</v>
      </c>
      <c r="C46">
        <f t="shared" si="52"/>
        <v>4</v>
      </c>
      <c r="E46">
        <f t="shared" si="53"/>
        <v>0</v>
      </c>
      <c r="G46">
        <f t="shared" si="54"/>
        <v>2</v>
      </c>
      <c r="K46">
        <f t="shared" si="55"/>
        <v>2</v>
      </c>
      <c r="M46">
        <f t="shared" si="56"/>
        <v>1</v>
      </c>
      <c r="N46">
        <f t="shared" si="57"/>
        <v>13</v>
      </c>
      <c r="O46">
        <f t="shared" si="58"/>
        <v>0</v>
      </c>
      <c r="Q46">
        <f t="shared" si="59"/>
        <v>0</v>
      </c>
      <c r="S46">
        <f t="shared" si="60"/>
        <v>0</v>
      </c>
    </row>
    <row r="47" spans="1:34" x14ac:dyDescent="0.2">
      <c r="A47">
        <f t="shared" si="51"/>
        <v>2</v>
      </c>
      <c r="C47">
        <f t="shared" si="52"/>
        <v>4</v>
      </c>
      <c r="E47">
        <f t="shared" si="53"/>
        <v>0</v>
      </c>
      <c r="G47">
        <f t="shared" si="54"/>
        <v>1</v>
      </c>
      <c r="K47">
        <f t="shared" si="55"/>
        <v>1</v>
      </c>
      <c r="M47">
        <f t="shared" si="56"/>
        <v>-1</v>
      </c>
      <c r="N47">
        <f t="shared" si="57"/>
        <v>10</v>
      </c>
      <c r="O47">
        <f t="shared" si="58"/>
        <v>0</v>
      </c>
      <c r="Q47">
        <f t="shared" si="59"/>
        <v>0</v>
      </c>
      <c r="S47">
        <f t="shared" si="60"/>
        <v>0</v>
      </c>
    </row>
    <row r="48" spans="1:34" x14ac:dyDescent="0.2">
      <c r="A48">
        <f t="shared" si="51"/>
        <v>2</v>
      </c>
      <c r="C48">
        <f t="shared" si="52"/>
        <v>4</v>
      </c>
      <c r="E48">
        <f t="shared" si="53"/>
        <v>0</v>
      </c>
      <c r="G48">
        <f t="shared" si="54"/>
        <v>1</v>
      </c>
      <c r="K48">
        <f t="shared" si="55"/>
        <v>1</v>
      </c>
      <c r="M48">
        <f t="shared" si="56"/>
        <v>-1</v>
      </c>
      <c r="N48">
        <f t="shared" si="57"/>
        <v>11</v>
      </c>
      <c r="O48">
        <f t="shared" si="58"/>
        <v>0</v>
      </c>
      <c r="Q48">
        <f t="shared" si="59"/>
        <v>0</v>
      </c>
      <c r="S48">
        <f t="shared" si="60"/>
        <v>0</v>
      </c>
    </row>
    <row r="49" spans="1:19" x14ac:dyDescent="0.2">
      <c r="A49">
        <f t="shared" si="51"/>
        <v>0</v>
      </c>
      <c r="C49">
        <f t="shared" si="52"/>
        <v>5</v>
      </c>
      <c r="E49">
        <f t="shared" si="53"/>
        <v>0</v>
      </c>
      <c r="G49">
        <f t="shared" si="54"/>
        <v>1</v>
      </c>
      <c r="K49">
        <f t="shared" si="55"/>
        <v>1</v>
      </c>
      <c r="M49">
        <f t="shared" si="56"/>
        <v>0</v>
      </c>
      <c r="N49">
        <f t="shared" si="57"/>
        <v>6</v>
      </c>
      <c r="O49">
        <f t="shared" si="58"/>
        <v>0</v>
      </c>
      <c r="Q49">
        <f t="shared" si="59"/>
        <v>0</v>
      </c>
      <c r="S49">
        <f t="shared" si="60"/>
        <v>0</v>
      </c>
    </row>
    <row r="50" spans="1:19" x14ac:dyDescent="0.2">
      <c r="A50">
        <f t="shared" si="51"/>
        <v>0</v>
      </c>
      <c r="C50">
        <f t="shared" si="52"/>
        <v>2</v>
      </c>
      <c r="E50">
        <f t="shared" si="53"/>
        <v>0</v>
      </c>
      <c r="G50">
        <f t="shared" si="54"/>
        <v>0</v>
      </c>
      <c r="K50">
        <f t="shared" si="55"/>
        <v>0</v>
      </c>
      <c r="M50">
        <f t="shared" si="56"/>
        <v>-1</v>
      </c>
      <c r="N50">
        <f t="shared" si="57"/>
        <v>40</v>
      </c>
      <c r="O50">
        <f t="shared" si="58"/>
        <v>0</v>
      </c>
      <c r="Q50">
        <f t="shared" si="59"/>
        <v>0</v>
      </c>
      <c r="S50">
        <f t="shared" si="60"/>
        <v>0</v>
      </c>
    </row>
  </sheetData>
  <pageMargins left="0.7" right="0.7" top="0.75" bottom="0.75" header="0.3" footer="0.3"/>
  <legacyDrawing r:id="rId1"/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0" enableFormatConditionsCalculation="0"/>
  <dimension ref="A1:BN50"/>
  <sheetViews>
    <sheetView topLeftCell="B1" workbookViewId="0">
      <selection activeCell="U15" sqref="U15"/>
    </sheetView>
  </sheetViews>
  <sheetFormatPr baseColWidth="10" defaultRowHeight="15" x14ac:dyDescent="0.2"/>
  <sheetData>
    <row r="1" spans="1:66" x14ac:dyDescent="0.2">
      <c r="A1" s="1" t="s">
        <v>0</v>
      </c>
      <c r="D1" t="s">
        <v>3</v>
      </c>
      <c r="K1" t="s">
        <v>11</v>
      </c>
      <c r="N1" t="s">
        <v>12</v>
      </c>
      <c r="P1" t="s">
        <v>14</v>
      </c>
      <c r="Q1" t="s">
        <v>17</v>
      </c>
      <c r="S1" t="s">
        <v>18</v>
      </c>
      <c r="Z1" t="s">
        <v>29</v>
      </c>
      <c r="AE1" t="s">
        <v>30</v>
      </c>
      <c r="AK1" t="s">
        <v>42</v>
      </c>
    </row>
    <row r="2" spans="1:66" x14ac:dyDescent="0.2">
      <c r="A2" t="s">
        <v>1</v>
      </c>
      <c r="B2" t="s">
        <v>1</v>
      </c>
      <c r="C2" t="s">
        <v>87</v>
      </c>
      <c r="D2" t="s">
        <v>54</v>
      </c>
      <c r="E2" t="s">
        <v>13</v>
      </c>
      <c r="F2" t="s">
        <v>198</v>
      </c>
      <c r="G2" t="s">
        <v>7</v>
      </c>
      <c r="H2" t="s">
        <v>8</v>
      </c>
      <c r="I2" t="s">
        <v>179</v>
      </c>
      <c r="J2" t="s">
        <v>178</v>
      </c>
      <c r="K2" t="s">
        <v>9</v>
      </c>
      <c r="L2" t="s">
        <v>196</v>
      </c>
      <c r="M2" t="s">
        <v>10</v>
      </c>
      <c r="N2" t="s">
        <v>54</v>
      </c>
      <c r="O2" t="s">
        <v>13</v>
      </c>
      <c r="P2" t="s">
        <v>15</v>
      </c>
      <c r="Q2" t="s">
        <v>8</v>
      </c>
      <c r="R2" t="s">
        <v>7</v>
      </c>
      <c r="S2" t="s">
        <v>181</v>
      </c>
      <c r="T2" t="s">
        <v>182</v>
      </c>
      <c r="U2" t="s">
        <v>19</v>
      </c>
      <c r="V2" t="s">
        <v>191</v>
      </c>
      <c r="W2" t="s">
        <v>192</v>
      </c>
      <c r="X2" t="s">
        <v>175</v>
      </c>
      <c r="Y2" t="s">
        <v>173</v>
      </c>
      <c r="Z2" t="str">
        <f t="shared" ref="Z2:Z13" si="0">LEFT(I4, 1)</f>
        <v/>
      </c>
      <c r="AA2" t="str">
        <f t="shared" ref="AA2:AA13" si="1">MID(I4, 4, 1)</f>
        <v/>
      </c>
      <c r="AB2" t="str">
        <f t="shared" ref="AB2:AB13" si="2">MID(I4, 7, 1)</f>
        <v/>
      </c>
      <c r="AC2" t="str">
        <f t="shared" ref="AC2:AC13" si="3">MID(I4, 10, 1)</f>
        <v/>
      </c>
      <c r="AE2" t="str">
        <f t="shared" ref="AE2:AE13" si="4">LEFT(J4, 1)</f>
        <v/>
      </c>
      <c r="AF2" t="str">
        <f t="shared" ref="AF2:AF13" si="5">MID(J4, 4, 1)</f>
        <v/>
      </c>
      <c r="AG2" t="str">
        <f t="shared" ref="AG2:AG13" si="6">MID(J4, 7, 1)</f>
        <v/>
      </c>
      <c r="AH2" t="str">
        <f t="shared" ref="AH2:AH13" si="7">MID(J4, 10, 1)</f>
        <v/>
      </c>
      <c r="AI2" t="str">
        <f t="shared" ref="AI2:AI13" si="8">MID(J4, 13, 1)</f>
        <v/>
      </c>
      <c r="AK2" t="str">
        <f t="shared" ref="AK2:AK13" si="9">LEFT(P4, 2)</f>
        <v/>
      </c>
      <c r="AL2" t="str">
        <f>MID($P4, 5, 2)</f>
        <v/>
      </c>
      <c r="AM2" t="str">
        <f t="shared" ref="AM2:AM13" si="10">MID($P4, 9, 2)</f>
        <v/>
      </c>
      <c r="AN2" t="str">
        <f t="shared" ref="AN2:AN13" si="11">MID($P4, 13, 2)</f>
        <v/>
      </c>
      <c r="AO2" t="str">
        <f t="shared" ref="AO2:AO13" si="12">MID($P4, 17, 2)</f>
        <v/>
      </c>
      <c r="AP2" t="str">
        <f t="shared" ref="AP2:AP13" si="13">MID($P4, 21, 2)</f>
        <v/>
      </c>
      <c r="AQ2" t="str">
        <f t="shared" ref="AQ2:AQ13" si="14">MID($P4, 25, 2)</f>
        <v/>
      </c>
      <c r="AR2" t="str">
        <f t="shared" ref="AR2:AR13" si="15">MID($P4, 29, 2)</f>
        <v/>
      </c>
      <c r="AS2" t="str">
        <f t="shared" ref="AS2:AS13" si="16">MID($P4, 33, 2)</f>
        <v/>
      </c>
      <c r="AT2" t="str">
        <f t="shared" ref="AT2:AT13" si="17">MID($P4, 37, 2)</f>
        <v/>
      </c>
      <c r="AU2" t="str">
        <f t="shared" ref="AU2:AU13" si="18">MID($P4, 41, 2)</f>
        <v/>
      </c>
      <c r="AV2" t="str">
        <f t="shared" ref="AV2:AV13" si="19">MID($P4, 45, 2)</f>
        <v/>
      </c>
      <c r="AW2" t="str">
        <f t="shared" ref="AW2:AW13" si="20">MID($P4, 49, 2)</f>
        <v/>
      </c>
      <c r="AX2" t="str">
        <f t="shared" ref="AX2:AX13" si="21">MID($P4, 53, 2)</f>
        <v/>
      </c>
      <c r="AY2" t="str">
        <f t="shared" ref="AY2:AY13" si="22">MID($P4, 57, 2)</f>
        <v/>
      </c>
      <c r="AZ2" t="str">
        <f t="shared" ref="AZ2:AZ13" si="23">MID($P4, 61, 2)</f>
        <v/>
      </c>
      <c r="BA2" t="str">
        <f t="shared" ref="BA2:BA13" si="24">MID($P4, 65, 2)</f>
        <v/>
      </c>
      <c r="BB2" t="str">
        <f t="shared" ref="BB2:BB13" si="25">MID($P4, 69, 2)</f>
        <v/>
      </c>
      <c r="BC2" t="str">
        <f t="shared" ref="BC2:BC13" si="26">MID($P4, 73, 2)</f>
        <v/>
      </c>
      <c r="BD2" t="str">
        <f t="shared" ref="BD2:BD13" si="27">MID($P4, 77, 2)</f>
        <v/>
      </c>
      <c r="BE2" t="str">
        <f t="shared" ref="BE2:BE13" si="28">MID($P4, 81, 2)</f>
        <v/>
      </c>
      <c r="BF2" t="str">
        <f t="shared" ref="BF2:BF13" si="29">MID($P4, 85, 2)</f>
        <v/>
      </c>
      <c r="BG2" t="str">
        <f t="shared" ref="BG2:BG13" si="30">MID($P4, 89, 2)</f>
        <v/>
      </c>
      <c r="BH2" t="str">
        <f t="shared" ref="BH2:BH13" si="31">MID($P4, 93, 2)</f>
        <v/>
      </c>
    </row>
    <row r="3" spans="1:66" x14ac:dyDescent="0.2">
      <c r="A3" t="s">
        <v>2</v>
      </c>
      <c r="B3" t="s">
        <v>6</v>
      </c>
      <c r="C3" t="s">
        <v>88</v>
      </c>
      <c r="D3" t="s">
        <v>6</v>
      </c>
      <c r="E3" t="s">
        <v>6</v>
      </c>
      <c r="F3" t="s">
        <v>4</v>
      </c>
      <c r="G3" t="s">
        <v>6</v>
      </c>
      <c r="H3" t="s">
        <v>6</v>
      </c>
      <c r="I3" t="s">
        <v>86</v>
      </c>
      <c r="J3" t="s">
        <v>86</v>
      </c>
      <c r="K3" t="s">
        <v>6</v>
      </c>
      <c r="L3" t="s">
        <v>6</v>
      </c>
      <c r="M3" t="s">
        <v>6</v>
      </c>
      <c r="N3" t="s">
        <v>6</v>
      </c>
      <c r="O3" t="s">
        <v>6</v>
      </c>
      <c r="P3" t="s">
        <v>16</v>
      </c>
      <c r="Q3" t="s">
        <v>6</v>
      </c>
      <c r="R3" t="s">
        <v>6</v>
      </c>
      <c r="S3" t="s">
        <v>4</v>
      </c>
      <c r="T3" t="s">
        <v>4</v>
      </c>
      <c r="U3" t="s">
        <v>6</v>
      </c>
      <c r="V3" t="s">
        <v>6</v>
      </c>
      <c r="W3" t="s">
        <v>6</v>
      </c>
      <c r="X3" t="s">
        <v>6</v>
      </c>
      <c r="Y3" t="s">
        <v>174</v>
      </c>
      <c r="Z3" t="str">
        <f t="shared" si="0"/>
        <v/>
      </c>
      <c r="AA3" t="str">
        <f t="shared" si="1"/>
        <v/>
      </c>
      <c r="AB3" t="str">
        <f t="shared" si="2"/>
        <v/>
      </c>
      <c r="AC3" t="str">
        <f t="shared" si="3"/>
        <v/>
      </c>
      <c r="AE3" t="str">
        <f t="shared" si="4"/>
        <v/>
      </c>
      <c r="AF3" t="str">
        <f t="shared" si="5"/>
        <v/>
      </c>
      <c r="AG3" t="str">
        <f t="shared" si="6"/>
        <v/>
      </c>
      <c r="AH3" t="str">
        <f t="shared" si="7"/>
        <v/>
      </c>
      <c r="AI3" t="str">
        <f t="shared" si="8"/>
        <v/>
      </c>
      <c r="AK3" t="str">
        <f t="shared" si="9"/>
        <v/>
      </c>
      <c r="AL3" t="str">
        <f t="shared" ref="AL3:AL13" si="32">MID(P5, 5, 2)</f>
        <v/>
      </c>
      <c r="AM3" t="str">
        <f t="shared" si="10"/>
        <v/>
      </c>
      <c r="AN3" t="str">
        <f t="shared" si="11"/>
        <v/>
      </c>
      <c r="AO3" t="str">
        <f t="shared" si="12"/>
        <v/>
      </c>
      <c r="AP3" t="str">
        <f t="shared" si="13"/>
        <v/>
      </c>
      <c r="AQ3" t="str">
        <f t="shared" si="14"/>
        <v/>
      </c>
      <c r="AR3" t="str">
        <f t="shared" si="15"/>
        <v/>
      </c>
      <c r="AS3" t="str">
        <f t="shared" si="16"/>
        <v/>
      </c>
      <c r="AT3" t="str">
        <f t="shared" si="17"/>
        <v/>
      </c>
      <c r="AU3" t="str">
        <f t="shared" si="18"/>
        <v/>
      </c>
      <c r="AV3" t="str">
        <f t="shared" si="19"/>
        <v/>
      </c>
      <c r="AW3" t="str">
        <f t="shared" si="20"/>
        <v/>
      </c>
      <c r="AX3" t="str">
        <f t="shared" si="21"/>
        <v/>
      </c>
      <c r="AY3" t="str">
        <f t="shared" si="22"/>
        <v/>
      </c>
      <c r="AZ3" t="str">
        <f t="shared" si="23"/>
        <v/>
      </c>
      <c r="BA3" t="str">
        <f t="shared" si="24"/>
        <v/>
      </c>
      <c r="BB3" t="str">
        <f t="shared" si="25"/>
        <v/>
      </c>
      <c r="BC3" t="str">
        <f t="shared" si="26"/>
        <v/>
      </c>
      <c r="BD3" t="str">
        <f t="shared" si="27"/>
        <v/>
      </c>
      <c r="BE3" t="str">
        <f t="shared" si="28"/>
        <v/>
      </c>
      <c r="BF3" t="str">
        <f t="shared" si="29"/>
        <v/>
      </c>
      <c r="BG3" t="str">
        <f t="shared" si="30"/>
        <v/>
      </c>
      <c r="BH3" t="str">
        <f t="shared" si="31"/>
        <v/>
      </c>
    </row>
    <row r="4" spans="1:66" x14ac:dyDescent="0.2">
      <c r="A4">
        <v>1</v>
      </c>
      <c r="B4">
        <v>4</v>
      </c>
      <c r="C4" t="s">
        <v>39</v>
      </c>
      <c r="D4">
        <v>1</v>
      </c>
      <c r="K4">
        <v>2</v>
      </c>
      <c r="M4">
        <v>1</v>
      </c>
      <c r="N4">
        <v>3</v>
      </c>
      <c r="O4">
        <v>3</v>
      </c>
      <c r="S4">
        <v>1</v>
      </c>
      <c r="T4">
        <v>1</v>
      </c>
      <c r="U4">
        <v>8</v>
      </c>
      <c r="X4">
        <f t="shared" ref="X4:X15" si="33">G4+H4+Q4+R4</f>
        <v>0</v>
      </c>
      <c r="Z4" t="str">
        <f t="shared" si="0"/>
        <v/>
      </c>
      <c r="AA4" t="str">
        <f t="shared" si="1"/>
        <v/>
      </c>
      <c r="AB4" t="str">
        <f t="shared" si="2"/>
        <v/>
      </c>
      <c r="AC4" t="str">
        <f t="shared" si="3"/>
        <v/>
      </c>
      <c r="AE4" t="str">
        <f t="shared" si="4"/>
        <v/>
      </c>
      <c r="AF4" t="str">
        <f t="shared" si="5"/>
        <v/>
      </c>
      <c r="AG4" t="str">
        <f t="shared" si="6"/>
        <v/>
      </c>
      <c r="AH4" t="str">
        <f t="shared" si="7"/>
        <v/>
      </c>
      <c r="AI4" t="str">
        <f t="shared" si="8"/>
        <v/>
      </c>
      <c r="AK4" t="str">
        <f t="shared" si="9"/>
        <v/>
      </c>
      <c r="AL4" t="str">
        <f t="shared" si="32"/>
        <v/>
      </c>
      <c r="AM4" t="str">
        <f t="shared" si="10"/>
        <v/>
      </c>
      <c r="AN4" t="str">
        <f t="shared" si="11"/>
        <v/>
      </c>
      <c r="AO4" t="str">
        <f t="shared" si="12"/>
        <v/>
      </c>
      <c r="AP4" t="str">
        <f t="shared" si="13"/>
        <v/>
      </c>
      <c r="AQ4" t="str">
        <f t="shared" si="14"/>
        <v/>
      </c>
      <c r="AR4" t="str">
        <f t="shared" si="15"/>
        <v/>
      </c>
      <c r="AS4" t="str">
        <f t="shared" si="16"/>
        <v/>
      </c>
      <c r="AT4" t="str">
        <f t="shared" si="17"/>
        <v/>
      </c>
      <c r="AU4" t="str">
        <f t="shared" si="18"/>
        <v/>
      </c>
      <c r="AV4" t="str">
        <f t="shared" si="19"/>
        <v/>
      </c>
      <c r="AW4" t="str">
        <f t="shared" si="20"/>
        <v/>
      </c>
      <c r="AX4" t="str">
        <f t="shared" si="21"/>
        <v/>
      </c>
      <c r="AY4" t="str">
        <f t="shared" si="22"/>
        <v/>
      </c>
      <c r="AZ4" t="str">
        <f t="shared" si="23"/>
        <v/>
      </c>
      <c r="BA4" t="str">
        <f t="shared" si="24"/>
        <v/>
      </c>
      <c r="BB4" t="str">
        <f t="shared" si="25"/>
        <v/>
      </c>
      <c r="BC4" t="str">
        <f t="shared" si="26"/>
        <v/>
      </c>
      <c r="BD4" t="str">
        <f t="shared" si="27"/>
        <v/>
      </c>
      <c r="BE4" t="str">
        <f t="shared" si="28"/>
        <v/>
      </c>
      <c r="BF4" t="str">
        <f t="shared" si="29"/>
        <v/>
      </c>
      <c r="BG4" t="str">
        <f t="shared" si="30"/>
        <v/>
      </c>
      <c r="BH4" t="str">
        <f t="shared" si="31"/>
        <v/>
      </c>
    </row>
    <row r="5" spans="1:66" x14ac:dyDescent="0.2">
      <c r="A5">
        <v>2</v>
      </c>
      <c r="B5">
        <v>12</v>
      </c>
      <c r="C5" t="s">
        <v>207</v>
      </c>
      <c r="D5">
        <v>1</v>
      </c>
      <c r="M5">
        <v>4</v>
      </c>
      <c r="N5">
        <v>4</v>
      </c>
      <c r="O5">
        <v>3</v>
      </c>
      <c r="S5">
        <v>1</v>
      </c>
      <c r="T5">
        <v>1</v>
      </c>
      <c r="U5">
        <v>1</v>
      </c>
      <c r="X5">
        <f t="shared" si="33"/>
        <v>0</v>
      </c>
      <c r="Z5" t="str">
        <f t="shared" si="0"/>
        <v/>
      </c>
      <c r="AA5" t="str">
        <f t="shared" si="1"/>
        <v/>
      </c>
      <c r="AB5" t="str">
        <f t="shared" si="2"/>
        <v/>
      </c>
      <c r="AC5" t="str">
        <f t="shared" si="3"/>
        <v/>
      </c>
      <c r="AE5" t="str">
        <f t="shared" si="4"/>
        <v/>
      </c>
      <c r="AF5" t="str">
        <f t="shared" si="5"/>
        <v/>
      </c>
      <c r="AG5" t="str">
        <f t="shared" si="6"/>
        <v/>
      </c>
      <c r="AH5" t="str">
        <f t="shared" si="7"/>
        <v/>
      </c>
      <c r="AI5" t="str">
        <f t="shared" si="8"/>
        <v/>
      </c>
      <c r="AK5" t="str">
        <f t="shared" si="9"/>
        <v/>
      </c>
      <c r="AL5" t="str">
        <f t="shared" si="32"/>
        <v/>
      </c>
      <c r="AM5" t="str">
        <f t="shared" si="10"/>
        <v/>
      </c>
      <c r="AN5" t="str">
        <f t="shared" si="11"/>
        <v/>
      </c>
      <c r="AO5" t="str">
        <f t="shared" si="12"/>
        <v/>
      </c>
      <c r="AP5" t="str">
        <f t="shared" si="13"/>
        <v/>
      </c>
      <c r="AQ5" t="str">
        <f t="shared" si="14"/>
        <v/>
      </c>
      <c r="AR5" t="str">
        <f t="shared" si="15"/>
        <v/>
      </c>
      <c r="AS5" t="str">
        <f t="shared" si="16"/>
        <v/>
      </c>
      <c r="AT5" t="str">
        <f t="shared" si="17"/>
        <v/>
      </c>
      <c r="AU5" t="str">
        <f t="shared" si="18"/>
        <v/>
      </c>
      <c r="AV5" t="str">
        <f t="shared" si="19"/>
        <v/>
      </c>
      <c r="AW5" t="str">
        <f t="shared" si="20"/>
        <v/>
      </c>
      <c r="AX5" t="str">
        <f t="shared" si="21"/>
        <v/>
      </c>
      <c r="AY5" t="str">
        <f t="shared" si="22"/>
        <v/>
      </c>
      <c r="AZ5" t="str">
        <f t="shared" si="23"/>
        <v/>
      </c>
      <c r="BA5" t="str">
        <f t="shared" si="24"/>
        <v/>
      </c>
      <c r="BB5" t="str">
        <f t="shared" si="25"/>
        <v/>
      </c>
      <c r="BC5" t="str">
        <f t="shared" si="26"/>
        <v/>
      </c>
      <c r="BD5" t="str">
        <f t="shared" si="27"/>
        <v/>
      </c>
      <c r="BE5" t="str">
        <f t="shared" si="28"/>
        <v/>
      </c>
      <c r="BF5" t="str">
        <f t="shared" si="29"/>
        <v/>
      </c>
      <c r="BG5" t="str">
        <f t="shared" si="30"/>
        <v/>
      </c>
      <c r="BH5" t="str">
        <f t="shared" si="31"/>
        <v/>
      </c>
    </row>
    <row r="6" spans="1:66" x14ac:dyDescent="0.2">
      <c r="A6">
        <v>3</v>
      </c>
      <c r="B6">
        <v>21</v>
      </c>
      <c r="C6" t="s">
        <v>207</v>
      </c>
      <c r="D6">
        <v>1</v>
      </c>
      <c r="K6">
        <v>3</v>
      </c>
      <c r="M6">
        <v>1</v>
      </c>
      <c r="N6">
        <v>4</v>
      </c>
      <c r="O6">
        <v>3</v>
      </c>
      <c r="S6">
        <v>1</v>
      </c>
      <c r="T6">
        <v>1</v>
      </c>
      <c r="X6">
        <f t="shared" si="33"/>
        <v>0</v>
      </c>
      <c r="Z6" t="str">
        <f t="shared" si="0"/>
        <v/>
      </c>
      <c r="AA6" t="str">
        <f t="shared" si="1"/>
        <v/>
      </c>
      <c r="AB6" t="str">
        <f t="shared" si="2"/>
        <v/>
      </c>
      <c r="AC6" t="str">
        <f t="shared" si="3"/>
        <v/>
      </c>
      <c r="AE6" t="str">
        <f t="shared" si="4"/>
        <v/>
      </c>
      <c r="AF6" t="str">
        <f t="shared" si="5"/>
        <v/>
      </c>
      <c r="AG6" t="str">
        <f t="shared" si="6"/>
        <v/>
      </c>
      <c r="AH6" t="str">
        <f t="shared" si="7"/>
        <v/>
      </c>
      <c r="AI6" t="str">
        <f t="shared" si="8"/>
        <v/>
      </c>
      <c r="AK6" t="str">
        <f t="shared" si="9"/>
        <v/>
      </c>
      <c r="AL6" t="str">
        <f t="shared" si="32"/>
        <v/>
      </c>
      <c r="AM6" t="str">
        <f t="shared" si="10"/>
        <v/>
      </c>
      <c r="AN6" t="str">
        <f t="shared" si="11"/>
        <v/>
      </c>
      <c r="AO6" t="str">
        <f t="shared" si="12"/>
        <v/>
      </c>
      <c r="AP6" t="str">
        <f t="shared" si="13"/>
        <v/>
      </c>
      <c r="AQ6" t="str">
        <f t="shared" si="14"/>
        <v/>
      </c>
      <c r="AR6" t="str">
        <f t="shared" si="15"/>
        <v/>
      </c>
      <c r="AS6" t="str">
        <f t="shared" si="16"/>
        <v/>
      </c>
      <c r="AT6" t="str">
        <f t="shared" si="17"/>
        <v/>
      </c>
      <c r="AU6" t="str">
        <f t="shared" si="18"/>
        <v/>
      </c>
      <c r="AV6" t="str">
        <f t="shared" si="19"/>
        <v/>
      </c>
      <c r="AW6" t="str">
        <f t="shared" si="20"/>
        <v/>
      </c>
      <c r="AX6" t="str">
        <f t="shared" si="21"/>
        <v/>
      </c>
      <c r="AY6" t="str">
        <f t="shared" si="22"/>
        <v/>
      </c>
      <c r="AZ6" t="str">
        <f t="shared" si="23"/>
        <v/>
      </c>
      <c r="BA6" t="str">
        <f t="shared" si="24"/>
        <v/>
      </c>
      <c r="BB6" t="str">
        <f t="shared" si="25"/>
        <v/>
      </c>
      <c r="BC6" t="str">
        <f t="shared" si="26"/>
        <v/>
      </c>
      <c r="BD6" t="str">
        <f t="shared" si="27"/>
        <v/>
      </c>
      <c r="BE6" t="str">
        <f t="shared" si="28"/>
        <v/>
      </c>
      <c r="BF6" t="str">
        <f t="shared" si="29"/>
        <v/>
      </c>
      <c r="BG6" t="str">
        <f t="shared" si="30"/>
        <v/>
      </c>
      <c r="BH6" t="str">
        <f t="shared" si="31"/>
        <v/>
      </c>
    </row>
    <row r="7" spans="1:66" x14ac:dyDescent="0.2">
      <c r="A7">
        <v>4</v>
      </c>
      <c r="B7">
        <v>39</v>
      </c>
      <c r="C7" t="s">
        <v>39</v>
      </c>
      <c r="D7">
        <v>1</v>
      </c>
      <c r="G7">
        <v>3</v>
      </c>
      <c r="L7">
        <v>1</v>
      </c>
      <c r="M7">
        <v>2</v>
      </c>
      <c r="N7">
        <v>2</v>
      </c>
      <c r="O7">
        <v>2</v>
      </c>
      <c r="S7">
        <v>1</v>
      </c>
      <c r="T7">
        <v>1</v>
      </c>
      <c r="U7">
        <v>3</v>
      </c>
      <c r="X7">
        <f t="shared" si="33"/>
        <v>3</v>
      </c>
      <c r="Y7" t="s">
        <v>174</v>
      </c>
      <c r="Z7" t="str">
        <f t="shared" si="0"/>
        <v/>
      </c>
      <c r="AA7" t="str">
        <f t="shared" si="1"/>
        <v/>
      </c>
      <c r="AB7" t="str">
        <f t="shared" si="2"/>
        <v/>
      </c>
      <c r="AC7" t="str">
        <f t="shared" si="3"/>
        <v/>
      </c>
      <c r="AE7" t="str">
        <f t="shared" si="4"/>
        <v/>
      </c>
      <c r="AF7" t="str">
        <f t="shared" si="5"/>
        <v/>
      </c>
      <c r="AG7" t="str">
        <f t="shared" si="6"/>
        <v/>
      </c>
      <c r="AH7" t="str">
        <f t="shared" si="7"/>
        <v/>
      </c>
      <c r="AI7" t="str">
        <f t="shared" si="8"/>
        <v/>
      </c>
      <c r="AK7" t="str">
        <f t="shared" si="9"/>
        <v/>
      </c>
      <c r="AL7" t="str">
        <f t="shared" si="32"/>
        <v/>
      </c>
      <c r="AM7" t="str">
        <f t="shared" si="10"/>
        <v/>
      </c>
      <c r="AN7" t="str">
        <f t="shared" si="11"/>
        <v/>
      </c>
      <c r="AO7" t="str">
        <f t="shared" si="12"/>
        <v/>
      </c>
      <c r="AP7" t="str">
        <f t="shared" si="13"/>
        <v/>
      </c>
      <c r="AQ7" t="str">
        <f t="shared" si="14"/>
        <v/>
      </c>
      <c r="AR7" t="str">
        <f t="shared" si="15"/>
        <v/>
      </c>
      <c r="AS7" t="str">
        <f t="shared" si="16"/>
        <v/>
      </c>
      <c r="AT7" t="str">
        <f t="shared" si="17"/>
        <v/>
      </c>
      <c r="AU7" t="str">
        <f t="shared" si="18"/>
        <v/>
      </c>
      <c r="AV7" t="str">
        <f t="shared" si="19"/>
        <v/>
      </c>
      <c r="AW7" t="str">
        <f t="shared" si="20"/>
        <v/>
      </c>
      <c r="AX7" t="str">
        <f t="shared" si="21"/>
        <v/>
      </c>
      <c r="AY7" t="str">
        <f t="shared" si="22"/>
        <v/>
      </c>
      <c r="AZ7" t="str">
        <f t="shared" si="23"/>
        <v/>
      </c>
      <c r="BA7" t="str">
        <f t="shared" si="24"/>
        <v/>
      </c>
      <c r="BB7" t="str">
        <f t="shared" si="25"/>
        <v/>
      </c>
      <c r="BC7" t="str">
        <f t="shared" si="26"/>
        <v/>
      </c>
      <c r="BD7" t="str">
        <f t="shared" si="27"/>
        <v/>
      </c>
      <c r="BE7" t="str">
        <f t="shared" si="28"/>
        <v/>
      </c>
      <c r="BF7" t="str">
        <f t="shared" si="29"/>
        <v/>
      </c>
      <c r="BG7" t="str">
        <f t="shared" si="30"/>
        <v/>
      </c>
      <c r="BH7" t="str">
        <f t="shared" si="31"/>
        <v/>
      </c>
    </row>
    <row r="8" spans="1:66" x14ac:dyDescent="0.2">
      <c r="A8">
        <v>5</v>
      </c>
      <c r="B8">
        <v>47</v>
      </c>
      <c r="C8" t="s">
        <v>39</v>
      </c>
      <c r="D8">
        <v>1</v>
      </c>
      <c r="E8">
        <v>1</v>
      </c>
      <c r="K8">
        <v>3</v>
      </c>
      <c r="N8">
        <v>3</v>
      </c>
      <c r="O8">
        <v>3</v>
      </c>
      <c r="R8">
        <v>1</v>
      </c>
      <c r="S8">
        <v>1</v>
      </c>
      <c r="T8">
        <v>1</v>
      </c>
      <c r="U8">
        <v>1</v>
      </c>
      <c r="W8">
        <v>2</v>
      </c>
      <c r="X8">
        <f t="shared" si="33"/>
        <v>1</v>
      </c>
      <c r="Y8" t="s">
        <v>174</v>
      </c>
      <c r="Z8" t="str">
        <f t="shared" si="0"/>
        <v/>
      </c>
      <c r="AA8" t="str">
        <f t="shared" si="1"/>
        <v/>
      </c>
      <c r="AB8" t="str">
        <f t="shared" si="2"/>
        <v/>
      </c>
      <c r="AC8" t="str">
        <f t="shared" si="3"/>
        <v/>
      </c>
      <c r="AE8" t="str">
        <f t="shared" si="4"/>
        <v/>
      </c>
      <c r="AF8" t="str">
        <f t="shared" si="5"/>
        <v/>
      </c>
      <c r="AG8" t="str">
        <f t="shared" si="6"/>
        <v/>
      </c>
      <c r="AH8" t="str">
        <f t="shared" si="7"/>
        <v/>
      </c>
      <c r="AI8" t="str">
        <f t="shared" si="8"/>
        <v/>
      </c>
      <c r="AK8" t="str">
        <f t="shared" si="9"/>
        <v/>
      </c>
      <c r="AL8" t="str">
        <f t="shared" si="32"/>
        <v/>
      </c>
      <c r="AM8" t="str">
        <f t="shared" si="10"/>
        <v/>
      </c>
      <c r="AN8" t="str">
        <f t="shared" si="11"/>
        <v/>
      </c>
      <c r="AO8" t="str">
        <f t="shared" si="12"/>
        <v/>
      </c>
      <c r="AP8" t="str">
        <f t="shared" si="13"/>
        <v/>
      </c>
      <c r="AQ8" t="str">
        <f t="shared" si="14"/>
        <v/>
      </c>
      <c r="AR8" t="str">
        <f t="shared" si="15"/>
        <v/>
      </c>
      <c r="AS8" t="str">
        <f t="shared" si="16"/>
        <v/>
      </c>
      <c r="AT8" t="str">
        <f t="shared" si="17"/>
        <v/>
      </c>
      <c r="AU8" t="str">
        <f t="shared" si="18"/>
        <v/>
      </c>
      <c r="AV8" t="str">
        <f t="shared" si="19"/>
        <v/>
      </c>
      <c r="AW8" t="str">
        <f t="shared" si="20"/>
        <v/>
      </c>
      <c r="AX8" t="str">
        <f t="shared" si="21"/>
        <v/>
      </c>
      <c r="AY8" t="str">
        <f t="shared" si="22"/>
        <v/>
      </c>
      <c r="AZ8" t="str">
        <f t="shared" si="23"/>
        <v/>
      </c>
      <c r="BA8" t="str">
        <f t="shared" si="24"/>
        <v/>
      </c>
      <c r="BB8" t="str">
        <f t="shared" si="25"/>
        <v/>
      </c>
      <c r="BC8" t="str">
        <f t="shared" si="26"/>
        <v/>
      </c>
      <c r="BD8" t="str">
        <f t="shared" si="27"/>
        <v/>
      </c>
      <c r="BE8" t="str">
        <f t="shared" si="28"/>
        <v/>
      </c>
      <c r="BF8" t="str">
        <f t="shared" si="29"/>
        <v/>
      </c>
      <c r="BG8" t="str">
        <f t="shared" si="30"/>
        <v/>
      </c>
      <c r="BH8" t="str">
        <f t="shared" si="31"/>
        <v/>
      </c>
    </row>
    <row r="9" spans="1:66" x14ac:dyDescent="0.2">
      <c r="A9">
        <v>6</v>
      </c>
      <c r="B9">
        <v>56</v>
      </c>
      <c r="C9" t="s">
        <v>39</v>
      </c>
      <c r="D9">
        <v>1</v>
      </c>
      <c r="E9">
        <v>1</v>
      </c>
      <c r="M9">
        <v>3</v>
      </c>
      <c r="N9">
        <v>3</v>
      </c>
      <c r="O9">
        <v>3</v>
      </c>
      <c r="S9">
        <v>1</v>
      </c>
      <c r="X9">
        <f t="shared" si="33"/>
        <v>0</v>
      </c>
      <c r="Z9" t="str">
        <f t="shared" si="0"/>
        <v/>
      </c>
      <c r="AA9" t="str">
        <f t="shared" si="1"/>
        <v/>
      </c>
      <c r="AB9" t="str">
        <f t="shared" si="2"/>
        <v/>
      </c>
      <c r="AC9" t="str">
        <f t="shared" si="3"/>
        <v/>
      </c>
      <c r="AE9" t="str">
        <f t="shared" si="4"/>
        <v/>
      </c>
      <c r="AF9" t="str">
        <f t="shared" si="5"/>
        <v/>
      </c>
      <c r="AG9" t="str">
        <f t="shared" si="6"/>
        <v/>
      </c>
      <c r="AH9" t="str">
        <f t="shared" si="7"/>
        <v/>
      </c>
      <c r="AI9" t="str">
        <f t="shared" si="8"/>
        <v/>
      </c>
      <c r="AK9" t="str">
        <f t="shared" si="9"/>
        <v/>
      </c>
      <c r="AL9" t="str">
        <f t="shared" si="32"/>
        <v/>
      </c>
      <c r="AM9" t="str">
        <f t="shared" si="10"/>
        <v/>
      </c>
      <c r="AN9" t="str">
        <f t="shared" si="11"/>
        <v/>
      </c>
      <c r="AO9" t="str">
        <f t="shared" si="12"/>
        <v/>
      </c>
      <c r="AP9" t="str">
        <f t="shared" si="13"/>
        <v/>
      </c>
      <c r="AQ9" t="str">
        <f t="shared" si="14"/>
        <v/>
      </c>
      <c r="AR9" t="str">
        <f t="shared" si="15"/>
        <v/>
      </c>
      <c r="AS9" t="str">
        <f t="shared" si="16"/>
        <v/>
      </c>
      <c r="AT9" t="str">
        <f t="shared" si="17"/>
        <v/>
      </c>
      <c r="AU9" t="str">
        <f t="shared" si="18"/>
        <v/>
      </c>
      <c r="AV9" t="str">
        <f t="shared" si="19"/>
        <v/>
      </c>
      <c r="AW9" t="str">
        <f t="shared" si="20"/>
        <v/>
      </c>
      <c r="AX9" t="str">
        <f t="shared" si="21"/>
        <v/>
      </c>
      <c r="AY9" t="str">
        <f t="shared" si="22"/>
        <v/>
      </c>
      <c r="AZ9" t="str">
        <f t="shared" si="23"/>
        <v/>
      </c>
      <c r="BA9" t="str">
        <f t="shared" si="24"/>
        <v/>
      </c>
      <c r="BB9" t="str">
        <f t="shared" si="25"/>
        <v/>
      </c>
      <c r="BC9" t="str">
        <f t="shared" si="26"/>
        <v/>
      </c>
      <c r="BD9" t="str">
        <f t="shared" si="27"/>
        <v/>
      </c>
      <c r="BE9" t="str">
        <f t="shared" si="28"/>
        <v/>
      </c>
      <c r="BF9" t="str">
        <f t="shared" si="29"/>
        <v/>
      </c>
      <c r="BG9" t="str">
        <f t="shared" si="30"/>
        <v/>
      </c>
      <c r="BH9" t="str">
        <f t="shared" si="31"/>
        <v/>
      </c>
    </row>
    <row r="10" spans="1:66" x14ac:dyDescent="0.2">
      <c r="A10">
        <v>7</v>
      </c>
      <c r="B10">
        <v>62</v>
      </c>
      <c r="C10" t="s">
        <v>207</v>
      </c>
      <c r="M10">
        <v>3</v>
      </c>
      <c r="N10">
        <v>4</v>
      </c>
      <c r="O10">
        <v>3</v>
      </c>
      <c r="S10">
        <v>1</v>
      </c>
      <c r="T10">
        <v>1</v>
      </c>
      <c r="X10">
        <f t="shared" si="33"/>
        <v>0</v>
      </c>
      <c r="Z10" t="str">
        <f t="shared" si="0"/>
        <v/>
      </c>
      <c r="AA10" t="str">
        <f t="shared" si="1"/>
        <v/>
      </c>
      <c r="AB10" t="str">
        <f t="shared" si="2"/>
        <v/>
      </c>
      <c r="AC10" t="str">
        <f t="shared" si="3"/>
        <v/>
      </c>
      <c r="AE10" t="str">
        <f t="shared" si="4"/>
        <v/>
      </c>
      <c r="AF10" t="str">
        <f t="shared" si="5"/>
        <v/>
      </c>
      <c r="AG10" t="str">
        <f t="shared" si="6"/>
        <v/>
      </c>
      <c r="AH10" t="str">
        <f t="shared" si="7"/>
        <v/>
      </c>
      <c r="AI10" t="str">
        <f t="shared" si="8"/>
        <v/>
      </c>
      <c r="AK10" t="str">
        <f t="shared" si="9"/>
        <v/>
      </c>
      <c r="AL10" t="str">
        <f t="shared" si="32"/>
        <v/>
      </c>
      <c r="AM10" t="str">
        <f t="shared" si="10"/>
        <v/>
      </c>
      <c r="AN10" t="str">
        <f t="shared" si="11"/>
        <v/>
      </c>
      <c r="AO10" t="str">
        <f t="shared" si="12"/>
        <v/>
      </c>
      <c r="AP10" t="str">
        <f t="shared" si="13"/>
        <v/>
      </c>
      <c r="AQ10" t="str">
        <f t="shared" si="14"/>
        <v/>
      </c>
      <c r="AR10" t="str">
        <f t="shared" si="15"/>
        <v/>
      </c>
      <c r="AS10" t="str">
        <f t="shared" si="16"/>
        <v/>
      </c>
      <c r="AT10" t="str">
        <f t="shared" si="17"/>
        <v/>
      </c>
      <c r="AU10" t="str">
        <f t="shared" si="18"/>
        <v/>
      </c>
      <c r="AV10" t="str">
        <f t="shared" si="19"/>
        <v/>
      </c>
      <c r="AW10" t="str">
        <f t="shared" si="20"/>
        <v/>
      </c>
      <c r="AX10" t="str">
        <f t="shared" si="21"/>
        <v/>
      </c>
      <c r="AY10" t="str">
        <f t="shared" si="22"/>
        <v/>
      </c>
      <c r="AZ10" t="str">
        <f t="shared" si="23"/>
        <v/>
      </c>
      <c r="BA10" t="str">
        <f t="shared" si="24"/>
        <v/>
      </c>
      <c r="BB10" t="str">
        <f t="shared" si="25"/>
        <v/>
      </c>
      <c r="BC10" t="str">
        <f t="shared" si="26"/>
        <v/>
      </c>
      <c r="BD10" t="str">
        <f t="shared" si="27"/>
        <v/>
      </c>
      <c r="BE10" t="str">
        <f t="shared" si="28"/>
        <v/>
      </c>
      <c r="BF10" t="str">
        <f t="shared" si="29"/>
        <v/>
      </c>
      <c r="BG10" t="str">
        <f t="shared" si="30"/>
        <v/>
      </c>
      <c r="BH10" t="str">
        <f t="shared" si="31"/>
        <v/>
      </c>
    </row>
    <row r="11" spans="1:66" x14ac:dyDescent="0.2">
      <c r="A11">
        <v>8</v>
      </c>
      <c r="B11">
        <v>75</v>
      </c>
      <c r="C11" t="s">
        <v>39</v>
      </c>
      <c r="D11">
        <v>1</v>
      </c>
      <c r="M11">
        <v>2</v>
      </c>
      <c r="N11">
        <v>3</v>
      </c>
      <c r="O11">
        <v>3</v>
      </c>
      <c r="S11">
        <v>1</v>
      </c>
      <c r="T11">
        <v>1</v>
      </c>
      <c r="X11">
        <f t="shared" si="33"/>
        <v>0</v>
      </c>
      <c r="Z11" t="str">
        <f t="shared" si="0"/>
        <v/>
      </c>
      <c r="AA11" t="str">
        <f t="shared" si="1"/>
        <v/>
      </c>
      <c r="AB11" t="str">
        <f t="shared" si="2"/>
        <v/>
      </c>
      <c r="AC11" t="str">
        <f t="shared" si="3"/>
        <v/>
      </c>
      <c r="AE11" t="str">
        <f t="shared" si="4"/>
        <v/>
      </c>
      <c r="AF11" t="str">
        <f t="shared" si="5"/>
        <v/>
      </c>
      <c r="AG11" t="str">
        <f t="shared" si="6"/>
        <v/>
      </c>
      <c r="AH11" t="str">
        <f t="shared" si="7"/>
        <v/>
      </c>
      <c r="AI11" t="str">
        <f t="shared" si="8"/>
        <v/>
      </c>
      <c r="AK11" t="str">
        <f t="shared" si="9"/>
        <v/>
      </c>
      <c r="AL11" t="str">
        <f t="shared" si="32"/>
        <v/>
      </c>
      <c r="AM11" t="str">
        <f t="shared" si="10"/>
        <v/>
      </c>
      <c r="AN11" t="str">
        <f t="shared" si="11"/>
        <v/>
      </c>
      <c r="AO11" t="str">
        <f t="shared" si="12"/>
        <v/>
      </c>
      <c r="AP11" t="str">
        <f t="shared" si="13"/>
        <v/>
      </c>
      <c r="AQ11" t="str">
        <f t="shared" si="14"/>
        <v/>
      </c>
      <c r="AR11" t="str">
        <f t="shared" si="15"/>
        <v/>
      </c>
      <c r="AS11" t="str">
        <f t="shared" si="16"/>
        <v/>
      </c>
      <c r="AT11" t="str">
        <f t="shared" si="17"/>
        <v/>
      </c>
      <c r="AU11" t="str">
        <f t="shared" si="18"/>
        <v/>
      </c>
      <c r="AV11" t="str">
        <f t="shared" si="19"/>
        <v/>
      </c>
      <c r="AW11" t="str">
        <f t="shared" si="20"/>
        <v/>
      </c>
      <c r="AX11" t="str">
        <f t="shared" si="21"/>
        <v/>
      </c>
      <c r="AY11" t="str">
        <f t="shared" si="22"/>
        <v/>
      </c>
      <c r="AZ11" t="str">
        <f t="shared" si="23"/>
        <v/>
      </c>
      <c r="BA11" t="str">
        <f t="shared" si="24"/>
        <v/>
      </c>
      <c r="BB11" t="str">
        <f t="shared" si="25"/>
        <v/>
      </c>
      <c r="BC11" t="str">
        <f t="shared" si="26"/>
        <v/>
      </c>
      <c r="BD11" t="str">
        <f t="shared" si="27"/>
        <v/>
      </c>
      <c r="BE11" t="str">
        <f t="shared" si="28"/>
        <v/>
      </c>
      <c r="BF11" t="str">
        <f t="shared" si="29"/>
        <v/>
      </c>
      <c r="BG11" t="str">
        <f t="shared" si="30"/>
        <v/>
      </c>
      <c r="BH11" t="str">
        <f t="shared" si="31"/>
        <v/>
      </c>
    </row>
    <row r="12" spans="1:66" x14ac:dyDescent="0.2">
      <c r="A12">
        <v>9</v>
      </c>
      <c r="B12">
        <v>82</v>
      </c>
      <c r="C12" t="s">
        <v>39</v>
      </c>
      <c r="D12">
        <v>1</v>
      </c>
      <c r="E12">
        <v>1</v>
      </c>
      <c r="K12">
        <v>3</v>
      </c>
      <c r="M12">
        <v>1</v>
      </c>
      <c r="N12">
        <v>4</v>
      </c>
      <c r="O12">
        <v>3</v>
      </c>
      <c r="S12">
        <v>1</v>
      </c>
      <c r="T12">
        <v>1</v>
      </c>
      <c r="X12">
        <f t="shared" si="33"/>
        <v>0</v>
      </c>
      <c r="Z12" t="str">
        <f t="shared" si="0"/>
        <v/>
      </c>
      <c r="AA12" t="str">
        <f t="shared" si="1"/>
        <v/>
      </c>
      <c r="AB12" t="str">
        <f t="shared" si="2"/>
        <v/>
      </c>
      <c r="AC12" t="str">
        <f t="shared" si="3"/>
        <v/>
      </c>
      <c r="AE12" t="str">
        <f t="shared" si="4"/>
        <v/>
      </c>
      <c r="AF12" t="str">
        <f t="shared" si="5"/>
        <v/>
      </c>
      <c r="AG12" t="str">
        <f t="shared" si="6"/>
        <v/>
      </c>
      <c r="AH12" t="str">
        <f t="shared" si="7"/>
        <v/>
      </c>
      <c r="AI12" t="str">
        <f t="shared" si="8"/>
        <v/>
      </c>
      <c r="AK12" t="str">
        <f t="shared" si="9"/>
        <v/>
      </c>
      <c r="AL12" t="str">
        <f t="shared" si="32"/>
        <v/>
      </c>
      <c r="AM12" t="str">
        <f t="shared" si="10"/>
        <v/>
      </c>
      <c r="AN12" t="str">
        <f t="shared" si="11"/>
        <v/>
      </c>
      <c r="AO12" t="str">
        <f t="shared" si="12"/>
        <v/>
      </c>
      <c r="AP12" t="str">
        <f t="shared" si="13"/>
        <v/>
      </c>
      <c r="AQ12" t="str">
        <f t="shared" si="14"/>
        <v/>
      </c>
      <c r="AR12" t="str">
        <f t="shared" si="15"/>
        <v/>
      </c>
      <c r="AS12" t="str">
        <f t="shared" si="16"/>
        <v/>
      </c>
      <c r="AT12" t="str">
        <f t="shared" si="17"/>
        <v/>
      </c>
      <c r="AU12" t="str">
        <f t="shared" si="18"/>
        <v/>
      </c>
      <c r="AV12" t="str">
        <f t="shared" si="19"/>
        <v/>
      </c>
      <c r="AW12" t="str">
        <f t="shared" si="20"/>
        <v/>
      </c>
      <c r="AX12" t="str">
        <f t="shared" si="21"/>
        <v/>
      </c>
      <c r="AY12" t="str">
        <f t="shared" si="22"/>
        <v/>
      </c>
      <c r="AZ12" t="str">
        <f t="shared" si="23"/>
        <v/>
      </c>
      <c r="BA12" t="str">
        <f t="shared" si="24"/>
        <v/>
      </c>
      <c r="BB12" t="str">
        <f t="shared" si="25"/>
        <v/>
      </c>
      <c r="BC12" t="str">
        <f t="shared" si="26"/>
        <v/>
      </c>
      <c r="BD12" t="str">
        <f t="shared" si="27"/>
        <v/>
      </c>
      <c r="BE12" t="str">
        <f t="shared" si="28"/>
        <v/>
      </c>
      <c r="BF12" t="str">
        <f t="shared" si="29"/>
        <v/>
      </c>
      <c r="BG12" t="str">
        <f t="shared" si="30"/>
        <v/>
      </c>
      <c r="BH12" t="str">
        <f t="shared" si="31"/>
        <v/>
      </c>
    </row>
    <row r="13" spans="1:66" x14ac:dyDescent="0.2">
      <c r="A13">
        <v>10</v>
      </c>
      <c r="B13">
        <v>91</v>
      </c>
      <c r="C13" t="s">
        <v>39</v>
      </c>
      <c r="D13">
        <v>1</v>
      </c>
      <c r="E13">
        <v>1</v>
      </c>
      <c r="K13">
        <v>2</v>
      </c>
      <c r="L13">
        <v>1</v>
      </c>
      <c r="N13">
        <v>1</v>
      </c>
      <c r="O13">
        <v>1</v>
      </c>
      <c r="S13">
        <v>1</v>
      </c>
      <c r="U13">
        <v>2</v>
      </c>
      <c r="X13">
        <f t="shared" si="33"/>
        <v>0</v>
      </c>
      <c r="Z13" t="str">
        <f t="shared" si="0"/>
        <v/>
      </c>
      <c r="AA13" t="str">
        <f t="shared" si="1"/>
        <v/>
      </c>
      <c r="AB13" t="str">
        <f t="shared" si="2"/>
        <v/>
      </c>
      <c r="AC13" t="str">
        <f t="shared" si="3"/>
        <v/>
      </c>
      <c r="AE13" t="str">
        <f t="shared" si="4"/>
        <v/>
      </c>
      <c r="AF13" t="str">
        <f t="shared" si="5"/>
        <v/>
      </c>
      <c r="AG13" t="str">
        <f t="shared" si="6"/>
        <v/>
      </c>
      <c r="AH13" t="str">
        <f t="shared" si="7"/>
        <v/>
      </c>
      <c r="AI13" t="str">
        <f t="shared" si="8"/>
        <v/>
      </c>
      <c r="AK13" t="str">
        <f t="shared" si="9"/>
        <v/>
      </c>
      <c r="AL13" t="str">
        <f t="shared" si="32"/>
        <v/>
      </c>
      <c r="AM13" t="str">
        <f t="shared" si="10"/>
        <v/>
      </c>
      <c r="AN13" t="str">
        <f t="shared" si="11"/>
        <v/>
      </c>
      <c r="AO13" t="str">
        <f t="shared" si="12"/>
        <v/>
      </c>
      <c r="AP13" t="str">
        <f t="shared" si="13"/>
        <v/>
      </c>
      <c r="AQ13" t="str">
        <f t="shared" si="14"/>
        <v/>
      </c>
      <c r="AR13" t="str">
        <f t="shared" si="15"/>
        <v/>
      </c>
      <c r="AS13" t="str">
        <f t="shared" si="16"/>
        <v/>
      </c>
      <c r="AT13" t="str">
        <f t="shared" si="17"/>
        <v/>
      </c>
      <c r="AU13" t="str">
        <f t="shared" si="18"/>
        <v/>
      </c>
      <c r="AV13" t="str">
        <f t="shared" si="19"/>
        <v/>
      </c>
      <c r="AW13" t="str">
        <f t="shared" si="20"/>
        <v/>
      </c>
      <c r="AX13" t="str">
        <f t="shared" si="21"/>
        <v/>
      </c>
      <c r="AY13" t="str">
        <f t="shared" si="22"/>
        <v/>
      </c>
      <c r="AZ13" t="str">
        <f t="shared" si="23"/>
        <v/>
      </c>
      <c r="BA13" t="str">
        <f t="shared" si="24"/>
        <v/>
      </c>
      <c r="BB13" t="str">
        <f t="shared" si="25"/>
        <v/>
      </c>
      <c r="BC13" t="str">
        <f t="shared" si="26"/>
        <v/>
      </c>
      <c r="BD13" t="str">
        <f t="shared" si="27"/>
        <v/>
      </c>
      <c r="BE13" t="str">
        <f t="shared" si="28"/>
        <v/>
      </c>
      <c r="BF13" t="str">
        <f t="shared" si="29"/>
        <v/>
      </c>
      <c r="BG13" t="str">
        <f t="shared" si="30"/>
        <v/>
      </c>
      <c r="BH13" t="str">
        <f t="shared" si="31"/>
        <v/>
      </c>
    </row>
    <row r="14" spans="1:66" x14ac:dyDescent="0.2">
      <c r="A14">
        <v>11</v>
      </c>
      <c r="B14">
        <v>102</v>
      </c>
      <c r="C14" t="s">
        <v>207</v>
      </c>
      <c r="D14">
        <v>1</v>
      </c>
      <c r="K14">
        <v>1</v>
      </c>
      <c r="M14">
        <v>1</v>
      </c>
      <c r="N14">
        <v>2</v>
      </c>
      <c r="O14">
        <v>2</v>
      </c>
      <c r="S14">
        <v>1</v>
      </c>
      <c r="T14">
        <v>1</v>
      </c>
      <c r="U14">
        <v>9</v>
      </c>
      <c r="X14">
        <f t="shared" si="33"/>
        <v>0</v>
      </c>
      <c r="Z14" t="s">
        <v>31</v>
      </c>
      <c r="AE14" t="s">
        <v>34</v>
      </c>
      <c r="AK14" t="s">
        <v>43</v>
      </c>
      <c r="AP14" t="s">
        <v>84</v>
      </c>
    </row>
    <row r="15" spans="1:66" x14ac:dyDescent="0.2">
      <c r="A15">
        <v>12</v>
      </c>
      <c r="B15">
        <v>113</v>
      </c>
      <c r="C15" t="s">
        <v>207</v>
      </c>
      <c r="D15">
        <v>1</v>
      </c>
      <c r="G15">
        <v>8</v>
      </c>
      <c r="K15">
        <v>3</v>
      </c>
      <c r="N15">
        <v>3</v>
      </c>
      <c r="O15">
        <v>3</v>
      </c>
      <c r="S15">
        <v>1</v>
      </c>
      <c r="T15">
        <v>1</v>
      </c>
      <c r="X15">
        <f t="shared" si="33"/>
        <v>8</v>
      </c>
      <c r="Z15" t="s">
        <v>21</v>
      </c>
      <c r="AA15" t="s">
        <v>22</v>
      </c>
      <c r="AE15" t="s">
        <v>21</v>
      </c>
      <c r="AF15" t="s">
        <v>22</v>
      </c>
      <c r="AG15" t="s">
        <v>35</v>
      </c>
      <c r="AK15" t="s">
        <v>10</v>
      </c>
      <c r="AL15" t="s">
        <v>25</v>
      </c>
      <c r="AM15" t="s">
        <v>26</v>
      </c>
      <c r="AN15" t="s">
        <v>27</v>
      </c>
      <c r="AP15" t="s">
        <v>15</v>
      </c>
      <c r="AQ15" t="s">
        <v>85</v>
      </c>
    </row>
    <row r="16" spans="1:66" x14ac:dyDescent="0.2">
      <c r="A16" t="s">
        <v>28</v>
      </c>
      <c r="D16">
        <f>SUM(D4:D15)</f>
        <v>11</v>
      </c>
      <c r="E16">
        <f>SUM(E4:E15)</f>
        <v>4</v>
      </c>
      <c r="F16">
        <f>SUM(F4:F15)</f>
        <v>0</v>
      </c>
      <c r="G16">
        <f>SUM(G4:G15)</f>
        <v>11</v>
      </c>
      <c r="H16">
        <f>SUM(H4:H15)</f>
        <v>0</v>
      </c>
      <c r="K16">
        <f>SUM(K4:K15)</f>
        <v>17</v>
      </c>
      <c r="L16">
        <f>SUM(L4:L15)</f>
        <v>2</v>
      </c>
      <c r="M16">
        <f>SUM(M4:M15)</f>
        <v>18</v>
      </c>
      <c r="N16">
        <f>SUM(N4:N15)</f>
        <v>36</v>
      </c>
      <c r="O16">
        <f>SUM(O4:O15)</f>
        <v>32</v>
      </c>
      <c r="Q16">
        <f t="shared" ref="Q16:R16" si="34">SUM(Q4:Q15)</f>
        <v>0</v>
      </c>
      <c r="R16">
        <f t="shared" si="34"/>
        <v>1</v>
      </c>
      <c r="S16">
        <f>SUM(S4:S15)</f>
        <v>12</v>
      </c>
      <c r="T16">
        <f>SUM(T4:T15)</f>
        <v>10</v>
      </c>
      <c r="U16">
        <f>SUM(U4:U15)</f>
        <v>24</v>
      </c>
      <c r="V16">
        <f>SUM(V4:V15)</f>
        <v>0</v>
      </c>
      <c r="W16">
        <f>SUM(W4:W15)</f>
        <v>2</v>
      </c>
      <c r="Z16">
        <f t="shared" ref="Z16:Z27" si="35">COUNTIF(Z2:AC2, "3")*COUNTIF(C4, "r")+COUNTIF(Z2:AC2, "5")*COUNTIF(C4, "b")</f>
        <v>0</v>
      </c>
      <c r="AA16">
        <f t="shared" ref="AA16:AA27" si="36">COUNTIF(Z2:AC2, "1")+COUNTIF(Z2:AC2, "2")+COUNTIF(Z2:AC2, "4")</f>
        <v>0</v>
      </c>
      <c r="AE16">
        <f t="shared" ref="AE16:AE27" si="37">COUNTIF(AE2:AI2, "3")*COUNTIF(C4, "r") + COUNTIF(AE2:AI2, "5")*COUNTIF(C4, "b")</f>
        <v>0</v>
      </c>
      <c r="AF16">
        <f t="shared" ref="AF16:AF27" si="38">COUNTIF(AE2:AI2, "1")+COUNTIF(AE2:AI2, "2")+COUNTIF(AE2:AI2, "4")</f>
        <v>0</v>
      </c>
      <c r="AG16">
        <f t="shared" ref="AG16:AG27" si="39">COUNTIF(AE2:AI2, "3")*COUNTIF(AE2:AI2, "b")+COUNTIF(AE2:AI2, "5")*COUNTIF(AE2:AI2, "r")</f>
        <v>0</v>
      </c>
      <c r="AK16">
        <f t="shared" ref="AK16:AK27" si="40">SUMPRODUCT(LEN($AK2:$BH2) - LEN(SUBSTITUTE($AK2:$BH2, "g", "")))</f>
        <v>0</v>
      </c>
      <c r="AL16">
        <f t="shared" ref="AL16:AL27" si="41">SUMPRODUCT(LEN($AK2:$BH2) - LEN(SUBSTITUTE($AK2:$BH2, "h", "")))</f>
        <v>0</v>
      </c>
      <c r="AM16">
        <f t="shared" ref="AM16:AM27" si="42">SUMPRODUCT(LEN($AK2:$BH2) - LEN(SUBSTITUTE($AK2:$BH2, "v", "")))</f>
        <v>0</v>
      </c>
      <c r="AN16">
        <f t="shared" ref="AN16:AN27" si="43">SUMPRODUCT(LEN($AK2:$BH2) - LEN(SUBSTITUTE($AK2:$BH2, "r", "")))</f>
        <v>0</v>
      </c>
      <c r="AP16">
        <f>MAX(AQ16:BN16)</f>
        <v>0</v>
      </c>
      <c r="AQ16" s="4">
        <f>_xlfn.NUMBERVALUE(RIGHT(AK2,1))</f>
        <v>0</v>
      </c>
      <c r="AR16" s="4">
        <f t="shared" ref="AR16:BG27" si="44">_xlfn.NUMBERVALUE(RIGHT(AL2,1))</f>
        <v>0</v>
      </c>
      <c r="AS16" s="4">
        <f t="shared" si="44"/>
        <v>0</v>
      </c>
      <c r="AT16" s="4">
        <f t="shared" si="44"/>
        <v>0</v>
      </c>
      <c r="AU16" s="4">
        <f t="shared" si="44"/>
        <v>0</v>
      </c>
      <c r="AV16" s="4">
        <f t="shared" si="44"/>
        <v>0</v>
      </c>
      <c r="AW16" s="4">
        <f t="shared" si="44"/>
        <v>0</v>
      </c>
      <c r="AX16" s="4">
        <f t="shared" si="44"/>
        <v>0</v>
      </c>
      <c r="AY16" s="4">
        <f t="shared" si="44"/>
        <v>0</v>
      </c>
      <c r="AZ16" s="4">
        <f t="shared" si="44"/>
        <v>0</v>
      </c>
      <c r="BA16" s="4">
        <f t="shared" si="44"/>
        <v>0</v>
      </c>
      <c r="BB16" s="4">
        <f t="shared" si="44"/>
        <v>0</v>
      </c>
      <c r="BC16" s="4">
        <f t="shared" si="44"/>
        <v>0</v>
      </c>
      <c r="BD16" s="4">
        <f t="shared" si="44"/>
        <v>0</v>
      </c>
      <c r="BE16" s="4">
        <f t="shared" si="44"/>
        <v>0</v>
      </c>
      <c r="BF16" s="4">
        <f t="shared" si="44"/>
        <v>0</v>
      </c>
      <c r="BG16" s="4">
        <f t="shared" si="44"/>
        <v>0</v>
      </c>
      <c r="BH16" s="4">
        <f t="shared" ref="BH16:BN27" si="45">_xlfn.NUMBERVALUE(RIGHT(BB2,1))</f>
        <v>0</v>
      </c>
      <c r="BI16" s="4">
        <f t="shared" si="45"/>
        <v>0</v>
      </c>
      <c r="BJ16" s="4">
        <f t="shared" si="45"/>
        <v>0</v>
      </c>
      <c r="BK16" s="4">
        <f t="shared" si="45"/>
        <v>0</v>
      </c>
      <c r="BL16" s="4">
        <f t="shared" si="45"/>
        <v>0</v>
      </c>
      <c r="BM16" s="4">
        <f t="shared" si="45"/>
        <v>0</v>
      </c>
      <c r="BN16" s="4">
        <f t="shared" si="45"/>
        <v>0</v>
      </c>
    </row>
    <row r="17" spans="1:66" x14ac:dyDescent="0.2">
      <c r="A17" s="1" t="s">
        <v>20</v>
      </c>
      <c r="D17" s="1" t="s">
        <v>49</v>
      </c>
      <c r="G17" s="1" t="s">
        <v>52</v>
      </c>
      <c r="K17" s="3" t="s">
        <v>74</v>
      </c>
      <c r="P17" s="1" t="s">
        <v>66</v>
      </c>
      <c r="Z17">
        <f t="shared" si="35"/>
        <v>0</v>
      </c>
      <c r="AA17">
        <f t="shared" si="36"/>
        <v>0</v>
      </c>
      <c r="AE17">
        <f t="shared" si="37"/>
        <v>0</v>
      </c>
      <c r="AF17">
        <f t="shared" si="38"/>
        <v>0</v>
      </c>
      <c r="AG17">
        <f t="shared" si="39"/>
        <v>0</v>
      </c>
      <c r="AK17">
        <f t="shared" si="40"/>
        <v>0</v>
      </c>
      <c r="AL17">
        <f t="shared" si="41"/>
        <v>0</v>
      </c>
      <c r="AM17">
        <f t="shared" si="42"/>
        <v>0</v>
      </c>
      <c r="AN17">
        <f t="shared" si="43"/>
        <v>0</v>
      </c>
      <c r="AP17">
        <f t="shared" ref="AP17:AP27" si="46">MAX(AQ17:BN17)</f>
        <v>0</v>
      </c>
      <c r="AQ17" s="4">
        <f t="shared" ref="AQ17:AQ27" si="47">_xlfn.NUMBERVALUE(RIGHT(AK3,1))</f>
        <v>0</v>
      </c>
      <c r="AR17" s="4">
        <f t="shared" si="44"/>
        <v>0</v>
      </c>
      <c r="AS17" s="4">
        <f t="shared" si="44"/>
        <v>0</v>
      </c>
      <c r="AT17" s="4">
        <f t="shared" si="44"/>
        <v>0</v>
      </c>
      <c r="AU17" s="4">
        <f t="shared" si="44"/>
        <v>0</v>
      </c>
      <c r="AV17" s="4">
        <f t="shared" si="44"/>
        <v>0</v>
      </c>
      <c r="AW17" s="4">
        <f t="shared" si="44"/>
        <v>0</v>
      </c>
      <c r="AX17" s="4">
        <f t="shared" si="44"/>
        <v>0</v>
      </c>
      <c r="AY17" s="4">
        <f t="shared" si="44"/>
        <v>0</v>
      </c>
      <c r="AZ17" s="4">
        <f t="shared" si="44"/>
        <v>0</v>
      </c>
      <c r="BA17" s="4">
        <f t="shared" si="44"/>
        <v>0</v>
      </c>
      <c r="BB17" s="4">
        <f t="shared" si="44"/>
        <v>0</v>
      </c>
      <c r="BC17" s="4">
        <f t="shared" si="44"/>
        <v>0</v>
      </c>
      <c r="BD17" s="4">
        <f t="shared" si="44"/>
        <v>0</v>
      </c>
      <c r="BE17" s="4">
        <f t="shared" si="44"/>
        <v>0</v>
      </c>
      <c r="BF17" s="4">
        <f t="shared" si="44"/>
        <v>0</v>
      </c>
      <c r="BG17" s="4">
        <f t="shared" si="44"/>
        <v>0</v>
      </c>
      <c r="BH17" s="4">
        <f t="shared" si="45"/>
        <v>0</v>
      </c>
      <c r="BI17" s="4">
        <f t="shared" si="45"/>
        <v>0</v>
      </c>
      <c r="BJ17" s="4">
        <f t="shared" si="45"/>
        <v>0</v>
      </c>
      <c r="BK17" s="4">
        <f t="shared" si="45"/>
        <v>0</v>
      </c>
      <c r="BL17" s="4">
        <f t="shared" si="45"/>
        <v>0</v>
      </c>
      <c r="BM17" s="4">
        <f t="shared" si="45"/>
        <v>0</v>
      </c>
      <c r="BN17" s="4">
        <f t="shared" si="45"/>
        <v>0</v>
      </c>
    </row>
    <row r="18" spans="1:66" x14ac:dyDescent="0.2">
      <c r="A18" t="s">
        <v>32</v>
      </c>
      <c r="B18" t="s">
        <v>21</v>
      </c>
      <c r="D18" t="s">
        <v>180</v>
      </c>
      <c r="G18" s="3" t="s">
        <v>53</v>
      </c>
      <c r="K18" t="s">
        <v>55</v>
      </c>
      <c r="M18" t="s">
        <v>65</v>
      </c>
      <c r="P18" t="s">
        <v>67</v>
      </c>
      <c r="Z18">
        <f t="shared" si="35"/>
        <v>0</v>
      </c>
      <c r="AA18">
        <f t="shared" si="36"/>
        <v>0</v>
      </c>
      <c r="AE18">
        <f t="shared" si="37"/>
        <v>0</v>
      </c>
      <c r="AF18">
        <f t="shared" si="38"/>
        <v>0</v>
      </c>
      <c r="AG18">
        <f t="shared" si="39"/>
        <v>0</v>
      </c>
      <c r="AK18">
        <f t="shared" si="40"/>
        <v>0</v>
      </c>
      <c r="AL18">
        <f t="shared" si="41"/>
        <v>0</v>
      </c>
      <c r="AM18">
        <f t="shared" si="42"/>
        <v>0</v>
      </c>
      <c r="AN18">
        <f t="shared" si="43"/>
        <v>0</v>
      </c>
      <c r="AP18">
        <f t="shared" si="46"/>
        <v>0</v>
      </c>
      <c r="AQ18" s="4">
        <f t="shared" si="47"/>
        <v>0</v>
      </c>
      <c r="AR18" s="4">
        <f t="shared" si="44"/>
        <v>0</v>
      </c>
      <c r="AS18" s="4">
        <f t="shared" si="44"/>
        <v>0</v>
      </c>
      <c r="AT18" s="4">
        <f t="shared" si="44"/>
        <v>0</v>
      </c>
      <c r="AU18" s="4">
        <f t="shared" si="44"/>
        <v>0</v>
      </c>
      <c r="AV18" s="4">
        <f t="shared" si="44"/>
        <v>0</v>
      </c>
      <c r="AW18" s="4">
        <f t="shared" si="44"/>
        <v>0</v>
      </c>
      <c r="AX18" s="4">
        <f t="shared" si="44"/>
        <v>0</v>
      </c>
      <c r="AY18" s="4">
        <f t="shared" si="44"/>
        <v>0</v>
      </c>
      <c r="AZ18" s="4">
        <f t="shared" si="44"/>
        <v>0</v>
      </c>
      <c r="BA18" s="4">
        <f t="shared" si="44"/>
        <v>0</v>
      </c>
      <c r="BB18" s="4">
        <f t="shared" si="44"/>
        <v>0</v>
      </c>
      <c r="BC18" s="4">
        <f t="shared" si="44"/>
        <v>0</v>
      </c>
      <c r="BD18" s="4">
        <f t="shared" si="44"/>
        <v>0</v>
      </c>
      <c r="BE18" s="4">
        <f t="shared" si="44"/>
        <v>0</v>
      </c>
      <c r="BF18" s="4">
        <f t="shared" si="44"/>
        <v>0</v>
      </c>
      <c r="BG18" s="4">
        <f t="shared" si="44"/>
        <v>0</v>
      </c>
      <c r="BH18" s="4">
        <f t="shared" si="45"/>
        <v>0</v>
      </c>
      <c r="BI18" s="4">
        <f t="shared" si="45"/>
        <v>0</v>
      </c>
      <c r="BJ18" s="4">
        <f t="shared" si="45"/>
        <v>0</v>
      </c>
      <c r="BK18" s="4">
        <f t="shared" si="45"/>
        <v>0</v>
      </c>
      <c r="BL18" s="4">
        <f t="shared" si="45"/>
        <v>0</v>
      </c>
      <c r="BM18" s="4">
        <f t="shared" si="45"/>
        <v>0</v>
      </c>
      <c r="BN18" s="4">
        <f t="shared" si="45"/>
        <v>0</v>
      </c>
    </row>
    <row r="19" spans="1:66" x14ac:dyDescent="0.2">
      <c r="A19" t="s">
        <v>40</v>
      </c>
      <c r="B19" t="s">
        <v>22</v>
      </c>
      <c r="D19">
        <f>E16/D16</f>
        <v>0.36363636363636365</v>
      </c>
      <c r="G19" t="s">
        <v>75</v>
      </c>
      <c r="K19">
        <f>O16/N16</f>
        <v>0.88888888888888884</v>
      </c>
      <c r="M19">
        <f>SUM(M39:M50)</f>
        <v>3</v>
      </c>
      <c r="P19">
        <f>T16/S16</f>
        <v>0.83333333333333337</v>
      </c>
      <c r="Z19">
        <f t="shared" si="35"/>
        <v>0</v>
      </c>
      <c r="AA19">
        <f t="shared" si="36"/>
        <v>0</v>
      </c>
      <c r="AE19">
        <f t="shared" si="37"/>
        <v>0</v>
      </c>
      <c r="AF19">
        <f t="shared" si="38"/>
        <v>0</v>
      </c>
      <c r="AG19">
        <f t="shared" si="39"/>
        <v>0</v>
      </c>
      <c r="AK19">
        <f t="shared" si="40"/>
        <v>0</v>
      </c>
      <c r="AL19">
        <f t="shared" si="41"/>
        <v>0</v>
      </c>
      <c r="AM19">
        <f t="shared" si="42"/>
        <v>0</v>
      </c>
      <c r="AN19">
        <f t="shared" si="43"/>
        <v>0</v>
      </c>
      <c r="AP19">
        <f t="shared" si="46"/>
        <v>0</v>
      </c>
      <c r="AQ19" s="4">
        <f t="shared" si="47"/>
        <v>0</v>
      </c>
      <c r="AR19" s="4">
        <f t="shared" si="44"/>
        <v>0</v>
      </c>
      <c r="AS19" s="4">
        <f t="shared" si="44"/>
        <v>0</v>
      </c>
      <c r="AT19" s="4">
        <f t="shared" si="44"/>
        <v>0</v>
      </c>
      <c r="AU19" s="4">
        <f t="shared" si="44"/>
        <v>0</v>
      </c>
      <c r="AV19" s="4">
        <f t="shared" si="44"/>
        <v>0</v>
      </c>
      <c r="AW19" s="4">
        <f t="shared" si="44"/>
        <v>0</v>
      </c>
      <c r="AX19" s="4">
        <f t="shared" si="44"/>
        <v>0</v>
      </c>
      <c r="AY19" s="4">
        <f t="shared" si="44"/>
        <v>0</v>
      </c>
      <c r="AZ19" s="4">
        <f t="shared" si="44"/>
        <v>0</v>
      </c>
      <c r="BA19" s="4">
        <f t="shared" si="44"/>
        <v>0</v>
      </c>
      <c r="BB19" s="4">
        <f t="shared" si="44"/>
        <v>0</v>
      </c>
      <c r="BC19" s="4">
        <f t="shared" si="44"/>
        <v>0</v>
      </c>
      <c r="BD19" s="4">
        <f t="shared" si="44"/>
        <v>0</v>
      </c>
      <c r="BE19" s="4">
        <f t="shared" si="44"/>
        <v>0</v>
      </c>
      <c r="BF19" s="4">
        <f t="shared" si="44"/>
        <v>0</v>
      </c>
      <c r="BG19" s="4">
        <f t="shared" si="44"/>
        <v>0</v>
      </c>
      <c r="BH19" s="4">
        <f t="shared" si="45"/>
        <v>0</v>
      </c>
      <c r="BI19" s="4">
        <f t="shared" si="45"/>
        <v>0</v>
      </c>
      <c r="BJ19" s="4">
        <f t="shared" si="45"/>
        <v>0</v>
      </c>
      <c r="BK19" s="4">
        <f t="shared" si="45"/>
        <v>0</v>
      </c>
      <c r="BL19" s="4">
        <f t="shared" si="45"/>
        <v>0</v>
      </c>
      <c r="BM19" s="4">
        <f t="shared" si="45"/>
        <v>0</v>
      </c>
      <c r="BN19" s="4">
        <f t="shared" si="45"/>
        <v>0</v>
      </c>
    </row>
    <row r="20" spans="1:66" x14ac:dyDescent="0.2">
      <c r="A20" t="s">
        <v>41</v>
      </c>
      <c r="B20" t="s">
        <v>23</v>
      </c>
      <c r="D20" t="s">
        <v>47</v>
      </c>
      <c r="G20" t="e">
        <f>AK28/AP28</f>
        <v>#DIV/0!</v>
      </c>
      <c r="K20" t="s">
        <v>13</v>
      </c>
      <c r="Z20">
        <f t="shared" si="35"/>
        <v>0</v>
      </c>
      <c r="AA20">
        <f t="shared" si="36"/>
        <v>0</v>
      </c>
      <c r="AE20">
        <f t="shared" si="37"/>
        <v>0</v>
      </c>
      <c r="AF20">
        <f t="shared" si="38"/>
        <v>0</v>
      </c>
      <c r="AG20">
        <f t="shared" si="39"/>
        <v>0</v>
      </c>
      <c r="AK20">
        <f t="shared" si="40"/>
        <v>0</v>
      </c>
      <c r="AL20">
        <f t="shared" si="41"/>
        <v>0</v>
      </c>
      <c r="AM20">
        <f t="shared" si="42"/>
        <v>0</v>
      </c>
      <c r="AN20">
        <f t="shared" si="43"/>
        <v>0</v>
      </c>
      <c r="AP20">
        <f t="shared" si="46"/>
        <v>0</v>
      </c>
      <c r="AQ20" s="4">
        <f t="shared" si="47"/>
        <v>0</v>
      </c>
      <c r="AR20" s="4">
        <f t="shared" si="44"/>
        <v>0</v>
      </c>
      <c r="AS20" s="4">
        <f t="shared" si="44"/>
        <v>0</v>
      </c>
      <c r="AT20" s="4">
        <f t="shared" si="44"/>
        <v>0</v>
      </c>
      <c r="AU20" s="4">
        <f t="shared" si="44"/>
        <v>0</v>
      </c>
      <c r="AV20" s="4">
        <f t="shared" si="44"/>
        <v>0</v>
      </c>
      <c r="AW20" s="4">
        <f t="shared" si="44"/>
        <v>0</v>
      </c>
      <c r="AX20" s="4">
        <f t="shared" si="44"/>
        <v>0</v>
      </c>
      <c r="AY20" s="4">
        <f t="shared" si="44"/>
        <v>0</v>
      </c>
      <c r="AZ20" s="4">
        <f t="shared" si="44"/>
        <v>0</v>
      </c>
      <c r="BA20" s="4">
        <f t="shared" si="44"/>
        <v>0</v>
      </c>
      <c r="BB20" s="4">
        <f t="shared" si="44"/>
        <v>0</v>
      </c>
      <c r="BC20" s="4">
        <f t="shared" si="44"/>
        <v>0</v>
      </c>
      <c r="BD20" s="4">
        <f t="shared" si="44"/>
        <v>0</v>
      </c>
      <c r="BE20" s="4">
        <f t="shared" si="44"/>
        <v>0</v>
      </c>
      <c r="BF20" s="4">
        <f t="shared" si="44"/>
        <v>0</v>
      </c>
      <c r="BG20" s="4">
        <f t="shared" si="44"/>
        <v>0</v>
      </c>
      <c r="BH20" s="4">
        <f t="shared" si="45"/>
        <v>0</v>
      </c>
      <c r="BI20" s="4">
        <f t="shared" si="45"/>
        <v>0</v>
      </c>
      <c r="BJ20" s="4">
        <f t="shared" si="45"/>
        <v>0</v>
      </c>
      <c r="BK20" s="4">
        <f t="shared" si="45"/>
        <v>0</v>
      </c>
      <c r="BL20" s="4">
        <f t="shared" si="45"/>
        <v>0</v>
      </c>
      <c r="BM20" s="4">
        <f t="shared" si="45"/>
        <v>0</v>
      </c>
      <c r="BN20" s="4">
        <f t="shared" si="45"/>
        <v>0</v>
      </c>
    </row>
    <row r="21" spans="1:66" x14ac:dyDescent="0.2">
      <c r="A21" s="1" t="s">
        <v>24</v>
      </c>
      <c r="D21">
        <f>G16/A31</f>
        <v>0.91666666666666663</v>
      </c>
      <c r="G21" t="s">
        <v>76</v>
      </c>
      <c r="K21" t="s">
        <v>57</v>
      </c>
      <c r="L21" t="s">
        <v>58</v>
      </c>
      <c r="M21" t="s">
        <v>59</v>
      </c>
      <c r="N21" t="s">
        <v>60</v>
      </c>
      <c r="Z21">
        <f t="shared" si="35"/>
        <v>0</v>
      </c>
      <c r="AA21">
        <f t="shared" si="36"/>
        <v>0</v>
      </c>
      <c r="AE21">
        <f t="shared" si="37"/>
        <v>0</v>
      </c>
      <c r="AF21">
        <f t="shared" si="38"/>
        <v>0</v>
      </c>
      <c r="AG21">
        <f t="shared" si="39"/>
        <v>0</v>
      </c>
      <c r="AK21">
        <f t="shared" si="40"/>
        <v>0</v>
      </c>
      <c r="AL21">
        <f t="shared" si="41"/>
        <v>0</v>
      </c>
      <c r="AM21">
        <f t="shared" si="42"/>
        <v>0</v>
      </c>
      <c r="AN21">
        <f t="shared" si="43"/>
        <v>0</v>
      </c>
      <c r="AP21">
        <f t="shared" si="46"/>
        <v>0</v>
      </c>
      <c r="AQ21" s="4">
        <f t="shared" si="47"/>
        <v>0</v>
      </c>
      <c r="AR21" s="4">
        <f t="shared" si="44"/>
        <v>0</v>
      </c>
      <c r="AS21" s="4">
        <f t="shared" si="44"/>
        <v>0</v>
      </c>
      <c r="AT21" s="4">
        <f t="shared" si="44"/>
        <v>0</v>
      </c>
      <c r="AU21" s="4">
        <f t="shared" si="44"/>
        <v>0</v>
      </c>
      <c r="AV21" s="4">
        <f t="shared" si="44"/>
        <v>0</v>
      </c>
      <c r="AW21" s="4">
        <f t="shared" si="44"/>
        <v>0</v>
      </c>
      <c r="AX21" s="4">
        <f t="shared" si="44"/>
        <v>0</v>
      </c>
      <c r="AY21" s="4">
        <f t="shared" si="44"/>
        <v>0</v>
      </c>
      <c r="AZ21" s="4">
        <f t="shared" si="44"/>
        <v>0</v>
      </c>
      <c r="BA21" s="4">
        <f t="shared" si="44"/>
        <v>0</v>
      </c>
      <c r="BB21" s="4">
        <f t="shared" si="44"/>
        <v>0</v>
      </c>
      <c r="BC21" s="4">
        <f t="shared" si="44"/>
        <v>0</v>
      </c>
      <c r="BD21" s="4">
        <f t="shared" si="44"/>
        <v>0</v>
      </c>
      <c r="BE21" s="4">
        <f t="shared" si="44"/>
        <v>0</v>
      </c>
      <c r="BF21" s="4">
        <f t="shared" si="44"/>
        <v>0</v>
      </c>
      <c r="BG21" s="4">
        <f t="shared" si="44"/>
        <v>0</v>
      </c>
      <c r="BH21" s="4">
        <f t="shared" si="45"/>
        <v>0</v>
      </c>
      <c r="BI21" s="4">
        <f t="shared" si="45"/>
        <v>0</v>
      </c>
      <c r="BJ21" s="4">
        <f t="shared" si="45"/>
        <v>0</v>
      </c>
      <c r="BK21" s="4">
        <f t="shared" si="45"/>
        <v>0</v>
      </c>
      <c r="BL21" s="4">
        <f t="shared" si="45"/>
        <v>0</v>
      </c>
      <c r="BM21" s="4">
        <f t="shared" si="45"/>
        <v>0</v>
      </c>
      <c r="BN21" s="4">
        <f t="shared" si="45"/>
        <v>0</v>
      </c>
    </row>
    <row r="22" spans="1:66" x14ac:dyDescent="0.2">
      <c r="A22" t="s">
        <v>36</v>
      </c>
      <c r="B22" t="s">
        <v>10</v>
      </c>
      <c r="D22" t="s">
        <v>48</v>
      </c>
      <c r="G22" t="e">
        <f>AL28/AP28</f>
        <v>#DIV/0!</v>
      </c>
      <c r="K22">
        <f>AVERAGE(C39:C50)</f>
        <v>2.6666666666666665</v>
      </c>
      <c r="L22">
        <f>MEDIAN(C39:C50)</f>
        <v>3</v>
      </c>
      <c r="M22">
        <f>MAX(C39:C50)</f>
        <v>3</v>
      </c>
      <c r="N22">
        <f>_xlfn.STDEV.S(C39:C50)</f>
        <v>0.65133894727892994</v>
      </c>
      <c r="Z22">
        <f t="shared" si="35"/>
        <v>0</v>
      </c>
      <c r="AA22">
        <f t="shared" si="36"/>
        <v>0</v>
      </c>
      <c r="AE22">
        <f t="shared" si="37"/>
        <v>0</v>
      </c>
      <c r="AF22">
        <f t="shared" si="38"/>
        <v>0</v>
      </c>
      <c r="AG22">
        <f t="shared" si="39"/>
        <v>0</v>
      </c>
      <c r="AK22">
        <f t="shared" si="40"/>
        <v>0</v>
      </c>
      <c r="AL22">
        <f t="shared" si="41"/>
        <v>0</v>
      </c>
      <c r="AM22">
        <f t="shared" si="42"/>
        <v>0</v>
      </c>
      <c r="AN22">
        <f t="shared" si="43"/>
        <v>0</v>
      </c>
      <c r="AP22">
        <f t="shared" si="46"/>
        <v>0</v>
      </c>
      <c r="AQ22" s="4">
        <f t="shared" si="47"/>
        <v>0</v>
      </c>
      <c r="AR22" s="4">
        <f t="shared" si="44"/>
        <v>0</v>
      </c>
      <c r="AS22" s="4">
        <f t="shared" si="44"/>
        <v>0</v>
      </c>
      <c r="AT22" s="4">
        <f t="shared" si="44"/>
        <v>0</v>
      </c>
      <c r="AU22" s="4">
        <f t="shared" si="44"/>
        <v>0</v>
      </c>
      <c r="AV22" s="4">
        <f t="shared" si="44"/>
        <v>0</v>
      </c>
      <c r="AW22" s="4">
        <f t="shared" si="44"/>
        <v>0</v>
      </c>
      <c r="AX22" s="4">
        <f t="shared" si="44"/>
        <v>0</v>
      </c>
      <c r="AY22" s="4">
        <f t="shared" si="44"/>
        <v>0</v>
      </c>
      <c r="AZ22" s="4">
        <f t="shared" si="44"/>
        <v>0</v>
      </c>
      <c r="BA22" s="4">
        <f t="shared" si="44"/>
        <v>0</v>
      </c>
      <c r="BB22" s="4">
        <f t="shared" si="44"/>
        <v>0</v>
      </c>
      <c r="BC22" s="4">
        <f t="shared" si="44"/>
        <v>0</v>
      </c>
      <c r="BD22" s="4">
        <f t="shared" si="44"/>
        <v>0</v>
      </c>
      <c r="BE22" s="4">
        <f t="shared" si="44"/>
        <v>0</v>
      </c>
      <c r="BF22" s="4">
        <f t="shared" si="44"/>
        <v>0</v>
      </c>
      <c r="BG22" s="4">
        <f t="shared" si="44"/>
        <v>0</v>
      </c>
      <c r="BH22" s="4">
        <f t="shared" si="45"/>
        <v>0</v>
      </c>
      <c r="BI22" s="4">
        <f t="shared" si="45"/>
        <v>0</v>
      </c>
      <c r="BJ22" s="4">
        <f t="shared" si="45"/>
        <v>0</v>
      </c>
      <c r="BK22" s="4">
        <f t="shared" si="45"/>
        <v>0</v>
      </c>
      <c r="BL22" s="4">
        <f t="shared" si="45"/>
        <v>0</v>
      </c>
      <c r="BM22" s="4">
        <f t="shared" si="45"/>
        <v>0</v>
      </c>
      <c r="BN22" s="4">
        <f t="shared" si="45"/>
        <v>0</v>
      </c>
    </row>
    <row r="23" spans="1:66" x14ac:dyDescent="0.2">
      <c r="A23" t="s">
        <v>37</v>
      </c>
      <c r="B23" t="s">
        <v>25</v>
      </c>
      <c r="D23">
        <f>H16/A31</f>
        <v>0</v>
      </c>
      <c r="G23" t="s">
        <v>77</v>
      </c>
      <c r="K23" t="s">
        <v>8</v>
      </c>
      <c r="Z23">
        <f t="shared" si="35"/>
        <v>0</v>
      </c>
      <c r="AA23">
        <f t="shared" si="36"/>
        <v>0</v>
      </c>
      <c r="AE23">
        <f t="shared" si="37"/>
        <v>0</v>
      </c>
      <c r="AF23">
        <f t="shared" si="38"/>
        <v>0</v>
      </c>
      <c r="AG23">
        <f t="shared" si="39"/>
        <v>0</v>
      </c>
      <c r="AK23">
        <f t="shared" si="40"/>
        <v>0</v>
      </c>
      <c r="AL23">
        <f t="shared" si="41"/>
        <v>0</v>
      </c>
      <c r="AM23">
        <f t="shared" si="42"/>
        <v>0</v>
      </c>
      <c r="AN23">
        <f t="shared" si="43"/>
        <v>0</v>
      </c>
      <c r="AP23">
        <f t="shared" si="46"/>
        <v>0</v>
      </c>
      <c r="AQ23" s="4">
        <f t="shared" si="47"/>
        <v>0</v>
      </c>
      <c r="AR23" s="4">
        <f t="shared" si="44"/>
        <v>0</v>
      </c>
      <c r="AS23" s="4">
        <f t="shared" si="44"/>
        <v>0</v>
      </c>
      <c r="AT23" s="4">
        <f t="shared" si="44"/>
        <v>0</v>
      </c>
      <c r="AU23" s="4">
        <f t="shared" si="44"/>
        <v>0</v>
      </c>
      <c r="AV23" s="4">
        <f t="shared" si="44"/>
        <v>0</v>
      </c>
      <c r="AW23" s="4">
        <f t="shared" si="44"/>
        <v>0</v>
      </c>
      <c r="AX23" s="4">
        <f t="shared" si="44"/>
        <v>0</v>
      </c>
      <c r="AY23" s="4">
        <f t="shared" si="44"/>
        <v>0</v>
      </c>
      <c r="AZ23" s="4">
        <f t="shared" si="44"/>
        <v>0</v>
      </c>
      <c r="BA23" s="4">
        <f t="shared" si="44"/>
        <v>0</v>
      </c>
      <c r="BB23" s="4">
        <f t="shared" si="44"/>
        <v>0</v>
      </c>
      <c r="BC23" s="4">
        <f t="shared" si="44"/>
        <v>0</v>
      </c>
      <c r="BD23" s="4">
        <f t="shared" si="44"/>
        <v>0</v>
      </c>
      <c r="BE23" s="4">
        <f t="shared" si="44"/>
        <v>0</v>
      </c>
      <c r="BF23" s="4">
        <f t="shared" si="44"/>
        <v>0</v>
      </c>
      <c r="BG23" s="4">
        <f t="shared" si="44"/>
        <v>0</v>
      </c>
      <c r="BH23" s="4">
        <f t="shared" si="45"/>
        <v>0</v>
      </c>
      <c r="BI23" s="4">
        <f t="shared" si="45"/>
        <v>0</v>
      </c>
      <c r="BJ23" s="4">
        <f t="shared" si="45"/>
        <v>0</v>
      </c>
      <c r="BK23" s="4">
        <f t="shared" si="45"/>
        <v>0</v>
      </c>
      <c r="BL23" s="4">
        <f t="shared" si="45"/>
        <v>0</v>
      </c>
      <c r="BM23" s="4">
        <f t="shared" si="45"/>
        <v>0</v>
      </c>
      <c r="BN23" s="4">
        <f t="shared" si="45"/>
        <v>0</v>
      </c>
    </row>
    <row r="24" spans="1:66" x14ac:dyDescent="0.2">
      <c r="A24" t="s">
        <v>38</v>
      </c>
      <c r="B24" t="s">
        <v>26</v>
      </c>
      <c r="D24" t="s">
        <v>50</v>
      </c>
      <c r="G24" t="e">
        <f>AM28/AP28</f>
        <v>#DIV/0!</v>
      </c>
      <c r="K24" t="s">
        <v>57</v>
      </c>
      <c r="L24" t="s">
        <v>61</v>
      </c>
      <c r="M24" t="s">
        <v>59</v>
      </c>
      <c r="N24" t="s">
        <v>60</v>
      </c>
      <c r="Z24">
        <f t="shared" si="35"/>
        <v>0</v>
      </c>
      <c r="AA24">
        <f t="shared" si="36"/>
        <v>0</v>
      </c>
      <c r="AE24">
        <f t="shared" si="37"/>
        <v>0</v>
      </c>
      <c r="AF24">
        <f t="shared" si="38"/>
        <v>0</v>
      </c>
      <c r="AG24">
        <f t="shared" si="39"/>
        <v>0</v>
      </c>
      <c r="AK24">
        <f t="shared" si="40"/>
        <v>0</v>
      </c>
      <c r="AL24">
        <f t="shared" si="41"/>
        <v>0</v>
      </c>
      <c r="AM24">
        <f t="shared" si="42"/>
        <v>0</v>
      </c>
      <c r="AN24">
        <f t="shared" si="43"/>
        <v>0</v>
      </c>
      <c r="AP24">
        <f t="shared" si="46"/>
        <v>0</v>
      </c>
      <c r="AQ24" s="4">
        <f t="shared" si="47"/>
        <v>0</v>
      </c>
      <c r="AR24" s="4">
        <f t="shared" si="44"/>
        <v>0</v>
      </c>
      <c r="AS24" s="4">
        <f t="shared" si="44"/>
        <v>0</v>
      </c>
      <c r="AT24" s="4">
        <f t="shared" si="44"/>
        <v>0</v>
      </c>
      <c r="AU24" s="4">
        <f t="shared" si="44"/>
        <v>0</v>
      </c>
      <c r="AV24" s="4">
        <f t="shared" si="44"/>
        <v>0</v>
      </c>
      <c r="AW24" s="4">
        <f t="shared" si="44"/>
        <v>0</v>
      </c>
      <c r="AX24" s="4">
        <f t="shared" si="44"/>
        <v>0</v>
      </c>
      <c r="AY24" s="4">
        <f t="shared" si="44"/>
        <v>0</v>
      </c>
      <c r="AZ24" s="4">
        <f t="shared" si="44"/>
        <v>0</v>
      </c>
      <c r="BA24" s="4">
        <f t="shared" si="44"/>
        <v>0</v>
      </c>
      <c r="BB24" s="4">
        <f t="shared" si="44"/>
        <v>0</v>
      </c>
      <c r="BC24" s="4">
        <f t="shared" si="44"/>
        <v>0</v>
      </c>
      <c r="BD24" s="4">
        <f t="shared" si="44"/>
        <v>0</v>
      </c>
      <c r="BE24" s="4">
        <f t="shared" si="44"/>
        <v>0</v>
      </c>
      <c r="BF24" s="4">
        <f t="shared" si="44"/>
        <v>0</v>
      </c>
      <c r="BG24" s="4">
        <f t="shared" si="44"/>
        <v>0</v>
      </c>
      <c r="BH24" s="4">
        <f t="shared" si="45"/>
        <v>0</v>
      </c>
      <c r="BI24" s="4">
        <f t="shared" si="45"/>
        <v>0</v>
      </c>
      <c r="BJ24" s="4">
        <f t="shared" si="45"/>
        <v>0</v>
      </c>
      <c r="BK24" s="4">
        <f t="shared" si="45"/>
        <v>0</v>
      </c>
      <c r="BL24" s="4">
        <f t="shared" si="45"/>
        <v>0</v>
      </c>
      <c r="BM24" s="4">
        <f t="shared" si="45"/>
        <v>0</v>
      </c>
      <c r="BN24" s="4">
        <f t="shared" si="45"/>
        <v>0</v>
      </c>
    </row>
    <row r="25" spans="1:66" x14ac:dyDescent="0.2">
      <c r="A25" t="s">
        <v>39</v>
      </c>
      <c r="B25" t="s">
        <v>27</v>
      </c>
      <c r="D25">
        <f>Z28/A31</f>
        <v>0</v>
      </c>
      <c r="G25" t="s">
        <v>78</v>
      </c>
      <c r="K25">
        <f>AVERAGE(E39:E50)</f>
        <v>0</v>
      </c>
      <c r="L25">
        <f>MEDIAN(E39:E50)</f>
        <v>0</v>
      </c>
      <c r="M25">
        <f>MAX(E39:E50)</f>
        <v>0</v>
      </c>
      <c r="N25">
        <f>_xlfn.STDEV.S(E39:E50)</f>
        <v>0</v>
      </c>
      <c r="Z25">
        <f t="shared" si="35"/>
        <v>0</v>
      </c>
      <c r="AA25">
        <f t="shared" si="36"/>
        <v>0</v>
      </c>
      <c r="AE25">
        <f t="shared" si="37"/>
        <v>0</v>
      </c>
      <c r="AF25">
        <f t="shared" si="38"/>
        <v>0</v>
      </c>
      <c r="AG25">
        <f t="shared" si="39"/>
        <v>0</v>
      </c>
      <c r="AK25">
        <f t="shared" si="40"/>
        <v>0</v>
      </c>
      <c r="AL25">
        <f t="shared" si="41"/>
        <v>0</v>
      </c>
      <c r="AM25">
        <f t="shared" si="42"/>
        <v>0</v>
      </c>
      <c r="AN25">
        <f t="shared" si="43"/>
        <v>0</v>
      </c>
      <c r="AP25">
        <f t="shared" si="46"/>
        <v>0</v>
      </c>
      <c r="AQ25" s="4">
        <f t="shared" si="47"/>
        <v>0</v>
      </c>
      <c r="AR25" s="4">
        <f t="shared" si="44"/>
        <v>0</v>
      </c>
      <c r="AS25" s="4">
        <f t="shared" si="44"/>
        <v>0</v>
      </c>
      <c r="AT25" s="4">
        <f t="shared" si="44"/>
        <v>0</v>
      </c>
      <c r="AU25" s="4">
        <f t="shared" si="44"/>
        <v>0</v>
      </c>
      <c r="AV25" s="4">
        <f t="shared" si="44"/>
        <v>0</v>
      </c>
      <c r="AW25" s="4">
        <f t="shared" si="44"/>
        <v>0</v>
      </c>
      <c r="AX25" s="4">
        <f t="shared" si="44"/>
        <v>0</v>
      </c>
      <c r="AY25" s="4">
        <f t="shared" si="44"/>
        <v>0</v>
      </c>
      <c r="AZ25" s="4">
        <f t="shared" si="44"/>
        <v>0</v>
      </c>
      <c r="BA25" s="4">
        <f t="shared" si="44"/>
        <v>0</v>
      </c>
      <c r="BB25" s="4">
        <f t="shared" si="44"/>
        <v>0</v>
      </c>
      <c r="BC25" s="4">
        <f t="shared" si="44"/>
        <v>0</v>
      </c>
      <c r="BD25" s="4">
        <f t="shared" si="44"/>
        <v>0</v>
      </c>
      <c r="BE25" s="4">
        <f t="shared" si="44"/>
        <v>0</v>
      </c>
      <c r="BF25" s="4">
        <f t="shared" si="44"/>
        <v>0</v>
      </c>
      <c r="BG25" s="4">
        <f t="shared" si="44"/>
        <v>0</v>
      </c>
      <c r="BH25" s="4">
        <f t="shared" si="45"/>
        <v>0</v>
      </c>
      <c r="BI25" s="4">
        <f t="shared" si="45"/>
        <v>0</v>
      </c>
      <c r="BJ25" s="4">
        <f t="shared" si="45"/>
        <v>0</v>
      </c>
      <c r="BK25" s="4">
        <f t="shared" si="45"/>
        <v>0</v>
      </c>
      <c r="BL25" s="4">
        <f t="shared" si="45"/>
        <v>0</v>
      </c>
      <c r="BM25" s="4">
        <f t="shared" si="45"/>
        <v>0</v>
      </c>
      <c r="BN25" s="4">
        <f t="shared" si="45"/>
        <v>0</v>
      </c>
    </row>
    <row r="26" spans="1:66" x14ac:dyDescent="0.2">
      <c r="A26" t="s">
        <v>44</v>
      </c>
      <c r="D26" t="s">
        <v>51</v>
      </c>
      <c r="G26" t="e">
        <f>AN28/AP28</f>
        <v>#DIV/0!</v>
      </c>
      <c r="K26" t="s">
        <v>62</v>
      </c>
      <c r="P26" t="s">
        <v>19</v>
      </c>
      <c r="Z26">
        <f t="shared" si="35"/>
        <v>0</v>
      </c>
      <c r="AA26">
        <f t="shared" si="36"/>
        <v>0</v>
      </c>
      <c r="AE26">
        <f t="shared" si="37"/>
        <v>0</v>
      </c>
      <c r="AF26">
        <f t="shared" si="38"/>
        <v>0</v>
      </c>
      <c r="AG26">
        <f t="shared" si="39"/>
        <v>0</v>
      </c>
      <c r="AK26">
        <f t="shared" si="40"/>
        <v>0</v>
      </c>
      <c r="AL26">
        <f t="shared" si="41"/>
        <v>0</v>
      </c>
      <c r="AM26">
        <f t="shared" si="42"/>
        <v>0</v>
      </c>
      <c r="AN26">
        <f t="shared" si="43"/>
        <v>0</v>
      </c>
      <c r="AP26">
        <f t="shared" si="46"/>
        <v>0</v>
      </c>
      <c r="AQ26" s="4">
        <f t="shared" si="47"/>
        <v>0</v>
      </c>
      <c r="AR26" s="4">
        <f t="shared" si="44"/>
        <v>0</v>
      </c>
      <c r="AS26" s="4">
        <f t="shared" si="44"/>
        <v>0</v>
      </c>
      <c r="AT26" s="4">
        <f t="shared" si="44"/>
        <v>0</v>
      </c>
      <c r="AU26" s="4">
        <f t="shared" si="44"/>
        <v>0</v>
      </c>
      <c r="AV26" s="4">
        <f t="shared" si="44"/>
        <v>0</v>
      </c>
      <c r="AW26" s="4">
        <f t="shared" si="44"/>
        <v>0</v>
      </c>
      <c r="AX26" s="4">
        <f t="shared" si="44"/>
        <v>0</v>
      </c>
      <c r="AY26" s="4">
        <f t="shared" si="44"/>
        <v>0</v>
      </c>
      <c r="AZ26" s="4">
        <f t="shared" si="44"/>
        <v>0</v>
      </c>
      <c r="BA26" s="4">
        <f t="shared" si="44"/>
        <v>0</v>
      </c>
      <c r="BB26" s="4">
        <f t="shared" si="44"/>
        <v>0</v>
      </c>
      <c r="BC26" s="4">
        <f t="shared" si="44"/>
        <v>0</v>
      </c>
      <c r="BD26" s="4">
        <f t="shared" si="44"/>
        <v>0</v>
      </c>
      <c r="BE26" s="4">
        <f t="shared" si="44"/>
        <v>0</v>
      </c>
      <c r="BF26" s="4">
        <f t="shared" si="44"/>
        <v>0</v>
      </c>
      <c r="BG26" s="4">
        <f t="shared" si="44"/>
        <v>0</v>
      </c>
      <c r="BH26" s="4">
        <f t="shared" si="45"/>
        <v>0</v>
      </c>
      <c r="BI26" s="4">
        <f t="shared" si="45"/>
        <v>0</v>
      </c>
      <c r="BJ26" s="4">
        <f t="shared" si="45"/>
        <v>0</v>
      </c>
      <c r="BK26" s="4">
        <f t="shared" si="45"/>
        <v>0</v>
      </c>
      <c r="BL26" s="4">
        <f t="shared" si="45"/>
        <v>0</v>
      </c>
      <c r="BM26" s="4">
        <f t="shared" si="45"/>
        <v>0</v>
      </c>
      <c r="BN26" s="4">
        <f t="shared" si="45"/>
        <v>0</v>
      </c>
    </row>
    <row r="27" spans="1:66" x14ac:dyDescent="0.2">
      <c r="A27" t="s">
        <v>45</v>
      </c>
      <c r="D27">
        <f>AA28/A31</f>
        <v>0</v>
      </c>
      <c r="G27" t="s">
        <v>56</v>
      </c>
      <c r="K27" t="s">
        <v>57</v>
      </c>
      <c r="L27" t="s">
        <v>58</v>
      </c>
      <c r="M27" t="s">
        <v>59</v>
      </c>
      <c r="N27" t="s">
        <v>60</v>
      </c>
      <c r="P27" t="s">
        <v>57</v>
      </c>
      <c r="Q27" t="s">
        <v>58</v>
      </c>
      <c r="R27" t="s">
        <v>59</v>
      </c>
      <c r="S27" t="s">
        <v>60</v>
      </c>
      <c r="Z27">
        <f t="shared" si="35"/>
        <v>0</v>
      </c>
      <c r="AA27">
        <f t="shared" si="36"/>
        <v>0</v>
      </c>
      <c r="AE27">
        <f t="shared" si="37"/>
        <v>0</v>
      </c>
      <c r="AF27">
        <f t="shared" si="38"/>
        <v>0</v>
      </c>
      <c r="AG27">
        <f t="shared" si="39"/>
        <v>0</v>
      </c>
      <c r="AK27">
        <f t="shared" si="40"/>
        <v>0</v>
      </c>
      <c r="AL27">
        <f t="shared" si="41"/>
        <v>0</v>
      </c>
      <c r="AM27">
        <f t="shared" si="42"/>
        <v>0</v>
      </c>
      <c r="AN27">
        <f t="shared" si="43"/>
        <v>0</v>
      </c>
      <c r="AP27">
        <f t="shared" si="46"/>
        <v>0</v>
      </c>
      <c r="AQ27" s="4">
        <f t="shared" si="47"/>
        <v>0</v>
      </c>
      <c r="AR27" s="4">
        <f t="shared" si="44"/>
        <v>0</v>
      </c>
      <c r="AS27" s="4">
        <f t="shared" si="44"/>
        <v>0</v>
      </c>
      <c r="AT27" s="4">
        <f t="shared" si="44"/>
        <v>0</v>
      </c>
      <c r="AU27" s="4">
        <f t="shared" si="44"/>
        <v>0</v>
      </c>
      <c r="AV27" s="4">
        <f t="shared" si="44"/>
        <v>0</v>
      </c>
      <c r="AW27" s="4">
        <f t="shared" si="44"/>
        <v>0</v>
      </c>
      <c r="AX27" s="4">
        <f t="shared" si="44"/>
        <v>0</v>
      </c>
      <c r="AY27" s="4">
        <f t="shared" si="44"/>
        <v>0</v>
      </c>
      <c r="AZ27" s="4">
        <f t="shared" si="44"/>
        <v>0</v>
      </c>
      <c r="BA27" s="4">
        <f t="shared" si="44"/>
        <v>0</v>
      </c>
      <c r="BB27" s="4">
        <f t="shared" si="44"/>
        <v>0</v>
      </c>
      <c r="BC27" s="4">
        <f t="shared" si="44"/>
        <v>0</v>
      </c>
      <c r="BD27" s="4">
        <f t="shared" si="44"/>
        <v>0</v>
      </c>
      <c r="BE27" s="4">
        <f t="shared" si="44"/>
        <v>0</v>
      </c>
      <c r="BF27" s="4">
        <f t="shared" si="44"/>
        <v>0</v>
      </c>
      <c r="BG27" s="4">
        <f t="shared" si="44"/>
        <v>0</v>
      </c>
      <c r="BH27" s="4">
        <f t="shared" si="45"/>
        <v>0</v>
      </c>
      <c r="BI27" s="4">
        <f t="shared" si="45"/>
        <v>0</v>
      </c>
      <c r="BJ27" s="4">
        <f t="shared" si="45"/>
        <v>0</v>
      </c>
      <c r="BK27" s="4">
        <f t="shared" si="45"/>
        <v>0</v>
      </c>
      <c r="BL27" s="4">
        <f t="shared" si="45"/>
        <v>0</v>
      </c>
      <c r="BM27" s="4">
        <f t="shared" si="45"/>
        <v>0</v>
      </c>
      <c r="BN27" s="4">
        <f t="shared" si="45"/>
        <v>0</v>
      </c>
    </row>
    <row r="28" spans="1:66" x14ac:dyDescent="0.2">
      <c r="A28" t="s">
        <v>46</v>
      </c>
      <c r="D28" t="s">
        <v>202</v>
      </c>
      <c r="G28" t="s">
        <v>57</v>
      </c>
      <c r="H28" t="s">
        <v>58</v>
      </c>
      <c r="I28" t="s">
        <v>59</v>
      </c>
      <c r="J28" t="s">
        <v>60</v>
      </c>
      <c r="K28">
        <f>AVERAGE(G39:G50)</f>
        <v>8.3333333333333329E-2</v>
      </c>
      <c r="L28">
        <f>MEDIAN(G39:G50)</f>
        <v>0</v>
      </c>
      <c r="M28">
        <f>MAX(G39:G50)</f>
        <v>1</v>
      </c>
      <c r="N28">
        <f>_xlfn.STDEV.S(G39:G50)</f>
        <v>0.28867513459481287</v>
      </c>
      <c r="P28">
        <f>AVERAGE(N39:N50)</f>
        <v>2</v>
      </c>
      <c r="Q28">
        <f>MEDIAN(N39:N50)</f>
        <v>0.5</v>
      </c>
      <c r="R28">
        <f>MAX(N39:N50)</f>
        <v>9</v>
      </c>
      <c r="S28">
        <f>_xlfn.STDEV.S(N39:N50)</f>
        <v>3.1908961408698624</v>
      </c>
      <c r="Y28" t="s">
        <v>33</v>
      </c>
      <c r="Z28">
        <f>SUM(Z16:Z27)</f>
        <v>0</v>
      </c>
      <c r="AA28">
        <f>SUM(AA16:AA27)</f>
        <v>0</v>
      </c>
      <c r="AE28">
        <f>SUM(AE16:AE27)</f>
        <v>0</v>
      </c>
      <c r="AF28">
        <f>SUM(AF16:AF27)</f>
        <v>0</v>
      </c>
      <c r="AG28">
        <f>SUM(AG16:AG27)</f>
        <v>0</v>
      </c>
      <c r="AK28">
        <f>SUM(AK16:AK27)</f>
        <v>0</v>
      </c>
      <c r="AL28">
        <f>SUM(AL16:AL27)</f>
        <v>0</v>
      </c>
      <c r="AM28">
        <f>SUM(AM16:AM27)</f>
        <v>0</v>
      </c>
      <c r="AN28">
        <f>SUM(AN16:AN27)</f>
        <v>0</v>
      </c>
      <c r="AP28">
        <f>SUM(AP16:AP27)</f>
        <v>0</v>
      </c>
    </row>
    <row r="29" spans="1:66" x14ac:dyDescent="0.2">
      <c r="D29" t="e">
        <f>SUM(O39:O50)/F16</f>
        <v>#DIV/0!</v>
      </c>
      <c r="G29">
        <f>AVERAGE(A39:A50)</f>
        <v>0</v>
      </c>
      <c r="H29">
        <f>MEDIAN(A39:A50)</f>
        <v>0</v>
      </c>
      <c r="I29">
        <f>MAX(A39:A50)</f>
        <v>0</v>
      </c>
      <c r="J29">
        <f>_xlfn.STDEV.S(A39:A50)</f>
        <v>0</v>
      </c>
      <c r="K29" t="s">
        <v>63</v>
      </c>
      <c r="P29" t="s">
        <v>148</v>
      </c>
    </row>
    <row r="30" spans="1:66" x14ac:dyDescent="0.2">
      <c r="A30" t="s">
        <v>147</v>
      </c>
      <c r="D30" t="s">
        <v>203</v>
      </c>
      <c r="G30" t="s">
        <v>50</v>
      </c>
      <c r="H30" t="s">
        <v>51</v>
      </c>
      <c r="I30" t="s">
        <v>89</v>
      </c>
      <c r="K30" t="s">
        <v>57</v>
      </c>
      <c r="L30" t="s">
        <v>58</v>
      </c>
      <c r="M30" t="s">
        <v>59</v>
      </c>
      <c r="N30" t="s">
        <v>60</v>
      </c>
      <c r="P30" t="s">
        <v>57</v>
      </c>
      <c r="Q30" t="s">
        <v>58</v>
      </c>
      <c r="R30" t="s">
        <v>59</v>
      </c>
      <c r="S30" t="s">
        <v>60</v>
      </c>
      <c r="W30" t="s">
        <v>148</v>
      </c>
      <c r="Y30" t="s">
        <v>149</v>
      </c>
      <c r="AH30" t="s">
        <v>79</v>
      </c>
    </row>
    <row r="31" spans="1:66" x14ac:dyDescent="0.2">
      <c r="A31">
        <f>COUNT(B4:B15)</f>
        <v>12</v>
      </c>
      <c r="D31" s="2">
        <f>SUM(S39:S50)/SUM(Q39:Q50)</f>
        <v>0.36363636363636365</v>
      </c>
      <c r="G31">
        <f>AE28/A31</f>
        <v>0</v>
      </c>
      <c r="H31">
        <f>AF28/A31</f>
        <v>0</v>
      </c>
      <c r="I31">
        <f>AG28/A31</f>
        <v>0</v>
      </c>
      <c r="K31" t="e">
        <f>AVERAGE(I39:I50)</f>
        <v>#DIV/0!</v>
      </c>
      <c r="L31" t="e">
        <f>MEDIAN(I39:I50)</f>
        <v>#NUM!</v>
      </c>
      <c r="M31">
        <f>MAX(I39:I50)</f>
        <v>0</v>
      </c>
      <c r="N31" t="e">
        <f>_xlfn.STDEV.S(I39:I50)</f>
        <v>#DIV/0!</v>
      </c>
      <c r="P31">
        <f>AVERAGE(W31:W42)</f>
        <v>1.3333333333333333</v>
      </c>
      <c r="Q31">
        <f>MEDIAN(W31:W42)</f>
        <v>1</v>
      </c>
      <c r="R31">
        <f>MAX(W31:W42)</f>
        <v>3</v>
      </c>
      <c r="S31">
        <f>_xlfn.STDEV.S(W31:W42)</f>
        <v>1.5275252316519468</v>
      </c>
      <c r="W31" t="str">
        <f t="shared" ref="W31:W33" si="48">IF(AND(ISBLANK(Q4), ISBLANK(R4), ISBLANK(G4), ISBLANK(H4)), "", U4)</f>
        <v/>
      </c>
      <c r="Y31" t="str">
        <f t="shared" ref="Y31:Y42" si="49">IF(ISBLANK(Y4), IF(X4 = 0, "", (G4 + H4/3 + V4/9 + W4/3)), U4)</f>
        <v/>
      </c>
      <c r="AH31" t="s">
        <v>80</v>
      </c>
    </row>
    <row r="32" spans="1:66" x14ac:dyDescent="0.2">
      <c r="D32" s="3"/>
      <c r="K32" t="s">
        <v>64</v>
      </c>
      <c r="P32" t="s">
        <v>149</v>
      </c>
      <c r="W32" t="str">
        <f t="shared" si="48"/>
        <v/>
      </c>
      <c r="Y32" t="str">
        <f t="shared" si="49"/>
        <v/>
      </c>
      <c r="AH32" t="s">
        <v>81</v>
      </c>
    </row>
    <row r="33" spans="1:34" x14ac:dyDescent="0.2">
      <c r="A33" t="s">
        <v>212</v>
      </c>
      <c r="D33" s="3"/>
      <c r="K33" t="s">
        <v>57</v>
      </c>
      <c r="L33" t="s">
        <v>58</v>
      </c>
      <c r="M33" t="s">
        <v>59</v>
      </c>
      <c r="N33" t="s">
        <v>60</v>
      </c>
      <c r="P33" t="s">
        <v>57</v>
      </c>
      <c r="Q33" t="s">
        <v>58</v>
      </c>
      <c r="R33" t="s">
        <v>59</v>
      </c>
      <c r="S33" t="s">
        <v>60</v>
      </c>
      <c r="W33" t="str">
        <f t="shared" si="48"/>
        <v/>
      </c>
      <c r="Y33" t="str">
        <f t="shared" si="49"/>
        <v/>
      </c>
      <c r="AH33" t="s">
        <v>82</v>
      </c>
    </row>
    <row r="34" spans="1:34" x14ac:dyDescent="0.2">
      <c r="D34" s="3"/>
      <c r="K34">
        <f>AVERAGE(K39:K50)</f>
        <v>8.3333333333333329E-2</v>
      </c>
      <c r="L34">
        <f>MEDIAN(K39:K50)</f>
        <v>0</v>
      </c>
      <c r="M34">
        <f>MAX(K39:K50)</f>
        <v>1</v>
      </c>
      <c r="N34">
        <f>_xlfn.STDEV.S(K39:K50)</f>
        <v>0.28867513459481287</v>
      </c>
      <c r="P34">
        <f>AVERAGE(Y31:Y42)</f>
        <v>4</v>
      </c>
      <c r="Q34">
        <f>MEDIAN(Y31:Y42)</f>
        <v>3</v>
      </c>
      <c r="R34">
        <f>MAX(Y31:Y42)</f>
        <v>8</v>
      </c>
      <c r="S34">
        <f>_xlfn.STDEV.S(Y31:Y42)</f>
        <v>3.6055512754639891</v>
      </c>
      <c r="W34">
        <f>IF(AND(ISBLANK(Q7), ISBLANK(R7), ISBLANK(G7), ISBLANK(H7)), "", U7)</f>
        <v>3</v>
      </c>
      <c r="Y34">
        <f t="shared" si="49"/>
        <v>3</v>
      </c>
      <c r="AH34" t="s">
        <v>83</v>
      </c>
    </row>
    <row r="35" spans="1:34" x14ac:dyDescent="0.2">
      <c r="P35" t="s">
        <v>95</v>
      </c>
      <c r="R35" t="s">
        <v>197</v>
      </c>
      <c r="W35">
        <f t="shared" ref="W35:W42" si="50">IF(AND(ISBLANK(Q8), ISBLANK(R8), ISBLANK(G8), ISBLANK(H8)), "", U8)</f>
        <v>1</v>
      </c>
      <c r="Y35">
        <f t="shared" si="49"/>
        <v>1</v>
      </c>
    </row>
    <row r="36" spans="1:34" x14ac:dyDescent="0.2">
      <c r="P36">
        <f>Q16/(Q16+R16)</f>
        <v>0</v>
      </c>
      <c r="R36">
        <f>R16/(Q16+R16)</f>
        <v>1</v>
      </c>
      <c r="W36" t="str">
        <f t="shared" si="50"/>
        <v/>
      </c>
      <c r="Y36" t="str">
        <f t="shared" si="49"/>
        <v/>
      </c>
    </row>
    <row r="37" spans="1:34" x14ac:dyDescent="0.2">
      <c r="W37" t="str">
        <f t="shared" si="50"/>
        <v/>
      </c>
      <c r="Y37" t="str">
        <f t="shared" si="49"/>
        <v/>
      </c>
    </row>
    <row r="38" spans="1:34" x14ac:dyDescent="0.2">
      <c r="A38" t="s">
        <v>68</v>
      </c>
      <c r="C38" t="s">
        <v>69</v>
      </c>
      <c r="E38" t="s">
        <v>72</v>
      </c>
      <c r="G38" t="s">
        <v>250</v>
      </c>
      <c r="K38" t="s">
        <v>73</v>
      </c>
      <c r="M38" t="s">
        <v>70</v>
      </c>
      <c r="N38" t="s">
        <v>71</v>
      </c>
      <c r="O38" t="s">
        <v>199</v>
      </c>
      <c r="Q38" t="s">
        <v>200</v>
      </c>
      <c r="S38" t="s">
        <v>201</v>
      </c>
      <c r="W38" t="str">
        <f t="shared" si="50"/>
        <v/>
      </c>
      <c r="Y38" t="str">
        <f t="shared" si="49"/>
        <v/>
      </c>
    </row>
    <row r="39" spans="1:34" x14ac:dyDescent="0.2">
      <c r="A39">
        <f t="shared" ref="A39:A50" si="51">IF(ISBLANK(B4), "", SUM(AE16+AF16+AG16))</f>
        <v>0</v>
      </c>
      <c r="C39">
        <f t="shared" ref="C39:C50" si="52">IF(ISBLANK(B4), "", O4)</f>
        <v>3</v>
      </c>
      <c r="E39">
        <f t="shared" ref="E39:E50" si="53">IF(ISBLANK(B4), "", Q4)</f>
        <v>0</v>
      </c>
      <c r="G39">
        <f t="shared" ref="G39:G50" si="54">IF(ISBLANK(B4), "", R4)</f>
        <v>0</v>
      </c>
      <c r="K39">
        <f t="shared" ref="K39:K50" si="55">IF(ISBLANK(B4), "", SUM(Q4 + R4))</f>
        <v>0</v>
      </c>
      <c r="M39">
        <f t="shared" ref="M39:M50" si="56">IF(ISBLANK(B4), "", SUM(K4+M4) - O4)</f>
        <v>0</v>
      </c>
      <c r="N39">
        <f t="shared" ref="N39:N50" si="57">IF(ISBLANK(B4), "", U4)</f>
        <v>8</v>
      </c>
      <c r="O39">
        <f t="shared" ref="O39:O50" si="58">COUNTIF(E4, "1")*COUNTIF(F4, "1")</f>
        <v>0</v>
      </c>
      <c r="Q39">
        <f t="shared" ref="Q39:Q50" si="59">COUNTIF(D4, "1")*COUNTIF(F4, "")</f>
        <v>1</v>
      </c>
      <c r="S39">
        <f t="shared" ref="S39:S50" si="60">COUNTIF(E4, "1")*COUNTIF(F4, "")</f>
        <v>0</v>
      </c>
      <c r="W39" t="str">
        <f t="shared" si="50"/>
        <v/>
      </c>
      <c r="Y39" t="str">
        <f t="shared" si="49"/>
        <v/>
      </c>
    </row>
    <row r="40" spans="1:34" x14ac:dyDescent="0.2">
      <c r="A40">
        <f t="shared" si="51"/>
        <v>0</v>
      </c>
      <c r="C40">
        <f t="shared" si="52"/>
        <v>3</v>
      </c>
      <c r="E40">
        <f t="shared" si="53"/>
        <v>0</v>
      </c>
      <c r="G40">
        <f t="shared" si="54"/>
        <v>0</v>
      </c>
      <c r="K40">
        <f t="shared" si="55"/>
        <v>0</v>
      </c>
      <c r="M40">
        <f t="shared" si="56"/>
        <v>1</v>
      </c>
      <c r="N40">
        <f t="shared" si="57"/>
        <v>1</v>
      </c>
      <c r="O40">
        <f t="shared" si="58"/>
        <v>0</v>
      </c>
      <c r="Q40">
        <f t="shared" si="59"/>
        <v>1</v>
      </c>
      <c r="S40">
        <f t="shared" si="60"/>
        <v>0</v>
      </c>
      <c r="W40" t="str">
        <f t="shared" si="50"/>
        <v/>
      </c>
      <c r="Y40" t="str">
        <f t="shared" si="49"/>
        <v/>
      </c>
    </row>
    <row r="41" spans="1:34" x14ac:dyDescent="0.2">
      <c r="A41">
        <f t="shared" si="51"/>
        <v>0</v>
      </c>
      <c r="C41">
        <f t="shared" si="52"/>
        <v>3</v>
      </c>
      <c r="E41">
        <f t="shared" si="53"/>
        <v>0</v>
      </c>
      <c r="G41">
        <f t="shared" si="54"/>
        <v>0</v>
      </c>
      <c r="K41">
        <f t="shared" si="55"/>
        <v>0</v>
      </c>
      <c r="M41">
        <f t="shared" si="56"/>
        <v>1</v>
      </c>
      <c r="N41">
        <f t="shared" si="57"/>
        <v>0</v>
      </c>
      <c r="O41">
        <f t="shared" si="58"/>
        <v>0</v>
      </c>
      <c r="Q41">
        <f t="shared" si="59"/>
        <v>1</v>
      </c>
      <c r="S41">
        <f t="shared" si="60"/>
        <v>0</v>
      </c>
      <c r="W41" t="str">
        <f t="shared" si="50"/>
        <v/>
      </c>
      <c r="Y41" t="str">
        <f t="shared" si="49"/>
        <v/>
      </c>
    </row>
    <row r="42" spans="1:34" x14ac:dyDescent="0.2">
      <c r="A42">
        <f t="shared" si="51"/>
        <v>0</v>
      </c>
      <c r="C42">
        <f t="shared" si="52"/>
        <v>2</v>
      </c>
      <c r="E42">
        <f t="shared" si="53"/>
        <v>0</v>
      </c>
      <c r="G42">
        <f t="shared" si="54"/>
        <v>0</v>
      </c>
      <c r="K42">
        <f t="shared" si="55"/>
        <v>0</v>
      </c>
      <c r="M42">
        <f t="shared" si="56"/>
        <v>0</v>
      </c>
      <c r="N42">
        <f t="shared" si="57"/>
        <v>3</v>
      </c>
      <c r="O42">
        <f t="shared" si="58"/>
        <v>0</v>
      </c>
      <c r="Q42">
        <f t="shared" si="59"/>
        <v>1</v>
      </c>
      <c r="S42">
        <f t="shared" si="60"/>
        <v>0</v>
      </c>
      <c r="W42">
        <f t="shared" si="50"/>
        <v>0</v>
      </c>
      <c r="Y42">
        <f t="shared" si="49"/>
        <v>8</v>
      </c>
    </row>
    <row r="43" spans="1:34" x14ac:dyDescent="0.2">
      <c r="A43">
        <f t="shared" si="51"/>
        <v>0</v>
      </c>
      <c r="C43">
        <f t="shared" si="52"/>
        <v>3</v>
      </c>
      <c r="E43">
        <f t="shared" si="53"/>
        <v>0</v>
      </c>
      <c r="G43">
        <f t="shared" si="54"/>
        <v>1</v>
      </c>
      <c r="K43">
        <f t="shared" si="55"/>
        <v>1</v>
      </c>
      <c r="M43">
        <f t="shared" si="56"/>
        <v>0</v>
      </c>
      <c r="N43">
        <f t="shared" si="57"/>
        <v>1</v>
      </c>
      <c r="O43">
        <f t="shared" si="58"/>
        <v>0</v>
      </c>
      <c r="Q43">
        <f t="shared" si="59"/>
        <v>1</v>
      </c>
      <c r="S43">
        <f t="shared" si="60"/>
        <v>1</v>
      </c>
    </row>
    <row r="44" spans="1:34" x14ac:dyDescent="0.2">
      <c r="A44">
        <f t="shared" si="51"/>
        <v>0</v>
      </c>
      <c r="C44">
        <f t="shared" si="52"/>
        <v>3</v>
      </c>
      <c r="E44">
        <f t="shared" si="53"/>
        <v>0</v>
      </c>
      <c r="G44">
        <f t="shared" si="54"/>
        <v>0</v>
      </c>
      <c r="K44">
        <f t="shared" si="55"/>
        <v>0</v>
      </c>
      <c r="M44">
        <f t="shared" si="56"/>
        <v>0</v>
      </c>
      <c r="N44">
        <f t="shared" si="57"/>
        <v>0</v>
      </c>
      <c r="O44">
        <f t="shared" si="58"/>
        <v>0</v>
      </c>
      <c r="Q44">
        <f t="shared" si="59"/>
        <v>1</v>
      </c>
      <c r="S44">
        <f t="shared" si="60"/>
        <v>1</v>
      </c>
    </row>
    <row r="45" spans="1:34" x14ac:dyDescent="0.2">
      <c r="A45">
        <f t="shared" si="51"/>
        <v>0</v>
      </c>
      <c r="C45">
        <f t="shared" si="52"/>
        <v>3</v>
      </c>
      <c r="E45">
        <f t="shared" si="53"/>
        <v>0</v>
      </c>
      <c r="G45">
        <f t="shared" si="54"/>
        <v>0</v>
      </c>
      <c r="K45">
        <f t="shared" si="55"/>
        <v>0</v>
      </c>
      <c r="M45">
        <f t="shared" si="56"/>
        <v>0</v>
      </c>
      <c r="N45">
        <f t="shared" si="57"/>
        <v>0</v>
      </c>
      <c r="O45">
        <f t="shared" si="58"/>
        <v>0</v>
      </c>
      <c r="Q45">
        <f t="shared" si="59"/>
        <v>0</v>
      </c>
      <c r="S45">
        <f t="shared" si="60"/>
        <v>0</v>
      </c>
    </row>
    <row r="46" spans="1:34" x14ac:dyDescent="0.2">
      <c r="A46">
        <f t="shared" si="51"/>
        <v>0</v>
      </c>
      <c r="C46">
        <f t="shared" si="52"/>
        <v>3</v>
      </c>
      <c r="E46">
        <f t="shared" si="53"/>
        <v>0</v>
      </c>
      <c r="G46">
        <f t="shared" si="54"/>
        <v>0</v>
      </c>
      <c r="K46">
        <f t="shared" si="55"/>
        <v>0</v>
      </c>
      <c r="M46">
        <f t="shared" si="56"/>
        <v>-1</v>
      </c>
      <c r="N46">
        <f t="shared" si="57"/>
        <v>0</v>
      </c>
      <c r="O46">
        <f t="shared" si="58"/>
        <v>0</v>
      </c>
      <c r="Q46">
        <f t="shared" si="59"/>
        <v>1</v>
      </c>
      <c r="S46">
        <f t="shared" si="60"/>
        <v>0</v>
      </c>
    </row>
    <row r="47" spans="1:34" x14ac:dyDescent="0.2">
      <c r="A47">
        <f t="shared" si="51"/>
        <v>0</v>
      </c>
      <c r="C47">
        <f t="shared" si="52"/>
        <v>3</v>
      </c>
      <c r="E47">
        <f t="shared" si="53"/>
        <v>0</v>
      </c>
      <c r="G47">
        <f t="shared" si="54"/>
        <v>0</v>
      </c>
      <c r="K47">
        <f t="shared" si="55"/>
        <v>0</v>
      </c>
      <c r="M47">
        <f t="shared" si="56"/>
        <v>1</v>
      </c>
      <c r="N47">
        <f t="shared" si="57"/>
        <v>0</v>
      </c>
      <c r="O47">
        <f t="shared" si="58"/>
        <v>0</v>
      </c>
      <c r="Q47">
        <f t="shared" si="59"/>
        <v>1</v>
      </c>
      <c r="S47">
        <f t="shared" si="60"/>
        <v>1</v>
      </c>
    </row>
    <row r="48" spans="1:34" x14ac:dyDescent="0.2">
      <c r="A48">
        <f t="shared" si="51"/>
        <v>0</v>
      </c>
      <c r="C48">
        <f t="shared" si="52"/>
        <v>1</v>
      </c>
      <c r="E48">
        <f t="shared" si="53"/>
        <v>0</v>
      </c>
      <c r="G48">
        <f t="shared" si="54"/>
        <v>0</v>
      </c>
      <c r="K48">
        <f t="shared" si="55"/>
        <v>0</v>
      </c>
      <c r="M48">
        <f t="shared" si="56"/>
        <v>1</v>
      </c>
      <c r="N48">
        <f t="shared" si="57"/>
        <v>2</v>
      </c>
      <c r="O48">
        <f t="shared" si="58"/>
        <v>0</v>
      </c>
      <c r="Q48">
        <f t="shared" si="59"/>
        <v>1</v>
      </c>
      <c r="S48">
        <f t="shared" si="60"/>
        <v>1</v>
      </c>
    </row>
    <row r="49" spans="1:19" x14ac:dyDescent="0.2">
      <c r="A49">
        <f t="shared" si="51"/>
        <v>0</v>
      </c>
      <c r="C49">
        <f t="shared" si="52"/>
        <v>2</v>
      </c>
      <c r="E49">
        <f t="shared" si="53"/>
        <v>0</v>
      </c>
      <c r="G49">
        <f t="shared" si="54"/>
        <v>0</v>
      </c>
      <c r="K49">
        <f t="shared" si="55"/>
        <v>0</v>
      </c>
      <c r="M49">
        <f t="shared" si="56"/>
        <v>0</v>
      </c>
      <c r="N49">
        <f t="shared" si="57"/>
        <v>9</v>
      </c>
      <c r="O49">
        <f t="shared" si="58"/>
        <v>0</v>
      </c>
      <c r="Q49">
        <f t="shared" si="59"/>
        <v>1</v>
      </c>
      <c r="S49">
        <f t="shared" si="60"/>
        <v>0</v>
      </c>
    </row>
    <row r="50" spans="1:19" x14ac:dyDescent="0.2">
      <c r="A50">
        <f t="shared" si="51"/>
        <v>0</v>
      </c>
      <c r="C50">
        <f t="shared" si="52"/>
        <v>3</v>
      </c>
      <c r="E50">
        <f t="shared" si="53"/>
        <v>0</v>
      </c>
      <c r="G50">
        <f t="shared" si="54"/>
        <v>0</v>
      </c>
      <c r="K50">
        <f t="shared" si="55"/>
        <v>0</v>
      </c>
      <c r="M50">
        <f t="shared" si="56"/>
        <v>0</v>
      </c>
      <c r="N50">
        <f t="shared" si="57"/>
        <v>0</v>
      </c>
      <c r="O50">
        <f t="shared" si="58"/>
        <v>0</v>
      </c>
      <c r="Q50">
        <f t="shared" si="59"/>
        <v>1</v>
      </c>
      <c r="S50">
        <f t="shared" si="60"/>
        <v>0</v>
      </c>
    </row>
  </sheetData>
  <pageMargins left="0.7" right="0.7" top="0.75" bottom="0.75" header="0.3" footer="0.3"/>
  <legacyDrawing r:id="rId1"/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1" enableFormatConditionsCalculation="0"/>
  <dimension ref="A1:BN50"/>
  <sheetViews>
    <sheetView topLeftCell="C1" workbookViewId="0">
      <selection activeCell="V14" sqref="V14"/>
    </sheetView>
  </sheetViews>
  <sheetFormatPr baseColWidth="10" defaultRowHeight="15" x14ac:dyDescent="0.2"/>
  <sheetData>
    <row r="1" spans="1:66" x14ac:dyDescent="0.2">
      <c r="A1" s="1" t="s">
        <v>0</v>
      </c>
      <c r="D1" t="s">
        <v>3</v>
      </c>
      <c r="K1" t="s">
        <v>11</v>
      </c>
      <c r="N1" t="s">
        <v>12</v>
      </c>
      <c r="P1" t="s">
        <v>14</v>
      </c>
      <c r="Q1" t="s">
        <v>17</v>
      </c>
      <c r="S1" t="s">
        <v>18</v>
      </c>
      <c r="Z1" t="s">
        <v>29</v>
      </c>
      <c r="AE1" t="s">
        <v>30</v>
      </c>
      <c r="AK1" t="s">
        <v>42</v>
      </c>
    </row>
    <row r="2" spans="1:66" x14ac:dyDescent="0.2">
      <c r="A2" t="s">
        <v>1</v>
      </c>
      <c r="B2" t="s">
        <v>1</v>
      </c>
      <c r="C2" t="s">
        <v>87</v>
      </c>
      <c r="D2" t="s">
        <v>54</v>
      </c>
      <c r="E2" t="s">
        <v>13</v>
      </c>
      <c r="F2" t="s">
        <v>198</v>
      </c>
      <c r="G2" t="s">
        <v>7</v>
      </c>
      <c r="H2" t="s">
        <v>8</v>
      </c>
      <c r="I2" t="s">
        <v>179</v>
      </c>
      <c r="J2" t="s">
        <v>178</v>
      </c>
      <c r="K2" t="s">
        <v>9</v>
      </c>
      <c r="L2" t="s">
        <v>196</v>
      </c>
      <c r="M2" t="s">
        <v>10</v>
      </c>
      <c r="N2" t="s">
        <v>54</v>
      </c>
      <c r="O2" t="s">
        <v>13</v>
      </c>
      <c r="P2" t="s">
        <v>15</v>
      </c>
      <c r="Q2" t="s">
        <v>8</v>
      </c>
      <c r="R2" t="s">
        <v>7</v>
      </c>
      <c r="S2" t="s">
        <v>181</v>
      </c>
      <c r="T2" t="s">
        <v>182</v>
      </c>
      <c r="U2" t="s">
        <v>19</v>
      </c>
      <c r="V2" t="s">
        <v>191</v>
      </c>
      <c r="W2" t="s">
        <v>192</v>
      </c>
      <c r="X2" t="s">
        <v>175</v>
      </c>
      <c r="Y2" t="s">
        <v>173</v>
      </c>
      <c r="Z2" t="str">
        <f t="shared" ref="Z2:Z13" si="0">LEFT(I4, 1)</f>
        <v/>
      </c>
      <c r="AA2" t="str">
        <f t="shared" ref="AA2:AA13" si="1">MID(I4, 4, 1)</f>
        <v/>
      </c>
      <c r="AB2" t="str">
        <f t="shared" ref="AB2:AB13" si="2">MID(I4, 7, 1)</f>
        <v/>
      </c>
      <c r="AC2" t="str">
        <f t="shared" ref="AC2:AC13" si="3">MID(I4, 10, 1)</f>
        <v/>
      </c>
      <c r="AE2" t="str">
        <f t="shared" ref="AE2:AE13" si="4">LEFT(J4, 1)</f>
        <v/>
      </c>
      <c r="AF2" t="str">
        <f t="shared" ref="AF2:AF13" si="5">MID(J4, 4, 1)</f>
        <v/>
      </c>
      <c r="AG2" t="str">
        <f t="shared" ref="AG2:AG13" si="6">MID(J4, 7, 1)</f>
        <v/>
      </c>
      <c r="AH2" t="str">
        <f t="shared" ref="AH2:AH13" si="7">MID(J4, 10, 1)</f>
        <v/>
      </c>
      <c r="AI2" t="str">
        <f t="shared" ref="AI2:AI13" si="8">MID(J4, 13, 1)</f>
        <v/>
      </c>
      <c r="AK2" t="str">
        <f t="shared" ref="AK2:AK13" si="9">LEFT(P4, 2)</f>
        <v/>
      </c>
      <c r="AL2" t="str">
        <f>MID($P4, 5, 2)</f>
        <v/>
      </c>
      <c r="AM2" t="str">
        <f t="shared" ref="AM2:AM13" si="10">MID($P4, 9, 2)</f>
        <v/>
      </c>
      <c r="AN2" t="str">
        <f t="shared" ref="AN2:AN13" si="11">MID($P4, 13, 2)</f>
        <v/>
      </c>
      <c r="AO2" t="str">
        <f t="shared" ref="AO2:AO13" si="12">MID($P4, 17, 2)</f>
        <v/>
      </c>
      <c r="AP2" t="str">
        <f t="shared" ref="AP2:AP13" si="13">MID($P4, 21, 2)</f>
        <v/>
      </c>
      <c r="AQ2" t="str">
        <f t="shared" ref="AQ2:AQ13" si="14">MID($P4, 25, 2)</f>
        <v/>
      </c>
      <c r="AR2" t="str">
        <f t="shared" ref="AR2:AR13" si="15">MID($P4, 29, 2)</f>
        <v/>
      </c>
      <c r="AS2" t="str">
        <f t="shared" ref="AS2:AS13" si="16">MID($P4, 33, 2)</f>
        <v/>
      </c>
      <c r="AT2" t="str">
        <f t="shared" ref="AT2:AT13" si="17">MID($P4, 37, 2)</f>
        <v/>
      </c>
      <c r="AU2" t="str">
        <f t="shared" ref="AU2:AU13" si="18">MID($P4, 41, 2)</f>
        <v/>
      </c>
      <c r="AV2" t="str">
        <f t="shared" ref="AV2:AV13" si="19">MID($P4, 45, 2)</f>
        <v/>
      </c>
      <c r="AW2" t="str">
        <f t="shared" ref="AW2:AW13" si="20">MID($P4, 49, 2)</f>
        <v/>
      </c>
      <c r="AX2" t="str">
        <f t="shared" ref="AX2:AX13" si="21">MID($P4, 53, 2)</f>
        <v/>
      </c>
      <c r="AY2" t="str">
        <f t="shared" ref="AY2:AY13" si="22">MID($P4, 57, 2)</f>
        <v/>
      </c>
      <c r="AZ2" t="str">
        <f t="shared" ref="AZ2:AZ13" si="23">MID($P4, 61, 2)</f>
        <v/>
      </c>
      <c r="BA2" t="str">
        <f t="shared" ref="BA2:BA13" si="24">MID($P4, 65, 2)</f>
        <v/>
      </c>
      <c r="BB2" t="str">
        <f t="shared" ref="BB2:BB13" si="25">MID($P4, 69, 2)</f>
        <v/>
      </c>
      <c r="BC2" t="str">
        <f t="shared" ref="BC2:BC13" si="26">MID($P4, 73, 2)</f>
        <v/>
      </c>
      <c r="BD2" t="str">
        <f t="shared" ref="BD2:BD13" si="27">MID($P4, 77, 2)</f>
        <v/>
      </c>
      <c r="BE2" t="str">
        <f t="shared" ref="BE2:BE13" si="28">MID($P4, 81, 2)</f>
        <v/>
      </c>
      <c r="BF2" t="str">
        <f t="shared" ref="BF2:BF13" si="29">MID($P4, 85, 2)</f>
        <v/>
      </c>
      <c r="BG2" t="str">
        <f t="shared" ref="BG2:BG13" si="30">MID($P4, 89, 2)</f>
        <v/>
      </c>
      <c r="BH2" t="str">
        <f t="shared" ref="BH2:BH13" si="31">MID($P4, 93, 2)</f>
        <v/>
      </c>
    </row>
    <row r="3" spans="1:66" x14ac:dyDescent="0.2">
      <c r="A3" t="s">
        <v>2</v>
      </c>
      <c r="B3" t="s">
        <v>6</v>
      </c>
      <c r="C3" t="s">
        <v>88</v>
      </c>
      <c r="D3" t="s">
        <v>6</v>
      </c>
      <c r="E3" t="s">
        <v>6</v>
      </c>
      <c r="F3" t="s">
        <v>4</v>
      </c>
      <c r="G3" t="s">
        <v>6</v>
      </c>
      <c r="H3" t="s">
        <v>6</v>
      </c>
      <c r="I3" t="s">
        <v>86</v>
      </c>
      <c r="J3" t="s">
        <v>86</v>
      </c>
      <c r="K3" t="s">
        <v>6</v>
      </c>
      <c r="L3" t="s">
        <v>6</v>
      </c>
      <c r="M3" t="s">
        <v>6</v>
      </c>
      <c r="N3" t="s">
        <v>6</v>
      </c>
      <c r="O3" t="s">
        <v>6</v>
      </c>
      <c r="P3" t="s">
        <v>16</v>
      </c>
      <c r="Q3" t="s">
        <v>6</v>
      </c>
      <c r="R3" t="s">
        <v>6</v>
      </c>
      <c r="S3" t="s">
        <v>4</v>
      </c>
      <c r="T3" t="s">
        <v>4</v>
      </c>
      <c r="U3" t="s">
        <v>6</v>
      </c>
      <c r="V3" t="s">
        <v>6</v>
      </c>
      <c r="W3" t="s">
        <v>6</v>
      </c>
      <c r="X3" t="s">
        <v>6</v>
      </c>
      <c r="Y3" t="s">
        <v>174</v>
      </c>
      <c r="Z3" t="str">
        <f t="shared" si="0"/>
        <v/>
      </c>
      <c r="AA3" t="str">
        <f t="shared" si="1"/>
        <v/>
      </c>
      <c r="AB3" t="str">
        <f t="shared" si="2"/>
        <v/>
      </c>
      <c r="AC3" t="str">
        <f t="shared" si="3"/>
        <v/>
      </c>
      <c r="AE3" t="str">
        <f t="shared" si="4"/>
        <v/>
      </c>
      <c r="AF3" t="str">
        <f t="shared" si="5"/>
        <v/>
      </c>
      <c r="AG3" t="str">
        <f t="shared" si="6"/>
        <v/>
      </c>
      <c r="AH3" t="str">
        <f t="shared" si="7"/>
        <v/>
      </c>
      <c r="AI3" t="str">
        <f t="shared" si="8"/>
        <v/>
      </c>
      <c r="AK3" t="str">
        <f t="shared" si="9"/>
        <v/>
      </c>
      <c r="AL3" t="str">
        <f t="shared" ref="AL3:AL13" si="32">MID(P5, 5, 2)</f>
        <v/>
      </c>
      <c r="AM3" t="str">
        <f t="shared" si="10"/>
        <v/>
      </c>
      <c r="AN3" t="str">
        <f t="shared" si="11"/>
        <v/>
      </c>
      <c r="AO3" t="str">
        <f t="shared" si="12"/>
        <v/>
      </c>
      <c r="AP3" t="str">
        <f t="shared" si="13"/>
        <v/>
      </c>
      <c r="AQ3" t="str">
        <f t="shared" si="14"/>
        <v/>
      </c>
      <c r="AR3" t="str">
        <f t="shared" si="15"/>
        <v/>
      </c>
      <c r="AS3" t="str">
        <f t="shared" si="16"/>
        <v/>
      </c>
      <c r="AT3" t="str">
        <f t="shared" si="17"/>
        <v/>
      </c>
      <c r="AU3" t="str">
        <f t="shared" si="18"/>
        <v/>
      </c>
      <c r="AV3" t="str">
        <f t="shared" si="19"/>
        <v/>
      </c>
      <c r="AW3" t="str">
        <f t="shared" si="20"/>
        <v/>
      </c>
      <c r="AX3" t="str">
        <f t="shared" si="21"/>
        <v/>
      </c>
      <c r="AY3" t="str">
        <f t="shared" si="22"/>
        <v/>
      </c>
      <c r="AZ3" t="str">
        <f t="shared" si="23"/>
        <v/>
      </c>
      <c r="BA3" t="str">
        <f t="shared" si="24"/>
        <v/>
      </c>
      <c r="BB3" t="str">
        <f t="shared" si="25"/>
        <v/>
      </c>
      <c r="BC3" t="str">
        <f t="shared" si="26"/>
        <v/>
      </c>
      <c r="BD3" t="str">
        <f t="shared" si="27"/>
        <v/>
      </c>
      <c r="BE3" t="str">
        <f t="shared" si="28"/>
        <v/>
      </c>
      <c r="BF3" t="str">
        <f t="shared" si="29"/>
        <v/>
      </c>
      <c r="BG3" t="str">
        <f t="shared" si="30"/>
        <v/>
      </c>
      <c r="BH3" t="str">
        <f t="shared" si="31"/>
        <v/>
      </c>
    </row>
    <row r="4" spans="1:66" x14ac:dyDescent="0.2">
      <c r="A4">
        <v>1</v>
      </c>
      <c r="B4">
        <v>9</v>
      </c>
      <c r="C4" t="s">
        <v>39</v>
      </c>
      <c r="K4">
        <v>1</v>
      </c>
      <c r="N4">
        <v>2</v>
      </c>
      <c r="O4">
        <v>2</v>
      </c>
      <c r="S4">
        <v>1</v>
      </c>
      <c r="T4">
        <v>1</v>
      </c>
      <c r="X4">
        <f t="shared" ref="X4:X15" si="33">G4+H4+Q4+R4</f>
        <v>0</v>
      </c>
      <c r="Z4" t="str">
        <f t="shared" si="0"/>
        <v/>
      </c>
      <c r="AA4" t="str">
        <f t="shared" si="1"/>
        <v/>
      </c>
      <c r="AB4" t="str">
        <f t="shared" si="2"/>
        <v/>
      </c>
      <c r="AC4" t="str">
        <f t="shared" si="3"/>
        <v/>
      </c>
      <c r="AE4" t="str">
        <f t="shared" si="4"/>
        <v/>
      </c>
      <c r="AF4" t="str">
        <f t="shared" si="5"/>
        <v/>
      </c>
      <c r="AG4" t="str">
        <f t="shared" si="6"/>
        <v/>
      </c>
      <c r="AH4" t="str">
        <f t="shared" si="7"/>
        <v/>
      </c>
      <c r="AI4" t="str">
        <f t="shared" si="8"/>
        <v/>
      </c>
      <c r="AK4" t="str">
        <f t="shared" si="9"/>
        <v/>
      </c>
      <c r="AL4" t="str">
        <f t="shared" si="32"/>
        <v/>
      </c>
      <c r="AM4" t="str">
        <f t="shared" si="10"/>
        <v/>
      </c>
      <c r="AN4" t="str">
        <f t="shared" si="11"/>
        <v/>
      </c>
      <c r="AO4" t="str">
        <f t="shared" si="12"/>
        <v/>
      </c>
      <c r="AP4" t="str">
        <f t="shared" si="13"/>
        <v/>
      </c>
      <c r="AQ4" t="str">
        <f t="shared" si="14"/>
        <v/>
      </c>
      <c r="AR4" t="str">
        <f t="shared" si="15"/>
        <v/>
      </c>
      <c r="AS4" t="str">
        <f t="shared" si="16"/>
        <v/>
      </c>
      <c r="AT4" t="str">
        <f t="shared" si="17"/>
        <v/>
      </c>
      <c r="AU4" t="str">
        <f t="shared" si="18"/>
        <v/>
      </c>
      <c r="AV4" t="str">
        <f t="shared" si="19"/>
        <v/>
      </c>
      <c r="AW4" t="str">
        <f t="shared" si="20"/>
        <v/>
      </c>
      <c r="AX4" t="str">
        <f t="shared" si="21"/>
        <v/>
      </c>
      <c r="AY4" t="str">
        <f t="shared" si="22"/>
        <v/>
      </c>
      <c r="AZ4" t="str">
        <f t="shared" si="23"/>
        <v/>
      </c>
      <c r="BA4" t="str">
        <f t="shared" si="24"/>
        <v/>
      </c>
      <c r="BB4" t="str">
        <f t="shared" si="25"/>
        <v/>
      </c>
      <c r="BC4" t="str">
        <f t="shared" si="26"/>
        <v/>
      </c>
      <c r="BD4" t="str">
        <f t="shared" si="27"/>
        <v/>
      </c>
      <c r="BE4" t="str">
        <f t="shared" si="28"/>
        <v/>
      </c>
      <c r="BF4" t="str">
        <f t="shared" si="29"/>
        <v/>
      </c>
      <c r="BG4" t="str">
        <f t="shared" si="30"/>
        <v/>
      </c>
      <c r="BH4" t="str">
        <f t="shared" si="31"/>
        <v/>
      </c>
    </row>
    <row r="5" spans="1:66" x14ac:dyDescent="0.2">
      <c r="A5">
        <v>2</v>
      </c>
      <c r="B5">
        <v>16</v>
      </c>
      <c r="C5" t="s">
        <v>207</v>
      </c>
      <c r="K5">
        <v>4</v>
      </c>
      <c r="N5">
        <v>3</v>
      </c>
      <c r="O5">
        <v>3</v>
      </c>
      <c r="S5">
        <v>1</v>
      </c>
      <c r="U5">
        <v>47</v>
      </c>
      <c r="X5">
        <f t="shared" si="33"/>
        <v>0</v>
      </c>
      <c r="Z5" t="str">
        <f t="shared" si="0"/>
        <v/>
      </c>
      <c r="AA5" t="str">
        <f t="shared" si="1"/>
        <v/>
      </c>
      <c r="AB5" t="str">
        <f t="shared" si="2"/>
        <v/>
      </c>
      <c r="AC5" t="str">
        <f t="shared" si="3"/>
        <v/>
      </c>
      <c r="AE5" t="str">
        <f t="shared" si="4"/>
        <v/>
      </c>
      <c r="AF5" t="str">
        <f t="shared" si="5"/>
        <v/>
      </c>
      <c r="AG5" t="str">
        <f t="shared" si="6"/>
        <v/>
      </c>
      <c r="AH5" t="str">
        <f t="shared" si="7"/>
        <v/>
      </c>
      <c r="AI5" t="str">
        <f t="shared" si="8"/>
        <v/>
      </c>
      <c r="AK5" t="str">
        <f t="shared" si="9"/>
        <v/>
      </c>
      <c r="AL5" t="str">
        <f t="shared" si="32"/>
        <v/>
      </c>
      <c r="AM5" t="str">
        <f t="shared" si="10"/>
        <v/>
      </c>
      <c r="AN5" t="str">
        <f t="shared" si="11"/>
        <v/>
      </c>
      <c r="AO5" t="str">
        <f t="shared" si="12"/>
        <v/>
      </c>
      <c r="AP5" t="str">
        <f t="shared" si="13"/>
        <v/>
      </c>
      <c r="AQ5" t="str">
        <f t="shared" si="14"/>
        <v/>
      </c>
      <c r="AR5" t="str">
        <f t="shared" si="15"/>
        <v/>
      </c>
      <c r="AS5" t="str">
        <f t="shared" si="16"/>
        <v/>
      </c>
      <c r="AT5" t="str">
        <f t="shared" si="17"/>
        <v/>
      </c>
      <c r="AU5" t="str">
        <f t="shared" si="18"/>
        <v/>
      </c>
      <c r="AV5" t="str">
        <f t="shared" si="19"/>
        <v/>
      </c>
      <c r="AW5" t="str">
        <f t="shared" si="20"/>
        <v/>
      </c>
      <c r="AX5" t="str">
        <f t="shared" si="21"/>
        <v/>
      </c>
      <c r="AY5" t="str">
        <f t="shared" si="22"/>
        <v/>
      </c>
      <c r="AZ5" t="str">
        <f t="shared" si="23"/>
        <v/>
      </c>
      <c r="BA5" t="str">
        <f t="shared" si="24"/>
        <v/>
      </c>
      <c r="BB5" t="str">
        <f t="shared" si="25"/>
        <v/>
      </c>
      <c r="BC5" t="str">
        <f t="shared" si="26"/>
        <v/>
      </c>
      <c r="BD5" t="str">
        <f t="shared" si="27"/>
        <v/>
      </c>
      <c r="BE5" t="str">
        <f t="shared" si="28"/>
        <v/>
      </c>
      <c r="BF5" t="str">
        <f t="shared" si="29"/>
        <v/>
      </c>
      <c r="BG5" t="str">
        <f t="shared" si="30"/>
        <v/>
      </c>
      <c r="BH5" t="str">
        <f t="shared" si="31"/>
        <v/>
      </c>
    </row>
    <row r="6" spans="1:66" x14ac:dyDescent="0.2">
      <c r="A6">
        <v>3</v>
      </c>
      <c r="B6">
        <v>25</v>
      </c>
      <c r="C6" t="s">
        <v>39</v>
      </c>
      <c r="D6">
        <v>1</v>
      </c>
      <c r="E6">
        <v>1</v>
      </c>
      <c r="K6">
        <v>3</v>
      </c>
      <c r="N6">
        <v>3</v>
      </c>
      <c r="O6">
        <v>3</v>
      </c>
      <c r="S6">
        <v>1</v>
      </c>
      <c r="T6">
        <v>1</v>
      </c>
      <c r="U6">
        <v>5</v>
      </c>
      <c r="X6">
        <f t="shared" si="33"/>
        <v>0</v>
      </c>
      <c r="Z6" t="str">
        <f t="shared" si="0"/>
        <v/>
      </c>
      <c r="AA6" t="str">
        <f t="shared" si="1"/>
        <v/>
      </c>
      <c r="AB6" t="str">
        <f t="shared" si="2"/>
        <v/>
      </c>
      <c r="AC6" t="str">
        <f t="shared" si="3"/>
        <v/>
      </c>
      <c r="AE6" t="str">
        <f t="shared" si="4"/>
        <v/>
      </c>
      <c r="AF6" t="str">
        <f t="shared" si="5"/>
        <v/>
      </c>
      <c r="AG6" t="str">
        <f t="shared" si="6"/>
        <v/>
      </c>
      <c r="AH6" t="str">
        <f t="shared" si="7"/>
        <v/>
      </c>
      <c r="AI6" t="str">
        <f t="shared" si="8"/>
        <v/>
      </c>
      <c r="AK6" t="str">
        <f t="shared" si="9"/>
        <v/>
      </c>
      <c r="AL6" t="str">
        <f t="shared" si="32"/>
        <v/>
      </c>
      <c r="AM6" t="str">
        <f t="shared" si="10"/>
        <v/>
      </c>
      <c r="AN6" t="str">
        <f t="shared" si="11"/>
        <v/>
      </c>
      <c r="AO6" t="str">
        <f t="shared" si="12"/>
        <v/>
      </c>
      <c r="AP6" t="str">
        <f t="shared" si="13"/>
        <v/>
      </c>
      <c r="AQ6" t="str">
        <f t="shared" si="14"/>
        <v/>
      </c>
      <c r="AR6" t="str">
        <f t="shared" si="15"/>
        <v/>
      </c>
      <c r="AS6" t="str">
        <f t="shared" si="16"/>
        <v/>
      </c>
      <c r="AT6" t="str">
        <f t="shared" si="17"/>
        <v/>
      </c>
      <c r="AU6" t="str">
        <f t="shared" si="18"/>
        <v/>
      </c>
      <c r="AV6" t="str">
        <f t="shared" si="19"/>
        <v/>
      </c>
      <c r="AW6" t="str">
        <f t="shared" si="20"/>
        <v/>
      </c>
      <c r="AX6" t="str">
        <f t="shared" si="21"/>
        <v/>
      </c>
      <c r="AY6" t="str">
        <f t="shared" si="22"/>
        <v/>
      </c>
      <c r="AZ6" t="str">
        <f t="shared" si="23"/>
        <v/>
      </c>
      <c r="BA6" t="str">
        <f t="shared" si="24"/>
        <v/>
      </c>
      <c r="BB6" t="str">
        <f t="shared" si="25"/>
        <v/>
      </c>
      <c r="BC6" t="str">
        <f t="shared" si="26"/>
        <v/>
      </c>
      <c r="BD6" t="str">
        <f t="shared" si="27"/>
        <v/>
      </c>
      <c r="BE6" t="str">
        <f t="shared" si="28"/>
        <v/>
      </c>
      <c r="BF6" t="str">
        <f t="shared" si="29"/>
        <v/>
      </c>
      <c r="BG6" t="str">
        <f t="shared" si="30"/>
        <v/>
      </c>
      <c r="BH6" t="str">
        <f t="shared" si="31"/>
        <v/>
      </c>
    </row>
    <row r="7" spans="1:66" x14ac:dyDescent="0.2">
      <c r="A7">
        <v>4</v>
      </c>
      <c r="B7">
        <v>33</v>
      </c>
      <c r="C7" t="s">
        <v>207</v>
      </c>
      <c r="D7">
        <v>1</v>
      </c>
      <c r="K7">
        <v>3</v>
      </c>
      <c r="N7">
        <v>4</v>
      </c>
      <c r="O7">
        <v>3</v>
      </c>
      <c r="S7">
        <v>1</v>
      </c>
      <c r="T7">
        <v>1</v>
      </c>
      <c r="X7">
        <f t="shared" si="33"/>
        <v>0</v>
      </c>
      <c r="Z7" t="str">
        <f t="shared" si="0"/>
        <v/>
      </c>
      <c r="AA7" t="str">
        <f t="shared" si="1"/>
        <v/>
      </c>
      <c r="AB7" t="str">
        <f t="shared" si="2"/>
        <v/>
      </c>
      <c r="AC7" t="str">
        <f t="shared" si="3"/>
        <v/>
      </c>
      <c r="AE7" t="str">
        <f t="shared" si="4"/>
        <v/>
      </c>
      <c r="AF7" t="str">
        <f t="shared" si="5"/>
        <v/>
      </c>
      <c r="AG7" t="str">
        <f t="shared" si="6"/>
        <v/>
      </c>
      <c r="AH7" t="str">
        <f t="shared" si="7"/>
        <v/>
      </c>
      <c r="AI7" t="str">
        <f t="shared" si="8"/>
        <v/>
      </c>
      <c r="AK7" t="str">
        <f t="shared" si="9"/>
        <v/>
      </c>
      <c r="AL7" t="str">
        <f t="shared" si="32"/>
        <v/>
      </c>
      <c r="AM7" t="str">
        <f t="shared" si="10"/>
        <v/>
      </c>
      <c r="AN7" t="str">
        <f t="shared" si="11"/>
        <v/>
      </c>
      <c r="AO7" t="str">
        <f t="shared" si="12"/>
        <v/>
      </c>
      <c r="AP7" t="str">
        <f t="shared" si="13"/>
        <v/>
      </c>
      <c r="AQ7" t="str">
        <f t="shared" si="14"/>
        <v/>
      </c>
      <c r="AR7" t="str">
        <f t="shared" si="15"/>
        <v/>
      </c>
      <c r="AS7" t="str">
        <f t="shared" si="16"/>
        <v/>
      </c>
      <c r="AT7" t="str">
        <f t="shared" si="17"/>
        <v/>
      </c>
      <c r="AU7" t="str">
        <f t="shared" si="18"/>
        <v/>
      </c>
      <c r="AV7" t="str">
        <f t="shared" si="19"/>
        <v/>
      </c>
      <c r="AW7" t="str">
        <f t="shared" si="20"/>
        <v/>
      </c>
      <c r="AX7" t="str">
        <f t="shared" si="21"/>
        <v/>
      </c>
      <c r="AY7" t="str">
        <f t="shared" si="22"/>
        <v/>
      </c>
      <c r="AZ7" t="str">
        <f t="shared" si="23"/>
        <v/>
      </c>
      <c r="BA7" t="str">
        <f t="shared" si="24"/>
        <v/>
      </c>
      <c r="BB7" t="str">
        <f t="shared" si="25"/>
        <v/>
      </c>
      <c r="BC7" t="str">
        <f t="shared" si="26"/>
        <v/>
      </c>
      <c r="BD7" t="str">
        <f t="shared" si="27"/>
        <v/>
      </c>
      <c r="BE7" t="str">
        <f t="shared" si="28"/>
        <v/>
      </c>
      <c r="BF7" t="str">
        <f t="shared" si="29"/>
        <v/>
      </c>
      <c r="BG7" t="str">
        <f t="shared" si="30"/>
        <v/>
      </c>
      <c r="BH7" t="str">
        <f t="shared" si="31"/>
        <v/>
      </c>
    </row>
    <row r="8" spans="1:66" x14ac:dyDescent="0.2">
      <c r="A8">
        <v>5</v>
      </c>
      <c r="B8">
        <v>41</v>
      </c>
      <c r="C8" t="s">
        <v>207</v>
      </c>
      <c r="K8">
        <v>4</v>
      </c>
      <c r="N8">
        <v>4</v>
      </c>
      <c r="O8">
        <v>4</v>
      </c>
      <c r="S8">
        <v>1</v>
      </c>
      <c r="T8">
        <v>1</v>
      </c>
      <c r="X8">
        <f t="shared" si="33"/>
        <v>0</v>
      </c>
      <c r="Z8" t="str">
        <f t="shared" si="0"/>
        <v/>
      </c>
      <c r="AA8" t="str">
        <f t="shared" si="1"/>
        <v/>
      </c>
      <c r="AB8" t="str">
        <f t="shared" si="2"/>
        <v/>
      </c>
      <c r="AC8" t="str">
        <f t="shared" si="3"/>
        <v/>
      </c>
      <c r="AE8" t="str">
        <f t="shared" si="4"/>
        <v/>
      </c>
      <c r="AF8" t="str">
        <f t="shared" si="5"/>
        <v/>
      </c>
      <c r="AG8" t="str">
        <f t="shared" si="6"/>
        <v/>
      </c>
      <c r="AH8" t="str">
        <f t="shared" si="7"/>
        <v/>
      </c>
      <c r="AI8" t="str">
        <f t="shared" si="8"/>
        <v/>
      </c>
      <c r="AK8" t="str">
        <f t="shared" si="9"/>
        <v/>
      </c>
      <c r="AL8" t="str">
        <f t="shared" si="32"/>
        <v/>
      </c>
      <c r="AM8" t="str">
        <f t="shared" si="10"/>
        <v/>
      </c>
      <c r="AN8" t="str">
        <f t="shared" si="11"/>
        <v/>
      </c>
      <c r="AO8" t="str">
        <f t="shared" si="12"/>
        <v/>
      </c>
      <c r="AP8" t="str">
        <f t="shared" si="13"/>
        <v/>
      </c>
      <c r="AQ8" t="str">
        <f t="shared" si="14"/>
        <v/>
      </c>
      <c r="AR8" t="str">
        <f t="shared" si="15"/>
        <v/>
      </c>
      <c r="AS8" t="str">
        <f t="shared" si="16"/>
        <v/>
      </c>
      <c r="AT8" t="str">
        <f t="shared" si="17"/>
        <v/>
      </c>
      <c r="AU8" t="str">
        <f t="shared" si="18"/>
        <v/>
      </c>
      <c r="AV8" t="str">
        <f t="shared" si="19"/>
        <v/>
      </c>
      <c r="AW8" t="str">
        <f t="shared" si="20"/>
        <v/>
      </c>
      <c r="AX8" t="str">
        <f t="shared" si="21"/>
        <v/>
      </c>
      <c r="AY8" t="str">
        <f t="shared" si="22"/>
        <v/>
      </c>
      <c r="AZ8" t="str">
        <f t="shared" si="23"/>
        <v/>
      </c>
      <c r="BA8" t="str">
        <f t="shared" si="24"/>
        <v/>
      </c>
      <c r="BB8" t="str">
        <f t="shared" si="25"/>
        <v/>
      </c>
      <c r="BC8" t="str">
        <f t="shared" si="26"/>
        <v/>
      </c>
      <c r="BD8" t="str">
        <f t="shared" si="27"/>
        <v/>
      </c>
      <c r="BE8" t="str">
        <f t="shared" si="28"/>
        <v/>
      </c>
      <c r="BF8" t="str">
        <f t="shared" si="29"/>
        <v/>
      </c>
      <c r="BG8" t="str">
        <f t="shared" si="30"/>
        <v/>
      </c>
      <c r="BH8" t="str">
        <f t="shared" si="31"/>
        <v/>
      </c>
    </row>
    <row r="9" spans="1:66" x14ac:dyDescent="0.2">
      <c r="A9">
        <v>6</v>
      </c>
      <c r="B9">
        <v>61</v>
      </c>
      <c r="C9" t="s">
        <v>39</v>
      </c>
      <c r="K9">
        <v>3</v>
      </c>
      <c r="N9">
        <v>4</v>
      </c>
      <c r="O9">
        <v>4</v>
      </c>
      <c r="S9">
        <v>1</v>
      </c>
      <c r="T9">
        <v>1</v>
      </c>
      <c r="X9">
        <f t="shared" si="33"/>
        <v>0</v>
      </c>
      <c r="Z9" t="str">
        <f t="shared" si="0"/>
        <v/>
      </c>
      <c r="AA9" t="str">
        <f t="shared" si="1"/>
        <v/>
      </c>
      <c r="AB9" t="str">
        <f t="shared" si="2"/>
        <v/>
      </c>
      <c r="AC9" t="str">
        <f t="shared" si="3"/>
        <v/>
      </c>
      <c r="AE9" t="str">
        <f t="shared" si="4"/>
        <v/>
      </c>
      <c r="AF9" t="str">
        <f t="shared" si="5"/>
        <v/>
      </c>
      <c r="AG9" t="str">
        <f t="shared" si="6"/>
        <v/>
      </c>
      <c r="AH9" t="str">
        <f t="shared" si="7"/>
        <v/>
      </c>
      <c r="AI9" t="str">
        <f t="shared" si="8"/>
        <v/>
      </c>
      <c r="AK9" t="str">
        <f t="shared" si="9"/>
        <v/>
      </c>
      <c r="AL9" t="str">
        <f t="shared" si="32"/>
        <v/>
      </c>
      <c r="AM9" t="str">
        <f t="shared" si="10"/>
        <v/>
      </c>
      <c r="AN9" t="str">
        <f t="shared" si="11"/>
        <v/>
      </c>
      <c r="AO9" t="str">
        <f t="shared" si="12"/>
        <v/>
      </c>
      <c r="AP9" t="str">
        <f t="shared" si="13"/>
        <v/>
      </c>
      <c r="AQ9" t="str">
        <f t="shared" si="14"/>
        <v/>
      </c>
      <c r="AR9" t="str">
        <f t="shared" si="15"/>
        <v/>
      </c>
      <c r="AS9" t="str">
        <f t="shared" si="16"/>
        <v/>
      </c>
      <c r="AT9" t="str">
        <f t="shared" si="17"/>
        <v/>
      </c>
      <c r="AU9" t="str">
        <f t="shared" si="18"/>
        <v/>
      </c>
      <c r="AV9" t="str">
        <f t="shared" si="19"/>
        <v/>
      </c>
      <c r="AW9" t="str">
        <f t="shared" si="20"/>
        <v/>
      </c>
      <c r="AX9" t="str">
        <f t="shared" si="21"/>
        <v/>
      </c>
      <c r="AY9" t="str">
        <f t="shared" si="22"/>
        <v/>
      </c>
      <c r="AZ9" t="str">
        <f t="shared" si="23"/>
        <v/>
      </c>
      <c r="BA9" t="str">
        <f t="shared" si="24"/>
        <v/>
      </c>
      <c r="BB9" t="str">
        <f t="shared" si="25"/>
        <v/>
      </c>
      <c r="BC9" t="str">
        <f t="shared" si="26"/>
        <v/>
      </c>
      <c r="BD9" t="str">
        <f t="shared" si="27"/>
        <v/>
      </c>
      <c r="BE9" t="str">
        <f t="shared" si="28"/>
        <v/>
      </c>
      <c r="BF9" t="str">
        <f t="shared" si="29"/>
        <v/>
      </c>
      <c r="BG9" t="str">
        <f t="shared" si="30"/>
        <v/>
      </c>
      <c r="BH9" t="str">
        <f t="shared" si="31"/>
        <v/>
      </c>
    </row>
    <row r="10" spans="1:66" x14ac:dyDescent="0.2">
      <c r="A10">
        <v>7</v>
      </c>
      <c r="B10">
        <v>79</v>
      </c>
      <c r="C10" t="s">
        <v>207</v>
      </c>
      <c r="D10">
        <v>1</v>
      </c>
      <c r="K10">
        <v>3</v>
      </c>
      <c r="L10">
        <v>1</v>
      </c>
      <c r="N10">
        <v>4</v>
      </c>
      <c r="O10">
        <v>4</v>
      </c>
      <c r="S10">
        <v>1</v>
      </c>
      <c r="T10">
        <v>1</v>
      </c>
      <c r="X10">
        <f t="shared" si="33"/>
        <v>0</v>
      </c>
      <c r="Z10" t="str">
        <f t="shared" si="0"/>
        <v/>
      </c>
      <c r="AA10" t="str">
        <f t="shared" si="1"/>
        <v/>
      </c>
      <c r="AB10" t="str">
        <f t="shared" si="2"/>
        <v/>
      </c>
      <c r="AC10" t="str">
        <f t="shared" si="3"/>
        <v/>
      </c>
      <c r="AE10" t="str">
        <f t="shared" si="4"/>
        <v/>
      </c>
      <c r="AF10" t="str">
        <f t="shared" si="5"/>
        <v/>
      </c>
      <c r="AG10" t="str">
        <f t="shared" si="6"/>
        <v/>
      </c>
      <c r="AH10" t="str">
        <f t="shared" si="7"/>
        <v/>
      </c>
      <c r="AI10" t="str">
        <f t="shared" si="8"/>
        <v/>
      </c>
      <c r="AK10" t="str">
        <f t="shared" si="9"/>
        <v/>
      </c>
      <c r="AL10" t="str">
        <f t="shared" si="32"/>
        <v/>
      </c>
      <c r="AM10" t="str">
        <f t="shared" si="10"/>
        <v/>
      </c>
      <c r="AN10" t="str">
        <f t="shared" si="11"/>
        <v/>
      </c>
      <c r="AO10" t="str">
        <f t="shared" si="12"/>
        <v/>
      </c>
      <c r="AP10" t="str">
        <f t="shared" si="13"/>
        <v/>
      </c>
      <c r="AQ10" t="str">
        <f t="shared" si="14"/>
        <v/>
      </c>
      <c r="AR10" t="str">
        <f t="shared" si="15"/>
        <v/>
      </c>
      <c r="AS10" t="str">
        <f t="shared" si="16"/>
        <v/>
      </c>
      <c r="AT10" t="str">
        <f t="shared" si="17"/>
        <v/>
      </c>
      <c r="AU10" t="str">
        <f t="shared" si="18"/>
        <v/>
      </c>
      <c r="AV10" t="str">
        <f t="shared" si="19"/>
        <v/>
      </c>
      <c r="AW10" t="str">
        <f t="shared" si="20"/>
        <v/>
      </c>
      <c r="AX10" t="str">
        <f t="shared" si="21"/>
        <v/>
      </c>
      <c r="AY10" t="str">
        <f t="shared" si="22"/>
        <v/>
      </c>
      <c r="AZ10" t="str">
        <f t="shared" si="23"/>
        <v/>
      </c>
      <c r="BA10" t="str">
        <f t="shared" si="24"/>
        <v/>
      </c>
      <c r="BB10" t="str">
        <f t="shared" si="25"/>
        <v/>
      </c>
      <c r="BC10" t="str">
        <f t="shared" si="26"/>
        <v/>
      </c>
      <c r="BD10" t="str">
        <f t="shared" si="27"/>
        <v/>
      </c>
      <c r="BE10" t="str">
        <f t="shared" si="28"/>
        <v/>
      </c>
      <c r="BF10" t="str">
        <f t="shared" si="29"/>
        <v/>
      </c>
      <c r="BG10" t="str">
        <f t="shared" si="30"/>
        <v/>
      </c>
      <c r="BH10" t="str">
        <f t="shared" si="31"/>
        <v/>
      </c>
    </row>
    <row r="11" spans="1:66" x14ac:dyDescent="0.2">
      <c r="A11">
        <v>8</v>
      </c>
      <c r="B11">
        <v>90</v>
      </c>
      <c r="C11" t="s">
        <v>207</v>
      </c>
      <c r="D11">
        <v>1</v>
      </c>
      <c r="K11">
        <v>3</v>
      </c>
      <c r="N11">
        <v>3</v>
      </c>
      <c r="O11">
        <v>2</v>
      </c>
      <c r="S11">
        <v>1</v>
      </c>
      <c r="T11">
        <v>1</v>
      </c>
      <c r="U11">
        <v>13</v>
      </c>
      <c r="X11">
        <f t="shared" si="33"/>
        <v>0</v>
      </c>
      <c r="Z11" t="str">
        <f t="shared" si="0"/>
        <v/>
      </c>
      <c r="AA11" t="str">
        <f t="shared" si="1"/>
        <v/>
      </c>
      <c r="AB11" t="str">
        <f t="shared" si="2"/>
        <v/>
      </c>
      <c r="AC11" t="str">
        <f t="shared" si="3"/>
        <v/>
      </c>
      <c r="AE11" t="str">
        <f t="shared" si="4"/>
        <v/>
      </c>
      <c r="AF11" t="str">
        <f t="shared" si="5"/>
        <v/>
      </c>
      <c r="AG11" t="str">
        <f t="shared" si="6"/>
        <v/>
      </c>
      <c r="AH11" t="str">
        <f t="shared" si="7"/>
        <v/>
      </c>
      <c r="AI11" t="str">
        <f t="shared" si="8"/>
        <v/>
      </c>
      <c r="AK11" t="str">
        <f t="shared" si="9"/>
        <v/>
      </c>
      <c r="AL11" t="str">
        <f t="shared" si="32"/>
        <v/>
      </c>
      <c r="AM11" t="str">
        <f t="shared" si="10"/>
        <v/>
      </c>
      <c r="AN11" t="str">
        <f t="shared" si="11"/>
        <v/>
      </c>
      <c r="AO11" t="str">
        <f t="shared" si="12"/>
        <v/>
      </c>
      <c r="AP11" t="str">
        <f t="shared" si="13"/>
        <v/>
      </c>
      <c r="AQ11" t="str">
        <f t="shared" si="14"/>
        <v/>
      </c>
      <c r="AR11" t="str">
        <f t="shared" si="15"/>
        <v/>
      </c>
      <c r="AS11" t="str">
        <f t="shared" si="16"/>
        <v/>
      </c>
      <c r="AT11" t="str">
        <f t="shared" si="17"/>
        <v/>
      </c>
      <c r="AU11" t="str">
        <f t="shared" si="18"/>
        <v/>
      </c>
      <c r="AV11" t="str">
        <f t="shared" si="19"/>
        <v/>
      </c>
      <c r="AW11" t="str">
        <f t="shared" si="20"/>
        <v/>
      </c>
      <c r="AX11" t="str">
        <f t="shared" si="21"/>
        <v/>
      </c>
      <c r="AY11" t="str">
        <f t="shared" si="22"/>
        <v/>
      </c>
      <c r="AZ11" t="str">
        <f t="shared" si="23"/>
        <v/>
      </c>
      <c r="BA11" t="str">
        <f t="shared" si="24"/>
        <v/>
      </c>
      <c r="BB11" t="str">
        <f t="shared" si="25"/>
        <v/>
      </c>
      <c r="BC11" t="str">
        <f t="shared" si="26"/>
        <v/>
      </c>
      <c r="BD11" t="str">
        <f t="shared" si="27"/>
        <v/>
      </c>
      <c r="BE11" t="str">
        <f t="shared" si="28"/>
        <v/>
      </c>
      <c r="BF11" t="str">
        <f t="shared" si="29"/>
        <v/>
      </c>
      <c r="BG11" t="str">
        <f t="shared" si="30"/>
        <v/>
      </c>
      <c r="BH11" t="str">
        <f t="shared" si="31"/>
        <v/>
      </c>
    </row>
    <row r="12" spans="1:66" x14ac:dyDescent="0.2">
      <c r="A12">
        <v>9</v>
      </c>
      <c r="B12">
        <v>97</v>
      </c>
      <c r="C12" t="s">
        <v>39</v>
      </c>
      <c r="D12">
        <v>1</v>
      </c>
      <c r="F12">
        <v>1</v>
      </c>
      <c r="K12">
        <v>4</v>
      </c>
      <c r="L12">
        <v>1</v>
      </c>
      <c r="N12">
        <v>5</v>
      </c>
      <c r="O12">
        <v>4</v>
      </c>
      <c r="S12">
        <v>1</v>
      </c>
      <c r="T12">
        <v>1</v>
      </c>
      <c r="X12">
        <f t="shared" si="33"/>
        <v>0</v>
      </c>
      <c r="Z12" t="str">
        <f t="shared" si="0"/>
        <v/>
      </c>
      <c r="AA12" t="str">
        <f t="shared" si="1"/>
        <v/>
      </c>
      <c r="AB12" t="str">
        <f t="shared" si="2"/>
        <v/>
      </c>
      <c r="AC12" t="str">
        <f t="shared" si="3"/>
        <v/>
      </c>
      <c r="AE12" t="str">
        <f t="shared" si="4"/>
        <v/>
      </c>
      <c r="AF12" t="str">
        <f t="shared" si="5"/>
        <v/>
      </c>
      <c r="AG12" t="str">
        <f t="shared" si="6"/>
        <v/>
      </c>
      <c r="AH12" t="str">
        <f t="shared" si="7"/>
        <v/>
      </c>
      <c r="AI12" t="str">
        <f t="shared" si="8"/>
        <v/>
      </c>
      <c r="AK12" t="str">
        <f t="shared" si="9"/>
        <v/>
      </c>
      <c r="AL12" t="str">
        <f t="shared" si="32"/>
        <v/>
      </c>
      <c r="AM12" t="str">
        <f t="shared" si="10"/>
        <v/>
      </c>
      <c r="AN12" t="str">
        <f t="shared" si="11"/>
        <v/>
      </c>
      <c r="AO12" t="str">
        <f t="shared" si="12"/>
        <v/>
      </c>
      <c r="AP12" t="str">
        <f t="shared" si="13"/>
        <v/>
      </c>
      <c r="AQ12" t="str">
        <f t="shared" si="14"/>
        <v/>
      </c>
      <c r="AR12" t="str">
        <f t="shared" si="15"/>
        <v/>
      </c>
      <c r="AS12" t="str">
        <f t="shared" si="16"/>
        <v/>
      </c>
      <c r="AT12" t="str">
        <f t="shared" si="17"/>
        <v/>
      </c>
      <c r="AU12" t="str">
        <f t="shared" si="18"/>
        <v/>
      </c>
      <c r="AV12" t="str">
        <f t="shared" si="19"/>
        <v/>
      </c>
      <c r="AW12" t="str">
        <f t="shared" si="20"/>
        <v/>
      </c>
      <c r="AX12" t="str">
        <f t="shared" si="21"/>
        <v/>
      </c>
      <c r="AY12" t="str">
        <f t="shared" si="22"/>
        <v/>
      </c>
      <c r="AZ12" t="str">
        <f t="shared" si="23"/>
        <v/>
      </c>
      <c r="BA12" t="str">
        <f t="shared" si="24"/>
        <v/>
      </c>
      <c r="BB12" t="str">
        <f t="shared" si="25"/>
        <v/>
      </c>
      <c r="BC12" t="str">
        <f t="shared" si="26"/>
        <v/>
      </c>
      <c r="BD12" t="str">
        <f t="shared" si="27"/>
        <v/>
      </c>
      <c r="BE12" t="str">
        <f t="shared" si="28"/>
        <v/>
      </c>
      <c r="BF12" t="str">
        <f t="shared" si="29"/>
        <v/>
      </c>
      <c r="BG12" t="str">
        <f t="shared" si="30"/>
        <v/>
      </c>
      <c r="BH12" t="str">
        <f t="shared" si="31"/>
        <v/>
      </c>
    </row>
    <row r="13" spans="1:66" x14ac:dyDescent="0.2">
      <c r="A13">
        <v>10</v>
      </c>
      <c r="B13">
        <v>102</v>
      </c>
      <c r="C13" t="s">
        <v>39</v>
      </c>
      <c r="D13">
        <v>1</v>
      </c>
      <c r="K13">
        <v>3</v>
      </c>
      <c r="N13">
        <v>3</v>
      </c>
      <c r="O13">
        <v>3</v>
      </c>
      <c r="S13">
        <v>1</v>
      </c>
      <c r="T13">
        <v>1</v>
      </c>
      <c r="X13">
        <f t="shared" si="33"/>
        <v>0</v>
      </c>
      <c r="Z13" t="str">
        <f t="shared" si="0"/>
        <v/>
      </c>
      <c r="AA13" t="str">
        <f t="shared" si="1"/>
        <v/>
      </c>
      <c r="AB13" t="str">
        <f t="shared" si="2"/>
        <v/>
      </c>
      <c r="AC13" t="str">
        <f t="shared" si="3"/>
        <v/>
      </c>
      <c r="AE13" t="str">
        <f t="shared" si="4"/>
        <v/>
      </c>
      <c r="AF13" t="str">
        <f t="shared" si="5"/>
        <v/>
      </c>
      <c r="AG13" t="str">
        <f t="shared" si="6"/>
        <v/>
      </c>
      <c r="AH13" t="str">
        <f t="shared" si="7"/>
        <v/>
      </c>
      <c r="AI13" t="str">
        <f t="shared" si="8"/>
        <v/>
      </c>
      <c r="AK13" t="str">
        <f t="shared" si="9"/>
        <v/>
      </c>
      <c r="AL13" t="str">
        <f t="shared" si="32"/>
        <v/>
      </c>
      <c r="AM13" t="str">
        <f t="shared" si="10"/>
        <v/>
      </c>
      <c r="AN13" t="str">
        <f t="shared" si="11"/>
        <v/>
      </c>
      <c r="AO13" t="str">
        <f t="shared" si="12"/>
        <v/>
      </c>
      <c r="AP13" t="str">
        <f t="shared" si="13"/>
        <v/>
      </c>
      <c r="AQ13" t="str">
        <f t="shared" si="14"/>
        <v/>
      </c>
      <c r="AR13" t="str">
        <f t="shared" si="15"/>
        <v/>
      </c>
      <c r="AS13" t="str">
        <f t="shared" si="16"/>
        <v/>
      </c>
      <c r="AT13" t="str">
        <f t="shared" si="17"/>
        <v/>
      </c>
      <c r="AU13" t="str">
        <f t="shared" si="18"/>
        <v/>
      </c>
      <c r="AV13" t="str">
        <f t="shared" si="19"/>
        <v/>
      </c>
      <c r="AW13" t="str">
        <f t="shared" si="20"/>
        <v/>
      </c>
      <c r="AX13" t="str">
        <f t="shared" si="21"/>
        <v/>
      </c>
      <c r="AY13" t="str">
        <f t="shared" si="22"/>
        <v/>
      </c>
      <c r="AZ13" t="str">
        <f t="shared" si="23"/>
        <v/>
      </c>
      <c r="BA13" t="str">
        <f t="shared" si="24"/>
        <v/>
      </c>
      <c r="BB13" t="str">
        <f t="shared" si="25"/>
        <v/>
      </c>
      <c r="BC13" t="str">
        <f t="shared" si="26"/>
        <v/>
      </c>
      <c r="BD13" t="str">
        <f t="shared" si="27"/>
        <v/>
      </c>
      <c r="BE13" t="str">
        <f t="shared" si="28"/>
        <v/>
      </c>
      <c r="BF13" t="str">
        <f t="shared" si="29"/>
        <v/>
      </c>
      <c r="BG13" t="str">
        <f t="shared" si="30"/>
        <v/>
      </c>
      <c r="BH13" t="str">
        <f t="shared" si="31"/>
        <v/>
      </c>
    </row>
    <row r="14" spans="1:66" x14ac:dyDescent="0.2">
      <c r="A14">
        <v>11</v>
      </c>
      <c r="B14">
        <v>115</v>
      </c>
      <c r="C14">
        <v>1</v>
      </c>
      <c r="D14">
        <v>1</v>
      </c>
      <c r="E14">
        <v>1</v>
      </c>
      <c r="K14">
        <v>4</v>
      </c>
      <c r="N14">
        <v>4</v>
      </c>
      <c r="O14">
        <v>3</v>
      </c>
      <c r="S14">
        <v>1</v>
      </c>
      <c r="T14">
        <v>1</v>
      </c>
      <c r="U14">
        <v>5</v>
      </c>
      <c r="X14">
        <f t="shared" si="33"/>
        <v>0</v>
      </c>
      <c r="Z14" t="s">
        <v>31</v>
      </c>
      <c r="AE14" t="s">
        <v>34</v>
      </c>
      <c r="AK14" t="s">
        <v>43</v>
      </c>
      <c r="AP14" t="s">
        <v>84</v>
      </c>
    </row>
    <row r="15" spans="1:66" x14ac:dyDescent="0.2">
      <c r="A15">
        <v>12</v>
      </c>
      <c r="X15">
        <f t="shared" si="33"/>
        <v>0</v>
      </c>
      <c r="Z15" t="s">
        <v>21</v>
      </c>
      <c r="AA15" t="s">
        <v>22</v>
      </c>
      <c r="AE15" t="s">
        <v>21</v>
      </c>
      <c r="AF15" t="s">
        <v>22</v>
      </c>
      <c r="AG15" t="s">
        <v>35</v>
      </c>
      <c r="AK15" t="s">
        <v>10</v>
      </c>
      <c r="AL15" t="s">
        <v>25</v>
      </c>
      <c r="AM15" t="s">
        <v>26</v>
      </c>
      <c r="AN15" t="s">
        <v>27</v>
      </c>
      <c r="AP15" t="s">
        <v>15</v>
      </c>
      <c r="AQ15" t="s">
        <v>85</v>
      </c>
    </row>
    <row r="16" spans="1:66" x14ac:dyDescent="0.2">
      <c r="A16" t="s">
        <v>28</v>
      </c>
      <c r="D16">
        <f>SUM(D4:D15)</f>
        <v>7</v>
      </c>
      <c r="E16">
        <f>SUM(E4:E15)</f>
        <v>2</v>
      </c>
      <c r="F16">
        <f>SUM(F4:F15)</f>
        <v>1</v>
      </c>
      <c r="G16">
        <f>SUM(G4:G15)</f>
        <v>0</v>
      </c>
      <c r="H16">
        <f>SUM(H4:H15)</f>
        <v>0</v>
      </c>
      <c r="K16">
        <f>SUM(K4:K15)</f>
        <v>35</v>
      </c>
      <c r="L16">
        <f>SUM(L4:L15)</f>
        <v>2</v>
      </c>
      <c r="M16">
        <f>SUM(M4:M15)</f>
        <v>0</v>
      </c>
      <c r="N16">
        <f>SUM(N4:N15)</f>
        <v>39</v>
      </c>
      <c r="O16">
        <f>SUM(O4:O15)</f>
        <v>35</v>
      </c>
      <c r="Q16">
        <f t="shared" ref="Q16:R16" si="34">SUM(Q4:Q15)</f>
        <v>0</v>
      </c>
      <c r="R16">
        <f t="shared" si="34"/>
        <v>0</v>
      </c>
      <c r="S16">
        <f>SUM(S4:S15)</f>
        <v>11</v>
      </c>
      <c r="T16">
        <f>SUM(T4:T15)</f>
        <v>10</v>
      </c>
      <c r="U16">
        <f>SUM(U4:U15)</f>
        <v>70</v>
      </c>
      <c r="V16">
        <f>SUM(V4:V15)</f>
        <v>0</v>
      </c>
      <c r="W16">
        <f>SUM(W4:W15)</f>
        <v>0</v>
      </c>
      <c r="Z16">
        <f t="shared" ref="Z16:Z27" si="35">COUNTIF(Z2:AC2, "3")*COUNTIF(C4, "r")+COUNTIF(Z2:AC2, "5")*COUNTIF(C4, "b")</f>
        <v>0</v>
      </c>
      <c r="AA16">
        <f t="shared" ref="AA16:AA27" si="36">COUNTIF(Z2:AC2, "1")+COUNTIF(Z2:AC2, "2")+COUNTIF(Z2:AC2, "4")</f>
        <v>0</v>
      </c>
      <c r="AE16">
        <f t="shared" ref="AE16:AE27" si="37">COUNTIF(AE2:AI2, "3")*COUNTIF(C4, "r") + COUNTIF(AE2:AI2, "5")*COUNTIF(C4, "b")</f>
        <v>0</v>
      </c>
      <c r="AF16">
        <f t="shared" ref="AF16:AF27" si="38">COUNTIF(AE2:AI2, "1")+COUNTIF(AE2:AI2, "2")+COUNTIF(AE2:AI2, "4")</f>
        <v>0</v>
      </c>
      <c r="AG16">
        <f t="shared" ref="AG16:AG27" si="39">COUNTIF(AE2:AI2, "3")*COUNTIF(AE2:AI2, "b")+COUNTIF(AE2:AI2, "5")*COUNTIF(AE2:AI2, "r")</f>
        <v>0</v>
      </c>
      <c r="AK16">
        <f t="shared" ref="AK16:AK27" si="40">SUMPRODUCT(LEN($AK2:$BH2) - LEN(SUBSTITUTE($AK2:$BH2, "g", "")))</f>
        <v>0</v>
      </c>
      <c r="AL16">
        <f t="shared" ref="AL16:AL27" si="41">SUMPRODUCT(LEN($AK2:$BH2) - LEN(SUBSTITUTE($AK2:$BH2, "h", "")))</f>
        <v>0</v>
      </c>
      <c r="AM16">
        <f t="shared" ref="AM16:AM27" si="42">SUMPRODUCT(LEN($AK2:$BH2) - LEN(SUBSTITUTE($AK2:$BH2, "v", "")))</f>
        <v>0</v>
      </c>
      <c r="AN16">
        <f t="shared" ref="AN16:AN27" si="43">SUMPRODUCT(LEN($AK2:$BH2) - LEN(SUBSTITUTE($AK2:$BH2, "r", "")))</f>
        <v>0</v>
      </c>
      <c r="AP16">
        <f>MAX(AQ16:BN16)</f>
        <v>0</v>
      </c>
      <c r="AQ16" s="4">
        <f>_xlfn.NUMBERVALUE(RIGHT(AK2,1))</f>
        <v>0</v>
      </c>
      <c r="AR16" s="4">
        <f t="shared" ref="AR16:BG27" si="44">_xlfn.NUMBERVALUE(RIGHT(AL2,1))</f>
        <v>0</v>
      </c>
      <c r="AS16" s="4">
        <f t="shared" si="44"/>
        <v>0</v>
      </c>
      <c r="AT16" s="4">
        <f t="shared" si="44"/>
        <v>0</v>
      </c>
      <c r="AU16" s="4">
        <f t="shared" si="44"/>
        <v>0</v>
      </c>
      <c r="AV16" s="4">
        <f t="shared" si="44"/>
        <v>0</v>
      </c>
      <c r="AW16" s="4">
        <f t="shared" si="44"/>
        <v>0</v>
      </c>
      <c r="AX16" s="4">
        <f t="shared" si="44"/>
        <v>0</v>
      </c>
      <c r="AY16" s="4">
        <f t="shared" si="44"/>
        <v>0</v>
      </c>
      <c r="AZ16" s="4">
        <f t="shared" si="44"/>
        <v>0</v>
      </c>
      <c r="BA16" s="4">
        <f t="shared" si="44"/>
        <v>0</v>
      </c>
      <c r="BB16" s="4">
        <f t="shared" si="44"/>
        <v>0</v>
      </c>
      <c r="BC16" s="4">
        <f t="shared" si="44"/>
        <v>0</v>
      </c>
      <c r="BD16" s="4">
        <f t="shared" si="44"/>
        <v>0</v>
      </c>
      <c r="BE16" s="4">
        <f t="shared" si="44"/>
        <v>0</v>
      </c>
      <c r="BF16" s="4">
        <f t="shared" si="44"/>
        <v>0</v>
      </c>
      <c r="BG16" s="4">
        <f t="shared" si="44"/>
        <v>0</v>
      </c>
      <c r="BH16" s="4">
        <f t="shared" ref="BH16:BN27" si="45">_xlfn.NUMBERVALUE(RIGHT(BB2,1))</f>
        <v>0</v>
      </c>
      <c r="BI16" s="4">
        <f t="shared" si="45"/>
        <v>0</v>
      </c>
      <c r="BJ16" s="4">
        <f t="shared" si="45"/>
        <v>0</v>
      </c>
      <c r="BK16" s="4">
        <f t="shared" si="45"/>
        <v>0</v>
      </c>
      <c r="BL16" s="4">
        <f t="shared" si="45"/>
        <v>0</v>
      </c>
      <c r="BM16" s="4">
        <f t="shared" si="45"/>
        <v>0</v>
      </c>
      <c r="BN16" s="4">
        <f t="shared" si="45"/>
        <v>0</v>
      </c>
    </row>
    <row r="17" spans="1:66" x14ac:dyDescent="0.2">
      <c r="A17" s="1" t="s">
        <v>20</v>
      </c>
      <c r="D17" s="1" t="s">
        <v>49</v>
      </c>
      <c r="G17" s="1" t="s">
        <v>52</v>
      </c>
      <c r="K17" s="3" t="s">
        <v>74</v>
      </c>
      <c r="P17" s="1" t="s">
        <v>66</v>
      </c>
      <c r="Z17">
        <f t="shared" si="35"/>
        <v>0</v>
      </c>
      <c r="AA17">
        <f t="shared" si="36"/>
        <v>0</v>
      </c>
      <c r="AE17">
        <f t="shared" si="37"/>
        <v>0</v>
      </c>
      <c r="AF17">
        <f t="shared" si="38"/>
        <v>0</v>
      </c>
      <c r="AG17">
        <f t="shared" si="39"/>
        <v>0</v>
      </c>
      <c r="AK17">
        <f t="shared" si="40"/>
        <v>0</v>
      </c>
      <c r="AL17">
        <f t="shared" si="41"/>
        <v>0</v>
      </c>
      <c r="AM17">
        <f t="shared" si="42"/>
        <v>0</v>
      </c>
      <c r="AN17">
        <f t="shared" si="43"/>
        <v>0</v>
      </c>
      <c r="AP17">
        <f t="shared" ref="AP17:AP27" si="46">MAX(AQ17:BN17)</f>
        <v>0</v>
      </c>
      <c r="AQ17" s="4">
        <f t="shared" ref="AQ17:AQ27" si="47">_xlfn.NUMBERVALUE(RIGHT(AK3,1))</f>
        <v>0</v>
      </c>
      <c r="AR17" s="4">
        <f t="shared" si="44"/>
        <v>0</v>
      </c>
      <c r="AS17" s="4">
        <f t="shared" si="44"/>
        <v>0</v>
      </c>
      <c r="AT17" s="4">
        <f t="shared" si="44"/>
        <v>0</v>
      </c>
      <c r="AU17" s="4">
        <f t="shared" si="44"/>
        <v>0</v>
      </c>
      <c r="AV17" s="4">
        <f t="shared" si="44"/>
        <v>0</v>
      </c>
      <c r="AW17" s="4">
        <f t="shared" si="44"/>
        <v>0</v>
      </c>
      <c r="AX17" s="4">
        <f t="shared" si="44"/>
        <v>0</v>
      </c>
      <c r="AY17" s="4">
        <f t="shared" si="44"/>
        <v>0</v>
      </c>
      <c r="AZ17" s="4">
        <f t="shared" si="44"/>
        <v>0</v>
      </c>
      <c r="BA17" s="4">
        <f t="shared" si="44"/>
        <v>0</v>
      </c>
      <c r="BB17" s="4">
        <f t="shared" si="44"/>
        <v>0</v>
      </c>
      <c r="BC17" s="4">
        <f t="shared" si="44"/>
        <v>0</v>
      </c>
      <c r="BD17" s="4">
        <f t="shared" si="44"/>
        <v>0</v>
      </c>
      <c r="BE17" s="4">
        <f t="shared" si="44"/>
        <v>0</v>
      </c>
      <c r="BF17" s="4">
        <f t="shared" si="44"/>
        <v>0</v>
      </c>
      <c r="BG17" s="4">
        <f t="shared" si="44"/>
        <v>0</v>
      </c>
      <c r="BH17" s="4">
        <f t="shared" si="45"/>
        <v>0</v>
      </c>
      <c r="BI17" s="4">
        <f t="shared" si="45"/>
        <v>0</v>
      </c>
      <c r="BJ17" s="4">
        <f t="shared" si="45"/>
        <v>0</v>
      </c>
      <c r="BK17" s="4">
        <f t="shared" si="45"/>
        <v>0</v>
      </c>
      <c r="BL17" s="4">
        <f t="shared" si="45"/>
        <v>0</v>
      </c>
      <c r="BM17" s="4">
        <f t="shared" si="45"/>
        <v>0</v>
      </c>
      <c r="BN17" s="4">
        <f t="shared" si="45"/>
        <v>0</v>
      </c>
    </row>
    <row r="18" spans="1:66" x14ac:dyDescent="0.2">
      <c r="A18" t="s">
        <v>32</v>
      </c>
      <c r="B18" t="s">
        <v>21</v>
      </c>
      <c r="D18" t="s">
        <v>180</v>
      </c>
      <c r="G18" s="3" t="s">
        <v>53</v>
      </c>
      <c r="K18" t="s">
        <v>55</v>
      </c>
      <c r="M18" t="s">
        <v>65</v>
      </c>
      <c r="P18" t="s">
        <v>67</v>
      </c>
      <c r="Z18">
        <f t="shared" si="35"/>
        <v>0</v>
      </c>
      <c r="AA18">
        <f t="shared" si="36"/>
        <v>0</v>
      </c>
      <c r="AE18">
        <f t="shared" si="37"/>
        <v>0</v>
      </c>
      <c r="AF18">
        <f t="shared" si="38"/>
        <v>0</v>
      </c>
      <c r="AG18">
        <f t="shared" si="39"/>
        <v>0</v>
      </c>
      <c r="AK18">
        <f t="shared" si="40"/>
        <v>0</v>
      </c>
      <c r="AL18">
        <f t="shared" si="41"/>
        <v>0</v>
      </c>
      <c r="AM18">
        <f t="shared" si="42"/>
        <v>0</v>
      </c>
      <c r="AN18">
        <f t="shared" si="43"/>
        <v>0</v>
      </c>
      <c r="AP18">
        <f t="shared" si="46"/>
        <v>0</v>
      </c>
      <c r="AQ18" s="4">
        <f t="shared" si="47"/>
        <v>0</v>
      </c>
      <c r="AR18" s="4">
        <f t="shared" si="44"/>
        <v>0</v>
      </c>
      <c r="AS18" s="4">
        <f t="shared" si="44"/>
        <v>0</v>
      </c>
      <c r="AT18" s="4">
        <f t="shared" si="44"/>
        <v>0</v>
      </c>
      <c r="AU18" s="4">
        <f t="shared" si="44"/>
        <v>0</v>
      </c>
      <c r="AV18" s="4">
        <f t="shared" si="44"/>
        <v>0</v>
      </c>
      <c r="AW18" s="4">
        <f t="shared" si="44"/>
        <v>0</v>
      </c>
      <c r="AX18" s="4">
        <f t="shared" si="44"/>
        <v>0</v>
      </c>
      <c r="AY18" s="4">
        <f t="shared" si="44"/>
        <v>0</v>
      </c>
      <c r="AZ18" s="4">
        <f t="shared" si="44"/>
        <v>0</v>
      </c>
      <c r="BA18" s="4">
        <f t="shared" si="44"/>
        <v>0</v>
      </c>
      <c r="BB18" s="4">
        <f t="shared" si="44"/>
        <v>0</v>
      </c>
      <c r="BC18" s="4">
        <f t="shared" si="44"/>
        <v>0</v>
      </c>
      <c r="BD18" s="4">
        <f t="shared" si="44"/>
        <v>0</v>
      </c>
      <c r="BE18" s="4">
        <f t="shared" si="44"/>
        <v>0</v>
      </c>
      <c r="BF18" s="4">
        <f t="shared" si="44"/>
        <v>0</v>
      </c>
      <c r="BG18" s="4">
        <f t="shared" si="44"/>
        <v>0</v>
      </c>
      <c r="BH18" s="4">
        <f t="shared" si="45"/>
        <v>0</v>
      </c>
      <c r="BI18" s="4">
        <f t="shared" si="45"/>
        <v>0</v>
      </c>
      <c r="BJ18" s="4">
        <f t="shared" si="45"/>
        <v>0</v>
      </c>
      <c r="BK18" s="4">
        <f t="shared" si="45"/>
        <v>0</v>
      </c>
      <c r="BL18" s="4">
        <f t="shared" si="45"/>
        <v>0</v>
      </c>
      <c r="BM18" s="4">
        <f t="shared" si="45"/>
        <v>0</v>
      </c>
      <c r="BN18" s="4">
        <f t="shared" si="45"/>
        <v>0</v>
      </c>
    </row>
    <row r="19" spans="1:66" x14ac:dyDescent="0.2">
      <c r="A19" t="s">
        <v>40</v>
      </c>
      <c r="B19" t="s">
        <v>22</v>
      </c>
      <c r="D19">
        <f>E16/D16</f>
        <v>0.2857142857142857</v>
      </c>
      <c r="G19" t="s">
        <v>75</v>
      </c>
      <c r="K19">
        <f>O16/N16</f>
        <v>0.89743589743589747</v>
      </c>
      <c r="M19">
        <f>SUM(M39:M50)</f>
        <v>0</v>
      </c>
      <c r="P19">
        <f>T16/S16</f>
        <v>0.90909090909090906</v>
      </c>
      <c r="Z19">
        <f t="shared" si="35"/>
        <v>0</v>
      </c>
      <c r="AA19">
        <f t="shared" si="36"/>
        <v>0</v>
      </c>
      <c r="AE19">
        <f t="shared" si="37"/>
        <v>0</v>
      </c>
      <c r="AF19">
        <f t="shared" si="38"/>
        <v>0</v>
      </c>
      <c r="AG19">
        <f t="shared" si="39"/>
        <v>0</v>
      </c>
      <c r="AK19">
        <f t="shared" si="40"/>
        <v>0</v>
      </c>
      <c r="AL19">
        <f t="shared" si="41"/>
        <v>0</v>
      </c>
      <c r="AM19">
        <f t="shared" si="42"/>
        <v>0</v>
      </c>
      <c r="AN19">
        <f t="shared" si="43"/>
        <v>0</v>
      </c>
      <c r="AP19">
        <f t="shared" si="46"/>
        <v>0</v>
      </c>
      <c r="AQ19" s="4">
        <f t="shared" si="47"/>
        <v>0</v>
      </c>
      <c r="AR19" s="4">
        <f t="shared" si="44"/>
        <v>0</v>
      </c>
      <c r="AS19" s="4">
        <f t="shared" si="44"/>
        <v>0</v>
      </c>
      <c r="AT19" s="4">
        <f t="shared" si="44"/>
        <v>0</v>
      </c>
      <c r="AU19" s="4">
        <f t="shared" si="44"/>
        <v>0</v>
      </c>
      <c r="AV19" s="4">
        <f t="shared" si="44"/>
        <v>0</v>
      </c>
      <c r="AW19" s="4">
        <f t="shared" si="44"/>
        <v>0</v>
      </c>
      <c r="AX19" s="4">
        <f t="shared" si="44"/>
        <v>0</v>
      </c>
      <c r="AY19" s="4">
        <f t="shared" si="44"/>
        <v>0</v>
      </c>
      <c r="AZ19" s="4">
        <f t="shared" si="44"/>
        <v>0</v>
      </c>
      <c r="BA19" s="4">
        <f t="shared" si="44"/>
        <v>0</v>
      </c>
      <c r="BB19" s="4">
        <f t="shared" si="44"/>
        <v>0</v>
      </c>
      <c r="BC19" s="4">
        <f t="shared" si="44"/>
        <v>0</v>
      </c>
      <c r="BD19" s="4">
        <f t="shared" si="44"/>
        <v>0</v>
      </c>
      <c r="BE19" s="4">
        <f t="shared" si="44"/>
        <v>0</v>
      </c>
      <c r="BF19" s="4">
        <f t="shared" si="44"/>
        <v>0</v>
      </c>
      <c r="BG19" s="4">
        <f t="shared" si="44"/>
        <v>0</v>
      </c>
      <c r="BH19" s="4">
        <f t="shared" si="45"/>
        <v>0</v>
      </c>
      <c r="BI19" s="4">
        <f t="shared" si="45"/>
        <v>0</v>
      </c>
      <c r="BJ19" s="4">
        <f t="shared" si="45"/>
        <v>0</v>
      </c>
      <c r="BK19" s="4">
        <f t="shared" si="45"/>
        <v>0</v>
      </c>
      <c r="BL19" s="4">
        <f t="shared" si="45"/>
        <v>0</v>
      </c>
      <c r="BM19" s="4">
        <f t="shared" si="45"/>
        <v>0</v>
      </c>
      <c r="BN19" s="4">
        <f t="shared" si="45"/>
        <v>0</v>
      </c>
    </row>
    <row r="20" spans="1:66" x14ac:dyDescent="0.2">
      <c r="A20" t="s">
        <v>41</v>
      </c>
      <c r="B20" t="s">
        <v>23</v>
      </c>
      <c r="D20" t="s">
        <v>47</v>
      </c>
      <c r="G20" t="e">
        <f>AK28/AP28</f>
        <v>#DIV/0!</v>
      </c>
      <c r="K20" t="s">
        <v>13</v>
      </c>
      <c r="Z20">
        <f t="shared" si="35"/>
        <v>0</v>
      </c>
      <c r="AA20">
        <f t="shared" si="36"/>
        <v>0</v>
      </c>
      <c r="AE20">
        <f t="shared" si="37"/>
        <v>0</v>
      </c>
      <c r="AF20">
        <f t="shared" si="38"/>
        <v>0</v>
      </c>
      <c r="AG20">
        <f t="shared" si="39"/>
        <v>0</v>
      </c>
      <c r="AK20">
        <f t="shared" si="40"/>
        <v>0</v>
      </c>
      <c r="AL20">
        <f t="shared" si="41"/>
        <v>0</v>
      </c>
      <c r="AM20">
        <f t="shared" si="42"/>
        <v>0</v>
      </c>
      <c r="AN20">
        <f t="shared" si="43"/>
        <v>0</v>
      </c>
      <c r="AP20">
        <f t="shared" si="46"/>
        <v>0</v>
      </c>
      <c r="AQ20" s="4">
        <f t="shared" si="47"/>
        <v>0</v>
      </c>
      <c r="AR20" s="4">
        <f t="shared" si="44"/>
        <v>0</v>
      </c>
      <c r="AS20" s="4">
        <f t="shared" si="44"/>
        <v>0</v>
      </c>
      <c r="AT20" s="4">
        <f t="shared" si="44"/>
        <v>0</v>
      </c>
      <c r="AU20" s="4">
        <f t="shared" si="44"/>
        <v>0</v>
      </c>
      <c r="AV20" s="4">
        <f t="shared" si="44"/>
        <v>0</v>
      </c>
      <c r="AW20" s="4">
        <f t="shared" si="44"/>
        <v>0</v>
      </c>
      <c r="AX20" s="4">
        <f t="shared" si="44"/>
        <v>0</v>
      </c>
      <c r="AY20" s="4">
        <f t="shared" si="44"/>
        <v>0</v>
      </c>
      <c r="AZ20" s="4">
        <f t="shared" si="44"/>
        <v>0</v>
      </c>
      <c r="BA20" s="4">
        <f t="shared" si="44"/>
        <v>0</v>
      </c>
      <c r="BB20" s="4">
        <f t="shared" si="44"/>
        <v>0</v>
      </c>
      <c r="BC20" s="4">
        <f t="shared" si="44"/>
        <v>0</v>
      </c>
      <c r="BD20" s="4">
        <f t="shared" si="44"/>
        <v>0</v>
      </c>
      <c r="BE20" s="4">
        <f t="shared" si="44"/>
        <v>0</v>
      </c>
      <c r="BF20" s="4">
        <f t="shared" si="44"/>
        <v>0</v>
      </c>
      <c r="BG20" s="4">
        <f t="shared" si="44"/>
        <v>0</v>
      </c>
      <c r="BH20" s="4">
        <f t="shared" si="45"/>
        <v>0</v>
      </c>
      <c r="BI20" s="4">
        <f t="shared" si="45"/>
        <v>0</v>
      </c>
      <c r="BJ20" s="4">
        <f t="shared" si="45"/>
        <v>0</v>
      </c>
      <c r="BK20" s="4">
        <f t="shared" si="45"/>
        <v>0</v>
      </c>
      <c r="BL20" s="4">
        <f t="shared" si="45"/>
        <v>0</v>
      </c>
      <c r="BM20" s="4">
        <f t="shared" si="45"/>
        <v>0</v>
      </c>
      <c r="BN20" s="4">
        <f t="shared" si="45"/>
        <v>0</v>
      </c>
    </row>
    <row r="21" spans="1:66" x14ac:dyDescent="0.2">
      <c r="A21" s="1" t="s">
        <v>24</v>
      </c>
      <c r="D21">
        <f>G16/A31</f>
        <v>0</v>
      </c>
      <c r="G21" t="s">
        <v>76</v>
      </c>
      <c r="K21" t="s">
        <v>57</v>
      </c>
      <c r="L21" t="s">
        <v>58</v>
      </c>
      <c r="M21" t="s">
        <v>59</v>
      </c>
      <c r="N21" t="s">
        <v>60</v>
      </c>
      <c r="Z21">
        <f t="shared" si="35"/>
        <v>0</v>
      </c>
      <c r="AA21">
        <f t="shared" si="36"/>
        <v>0</v>
      </c>
      <c r="AE21">
        <f t="shared" si="37"/>
        <v>0</v>
      </c>
      <c r="AF21">
        <f t="shared" si="38"/>
        <v>0</v>
      </c>
      <c r="AG21">
        <f t="shared" si="39"/>
        <v>0</v>
      </c>
      <c r="AK21">
        <f t="shared" si="40"/>
        <v>0</v>
      </c>
      <c r="AL21">
        <f t="shared" si="41"/>
        <v>0</v>
      </c>
      <c r="AM21">
        <f t="shared" si="42"/>
        <v>0</v>
      </c>
      <c r="AN21">
        <f t="shared" si="43"/>
        <v>0</v>
      </c>
      <c r="AP21">
        <f t="shared" si="46"/>
        <v>0</v>
      </c>
      <c r="AQ21" s="4">
        <f t="shared" si="47"/>
        <v>0</v>
      </c>
      <c r="AR21" s="4">
        <f t="shared" si="44"/>
        <v>0</v>
      </c>
      <c r="AS21" s="4">
        <f t="shared" si="44"/>
        <v>0</v>
      </c>
      <c r="AT21" s="4">
        <f t="shared" si="44"/>
        <v>0</v>
      </c>
      <c r="AU21" s="4">
        <f t="shared" si="44"/>
        <v>0</v>
      </c>
      <c r="AV21" s="4">
        <f t="shared" si="44"/>
        <v>0</v>
      </c>
      <c r="AW21" s="4">
        <f t="shared" si="44"/>
        <v>0</v>
      </c>
      <c r="AX21" s="4">
        <f t="shared" si="44"/>
        <v>0</v>
      </c>
      <c r="AY21" s="4">
        <f t="shared" si="44"/>
        <v>0</v>
      </c>
      <c r="AZ21" s="4">
        <f t="shared" si="44"/>
        <v>0</v>
      </c>
      <c r="BA21" s="4">
        <f t="shared" si="44"/>
        <v>0</v>
      </c>
      <c r="BB21" s="4">
        <f t="shared" si="44"/>
        <v>0</v>
      </c>
      <c r="BC21" s="4">
        <f t="shared" si="44"/>
        <v>0</v>
      </c>
      <c r="BD21" s="4">
        <f t="shared" si="44"/>
        <v>0</v>
      </c>
      <c r="BE21" s="4">
        <f t="shared" si="44"/>
        <v>0</v>
      </c>
      <c r="BF21" s="4">
        <f t="shared" si="44"/>
        <v>0</v>
      </c>
      <c r="BG21" s="4">
        <f t="shared" si="44"/>
        <v>0</v>
      </c>
      <c r="BH21" s="4">
        <f t="shared" si="45"/>
        <v>0</v>
      </c>
      <c r="BI21" s="4">
        <f t="shared" si="45"/>
        <v>0</v>
      </c>
      <c r="BJ21" s="4">
        <f t="shared" si="45"/>
        <v>0</v>
      </c>
      <c r="BK21" s="4">
        <f t="shared" si="45"/>
        <v>0</v>
      </c>
      <c r="BL21" s="4">
        <f t="shared" si="45"/>
        <v>0</v>
      </c>
      <c r="BM21" s="4">
        <f t="shared" si="45"/>
        <v>0</v>
      </c>
      <c r="BN21" s="4">
        <f t="shared" si="45"/>
        <v>0</v>
      </c>
    </row>
    <row r="22" spans="1:66" x14ac:dyDescent="0.2">
      <c r="A22" t="s">
        <v>36</v>
      </c>
      <c r="B22" t="s">
        <v>10</v>
      </c>
      <c r="D22" t="s">
        <v>48</v>
      </c>
      <c r="G22" t="e">
        <f>AL28/AP28</f>
        <v>#DIV/0!</v>
      </c>
      <c r="K22">
        <f>AVERAGE(C39:C50)</f>
        <v>3.1818181818181817</v>
      </c>
      <c r="L22">
        <f>MEDIAN(C39:C50)</f>
        <v>3</v>
      </c>
      <c r="M22">
        <f>MAX(C39:C50)</f>
        <v>4</v>
      </c>
      <c r="N22">
        <f>_xlfn.STDEV.S(C39:C50)</f>
        <v>0.75075719352954862</v>
      </c>
      <c r="Z22">
        <f t="shared" si="35"/>
        <v>0</v>
      </c>
      <c r="AA22">
        <f t="shared" si="36"/>
        <v>0</v>
      </c>
      <c r="AE22">
        <f t="shared" si="37"/>
        <v>0</v>
      </c>
      <c r="AF22">
        <f t="shared" si="38"/>
        <v>0</v>
      </c>
      <c r="AG22">
        <f t="shared" si="39"/>
        <v>0</v>
      </c>
      <c r="AK22">
        <f t="shared" si="40"/>
        <v>0</v>
      </c>
      <c r="AL22">
        <f t="shared" si="41"/>
        <v>0</v>
      </c>
      <c r="AM22">
        <f t="shared" si="42"/>
        <v>0</v>
      </c>
      <c r="AN22">
        <f t="shared" si="43"/>
        <v>0</v>
      </c>
      <c r="AP22">
        <f t="shared" si="46"/>
        <v>0</v>
      </c>
      <c r="AQ22" s="4">
        <f t="shared" si="47"/>
        <v>0</v>
      </c>
      <c r="AR22" s="4">
        <f t="shared" si="44"/>
        <v>0</v>
      </c>
      <c r="AS22" s="4">
        <f t="shared" si="44"/>
        <v>0</v>
      </c>
      <c r="AT22" s="4">
        <f t="shared" si="44"/>
        <v>0</v>
      </c>
      <c r="AU22" s="4">
        <f t="shared" si="44"/>
        <v>0</v>
      </c>
      <c r="AV22" s="4">
        <f t="shared" si="44"/>
        <v>0</v>
      </c>
      <c r="AW22" s="4">
        <f t="shared" si="44"/>
        <v>0</v>
      </c>
      <c r="AX22" s="4">
        <f t="shared" si="44"/>
        <v>0</v>
      </c>
      <c r="AY22" s="4">
        <f t="shared" si="44"/>
        <v>0</v>
      </c>
      <c r="AZ22" s="4">
        <f t="shared" si="44"/>
        <v>0</v>
      </c>
      <c r="BA22" s="4">
        <f t="shared" si="44"/>
        <v>0</v>
      </c>
      <c r="BB22" s="4">
        <f t="shared" si="44"/>
        <v>0</v>
      </c>
      <c r="BC22" s="4">
        <f t="shared" si="44"/>
        <v>0</v>
      </c>
      <c r="BD22" s="4">
        <f t="shared" si="44"/>
        <v>0</v>
      </c>
      <c r="BE22" s="4">
        <f t="shared" si="44"/>
        <v>0</v>
      </c>
      <c r="BF22" s="4">
        <f t="shared" si="44"/>
        <v>0</v>
      </c>
      <c r="BG22" s="4">
        <f t="shared" si="44"/>
        <v>0</v>
      </c>
      <c r="BH22" s="4">
        <f t="shared" si="45"/>
        <v>0</v>
      </c>
      <c r="BI22" s="4">
        <f t="shared" si="45"/>
        <v>0</v>
      </c>
      <c r="BJ22" s="4">
        <f t="shared" si="45"/>
        <v>0</v>
      </c>
      <c r="BK22" s="4">
        <f t="shared" si="45"/>
        <v>0</v>
      </c>
      <c r="BL22" s="4">
        <f t="shared" si="45"/>
        <v>0</v>
      </c>
      <c r="BM22" s="4">
        <f t="shared" si="45"/>
        <v>0</v>
      </c>
      <c r="BN22" s="4">
        <f t="shared" si="45"/>
        <v>0</v>
      </c>
    </row>
    <row r="23" spans="1:66" x14ac:dyDescent="0.2">
      <c r="A23" t="s">
        <v>37</v>
      </c>
      <c r="B23" t="s">
        <v>25</v>
      </c>
      <c r="D23">
        <f>H16/A31</f>
        <v>0</v>
      </c>
      <c r="G23" t="s">
        <v>77</v>
      </c>
      <c r="K23" t="s">
        <v>8</v>
      </c>
      <c r="Z23">
        <f t="shared" si="35"/>
        <v>0</v>
      </c>
      <c r="AA23">
        <f t="shared" si="36"/>
        <v>0</v>
      </c>
      <c r="AE23">
        <f t="shared" si="37"/>
        <v>0</v>
      </c>
      <c r="AF23">
        <f t="shared" si="38"/>
        <v>0</v>
      </c>
      <c r="AG23">
        <f t="shared" si="39"/>
        <v>0</v>
      </c>
      <c r="AK23">
        <f t="shared" si="40"/>
        <v>0</v>
      </c>
      <c r="AL23">
        <f t="shared" si="41"/>
        <v>0</v>
      </c>
      <c r="AM23">
        <f t="shared" si="42"/>
        <v>0</v>
      </c>
      <c r="AN23">
        <f t="shared" si="43"/>
        <v>0</v>
      </c>
      <c r="AP23">
        <f t="shared" si="46"/>
        <v>0</v>
      </c>
      <c r="AQ23" s="4">
        <f t="shared" si="47"/>
        <v>0</v>
      </c>
      <c r="AR23" s="4">
        <f t="shared" si="44"/>
        <v>0</v>
      </c>
      <c r="AS23" s="4">
        <f t="shared" si="44"/>
        <v>0</v>
      </c>
      <c r="AT23" s="4">
        <f t="shared" si="44"/>
        <v>0</v>
      </c>
      <c r="AU23" s="4">
        <f t="shared" si="44"/>
        <v>0</v>
      </c>
      <c r="AV23" s="4">
        <f t="shared" si="44"/>
        <v>0</v>
      </c>
      <c r="AW23" s="4">
        <f t="shared" si="44"/>
        <v>0</v>
      </c>
      <c r="AX23" s="4">
        <f t="shared" si="44"/>
        <v>0</v>
      </c>
      <c r="AY23" s="4">
        <f t="shared" si="44"/>
        <v>0</v>
      </c>
      <c r="AZ23" s="4">
        <f t="shared" si="44"/>
        <v>0</v>
      </c>
      <c r="BA23" s="4">
        <f t="shared" si="44"/>
        <v>0</v>
      </c>
      <c r="BB23" s="4">
        <f t="shared" si="44"/>
        <v>0</v>
      </c>
      <c r="BC23" s="4">
        <f t="shared" si="44"/>
        <v>0</v>
      </c>
      <c r="BD23" s="4">
        <f t="shared" si="44"/>
        <v>0</v>
      </c>
      <c r="BE23" s="4">
        <f t="shared" si="44"/>
        <v>0</v>
      </c>
      <c r="BF23" s="4">
        <f t="shared" si="44"/>
        <v>0</v>
      </c>
      <c r="BG23" s="4">
        <f t="shared" si="44"/>
        <v>0</v>
      </c>
      <c r="BH23" s="4">
        <f t="shared" si="45"/>
        <v>0</v>
      </c>
      <c r="BI23" s="4">
        <f t="shared" si="45"/>
        <v>0</v>
      </c>
      <c r="BJ23" s="4">
        <f t="shared" si="45"/>
        <v>0</v>
      </c>
      <c r="BK23" s="4">
        <f t="shared" si="45"/>
        <v>0</v>
      </c>
      <c r="BL23" s="4">
        <f t="shared" si="45"/>
        <v>0</v>
      </c>
      <c r="BM23" s="4">
        <f t="shared" si="45"/>
        <v>0</v>
      </c>
      <c r="BN23" s="4">
        <f t="shared" si="45"/>
        <v>0</v>
      </c>
    </row>
    <row r="24" spans="1:66" x14ac:dyDescent="0.2">
      <c r="A24" t="s">
        <v>38</v>
      </c>
      <c r="B24" t="s">
        <v>26</v>
      </c>
      <c r="D24" t="s">
        <v>50</v>
      </c>
      <c r="G24" t="e">
        <f>AM28/AP28</f>
        <v>#DIV/0!</v>
      </c>
      <c r="K24" t="s">
        <v>57</v>
      </c>
      <c r="L24" t="s">
        <v>61</v>
      </c>
      <c r="M24" t="s">
        <v>59</v>
      </c>
      <c r="N24" t="s">
        <v>60</v>
      </c>
      <c r="Z24">
        <f t="shared" si="35"/>
        <v>0</v>
      </c>
      <c r="AA24">
        <f t="shared" si="36"/>
        <v>0</v>
      </c>
      <c r="AE24">
        <f t="shared" si="37"/>
        <v>0</v>
      </c>
      <c r="AF24">
        <f t="shared" si="38"/>
        <v>0</v>
      </c>
      <c r="AG24">
        <f t="shared" si="39"/>
        <v>0</v>
      </c>
      <c r="AK24">
        <f t="shared" si="40"/>
        <v>0</v>
      </c>
      <c r="AL24">
        <f t="shared" si="41"/>
        <v>0</v>
      </c>
      <c r="AM24">
        <f t="shared" si="42"/>
        <v>0</v>
      </c>
      <c r="AN24">
        <f t="shared" si="43"/>
        <v>0</v>
      </c>
      <c r="AP24">
        <f t="shared" si="46"/>
        <v>0</v>
      </c>
      <c r="AQ24" s="4">
        <f t="shared" si="47"/>
        <v>0</v>
      </c>
      <c r="AR24" s="4">
        <f t="shared" si="44"/>
        <v>0</v>
      </c>
      <c r="AS24" s="4">
        <f t="shared" si="44"/>
        <v>0</v>
      </c>
      <c r="AT24" s="4">
        <f t="shared" si="44"/>
        <v>0</v>
      </c>
      <c r="AU24" s="4">
        <f t="shared" si="44"/>
        <v>0</v>
      </c>
      <c r="AV24" s="4">
        <f t="shared" si="44"/>
        <v>0</v>
      </c>
      <c r="AW24" s="4">
        <f t="shared" si="44"/>
        <v>0</v>
      </c>
      <c r="AX24" s="4">
        <f t="shared" si="44"/>
        <v>0</v>
      </c>
      <c r="AY24" s="4">
        <f t="shared" si="44"/>
        <v>0</v>
      </c>
      <c r="AZ24" s="4">
        <f t="shared" si="44"/>
        <v>0</v>
      </c>
      <c r="BA24" s="4">
        <f t="shared" si="44"/>
        <v>0</v>
      </c>
      <c r="BB24" s="4">
        <f t="shared" si="44"/>
        <v>0</v>
      </c>
      <c r="BC24" s="4">
        <f t="shared" si="44"/>
        <v>0</v>
      </c>
      <c r="BD24" s="4">
        <f t="shared" si="44"/>
        <v>0</v>
      </c>
      <c r="BE24" s="4">
        <f t="shared" si="44"/>
        <v>0</v>
      </c>
      <c r="BF24" s="4">
        <f t="shared" si="44"/>
        <v>0</v>
      </c>
      <c r="BG24" s="4">
        <f t="shared" si="44"/>
        <v>0</v>
      </c>
      <c r="BH24" s="4">
        <f t="shared" si="45"/>
        <v>0</v>
      </c>
      <c r="BI24" s="4">
        <f t="shared" si="45"/>
        <v>0</v>
      </c>
      <c r="BJ24" s="4">
        <f t="shared" si="45"/>
        <v>0</v>
      </c>
      <c r="BK24" s="4">
        <f t="shared" si="45"/>
        <v>0</v>
      </c>
      <c r="BL24" s="4">
        <f t="shared" si="45"/>
        <v>0</v>
      </c>
      <c r="BM24" s="4">
        <f t="shared" si="45"/>
        <v>0</v>
      </c>
      <c r="BN24" s="4">
        <f t="shared" si="45"/>
        <v>0</v>
      </c>
    </row>
    <row r="25" spans="1:66" x14ac:dyDescent="0.2">
      <c r="A25" t="s">
        <v>39</v>
      </c>
      <c r="B25" t="s">
        <v>27</v>
      </c>
      <c r="D25">
        <f>Z28/A31</f>
        <v>0</v>
      </c>
      <c r="G25" t="s">
        <v>78</v>
      </c>
      <c r="K25">
        <f>AVERAGE(E39:E50)</f>
        <v>0</v>
      </c>
      <c r="L25">
        <f>MEDIAN(E39:E50)</f>
        <v>0</v>
      </c>
      <c r="M25">
        <f>MAX(E39:E50)</f>
        <v>0</v>
      </c>
      <c r="N25">
        <f>_xlfn.STDEV.S(E39:E50)</f>
        <v>0</v>
      </c>
      <c r="Z25">
        <f t="shared" si="35"/>
        <v>0</v>
      </c>
      <c r="AA25">
        <f t="shared" si="36"/>
        <v>0</v>
      </c>
      <c r="AE25">
        <f t="shared" si="37"/>
        <v>0</v>
      </c>
      <c r="AF25">
        <f t="shared" si="38"/>
        <v>0</v>
      </c>
      <c r="AG25">
        <f t="shared" si="39"/>
        <v>0</v>
      </c>
      <c r="AK25">
        <f t="shared" si="40"/>
        <v>0</v>
      </c>
      <c r="AL25">
        <f t="shared" si="41"/>
        <v>0</v>
      </c>
      <c r="AM25">
        <f t="shared" si="42"/>
        <v>0</v>
      </c>
      <c r="AN25">
        <f t="shared" si="43"/>
        <v>0</v>
      </c>
      <c r="AP25">
        <f t="shared" si="46"/>
        <v>0</v>
      </c>
      <c r="AQ25" s="4">
        <f t="shared" si="47"/>
        <v>0</v>
      </c>
      <c r="AR25" s="4">
        <f t="shared" si="44"/>
        <v>0</v>
      </c>
      <c r="AS25" s="4">
        <f t="shared" si="44"/>
        <v>0</v>
      </c>
      <c r="AT25" s="4">
        <f t="shared" si="44"/>
        <v>0</v>
      </c>
      <c r="AU25" s="4">
        <f t="shared" si="44"/>
        <v>0</v>
      </c>
      <c r="AV25" s="4">
        <f t="shared" si="44"/>
        <v>0</v>
      </c>
      <c r="AW25" s="4">
        <f t="shared" si="44"/>
        <v>0</v>
      </c>
      <c r="AX25" s="4">
        <f t="shared" si="44"/>
        <v>0</v>
      </c>
      <c r="AY25" s="4">
        <f t="shared" si="44"/>
        <v>0</v>
      </c>
      <c r="AZ25" s="4">
        <f t="shared" si="44"/>
        <v>0</v>
      </c>
      <c r="BA25" s="4">
        <f t="shared" si="44"/>
        <v>0</v>
      </c>
      <c r="BB25" s="4">
        <f t="shared" si="44"/>
        <v>0</v>
      </c>
      <c r="BC25" s="4">
        <f t="shared" si="44"/>
        <v>0</v>
      </c>
      <c r="BD25" s="4">
        <f t="shared" si="44"/>
        <v>0</v>
      </c>
      <c r="BE25" s="4">
        <f t="shared" si="44"/>
        <v>0</v>
      </c>
      <c r="BF25" s="4">
        <f t="shared" si="44"/>
        <v>0</v>
      </c>
      <c r="BG25" s="4">
        <f t="shared" si="44"/>
        <v>0</v>
      </c>
      <c r="BH25" s="4">
        <f t="shared" si="45"/>
        <v>0</v>
      </c>
      <c r="BI25" s="4">
        <f t="shared" si="45"/>
        <v>0</v>
      </c>
      <c r="BJ25" s="4">
        <f t="shared" si="45"/>
        <v>0</v>
      </c>
      <c r="BK25" s="4">
        <f t="shared" si="45"/>
        <v>0</v>
      </c>
      <c r="BL25" s="4">
        <f t="shared" si="45"/>
        <v>0</v>
      </c>
      <c r="BM25" s="4">
        <f t="shared" si="45"/>
        <v>0</v>
      </c>
      <c r="BN25" s="4">
        <f t="shared" si="45"/>
        <v>0</v>
      </c>
    </row>
    <row r="26" spans="1:66" x14ac:dyDescent="0.2">
      <c r="A26" t="s">
        <v>44</v>
      </c>
      <c r="D26" t="s">
        <v>51</v>
      </c>
      <c r="G26" t="e">
        <f>AN28/AP28</f>
        <v>#DIV/0!</v>
      </c>
      <c r="K26" t="s">
        <v>62</v>
      </c>
      <c r="P26" t="s">
        <v>19</v>
      </c>
      <c r="Z26">
        <f t="shared" si="35"/>
        <v>0</v>
      </c>
      <c r="AA26">
        <f t="shared" si="36"/>
        <v>0</v>
      </c>
      <c r="AE26">
        <f t="shared" si="37"/>
        <v>0</v>
      </c>
      <c r="AF26">
        <f t="shared" si="38"/>
        <v>0</v>
      </c>
      <c r="AG26">
        <f t="shared" si="39"/>
        <v>0</v>
      </c>
      <c r="AK26">
        <f t="shared" si="40"/>
        <v>0</v>
      </c>
      <c r="AL26">
        <f t="shared" si="41"/>
        <v>0</v>
      </c>
      <c r="AM26">
        <f t="shared" si="42"/>
        <v>0</v>
      </c>
      <c r="AN26">
        <f t="shared" si="43"/>
        <v>0</v>
      </c>
      <c r="AP26">
        <f t="shared" si="46"/>
        <v>0</v>
      </c>
      <c r="AQ26" s="4">
        <f t="shared" si="47"/>
        <v>0</v>
      </c>
      <c r="AR26" s="4">
        <f t="shared" si="44"/>
        <v>0</v>
      </c>
      <c r="AS26" s="4">
        <f t="shared" si="44"/>
        <v>0</v>
      </c>
      <c r="AT26" s="4">
        <f t="shared" si="44"/>
        <v>0</v>
      </c>
      <c r="AU26" s="4">
        <f t="shared" si="44"/>
        <v>0</v>
      </c>
      <c r="AV26" s="4">
        <f t="shared" si="44"/>
        <v>0</v>
      </c>
      <c r="AW26" s="4">
        <f t="shared" si="44"/>
        <v>0</v>
      </c>
      <c r="AX26" s="4">
        <f t="shared" si="44"/>
        <v>0</v>
      </c>
      <c r="AY26" s="4">
        <f t="shared" si="44"/>
        <v>0</v>
      </c>
      <c r="AZ26" s="4">
        <f t="shared" si="44"/>
        <v>0</v>
      </c>
      <c r="BA26" s="4">
        <f t="shared" si="44"/>
        <v>0</v>
      </c>
      <c r="BB26" s="4">
        <f t="shared" si="44"/>
        <v>0</v>
      </c>
      <c r="BC26" s="4">
        <f t="shared" si="44"/>
        <v>0</v>
      </c>
      <c r="BD26" s="4">
        <f t="shared" si="44"/>
        <v>0</v>
      </c>
      <c r="BE26" s="4">
        <f t="shared" si="44"/>
        <v>0</v>
      </c>
      <c r="BF26" s="4">
        <f t="shared" si="44"/>
        <v>0</v>
      </c>
      <c r="BG26" s="4">
        <f t="shared" si="44"/>
        <v>0</v>
      </c>
      <c r="BH26" s="4">
        <f t="shared" si="45"/>
        <v>0</v>
      </c>
      <c r="BI26" s="4">
        <f t="shared" si="45"/>
        <v>0</v>
      </c>
      <c r="BJ26" s="4">
        <f t="shared" si="45"/>
        <v>0</v>
      </c>
      <c r="BK26" s="4">
        <f t="shared" si="45"/>
        <v>0</v>
      </c>
      <c r="BL26" s="4">
        <f t="shared" si="45"/>
        <v>0</v>
      </c>
      <c r="BM26" s="4">
        <f t="shared" si="45"/>
        <v>0</v>
      </c>
      <c r="BN26" s="4">
        <f t="shared" si="45"/>
        <v>0</v>
      </c>
    </row>
    <row r="27" spans="1:66" x14ac:dyDescent="0.2">
      <c r="A27" t="s">
        <v>45</v>
      </c>
      <c r="D27">
        <f>AA28/A31</f>
        <v>0</v>
      </c>
      <c r="G27" t="s">
        <v>56</v>
      </c>
      <c r="K27" t="s">
        <v>57</v>
      </c>
      <c r="L27" t="s">
        <v>58</v>
      </c>
      <c r="M27" t="s">
        <v>59</v>
      </c>
      <c r="N27" t="s">
        <v>60</v>
      </c>
      <c r="P27" t="s">
        <v>57</v>
      </c>
      <c r="Q27" t="s">
        <v>58</v>
      </c>
      <c r="R27" t="s">
        <v>59</v>
      </c>
      <c r="S27" t="s">
        <v>60</v>
      </c>
      <c r="Z27">
        <f t="shared" si="35"/>
        <v>0</v>
      </c>
      <c r="AA27">
        <f t="shared" si="36"/>
        <v>0</v>
      </c>
      <c r="AE27">
        <f t="shared" si="37"/>
        <v>0</v>
      </c>
      <c r="AF27">
        <f t="shared" si="38"/>
        <v>0</v>
      </c>
      <c r="AG27">
        <f t="shared" si="39"/>
        <v>0</v>
      </c>
      <c r="AK27">
        <f t="shared" si="40"/>
        <v>0</v>
      </c>
      <c r="AL27">
        <f t="shared" si="41"/>
        <v>0</v>
      </c>
      <c r="AM27">
        <f t="shared" si="42"/>
        <v>0</v>
      </c>
      <c r="AN27">
        <f t="shared" si="43"/>
        <v>0</v>
      </c>
      <c r="AP27">
        <f t="shared" si="46"/>
        <v>0</v>
      </c>
      <c r="AQ27" s="4">
        <f t="shared" si="47"/>
        <v>0</v>
      </c>
      <c r="AR27" s="4">
        <f t="shared" si="44"/>
        <v>0</v>
      </c>
      <c r="AS27" s="4">
        <f t="shared" si="44"/>
        <v>0</v>
      </c>
      <c r="AT27" s="4">
        <f t="shared" si="44"/>
        <v>0</v>
      </c>
      <c r="AU27" s="4">
        <f t="shared" si="44"/>
        <v>0</v>
      </c>
      <c r="AV27" s="4">
        <f t="shared" si="44"/>
        <v>0</v>
      </c>
      <c r="AW27" s="4">
        <f t="shared" si="44"/>
        <v>0</v>
      </c>
      <c r="AX27" s="4">
        <f t="shared" si="44"/>
        <v>0</v>
      </c>
      <c r="AY27" s="4">
        <f t="shared" si="44"/>
        <v>0</v>
      </c>
      <c r="AZ27" s="4">
        <f t="shared" si="44"/>
        <v>0</v>
      </c>
      <c r="BA27" s="4">
        <f t="shared" si="44"/>
        <v>0</v>
      </c>
      <c r="BB27" s="4">
        <f t="shared" si="44"/>
        <v>0</v>
      </c>
      <c r="BC27" s="4">
        <f t="shared" si="44"/>
        <v>0</v>
      </c>
      <c r="BD27" s="4">
        <f t="shared" si="44"/>
        <v>0</v>
      </c>
      <c r="BE27" s="4">
        <f t="shared" si="44"/>
        <v>0</v>
      </c>
      <c r="BF27" s="4">
        <f t="shared" si="44"/>
        <v>0</v>
      </c>
      <c r="BG27" s="4">
        <f t="shared" si="44"/>
        <v>0</v>
      </c>
      <c r="BH27" s="4">
        <f t="shared" si="45"/>
        <v>0</v>
      </c>
      <c r="BI27" s="4">
        <f t="shared" si="45"/>
        <v>0</v>
      </c>
      <c r="BJ27" s="4">
        <f t="shared" si="45"/>
        <v>0</v>
      </c>
      <c r="BK27" s="4">
        <f t="shared" si="45"/>
        <v>0</v>
      </c>
      <c r="BL27" s="4">
        <f t="shared" si="45"/>
        <v>0</v>
      </c>
      <c r="BM27" s="4">
        <f t="shared" si="45"/>
        <v>0</v>
      </c>
      <c r="BN27" s="4">
        <f t="shared" si="45"/>
        <v>0</v>
      </c>
    </row>
    <row r="28" spans="1:66" x14ac:dyDescent="0.2">
      <c r="A28" t="s">
        <v>46</v>
      </c>
      <c r="D28" t="s">
        <v>202</v>
      </c>
      <c r="G28" t="s">
        <v>57</v>
      </c>
      <c r="H28" t="s">
        <v>58</v>
      </c>
      <c r="I28" t="s">
        <v>59</v>
      </c>
      <c r="J28" t="s">
        <v>60</v>
      </c>
      <c r="K28">
        <f>AVERAGE(G39:G50)</f>
        <v>0</v>
      </c>
      <c r="L28">
        <f>MEDIAN(G39:G50)</f>
        <v>0</v>
      </c>
      <c r="M28">
        <f>MAX(G39:G50)</f>
        <v>0</v>
      </c>
      <c r="N28">
        <f>_xlfn.STDEV.S(G39:G50)</f>
        <v>0</v>
      </c>
      <c r="P28">
        <f>AVERAGE(N39:N50)</f>
        <v>6.3636363636363633</v>
      </c>
      <c r="Q28">
        <f>MEDIAN(N39:N50)</f>
        <v>0</v>
      </c>
      <c r="R28">
        <f>MAX(N39:N50)</f>
        <v>47</v>
      </c>
      <c r="S28">
        <f>_xlfn.STDEV.S(N39:N50)</f>
        <v>14.080289253227203</v>
      </c>
      <c r="Y28" t="s">
        <v>33</v>
      </c>
      <c r="Z28">
        <f>SUM(Z16:Z27)</f>
        <v>0</v>
      </c>
      <c r="AA28">
        <f>SUM(AA16:AA27)</f>
        <v>0</v>
      </c>
      <c r="AE28">
        <f>SUM(AE16:AE27)</f>
        <v>0</v>
      </c>
      <c r="AF28">
        <f>SUM(AF16:AF27)</f>
        <v>0</v>
      </c>
      <c r="AG28">
        <f>SUM(AG16:AG27)</f>
        <v>0</v>
      </c>
      <c r="AK28">
        <f>SUM(AK16:AK27)</f>
        <v>0</v>
      </c>
      <c r="AL28">
        <f>SUM(AL16:AL27)</f>
        <v>0</v>
      </c>
      <c r="AM28">
        <f>SUM(AM16:AM27)</f>
        <v>0</v>
      </c>
      <c r="AN28">
        <f>SUM(AN16:AN27)</f>
        <v>0</v>
      </c>
      <c r="AP28">
        <f>SUM(AP16:AP27)</f>
        <v>0</v>
      </c>
    </row>
    <row r="29" spans="1:66" x14ac:dyDescent="0.2">
      <c r="D29">
        <f>SUM(O39:O50)/F16</f>
        <v>0</v>
      </c>
      <c r="G29">
        <f>AVERAGE(A39:A50)</f>
        <v>0</v>
      </c>
      <c r="H29">
        <f>MEDIAN(A39:A50)</f>
        <v>0</v>
      </c>
      <c r="I29">
        <f>MAX(A39:A50)</f>
        <v>0</v>
      </c>
      <c r="J29">
        <f>_xlfn.STDEV.S(A39:A50)</f>
        <v>0</v>
      </c>
      <c r="K29" t="s">
        <v>63</v>
      </c>
      <c r="P29" t="s">
        <v>148</v>
      </c>
    </row>
    <row r="30" spans="1:66" x14ac:dyDescent="0.2">
      <c r="A30" t="s">
        <v>147</v>
      </c>
      <c r="D30" t="s">
        <v>203</v>
      </c>
      <c r="G30" t="s">
        <v>50</v>
      </c>
      <c r="H30" t="s">
        <v>51</v>
      </c>
      <c r="I30" t="s">
        <v>89</v>
      </c>
      <c r="K30" t="s">
        <v>57</v>
      </c>
      <c r="L30" t="s">
        <v>58</v>
      </c>
      <c r="M30" t="s">
        <v>59</v>
      </c>
      <c r="N30" t="s">
        <v>60</v>
      </c>
      <c r="P30" t="s">
        <v>57</v>
      </c>
      <c r="Q30" t="s">
        <v>58</v>
      </c>
      <c r="R30" t="s">
        <v>59</v>
      </c>
      <c r="S30" t="s">
        <v>60</v>
      </c>
      <c r="W30" t="s">
        <v>148</v>
      </c>
      <c r="Y30" t="s">
        <v>149</v>
      </c>
      <c r="AH30" t="s">
        <v>79</v>
      </c>
    </row>
    <row r="31" spans="1:66" x14ac:dyDescent="0.2">
      <c r="A31">
        <f>COUNT(B4:B15)</f>
        <v>11</v>
      </c>
      <c r="D31" s="2">
        <f>SUM(S39:S50)/SUM(Q39:Q50)</f>
        <v>0.33333333333333331</v>
      </c>
      <c r="G31">
        <f>AE28/A31</f>
        <v>0</v>
      </c>
      <c r="H31">
        <f>AF28/A31</f>
        <v>0</v>
      </c>
      <c r="I31">
        <f>AG28/A31</f>
        <v>0</v>
      </c>
      <c r="K31" t="e">
        <f>AVERAGE(I39:I50)</f>
        <v>#DIV/0!</v>
      </c>
      <c r="L31" t="e">
        <f>MEDIAN(I39:I50)</f>
        <v>#NUM!</v>
      </c>
      <c r="M31">
        <f>MAX(I39:I50)</f>
        <v>0</v>
      </c>
      <c r="N31" t="e">
        <f>_xlfn.STDEV.S(I39:I50)</f>
        <v>#DIV/0!</v>
      </c>
      <c r="P31" t="e">
        <f>AVERAGE(W31:W42)</f>
        <v>#DIV/0!</v>
      </c>
      <c r="Q31" t="e">
        <f>MEDIAN(W31:W42)</f>
        <v>#NUM!</v>
      </c>
      <c r="R31">
        <f>MAX(W31:W42)</f>
        <v>0</v>
      </c>
      <c r="S31" t="e">
        <f>_xlfn.STDEV.S(W31:W42)</f>
        <v>#DIV/0!</v>
      </c>
      <c r="W31" t="str">
        <f t="shared" ref="W31:W33" si="48">IF(AND(ISBLANK(Q4), ISBLANK(R4), ISBLANK(G4), ISBLANK(H4)), "", U4)</f>
        <v/>
      </c>
      <c r="Y31" t="str">
        <f t="shared" ref="Y31:Y42" si="49">IF(ISBLANK(Y4), IF(X4 = 0, "", (G4 + H4/3 + V4/9 + W4/3)), U4)</f>
        <v/>
      </c>
      <c r="AH31" t="s">
        <v>80</v>
      </c>
    </row>
    <row r="32" spans="1:66" x14ac:dyDescent="0.2">
      <c r="D32" s="3"/>
      <c r="K32" t="s">
        <v>64</v>
      </c>
      <c r="P32" t="s">
        <v>149</v>
      </c>
      <c r="W32" t="str">
        <f t="shared" si="48"/>
        <v/>
      </c>
      <c r="Y32" t="str">
        <f t="shared" si="49"/>
        <v/>
      </c>
      <c r="AH32" t="s">
        <v>81</v>
      </c>
    </row>
    <row r="33" spans="1:34" x14ac:dyDescent="0.2">
      <c r="D33" s="3"/>
      <c r="K33" t="s">
        <v>57</v>
      </c>
      <c r="L33" t="s">
        <v>58</v>
      </c>
      <c r="M33" t="s">
        <v>59</v>
      </c>
      <c r="N33" t="s">
        <v>60</v>
      </c>
      <c r="P33" t="s">
        <v>57</v>
      </c>
      <c r="Q33" t="s">
        <v>58</v>
      </c>
      <c r="R33" t="s">
        <v>59</v>
      </c>
      <c r="S33" t="s">
        <v>60</v>
      </c>
      <c r="W33" t="str">
        <f t="shared" si="48"/>
        <v/>
      </c>
      <c r="Y33" t="str">
        <f t="shared" si="49"/>
        <v/>
      </c>
      <c r="AH33" t="s">
        <v>82</v>
      </c>
    </row>
    <row r="34" spans="1:34" x14ac:dyDescent="0.2">
      <c r="D34" s="3"/>
      <c r="K34">
        <f>AVERAGE(K39:K50)</f>
        <v>0</v>
      </c>
      <c r="L34">
        <f>MEDIAN(K39:K50)</f>
        <v>0</v>
      </c>
      <c r="M34">
        <f>MAX(K39:K50)</f>
        <v>0</v>
      </c>
      <c r="N34">
        <f>_xlfn.STDEV.S(K39:K50)</f>
        <v>0</v>
      </c>
      <c r="P34" t="e">
        <f>AVERAGE(Y31:Y42)</f>
        <v>#DIV/0!</v>
      </c>
      <c r="Q34" t="e">
        <f>MEDIAN(Y31:Y42)</f>
        <v>#NUM!</v>
      </c>
      <c r="R34">
        <f>MAX(Y31:Y42)</f>
        <v>0</v>
      </c>
      <c r="S34" t="e">
        <f>_xlfn.STDEV.S(Y31:Y42)</f>
        <v>#DIV/0!</v>
      </c>
      <c r="W34" t="str">
        <f>IF(AND(ISBLANK(Q7), ISBLANK(R7), ISBLANK(G7), ISBLANK(H7)), "", U7)</f>
        <v/>
      </c>
      <c r="Y34" t="str">
        <f t="shared" si="49"/>
        <v/>
      </c>
      <c r="AH34" t="s">
        <v>83</v>
      </c>
    </row>
    <row r="35" spans="1:34" x14ac:dyDescent="0.2">
      <c r="P35" t="s">
        <v>95</v>
      </c>
      <c r="R35" t="s">
        <v>197</v>
      </c>
      <c r="W35" t="str">
        <f t="shared" ref="W35:W42" si="50">IF(AND(ISBLANK(Q8), ISBLANK(R8), ISBLANK(G8), ISBLANK(H8)), "", U8)</f>
        <v/>
      </c>
      <c r="Y35" t="str">
        <f t="shared" si="49"/>
        <v/>
      </c>
    </row>
    <row r="36" spans="1:34" x14ac:dyDescent="0.2">
      <c r="P36" t="e">
        <f>Q16/(Q16+R16)</f>
        <v>#DIV/0!</v>
      </c>
      <c r="R36" t="e">
        <f>R16/(Q16+R16)</f>
        <v>#DIV/0!</v>
      </c>
      <c r="W36" t="str">
        <f t="shared" si="50"/>
        <v/>
      </c>
      <c r="Y36" t="str">
        <f t="shared" si="49"/>
        <v/>
      </c>
    </row>
    <row r="37" spans="1:34" x14ac:dyDescent="0.2">
      <c r="W37" t="str">
        <f t="shared" si="50"/>
        <v/>
      </c>
      <c r="Y37" t="str">
        <f t="shared" si="49"/>
        <v/>
      </c>
    </row>
    <row r="38" spans="1:34" x14ac:dyDescent="0.2">
      <c r="A38" t="s">
        <v>68</v>
      </c>
      <c r="C38" t="s">
        <v>69</v>
      </c>
      <c r="E38" t="s">
        <v>72</v>
      </c>
      <c r="G38" t="s">
        <v>250</v>
      </c>
      <c r="K38" t="s">
        <v>73</v>
      </c>
      <c r="M38" t="s">
        <v>70</v>
      </c>
      <c r="N38" t="s">
        <v>71</v>
      </c>
      <c r="O38" t="s">
        <v>199</v>
      </c>
      <c r="Q38" t="s">
        <v>200</v>
      </c>
      <c r="S38" t="s">
        <v>201</v>
      </c>
      <c r="W38" t="str">
        <f t="shared" si="50"/>
        <v/>
      </c>
      <c r="Y38" t="str">
        <f t="shared" si="49"/>
        <v/>
      </c>
    </row>
    <row r="39" spans="1:34" x14ac:dyDescent="0.2">
      <c r="A39">
        <f t="shared" ref="A39:A50" si="51">IF(ISBLANK(B4), "", SUM(AE16+AF16+AG16))</f>
        <v>0</v>
      </c>
      <c r="C39">
        <f t="shared" ref="C39:C50" si="52">IF(ISBLANK(B4), "", O4)</f>
        <v>2</v>
      </c>
      <c r="E39">
        <f t="shared" ref="E39:E50" si="53">IF(ISBLANK(B4), "", Q4)</f>
        <v>0</v>
      </c>
      <c r="G39">
        <f t="shared" ref="G39:G50" si="54">IF(ISBLANK(B4), "", R4)</f>
        <v>0</v>
      </c>
      <c r="K39">
        <f t="shared" ref="K39:K50" si="55">IF(ISBLANK(B4), "", SUM(Q4 + R4))</f>
        <v>0</v>
      </c>
      <c r="M39">
        <f t="shared" ref="M39:M50" si="56">IF(ISBLANK(B4), "", SUM(K4+M4) - O4)</f>
        <v>-1</v>
      </c>
      <c r="N39">
        <f t="shared" ref="N39:N50" si="57">IF(ISBLANK(B4), "", U4)</f>
        <v>0</v>
      </c>
      <c r="O39">
        <f t="shared" ref="O39:O50" si="58">COUNTIF(E4, "1")*COUNTIF(F4, "1")</f>
        <v>0</v>
      </c>
      <c r="Q39">
        <f t="shared" ref="Q39:Q50" si="59">COUNTIF(D4, "1")*COUNTIF(F4, "")</f>
        <v>0</v>
      </c>
      <c r="S39">
        <f t="shared" ref="S39:S50" si="60">COUNTIF(E4, "1")*COUNTIF(F4, "")</f>
        <v>0</v>
      </c>
      <c r="W39" t="str">
        <f t="shared" si="50"/>
        <v/>
      </c>
      <c r="Y39" t="str">
        <f t="shared" si="49"/>
        <v/>
      </c>
    </row>
    <row r="40" spans="1:34" x14ac:dyDescent="0.2">
      <c r="A40">
        <f t="shared" si="51"/>
        <v>0</v>
      </c>
      <c r="C40">
        <f t="shared" si="52"/>
        <v>3</v>
      </c>
      <c r="E40">
        <f t="shared" si="53"/>
        <v>0</v>
      </c>
      <c r="G40">
        <f t="shared" si="54"/>
        <v>0</v>
      </c>
      <c r="K40">
        <f t="shared" si="55"/>
        <v>0</v>
      </c>
      <c r="M40">
        <f t="shared" si="56"/>
        <v>1</v>
      </c>
      <c r="N40">
        <f t="shared" si="57"/>
        <v>47</v>
      </c>
      <c r="O40">
        <f t="shared" si="58"/>
        <v>0</v>
      </c>
      <c r="Q40">
        <f t="shared" si="59"/>
        <v>0</v>
      </c>
      <c r="S40">
        <f t="shared" si="60"/>
        <v>0</v>
      </c>
      <c r="W40" t="str">
        <f t="shared" si="50"/>
        <v/>
      </c>
      <c r="Y40" t="str">
        <f t="shared" si="49"/>
        <v/>
      </c>
    </row>
    <row r="41" spans="1:34" x14ac:dyDescent="0.2">
      <c r="A41">
        <f t="shared" si="51"/>
        <v>0</v>
      </c>
      <c r="C41">
        <f t="shared" si="52"/>
        <v>3</v>
      </c>
      <c r="E41">
        <f t="shared" si="53"/>
        <v>0</v>
      </c>
      <c r="G41">
        <f t="shared" si="54"/>
        <v>0</v>
      </c>
      <c r="K41">
        <f t="shared" si="55"/>
        <v>0</v>
      </c>
      <c r="M41">
        <f t="shared" si="56"/>
        <v>0</v>
      </c>
      <c r="N41">
        <f t="shared" si="57"/>
        <v>5</v>
      </c>
      <c r="O41">
        <f t="shared" si="58"/>
        <v>0</v>
      </c>
      <c r="Q41">
        <f t="shared" si="59"/>
        <v>1</v>
      </c>
      <c r="S41">
        <f t="shared" si="60"/>
        <v>1</v>
      </c>
      <c r="W41" t="str">
        <f t="shared" si="50"/>
        <v/>
      </c>
      <c r="Y41" t="str">
        <f t="shared" si="49"/>
        <v/>
      </c>
    </row>
    <row r="42" spans="1:34" x14ac:dyDescent="0.2">
      <c r="A42">
        <f t="shared" si="51"/>
        <v>0</v>
      </c>
      <c r="C42">
        <f t="shared" si="52"/>
        <v>3</v>
      </c>
      <c r="E42">
        <f t="shared" si="53"/>
        <v>0</v>
      </c>
      <c r="G42">
        <f t="shared" si="54"/>
        <v>0</v>
      </c>
      <c r="K42">
        <f t="shared" si="55"/>
        <v>0</v>
      </c>
      <c r="M42">
        <f t="shared" si="56"/>
        <v>0</v>
      </c>
      <c r="N42">
        <f t="shared" si="57"/>
        <v>0</v>
      </c>
      <c r="O42">
        <f t="shared" si="58"/>
        <v>0</v>
      </c>
      <c r="Q42">
        <f t="shared" si="59"/>
        <v>1</v>
      </c>
      <c r="S42">
        <f t="shared" si="60"/>
        <v>0</v>
      </c>
      <c r="W42" t="str">
        <f t="shared" si="50"/>
        <v/>
      </c>
      <c r="Y42" t="str">
        <f t="shared" si="49"/>
        <v/>
      </c>
    </row>
    <row r="43" spans="1:34" x14ac:dyDescent="0.2">
      <c r="A43">
        <f t="shared" si="51"/>
        <v>0</v>
      </c>
      <c r="C43">
        <f t="shared" si="52"/>
        <v>4</v>
      </c>
      <c r="E43">
        <f t="shared" si="53"/>
        <v>0</v>
      </c>
      <c r="G43">
        <f t="shared" si="54"/>
        <v>0</v>
      </c>
      <c r="K43">
        <f t="shared" si="55"/>
        <v>0</v>
      </c>
      <c r="M43">
        <f t="shared" si="56"/>
        <v>0</v>
      </c>
      <c r="N43">
        <f t="shared" si="57"/>
        <v>0</v>
      </c>
      <c r="O43">
        <f t="shared" si="58"/>
        <v>0</v>
      </c>
      <c r="Q43">
        <f t="shared" si="59"/>
        <v>0</v>
      </c>
      <c r="S43">
        <f t="shared" si="60"/>
        <v>0</v>
      </c>
    </row>
    <row r="44" spans="1:34" x14ac:dyDescent="0.2">
      <c r="A44">
        <f t="shared" si="51"/>
        <v>0</v>
      </c>
      <c r="C44">
        <f t="shared" si="52"/>
        <v>4</v>
      </c>
      <c r="E44">
        <f t="shared" si="53"/>
        <v>0</v>
      </c>
      <c r="G44">
        <f t="shared" si="54"/>
        <v>0</v>
      </c>
      <c r="K44">
        <f t="shared" si="55"/>
        <v>0</v>
      </c>
      <c r="M44">
        <f t="shared" si="56"/>
        <v>-1</v>
      </c>
      <c r="N44">
        <f t="shared" si="57"/>
        <v>0</v>
      </c>
      <c r="O44">
        <f t="shared" si="58"/>
        <v>0</v>
      </c>
      <c r="Q44">
        <f t="shared" si="59"/>
        <v>0</v>
      </c>
      <c r="S44">
        <f t="shared" si="60"/>
        <v>0</v>
      </c>
    </row>
    <row r="45" spans="1:34" x14ac:dyDescent="0.2">
      <c r="A45">
        <f t="shared" si="51"/>
        <v>0</v>
      </c>
      <c r="C45">
        <f t="shared" si="52"/>
        <v>4</v>
      </c>
      <c r="E45">
        <f t="shared" si="53"/>
        <v>0</v>
      </c>
      <c r="G45">
        <f t="shared" si="54"/>
        <v>0</v>
      </c>
      <c r="K45">
        <f t="shared" si="55"/>
        <v>0</v>
      </c>
      <c r="M45">
        <f t="shared" si="56"/>
        <v>-1</v>
      </c>
      <c r="N45">
        <f t="shared" si="57"/>
        <v>0</v>
      </c>
      <c r="O45">
        <f t="shared" si="58"/>
        <v>0</v>
      </c>
      <c r="Q45">
        <f t="shared" si="59"/>
        <v>1</v>
      </c>
      <c r="S45">
        <f t="shared" si="60"/>
        <v>0</v>
      </c>
    </row>
    <row r="46" spans="1:34" x14ac:dyDescent="0.2">
      <c r="A46">
        <f t="shared" si="51"/>
        <v>0</v>
      </c>
      <c r="C46">
        <f t="shared" si="52"/>
        <v>2</v>
      </c>
      <c r="E46">
        <f t="shared" si="53"/>
        <v>0</v>
      </c>
      <c r="G46">
        <f t="shared" si="54"/>
        <v>0</v>
      </c>
      <c r="K46">
        <f t="shared" si="55"/>
        <v>0</v>
      </c>
      <c r="M46">
        <f t="shared" si="56"/>
        <v>1</v>
      </c>
      <c r="N46">
        <f t="shared" si="57"/>
        <v>13</v>
      </c>
      <c r="O46">
        <f t="shared" si="58"/>
        <v>0</v>
      </c>
      <c r="Q46">
        <f t="shared" si="59"/>
        <v>1</v>
      </c>
      <c r="S46">
        <f t="shared" si="60"/>
        <v>0</v>
      </c>
    </row>
    <row r="47" spans="1:34" x14ac:dyDescent="0.2">
      <c r="A47">
        <f t="shared" si="51"/>
        <v>0</v>
      </c>
      <c r="C47">
        <f t="shared" si="52"/>
        <v>4</v>
      </c>
      <c r="E47">
        <f t="shared" si="53"/>
        <v>0</v>
      </c>
      <c r="G47">
        <f t="shared" si="54"/>
        <v>0</v>
      </c>
      <c r="K47">
        <f t="shared" si="55"/>
        <v>0</v>
      </c>
      <c r="M47">
        <f t="shared" si="56"/>
        <v>0</v>
      </c>
      <c r="N47">
        <f t="shared" si="57"/>
        <v>0</v>
      </c>
      <c r="O47">
        <f t="shared" si="58"/>
        <v>0</v>
      </c>
      <c r="Q47">
        <f t="shared" si="59"/>
        <v>0</v>
      </c>
      <c r="S47">
        <f t="shared" si="60"/>
        <v>0</v>
      </c>
    </row>
    <row r="48" spans="1:34" x14ac:dyDescent="0.2">
      <c r="A48">
        <f t="shared" si="51"/>
        <v>0</v>
      </c>
      <c r="C48">
        <f t="shared" si="52"/>
        <v>3</v>
      </c>
      <c r="E48">
        <f t="shared" si="53"/>
        <v>0</v>
      </c>
      <c r="G48">
        <f t="shared" si="54"/>
        <v>0</v>
      </c>
      <c r="K48">
        <f t="shared" si="55"/>
        <v>0</v>
      </c>
      <c r="M48">
        <f t="shared" si="56"/>
        <v>0</v>
      </c>
      <c r="N48">
        <f t="shared" si="57"/>
        <v>0</v>
      </c>
      <c r="O48">
        <f t="shared" si="58"/>
        <v>0</v>
      </c>
      <c r="Q48">
        <f t="shared" si="59"/>
        <v>1</v>
      </c>
      <c r="S48">
        <f t="shared" si="60"/>
        <v>0</v>
      </c>
    </row>
    <row r="49" spans="1:19" x14ac:dyDescent="0.2">
      <c r="A49">
        <f t="shared" si="51"/>
        <v>0</v>
      </c>
      <c r="C49">
        <f t="shared" si="52"/>
        <v>3</v>
      </c>
      <c r="E49">
        <f t="shared" si="53"/>
        <v>0</v>
      </c>
      <c r="G49">
        <f t="shared" si="54"/>
        <v>0</v>
      </c>
      <c r="K49">
        <f t="shared" si="55"/>
        <v>0</v>
      </c>
      <c r="M49">
        <f t="shared" si="56"/>
        <v>1</v>
      </c>
      <c r="N49">
        <f t="shared" si="57"/>
        <v>5</v>
      </c>
      <c r="O49">
        <f t="shared" si="58"/>
        <v>0</v>
      </c>
      <c r="Q49">
        <f t="shared" si="59"/>
        <v>1</v>
      </c>
      <c r="S49">
        <f t="shared" si="60"/>
        <v>1</v>
      </c>
    </row>
    <row r="50" spans="1:19" x14ac:dyDescent="0.2">
      <c r="A50" t="str">
        <f t="shared" si="51"/>
        <v/>
      </c>
      <c r="C50" t="str">
        <f t="shared" si="52"/>
        <v/>
      </c>
      <c r="E50" t="str">
        <f t="shared" si="53"/>
        <v/>
      </c>
      <c r="G50" t="str">
        <f t="shared" si="54"/>
        <v/>
      </c>
      <c r="K50" t="str">
        <f t="shared" si="55"/>
        <v/>
      </c>
      <c r="M50" t="str">
        <f t="shared" si="56"/>
        <v/>
      </c>
      <c r="N50" t="str">
        <f t="shared" si="57"/>
        <v/>
      </c>
      <c r="O50">
        <f t="shared" si="58"/>
        <v>0</v>
      </c>
      <c r="Q50">
        <f t="shared" si="59"/>
        <v>0</v>
      </c>
      <c r="S50">
        <f t="shared" si="60"/>
        <v>0</v>
      </c>
    </row>
  </sheetData>
  <pageMargins left="0.7" right="0.7" top="0.75" bottom="0.75" header="0.3" footer="0.3"/>
  <legacyDrawing r:id="rId1"/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2" enableFormatConditionsCalculation="0"/>
  <dimension ref="A1:BN50"/>
  <sheetViews>
    <sheetView workbookViewId="0">
      <selection activeCell="G4" sqref="G4"/>
    </sheetView>
  </sheetViews>
  <sheetFormatPr baseColWidth="10" defaultRowHeight="15" x14ac:dyDescent="0.2"/>
  <sheetData>
    <row r="1" spans="1:66" x14ac:dyDescent="0.2">
      <c r="A1" s="1" t="s">
        <v>0</v>
      </c>
      <c r="D1" t="s">
        <v>3</v>
      </c>
      <c r="K1" t="s">
        <v>11</v>
      </c>
      <c r="N1" t="s">
        <v>12</v>
      </c>
      <c r="P1" t="s">
        <v>14</v>
      </c>
      <c r="Q1" t="s">
        <v>17</v>
      </c>
      <c r="S1" t="s">
        <v>18</v>
      </c>
      <c r="Z1" t="s">
        <v>29</v>
      </c>
      <c r="AE1" t="s">
        <v>30</v>
      </c>
      <c r="AK1" t="s">
        <v>42</v>
      </c>
    </row>
    <row r="2" spans="1:66" x14ac:dyDescent="0.2">
      <c r="A2" t="s">
        <v>1</v>
      </c>
      <c r="B2" t="s">
        <v>1</v>
      </c>
      <c r="C2" t="s">
        <v>87</v>
      </c>
      <c r="D2" t="s">
        <v>54</v>
      </c>
      <c r="E2" t="s">
        <v>13</v>
      </c>
      <c r="F2" t="s">
        <v>198</v>
      </c>
      <c r="G2" t="s">
        <v>7</v>
      </c>
      <c r="H2" t="s">
        <v>8</v>
      </c>
      <c r="I2" t="s">
        <v>179</v>
      </c>
      <c r="J2" t="s">
        <v>178</v>
      </c>
      <c r="K2" t="s">
        <v>9</v>
      </c>
      <c r="L2" t="s">
        <v>196</v>
      </c>
      <c r="M2" t="s">
        <v>10</v>
      </c>
      <c r="N2" t="s">
        <v>54</v>
      </c>
      <c r="O2" t="s">
        <v>13</v>
      </c>
      <c r="P2" t="s">
        <v>15</v>
      </c>
      <c r="Q2" t="s">
        <v>8</v>
      </c>
      <c r="R2" t="s">
        <v>7</v>
      </c>
      <c r="S2" t="s">
        <v>181</v>
      </c>
      <c r="T2" t="s">
        <v>182</v>
      </c>
      <c r="U2" t="s">
        <v>19</v>
      </c>
      <c r="V2" t="s">
        <v>191</v>
      </c>
      <c r="W2" t="s">
        <v>192</v>
      </c>
      <c r="X2" t="s">
        <v>175</v>
      </c>
      <c r="Y2" t="s">
        <v>173</v>
      </c>
      <c r="Z2" t="str">
        <f>LEFT(I4, 1)</f>
        <v>3</v>
      </c>
      <c r="AA2" t="str">
        <f>MID(I4, 4, 1)</f>
        <v/>
      </c>
      <c r="AB2" t="str">
        <f>MID(I4, 7, 1)</f>
        <v/>
      </c>
      <c r="AC2" t="str">
        <f>MID(I4, 10, 1)</f>
        <v/>
      </c>
      <c r="AE2" t="str">
        <f>LEFT(J4, 1)</f>
        <v>4</v>
      </c>
      <c r="AF2" t="str">
        <f>MID(J4, 4, 1)</f>
        <v/>
      </c>
      <c r="AG2" t="str">
        <f>MID(J4, 7, 1)</f>
        <v/>
      </c>
      <c r="AH2" t="str">
        <f>MID(J4, 10, 1)</f>
        <v/>
      </c>
      <c r="AI2" t="str">
        <f>MID(J4, 13, 1)</f>
        <v/>
      </c>
      <c r="AK2" t="str">
        <f>LEFT(P4, 2)</f>
        <v/>
      </c>
      <c r="AL2" t="str">
        <f>MID($P4, 5, 2)</f>
        <v/>
      </c>
      <c r="AM2" t="str">
        <f>MID($P4, 9, 2)</f>
        <v/>
      </c>
      <c r="AN2" t="str">
        <f>MID($P4, 13, 2)</f>
        <v/>
      </c>
      <c r="AO2" t="str">
        <f>MID($P4, 17, 2)</f>
        <v/>
      </c>
      <c r="AP2" t="str">
        <f>MID($P4, 21, 2)</f>
        <v/>
      </c>
      <c r="AQ2" t="str">
        <f>MID($P4, 25, 2)</f>
        <v/>
      </c>
      <c r="AR2" t="str">
        <f>MID($P4, 29, 2)</f>
        <v/>
      </c>
      <c r="AS2" t="str">
        <f>MID($P4, 33, 2)</f>
        <v/>
      </c>
      <c r="AT2" t="str">
        <f>MID($P4, 37, 2)</f>
        <v/>
      </c>
      <c r="AU2" t="str">
        <f>MID($P4, 41, 2)</f>
        <v/>
      </c>
      <c r="AV2" t="str">
        <f>MID($P4, 45, 2)</f>
        <v/>
      </c>
      <c r="AW2" t="str">
        <f>MID($P4, 49, 2)</f>
        <v/>
      </c>
      <c r="AX2" t="str">
        <f>MID($P4, 53, 2)</f>
        <v/>
      </c>
      <c r="AY2" t="str">
        <f>MID($P4, 57, 2)</f>
        <v/>
      </c>
      <c r="AZ2" t="str">
        <f>MID($P4, 61, 2)</f>
        <v/>
      </c>
      <c r="BA2" t="str">
        <f>MID($P4, 65, 2)</f>
        <v/>
      </c>
      <c r="BB2" t="str">
        <f>MID($P4, 69, 2)</f>
        <v/>
      </c>
      <c r="BC2" t="str">
        <f>MID($P4, 73, 2)</f>
        <v/>
      </c>
      <c r="BD2" t="str">
        <f>MID($P4, 77, 2)</f>
        <v/>
      </c>
      <c r="BE2" t="str">
        <f>MID($P4, 81, 2)</f>
        <v/>
      </c>
      <c r="BF2" t="str">
        <f>MID($P4, 85, 2)</f>
        <v/>
      </c>
      <c r="BG2" t="str">
        <f>MID($P4, 89, 2)</f>
        <v/>
      </c>
      <c r="BH2" t="str">
        <f>MID($P4, 93, 2)</f>
        <v/>
      </c>
    </row>
    <row r="3" spans="1:66" x14ac:dyDescent="0.2">
      <c r="A3" t="s">
        <v>2</v>
      </c>
      <c r="B3" t="s">
        <v>6</v>
      </c>
      <c r="C3" t="s">
        <v>88</v>
      </c>
      <c r="D3" t="s">
        <v>6</v>
      </c>
      <c r="E3" t="s">
        <v>6</v>
      </c>
      <c r="F3" t="s">
        <v>4</v>
      </c>
      <c r="G3" t="s">
        <v>6</v>
      </c>
      <c r="H3" t="s">
        <v>6</v>
      </c>
      <c r="I3" t="s">
        <v>86</v>
      </c>
      <c r="J3" t="s">
        <v>86</v>
      </c>
      <c r="K3" t="s">
        <v>6</v>
      </c>
      <c r="L3" t="s">
        <v>6</v>
      </c>
      <c r="M3" t="s">
        <v>6</v>
      </c>
      <c r="N3" t="s">
        <v>6</v>
      </c>
      <c r="O3" t="s">
        <v>6</v>
      </c>
      <c r="P3" t="s">
        <v>16</v>
      </c>
      <c r="Q3" t="s">
        <v>6</v>
      </c>
      <c r="R3" t="s">
        <v>6</v>
      </c>
      <c r="S3" t="s">
        <v>4</v>
      </c>
      <c r="T3" t="s">
        <v>4</v>
      </c>
      <c r="U3" t="s">
        <v>6</v>
      </c>
      <c r="V3" t="s">
        <v>6</v>
      </c>
      <c r="W3" t="s">
        <v>6</v>
      </c>
      <c r="X3" t="s">
        <v>6</v>
      </c>
      <c r="Y3" t="s">
        <v>174</v>
      </c>
      <c r="Z3" t="str">
        <f>LEFT(I5, 1)</f>
        <v/>
      </c>
      <c r="AA3" t="str">
        <f>MID(I5, 4, 1)</f>
        <v/>
      </c>
      <c r="AB3" t="str">
        <f>MID(I5, 7, 1)</f>
        <v/>
      </c>
      <c r="AC3" t="str">
        <f>MID(I5, 10, 1)</f>
        <v/>
      </c>
      <c r="AE3" t="str">
        <f>LEFT(J5, 1)</f>
        <v>5</v>
      </c>
      <c r="AF3" t="str">
        <f>MID(J5, 4, 1)</f>
        <v/>
      </c>
      <c r="AG3" t="str">
        <f>MID(J5, 7, 1)</f>
        <v/>
      </c>
      <c r="AH3" t="str">
        <f>MID(J5, 10, 1)</f>
        <v/>
      </c>
      <c r="AI3" t="str">
        <f>MID(J5, 13, 1)</f>
        <v/>
      </c>
      <c r="AK3" t="str">
        <f>LEFT(P5, 2)</f>
        <v>h1</v>
      </c>
      <c r="AL3" t="str">
        <f>MID(P5, 5, 2)</f>
        <v/>
      </c>
      <c r="AM3" t="str">
        <f>MID($P5, 9, 2)</f>
        <v/>
      </c>
      <c r="AN3" t="str">
        <f>MID($P5, 13, 2)</f>
        <v/>
      </c>
      <c r="AO3" t="str">
        <f>MID($P5, 17, 2)</f>
        <v/>
      </c>
      <c r="AP3" t="str">
        <f>MID($P5, 21, 2)</f>
        <v/>
      </c>
      <c r="AQ3" t="str">
        <f>MID($P5, 25, 2)</f>
        <v/>
      </c>
      <c r="AR3" t="str">
        <f>MID($P5, 29, 2)</f>
        <v/>
      </c>
      <c r="AS3" t="str">
        <f>MID($P5, 33, 2)</f>
        <v/>
      </c>
      <c r="AT3" t="str">
        <f>MID($P5, 37, 2)</f>
        <v/>
      </c>
      <c r="AU3" t="str">
        <f>MID($P5, 41, 2)</f>
        <v/>
      </c>
      <c r="AV3" t="str">
        <f>MID($P5, 45, 2)</f>
        <v/>
      </c>
      <c r="AW3" t="str">
        <f>MID($P5, 49, 2)</f>
        <v/>
      </c>
      <c r="AX3" t="str">
        <f>MID($P5, 53, 2)</f>
        <v/>
      </c>
      <c r="AY3" t="str">
        <f>MID($P5, 57, 2)</f>
        <v/>
      </c>
      <c r="AZ3" t="str">
        <f>MID($P5, 61, 2)</f>
        <v/>
      </c>
      <c r="BA3" t="str">
        <f>MID($P5, 65, 2)</f>
        <v/>
      </c>
      <c r="BB3" t="str">
        <f>MID($P5, 69, 2)</f>
        <v/>
      </c>
      <c r="BC3" t="str">
        <f>MID($P5, 73, 2)</f>
        <v/>
      </c>
      <c r="BD3" t="str">
        <f>MID($P5, 77, 2)</f>
        <v/>
      </c>
      <c r="BE3" t="str">
        <f>MID($P5, 81, 2)</f>
        <v/>
      </c>
      <c r="BF3" t="str">
        <f>MID($P5, 85, 2)</f>
        <v/>
      </c>
      <c r="BG3" t="str">
        <f>MID($P5, 89, 2)</f>
        <v/>
      </c>
      <c r="BH3" t="str">
        <f>MID($P5, 93, 2)</f>
        <v/>
      </c>
    </row>
    <row r="4" spans="1:66" x14ac:dyDescent="0.2">
      <c r="A4">
        <v>1</v>
      </c>
      <c r="B4">
        <v>10</v>
      </c>
      <c r="C4" t="s">
        <v>39</v>
      </c>
      <c r="G4">
        <v>1</v>
      </c>
      <c r="I4">
        <v>3</v>
      </c>
      <c r="J4">
        <v>4</v>
      </c>
      <c r="K4">
        <v>3</v>
      </c>
      <c r="N4">
        <v>4</v>
      </c>
      <c r="O4">
        <v>4</v>
      </c>
      <c r="S4">
        <v>1</v>
      </c>
      <c r="T4">
        <v>1</v>
      </c>
      <c r="U4">
        <v>9</v>
      </c>
      <c r="X4">
        <f>G4+H4+Q4+R4</f>
        <v>1</v>
      </c>
      <c r="Y4" t="s">
        <v>174</v>
      </c>
      <c r="Z4" t="str">
        <f>LEFT(I6, 1)</f>
        <v/>
      </c>
      <c r="AA4" t="str">
        <f>MID(I6, 4, 1)</f>
        <v/>
      </c>
      <c r="AB4" t="str">
        <f>MID(I6, 7, 1)</f>
        <v/>
      </c>
      <c r="AC4" t="str">
        <f>MID(I6, 10, 1)</f>
        <v/>
      </c>
      <c r="AE4" t="str">
        <f>LEFT(J6, 1)</f>
        <v/>
      </c>
      <c r="AF4" t="str">
        <f>MID(J6, 4, 1)</f>
        <v/>
      </c>
      <c r="AG4" t="str">
        <f>MID(J6, 7, 1)</f>
        <v/>
      </c>
      <c r="AH4" t="str">
        <f>MID(J6, 10, 1)</f>
        <v/>
      </c>
      <c r="AI4" t="str">
        <f>MID(J6, 13, 1)</f>
        <v/>
      </c>
      <c r="AK4" t="str">
        <f>LEFT(P6, 2)</f>
        <v/>
      </c>
      <c r="AL4" t="str">
        <f>MID(P6, 5, 2)</f>
        <v/>
      </c>
      <c r="AM4" t="str">
        <f>MID($P6, 9, 2)</f>
        <v/>
      </c>
      <c r="AN4" t="str">
        <f>MID($P6, 13, 2)</f>
        <v/>
      </c>
      <c r="AO4" t="str">
        <f>MID($P6, 17, 2)</f>
        <v/>
      </c>
      <c r="AP4" t="str">
        <f>MID($P6, 21, 2)</f>
        <v/>
      </c>
      <c r="AQ4" t="str">
        <f>MID($P6, 25, 2)</f>
        <v/>
      </c>
      <c r="AR4" t="str">
        <f>MID($P6, 29, 2)</f>
        <v/>
      </c>
      <c r="AS4" t="str">
        <f>MID($P6, 33, 2)</f>
        <v/>
      </c>
      <c r="AT4" t="str">
        <f>MID($P6, 37, 2)</f>
        <v/>
      </c>
      <c r="AU4" t="str">
        <f>MID($P6, 41, 2)</f>
        <v/>
      </c>
      <c r="AV4" t="str">
        <f>MID($P6, 45, 2)</f>
        <v/>
      </c>
      <c r="AW4" t="str">
        <f>MID($P6, 49, 2)</f>
        <v/>
      </c>
      <c r="AX4" t="str">
        <f>MID($P6, 53, 2)</f>
        <v/>
      </c>
      <c r="AY4" t="str">
        <f>MID($P6, 57, 2)</f>
        <v/>
      </c>
      <c r="AZ4" t="str">
        <f>MID($P6, 61, 2)</f>
        <v/>
      </c>
      <c r="BA4" t="str">
        <f>MID($P6, 65, 2)</f>
        <v/>
      </c>
      <c r="BB4" t="str">
        <f>MID($P6, 69, 2)</f>
        <v/>
      </c>
      <c r="BC4" t="str">
        <f>MID($P6, 73, 2)</f>
        <v/>
      </c>
      <c r="BD4" t="str">
        <f>MID($P6, 77, 2)</f>
        <v/>
      </c>
      <c r="BE4" t="str">
        <f>MID($P6, 81, 2)</f>
        <v/>
      </c>
      <c r="BF4" t="str">
        <f>MID($P6, 85, 2)</f>
        <v/>
      </c>
      <c r="BG4" t="str">
        <f>MID($P6, 89, 2)</f>
        <v/>
      </c>
      <c r="BH4" t="str">
        <f>MID($P6, 93, 2)</f>
        <v/>
      </c>
    </row>
    <row r="5" spans="1:66" x14ac:dyDescent="0.2">
      <c r="A5">
        <v>2</v>
      </c>
      <c r="B5">
        <v>15</v>
      </c>
      <c r="C5" t="s">
        <v>207</v>
      </c>
      <c r="J5">
        <v>5</v>
      </c>
      <c r="K5">
        <v>1</v>
      </c>
      <c r="N5">
        <v>1</v>
      </c>
      <c r="O5">
        <v>1</v>
      </c>
      <c r="P5" t="s">
        <v>209</v>
      </c>
      <c r="R5">
        <v>1</v>
      </c>
      <c r="U5">
        <v>1</v>
      </c>
      <c r="X5">
        <f>G5+H5+Q5+R5</f>
        <v>1</v>
      </c>
      <c r="Y5" t="s">
        <v>174</v>
      </c>
      <c r="Z5" t="str">
        <f>LEFT(I7, 1)</f>
        <v/>
      </c>
      <c r="AA5" t="str">
        <f>MID(I7, 4, 1)</f>
        <v/>
      </c>
      <c r="AB5" t="str">
        <f>MID(I7, 7, 1)</f>
        <v/>
      </c>
      <c r="AC5" t="str">
        <f>MID(I7, 10, 1)</f>
        <v/>
      </c>
      <c r="AE5" t="str">
        <f>LEFT(J7, 1)</f>
        <v>3</v>
      </c>
      <c r="AF5" t="str">
        <f>MID(J7, 4, 1)</f>
        <v/>
      </c>
      <c r="AG5" t="str">
        <f>MID(J7, 7, 1)</f>
        <v/>
      </c>
      <c r="AH5" t="str">
        <f>MID(J7, 10, 1)</f>
        <v/>
      </c>
      <c r="AI5" t="str">
        <f>MID(J7, 13, 1)</f>
        <v/>
      </c>
      <c r="AK5" t="str">
        <f>LEFT(P7, 2)</f>
        <v/>
      </c>
      <c r="AL5" t="str">
        <f>MID(P7, 5, 2)</f>
        <v/>
      </c>
      <c r="AM5" t="str">
        <f>MID($P7, 9, 2)</f>
        <v/>
      </c>
      <c r="AN5" t="str">
        <f>MID($P7, 13, 2)</f>
        <v/>
      </c>
      <c r="AO5" t="str">
        <f>MID($P7, 17, 2)</f>
        <v/>
      </c>
      <c r="AP5" t="str">
        <f>MID($P7, 21, 2)</f>
        <v/>
      </c>
      <c r="AQ5" t="str">
        <f>MID($P7, 25, 2)</f>
        <v/>
      </c>
      <c r="AR5" t="str">
        <f>MID($P7, 29, 2)</f>
        <v/>
      </c>
      <c r="AS5" t="str">
        <f>MID($P7, 33, 2)</f>
        <v/>
      </c>
      <c r="AT5" t="str">
        <f>MID($P7, 37, 2)</f>
        <v/>
      </c>
      <c r="AU5" t="str">
        <f>MID($P7, 41, 2)</f>
        <v/>
      </c>
      <c r="AV5" t="str">
        <f>MID($P7, 45, 2)</f>
        <v/>
      </c>
      <c r="AW5" t="str">
        <f>MID($P7, 49, 2)</f>
        <v/>
      </c>
      <c r="AX5" t="str">
        <f>MID($P7, 53, 2)</f>
        <v/>
      </c>
      <c r="AY5" t="str">
        <f>MID($P7, 57, 2)</f>
        <v/>
      </c>
      <c r="AZ5" t="str">
        <f>MID($P7, 61, 2)</f>
        <v/>
      </c>
      <c r="BA5" t="str">
        <f>MID($P7, 65, 2)</f>
        <v/>
      </c>
      <c r="BB5" t="str">
        <f>MID($P7, 69, 2)</f>
        <v/>
      </c>
      <c r="BC5" t="str">
        <f>MID($P7, 73, 2)</f>
        <v/>
      </c>
      <c r="BD5" t="str">
        <f>MID($P7, 77, 2)</f>
        <v/>
      </c>
      <c r="BE5" t="str">
        <f>MID($P7, 81, 2)</f>
        <v/>
      </c>
      <c r="BF5" t="str">
        <f>MID($P7, 85, 2)</f>
        <v/>
      </c>
      <c r="BG5" t="str">
        <f>MID($P7, 89, 2)</f>
        <v/>
      </c>
      <c r="BH5" t="str">
        <f>MID($P7, 93, 2)</f>
        <v/>
      </c>
    </row>
    <row r="6" spans="1:66" x14ac:dyDescent="0.2">
      <c r="A6">
        <v>3</v>
      </c>
      <c r="B6">
        <v>29</v>
      </c>
      <c r="C6" t="s">
        <v>39</v>
      </c>
      <c r="G6">
        <v>1</v>
      </c>
      <c r="K6">
        <v>3</v>
      </c>
      <c r="N6">
        <v>3</v>
      </c>
      <c r="O6">
        <v>2</v>
      </c>
      <c r="S6">
        <v>1</v>
      </c>
      <c r="T6">
        <v>1</v>
      </c>
      <c r="U6">
        <v>21</v>
      </c>
      <c r="X6">
        <f>G6+H6+Q6+R6</f>
        <v>1</v>
      </c>
      <c r="Y6" t="s">
        <v>174</v>
      </c>
      <c r="Z6" t="str">
        <f>LEFT(I8, 1)</f>
        <v/>
      </c>
      <c r="AA6" t="str">
        <f>MID(I8, 4, 1)</f>
        <v/>
      </c>
      <c r="AB6" t="str">
        <f>MID(I8, 7, 1)</f>
        <v/>
      </c>
      <c r="AC6" t="str">
        <f>MID(I8, 10, 1)</f>
        <v/>
      </c>
      <c r="AE6" t="str">
        <f>LEFT(J8, 1)</f>
        <v/>
      </c>
      <c r="AF6" t="str">
        <f>MID(J8, 4, 1)</f>
        <v/>
      </c>
      <c r="AG6" t="str">
        <f>MID(J8, 7, 1)</f>
        <v/>
      </c>
      <c r="AH6" t="str">
        <f>MID(J8, 10, 1)</f>
        <v/>
      </c>
      <c r="AI6" t="str">
        <f>MID(J8, 13, 1)</f>
        <v/>
      </c>
      <c r="AK6" t="str">
        <f>LEFT(P8, 2)</f>
        <v/>
      </c>
      <c r="AL6" t="str">
        <f>MID(P8, 5, 2)</f>
        <v/>
      </c>
      <c r="AM6" t="str">
        <f>MID($P8, 9, 2)</f>
        <v/>
      </c>
      <c r="AN6" t="str">
        <f>MID($P8, 13, 2)</f>
        <v/>
      </c>
      <c r="AO6" t="str">
        <f>MID($P8, 17, 2)</f>
        <v/>
      </c>
      <c r="AP6" t="str">
        <f>MID($P8, 21, 2)</f>
        <v/>
      </c>
      <c r="AQ6" t="str">
        <f>MID($P8, 25, 2)</f>
        <v/>
      </c>
      <c r="AR6" t="str">
        <f>MID($P8, 29, 2)</f>
        <v/>
      </c>
      <c r="AS6" t="str">
        <f>MID($P8, 33, 2)</f>
        <v/>
      </c>
      <c r="AT6" t="str">
        <f>MID($P8, 37, 2)</f>
        <v/>
      </c>
      <c r="AU6" t="str">
        <f>MID($P8, 41, 2)</f>
        <v/>
      </c>
      <c r="AV6" t="str">
        <f>MID($P8, 45, 2)</f>
        <v/>
      </c>
      <c r="AW6" t="str">
        <f>MID($P8, 49, 2)</f>
        <v/>
      </c>
      <c r="AX6" t="str">
        <f>MID($P8, 53, 2)</f>
        <v/>
      </c>
      <c r="AY6" t="str">
        <f>MID($P8, 57, 2)</f>
        <v/>
      </c>
      <c r="AZ6" t="str">
        <f>MID($P8, 61, 2)</f>
        <v/>
      </c>
      <c r="BA6" t="str">
        <f>MID($P8, 65, 2)</f>
        <v/>
      </c>
      <c r="BB6" t="str">
        <f>MID($P8, 69, 2)</f>
        <v/>
      </c>
      <c r="BC6" t="str">
        <f>MID($P8, 73, 2)</f>
        <v/>
      </c>
      <c r="BD6" t="str">
        <f>MID($P8, 77, 2)</f>
        <v/>
      </c>
      <c r="BE6" t="str">
        <f>MID($P8, 81, 2)</f>
        <v/>
      </c>
      <c r="BF6" t="str">
        <f>MID($P8, 85, 2)</f>
        <v/>
      </c>
      <c r="BG6" t="str">
        <f>MID($P8, 89, 2)</f>
        <v/>
      </c>
      <c r="BH6" t="str">
        <f>MID($P8, 93, 2)</f>
        <v/>
      </c>
    </row>
    <row r="7" spans="1:66" x14ac:dyDescent="0.2">
      <c r="A7">
        <v>4</v>
      </c>
      <c r="B7">
        <v>38</v>
      </c>
      <c r="C7" t="s">
        <v>39</v>
      </c>
      <c r="G7">
        <v>9</v>
      </c>
      <c r="J7">
        <v>3</v>
      </c>
      <c r="K7">
        <v>3</v>
      </c>
      <c r="N7">
        <v>4</v>
      </c>
      <c r="O7">
        <v>4</v>
      </c>
      <c r="S7">
        <v>1</v>
      </c>
      <c r="T7">
        <v>1</v>
      </c>
      <c r="U7">
        <v>9</v>
      </c>
      <c r="X7">
        <f>G7+H7+Q7+R7</f>
        <v>9</v>
      </c>
      <c r="Y7" t="s">
        <v>174</v>
      </c>
      <c r="Z7" t="str">
        <f>LEFT('11'!I8, 1)</f>
        <v/>
      </c>
      <c r="AA7" t="str">
        <f>MID('11'!I8, 4, 1)</f>
        <v/>
      </c>
      <c r="AB7" t="str">
        <f>MID('11'!I8, 7, 1)</f>
        <v/>
      </c>
      <c r="AC7" t="str">
        <f>MID('11'!I8, 10, 1)</f>
        <v/>
      </c>
      <c r="AE7" t="str">
        <f>LEFT('11'!J8, 1)</f>
        <v/>
      </c>
      <c r="AF7" t="str">
        <f>MID('11'!J8, 4, 1)</f>
        <v/>
      </c>
      <c r="AG7" t="str">
        <f>MID('11'!J8, 7, 1)</f>
        <v/>
      </c>
      <c r="AH7" t="str">
        <f>MID('11'!J8, 10, 1)</f>
        <v/>
      </c>
      <c r="AI7" t="str">
        <f>MID('11'!J8, 13, 1)</f>
        <v/>
      </c>
      <c r="AK7" t="str">
        <f>LEFT('11'!P8, 2)</f>
        <v/>
      </c>
      <c r="AL7" t="str">
        <f>MID('11'!P8, 5, 2)</f>
        <v/>
      </c>
      <c r="AM7" t="str">
        <f>MID('11'!$P8, 9, 2)</f>
        <v/>
      </c>
      <c r="AN7" t="str">
        <f>MID('11'!$P8, 13, 2)</f>
        <v/>
      </c>
      <c r="AO7" t="str">
        <f>MID('11'!$P8, 17, 2)</f>
        <v/>
      </c>
      <c r="AP7" t="str">
        <f>MID('11'!$P8, 21, 2)</f>
        <v/>
      </c>
      <c r="AQ7" t="str">
        <f>MID('11'!$P8, 25, 2)</f>
        <v/>
      </c>
      <c r="AR7" t="str">
        <f>MID('11'!$P8, 29, 2)</f>
        <v/>
      </c>
      <c r="AS7" t="str">
        <f>MID('11'!$P8, 33, 2)</f>
        <v/>
      </c>
      <c r="AT7" t="str">
        <f>MID('11'!$P8, 37, 2)</f>
        <v/>
      </c>
      <c r="AU7" t="str">
        <f>MID('11'!$P8, 41, 2)</f>
        <v/>
      </c>
      <c r="AV7" t="str">
        <f>MID('11'!$P8, 45, 2)</f>
        <v/>
      </c>
      <c r="AW7" t="str">
        <f>MID('11'!$P8, 49, 2)</f>
        <v/>
      </c>
      <c r="AX7" t="str">
        <f>MID('11'!$P8, 53, 2)</f>
        <v/>
      </c>
      <c r="AY7" t="str">
        <f>MID('11'!$P8, 57, 2)</f>
        <v/>
      </c>
      <c r="AZ7" t="str">
        <f>MID('11'!$P8, 61, 2)</f>
        <v/>
      </c>
      <c r="BA7" t="str">
        <f>MID('11'!$P8, 65, 2)</f>
        <v/>
      </c>
      <c r="BB7" t="str">
        <f>MID('11'!$P8, 69, 2)</f>
        <v/>
      </c>
      <c r="BC7" t="str">
        <f>MID('11'!$P8, 73, 2)</f>
        <v/>
      </c>
      <c r="BD7" t="str">
        <f>MID('11'!$P8, 77, 2)</f>
        <v/>
      </c>
      <c r="BE7" t="str">
        <f>MID('11'!$P8, 81, 2)</f>
        <v/>
      </c>
      <c r="BF7" t="str">
        <f>MID('11'!$P8, 85, 2)</f>
        <v/>
      </c>
      <c r="BG7" t="str">
        <f>MID('11'!$P8, 89, 2)</f>
        <v/>
      </c>
      <c r="BH7" t="str">
        <f>MID('11'!$P8, 93, 2)</f>
        <v/>
      </c>
    </row>
    <row r="8" spans="1:66" x14ac:dyDescent="0.2">
      <c r="A8">
        <v>5</v>
      </c>
      <c r="B8">
        <v>45</v>
      </c>
      <c r="C8" t="s">
        <v>207</v>
      </c>
      <c r="D8">
        <v>1</v>
      </c>
      <c r="E8">
        <v>1</v>
      </c>
      <c r="F8">
        <v>1</v>
      </c>
      <c r="K8">
        <v>3</v>
      </c>
      <c r="N8">
        <v>3</v>
      </c>
      <c r="O8">
        <v>3</v>
      </c>
      <c r="S8">
        <v>1</v>
      </c>
      <c r="T8">
        <v>1</v>
      </c>
      <c r="U8">
        <v>7</v>
      </c>
      <c r="X8">
        <f>G8+H8+Q8+R8</f>
        <v>0</v>
      </c>
      <c r="Z8" t="str">
        <f t="shared" ref="Z8:Z13" si="0">LEFT(I10, 1)</f>
        <v/>
      </c>
      <c r="AA8" t="str">
        <f t="shared" ref="AA8:AA13" si="1">MID(I10, 4, 1)</f>
        <v/>
      </c>
      <c r="AB8" t="str">
        <f t="shared" ref="AB8:AB13" si="2">MID(I10, 7, 1)</f>
        <v/>
      </c>
      <c r="AC8" t="str">
        <f t="shared" ref="AC8:AC13" si="3">MID(I10, 10, 1)</f>
        <v/>
      </c>
      <c r="AE8" t="str">
        <f t="shared" ref="AE8:AE13" si="4">LEFT(J10, 1)</f>
        <v/>
      </c>
      <c r="AF8" t="str">
        <f t="shared" ref="AF8:AF13" si="5">MID(J10, 4, 1)</f>
        <v/>
      </c>
      <c r="AG8" t="str">
        <f t="shared" ref="AG8:AG13" si="6">MID(J10, 7, 1)</f>
        <v/>
      </c>
      <c r="AH8" t="str">
        <f t="shared" ref="AH8:AH13" si="7">MID(J10, 10, 1)</f>
        <v/>
      </c>
      <c r="AI8" t="str">
        <f t="shared" ref="AI8:AI13" si="8">MID(J10, 13, 1)</f>
        <v/>
      </c>
      <c r="AK8" t="str">
        <f t="shared" ref="AK8:AK13" si="9">LEFT(P10, 2)</f>
        <v/>
      </c>
      <c r="AL8" t="str">
        <f t="shared" ref="AL8:AL13" si="10">MID(P10, 5, 2)</f>
        <v/>
      </c>
      <c r="AM8" t="str">
        <f t="shared" ref="AM8:AM13" si="11">MID($P10, 9, 2)</f>
        <v/>
      </c>
      <c r="AN8" t="str">
        <f t="shared" ref="AN8:AN13" si="12">MID($P10, 13, 2)</f>
        <v/>
      </c>
      <c r="AO8" t="str">
        <f t="shared" ref="AO8:AO13" si="13">MID($P10, 17, 2)</f>
        <v/>
      </c>
      <c r="AP8" t="str">
        <f t="shared" ref="AP8:AP13" si="14">MID($P10, 21, 2)</f>
        <v/>
      </c>
      <c r="AQ8" t="str">
        <f t="shared" ref="AQ8:AQ13" si="15">MID($P10, 25, 2)</f>
        <v/>
      </c>
      <c r="AR8" t="str">
        <f t="shared" ref="AR8:AR13" si="16">MID($P10, 29, 2)</f>
        <v/>
      </c>
      <c r="AS8" t="str">
        <f t="shared" ref="AS8:AS13" si="17">MID($P10, 33, 2)</f>
        <v/>
      </c>
      <c r="AT8" t="str">
        <f t="shared" ref="AT8:AT13" si="18">MID($P10, 37, 2)</f>
        <v/>
      </c>
      <c r="AU8" t="str">
        <f t="shared" ref="AU8:AU13" si="19">MID($P10, 41, 2)</f>
        <v/>
      </c>
      <c r="AV8" t="str">
        <f t="shared" ref="AV8:AV13" si="20">MID($P10, 45, 2)</f>
        <v/>
      </c>
      <c r="AW8" t="str">
        <f t="shared" ref="AW8:AW13" si="21">MID($P10, 49, 2)</f>
        <v/>
      </c>
      <c r="AX8" t="str">
        <f t="shared" ref="AX8:AX13" si="22">MID($P10, 53, 2)</f>
        <v/>
      </c>
      <c r="AY8" t="str">
        <f t="shared" ref="AY8:AY13" si="23">MID($P10, 57, 2)</f>
        <v/>
      </c>
      <c r="AZ8" t="str">
        <f t="shared" ref="AZ8:AZ13" si="24">MID($P10, 61, 2)</f>
        <v/>
      </c>
      <c r="BA8" t="str">
        <f t="shared" ref="BA8:BA13" si="25">MID($P10, 65, 2)</f>
        <v/>
      </c>
      <c r="BB8" t="str">
        <f t="shared" ref="BB8:BB13" si="26">MID($P10, 69, 2)</f>
        <v/>
      </c>
      <c r="BC8" t="str">
        <f t="shared" ref="BC8:BC13" si="27">MID($P10, 73, 2)</f>
        <v/>
      </c>
      <c r="BD8" t="str">
        <f t="shared" ref="BD8:BD13" si="28">MID($P10, 77, 2)</f>
        <v/>
      </c>
      <c r="BE8" t="str">
        <f t="shared" ref="BE8:BE13" si="29">MID($P10, 81, 2)</f>
        <v/>
      </c>
      <c r="BF8" t="str">
        <f t="shared" ref="BF8:BF13" si="30">MID($P10, 85, 2)</f>
        <v/>
      </c>
      <c r="BG8" t="str">
        <f t="shared" ref="BG8:BG13" si="31">MID($P10, 89, 2)</f>
        <v/>
      </c>
      <c r="BH8" t="str">
        <f t="shared" ref="BH8:BH13" si="32">MID($P10, 93, 2)</f>
        <v/>
      </c>
    </row>
    <row r="9" spans="1:66" x14ac:dyDescent="0.2">
      <c r="A9">
        <v>6</v>
      </c>
      <c r="B9">
        <v>59</v>
      </c>
      <c r="C9" t="s">
        <v>207</v>
      </c>
      <c r="G9">
        <v>6</v>
      </c>
      <c r="I9">
        <v>5</v>
      </c>
      <c r="J9">
        <v>4</v>
      </c>
      <c r="K9">
        <v>3</v>
      </c>
      <c r="N9">
        <v>3</v>
      </c>
      <c r="O9">
        <v>3</v>
      </c>
      <c r="P9" t="s">
        <v>247</v>
      </c>
      <c r="R9">
        <v>1</v>
      </c>
      <c r="S9">
        <v>1</v>
      </c>
      <c r="X9">
        <f>'11'!G8+'11'!H8+'11'!Q8+'11'!R8</f>
        <v>0</v>
      </c>
      <c r="Z9" t="str">
        <f t="shared" si="0"/>
        <v/>
      </c>
      <c r="AA9" t="str">
        <f t="shared" si="1"/>
        <v/>
      </c>
      <c r="AB9" t="str">
        <f t="shared" si="2"/>
        <v/>
      </c>
      <c r="AC9" t="str">
        <f t="shared" si="3"/>
        <v/>
      </c>
      <c r="AE9" t="str">
        <f t="shared" si="4"/>
        <v/>
      </c>
      <c r="AF9" t="str">
        <f t="shared" si="5"/>
        <v/>
      </c>
      <c r="AG9" t="str">
        <f t="shared" si="6"/>
        <v/>
      </c>
      <c r="AH9" t="str">
        <f t="shared" si="7"/>
        <v/>
      </c>
      <c r="AI9" t="str">
        <f t="shared" si="8"/>
        <v/>
      </c>
      <c r="AK9" t="str">
        <f t="shared" si="9"/>
        <v/>
      </c>
      <c r="AL9" t="str">
        <f t="shared" si="10"/>
        <v/>
      </c>
      <c r="AM9" t="str">
        <f t="shared" si="11"/>
        <v/>
      </c>
      <c r="AN9" t="str">
        <f t="shared" si="12"/>
        <v/>
      </c>
      <c r="AO9" t="str">
        <f t="shared" si="13"/>
        <v/>
      </c>
      <c r="AP9" t="str">
        <f t="shared" si="14"/>
        <v/>
      </c>
      <c r="AQ9" t="str">
        <f t="shared" si="15"/>
        <v/>
      </c>
      <c r="AR9" t="str">
        <f t="shared" si="16"/>
        <v/>
      </c>
      <c r="AS9" t="str">
        <f t="shared" si="17"/>
        <v/>
      </c>
      <c r="AT9" t="str">
        <f t="shared" si="18"/>
        <v/>
      </c>
      <c r="AU9" t="str">
        <f t="shared" si="19"/>
        <v/>
      </c>
      <c r="AV9" t="str">
        <f t="shared" si="20"/>
        <v/>
      </c>
      <c r="AW9" t="str">
        <f t="shared" si="21"/>
        <v/>
      </c>
      <c r="AX9" t="str">
        <f t="shared" si="22"/>
        <v/>
      </c>
      <c r="AY9" t="str">
        <f t="shared" si="23"/>
        <v/>
      </c>
      <c r="AZ9" t="str">
        <f t="shared" si="24"/>
        <v/>
      </c>
      <c r="BA9" t="str">
        <f t="shared" si="25"/>
        <v/>
      </c>
      <c r="BB9" t="str">
        <f t="shared" si="26"/>
        <v/>
      </c>
      <c r="BC9" t="str">
        <f t="shared" si="27"/>
        <v/>
      </c>
      <c r="BD9" t="str">
        <f t="shared" si="28"/>
        <v/>
      </c>
      <c r="BE9" t="str">
        <f t="shared" si="29"/>
        <v/>
      </c>
      <c r="BF9" t="str">
        <f t="shared" si="30"/>
        <v/>
      </c>
      <c r="BG9" t="str">
        <f t="shared" si="31"/>
        <v/>
      </c>
      <c r="BH9" t="str">
        <f t="shared" si="32"/>
        <v/>
      </c>
    </row>
    <row r="10" spans="1:66" x14ac:dyDescent="0.2">
      <c r="A10">
        <v>7</v>
      </c>
      <c r="B10">
        <v>66</v>
      </c>
      <c r="C10" t="s">
        <v>207</v>
      </c>
      <c r="G10">
        <v>8</v>
      </c>
      <c r="K10">
        <v>3</v>
      </c>
      <c r="N10">
        <v>3</v>
      </c>
      <c r="O10">
        <v>3</v>
      </c>
      <c r="S10">
        <v>1</v>
      </c>
      <c r="T10">
        <v>1</v>
      </c>
      <c r="U10">
        <v>16</v>
      </c>
      <c r="X10">
        <f t="shared" ref="X10:X15" si="33">G10+H10+Q10+R10</f>
        <v>8</v>
      </c>
      <c r="Y10" t="s">
        <v>174</v>
      </c>
      <c r="Z10" t="str">
        <f t="shared" si="0"/>
        <v>3</v>
      </c>
      <c r="AA10" t="str">
        <f t="shared" si="1"/>
        <v/>
      </c>
      <c r="AB10" t="str">
        <f t="shared" si="2"/>
        <v/>
      </c>
      <c r="AC10" t="str">
        <f t="shared" si="3"/>
        <v/>
      </c>
      <c r="AE10" t="str">
        <f t="shared" si="4"/>
        <v/>
      </c>
      <c r="AF10" t="str">
        <f t="shared" si="5"/>
        <v/>
      </c>
      <c r="AG10" t="str">
        <f t="shared" si="6"/>
        <v/>
      </c>
      <c r="AH10" t="str">
        <f t="shared" si="7"/>
        <v/>
      </c>
      <c r="AI10" t="str">
        <f t="shared" si="8"/>
        <v/>
      </c>
      <c r="AK10" t="str">
        <f t="shared" si="9"/>
        <v/>
      </c>
      <c r="AL10" t="str">
        <f t="shared" si="10"/>
        <v/>
      </c>
      <c r="AM10" t="str">
        <f t="shared" si="11"/>
        <v/>
      </c>
      <c r="AN10" t="str">
        <f t="shared" si="12"/>
        <v/>
      </c>
      <c r="AO10" t="str">
        <f t="shared" si="13"/>
        <v/>
      </c>
      <c r="AP10" t="str">
        <f t="shared" si="14"/>
        <v/>
      </c>
      <c r="AQ10" t="str">
        <f t="shared" si="15"/>
        <v/>
      </c>
      <c r="AR10" t="str">
        <f t="shared" si="16"/>
        <v/>
      </c>
      <c r="AS10" t="str">
        <f t="shared" si="17"/>
        <v/>
      </c>
      <c r="AT10" t="str">
        <f t="shared" si="18"/>
        <v/>
      </c>
      <c r="AU10" t="str">
        <f t="shared" si="19"/>
        <v/>
      </c>
      <c r="AV10" t="str">
        <f t="shared" si="20"/>
        <v/>
      </c>
      <c r="AW10" t="str">
        <f t="shared" si="21"/>
        <v/>
      </c>
      <c r="AX10" t="str">
        <f t="shared" si="22"/>
        <v/>
      </c>
      <c r="AY10" t="str">
        <f t="shared" si="23"/>
        <v/>
      </c>
      <c r="AZ10" t="str">
        <f t="shared" si="24"/>
        <v/>
      </c>
      <c r="BA10" t="str">
        <f t="shared" si="25"/>
        <v/>
      </c>
      <c r="BB10" t="str">
        <f t="shared" si="26"/>
        <v/>
      </c>
      <c r="BC10" t="str">
        <f t="shared" si="27"/>
        <v/>
      </c>
      <c r="BD10" t="str">
        <f t="shared" si="28"/>
        <v/>
      </c>
      <c r="BE10" t="str">
        <f t="shared" si="29"/>
        <v/>
      </c>
      <c r="BF10" t="str">
        <f t="shared" si="30"/>
        <v/>
      </c>
      <c r="BG10" t="str">
        <f t="shared" si="31"/>
        <v/>
      </c>
      <c r="BH10" t="str">
        <f t="shared" si="32"/>
        <v/>
      </c>
    </row>
    <row r="11" spans="1:66" x14ac:dyDescent="0.2">
      <c r="A11">
        <v>8</v>
      </c>
      <c r="B11">
        <v>73</v>
      </c>
      <c r="C11" t="s">
        <v>39</v>
      </c>
      <c r="D11">
        <v>1</v>
      </c>
      <c r="K11">
        <v>3</v>
      </c>
      <c r="N11">
        <v>4</v>
      </c>
      <c r="O11">
        <v>3</v>
      </c>
      <c r="S11">
        <v>1</v>
      </c>
      <c r="T11">
        <v>1</v>
      </c>
      <c r="X11">
        <f t="shared" si="33"/>
        <v>0</v>
      </c>
      <c r="Z11" t="str">
        <f t="shared" si="0"/>
        <v/>
      </c>
      <c r="AA11" t="str">
        <f t="shared" si="1"/>
        <v/>
      </c>
      <c r="AB11" t="str">
        <f t="shared" si="2"/>
        <v/>
      </c>
      <c r="AC11" t="str">
        <f t="shared" si="3"/>
        <v/>
      </c>
      <c r="AE11" t="str">
        <f t="shared" si="4"/>
        <v/>
      </c>
      <c r="AF11" t="str">
        <f t="shared" si="5"/>
        <v/>
      </c>
      <c r="AG11" t="str">
        <f t="shared" si="6"/>
        <v/>
      </c>
      <c r="AH11" t="str">
        <f t="shared" si="7"/>
        <v/>
      </c>
      <c r="AI11" t="str">
        <f t="shared" si="8"/>
        <v/>
      </c>
      <c r="AK11" t="str">
        <f t="shared" si="9"/>
        <v/>
      </c>
      <c r="AL11" t="str">
        <f t="shared" si="10"/>
        <v/>
      </c>
      <c r="AM11" t="str">
        <f t="shared" si="11"/>
        <v/>
      </c>
      <c r="AN11" t="str">
        <f t="shared" si="12"/>
        <v/>
      </c>
      <c r="AO11" t="str">
        <f t="shared" si="13"/>
        <v/>
      </c>
      <c r="AP11" t="str">
        <f t="shared" si="14"/>
        <v/>
      </c>
      <c r="AQ11" t="str">
        <f t="shared" si="15"/>
        <v/>
      </c>
      <c r="AR11" t="str">
        <f t="shared" si="16"/>
        <v/>
      </c>
      <c r="AS11" t="str">
        <f t="shared" si="17"/>
        <v/>
      </c>
      <c r="AT11" t="str">
        <f t="shared" si="18"/>
        <v/>
      </c>
      <c r="AU11" t="str">
        <f t="shared" si="19"/>
        <v/>
      </c>
      <c r="AV11" t="str">
        <f t="shared" si="20"/>
        <v/>
      </c>
      <c r="AW11" t="str">
        <f t="shared" si="21"/>
        <v/>
      </c>
      <c r="AX11" t="str">
        <f t="shared" si="22"/>
        <v/>
      </c>
      <c r="AY11" t="str">
        <f t="shared" si="23"/>
        <v/>
      </c>
      <c r="AZ11" t="str">
        <f t="shared" si="24"/>
        <v/>
      </c>
      <c r="BA11" t="str">
        <f t="shared" si="25"/>
        <v/>
      </c>
      <c r="BB11" t="str">
        <f t="shared" si="26"/>
        <v/>
      </c>
      <c r="BC11" t="str">
        <f t="shared" si="27"/>
        <v/>
      </c>
      <c r="BD11" t="str">
        <f t="shared" si="28"/>
        <v/>
      </c>
      <c r="BE11" t="str">
        <f t="shared" si="29"/>
        <v/>
      </c>
      <c r="BF11" t="str">
        <f t="shared" si="30"/>
        <v/>
      </c>
      <c r="BG11" t="str">
        <f t="shared" si="31"/>
        <v/>
      </c>
      <c r="BH11" t="str">
        <f t="shared" si="32"/>
        <v/>
      </c>
    </row>
    <row r="12" spans="1:66" x14ac:dyDescent="0.2">
      <c r="A12">
        <v>9</v>
      </c>
      <c r="B12">
        <v>99</v>
      </c>
      <c r="C12" t="s">
        <v>39</v>
      </c>
      <c r="G12">
        <v>14</v>
      </c>
      <c r="I12">
        <v>3</v>
      </c>
      <c r="K12">
        <v>1</v>
      </c>
      <c r="N12">
        <v>2</v>
      </c>
      <c r="O12">
        <v>2</v>
      </c>
      <c r="S12">
        <v>1</v>
      </c>
      <c r="T12">
        <v>1</v>
      </c>
      <c r="U12">
        <v>25</v>
      </c>
      <c r="X12">
        <f t="shared" si="33"/>
        <v>14</v>
      </c>
      <c r="Z12" t="str">
        <f t="shared" si="0"/>
        <v/>
      </c>
      <c r="AA12" t="str">
        <f t="shared" si="1"/>
        <v/>
      </c>
      <c r="AB12" t="str">
        <f t="shared" si="2"/>
        <v/>
      </c>
      <c r="AC12" t="str">
        <f t="shared" si="3"/>
        <v/>
      </c>
      <c r="AE12" t="str">
        <f t="shared" si="4"/>
        <v>5</v>
      </c>
      <c r="AF12" t="str">
        <f t="shared" si="5"/>
        <v/>
      </c>
      <c r="AG12" t="str">
        <f t="shared" si="6"/>
        <v/>
      </c>
      <c r="AH12" t="str">
        <f t="shared" si="7"/>
        <v/>
      </c>
      <c r="AI12" t="str">
        <f t="shared" si="8"/>
        <v/>
      </c>
      <c r="AK12" t="str">
        <f t="shared" si="9"/>
        <v/>
      </c>
      <c r="AL12" t="str">
        <f t="shared" si="10"/>
        <v/>
      </c>
      <c r="AM12" t="str">
        <f t="shared" si="11"/>
        <v/>
      </c>
      <c r="AN12" t="str">
        <f t="shared" si="12"/>
        <v/>
      </c>
      <c r="AO12" t="str">
        <f t="shared" si="13"/>
        <v/>
      </c>
      <c r="AP12" t="str">
        <f t="shared" si="14"/>
        <v/>
      </c>
      <c r="AQ12" t="str">
        <f t="shared" si="15"/>
        <v/>
      </c>
      <c r="AR12" t="str">
        <f t="shared" si="16"/>
        <v/>
      </c>
      <c r="AS12" t="str">
        <f t="shared" si="17"/>
        <v/>
      </c>
      <c r="AT12" t="str">
        <f t="shared" si="18"/>
        <v/>
      </c>
      <c r="AU12" t="str">
        <f t="shared" si="19"/>
        <v/>
      </c>
      <c r="AV12" t="str">
        <f t="shared" si="20"/>
        <v/>
      </c>
      <c r="AW12" t="str">
        <f t="shared" si="21"/>
        <v/>
      </c>
      <c r="AX12" t="str">
        <f t="shared" si="22"/>
        <v/>
      </c>
      <c r="AY12" t="str">
        <f t="shared" si="23"/>
        <v/>
      </c>
      <c r="AZ12" t="str">
        <f t="shared" si="24"/>
        <v/>
      </c>
      <c r="BA12" t="str">
        <f t="shared" si="25"/>
        <v/>
      </c>
      <c r="BB12" t="str">
        <f t="shared" si="26"/>
        <v/>
      </c>
      <c r="BC12" t="str">
        <f t="shared" si="27"/>
        <v/>
      </c>
      <c r="BD12" t="str">
        <f t="shared" si="28"/>
        <v/>
      </c>
      <c r="BE12" t="str">
        <f t="shared" si="29"/>
        <v/>
      </c>
      <c r="BF12" t="str">
        <f t="shared" si="30"/>
        <v/>
      </c>
      <c r="BG12" t="str">
        <f t="shared" si="31"/>
        <v/>
      </c>
      <c r="BH12" t="str">
        <f t="shared" si="32"/>
        <v/>
      </c>
    </row>
    <row r="13" spans="1:66" x14ac:dyDescent="0.2">
      <c r="A13">
        <v>10</v>
      </c>
      <c r="B13">
        <v>104</v>
      </c>
      <c r="G13">
        <v>8</v>
      </c>
      <c r="K13">
        <v>1</v>
      </c>
      <c r="N13">
        <v>2</v>
      </c>
      <c r="O13">
        <v>2</v>
      </c>
      <c r="S13">
        <v>1</v>
      </c>
      <c r="T13">
        <v>1</v>
      </c>
      <c r="U13">
        <v>44</v>
      </c>
      <c r="X13">
        <f t="shared" si="33"/>
        <v>8</v>
      </c>
      <c r="Z13" t="str">
        <f t="shared" si="0"/>
        <v/>
      </c>
      <c r="AA13" t="str">
        <f t="shared" si="1"/>
        <v/>
      </c>
      <c r="AB13" t="str">
        <f t="shared" si="2"/>
        <v/>
      </c>
      <c r="AC13" t="str">
        <f t="shared" si="3"/>
        <v/>
      </c>
      <c r="AE13" t="str">
        <f t="shared" si="4"/>
        <v/>
      </c>
      <c r="AF13" t="str">
        <f t="shared" si="5"/>
        <v/>
      </c>
      <c r="AG13" t="str">
        <f t="shared" si="6"/>
        <v/>
      </c>
      <c r="AH13" t="str">
        <f t="shared" si="7"/>
        <v/>
      </c>
      <c r="AI13" t="str">
        <f t="shared" si="8"/>
        <v/>
      </c>
      <c r="AK13" t="str">
        <f t="shared" si="9"/>
        <v/>
      </c>
      <c r="AL13" t="str">
        <f t="shared" si="10"/>
        <v/>
      </c>
      <c r="AM13" t="str">
        <f t="shared" si="11"/>
        <v/>
      </c>
      <c r="AN13" t="str">
        <f t="shared" si="12"/>
        <v/>
      </c>
      <c r="AO13" t="str">
        <f t="shared" si="13"/>
        <v/>
      </c>
      <c r="AP13" t="str">
        <f t="shared" si="14"/>
        <v/>
      </c>
      <c r="AQ13" t="str">
        <f t="shared" si="15"/>
        <v/>
      </c>
      <c r="AR13" t="str">
        <f t="shared" si="16"/>
        <v/>
      </c>
      <c r="AS13" t="str">
        <f t="shared" si="17"/>
        <v/>
      </c>
      <c r="AT13" t="str">
        <f t="shared" si="18"/>
        <v/>
      </c>
      <c r="AU13" t="str">
        <f t="shared" si="19"/>
        <v/>
      </c>
      <c r="AV13" t="str">
        <f t="shared" si="20"/>
        <v/>
      </c>
      <c r="AW13" t="str">
        <f t="shared" si="21"/>
        <v/>
      </c>
      <c r="AX13" t="str">
        <f t="shared" si="22"/>
        <v/>
      </c>
      <c r="AY13" t="str">
        <f t="shared" si="23"/>
        <v/>
      </c>
      <c r="AZ13" t="str">
        <f t="shared" si="24"/>
        <v/>
      </c>
      <c r="BA13" t="str">
        <f t="shared" si="25"/>
        <v/>
      </c>
      <c r="BB13" t="str">
        <f t="shared" si="26"/>
        <v/>
      </c>
      <c r="BC13" t="str">
        <f t="shared" si="27"/>
        <v/>
      </c>
      <c r="BD13" t="str">
        <f t="shared" si="28"/>
        <v/>
      </c>
      <c r="BE13" t="str">
        <f t="shared" si="29"/>
        <v/>
      </c>
      <c r="BF13" t="str">
        <f t="shared" si="30"/>
        <v/>
      </c>
      <c r="BG13" t="str">
        <f t="shared" si="31"/>
        <v/>
      </c>
      <c r="BH13" t="str">
        <f t="shared" si="32"/>
        <v/>
      </c>
    </row>
    <row r="14" spans="1:66" x14ac:dyDescent="0.2">
      <c r="A14">
        <v>11</v>
      </c>
      <c r="B14">
        <v>118</v>
      </c>
      <c r="C14" t="s">
        <v>207</v>
      </c>
      <c r="G14">
        <v>16</v>
      </c>
      <c r="J14">
        <v>5</v>
      </c>
      <c r="K14">
        <v>1</v>
      </c>
      <c r="N14">
        <v>1</v>
      </c>
      <c r="O14">
        <v>1</v>
      </c>
      <c r="S14">
        <v>1</v>
      </c>
      <c r="T14">
        <v>1</v>
      </c>
      <c r="X14">
        <f t="shared" si="33"/>
        <v>16</v>
      </c>
      <c r="Z14" t="s">
        <v>31</v>
      </c>
      <c r="AE14" t="s">
        <v>34</v>
      </c>
      <c r="AK14" t="s">
        <v>43</v>
      </c>
      <c r="AP14" t="s">
        <v>84</v>
      </c>
    </row>
    <row r="15" spans="1:66" x14ac:dyDescent="0.2">
      <c r="A15">
        <v>12</v>
      </c>
      <c r="X15">
        <f t="shared" si="33"/>
        <v>0</v>
      </c>
      <c r="Z15" t="s">
        <v>21</v>
      </c>
      <c r="AA15" t="s">
        <v>22</v>
      </c>
      <c r="AE15" t="s">
        <v>21</v>
      </c>
      <c r="AF15" t="s">
        <v>22</v>
      </c>
      <c r="AG15" t="s">
        <v>35</v>
      </c>
      <c r="AK15" t="s">
        <v>10</v>
      </c>
      <c r="AL15" t="s">
        <v>25</v>
      </c>
      <c r="AM15" t="s">
        <v>26</v>
      </c>
      <c r="AN15" t="s">
        <v>27</v>
      </c>
      <c r="AP15" t="s">
        <v>15</v>
      </c>
      <c r="AQ15" t="s">
        <v>85</v>
      </c>
    </row>
    <row r="16" spans="1:66" x14ac:dyDescent="0.2">
      <c r="A16" t="s">
        <v>28</v>
      </c>
      <c r="D16">
        <f>SUM(D4:D15)</f>
        <v>2</v>
      </c>
      <c r="E16">
        <f>SUM(E4:E15)</f>
        <v>1</v>
      </c>
      <c r="F16">
        <f>SUM(F4:F15)</f>
        <v>1</v>
      </c>
      <c r="G16">
        <f>SUM(G4:G15)</f>
        <v>63</v>
      </c>
      <c r="H16">
        <f>SUM(H4:H15)</f>
        <v>0</v>
      </c>
      <c r="K16">
        <f>SUM(K4:K15)</f>
        <v>25</v>
      </c>
      <c r="L16">
        <f>SUM(L4:L15)</f>
        <v>0</v>
      </c>
      <c r="M16">
        <f>SUM(M4:M15)</f>
        <v>0</v>
      </c>
      <c r="N16">
        <f>SUM(N4:N15)</f>
        <v>30</v>
      </c>
      <c r="O16">
        <f>SUM(O4:O15)</f>
        <v>28</v>
      </c>
      <c r="Q16">
        <f t="shared" ref="Q16:W16" si="34">SUM(Q4:Q15)</f>
        <v>0</v>
      </c>
      <c r="R16">
        <f t="shared" si="34"/>
        <v>2</v>
      </c>
      <c r="S16">
        <f t="shared" si="34"/>
        <v>10</v>
      </c>
      <c r="T16">
        <f t="shared" si="34"/>
        <v>9</v>
      </c>
      <c r="U16">
        <f t="shared" si="34"/>
        <v>132</v>
      </c>
      <c r="V16">
        <f t="shared" si="34"/>
        <v>0</v>
      </c>
      <c r="W16">
        <f t="shared" si="34"/>
        <v>0</v>
      </c>
      <c r="Z16">
        <f>COUNTIF(Z2:AC2, "3")*COUNTIF(C4, "r")+COUNTIF(Z2:AC2, "5")*COUNTIF(C4, "b")</f>
        <v>1</v>
      </c>
      <c r="AA16">
        <f t="shared" ref="AA16:AA27" si="35">COUNTIF(Z2:AC2, "1")+COUNTIF(Z2:AC2, "2")+COUNTIF(Z2:AC2, "4")</f>
        <v>0</v>
      </c>
      <c r="AE16">
        <f>COUNTIF(AE2:AI2, "3")*COUNTIF(C4, "r") + COUNTIF(AE2:AI2, "5")*COUNTIF(C4, "b")</f>
        <v>0</v>
      </c>
      <c r="AF16">
        <f t="shared" ref="AF16:AF27" si="36">COUNTIF(AE2:AI2, "1")+COUNTIF(AE2:AI2, "2")+COUNTIF(AE2:AI2, "4")</f>
        <v>1</v>
      </c>
      <c r="AG16">
        <f t="shared" ref="AG16:AG27" si="37">COUNTIF(AE2:AI2, "3")*COUNTIF(AE2:AI2, "b")+COUNTIF(AE2:AI2, "5")*COUNTIF(AE2:AI2, "r")</f>
        <v>0</v>
      </c>
      <c r="AK16">
        <f t="shared" ref="AK16:AK27" si="38">SUMPRODUCT(LEN($AK2:$BH2) - LEN(SUBSTITUTE($AK2:$BH2, "g", "")))</f>
        <v>0</v>
      </c>
      <c r="AL16">
        <f t="shared" ref="AL16:AL27" si="39">SUMPRODUCT(LEN($AK2:$BH2) - LEN(SUBSTITUTE($AK2:$BH2, "h", "")))</f>
        <v>0</v>
      </c>
      <c r="AM16">
        <f t="shared" ref="AM16:AM27" si="40">SUMPRODUCT(LEN($AK2:$BH2) - LEN(SUBSTITUTE($AK2:$BH2, "v", "")))</f>
        <v>0</v>
      </c>
      <c r="AN16">
        <f t="shared" ref="AN16:AN27" si="41">SUMPRODUCT(LEN($AK2:$BH2) - LEN(SUBSTITUTE($AK2:$BH2, "r", "")))</f>
        <v>0</v>
      </c>
      <c r="AP16">
        <f>MAX(AQ16:BN16)</f>
        <v>0</v>
      </c>
      <c r="AQ16" s="4">
        <f>_xlfn.NUMBERVALUE(RIGHT(AK2,1))</f>
        <v>0</v>
      </c>
      <c r="AR16" s="4">
        <f t="shared" ref="AR16:BG27" si="42">_xlfn.NUMBERVALUE(RIGHT(AL2,1))</f>
        <v>0</v>
      </c>
      <c r="AS16" s="4">
        <f t="shared" si="42"/>
        <v>0</v>
      </c>
      <c r="AT16" s="4">
        <f t="shared" si="42"/>
        <v>0</v>
      </c>
      <c r="AU16" s="4">
        <f t="shared" si="42"/>
        <v>0</v>
      </c>
      <c r="AV16" s="4">
        <f t="shared" si="42"/>
        <v>0</v>
      </c>
      <c r="AW16" s="4">
        <f t="shared" si="42"/>
        <v>0</v>
      </c>
      <c r="AX16" s="4">
        <f t="shared" si="42"/>
        <v>0</v>
      </c>
      <c r="AY16" s="4">
        <f t="shared" si="42"/>
        <v>0</v>
      </c>
      <c r="AZ16" s="4">
        <f t="shared" si="42"/>
        <v>0</v>
      </c>
      <c r="BA16" s="4">
        <f t="shared" si="42"/>
        <v>0</v>
      </c>
      <c r="BB16" s="4">
        <f t="shared" si="42"/>
        <v>0</v>
      </c>
      <c r="BC16" s="4">
        <f t="shared" si="42"/>
        <v>0</v>
      </c>
      <c r="BD16" s="4">
        <f t="shared" si="42"/>
        <v>0</v>
      </c>
      <c r="BE16" s="4">
        <f t="shared" si="42"/>
        <v>0</v>
      </c>
      <c r="BF16" s="4">
        <f t="shared" si="42"/>
        <v>0</v>
      </c>
      <c r="BG16" s="4">
        <f t="shared" si="42"/>
        <v>0</v>
      </c>
      <c r="BH16" s="4">
        <f t="shared" ref="BH16:BN27" si="43">_xlfn.NUMBERVALUE(RIGHT(BB2,1))</f>
        <v>0</v>
      </c>
      <c r="BI16" s="4">
        <f t="shared" si="43"/>
        <v>0</v>
      </c>
      <c r="BJ16" s="4">
        <f t="shared" si="43"/>
        <v>0</v>
      </c>
      <c r="BK16" s="4">
        <f t="shared" si="43"/>
        <v>0</v>
      </c>
      <c r="BL16" s="4">
        <f t="shared" si="43"/>
        <v>0</v>
      </c>
      <c r="BM16" s="4">
        <f t="shared" si="43"/>
        <v>0</v>
      </c>
      <c r="BN16" s="4">
        <f t="shared" si="43"/>
        <v>0</v>
      </c>
    </row>
    <row r="17" spans="1:66" x14ac:dyDescent="0.2">
      <c r="A17" s="1" t="s">
        <v>20</v>
      </c>
      <c r="D17" s="1" t="s">
        <v>49</v>
      </c>
      <c r="G17" s="1" t="s">
        <v>52</v>
      </c>
      <c r="K17" s="3" t="s">
        <v>74</v>
      </c>
      <c r="P17" s="1" t="s">
        <v>66</v>
      </c>
      <c r="Z17">
        <f>COUNTIF(Z3:AC3, "3")*COUNTIF(C5, "r")+COUNTIF(Z3:AC3, "5")*COUNTIF(C5, "b")</f>
        <v>0</v>
      </c>
      <c r="AA17">
        <f t="shared" si="35"/>
        <v>0</v>
      </c>
      <c r="AE17">
        <f>COUNTIF(AE3:AI3, "3")*COUNTIF(C5, "r") + COUNTIF(AE3:AI3, "5")*COUNTIF(C5, "b")</f>
        <v>1</v>
      </c>
      <c r="AF17">
        <f t="shared" si="36"/>
        <v>0</v>
      </c>
      <c r="AG17">
        <f t="shared" si="37"/>
        <v>0</v>
      </c>
      <c r="AK17">
        <f t="shared" si="38"/>
        <v>0</v>
      </c>
      <c r="AL17">
        <f t="shared" si="39"/>
        <v>1</v>
      </c>
      <c r="AM17">
        <f t="shared" si="40"/>
        <v>0</v>
      </c>
      <c r="AN17">
        <f t="shared" si="41"/>
        <v>0</v>
      </c>
      <c r="AP17">
        <f t="shared" ref="AP17:AP27" si="44">MAX(AQ17:BN17)</f>
        <v>1</v>
      </c>
      <c r="AQ17" s="4">
        <f t="shared" ref="AQ17:AQ27" si="45">_xlfn.NUMBERVALUE(RIGHT(AK3,1))</f>
        <v>1</v>
      </c>
      <c r="AR17" s="4">
        <f t="shared" si="42"/>
        <v>0</v>
      </c>
      <c r="AS17" s="4">
        <f t="shared" si="42"/>
        <v>0</v>
      </c>
      <c r="AT17" s="4">
        <f t="shared" si="42"/>
        <v>0</v>
      </c>
      <c r="AU17" s="4">
        <f t="shared" si="42"/>
        <v>0</v>
      </c>
      <c r="AV17" s="4">
        <f t="shared" si="42"/>
        <v>0</v>
      </c>
      <c r="AW17" s="4">
        <f t="shared" si="42"/>
        <v>0</v>
      </c>
      <c r="AX17" s="4">
        <f t="shared" si="42"/>
        <v>0</v>
      </c>
      <c r="AY17" s="4">
        <f t="shared" si="42"/>
        <v>0</v>
      </c>
      <c r="AZ17" s="4">
        <f t="shared" si="42"/>
        <v>0</v>
      </c>
      <c r="BA17" s="4">
        <f t="shared" si="42"/>
        <v>0</v>
      </c>
      <c r="BB17" s="4">
        <f t="shared" si="42"/>
        <v>0</v>
      </c>
      <c r="BC17" s="4">
        <f t="shared" si="42"/>
        <v>0</v>
      </c>
      <c r="BD17" s="4">
        <f t="shared" si="42"/>
        <v>0</v>
      </c>
      <c r="BE17" s="4">
        <f t="shared" si="42"/>
        <v>0</v>
      </c>
      <c r="BF17" s="4">
        <f t="shared" si="42"/>
        <v>0</v>
      </c>
      <c r="BG17" s="4">
        <f t="shared" si="42"/>
        <v>0</v>
      </c>
      <c r="BH17" s="4">
        <f t="shared" si="43"/>
        <v>0</v>
      </c>
      <c r="BI17" s="4">
        <f t="shared" si="43"/>
        <v>0</v>
      </c>
      <c r="BJ17" s="4">
        <f t="shared" si="43"/>
        <v>0</v>
      </c>
      <c r="BK17" s="4">
        <f t="shared" si="43"/>
        <v>0</v>
      </c>
      <c r="BL17" s="4">
        <f t="shared" si="43"/>
        <v>0</v>
      </c>
      <c r="BM17" s="4">
        <f t="shared" si="43"/>
        <v>0</v>
      </c>
      <c r="BN17" s="4">
        <f t="shared" si="43"/>
        <v>0</v>
      </c>
    </row>
    <row r="18" spans="1:66" x14ac:dyDescent="0.2">
      <c r="A18" t="s">
        <v>32</v>
      </c>
      <c r="B18" t="s">
        <v>21</v>
      </c>
      <c r="D18" t="s">
        <v>180</v>
      </c>
      <c r="G18" s="3" t="s">
        <v>53</v>
      </c>
      <c r="K18" t="s">
        <v>55</v>
      </c>
      <c r="M18" t="s">
        <v>65</v>
      </c>
      <c r="P18" t="s">
        <v>67</v>
      </c>
      <c r="Z18">
        <f>COUNTIF(Z4:AC4, "3")*COUNTIF(C6, "r")+COUNTIF(Z4:AC4, "5")*COUNTIF(C6, "b")</f>
        <v>0</v>
      </c>
      <c r="AA18">
        <f t="shared" si="35"/>
        <v>0</v>
      </c>
      <c r="AE18">
        <f>COUNTIF(AE4:AI4, "3")*COUNTIF(C6, "r") + COUNTIF(AE4:AI4, "5")*COUNTIF(C6, "b")</f>
        <v>0</v>
      </c>
      <c r="AF18">
        <f t="shared" si="36"/>
        <v>0</v>
      </c>
      <c r="AG18">
        <f t="shared" si="37"/>
        <v>0</v>
      </c>
      <c r="AK18">
        <f t="shared" si="38"/>
        <v>0</v>
      </c>
      <c r="AL18">
        <f t="shared" si="39"/>
        <v>0</v>
      </c>
      <c r="AM18">
        <f t="shared" si="40"/>
        <v>0</v>
      </c>
      <c r="AN18">
        <f t="shared" si="41"/>
        <v>0</v>
      </c>
      <c r="AP18">
        <f t="shared" si="44"/>
        <v>0</v>
      </c>
      <c r="AQ18" s="4">
        <f t="shared" si="45"/>
        <v>0</v>
      </c>
      <c r="AR18" s="4">
        <f t="shared" si="42"/>
        <v>0</v>
      </c>
      <c r="AS18" s="4">
        <f t="shared" si="42"/>
        <v>0</v>
      </c>
      <c r="AT18" s="4">
        <f t="shared" si="42"/>
        <v>0</v>
      </c>
      <c r="AU18" s="4">
        <f t="shared" si="42"/>
        <v>0</v>
      </c>
      <c r="AV18" s="4">
        <f t="shared" si="42"/>
        <v>0</v>
      </c>
      <c r="AW18" s="4">
        <f t="shared" si="42"/>
        <v>0</v>
      </c>
      <c r="AX18" s="4">
        <f t="shared" si="42"/>
        <v>0</v>
      </c>
      <c r="AY18" s="4">
        <f t="shared" si="42"/>
        <v>0</v>
      </c>
      <c r="AZ18" s="4">
        <f t="shared" si="42"/>
        <v>0</v>
      </c>
      <c r="BA18" s="4">
        <f t="shared" si="42"/>
        <v>0</v>
      </c>
      <c r="BB18" s="4">
        <f t="shared" si="42"/>
        <v>0</v>
      </c>
      <c r="BC18" s="4">
        <f t="shared" si="42"/>
        <v>0</v>
      </c>
      <c r="BD18" s="4">
        <f t="shared" si="42"/>
        <v>0</v>
      </c>
      <c r="BE18" s="4">
        <f t="shared" si="42"/>
        <v>0</v>
      </c>
      <c r="BF18" s="4">
        <f t="shared" si="42"/>
        <v>0</v>
      </c>
      <c r="BG18" s="4">
        <f t="shared" si="42"/>
        <v>0</v>
      </c>
      <c r="BH18" s="4">
        <f t="shared" si="43"/>
        <v>0</v>
      </c>
      <c r="BI18" s="4">
        <f t="shared" si="43"/>
        <v>0</v>
      </c>
      <c r="BJ18" s="4">
        <f t="shared" si="43"/>
        <v>0</v>
      </c>
      <c r="BK18" s="4">
        <f t="shared" si="43"/>
        <v>0</v>
      </c>
      <c r="BL18" s="4">
        <f t="shared" si="43"/>
        <v>0</v>
      </c>
      <c r="BM18" s="4">
        <f t="shared" si="43"/>
        <v>0</v>
      </c>
      <c r="BN18" s="4">
        <f t="shared" si="43"/>
        <v>0</v>
      </c>
    </row>
    <row r="19" spans="1:66" x14ac:dyDescent="0.2">
      <c r="A19" t="s">
        <v>40</v>
      </c>
      <c r="B19" t="s">
        <v>22</v>
      </c>
      <c r="D19">
        <f>E16/D16</f>
        <v>0.5</v>
      </c>
      <c r="G19" t="s">
        <v>75</v>
      </c>
      <c r="K19">
        <f>O16/N16</f>
        <v>0.93333333333333335</v>
      </c>
      <c r="M19">
        <f>SUM(M39:M50)</f>
        <v>-4</v>
      </c>
      <c r="P19">
        <f>T16/S16</f>
        <v>0.9</v>
      </c>
      <c r="Z19">
        <f>COUNTIF(Z5:AC5, "3")*COUNTIF(C7, "r")+COUNTIF(Z5:AC5, "5")*COUNTIF(C7, "b")</f>
        <v>0</v>
      </c>
      <c r="AA19">
        <f t="shared" si="35"/>
        <v>0</v>
      </c>
      <c r="AE19">
        <f>COUNTIF(AE5:AI5, "3")*COUNTIF(C7, "r") + COUNTIF(AE5:AI5, "5")*COUNTIF(C7, "b")</f>
        <v>1</v>
      </c>
      <c r="AF19">
        <f t="shared" si="36"/>
        <v>0</v>
      </c>
      <c r="AG19">
        <f t="shared" si="37"/>
        <v>0</v>
      </c>
      <c r="AK19">
        <f t="shared" si="38"/>
        <v>0</v>
      </c>
      <c r="AL19">
        <f t="shared" si="39"/>
        <v>0</v>
      </c>
      <c r="AM19">
        <f t="shared" si="40"/>
        <v>0</v>
      </c>
      <c r="AN19">
        <f t="shared" si="41"/>
        <v>0</v>
      </c>
      <c r="AP19">
        <f t="shared" si="44"/>
        <v>0</v>
      </c>
      <c r="AQ19" s="4">
        <f t="shared" si="45"/>
        <v>0</v>
      </c>
      <c r="AR19" s="4">
        <f t="shared" si="42"/>
        <v>0</v>
      </c>
      <c r="AS19" s="4">
        <f t="shared" si="42"/>
        <v>0</v>
      </c>
      <c r="AT19" s="4">
        <f t="shared" si="42"/>
        <v>0</v>
      </c>
      <c r="AU19" s="4">
        <f t="shared" si="42"/>
        <v>0</v>
      </c>
      <c r="AV19" s="4">
        <f t="shared" si="42"/>
        <v>0</v>
      </c>
      <c r="AW19" s="4">
        <f t="shared" si="42"/>
        <v>0</v>
      </c>
      <c r="AX19" s="4">
        <f t="shared" si="42"/>
        <v>0</v>
      </c>
      <c r="AY19" s="4">
        <f t="shared" si="42"/>
        <v>0</v>
      </c>
      <c r="AZ19" s="4">
        <f t="shared" si="42"/>
        <v>0</v>
      </c>
      <c r="BA19" s="4">
        <f t="shared" si="42"/>
        <v>0</v>
      </c>
      <c r="BB19" s="4">
        <f t="shared" si="42"/>
        <v>0</v>
      </c>
      <c r="BC19" s="4">
        <f t="shared" si="42"/>
        <v>0</v>
      </c>
      <c r="BD19" s="4">
        <f t="shared" si="42"/>
        <v>0</v>
      </c>
      <c r="BE19" s="4">
        <f t="shared" si="42"/>
        <v>0</v>
      </c>
      <c r="BF19" s="4">
        <f t="shared" si="42"/>
        <v>0</v>
      </c>
      <c r="BG19" s="4">
        <f t="shared" si="42"/>
        <v>0</v>
      </c>
      <c r="BH19" s="4">
        <f t="shared" si="43"/>
        <v>0</v>
      </c>
      <c r="BI19" s="4">
        <f t="shared" si="43"/>
        <v>0</v>
      </c>
      <c r="BJ19" s="4">
        <f t="shared" si="43"/>
        <v>0</v>
      </c>
      <c r="BK19" s="4">
        <f t="shared" si="43"/>
        <v>0</v>
      </c>
      <c r="BL19" s="4">
        <f t="shared" si="43"/>
        <v>0</v>
      </c>
      <c r="BM19" s="4">
        <f t="shared" si="43"/>
        <v>0</v>
      </c>
      <c r="BN19" s="4">
        <f t="shared" si="43"/>
        <v>0</v>
      </c>
    </row>
    <row r="20" spans="1:66" x14ac:dyDescent="0.2">
      <c r="A20" t="s">
        <v>41</v>
      </c>
      <c r="B20" t="s">
        <v>23</v>
      </c>
      <c r="D20" t="s">
        <v>47</v>
      </c>
      <c r="G20">
        <f>AK28/AP28</f>
        <v>0</v>
      </c>
      <c r="K20" t="s">
        <v>13</v>
      </c>
      <c r="Z20">
        <f>COUNTIF(Z6:AC6, "3")*COUNTIF(C8, "r")+COUNTIF(Z6:AC6, "5")*COUNTIF(C8, "b")</f>
        <v>0</v>
      </c>
      <c r="AA20">
        <f t="shared" si="35"/>
        <v>0</v>
      </c>
      <c r="AE20">
        <f>COUNTIF(AE6:AI6, "3")*COUNTIF(C8, "r") + COUNTIF(AE6:AI6, "5")*COUNTIF(C8, "b")</f>
        <v>0</v>
      </c>
      <c r="AF20">
        <f t="shared" si="36"/>
        <v>0</v>
      </c>
      <c r="AG20">
        <f t="shared" si="37"/>
        <v>0</v>
      </c>
      <c r="AK20">
        <f t="shared" si="38"/>
        <v>0</v>
      </c>
      <c r="AL20">
        <f t="shared" si="39"/>
        <v>0</v>
      </c>
      <c r="AM20">
        <f t="shared" si="40"/>
        <v>0</v>
      </c>
      <c r="AN20">
        <f t="shared" si="41"/>
        <v>0</v>
      </c>
      <c r="AP20">
        <f t="shared" si="44"/>
        <v>0</v>
      </c>
      <c r="AQ20" s="4">
        <f t="shared" si="45"/>
        <v>0</v>
      </c>
      <c r="AR20" s="4">
        <f t="shared" si="42"/>
        <v>0</v>
      </c>
      <c r="AS20" s="4">
        <f t="shared" si="42"/>
        <v>0</v>
      </c>
      <c r="AT20" s="4">
        <f t="shared" si="42"/>
        <v>0</v>
      </c>
      <c r="AU20" s="4">
        <f t="shared" si="42"/>
        <v>0</v>
      </c>
      <c r="AV20" s="4">
        <f t="shared" si="42"/>
        <v>0</v>
      </c>
      <c r="AW20" s="4">
        <f t="shared" si="42"/>
        <v>0</v>
      </c>
      <c r="AX20" s="4">
        <f t="shared" si="42"/>
        <v>0</v>
      </c>
      <c r="AY20" s="4">
        <f t="shared" si="42"/>
        <v>0</v>
      </c>
      <c r="AZ20" s="4">
        <f t="shared" si="42"/>
        <v>0</v>
      </c>
      <c r="BA20" s="4">
        <f t="shared" si="42"/>
        <v>0</v>
      </c>
      <c r="BB20" s="4">
        <f t="shared" si="42"/>
        <v>0</v>
      </c>
      <c r="BC20" s="4">
        <f t="shared" si="42"/>
        <v>0</v>
      </c>
      <c r="BD20" s="4">
        <f t="shared" si="42"/>
        <v>0</v>
      </c>
      <c r="BE20" s="4">
        <f t="shared" si="42"/>
        <v>0</v>
      </c>
      <c r="BF20" s="4">
        <f t="shared" si="42"/>
        <v>0</v>
      </c>
      <c r="BG20" s="4">
        <f t="shared" si="42"/>
        <v>0</v>
      </c>
      <c r="BH20" s="4">
        <f t="shared" si="43"/>
        <v>0</v>
      </c>
      <c r="BI20" s="4">
        <f t="shared" si="43"/>
        <v>0</v>
      </c>
      <c r="BJ20" s="4">
        <f t="shared" si="43"/>
        <v>0</v>
      </c>
      <c r="BK20" s="4">
        <f t="shared" si="43"/>
        <v>0</v>
      </c>
      <c r="BL20" s="4">
        <f t="shared" si="43"/>
        <v>0</v>
      </c>
      <c r="BM20" s="4">
        <f t="shared" si="43"/>
        <v>0</v>
      </c>
      <c r="BN20" s="4">
        <f t="shared" si="43"/>
        <v>0</v>
      </c>
    </row>
    <row r="21" spans="1:66" x14ac:dyDescent="0.2">
      <c r="A21" s="1" t="s">
        <v>24</v>
      </c>
      <c r="D21">
        <f>G16/A31</f>
        <v>5.7272727272727275</v>
      </c>
      <c r="G21" t="s">
        <v>76</v>
      </c>
      <c r="K21" t="s">
        <v>57</v>
      </c>
      <c r="L21" t="s">
        <v>58</v>
      </c>
      <c r="M21" t="s">
        <v>59</v>
      </c>
      <c r="N21" t="s">
        <v>60</v>
      </c>
      <c r="Z21">
        <f>COUNTIF(Z7:AC7, "3")*COUNTIF('11'!C8, "r")+COUNTIF(Z7:AC7, "5")*COUNTIF('11'!C8, "b")</f>
        <v>0</v>
      </c>
      <c r="AA21">
        <f t="shared" si="35"/>
        <v>0</v>
      </c>
      <c r="AE21">
        <f>COUNTIF(AE7:AI7, "3")*COUNTIF('11'!C8, "r") + COUNTIF(AE7:AI7, "5")*COUNTIF('11'!C8, "b")</f>
        <v>0</v>
      </c>
      <c r="AF21">
        <f t="shared" si="36"/>
        <v>0</v>
      </c>
      <c r="AG21">
        <f t="shared" si="37"/>
        <v>0</v>
      </c>
      <c r="AK21">
        <f t="shared" si="38"/>
        <v>0</v>
      </c>
      <c r="AL21">
        <f t="shared" si="39"/>
        <v>0</v>
      </c>
      <c r="AM21">
        <f t="shared" si="40"/>
        <v>0</v>
      </c>
      <c r="AN21">
        <f t="shared" si="41"/>
        <v>0</v>
      </c>
      <c r="AP21">
        <f t="shared" si="44"/>
        <v>0</v>
      </c>
      <c r="AQ21" s="4">
        <f t="shared" si="45"/>
        <v>0</v>
      </c>
      <c r="AR21" s="4">
        <f t="shared" si="42"/>
        <v>0</v>
      </c>
      <c r="AS21" s="4">
        <f t="shared" si="42"/>
        <v>0</v>
      </c>
      <c r="AT21" s="4">
        <f t="shared" si="42"/>
        <v>0</v>
      </c>
      <c r="AU21" s="4">
        <f t="shared" si="42"/>
        <v>0</v>
      </c>
      <c r="AV21" s="4">
        <f t="shared" si="42"/>
        <v>0</v>
      </c>
      <c r="AW21" s="4">
        <f t="shared" si="42"/>
        <v>0</v>
      </c>
      <c r="AX21" s="4">
        <f t="shared" si="42"/>
        <v>0</v>
      </c>
      <c r="AY21" s="4">
        <f t="shared" si="42"/>
        <v>0</v>
      </c>
      <c r="AZ21" s="4">
        <f t="shared" si="42"/>
        <v>0</v>
      </c>
      <c r="BA21" s="4">
        <f t="shared" si="42"/>
        <v>0</v>
      </c>
      <c r="BB21" s="4">
        <f t="shared" si="42"/>
        <v>0</v>
      </c>
      <c r="BC21" s="4">
        <f t="shared" si="42"/>
        <v>0</v>
      </c>
      <c r="BD21" s="4">
        <f t="shared" si="42"/>
        <v>0</v>
      </c>
      <c r="BE21" s="4">
        <f t="shared" si="42"/>
        <v>0</v>
      </c>
      <c r="BF21" s="4">
        <f t="shared" si="42"/>
        <v>0</v>
      </c>
      <c r="BG21" s="4">
        <f t="shared" si="42"/>
        <v>0</v>
      </c>
      <c r="BH21" s="4">
        <f t="shared" si="43"/>
        <v>0</v>
      </c>
      <c r="BI21" s="4">
        <f t="shared" si="43"/>
        <v>0</v>
      </c>
      <c r="BJ21" s="4">
        <f t="shared" si="43"/>
        <v>0</v>
      </c>
      <c r="BK21" s="4">
        <f t="shared" si="43"/>
        <v>0</v>
      </c>
      <c r="BL21" s="4">
        <f t="shared" si="43"/>
        <v>0</v>
      </c>
      <c r="BM21" s="4">
        <f t="shared" si="43"/>
        <v>0</v>
      </c>
      <c r="BN21" s="4">
        <f t="shared" si="43"/>
        <v>0</v>
      </c>
    </row>
    <row r="22" spans="1:66" x14ac:dyDescent="0.2">
      <c r="A22" t="s">
        <v>36</v>
      </c>
      <c r="B22" t="s">
        <v>10</v>
      </c>
      <c r="D22" t="s">
        <v>48</v>
      </c>
      <c r="G22">
        <f>AL28/AP28</f>
        <v>1</v>
      </c>
      <c r="K22">
        <f>AVERAGE(C39:C50)</f>
        <v>2.6363636363636362</v>
      </c>
      <c r="L22">
        <f>MEDIAN(C39:C50)</f>
        <v>3</v>
      </c>
      <c r="M22">
        <f>MAX(C39:C50)</f>
        <v>4</v>
      </c>
      <c r="N22">
        <f>_xlfn.STDEV.S(C39:C50)</f>
        <v>1.1200649331826502</v>
      </c>
      <c r="Z22">
        <f t="shared" ref="Z22:Z27" si="46">COUNTIF(Z8:AC8, "3")*COUNTIF(C10, "r")+COUNTIF(Z8:AC8, "5")*COUNTIF(C10, "b")</f>
        <v>0</v>
      </c>
      <c r="AA22">
        <f t="shared" si="35"/>
        <v>0</v>
      </c>
      <c r="AE22">
        <f t="shared" ref="AE22:AE27" si="47">COUNTIF(AE8:AI8, "3")*COUNTIF(C10, "r") + COUNTIF(AE8:AI8, "5")*COUNTIF(C10, "b")</f>
        <v>0</v>
      </c>
      <c r="AF22">
        <f t="shared" si="36"/>
        <v>0</v>
      </c>
      <c r="AG22">
        <f t="shared" si="37"/>
        <v>0</v>
      </c>
      <c r="AK22">
        <f t="shared" si="38"/>
        <v>0</v>
      </c>
      <c r="AL22">
        <f t="shared" si="39"/>
        <v>0</v>
      </c>
      <c r="AM22">
        <f t="shared" si="40"/>
        <v>0</v>
      </c>
      <c r="AN22">
        <f t="shared" si="41"/>
        <v>0</v>
      </c>
      <c r="AP22">
        <f t="shared" si="44"/>
        <v>0</v>
      </c>
      <c r="AQ22" s="4">
        <f t="shared" si="45"/>
        <v>0</v>
      </c>
      <c r="AR22" s="4">
        <f t="shared" si="42"/>
        <v>0</v>
      </c>
      <c r="AS22" s="4">
        <f t="shared" si="42"/>
        <v>0</v>
      </c>
      <c r="AT22" s="4">
        <f t="shared" si="42"/>
        <v>0</v>
      </c>
      <c r="AU22" s="4">
        <f t="shared" si="42"/>
        <v>0</v>
      </c>
      <c r="AV22" s="4">
        <f t="shared" si="42"/>
        <v>0</v>
      </c>
      <c r="AW22" s="4">
        <f t="shared" si="42"/>
        <v>0</v>
      </c>
      <c r="AX22" s="4">
        <f t="shared" si="42"/>
        <v>0</v>
      </c>
      <c r="AY22" s="4">
        <f t="shared" si="42"/>
        <v>0</v>
      </c>
      <c r="AZ22" s="4">
        <f t="shared" si="42"/>
        <v>0</v>
      </c>
      <c r="BA22" s="4">
        <f t="shared" si="42"/>
        <v>0</v>
      </c>
      <c r="BB22" s="4">
        <f t="shared" si="42"/>
        <v>0</v>
      </c>
      <c r="BC22" s="4">
        <f t="shared" si="42"/>
        <v>0</v>
      </c>
      <c r="BD22" s="4">
        <f t="shared" si="42"/>
        <v>0</v>
      </c>
      <c r="BE22" s="4">
        <f t="shared" si="42"/>
        <v>0</v>
      </c>
      <c r="BF22" s="4">
        <f t="shared" si="42"/>
        <v>0</v>
      </c>
      <c r="BG22" s="4">
        <f t="shared" si="42"/>
        <v>0</v>
      </c>
      <c r="BH22" s="4">
        <f t="shared" si="43"/>
        <v>0</v>
      </c>
      <c r="BI22" s="4">
        <f t="shared" si="43"/>
        <v>0</v>
      </c>
      <c r="BJ22" s="4">
        <f t="shared" si="43"/>
        <v>0</v>
      </c>
      <c r="BK22" s="4">
        <f t="shared" si="43"/>
        <v>0</v>
      </c>
      <c r="BL22" s="4">
        <f t="shared" si="43"/>
        <v>0</v>
      </c>
      <c r="BM22" s="4">
        <f t="shared" si="43"/>
        <v>0</v>
      </c>
      <c r="BN22" s="4">
        <f t="shared" si="43"/>
        <v>0</v>
      </c>
    </row>
    <row r="23" spans="1:66" x14ac:dyDescent="0.2">
      <c r="A23" t="s">
        <v>37</v>
      </c>
      <c r="B23" t="s">
        <v>25</v>
      </c>
      <c r="D23">
        <f>H16/A31</f>
        <v>0</v>
      </c>
      <c r="G23" t="s">
        <v>77</v>
      </c>
      <c r="K23" t="s">
        <v>8</v>
      </c>
      <c r="Z23">
        <f t="shared" si="46"/>
        <v>0</v>
      </c>
      <c r="AA23">
        <f t="shared" si="35"/>
        <v>0</v>
      </c>
      <c r="AE23">
        <f t="shared" si="47"/>
        <v>0</v>
      </c>
      <c r="AF23">
        <f t="shared" si="36"/>
        <v>0</v>
      </c>
      <c r="AG23">
        <f t="shared" si="37"/>
        <v>0</v>
      </c>
      <c r="AK23">
        <f t="shared" si="38"/>
        <v>0</v>
      </c>
      <c r="AL23">
        <f t="shared" si="39"/>
        <v>0</v>
      </c>
      <c r="AM23">
        <f t="shared" si="40"/>
        <v>0</v>
      </c>
      <c r="AN23">
        <f t="shared" si="41"/>
        <v>0</v>
      </c>
      <c r="AP23">
        <f t="shared" si="44"/>
        <v>0</v>
      </c>
      <c r="AQ23" s="4">
        <f t="shared" si="45"/>
        <v>0</v>
      </c>
      <c r="AR23" s="4">
        <f t="shared" si="42"/>
        <v>0</v>
      </c>
      <c r="AS23" s="4">
        <f t="shared" si="42"/>
        <v>0</v>
      </c>
      <c r="AT23" s="4">
        <f t="shared" si="42"/>
        <v>0</v>
      </c>
      <c r="AU23" s="4">
        <f t="shared" si="42"/>
        <v>0</v>
      </c>
      <c r="AV23" s="4">
        <f t="shared" si="42"/>
        <v>0</v>
      </c>
      <c r="AW23" s="4">
        <f t="shared" si="42"/>
        <v>0</v>
      </c>
      <c r="AX23" s="4">
        <f t="shared" si="42"/>
        <v>0</v>
      </c>
      <c r="AY23" s="4">
        <f t="shared" si="42"/>
        <v>0</v>
      </c>
      <c r="AZ23" s="4">
        <f t="shared" si="42"/>
        <v>0</v>
      </c>
      <c r="BA23" s="4">
        <f t="shared" si="42"/>
        <v>0</v>
      </c>
      <c r="BB23" s="4">
        <f t="shared" si="42"/>
        <v>0</v>
      </c>
      <c r="BC23" s="4">
        <f t="shared" si="42"/>
        <v>0</v>
      </c>
      <c r="BD23" s="4">
        <f t="shared" si="42"/>
        <v>0</v>
      </c>
      <c r="BE23" s="4">
        <f t="shared" si="42"/>
        <v>0</v>
      </c>
      <c r="BF23" s="4">
        <f t="shared" si="42"/>
        <v>0</v>
      </c>
      <c r="BG23" s="4">
        <f t="shared" si="42"/>
        <v>0</v>
      </c>
      <c r="BH23" s="4">
        <f t="shared" si="43"/>
        <v>0</v>
      </c>
      <c r="BI23" s="4">
        <f t="shared" si="43"/>
        <v>0</v>
      </c>
      <c r="BJ23" s="4">
        <f t="shared" si="43"/>
        <v>0</v>
      </c>
      <c r="BK23" s="4">
        <f t="shared" si="43"/>
        <v>0</v>
      </c>
      <c r="BL23" s="4">
        <f t="shared" si="43"/>
        <v>0</v>
      </c>
      <c r="BM23" s="4">
        <f t="shared" si="43"/>
        <v>0</v>
      </c>
      <c r="BN23" s="4">
        <f t="shared" si="43"/>
        <v>0</v>
      </c>
    </row>
    <row r="24" spans="1:66" x14ac:dyDescent="0.2">
      <c r="A24" t="s">
        <v>38</v>
      </c>
      <c r="B24" t="s">
        <v>26</v>
      </c>
      <c r="D24" t="s">
        <v>50</v>
      </c>
      <c r="G24">
        <f>AM28/AP28</f>
        <v>0</v>
      </c>
      <c r="K24" t="s">
        <v>57</v>
      </c>
      <c r="L24" t="s">
        <v>61</v>
      </c>
      <c r="M24" t="s">
        <v>59</v>
      </c>
      <c r="N24" t="s">
        <v>60</v>
      </c>
      <c r="Z24">
        <f t="shared" si="46"/>
        <v>1</v>
      </c>
      <c r="AA24">
        <f t="shared" si="35"/>
        <v>0</v>
      </c>
      <c r="AE24">
        <f t="shared" si="47"/>
        <v>0</v>
      </c>
      <c r="AF24">
        <f t="shared" si="36"/>
        <v>0</v>
      </c>
      <c r="AG24">
        <f t="shared" si="37"/>
        <v>0</v>
      </c>
      <c r="AK24">
        <f t="shared" si="38"/>
        <v>0</v>
      </c>
      <c r="AL24">
        <f t="shared" si="39"/>
        <v>0</v>
      </c>
      <c r="AM24">
        <f t="shared" si="40"/>
        <v>0</v>
      </c>
      <c r="AN24">
        <f t="shared" si="41"/>
        <v>0</v>
      </c>
      <c r="AP24">
        <f t="shared" si="44"/>
        <v>0</v>
      </c>
      <c r="AQ24" s="4">
        <f t="shared" si="45"/>
        <v>0</v>
      </c>
      <c r="AR24" s="4">
        <f t="shared" si="42"/>
        <v>0</v>
      </c>
      <c r="AS24" s="4">
        <f t="shared" si="42"/>
        <v>0</v>
      </c>
      <c r="AT24" s="4">
        <f t="shared" si="42"/>
        <v>0</v>
      </c>
      <c r="AU24" s="4">
        <f t="shared" si="42"/>
        <v>0</v>
      </c>
      <c r="AV24" s="4">
        <f t="shared" si="42"/>
        <v>0</v>
      </c>
      <c r="AW24" s="4">
        <f t="shared" si="42"/>
        <v>0</v>
      </c>
      <c r="AX24" s="4">
        <f t="shared" si="42"/>
        <v>0</v>
      </c>
      <c r="AY24" s="4">
        <f t="shared" si="42"/>
        <v>0</v>
      </c>
      <c r="AZ24" s="4">
        <f t="shared" si="42"/>
        <v>0</v>
      </c>
      <c r="BA24" s="4">
        <f t="shared" si="42"/>
        <v>0</v>
      </c>
      <c r="BB24" s="4">
        <f t="shared" si="42"/>
        <v>0</v>
      </c>
      <c r="BC24" s="4">
        <f t="shared" si="42"/>
        <v>0</v>
      </c>
      <c r="BD24" s="4">
        <f t="shared" si="42"/>
        <v>0</v>
      </c>
      <c r="BE24" s="4">
        <f t="shared" si="42"/>
        <v>0</v>
      </c>
      <c r="BF24" s="4">
        <f t="shared" si="42"/>
        <v>0</v>
      </c>
      <c r="BG24" s="4">
        <f t="shared" si="42"/>
        <v>0</v>
      </c>
      <c r="BH24" s="4">
        <f t="shared" si="43"/>
        <v>0</v>
      </c>
      <c r="BI24" s="4">
        <f t="shared" si="43"/>
        <v>0</v>
      </c>
      <c r="BJ24" s="4">
        <f t="shared" si="43"/>
        <v>0</v>
      </c>
      <c r="BK24" s="4">
        <f t="shared" si="43"/>
        <v>0</v>
      </c>
      <c r="BL24" s="4">
        <f t="shared" si="43"/>
        <v>0</v>
      </c>
      <c r="BM24" s="4">
        <f t="shared" si="43"/>
        <v>0</v>
      </c>
      <c r="BN24" s="4">
        <f t="shared" si="43"/>
        <v>0</v>
      </c>
    </row>
    <row r="25" spans="1:66" x14ac:dyDescent="0.2">
      <c r="A25" t="s">
        <v>39</v>
      </c>
      <c r="B25" t="s">
        <v>27</v>
      </c>
      <c r="D25">
        <f>Z28/A31</f>
        <v>0.18181818181818182</v>
      </c>
      <c r="G25" t="s">
        <v>78</v>
      </c>
      <c r="K25">
        <f>AVERAGE(E39:E50)</f>
        <v>0</v>
      </c>
      <c r="L25">
        <f>MEDIAN(E39:E50)</f>
        <v>0</v>
      </c>
      <c r="M25">
        <f>MAX(E39:E50)</f>
        <v>0</v>
      </c>
      <c r="N25">
        <f>_xlfn.STDEV.S(E39:E50)</f>
        <v>0</v>
      </c>
      <c r="Z25">
        <f t="shared" si="46"/>
        <v>0</v>
      </c>
      <c r="AA25">
        <f t="shared" si="35"/>
        <v>0</v>
      </c>
      <c r="AE25">
        <f t="shared" si="47"/>
        <v>0</v>
      </c>
      <c r="AF25">
        <f t="shared" si="36"/>
        <v>0</v>
      </c>
      <c r="AG25">
        <f t="shared" si="37"/>
        <v>0</v>
      </c>
      <c r="AK25">
        <f t="shared" si="38"/>
        <v>0</v>
      </c>
      <c r="AL25">
        <f t="shared" si="39"/>
        <v>0</v>
      </c>
      <c r="AM25">
        <f t="shared" si="40"/>
        <v>0</v>
      </c>
      <c r="AN25">
        <f t="shared" si="41"/>
        <v>0</v>
      </c>
      <c r="AP25">
        <f t="shared" si="44"/>
        <v>0</v>
      </c>
      <c r="AQ25" s="4">
        <f t="shared" si="45"/>
        <v>0</v>
      </c>
      <c r="AR25" s="4">
        <f t="shared" si="42"/>
        <v>0</v>
      </c>
      <c r="AS25" s="4">
        <f t="shared" si="42"/>
        <v>0</v>
      </c>
      <c r="AT25" s="4">
        <f t="shared" si="42"/>
        <v>0</v>
      </c>
      <c r="AU25" s="4">
        <f t="shared" si="42"/>
        <v>0</v>
      </c>
      <c r="AV25" s="4">
        <f t="shared" si="42"/>
        <v>0</v>
      </c>
      <c r="AW25" s="4">
        <f t="shared" si="42"/>
        <v>0</v>
      </c>
      <c r="AX25" s="4">
        <f t="shared" si="42"/>
        <v>0</v>
      </c>
      <c r="AY25" s="4">
        <f t="shared" si="42"/>
        <v>0</v>
      </c>
      <c r="AZ25" s="4">
        <f t="shared" si="42"/>
        <v>0</v>
      </c>
      <c r="BA25" s="4">
        <f t="shared" si="42"/>
        <v>0</v>
      </c>
      <c r="BB25" s="4">
        <f t="shared" si="42"/>
        <v>0</v>
      </c>
      <c r="BC25" s="4">
        <f t="shared" si="42"/>
        <v>0</v>
      </c>
      <c r="BD25" s="4">
        <f t="shared" si="42"/>
        <v>0</v>
      </c>
      <c r="BE25" s="4">
        <f t="shared" si="42"/>
        <v>0</v>
      </c>
      <c r="BF25" s="4">
        <f t="shared" si="42"/>
        <v>0</v>
      </c>
      <c r="BG25" s="4">
        <f t="shared" si="42"/>
        <v>0</v>
      </c>
      <c r="BH25" s="4">
        <f t="shared" si="43"/>
        <v>0</v>
      </c>
      <c r="BI25" s="4">
        <f t="shared" si="43"/>
        <v>0</v>
      </c>
      <c r="BJ25" s="4">
        <f t="shared" si="43"/>
        <v>0</v>
      </c>
      <c r="BK25" s="4">
        <f t="shared" si="43"/>
        <v>0</v>
      </c>
      <c r="BL25" s="4">
        <f t="shared" si="43"/>
        <v>0</v>
      </c>
      <c r="BM25" s="4">
        <f t="shared" si="43"/>
        <v>0</v>
      </c>
      <c r="BN25" s="4">
        <f t="shared" si="43"/>
        <v>0</v>
      </c>
    </row>
    <row r="26" spans="1:66" x14ac:dyDescent="0.2">
      <c r="A26" t="s">
        <v>44</v>
      </c>
      <c r="D26" t="s">
        <v>51</v>
      </c>
      <c r="G26">
        <f>AN28/AP28</f>
        <v>0</v>
      </c>
      <c r="K26" t="s">
        <v>62</v>
      </c>
      <c r="P26" t="s">
        <v>19</v>
      </c>
      <c r="Z26">
        <f t="shared" si="46"/>
        <v>0</v>
      </c>
      <c r="AA26">
        <f t="shared" si="35"/>
        <v>0</v>
      </c>
      <c r="AE26">
        <f t="shared" si="47"/>
        <v>1</v>
      </c>
      <c r="AF26">
        <f t="shared" si="36"/>
        <v>0</v>
      </c>
      <c r="AG26">
        <f t="shared" si="37"/>
        <v>0</v>
      </c>
      <c r="AK26">
        <f t="shared" si="38"/>
        <v>0</v>
      </c>
      <c r="AL26">
        <f t="shared" si="39"/>
        <v>0</v>
      </c>
      <c r="AM26">
        <f t="shared" si="40"/>
        <v>0</v>
      </c>
      <c r="AN26">
        <f t="shared" si="41"/>
        <v>0</v>
      </c>
      <c r="AP26">
        <f t="shared" si="44"/>
        <v>0</v>
      </c>
      <c r="AQ26" s="4">
        <f t="shared" si="45"/>
        <v>0</v>
      </c>
      <c r="AR26" s="4">
        <f t="shared" si="42"/>
        <v>0</v>
      </c>
      <c r="AS26" s="4">
        <f t="shared" si="42"/>
        <v>0</v>
      </c>
      <c r="AT26" s="4">
        <f t="shared" si="42"/>
        <v>0</v>
      </c>
      <c r="AU26" s="4">
        <f t="shared" si="42"/>
        <v>0</v>
      </c>
      <c r="AV26" s="4">
        <f t="shared" si="42"/>
        <v>0</v>
      </c>
      <c r="AW26" s="4">
        <f t="shared" si="42"/>
        <v>0</v>
      </c>
      <c r="AX26" s="4">
        <f t="shared" si="42"/>
        <v>0</v>
      </c>
      <c r="AY26" s="4">
        <f t="shared" si="42"/>
        <v>0</v>
      </c>
      <c r="AZ26" s="4">
        <f t="shared" si="42"/>
        <v>0</v>
      </c>
      <c r="BA26" s="4">
        <f t="shared" si="42"/>
        <v>0</v>
      </c>
      <c r="BB26" s="4">
        <f t="shared" si="42"/>
        <v>0</v>
      </c>
      <c r="BC26" s="4">
        <f t="shared" si="42"/>
        <v>0</v>
      </c>
      <c r="BD26" s="4">
        <f t="shared" si="42"/>
        <v>0</v>
      </c>
      <c r="BE26" s="4">
        <f t="shared" si="42"/>
        <v>0</v>
      </c>
      <c r="BF26" s="4">
        <f t="shared" si="42"/>
        <v>0</v>
      </c>
      <c r="BG26" s="4">
        <f t="shared" si="42"/>
        <v>0</v>
      </c>
      <c r="BH26" s="4">
        <f t="shared" si="43"/>
        <v>0</v>
      </c>
      <c r="BI26" s="4">
        <f t="shared" si="43"/>
        <v>0</v>
      </c>
      <c r="BJ26" s="4">
        <f t="shared" si="43"/>
        <v>0</v>
      </c>
      <c r="BK26" s="4">
        <f t="shared" si="43"/>
        <v>0</v>
      </c>
      <c r="BL26" s="4">
        <f t="shared" si="43"/>
        <v>0</v>
      </c>
      <c r="BM26" s="4">
        <f t="shared" si="43"/>
        <v>0</v>
      </c>
      <c r="BN26" s="4">
        <f t="shared" si="43"/>
        <v>0</v>
      </c>
    </row>
    <row r="27" spans="1:66" x14ac:dyDescent="0.2">
      <c r="A27" t="s">
        <v>45</v>
      </c>
      <c r="D27">
        <f>AA28/A31</f>
        <v>0</v>
      </c>
      <c r="G27" t="s">
        <v>56</v>
      </c>
      <c r="K27" t="s">
        <v>57</v>
      </c>
      <c r="L27" t="s">
        <v>58</v>
      </c>
      <c r="M27" t="s">
        <v>59</v>
      </c>
      <c r="N27" t="s">
        <v>60</v>
      </c>
      <c r="P27" t="s">
        <v>57</v>
      </c>
      <c r="Q27" t="s">
        <v>58</v>
      </c>
      <c r="R27" t="s">
        <v>59</v>
      </c>
      <c r="S27" t="s">
        <v>60</v>
      </c>
      <c r="Z27">
        <f t="shared" si="46"/>
        <v>0</v>
      </c>
      <c r="AA27">
        <f t="shared" si="35"/>
        <v>0</v>
      </c>
      <c r="AE27">
        <f t="shared" si="47"/>
        <v>0</v>
      </c>
      <c r="AF27">
        <f t="shared" si="36"/>
        <v>0</v>
      </c>
      <c r="AG27">
        <f t="shared" si="37"/>
        <v>0</v>
      </c>
      <c r="AK27">
        <f t="shared" si="38"/>
        <v>0</v>
      </c>
      <c r="AL27">
        <f t="shared" si="39"/>
        <v>0</v>
      </c>
      <c r="AM27">
        <f t="shared" si="40"/>
        <v>0</v>
      </c>
      <c r="AN27">
        <f t="shared" si="41"/>
        <v>0</v>
      </c>
      <c r="AP27">
        <f t="shared" si="44"/>
        <v>0</v>
      </c>
      <c r="AQ27" s="4">
        <f t="shared" si="45"/>
        <v>0</v>
      </c>
      <c r="AR27" s="4">
        <f t="shared" si="42"/>
        <v>0</v>
      </c>
      <c r="AS27" s="4">
        <f t="shared" si="42"/>
        <v>0</v>
      </c>
      <c r="AT27" s="4">
        <f t="shared" si="42"/>
        <v>0</v>
      </c>
      <c r="AU27" s="4">
        <f t="shared" si="42"/>
        <v>0</v>
      </c>
      <c r="AV27" s="4">
        <f t="shared" si="42"/>
        <v>0</v>
      </c>
      <c r="AW27" s="4">
        <f t="shared" si="42"/>
        <v>0</v>
      </c>
      <c r="AX27" s="4">
        <f t="shared" si="42"/>
        <v>0</v>
      </c>
      <c r="AY27" s="4">
        <f t="shared" si="42"/>
        <v>0</v>
      </c>
      <c r="AZ27" s="4">
        <f t="shared" si="42"/>
        <v>0</v>
      </c>
      <c r="BA27" s="4">
        <f t="shared" si="42"/>
        <v>0</v>
      </c>
      <c r="BB27" s="4">
        <f t="shared" si="42"/>
        <v>0</v>
      </c>
      <c r="BC27" s="4">
        <f t="shared" si="42"/>
        <v>0</v>
      </c>
      <c r="BD27" s="4">
        <f t="shared" si="42"/>
        <v>0</v>
      </c>
      <c r="BE27" s="4">
        <f t="shared" si="42"/>
        <v>0</v>
      </c>
      <c r="BF27" s="4">
        <f t="shared" si="42"/>
        <v>0</v>
      </c>
      <c r="BG27" s="4">
        <f t="shared" si="42"/>
        <v>0</v>
      </c>
      <c r="BH27" s="4">
        <f t="shared" si="43"/>
        <v>0</v>
      </c>
      <c r="BI27" s="4">
        <f t="shared" si="43"/>
        <v>0</v>
      </c>
      <c r="BJ27" s="4">
        <f t="shared" si="43"/>
        <v>0</v>
      </c>
      <c r="BK27" s="4">
        <f t="shared" si="43"/>
        <v>0</v>
      </c>
      <c r="BL27" s="4">
        <f t="shared" si="43"/>
        <v>0</v>
      </c>
      <c r="BM27" s="4">
        <f t="shared" si="43"/>
        <v>0</v>
      </c>
      <c r="BN27" s="4">
        <f t="shared" si="43"/>
        <v>0</v>
      </c>
    </row>
    <row r="28" spans="1:66" x14ac:dyDescent="0.2">
      <c r="A28" t="s">
        <v>46</v>
      </c>
      <c r="D28" t="s">
        <v>202</v>
      </c>
      <c r="G28" t="s">
        <v>57</v>
      </c>
      <c r="H28" t="s">
        <v>58</v>
      </c>
      <c r="I28" t="s">
        <v>59</v>
      </c>
      <c r="J28" t="s">
        <v>60</v>
      </c>
      <c r="K28">
        <f>AVERAGE(G39:G50)</f>
        <v>9.0909090909090912E-2</v>
      </c>
      <c r="L28">
        <f>MEDIAN(G39:G50)</f>
        <v>0</v>
      </c>
      <c r="M28">
        <f>MAX(G39:G50)</f>
        <v>1</v>
      </c>
      <c r="N28">
        <f>_xlfn.STDEV.S(G39:G50)</f>
        <v>0.30151134457776363</v>
      </c>
      <c r="P28">
        <f>AVERAGE(N39:N50)</f>
        <v>12</v>
      </c>
      <c r="Q28">
        <f>MEDIAN(N39:N50)</f>
        <v>9</v>
      </c>
      <c r="R28">
        <f>MAX(N39:N50)</f>
        <v>44</v>
      </c>
      <c r="S28">
        <f>_xlfn.STDEV.S(N39:N50)</f>
        <v>13.733171520082315</v>
      </c>
      <c r="Y28" t="s">
        <v>33</v>
      </c>
      <c r="Z28">
        <f>SUM(Z16:Z27)</f>
        <v>2</v>
      </c>
      <c r="AA28">
        <f>SUM(AA16:AA27)</f>
        <v>0</v>
      </c>
      <c r="AE28">
        <f>SUM(AE16:AE27)</f>
        <v>3</v>
      </c>
      <c r="AF28">
        <f>SUM(AF16:AF27)</f>
        <v>1</v>
      </c>
      <c r="AG28">
        <f>SUM(AG16:AG27)</f>
        <v>0</v>
      </c>
      <c r="AK28">
        <f>SUM(AK16:AK27)</f>
        <v>0</v>
      </c>
      <c r="AL28">
        <f>SUM(AL16:AL27)</f>
        <v>1</v>
      </c>
      <c r="AM28">
        <f>SUM(AM16:AM27)</f>
        <v>0</v>
      </c>
      <c r="AN28">
        <f>SUM(AN16:AN27)</f>
        <v>0</v>
      </c>
      <c r="AP28">
        <f>SUM(AP16:AP27)</f>
        <v>1</v>
      </c>
    </row>
    <row r="29" spans="1:66" x14ac:dyDescent="0.2">
      <c r="D29">
        <f>SUM(O39:O50)/F16</f>
        <v>1</v>
      </c>
      <c r="G29">
        <f>AVERAGE(A39:A50)</f>
        <v>0.36363636363636365</v>
      </c>
      <c r="H29">
        <f>MEDIAN(A39:A50)</f>
        <v>0</v>
      </c>
      <c r="I29">
        <f>MAX(A39:A50)</f>
        <v>1</v>
      </c>
      <c r="J29">
        <f>_xlfn.STDEV.S(A39:A50)</f>
        <v>0.50452497910951299</v>
      </c>
      <c r="K29" t="s">
        <v>63</v>
      </c>
      <c r="P29" t="s">
        <v>148</v>
      </c>
    </row>
    <row r="30" spans="1:66" x14ac:dyDescent="0.2">
      <c r="A30" t="s">
        <v>147</v>
      </c>
      <c r="D30" t="s">
        <v>203</v>
      </c>
      <c r="G30" t="s">
        <v>50</v>
      </c>
      <c r="H30" t="s">
        <v>51</v>
      </c>
      <c r="I30" t="s">
        <v>89</v>
      </c>
      <c r="K30" t="s">
        <v>57</v>
      </c>
      <c r="L30" t="s">
        <v>58</v>
      </c>
      <c r="M30" t="s">
        <v>59</v>
      </c>
      <c r="N30" t="s">
        <v>60</v>
      </c>
      <c r="P30" t="s">
        <v>57</v>
      </c>
      <c r="Q30" t="s">
        <v>58</v>
      </c>
      <c r="R30" t="s">
        <v>59</v>
      </c>
      <c r="S30" t="s">
        <v>60</v>
      </c>
      <c r="W30" t="s">
        <v>148</v>
      </c>
      <c r="Y30" t="s">
        <v>149</v>
      </c>
      <c r="AH30" t="s">
        <v>79</v>
      </c>
    </row>
    <row r="31" spans="1:66" x14ac:dyDescent="0.2">
      <c r="A31">
        <f>COUNT(B4:B15)</f>
        <v>11</v>
      </c>
      <c r="D31" s="2">
        <f>SUM(S39:S50)/SUM(Q39:Q50)</f>
        <v>0</v>
      </c>
      <c r="G31">
        <f>AE28/A31</f>
        <v>0.27272727272727271</v>
      </c>
      <c r="H31">
        <f>AF28/A31</f>
        <v>9.0909090909090912E-2</v>
      </c>
      <c r="I31">
        <f>AG28/A31</f>
        <v>0</v>
      </c>
      <c r="K31" t="e">
        <f>AVERAGE(I39:I50)</f>
        <v>#DIV/0!</v>
      </c>
      <c r="L31" t="e">
        <f>MEDIAN(I39:I50)</f>
        <v>#NUM!</v>
      </c>
      <c r="M31">
        <f>MAX(I39:I50)</f>
        <v>0</v>
      </c>
      <c r="N31" t="e">
        <f>_xlfn.STDEV.S(I39:I50)</f>
        <v>#DIV/0!</v>
      </c>
      <c r="P31">
        <f>AVERAGE(W31:W42)</f>
        <v>15.625</v>
      </c>
      <c r="Q31">
        <f>MEDIAN(W31:W42)</f>
        <v>12.5</v>
      </c>
      <c r="R31">
        <f>MAX(W31:W42)</f>
        <v>44</v>
      </c>
      <c r="S31">
        <f>_xlfn.STDEV.S(W31:W42)</f>
        <v>14.480898748745831</v>
      </c>
      <c r="W31">
        <f t="shared" ref="W31:W33" si="48">IF(AND(ISBLANK(Q4), ISBLANK(R4), ISBLANK(G4), ISBLANK(H4)), "", U4)</f>
        <v>9</v>
      </c>
      <c r="Y31">
        <f>IF(ISBLANK(Y4), IF(X4 = 0, "", (G4 + H4/3 + V4/9 + W4/3)), U4)</f>
        <v>9</v>
      </c>
      <c r="AH31" t="s">
        <v>80</v>
      </c>
    </row>
    <row r="32" spans="1:66" x14ac:dyDescent="0.2">
      <c r="D32" s="3"/>
      <c r="K32" t="s">
        <v>64</v>
      </c>
      <c r="P32" t="s">
        <v>149</v>
      </c>
      <c r="W32">
        <f t="shared" si="48"/>
        <v>1</v>
      </c>
      <c r="Y32">
        <f>IF(ISBLANK(Y5), IF(X5 = 0, "", (G5 + H5/3 + V5/9 + W5/3)), U5)</f>
        <v>1</v>
      </c>
      <c r="AH32" t="s">
        <v>81</v>
      </c>
    </row>
    <row r="33" spans="1:34" x14ac:dyDescent="0.2">
      <c r="A33" t="s">
        <v>227</v>
      </c>
      <c r="D33" s="3"/>
      <c r="K33" t="s">
        <v>57</v>
      </c>
      <c r="L33" t="s">
        <v>58</v>
      </c>
      <c r="M33" t="s">
        <v>59</v>
      </c>
      <c r="N33" t="s">
        <v>60</v>
      </c>
      <c r="P33" t="s">
        <v>57</v>
      </c>
      <c r="Q33" t="s">
        <v>58</v>
      </c>
      <c r="R33" t="s">
        <v>59</v>
      </c>
      <c r="S33" t="s">
        <v>60</v>
      </c>
      <c r="W33">
        <f t="shared" si="48"/>
        <v>21</v>
      </c>
      <c r="Y33">
        <f>IF(ISBLANK(Y6), IF(X6 = 0, "", (G6 + H6/3 + V6/9 + W6/3)), U6)</f>
        <v>21</v>
      </c>
      <c r="AH33" t="s">
        <v>82</v>
      </c>
    </row>
    <row r="34" spans="1:34" x14ac:dyDescent="0.2">
      <c r="A34" t="s">
        <v>324</v>
      </c>
      <c r="D34" s="3"/>
      <c r="K34">
        <f>AVERAGE(K39:K50)</f>
        <v>9.0909090909090912E-2</v>
      </c>
      <c r="L34">
        <f>MEDIAN(K39:K50)</f>
        <v>0</v>
      </c>
      <c r="M34">
        <f>MAX(K39:K50)</f>
        <v>1</v>
      </c>
      <c r="N34">
        <f>_xlfn.STDEV.S(K39:K50)</f>
        <v>0.30151134457776363</v>
      </c>
      <c r="P34">
        <f>AVERAGE(Y31:Y42)</f>
        <v>11.75</v>
      </c>
      <c r="Q34">
        <f>MEDIAN(Y31:Y42)</f>
        <v>11.5</v>
      </c>
      <c r="R34">
        <f>MAX(Y31:Y42)</f>
        <v>21</v>
      </c>
      <c r="S34">
        <f>_xlfn.STDEV.S(Y31:Y42)</f>
        <v>6.2278177787820903</v>
      </c>
      <c r="W34">
        <f>IF(AND(ISBLANK(Q7), ISBLANK(R7), ISBLANK(G7), ISBLANK(H7)), "", U7)</f>
        <v>9</v>
      </c>
      <c r="Y34">
        <f>IF(ISBLANK(Y7), IF(X7 = 0, "", (G7 + H7/3 + V7/9 + W7/3)), U7)</f>
        <v>9</v>
      </c>
      <c r="AH34" t="s">
        <v>83</v>
      </c>
    </row>
    <row r="35" spans="1:34" x14ac:dyDescent="0.2">
      <c r="A35" t="s">
        <v>332</v>
      </c>
      <c r="P35" t="s">
        <v>95</v>
      </c>
      <c r="R35" t="s">
        <v>197</v>
      </c>
      <c r="W35" t="str">
        <f>IF(AND(ISBLANK(Q8), ISBLANK(R8), ISBLANK(G8), ISBLANK(H8)), "", U8)</f>
        <v/>
      </c>
      <c r="Y35" t="str">
        <f>IF(ISBLANK(Y8), IF(X8 = 0, "", (G8 + H8/3 + V8/9 + W8/3)), U8)</f>
        <v/>
      </c>
    </row>
    <row r="36" spans="1:34" x14ac:dyDescent="0.2">
      <c r="P36">
        <f>Q16/(Q16+R16)</f>
        <v>0</v>
      </c>
      <c r="R36">
        <f>R16/(Q16+R16)</f>
        <v>1</v>
      </c>
      <c r="W36" t="str">
        <f>IF(AND(ISBLANK('11'!Q8), ISBLANK('11'!R8), ISBLANK('11'!G8), ISBLANK('11'!H8)), "", '11'!U8)</f>
        <v/>
      </c>
      <c r="Y36" t="str">
        <f>IF(ISBLANK(Y9), IF(X9 = 0, "", ('11'!G8 + '11'!H8/3 + '11'!V8/9 + W9/3)), '11'!U8)</f>
        <v/>
      </c>
    </row>
    <row r="37" spans="1:34" x14ac:dyDescent="0.2">
      <c r="W37">
        <f t="shared" ref="W37:W42" si="49">IF(AND(ISBLANK(Q10), ISBLANK(R10), ISBLANK(G10), ISBLANK(H10)), "", U10)</f>
        <v>16</v>
      </c>
      <c r="Y37">
        <f t="shared" ref="Y37:Y42" si="50">IF(ISBLANK(Y10), IF(X10 = 0, "", (G10 + H10/3 + V10/9 + W10/3)), U10)</f>
        <v>16</v>
      </c>
    </row>
    <row r="38" spans="1:34" x14ac:dyDescent="0.2">
      <c r="A38" t="s">
        <v>68</v>
      </c>
      <c r="C38" t="s">
        <v>69</v>
      </c>
      <c r="E38" t="s">
        <v>72</v>
      </c>
      <c r="G38" t="s">
        <v>250</v>
      </c>
      <c r="K38" t="s">
        <v>73</v>
      </c>
      <c r="M38" t="s">
        <v>70</v>
      </c>
      <c r="N38" t="s">
        <v>71</v>
      </c>
      <c r="O38" t="s">
        <v>199</v>
      </c>
      <c r="Q38" t="s">
        <v>200</v>
      </c>
      <c r="S38" t="s">
        <v>201</v>
      </c>
      <c r="W38" t="str">
        <f t="shared" si="49"/>
        <v/>
      </c>
      <c r="Y38" t="str">
        <f t="shared" si="50"/>
        <v/>
      </c>
    </row>
    <row r="39" spans="1:34" x14ac:dyDescent="0.2">
      <c r="A39">
        <f>IF(ISBLANK(B4), "", SUM(AE16+AF16+AG16))</f>
        <v>1</v>
      </c>
      <c r="C39">
        <f>IF(ISBLANK(B4), "", O4)</f>
        <v>4</v>
      </c>
      <c r="E39">
        <f>IF(ISBLANK(B4), "", Q4)</f>
        <v>0</v>
      </c>
      <c r="G39">
        <f>IF(ISBLANK(B4), "", R4)</f>
        <v>0</v>
      </c>
      <c r="K39">
        <f>IF(ISBLANK(B4), "", SUM(Q4 + R4))</f>
        <v>0</v>
      </c>
      <c r="M39">
        <f>IF(ISBLANK(B4), "", SUM(K4+M4) - O4)</f>
        <v>-1</v>
      </c>
      <c r="N39">
        <f>IF(ISBLANK(B4), "", U4)</f>
        <v>9</v>
      </c>
      <c r="O39">
        <f>COUNTIF(E4, "1")*COUNTIF(F4, "1")</f>
        <v>0</v>
      </c>
      <c r="Q39">
        <f>COUNTIF(D4, "1")*COUNTIF(F4, "")</f>
        <v>0</v>
      </c>
      <c r="S39">
        <f>COUNTIF(E4, "1")*COUNTIF(F4, "")</f>
        <v>0</v>
      </c>
      <c r="W39">
        <f t="shared" si="49"/>
        <v>25</v>
      </c>
      <c r="Y39">
        <f t="shared" si="50"/>
        <v>14</v>
      </c>
    </row>
    <row r="40" spans="1:34" x14ac:dyDescent="0.2">
      <c r="A40">
        <f>IF(ISBLANK(B5), "", SUM(AE17+AF17+AG17))</f>
        <v>1</v>
      </c>
      <c r="C40">
        <f>IF(ISBLANK(B5), "", O5)</f>
        <v>1</v>
      </c>
      <c r="E40">
        <f>IF(ISBLANK(B5), "", Q5)</f>
        <v>0</v>
      </c>
      <c r="G40">
        <f>IF(ISBLANK(B5), "", R5)</f>
        <v>1</v>
      </c>
      <c r="K40">
        <f>IF(ISBLANK(B5), "", SUM(Q5 + R5))</f>
        <v>1</v>
      </c>
      <c r="M40">
        <f>IF(ISBLANK(B5), "", SUM(K5+M5) - O5)</f>
        <v>0</v>
      </c>
      <c r="N40">
        <f>IF(ISBLANK(B5), "", U5)</f>
        <v>1</v>
      </c>
      <c r="O40">
        <f>COUNTIF(E5, "1")*COUNTIF(F5, "1")</f>
        <v>0</v>
      </c>
      <c r="Q40">
        <f>COUNTIF(D5, "1")*COUNTIF(F5, "")</f>
        <v>0</v>
      </c>
      <c r="S40">
        <f>COUNTIF(E5, "1")*COUNTIF(F5, "")</f>
        <v>0</v>
      </c>
      <c r="W40">
        <f t="shared" si="49"/>
        <v>44</v>
      </c>
      <c r="Y40">
        <f t="shared" si="50"/>
        <v>8</v>
      </c>
    </row>
    <row r="41" spans="1:34" x14ac:dyDescent="0.2">
      <c r="A41">
        <f>IF(ISBLANK(B6), "", SUM(AE18+AF18+AG18))</f>
        <v>0</v>
      </c>
      <c r="C41">
        <f>IF(ISBLANK(B6), "", O6)</f>
        <v>2</v>
      </c>
      <c r="E41">
        <f>IF(ISBLANK(B6), "", Q6)</f>
        <v>0</v>
      </c>
      <c r="G41">
        <f>IF(ISBLANK(B6), "", R6)</f>
        <v>0</v>
      </c>
      <c r="K41">
        <f>IF(ISBLANK(B6), "", SUM(Q6 + R6))</f>
        <v>0</v>
      </c>
      <c r="M41">
        <f>IF(ISBLANK(B6), "", SUM(K6+M6) - O6)</f>
        <v>1</v>
      </c>
      <c r="N41">
        <f>IF(ISBLANK(B6), "", U6)</f>
        <v>21</v>
      </c>
      <c r="O41">
        <f>COUNTIF(E6, "1")*COUNTIF(F6, "1")</f>
        <v>0</v>
      </c>
      <c r="Q41">
        <f>COUNTIF(D6, "1")*COUNTIF(F6, "")</f>
        <v>0</v>
      </c>
      <c r="S41">
        <f>COUNTIF(E6, "1")*COUNTIF(F6, "")</f>
        <v>0</v>
      </c>
      <c r="W41">
        <f t="shared" si="49"/>
        <v>0</v>
      </c>
      <c r="Y41">
        <f t="shared" si="50"/>
        <v>16</v>
      </c>
    </row>
    <row r="42" spans="1:34" x14ac:dyDescent="0.2">
      <c r="A42">
        <f>IF(ISBLANK(B7), "", SUM(AE19+AF19+AG19))</f>
        <v>1</v>
      </c>
      <c r="C42">
        <f>IF(ISBLANK(B7), "", O7)</f>
        <v>4</v>
      </c>
      <c r="E42">
        <f>IF(ISBLANK(B7), "", Q7)</f>
        <v>0</v>
      </c>
      <c r="G42">
        <f>IF(ISBLANK(B7), "", R7)</f>
        <v>0</v>
      </c>
      <c r="K42">
        <f>IF(ISBLANK(B7), "", SUM(Q7 + R7))</f>
        <v>0</v>
      </c>
      <c r="M42">
        <f>IF(ISBLANK(B7), "", SUM(K7+M7) - O7)</f>
        <v>-1</v>
      </c>
      <c r="N42">
        <f>IF(ISBLANK(B7), "", U7)</f>
        <v>9</v>
      </c>
      <c r="O42">
        <f>COUNTIF(E7, "1")*COUNTIF(F7, "1")</f>
        <v>0</v>
      </c>
      <c r="Q42">
        <f>COUNTIF(D7, "1")*COUNTIF(F7, "")</f>
        <v>0</v>
      </c>
      <c r="S42">
        <f>COUNTIF(E7, "1")*COUNTIF(F7, "")</f>
        <v>0</v>
      </c>
      <c r="W42" t="str">
        <f t="shared" si="49"/>
        <v/>
      </c>
      <c r="Y42" t="str">
        <f t="shared" si="50"/>
        <v/>
      </c>
    </row>
    <row r="43" spans="1:34" x14ac:dyDescent="0.2">
      <c r="A43">
        <f>IF(ISBLANK(B8), "", SUM(AE20+AF20+AG20))</f>
        <v>0</v>
      </c>
      <c r="C43">
        <f>IF(ISBLANK(B8), "", O8)</f>
        <v>3</v>
      </c>
      <c r="E43">
        <f>IF(ISBLANK(B8), "", Q8)</f>
        <v>0</v>
      </c>
      <c r="G43">
        <f>IF(ISBLANK(B8), "", R8)</f>
        <v>0</v>
      </c>
      <c r="K43">
        <f>IF(ISBLANK(B8), "", SUM(Q8 + R8))</f>
        <v>0</v>
      </c>
      <c r="M43">
        <f>IF(ISBLANK(B8), "", SUM(K8+M8) - O8)</f>
        <v>0</v>
      </c>
      <c r="N43">
        <f>IF(ISBLANK(B8), "", U8)</f>
        <v>7</v>
      </c>
      <c r="O43">
        <f>COUNTIF(E8, "1")*COUNTIF(F8, "1")</f>
        <v>1</v>
      </c>
      <c r="Q43">
        <f>COUNTIF(D8, "1")*COUNTIF(F8, "")</f>
        <v>0</v>
      </c>
      <c r="S43">
        <f>COUNTIF(E8, "1")*COUNTIF(F8, "")</f>
        <v>0</v>
      </c>
    </row>
    <row r="44" spans="1:34" x14ac:dyDescent="0.2">
      <c r="A44">
        <f>IF(ISBLANK('11'!B8), "", SUM(AE21+AF21+AG21))</f>
        <v>0</v>
      </c>
      <c r="C44">
        <f>IF(ISBLANK('11'!B8), "", '11'!O8)</f>
        <v>4</v>
      </c>
      <c r="E44">
        <f>IF(ISBLANK('11'!B8), "", '11'!Q8)</f>
        <v>0</v>
      </c>
      <c r="G44">
        <f>IF(ISBLANK('11'!B8), "", '11'!R8)</f>
        <v>0</v>
      </c>
      <c r="K44">
        <f>IF(ISBLANK('11'!B8), "", SUM('11'!Q8 + '11'!R8))</f>
        <v>0</v>
      </c>
      <c r="M44">
        <f>IF(ISBLANK('11'!B8), "", SUM('11'!K8+'11'!M8) - '11'!O8)</f>
        <v>-1</v>
      </c>
      <c r="N44">
        <f>IF(ISBLANK('11'!B8), "", '11'!U8)</f>
        <v>0</v>
      </c>
      <c r="O44">
        <f>COUNTIF('11'!E8, "1")*COUNTIF('11'!F8, "1")</f>
        <v>0</v>
      </c>
      <c r="Q44">
        <f>COUNTIF('11'!D8, "1")*COUNTIF('11'!F8, "")</f>
        <v>0</v>
      </c>
      <c r="S44">
        <f>COUNTIF('11'!E8, "1")*COUNTIF('11'!F8, "")</f>
        <v>0</v>
      </c>
    </row>
    <row r="45" spans="1:34" x14ac:dyDescent="0.2">
      <c r="A45">
        <f t="shared" ref="A45:A50" si="51">IF(ISBLANK(B10), "", SUM(AE22+AF22+AG22))</f>
        <v>0</v>
      </c>
      <c r="C45">
        <f t="shared" ref="C45:C50" si="52">IF(ISBLANK(B10), "", O10)</f>
        <v>3</v>
      </c>
      <c r="E45">
        <f t="shared" ref="E45:E50" si="53">IF(ISBLANK(B10), "", Q10)</f>
        <v>0</v>
      </c>
      <c r="G45">
        <f t="shared" ref="G45:G50" si="54">IF(ISBLANK(B10), "", R10)</f>
        <v>0</v>
      </c>
      <c r="K45">
        <f t="shared" ref="K45:K50" si="55">IF(ISBLANK(B10), "", SUM(Q10 + R10))</f>
        <v>0</v>
      </c>
      <c r="M45">
        <f t="shared" ref="M45:M50" si="56">IF(ISBLANK(B10), "", SUM(K10+M10) - O10)</f>
        <v>0</v>
      </c>
      <c r="N45">
        <f t="shared" ref="N45:N50" si="57">IF(ISBLANK(B10), "", U10)</f>
        <v>16</v>
      </c>
      <c r="O45">
        <f t="shared" ref="O45:O50" si="58">COUNTIF(E10, "1")*COUNTIF(F10, "1")</f>
        <v>0</v>
      </c>
      <c r="Q45">
        <f t="shared" ref="Q45:Q50" si="59">COUNTIF(D10, "1")*COUNTIF(F10, "")</f>
        <v>0</v>
      </c>
      <c r="S45">
        <f t="shared" ref="S45:S50" si="60">COUNTIF(E10, "1")*COUNTIF(F10, "")</f>
        <v>0</v>
      </c>
    </row>
    <row r="46" spans="1:34" x14ac:dyDescent="0.2">
      <c r="A46">
        <f t="shared" si="51"/>
        <v>0</v>
      </c>
      <c r="C46">
        <f t="shared" si="52"/>
        <v>3</v>
      </c>
      <c r="E46">
        <f t="shared" si="53"/>
        <v>0</v>
      </c>
      <c r="G46">
        <f t="shared" si="54"/>
        <v>0</v>
      </c>
      <c r="K46">
        <f t="shared" si="55"/>
        <v>0</v>
      </c>
      <c r="M46">
        <f t="shared" si="56"/>
        <v>0</v>
      </c>
      <c r="N46">
        <f t="shared" si="57"/>
        <v>0</v>
      </c>
      <c r="O46">
        <f t="shared" si="58"/>
        <v>0</v>
      </c>
      <c r="Q46">
        <f t="shared" si="59"/>
        <v>1</v>
      </c>
      <c r="S46">
        <f t="shared" si="60"/>
        <v>0</v>
      </c>
    </row>
    <row r="47" spans="1:34" x14ac:dyDescent="0.2">
      <c r="A47">
        <f t="shared" si="51"/>
        <v>0</v>
      </c>
      <c r="C47">
        <f t="shared" si="52"/>
        <v>2</v>
      </c>
      <c r="E47">
        <f t="shared" si="53"/>
        <v>0</v>
      </c>
      <c r="G47">
        <f t="shared" si="54"/>
        <v>0</v>
      </c>
      <c r="K47">
        <f t="shared" si="55"/>
        <v>0</v>
      </c>
      <c r="M47">
        <f t="shared" si="56"/>
        <v>-1</v>
      </c>
      <c r="N47">
        <f t="shared" si="57"/>
        <v>25</v>
      </c>
      <c r="O47">
        <f t="shared" si="58"/>
        <v>0</v>
      </c>
      <c r="Q47">
        <f t="shared" si="59"/>
        <v>0</v>
      </c>
      <c r="S47">
        <f t="shared" si="60"/>
        <v>0</v>
      </c>
    </row>
    <row r="48" spans="1:34" x14ac:dyDescent="0.2">
      <c r="A48">
        <f t="shared" si="51"/>
        <v>0</v>
      </c>
      <c r="C48">
        <f t="shared" si="52"/>
        <v>2</v>
      </c>
      <c r="E48">
        <f t="shared" si="53"/>
        <v>0</v>
      </c>
      <c r="G48">
        <f t="shared" si="54"/>
        <v>0</v>
      </c>
      <c r="K48">
        <f t="shared" si="55"/>
        <v>0</v>
      </c>
      <c r="M48">
        <f t="shared" si="56"/>
        <v>-1</v>
      </c>
      <c r="N48">
        <f t="shared" si="57"/>
        <v>44</v>
      </c>
      <c r="O48">
        <f t="shared" si="58"/>
        <v>0</v>
      </c>
      <c r="Q48">
        <f t="shared" si="59"/>
        <v>0</v>
      </c>
      <c r="S48">
        <f t="shared" si="60"/>
        <v>0</v>
      </c>
    </row>
    <row r="49" spans="1:19" x14ac:dyDescent="0.2">
      <c r="A49">
        <f t="shared" si="51"/>
        <v>1</v>
      </c>
      <c r="C49">
        <f t="shared" si="52"/>
        <v>1</v>
      </c>
      <c r="E49">
        <f t="shared" si="53"/>
        <v>0</v>
      </c>
      <c r="G49">
        <f t="shared" si="54"/>
        <v>0</v>
      </c>
      <c r="K49">
        <f t="shared" si="55"/>
        <v>0</v>
      </c>
      <c r="M49">
        <f t="shared" si="56"/>
        <v>0</v>
      </c>
      <c r="N49">
        <f t="shared" si="57"/>
        <v>0</v>
      </c>
      <c r="O49">
        <f t="shared" si="58"/>
        <v>0</v>
      </c>
      <c r="Q49">
        <f t="shared" si="59"/>
        <v>0</v>
      </c>
      <c r="S49">
        <f t="shared" si="60"/>
        <v>0</v>
      </c>
    </row>
    <row r="50" spans="1:19" x14ac:dyDescent="0.2">
      <c r="A50" t="str">
        <f t="shared" si="51"/>
        <v/>
      </c>
      <c r="C50" t="str">
        <f t="shared" si="52"/>
        <v/>
      </c>
      <c r="E50" t="str">
        <f t="shared" si="53"/>
        <v/>
      </c>
      <c r="G50" t="str">
        <f t="shared" si="54"/>
        <v/>
      </c>
      <c r="K50" t="str">
        <f t="shared" si="55"/>
        <v/>
      </c>
      <c r="M50" t="str">
        <f t="shared" si="56"/>
        <v/>
      </c>
      <c r="N50" t="str">
        <f t="shared" si="57"/>
        <v/>
      </c>
      <c r="O50">
        <f t="shared" si="58"/>
        <v>0</v>
      </c>
      <c r="Q50">
        <f t="shared" si="59"/>
        <v>0</v>
      </c>
      <c r="S50">
        <f t="shared" si="60"/>
        <v>0</v>
      </c>
    </row>
  </sheetData>
  <pageMargins left="0.7" right="0.7" top="0.75" bottom="0.75" header="0.3" footer="0.3"/>
  <legacyDrawing r:id="rId1"/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3" enableFormatConditionsCalculation="0"/>
  <dimension ref="A1:BN50"/>
  <sheetViews>
    <sheetView topLeftCell="B1" workbookViewId="0">
      <selection activeCell="U15" sqref="U15"/>
    </sheetView>
  </sheetViews>
  <sheetFormatPr baseColWidth="10" defaultRowHeight="15" x14ac:dyDescent="0.2"/>
  <sheetData>
    <row r="1" spans="1:66" x14ac:dyDescent="0.2">
      <c r="A1" s="1" t="s">
        <v>0</v>
      </c>
      <c r="D1" t="s">
        <v>3</v>
      </c>
      <c r="K1" t="s">
        <v>11</v>
      </c>
      <c r="N1" t="s">
        <v>12</v>
      </c>
      <c r="P1" t="s">
        <v>14</v>
      </c>
      <c r="Q1" t="s">
        <v>17</v>
      </c>
      <c r="S1" t="s">
        <v>18</v>
      </c>
      <c r="Z1" t="s">
        <v>29</v>
      </c>
      <c r="AE1" t="s">
        <v>30</v>
      </c>
      <c r="AK1" t="s">
        <v>42</v>
      </c>
    </row>
    <row r="2" spans="1:66" x14ac:dyDescent="0.2">
      <c r="A2" t="s">
        <v>1</v>
      </c>
      <c r="B2" t="s">
        <v>1</v>
      </c>
      <c r="C2" t="s">
        <v>87</v>
      </c>
      <c r="D2" t="s">
        <v>54</v>
      </c>
      <c r="E2" t="s">
        <v>13</v>
      </c>
      <c r="F2" t="s">
        <v>198</v>
      </c>
      <c r="G2" t="s">
        <v>7</v>
      </c>
      <c r="H2" t="s">
        <v>8</v>
      </c>
      <c r="I2" t="s">
        <v>179</v>
      </c>
      <c r="J2" t="s">
        <v>178</v>
      </c>
      <c r="K2" t="s">
        <v>9</v>
      </c>
      <c r="L2" t="s">
        <v>196</v>
      </c>
      <c r="M2" t="s">
        <v>10</v>
      </c>
      <c r="N2" t="s">
        <v>54</v>
      </c>
      <c r="O2" t="s">
        <v>13</v>
      </c>
      <c r="P2" t="s">
        <v>15</v>
      </c>
      <c r="Q2" t="s">
        <v>8</v>
      </c>
      <c r="R2" t="s">
        <v>7</v>
      </c>
      <c r="S2" t="s">
        <v>181</v>
      </c>
      <c r="T2" t="s">
        <v>182</v>
      </c>
      <c r="U2" t="s">
        <v>19</v>
      </c>
      <c r="V2" t="s">
        <v>191</v>
      </c>
      <c r="W2" t="s">
        <v>192</v>
      </c>
      <c r="X2" t="s">
        <v>175</v>
      </c>
      <c r="Y2" t="s">
        <v>173</v>
      </c>
      <c r="Z2" t="str">
        <f t="shared" ref="Z2:Z13" si="0">LEFT(I4, 1)</f>
        <v/>
      </c>
      <c r="AA2" t="str">
        <f t="shared" ref="AA2:AA13" si="1">MID(I4, 4, 1)</f>
        <v/>
      </c>
      <c r="AB2" t="str">
        <f t="shared" ref="AB2:AB13" si="2">MID(I4, 7, 1)</f>
        <v/>
      </c>
      <c r="AC2" t="str">
        <f t="shared" ref="AC2:AC13" si="3">MID(I4, 10, 1)</f>
        <v/>
      </c>
      <c r="AE2" t="str">
        <f t="shared" ref="AE2:AE13" si="4">LEFT(J4, 1)</f>
        <v>1</v>
      </c>
      <c r="AF2" t="str">
        <f t="shared" ref="AF2:AF13" si="5">MID(J4, 4, 1)</f>
        <v/>
      </c>
      <c r="AG2" t="str">
        <f t="shared" ref="AG2:AG13" si="6">MID(J4, 7, 1)</f>
        <v/>
      </c>
      <c r="AH2" t="str">
        <f t="shared" ref="AH2:AH13" si="7">MID(J4, 10, 1)</f>
        <v/>
      </c>
      <c r="AI2" t="str">
        <f t="shared" ref="AI2:AI13" si="8">MID(J4, 13, 1)</f>
        <v/>
      </c>
      <c r="AK2" t="str">
        <f t="shared" ref="AK2:AK13" si="9">LEFT(P4, 2)</f>
        <v/>
      </c>
      <c r="AL2" t="str">
        <f>MID($P4, 5, 2)</f>
        <v/>
      </c>
      <c r="AM2" t="str">
        <f t="shared" ref="AM2:AM13" si="10">MID($P4, 9, 2)</f>
        <v/>
      </c>
      <c r="AN2" t="str">
        <f t="shared" ref="AN2:AN13" si="11">MID($P4, 13, 2)</f>
        <v/>
      </c>
      <c r="AO2" t="str">
        <f t="shared" ref="AO2:AO13" si="12">MID($P4, 17, 2)</f>
        <v/>
      </c>
      <c r="AP2" t="str">
        <f t="shared" ref="AP2:AP13" si="13">MID($P4, 21, 2)</f>
        <v/>
      </c>
      <c r="AQ2" t="str">
        <f t="shared" ref="AQ2:AQ13" si="14">MID($P4, 25, 2)</f>
        <v/>
      </c>
      <c r="AR2" t="str">
        <f t="shared" ref="AR2:AR13" si="15">MID($P4, 29, 2)</f>
        <v/>
      </c>
      <c r="AS2" t="str">
        <f t="shared" ref="AS2:AS13" si="16">MID($P4, 33, 2)</f>
        <v/>
      </c>
      <c r="AT2" t="str">
        <f t="shared" ref="AT2:AT13" si="17">MID($P4, 37, 2)</f>
        <v/>
      </c>
      <c r="AU2" t="str">
        <f t="shared" ref="AU2:AU13" si="18">MID($P4, 41, 2)</f>
        <v/>
      </c>
      <c r="AV2" t="str">
        <f t="shared" ref="AV2:AV13" si="19">MID($P4, 45, 2)</f>
        <v/>
      </c>
      <c r="AW2" t="str">
        <f t="shared" ref="AW2:AW13" si="20">MID($P4, 49, 2)</f>
        <v/>
      </c>
      <c r="AX2" t="str">
        <f t="shared" ref="AX2:AX13" si="21">MID($P4, 53, 2)</f>
        <v/>
      </c>
      <c r="AY2" t="str">
        <f t="shared" ref="AY2:AY13" si="22">MID($P4, 57, 2)</f>
        <v/>
      </c>
      <c r="AZ2" t="str">
        <f t="shared" ref="AZ2:AZ13" si="23">MID($P4, 61, 2)</f>
        <v/>
      </c>
      <c r="BA2" t="str">
        <f t="shared" ref="BA2:BA13" si="24">MID($P4, 65, 2)</f>
        <v/>
      </c>
      <c r="BB2" t="str">
        <f t="shared" ref="BB2:BB13" si="25">MID($P4, 69, 2)</f>
        <v/>
      </c>
      <c r="BC2" t="str">
        <f t="shared" ref="BC2:BC13" si="26">MID($P4, 73, 2)</f>
        <v/>
      </c>
      <c r="BD2" t="str">
        <f t="shared" ref="BD2:BD13" si="27">MID($P4, 77, 2)</f>
        <v/>
      </c>
      <c r="BE2" t="str">
        <f t="shared" ref="BE2:BE13" si="28">MID($P4, 81, 2)</f>
        <v/>
      </c>
      <c r="BF2" t="str">
        <f t="shared" ref="BF2:BF13" si="29">MID($P4, 85, 2)</f>
        <v/>
      </c>
      <c r="BG2" t="str">
        <f t="shared" ref="BG2:BG13" si="30">MID($P4, 89, 2)</f>
        <v/>
      </c>
      <c r="BH2" t="str">
        <f t="shared" ref="BH2:BH13" si="31">MID($P4, 93, 2)</f>
        <v/>
      </c>
    </row>
    <row r="3" spans="1:66" x14ac:dyDescent="0.2">
      <c r="A3" t="s">
        <v>2</v>
      </c>
      <c r="B3" t="s">
        <v>6</v>
      </c>
      <c r="C3" t="s">
        <v>88</v>
      </c>
      <c r="D3" t="s">
        <v>6</v>
      </c>
      <c r="E3" t="s">
        <v>6</v>
      </c>
      <c r="F3" t="s">
        <v>4</v>
      </c>
      <c r="G3" t="s">
        <v>6</v>
      </c>
      <c r="H3" t="s">
        <v>6</v>
      </c>
      <c r="I3" t="s">
        <v>86</v>
      </c>
      <c r="J3" t="s">
        <v>86</v>
      </c>
      <c r="K3" t="s">
        <v>6</v>
      </c>
      <c r="L3" t="s">
        <v>6</v>
      </c>
      <c r="M3" t="s">
        <v>6</v>
      </c>
      <c r="N3" t="s">
        <v>6</v>
      </c>
      <c r="O3" t="s">
        <v>6</v>
      </c>
      <c r="P3" t="s">
        <v>16</v>
      </c>
      <c r="Q3" t="s">
        <v>6</v>
      </c>
      <c r="R3" t="s">
        <v>6</v>
      </c>
      <c r="S3" t="s">
        <v>4</v>
      </c>
      <c r="T3" t="s">
        <v>4</v>
      </c>
      <c r="U3" t="s">
        <v>6</v>
      </c>
      <c r="V3" t="s">
        <v>6</v>
      </c>
      <c r="W3" t="s">
        <v>6</v>
      </c>
      <c r="X3" t="s">
        <v>6</v>
      </c>
      <c r="Y3" t="s">
        <v>174</v>
      </c>
      <c r="Z3" t="str">
        <f t="shared" si="0"/>
        <v/>
      </c>
      <c r="AA3" t="str">
        <f t="shared" si="1"/>
        <v/>
      </c>
      <c r="AB3" t="str">
        <f t="shared" si="2"/>
        <v/>
      </c>
      <c r="AC3" t="str">
        <f t="shared" si="3"/>
        <v/>
      </c>
      <c r="AE3" t="str">
        <f t="shared" si="4"/>
        <v/>
      </c>
      <c r="AF3" t="str">
        <f t="shared" si="5"/>
        <v/>
      </c>
      <c r="AG3" t="str">
        <f t="shared" si="6"/>
        <v/>
      </c>
      <c r="AH3" t="str">
        <f t="shared" si="7"/>
        <v/>
      </c>
      <c r="AI3" t="str">
        <f t="shared" si="8"/>
        <v/>
      </c>
      <c r="AK3" t="str">
        <f t="shared" si="9"/>
        <v/>
      </c>
      <c r="AL3" t="str">
        <f t="shared" ref="AL3:AL13" si="32">MID(P5, 5, 2)</f>
        <v/>
      </c>
      <c r="AM3" t="str">
        <f t="shared" si="10"/>
        <v/>
      </c>
      <c r="AN3" t="str">
        <f t="shared" si="11"/>
        <v/>
      </c>
      <c r="AO3" t="str">
        <f t="shared" si="12"/>
        <v/>
      </c>
      <c r="AP3" t="str">
        <f t="shared" si="13"/>
        <v/>
      </c>
      <c r="AQ3" t="str">
        <f t="shared" si="14"/>
        <v/>
      </c>
      <c r="AR3" t="str">
        <f t="shared" si="15"/>
        <v/>
      </c>
      <c r="AS3" t="str">
        <f t="shared" si="16"/>
        <v/>
      </c>
      <c r="AT3" t="str">
        <f t="shared" si="17"/>
        <v/>
      </c>
      <c r="AU3" t="str">
        <f t="shared" si="18"/>
        <v/>
      </c>
      <c r="AV3" t="str">
        <f t="shared" si="19"/>
        <v/>
      </c>
      <c r="AW3" t="str">
        <f t="shared" si="20"/>
        <v/>
      </c>
      <c r="AX3" t="str">
        <f t="shared" si="21"/>
        <v/>
      </c>
      <c r="AY3" t="str">
        <f t="shared" si="22"/>
        <v/>
      </c>
      <c r="AZ3" t="str">
        <f t="shared" si="23"/>
        <v/>
      </c>
      <c r="BA3" t="str">
        <f t="shared" si="24"/>
        <v/>
      </c>
      <c r="BB3" t="str">
        <f t="shared" si="25"/>
        <v/>
      </c>
      <c r="BC3" t="str">
        <f t="shared" si="26"/>
        <v/>
      </c>
      <c r="BD3" t="str">
        <f t="shared" si="27"/>
        <v/>
      </c>
      <c r="BE3" t="str">
        <f t="shared" si="28"/>
        <v/>
      </c>
      <c r="BF3" t="str">
        <f t="shared" si="29"/>
        <v/>
      </c>
      <c r="BG3" t="str">
        <f t="shared" si="30"/>
        <v/>
      </c>
      <c r="BH3" t="str">
        <f t="shared" si="31"/>
        <v/>
      </c>
    </row>
    <row r="4" spans="1:66" x14ac:dyDescent="0.2">
      <c r="A4">
        <v>1</v>
      </c>
      <c r="B4">
        <v>10</v>
      </c>
      <c r="C4" t="s">
        <v>207</v>
      </c>
      <c r="D4">
        <v>1</v>
      </c>
      <c r="J4">
        <v>1</v>
      </c>
      <c r="K4">
        <v>2</v>
      </c>
      <c r="L4">
        <v>5</v>
      </c>
      <c r="N4">
        <v>1</v>
      </c>
      <c r="O4">
        <v>1</v>
      </c>
      <c r="S4">
        <v>1</v>
      </c>
      <c r="T4">
        <v>1</v>
      </c>
      <c r="X4">
        <f t="shared" ref="X4:X15" si="33">G4+H4+Q4+R4</f>
        <v>0</v>
      </c>
      <c r="Z4" t="str">
        <f t="shared" si="0"/>
        <v/>
      </c>
      <c r="AA4" t="str">
        <f t="shared" si="1"/>
        <v/>
      </c>
      <c r="AB4" t="str">
        <f t="shared" si="2"/>
        <v/>
      </c>
      <c r="AC4" t="str">
        <f t="shared" si="3"/>
        <v/>
      </c>
      <c r="AE4" t="str">
        <f t="shared" si="4"/>
        <v/>
      </c>
      <c r="AF4" t="str">
        <f t="shared" si="5"/>
        <v/>
      </c>
      <c r="AG4" t="str">
        <f t="shared" si="6"/>
        <v/>
      </c>
      <c r="AH4" t="str">
        <f t="shared" si="7"/>
        <v/>
      </c>
      <c r="AI4" t="str">
        <f t="shared" si="8"/>
        <v/>
      </c>
      <c r="AK4" t="str">
        <f t="shared" si="9"/>
        <v/>
      </c>
      <c r="AL4" t="str">
        <f t="shared" si="32"/>
        <v/>
      </c>
      <c r="AM4" t="str">
        <f t="shared" si="10"/>
        <v/>
      </c>
      <c r="AN4" t="str">
        <f t="shared" si="11"/>
        <v/>
      </c>
      <c r="AO4" t="str">
        <f t="shared" si="12"/>
        <v/>
      </c>
      <c r="AP4" t="str">
        <f t="shared" si="13"/>
        <v/>
      </c>
      <c r="AQ4" t="str">
        <f t="shared" si="14"/>
        <v/>
      </c>
      <c r="AR4" t="str">
        <f t="shared" si="15"/>
        <v/>
      </c>
      <c r="AS4" t="str">
        <f t="shared" si="16"/>
        <v/>
      </c>
      <c r="AT4" t="str">
        <f t="shared" si="17"/>
        <v/>
      </c>
      <c r="AU4" t="str">
        <f t="shared" si="18"/>
        <v/>
      </c>
      <c r="AV4" t="str">
        <f t="shared" si="19"/>
        <v/>
      </c>
      <c r="AW4" t="str">
        <f t="shared" si="20"/>
        <v/>
      </c>
      <c r="AX4" t="str">
        <f t="shared" si="21"/>
        <v/>
      </c>
      <c r="AY4" t="str">
        <f t="shared" si="22"/>
        <v/>
      </c>
      <c r="AZ4" t="str">
        <f t="shared" si="23"/>
        <v/>
      </c>
      <c r="BA4" t="str">
        <f t="shared" si="24"/>
        <v/>
      </c>
      <c r="BB4" t="str">
        <f t="shared" si="25"/>
        <v/>
      </c>
      <c r="BC4" t="str">
        <f t="shared" si="26"/>
        <v/>
      </c>
      <c r="BD4" t="str">
        <f t="shared" si="27"/>
        <v/>
      </c>
      <c r="BE4" t="str">
        <f t="shared" si="28"/>
        <v/>
      </c>
      <c r="BF4" t="str">
        <f t="shared" si="29"/>
        <v/>
      </c>
      <c r="BG4" t="str">
        <f t="shared" si="30"/>
        <v/>
      </c>
      <c r="BH4" t="str">
        <f t="shared" si="31"/>
        <v/>
      </c>
    </row>
    <row r="5" spans="1:66" x14ac:dyDescent="0.2">
      <c r="A5">
        <v>2</v>
      </c>
      <c r="B5">
        <v>18</v>
      </c>
      <c r="C5" t="s">
        <v>39</v>
      </c>
      <c r="D5">
        <v>1</v>
      </c>
      <c r="K5">
        <v>2</v>
      </c>
      <c r="N5">
        <v>3</v>
      </c>
      <c r="O5">
        <v>3</v>
      </c>
      <c r="S5">
        <v>1</v>
      </c>
      <c r="T5">
        <v>1</v>
      </c>
      <c r="U5">
        <v>7</v>
      </c>
      <c r="X5">
        <f t="shared" si="33"/>
        <v>0</v>
      </c>
      <c r="Z5" t="str">
        <f t="shared" si="0"/>
        <v/>
      </c>
      <c r="AA5" t="str">
        <f t="shared" si="1"/>
        <v/>
      </c>
      <c r="AB5" t="str">
        <f t="shared" si="2"/>
        <v/>
      </c>
      <c r="AC5" t="str">
        <f t="shared" si="3"/>
        <v/>
      </c>
      <c r="AE5" t="str">
        <f t="shared" si="4"/>
        <v/>
      </c>
      <c r="AF5" t="str">
        <f t="shared" si="5"/>
        <v/>
      </c>
      <c r="AG5" t="str">
        <f t="shared" si="6"/>
        <v/>
      </c>
      <c r="AH5" t="str">
        <f t="shared" si="7"/>
        <v/>
      </c>
      <c r="AI5" t="str">
        <f t="shared" si="8"/>
        <v/>
      </c>
      <c r="AK5" t="str">
        <f t="shared" si="9"/>
        <v/>
      </c>
      <c r="AL5" t="str">
        <f t="shared" si="32"/>
        <v/>
      </c>
      <c r="AM5" t="str">
        <f t="shared" si="10"/>
        <v/>
      </c>
      <c r="AN5" t="str">
        <f t="shared" si="11"/>
        <v/>
      </c>
      <c r="AO5" t="str">
        <f t="shared" si="12"/>
        <v/>
      </c>
      <c r="AP5" t="str">
        <f t="shared" si="13"/>
        <v/>
      </c>
      <c r="AQ5" t="str">
        <f t="shared" si="14"/>
        <v/>
      </c>
      <c r="AR5" t="str">
        <f t="shared" si="15"/>
        <v/>
      </c>
      <c r="AS5" t="str">
        <f t="shared" si="16"/>
        <v/>
      </c>
      <c r="AT5" t="str">
        <f t="shared" si="17"/>
        <v/>
      </c>
      <c r="AU5" t="str">
        <f t="shared" si="18"/>
        <v/>
      </c>
      <c r="AV5" t="str">
        <f t="shared" si="19"/>
        <v/>
      </c>
      <c r="AW5" t="str">
        <f t="shared" si="20"/>
        <v/>
      </c>
      <c r="AX5" t="str">
        <f t="shared" si="21"/>
        <v/>
      </c>
      <c r="AY5" t="str">
        <f t="shared" si="22"/>
        <v/>
      </c>
      <c r="AZ5" t="str">
        <f t="shared" si="23"/>
        <v/>
      </c>
      <c r="BA5" t="str">
        <f t="shared" si="24"/>
        <v/>
      </c>
      <c r="BB5" t="str">
        <f t="shared" si="25"/>
        <v/>
      </c>
      <c r="BC5" t="str">
        <f t="shared" si="26"/>
        <v/>
      </c>
      <c r="BD5" t="str">
        <f t="shared" si="27"/>
        <v/>
      </c>
      <c r="BE5" t="str">
        <f t="shared" si="28"/>
        <v/>
      </c>
      <c r="BF5" t="str">
        <f t="shared" si="29"/>
        <v/>
      </c>
      <c r="BG5" t="str">
        <f t="shared" si="30"/>
        <v/>
      </c>
      <c r="BH5" t="str">
        <f t="shared" si="31"/>
        <v/>
      </c>
    </row>
    <row r="6" spans="1:66" x14ac:dyDescent="0.2">
      <c r="A6">
        <v>3</v>
      </c>
      <c r="B6">
        <v>24</v>
      </c>
      <c r="C6" t="s">
        <v>207</v>
      </c>
      <c r="D6">
        <v>1</v>
      </c>
      <c r="N6">
        <v>1</v>
      </c>
      <c r="O6">
        <v>1</v>
      </c>
      <c r="S6">
        <v>1</v>
      </c>
      <c r="T6">
        <v>1</v>
      </c>
      <c r="X6">
        <f t="shared" si="33"/>
        <v>0</v>
      </c>
      <c r="Z6" t="str">
        <f t="shared" si="0"/>
        <v/>
      </c>
      <c r="AA6" t="str">
        <f t="shared" si="1"/>
        <v/>
      </c>
      <c r="AB6" t="str">
        <f t="shared" si="2"/>
        <v/>
      </c>
      <c r="AC6" t="str">
        <f t="shared" si="3"/>
        <v/>
      </c>
      <c r="AE6" t="str">
        <f t="shared" si="4"/>
        <v/>
      </c>
      <c r="AF6" t="str">
        <f t="shared" si="5"/>
        <v/>
      </c>
      <c r="AG6" t="str">
        <f t="shared" si="6"/>
        <v/>
      </c>
      <c r="AH6" t="str">
        <f t="shared" si="7"/>
        <v/>
      </c>
      <c r="AI6" t="str">
        <f t="shared" si="8"/>
        <v/>
      </c>
      <c r="AK6" t="str">
        <f t="shared" si="9"/>
        <v/>
      </c>
      <c r="AL6" t="str">
        <f t="shared" si="32"/>
        <v/>
      </c>
      <c r="AM6" t="str">
        <f t="shared" si="10"/>
        <v/>
      </c>
      <c r="AN6" t="str">
        <f t="shared" si="11"/>
        <v/>
      </c>
      <c r="AO6" t="str">
        <f t="shared" si="12"/>
        <v/>
      </c>
      <c r="AP6" t="str">
        <f t="shared" si="13"/>
        <v/>
      </c>
      <c r="AQ6" t="str">
        <f t="shared" si="14"/>
        <v/>
      </c>
      <c r="AR6" t="str">
        <f t="shared" si="15"/>
        <v/>
      </c>
      <c r="AS6" t="str">
        <f t="shared" si="16"/>
        <v/>
      </c>
      <c r="AT6" t="str">
        <f t="shared" si="17"/>
        <v/>
      </c>
      <c r="AU6" t="str">
        <f t="shared" si="18"/>
        <v/>
      </c>
      <c r="AV6" t="str">
        <f t="shared" si="19"/>
        <v/>
      </c>
      <c r="AW6" t="str">
        <f t="shared" si="20"/>
        <v/>
      </c>
      <c r="AX6" t="str">
        <f t="shared" si="21"/>
        <v/>
      </c>
      <c r="AY6" t="str">
        <f t="shared" si="22"/>
        <v/>
      </c>
      <c r="AZ6" t="str">
        <f t="shared" si="23"/>
        <v/>
      </c>
      <c r="BA6" t="str">
        <f t="shared" si="24"/>
        <v/>
      </c>
      <c r="BB6" t="str">
        <f t="shared" si="25"/>
        <v/>
      </c>
      <c r="BC6" t="str">
        <f t="shared" si="26"/>
        <v/>
      </c>
      <c r="BD6" t="str">
        <f t="shared" si="27"/>
        <v/>
      </c>
      <c r="BE6" t="str">
        <f t="shared" si="28"/>
        <v/>
      </c>
      <c r="BF6" t="str">
        <f t="shared" si="29"/>
        <v/>
      </c>
      <c r="BG6" t="str">
        <f t="shared" si="30"/>
        <v/>
      </c>
      <c r="BH6" t="str">
        <f t="shared" si="31"/>
        <v/>
      </c>
    </row>
    <row r="7" spans="1:66" x14ac:dyDescent="0.2">
      <c r="A7">
        <v>4</v>
      </c>
      <c r="B7">
        <v>31</v>
      </c>
      <c r="C7" t="s">
        <v>39</v>
      </c>
      <c r="K7">
        <v>1</v>
      </c>
      <c r="N7">
        <v>1</v>
      </c>
      <c r="O7">
        <v>1</v>
      </c>
      <c r="X7">
        <f t="shared" si="33"/>
        <v>0</v>
      </c>
      <c r="Z7" t="str">
        <f t="shared" si="0"/>
        <v/>
      </c>
      <c r="AA7" t="str">
        <f t="shared" si="1"/>
        <v/>
      </c>
      <c r="AB7" t="str">
        <f t="shared" si="2"/>
        <v/>
      </c>
      <c r="AC7" t="str">
        <f t="shared" si="3"/>
        <v/>
      </c>
      <c r="AE7" t="str">
        <f t="shared" si="4"/>
        <v/>
      </c>
      <c r="AF7" t="str">
        <f t="shared" si="5"/>
        <v/>
      </c>
      <c r="AG7" t="str">
        <f t="shared" si="6"/>
        <v/>
      </c>
      <c r="AH7" t="str">
        <f t="shared" si="7"/>
        <v/>
      </c>
      <c r="AI7" t="str">
        <f t="shared" si="8"/>
        <v/>
      </c>
      <c r="AK7" t="str">
        <f t="shared" si="9"/>
        <v/>
      </c>
      <c r="AL7" t="str">
        <f t="shared" si="32"/>
        <v/>
      </c>
      <c r="AM7" t="str">
        <f t="shared" si="10"/>
        <v/>
      </c>
      <c r="AN7" t="str">
        <f t="shared" si="11"/>
        <v/>
      </c>
      <c r="AO7" t="str">
        <f t="shared" si="12"/>
        <v/>
      </c>
      <c r="AP7" t="str">
        <f t="shared" si="13"/>
        <v/>
      </c>
      <c r="AQ7" t="str">
        <f t="shared" si="14"/>
        <v/>
      </c>
      <c r="AR7" t="str">
        <f t="shared" si="15"/>
        <v/>
      </c>
      <c r="AS7" t="str">
        <f t="shared" si="16"/>
        <v/>
      </c>
      <c r="AT7" t="str">
        <f t="shared" si="17"/>
        <v/>
      </c>
      <c r="AU7" t="str">
        <f t="shared" si="18"/>
        <v/>
      </c>
      <c r="AV7" t="str">
        <f t="shared" si="19"/>
        <v/>
      </c>
      <c r="AW7" t="str">
        <f t="shared" si="20"/>
        <v/>
      </c>
      <c r="AX7" t="str">
        <f t="shared" si="21"/>
        <v/>
      </c>
      <c r="AY7" t="str">
        <f t="shared" si="22"/>
        <v/>
      </c>
      <c r="AZ7" t="str">
        <f t="shared" si="23"/>
        <v/>
      </c>
      <c r="BA7" t="str">
        <f t="shared" si="24"/>
        <v/>
      </c>
      <c r="BB7" t="str">
        <f t="shared" si="25"/>
        <v/>
      </c>
      <c r="BC7" t="str">
        <f t="shared" si="26"/>
        <v/>
      </c>
      <c r="BD7" t="str">
        <f t="shared" si="27"/>
        <v/>
      </c>
      <c r="BE7" t="str">
        <f t="shared" si="28"/>
        <v/>
      </c>
      <c r="BF7" t="str">
        <f t="shared" si="29"/>
        <v/>
      </c>
      <c r="BG7" t="str">
        <f t="shared" si="30"/>
        <v/>
      </c>
      <c r="BH7" t="str">
        <f t="shared" si="31"/>
        <v/>
      </c>
    </row>
    <row r="8" spans="1:66" x14ac:dyDescent="0.2">
      <c r="A8">
        <v>5</v>
      </c>
      <c r="B8">
        <v>41</v>
      </c>
      <c r="C8" t="s">
        <v>207</v>
      </c>
      <c r="K8">
        <v>1</v>
      </c>
      <c r="N8">
        <v>2</v>
      </c>
      <c r="O8">
        <v>2</v>
      </c>
      <c r="S8">
        <v>1</v>
      </c>
      <c r="T8">
        <v>1</v>
      </c>
      <c r="X8">
        <f t="shared" si="33"/>
        <v>0</v>
      </c>
      <c r="Z8" t="str">
        <f t="shared" si="0"/>
        <v/>
      </c>
      <c r="AA8" t="str">
        <f t="shared" si="1"/>
        <v/>
      </c>
      <c r="AB8" t="str">
        <f t="shared" si="2"/>
        <v/>
      </c>
      <c r="AC8" t="str">
        <f t="shared" si="3"/>
        <v/>
      </c>
      <c r="AE8" t="str">
        <f t="shared" si="4"/>
        <v/>
      </c>
      <c r="AF8" t="str">
        <f t="shared" si="5"/>
        <v/>
      </c>
      <c r="AG8" t="str">
        <f t="shared" si="6"/>
        <v/>
      </c>
      <c r="AH8" t="str">
        <f t="shared" si="7"/>
        <v/>
      </c>
      <c r="AI8" t="str">
        <f t="shared" si="8"/>
        <v/>
      </c>
      <c r="AK8" t="str">
        <f t="shared" si="9"/>
        <v/>
      </c>
      <c r="AL8" t="str">
        <f t="shared" si="32"/>
        <v/>
      </c>
      <c r="AM8" t="str">
        <f t="shared" si="10"/>
        <v/>
      </c>
      <c r="AN8" t="str">
        <f t="shared" si="11"/>
        <v/>
      </c>
      <c r="AO8" t="str">
        <f t="shared" si="12"/>
        <v/>
      </c>
      <c r="AP8" t="str">
        <f t="shared" si="13"/>
        <v/>
      </c>
      <c r="AQ8" t="str">
        <f t="shared" si="14"/>
        <v/>
      </c>
      <c r="AR8" t="str">
        <f t="shared" si="15"/>
        <v/>
      </c>
      <c r="AS8" t="str">
        <f t="shared" si="16"/>
        <v/>
      </c>
      <c r="AT8" t="str">
        <f t="shared" si="17"/>
        <v/>
      </c>
      <c r="AU8" t="str">
        <f t="shared" si="18"/>
        <v/>
      </c>
      <c r="AV8" t="str">
        <f t="shared" si="19"/>
        <v/>
      </c>
      <c r="AW8" t="str">
        <f t="shared" si="20"/>
        <v/>
      </c>
      <c r="AX8" t="str">
        <f t="shared" si="21"/>
        <v/>
      </c>
      <c r="AY8" t="str">
        <f t="shared" si="22"/>
        <v/>
      </c>
      <c r="AZ8" t="str">
        <f t="shared" si="23"/>
        <v/>
      </c>
      <c r="BA8" t="str">
        <f t="shared" si="24"/>
        <v/>
      </c>
      <c r="BB8" t="str">
        <f t="shared" si="25"/>
        <v/>
      </c>
      <c r="BC8" t="str">
        <f t="shared" si="26"/>
        <v/>
      </c>
      <c r="BD8" t="str">
        <f t="shared" si="27"/>
        <v/>
      </c>
      <c r="BE8" t="str">
        <f t="shared" si="28"/>
        <v/>
      </c>
      <c r="BF8" t="str">
        <f t="shared" si="29"/>
        <v/>
      </c>
      <c r="BG8" t="str">
        <f t="shared" si="30"/>
        <v/>
      </c>
      <c r="BH8" t="str">
        <f t="shared" si="31"/>
        <v/>
      </c>
    </row>
    <row r="9" spans="1:66" x14ac:dyDescent="0.2">
      <c r="A9">
        <v>6</v>
      </c>
      <c r="B9">
        <v>51</v>
      </c>
      <c r="C9" t="s">
        <v>207</v>
      </c>
      <c r="K9">
        <v>1</v>
      </c>
      <c r="L9">
        <v>2</v>
      </c>
      <c r="N9">
        <v>2</v>
      </c>
      <c r="O9">
        <v>1</v>
      </c>
      <c r="S9">
        <v>1</v>
      </c>
      <c r="T9">
        <v>1</v>
      </c>
      <c r="X9">
        <f t="shared" si="33"/>
        <v>0</v>
      </c>
      <c r="Z9" t="str">
        <f t="shared" si="0"/>
        <v/>
      </c>
      <c r="AA9" t="str">
        <f t="shared" si="1"/>
        <v/>
      </c>
      <c r="AB9" t="str">
        <f t="shared" si="2"/>
        <v/>
      </c>
      <c r="AC9" t="str">
        <f t="shared" si="3"/>
        <v/>
      </c>
      <c r="AE9" t="str">
        <f t="shared" si="4"/>
        <v/>
      </c>
      <c r="AF9" t="str">
        <f t="shared" si="5"/>
        <v/>
      </c>
      <c r="AG9" t="str">
        <f t="shared" si="6"/>
        <v/>
      </c>
      <c r="AH9" t="str">
        <f t="shared" si="7"/>
        <v/>
      </c>
      <c r="AI9" t="str">
        <f t="shared" si="8"/>
        <v/>
      </c>
      <c r="AK9" t="str">
        <f t="shared" si="9"/>
        <v/>
      </c>
      <c r="AL9" t="str">
        <f t="shared" si="32"/>
        <v/>
      </c>
      <c r="AM9" t="str">
        <f t="shared" si="10"/>
        <v/>
      </c>
      <c r="AN9" t="str">
        <f t="shared" si="11"/>
        <v/>
      </c>
      <c r="AO9" t="str">
        <f t="shared" si="12"/>
        <v/>
      </c>
      <c r="AP9" t="str">
        <f t="shared" si="13"/>
        <v/>
      </c>
      <c r="AQ9" t="str">
        <f t="shared" si="14"/>
        <v/>
      </c>
      <c r="AR9" t="str">
        <f t="shared" si="15"/>
        <v/>
      </c>
      <c r="AS9" t="str">
        <f t="shared" si="16"/>
        <v/>
      </c>
      <c r="AT9" t="str">
        <f t="shared" si="17"/>
        <v/>
      </c>
      <c r="AU9" t="str">
        <f t="shared" si="18"/>
        <v/>
      </c>
      <c r="AV9" t="str">
        <f t="shared" si="19"/>
        <v/>
      </c>
      <c r="AW9" t="str">
        <f t="shared" si="20"/>
        <v/>
      </c>
      <c r="AX9" t="str">
        <f t="shared" si="21"/>
        <v/>
      </c>
      <c r="AY9" t="str">
        <f t="shared" si="22"/>
        <v/>
      </c>
      <c r="AZ9" t="str">
        <f t="shared" si="23"/>
        <v/>
      </c>
      <c r="BA9" t="str">
        <f t="shared" si="24"/>
        <v/>
      </c>
      <c r="BB9" t="str">
        <f t="shared" si="25"/>
        <v/>
      </c>
      <c r="BC9" t="str">
        <f t="shared" si="26"/>
        <v/>
      </c>
      <c r="BD9" t="str">
        <f t="shared" si="27"/>
        <v/>
      </c>
      <c r="BE9" t="str">
        <f t="shared" si="28"/>
        <v/>
      </c>
      <c r="BF9" t="str">
        <f t="shared" si="29"/>
        <v/>
      </c>
      <c r="BG9" t="str">
        <f t="shared" si="30"/>
        <v/>
      </c>
      <c r="BH9" t="str">
        <f t="shared" si="31"/>
        <v/>
      </c>
    </row>
    <row r="10" spans="1:66" x14ac:dyDescent="0.2">
      <c r="A10">
        <v>7</v>
      </c>
      <c r="B10">
        <v>64</v>
      </c>
      <c r="C10" t="s">
        <v>39</v>
      </c>
      <c r="O10">
        <v>1</v>
      </c>
      <c r="S10">
        <v>1</v>
      </c>
      <c r="X10">
        <f t="shared" si="33"/>
        <v>0</v>
      </c>
      <c r="Z10" t="str">
        <f t="shared" si="0"/>
        <v/>
      </c>
      <c r="AA10" t="str">
        <f t="shared" si="1"/>
        <v/>
      </c>
      <c r="AB10" t="str">
        <f t="shared" si="2"/>
        <v/>
      </c>
      <c r="AC10" t="str">
        <f t="shared" si="3"/>
        <v/>
      </c>
      <c r="AE10" t="str">
        <f t="shared" si="4"/>
        <v/>
      </c>
      <c r="AF10" t="str">
        <f t="shared" si="5"/>
        <v/>
      </c>
      <c r="AG10" t="str">
        <f t="shared" si="6"/>
        <v/>
      </c>
      <c r="AH10" t="str">
        <f t="shared" si="7"/>
        <v/>
      </c>
      <c r="AI10" t="str">
        <f t="shared" si="8"/>
        <v/>
      </c>
      <c r="AK10" t="str">
        <f t="shared" si="9"/>
        <v/>
      </c>
      <c r="AL10" t="str">
        <f t="shared" si="32"/>
        <v/>
      </c>
      <c r="AM10" t="str">
        <f t="shared" si="10"/>
        <v/>
      </c>
      <c r="AN10" t="str">
        <f t="shared" si="11"/>
        <v/>
      </c>
      <c r="AO10" t="str">
        <f t="shared" si="12"/>
        <v/>
      </c>
      <c r="AP10" t="str">
        <f t="shared" si="13"/>
        <v/>
      </c>
      <c r="AQ10" t="str">
        <f t="shared" si="14"/>
        <v/>
      </c>
      <c r="AR10" t="str">
        <f t="shared" si="15"/>
        <v/>
      </c>
      <c r="AS10" t="str">
        <f t="shared" si="16"/>
        <v/>
      </c>
      <c r="AT10" t="str">
        <f t="shared" si="17"/>
        <v/>
      </c>
      <c r="AU10" t="str">
        <f t="shared" si="18"/>
        <v/>
      </c>
      <c r="AV10" t="str">
        <f t="shared" si="19"/>
        <v/>
      </c>
      <c r="AW10" t="str">
        <f t="shared" si="20"/>
        <v/>
      </c>
      <c r="AX10" t="str">
        <f t="shared" si="21"/>
        <v/>
      </c>
      <c r="AY10" t="str">
        <f t="shared" si="22"/>
        <v/>
      </c>
      <c r="AZ10" t="str">
        <f t="shared" si="23"/>
        <v/>
      </c>
      <c r="BA10" t="str">
        <f t="shared" si="24"/>
        <v/>
      </c>
      <c r="BB10" t="str">
        <f t="shared" si="25"/>
        <v/>
      </c>
      <c r="BC10" t="str">
        <f t="shared" si="26"/>
        <v/>
      </c>
      <c r="BD10" t="str">
        <f t="shared" si="27"/>
        <v/>
      </c>
      <c r="BE10" t="str">
        <f t="shared" si="28"/>
        <v/>
      </c>
      <c r="BF10" t="str">
        <f t="shared" si="29"/>
        <v/>
      </c>
      <c r="BG10" t="str">
        <f t="shared" si="30"/>
        <v/>
      </c>
      <c r="BH10" t="str">
        <f t="shared" si="31"/>
        <v/>
      </c>
    </row>
    <row r="11" spans="1:66" x14ac:dyDescent="0.2">
      <c r="A11">
        <v>8</v>
      </c>
      <c r="B11">
        <v>75</v>
      </c>
      <c r="C11" t="s">
        <v>39</v>
      </c>
      <c r="K11">
        <v>1</v>
      </c>
      <c r="N11">
        <v>1</v>
      </c>
      <c r="S11">
        <v>1</v>
      </c>
      <c r="T11">
        <v>1</v>
      </c>
      <c r="X11">
        <f t="shared" si="33"/>
        <v>0</v>
      </c>
      <c r="Z11" t="str">
        <f t="shared" si="0"/>
        <v/>
      </c>
      <c r="AA11" t="str">
        <f t="shared" si="1"/>
        <v/>
      </c>
      <c r="AB11" t="str">
        <f t="shared" si="2"/>
        <v/>
      </c>
      <c r="AC11" t="str">
        <f t="shared" si="3"/>
        <v/>
      </c>
      <c r="AE11" t="str">
        <f t="shared" si="4"/>
        <v/>
      </c>
      <c r="AF11" t="str">
        <f t="shared" si="5"/>
        <v/>
      </c>
      <c r="AG11" t="str">
        <f t="shared" si="6"/>
        <v/>
      </c>
      <c r="AH11" t="str">
        <f t="shared" si="7"/>
        <v/>
      </c>
      <c r="AI11" t="str">
        <f t="shared" si="8"/>
        <v/>
      </c>
      <c r="AK11" t="str">
        <f t="shared" si="9"/>
        <v/>
      </c>
      <c r="AL11" t="str">
        <f t="shared" si="32"/>
        <v/>
      </c>
      <c r="AM11" t="str">
        <f t="shared" si="10"/>
        <v/>
      </c>
      <c r="AN11" t="str">
        <f t="shared" si="11"/>
        <v/>
      </c>
      <c r="AO11" t="str">
        <f t="shared" si="12"/>
        <v/>
      </c>
      <c r="AP11" t="str">
        <f t="shared" si="13"/>
        <v/>
      </c>
      <c r="AQ11" t="str">
        <f t="shared" si="14"/>
        <v/>
      </c>
      <c r="AR11" t="str">
        <f t="shared" si="15"/>
        <v/>
      </c>
      <c r="AS11" t="str">
        <f t="shared" si="16"/>
        <v/>
      </c>
      <c r="AT11" t="str">
        <f t="shared" si="17"/>
        <v/>
      </c>
      <c r="AU11" t="str">
        <f t="shared" si="18"/>
        <v/>
      </c>
      <c r="AV11" t="str">
        <f t="shared" si="19"/>
        <v/>
      </c>
      <c r="AW11" t="str">
        <f t="shared" si="20"/>
        <v/>
      </c>
      <c r="AX11" t="str">
        <f t="shared" si="21"/>
        <v/>
      </c>
      <c r="AY11" t="str">
        <f t="shared" si="22"/>
        <v/>
      </c>
      <c r="AZ11" t="str">
        <f t="shared" si="23"/>
        <v/>
      </c>
      <c r="BA11" t="str">
        <f t="shared" si="24"/>
        <v/>
      </c>
      <c r="BB11" t="str">
        <f t="shared" si="25"/>
        <v/>
      </c>
      <c r="BC11" t="str">
        <f t="shared" si="26"/>
        <v/>
      </c>
      <c r="BD11" t="str">
        <f t="shared" si="27"/>
        <v/>
      </c>
      <c r="BE11" t="str">
        <f t="shared" si="28"/>
        <v/>
      </c>
      <c r="BF11" t="str">
        <f t="shared" si="29"/>
        <v/>
      </c>
      <c r="BG11" t="str">
        <f t="shared" si="30"/>
        <v/>
      </c>
      <c r="BH11" t="str">
        <f t="shared" si="31"/>
        <v/>
      </c>
    </row>
    <row r="12" spans="1:66" x14ac:dyDescent="0.2">
      <c r="A12">
        <v>9</v>
      </c>
      <c r="B12">
        <v>83</v>
      </c>
      <c r="C12" t="s">
        <v>39</v>
      </c>
      <c r="N12">
        <v>1</v>
      </c>
      <c r="S12">
        <v>1</v>
      </c>
      <c r="T12">
        <v>1</v>
      </c>
      <c r="U12">
        <v>45</v>
      </c>
      <c r="X12">
        <f t="shared" si="33"/>
        <v>0</v>
      </c>
      <c r="Z12" t="str">
        <f t="shared" si="0"/>
        <v/>
      </c>
      <c r="AA12" t="str">
        <f t="shared" si="1"/>
        <v/>
      </c>
      <c r="AB12" t="str">
        <f t="shared" si="2"/>
        <v/>
      </c>
      <c r="AC12" t="str">
        <f t="shared" si="3"/>
        <v/>
      </c>
      <c r="AE12" t="str">
        <f t="shared" si="4"/>
        <v/>
      </c>
      <c r="AF12" t="str">
        <f t="shared" si="5"/>
        <v/>
      </c>
      <c r="AG12" t="str">
        <f t="shared" si="6"/>
        <v/>
      </c>
      <c r="AH12" t="str">
        <f t="shared" si="7"/>
        <v/>
      </c>
      <c r="AI12" t="str">
        <f t="shared" si="8"/>
        <v/>
      </c>
      <c r="AK12" t="str">
        <f t="shared" si="9"/>
        <v/>
      </c>
      <c r="AL12" t="str">
        <f t="shared" si="32"/>
        <v/>
      </c>
      <c r="AM12" t="str">
        <f t="shared" si="10"/>
        <v/>
      </c>
      <c r="AN12" t="str">
        <f t="shared" si="11"/>
        <v/>
      </c>
      <c r="AO12" t="str">
        <f t="shared" si="12"/>
        <v/>
      </c>
      <c r="AP12" t="str">
        <f t="shared" si="13"/>
        <v/>
      </c>
      <c r="AQ12" t="str">
        <f t="shared" si="14"/>
        <v/>
      </c>
      <c r="AR12" t="str">
        <f t="shared" si="15"/>
        <v/>
      </c>
      <c r="AS12" t="str">
        <f t="shared" si="16"/>
        <v/>
      </c>
      <c r="AT12" t="str">
        <f t="shared" si="17"/>
        <v/>
      </c>
      <c r="AU12" t="str">
        <f t="shared" si="18"/>
        <v/>
      </c>
      <c r="AV12" t="str">
        <f t="shared" si="19"/>
        <v/>
      </c>
      <c r="AW12" t="str">
        <f t="shared" si="20"/>
        <v/>
      </c>
      <c r="AX12" t="str">
        <f t="shared" si="21"/>
        <v/>
      </c>
      <c r="AY12" t="str">
        <f t="shared" si="22"/>
        <v/>
      </c>
      <c r="AZ12" t="str">
        <f t="shared" si="23"/>
        <v/>
      </c>
      <c r="BA12" t="str">
        <f t="shared" si="24"/>
        <v/>
      </c>
      <c r="BB12" t="str">
        <f t="shared" si="25"/>
        <v/>
      </c>
      <c r="BC12" t="str">
        <f t="shared" si="26"/>
        <v/>
      </c>
      <c r="BD12" t="str">
        <f t="shared" si="27"/>
        <v/>
      </c>
      <c r="BE12" t="str">
        <f t="shared" si="28"/>
        <v/>
      </c>
      <c r="BF12" t="str">
        <f t="shared" si="29"/>
        <v/>
      </c>
      <c r="BG12" t="str">
        <f t="shared" si="30"/>
        <v/>
      </c>
      <c r="BH12" t="str">
        <f t="shared" si="31"/>
        <v/>
      </c>
    </row>
    <row r="13" spans="1:66" x14ac:dyDescent="0.2">
      <c r="A13">
        <v>10</v>
      </c>
      <c r="B13">
        <v>93</v>
      </c>
      <c r="C13" t="s">
        <v>39</v>
      </c>
      <c r="K13">
        <v>2</v>
      </c>
      <c r="N13">
        <v>3</v>
      </c>
      <c r="O13">
        <v>2</v>
      </c>
      <c r="S13">
        <v>1</v>
      </c>
      <c r="T13">
        <v>1</v>
      </c>
      <c r="X13">
        <f t="shared" si="33"/>
        <v>0</v>
      </c>
      <c r="Z13" t="str">
        <f t="shared" si="0"/>
        <v/>
      </c>
      <c r="AA13" t="str">
        <f t="shared" si="1"/>
        <v/>
      </c>
      <c r="AB13" t="str">
        <f t="shared" si="2"/>
        <v/>
      </c>
      <c r="AC13" t="str">
        <f t="shared" si="3"/>
        <v/>
      </c>
      <c r="AE13" t="str">
        <f t="shared" si="4"/>
        <v/>
      </c>
      <c r="AF13" t="str">
        <f t="shared" si="5"/>
        <v/>
      </c>
      <c r="AG13" t="str">
        <f t="shared" si="6"/>
        <v/>
      </c>
      <c r="AH13" t="str">
        <f t="shared" si="7"/>
        <v/>
      </c>
      <c r="AI13" t="str">
        <f t="shared" si="8"/>
        <v/>
      </c>
      <c r="AK13" t="str">
        <f t="shared" si="9"/>
        <v/>
      </c>
      <c r="AL13" t="str">
        <f t="shared" si="32"/>
        <v/>
      </c>
      <c r="AM13" t="str">
        <f t="shared" si="10"/>
        <v/>
      </c>
      <c r="AN13" t="str">
        <f t="shared" si="11"/>
        <v/>
      </c>
      <c r="AO13" t="str">
        <f t="shared" si="12"/>
        <v/>
      </c>
      <c r="AP13" t="str">
        <f t="shared" si="13"/>
        <v/>
      </c>
      <c r="AQ13" t="str">
        <f t="shared" si="14"/>
        <v/>
      </c>
      <c r="AR13" t="str">
        <f t="shared" si="15"/>
        <v/>
      </c>
      <c r="AS13" t="str">
        <f t="shared" si="16"/>
        <v/>
      </c>
      <c r="AT13" t="str">
        <f t="shared" si="17"/>
        <v/>
      </c>
      <c r="AU13" t="str">
        <f t="shared" si="18"/>
        <v/>
      </c>
      <c r="AV13" t="str">
        <f t="shared" si="19"/>
        <v/>
      </c>
      <c r="AW13" t="str">
        <f t="shared" si="20"/>
        <v/>
      </c>
      <c r="AX13" t="str">
        <f t="shared" si="21"/>
        <v/>
      </c>
      <c r="AY13" t="str">
        <f t="shared" si="22"/>
        <v/>
      </c>
      <c r="AZ13" t="str">
        <f t="shared" si="23"/>
        <v/>
      </c>
      <c r="BA13" t="str">
        <f t="shared" si="24"/>
        <v/>
      </c>
      <c r="BB13" t="str">
        <f t="shared" si="25"/>
        <v/>
      </c>
      <c r="BC13" t="str">
        <f t="shared" si="26"/>
        <v/>
      </c>
      <c r="BD13" t="str">
        <f t="shared" si="27"/>
        <v/>
      </c>
      <c r="BE13" t="str">
        <f t="shared" si="28"/>
        <v/>
      </c>
      <c r="BF13" t="str">
        <f t="shared" si="29"/>
        <v/>
      </c>
      <c r="BG13" t="str">
        <f t="shared" si="30"/>
        <v/>
      </c>
      <c r="BH13" t="str">
        <f t="shared" si="31"/>
        <v/>
      </c>
    </row>
    <row r="14" spans="1:66" x14ac:dyDescent="0.2">
      <c r="A14">
        <v>11</v>
      </c>
      <c r="B14">
        <v>107</v>
      </c>
      <c r="K14">
        <v>1</v>
      </c>
      <c r="L14">
        <v>2</v>
      </c>
      <c r="N14">
        <v>2</v>
      </c>
      <c r="O14">
        <v>2</v>
      </c>
      <c r="S14">
        <v>1</v>
      </c>
      <c r="T14">
        <v>1</v>
      </c>
      <c r="U14">
        <v>4</v>
      </c>
      <c r="X14">
        <f t="shared" si="33"/>
        <v>0</v>
      </c>
      <c r="Z14" t="s">
        <v>31</v>
      </c>
      <c r="AE14" t="s">
        <v>34</v>
      </c>
      <c r="AK14" t="s">
        <v>43</v>
      </c>
      <c r="AP14" t="s">
        <v>84</v>
      </c>
    </row>
    <row r="15" spans="1:66" x14ac:dyDescent="0.2">
      <c r="A15">
        <v>12</v>
      </c>
      <c r="B15">
        <v>116</v>
      </c>
      <c r="C15" t="s">
        <v>207</v>
      </c>
      <c r="N15">
        <v>1</v>
      </c>
      <c r="O15">
        <v>1</v>
      </c>
      <c r="S15">
        <v>1</v>
      </c>
      <c r="T15">
        <v>1</v>
      </c>
      <c r="X15">
        <f t="shared" si="33"/>
        <v>0</v>
      </c>
      <c r="Z15" t="s">
        <v>21</v>
      </c>
      <c r="AA15" t="s">
        <v>22</v>
      </c>
      <c r="AE15" t="s">
        <v>21</v>
      </c>
      <c r="AF15" t="s">
        <v>22</v>
      </c>
      <c r="AG15" t="s">
        <v>35</v>
      </c>
      <c r="AK15" t="s">
        <v>10</v>
      </c>
      <c r="AL15" t="s">
        <v>25</v>
      </c>
      <c r="AM15" t="s">
        <v>26</v>
      </c>
      <c r="AN15" t="s">
        <v>27</v>
      </c>
      <c r="AP15" t="s">
        <v>15</v>
      </c>
      <c r="AQ15" t="s">
        <v>85</v>
      </c>
    </row>
    <row r="16" spans="1:66" x14ac:dyDescent="0.2">
      <c r="A16" t="s">
        <v>28</v>
      </c>
      <c r="D16">
        <f>SUM(D4:D15)</f>
        <v>3</v>
      </c>
      <c r="E16">
        <f>SUM(E4:E15)</f>
        <v>0</v>
      </c>
      <c r="F16">
        <f>SUM(F4:F15)</f>
        <v>0</v>
      </c>
      <c r="G16">
        <f>SUM(G4:G15)</f>
        <v>0</v>
      </c>
      <c r="H16">
        <f>SUM(H4:H15)</f>
        <v>0</v>
      </c>
      <c r="K16">
        <f>SUM(K4:K15)</f>
        <v>11</v>
      </c>
      <c r="L16">
        <f>SUM(L4:L15)</f>
        <v>9</v>
      </c>
      <c r="M16">
        <f>SUM(M4:M15)</f>
        <v>0</v>
      </c>
      <c r="N16">
        <f>SUM(N4:N15)</f>
        <v>18</v>
      </c>
      <c r="O16">
        <f>SUM(O4:O15)</f>
        <v>15</v>
      </c>
      <c r="Q16">
        <f t="shared" ref="Q16:R16" si="34">SUM(Q4:Q15)</f>
        <v>0</v>
      </c>
      <c r="R16">
        <f t="shared" si="34"/>
        <v>0</v>
      </c>
      <c r="S16">
        <f>SUM(S4:S15)</f>
        <v>11</v>
      </c>
      <c r="T16">
        <f>SUM(T4:T15)</f>
        <v>10</v>
      </c>
      <c r="U16">
        <f>SUM(U4:U15)</f>
        <v>56</v>
      </c>
      <c r="V16">
        <f>SUM(V4:V15)</f>
        <v>0</v>
      </c>
      <c r="W16">
        <f>SUM(W4:W15)</f>
        <v>0</v>
      </c>
      <c r="Z16">
        <f t="shared" ref="Z16:Z27" si="35">COUNTIF(Z2:AC2, "3")*COUNTIF(C4, "r")+COUNTIF(Z2:AC2, "5")*COUNTIF(C4, "b")</f>
        <v>0</v>
      </c>
      <c r="AA16">
        <f t="shared" ref="AA16:AA27" si="36">COUNTIF(Z2:AC2, "1")+COUNTIF(Z2:AC2, "2")+COUNTIF(Z2:AC2, "4")</f>
        <v>0</v>
      </c>
      <c r="AE16">
        <f t="shared" ref="AE16:AE27" si="37">COUNTIF(AE2:AI2, "3")*COUNTIF(C4, "r") + COUNTIF(AE2:AI2, "5")*COUNTIF(C4, "b")</f>
        <v>0</v>
      </c>
      <c r="AF16">
        <f t="shared" ref="AF16:AF27" si="38">COUNTIF(AE2:AI2, "1")+COUNTIF(AE2:AI2, "2")+COUNTIF(AE2:AI2, "4")</f>
        <v>1</v>
      </c>
      <c r="AG16">
        <f t="shared" ref="AG16:AG27" si="39">COUNTIF(AE2:AI2, "3")*COUNTIF(AE2:AI2, "b")+COUNTIF(AE2:AI2, "5")*COUNTIF(AE2:AI2, "r")</f>
        <v>0</v>
      </c>
      <c r="AK16">
        <f t="shared" ref="AK16:AK27" si="40">SUMPRODUCT(LEN($AK2:$BH2) - LEN(SUBSTITUTE($AK2:$BH2, "g", "")))</f>
        <v>0</v>
      </c>
      <c r="AL16">
        <f t="shared" ref="AL16:AL27" si="41">SUMPRODUCT(LEN($AK2:$BH2) - LEN(SUBSTITUTE($AK2:$BH2, "h", "")))</f>
        <v>0</v>
      </c>
      <c r="AM16">
        <f t="shared" ref="AM16:AM27" si="42">SUMPRODUCT(LEN($AK2:$BH2) - LEN(SUBSTITUTE($AK2:$BH2, "v", "")))</f>
        <v>0</v>
      </c>
      <c r="AN16">
        <f t="shared" ref="AN16:AN27" si="43">SUMPRODUCT(LEN($AK2:$BH2) - LEN(SUBSTITUTE($AK2:$BH2, "r", "")))</f>
        <v>0</v>
      </c>
      <c r="AP16">
        <f>MAX(AQ16:BN16)</f>
        <v>0</v>
      </c>
      <c r="AQ16" s="4">
        <f>_xlfn.NUMBERVALUE(RIGHT(AK2,1))</f>
        <v>0</v>
      </c>
      <c r="AR16" s="4">
        <f t="shared" ref="AR16:BG27" si="44">_xlfn.NUMBERVALUE(RIGHT(AL2,1))</f>
        <v>0</v>
      </c>
      <c r="AS16" s="4">
        <f t="shared" si="44"/>
        <v>0</v>
      </c>
      <c r="AT16" s="4">
        <f t="shared" si="44"/>
        <v>0</v>
      </c>
      <c r="AU16" s="4">
        <f t="shared" si="44"/>
        <v>0</v>
      </c>
      <c r="AV16" s="4">
        <f t="shared" si="44"/>
        <v>0</v>
      </c>
      <c r="AW16" s="4">
        <f t="shared" si="44"/>
        <v>0</v>
      </c>
      <c r="AX16" s="4">
        <f t="shared" si="44"/>
        <v>0</v>
      </c>
      <c r="AY16" s="4">
        <f t="shared" si="44"/>
        <v>0</v>
      </c>
      <c r="AZ16" s="4">
        <f t="shared" si="44"/>
        <v>0</v>
      </c>
      <c r="BA16" s="4">
        <f t="shared" si="44"/>
        <v>0</v>
      </c>
      <c r="BB16" s="4">
        <f t="shared" si="44"/>
        <v>0</v>
      </c>
      <c r="BC16" s="4">
        <f t="shared" si="44"/>
        <v>0</v>
      </c>
      <c r="BD16" s="4">
        <f t="shared" si="44"/>
        <v>0</v>
      </c>
      <c r="BE16" s="4">
        <f t="shared" si="44"/>
        <v>0</v>
      </c>
      <c r="BF16" s="4">
        <f t="shared" si="44"/>
        <v>0</v>
      </c>
      <c r="BG16" s="4">
        <f t="shared" si="44"/>
        <v>0</v>
      </c>
      <c r="BH16" s="4">
        <f t="shared" ref="BH16:BN27" si="45">_xlfn.NUMBERVALUE(RIGHT(BB2,1))</f>
        <v>0</v>
      </c>
      <c r="BI16" s="4">
        <f t="shared" si="45"/>
        <v>0</v>
      </c>
      <c r="BJ16" s="4">
        <f t="shared" si="45"/>
        <v>0</v>
      </c>
      <c r="BK16" s="4">
        <f t="shared" si="45"/>
        <v>0</v>
      </c>
      <c r="BL16" s="4">
        <f t="shared" si="45"/>
        <v>0</v>
      </c>
      <c r="BM16" s="4">
        <f t="shared" si="45"/>
        <v>0</v>
      </c>
      <c r="BN16" s="4">
        <f t="shared" si="45"/>
        <v>0</v>
      </c>
    </row>
    <row r="17" spans="1:66" x14ac:dyDescent="0.2">
      <c r="A17" s="1" t="s">
        <v>20</v>
      </c>
      <c r="D17" s="1" t="s">
        <v>49</v>
      </c>
      <c r="G17" s="1" t="s">
        <v>52</v>
      </c>
      <c r="K17" s="3" t="s">
        <v>74</v>
      </c>
      <c r="P17" s="1" t="s">
        <v>66</v>
      </c>
      <c r="Z17">
        <f t="shared" si="35"/>
        <v>0</v>
      </c>
      <c r="AA17">
        <f t="shared" si="36"/>
        <v>0</v>
      </c>
      <c r="AE17">
        <f t="shared" si="37"/>
        <v>0</v>
      </c>
      <c r="AF17">
        <f t="shared" si="38"/>
        <v>0</v>
      </c>
      <c r="AG17">
        <f t="shared" si="39"/>
        <v>0</v>
      </c>
      <c r="AK17">
        <f t="shared" si="40"/>
        <v>0</v>
      </c>
      <c r="AL17">
        <f t="shared" si="41"/>
        <v>0</v>
      </c>
      <c r="AM17">
        <f t="shared" si="42"/>
        <v>0</v>
      </c>
      <c r="AN17">
        <f t="shared" si="43"/>
        <v>0</v>
      </c>
      <c r="AP17">
        <f t="shared" ref="AP17:AP27" si="46">MAX(AQ17:BN17)</f>
        <v>0</v>
      </c>
      <c r="AQ17" s="4">
        <f t="shared" ref="AQ17:AQ27" si="47">_xlfn.NUMBERVALUE(RIGHT(AK3,1))</f>
        <v>0</v>
      </c>
      <c r="AR17" s="4">
        <f t="shared" si="44"/>
        <v>0</v>
      </c>
      <c r="AS17" s="4">
        <f t="shared" si="44"/>
        <v>0</v>
      </c>
      <c r="AT17" s="4">
        <f t="shared" si="44"/>
        <v>0</v>
      </c>
      <c r="AU17" s="4">
        <f t="shared" si="44"/>
        <v>0</v>
      </c>
      <c r="AV17" s="4">
        <f t="shared" si="44"/>
        <v>0</v>
      </c>
      <c r="AW17" s="4">
        <f t="shared" si="44"/>
        <v>0</v>
      </c>
      <c r="AX17" s="4">
        <f t="shared" si="44"/>
        <v>0</v>
      </c>
      <c r="AY17" s="4">
        <f t="shared" si="44"/>
        <v>0</v>
      </c>
      <c r="AZ17" s="4">
        <f t="shared" si="44"/>
        <v>0</v>
      </c>
      <c r="BA17" s="4">
        <f t="shared" si="44"/>
        <v>0</v>
      </c>
      <c r="BB17" s="4">
        <f t="shared" si="44"/>
        <v>0</v>
      </c>
      <c r="BC17" s="4">
        <f t="shared" si="44"/>
        <v>0</v>
      </c>
      <c r="BD17" s="4">
        <f t="shared" si="44"/>
        <v>0</v>
      </c>
      <c r="BE17" s="4">
        <f t="shared" si="44"/>
        <v>0</v>
      </c>
      <c r="BF17" s="4">
        <f t="shared" si="44"/>
        <v>0</v>
      </c>
      <c r="BG17" s="4">
        <f t="shared" si="44"/>
        <v>0</v>
      </c>
      <c r="BH17" s="4">
        <f t="shared" si="45"/>
        <v>0</v>
      </c>
      <c r="BI17" s="4">
        <f t="shared" si="45"/>
        <v>0</v>
      </c>
      <c r="BJ17" s="4">
        <f t="shared" si="45"/>
        <v>0</v>
      </c>
      <c r="BK17" s="4">
        <f t="shared" si="45"/>
        <v>0</v>
      </c>
      <c r="BL17" s="4">
        <f t="shared" si="45"/>
        <v>0</v>
      </c>
      <c r="BM17" s="4">
        <f t="shared" si="45"/>
        <v>0</v>
      </c>
      <c r="BN17" s="4">
        <f t="shared" si="45"/>
        <v>0</v>
      </c>
    </row>
    <row r="18" spans="1:66" x14ac:dyDescent="0.2">
      <c r="A18" t="s">
        <v>32</v>
      </c>
      <c r="B18" t="s">
        <v>21</v>
      </c>
      <c r="D18" t="s">
        <v>180</v>
      </c>
      <c r="G18" s="3" t="s">
        <v>53</v>
      </c>
      <c r="K18" t="s">
        <v>55</v>
      </c>
      <c r="M18" t="s">
        <v>65</v>
      </c>
      <c r="P18" t="s">
        <v>67</v>
      </c>
      <c r="Z18">
        <f t="shared" si="35"/>
        <v>0</v>
      </c>
      <c r="AA18">
        <f t="shared" si="36"/>
        <v>0</v>
      </c>
      <c r="AE18">
        <f t="shared" si="37"/>
        <v>0</v>
      </c>
      <c r="AF18">
        <f t="shared" si="38"/>
        <v>0</v>
      </c>
      <c r="AG18">
        <f t="shared" si="39"/>
        <v>0</v>
      </c>
      <c r="AK18">
        <f t="shared" si="40"/>
        <v>0</v>
      </c>
      <c r="AL18">
        <f t="shared" si="41"/>
        <v>0</v>
      </c>
      <c r="AM18">
        <f t="shared" si="42"/>
        <v>0</v>
      </c>
      <c r="AN18">
        <f t="shared" si="43"/>
        <v>0</v>
      </c>
      <c r="AP18">
        <f t="shared" si="46"/>
        <v>0</v>
      </c>
      <c r="AQ18" s="4">
        <f t="shared" si="47"/>
        <v>0</v>
      </c>
      <c r="AR18" s="4">
        <f t="shared" si="44"/>
        <v>0</v>
      </c>
      <c r="AS18" s="4">
        <f t="shared" si="44"/>
        <v>0</v>
      </c>
      <c r="AT18" s="4">
        <f t="shared" si="44"/>
        <v>0</v>
      </c>
      <c r="AU18" s="4">
        <f t="shared" si="44"/>
        <v>0</v>
      </c>
      <c r="AV18" s="4">
        <f t="shared" si="44"/>
        <v>0</v>
      </c>
      <c r="AW18" s="4">
        <f t="shared" si="44"/>
        <v>0</v>
      </c>
      <c r="AX18" s="4">
        <f t="shared" si="44"/>
        <v>0</v>
      </c>
      <c r="AY18" s="4">
        <f t="shared" si="44"/>
        <v>0</v>
      </c>
      <c r="AZ18" s="4">
        <f t="shared" si="44"/>
        <v>0</v>
      </c>
      <c r="BA18" s="4">
        <f t="shared" si="44"/>
        <v>0</v>
      </c>
      <c r="BB18" s="4">
        <f t="shared" si="44"/>
        <v>0</v>
      </c>
      <c r="BC18" s="4">
        <f t="shared" si="44"/>
        <v>0</v>
      </c>
      <c r="BD18" s="4">
        <f t="shared" si="44"/>
        <v>0</v>
      </c>
      <c r="BE18" s="4">
        <f t="shared" si="44"/>
        <v>0</v>
      </c>
      <c r="BF18" s="4">
        <f t="shared" si="44"/>
        <v>0</v>
      </c>
      <c r="BG18" s="4">
        <f t="shared" si="44"/>
        <v>0</v>
      </c>
      <c r="BH18" s="4">
        <f t="shared" si="45"/>
        <v>0</v>
      </c>
      <c r="BI18" s="4">
        <f t="shared" si="45"/>
        <v>0</v>
      </c>
      <c r="BJ18" s="4">
        <f t="shared" si="45"/>
        <v>0</v>
      </c>
      <c r="BK18" s="4">
        <f t="shared" si="45"/>
        <v>0</v>
      </c>
      <c r="BL18" s="4">
        <f t="shared" si="45"/>
        <v>0</v>
      </c>
      <c r="BM18" s="4">
        <f t="shared" si="45"/>
        <v>0</v>
      </c>
      <c r="BN18" s="4">
        <f t="shared" si="45"/>
        <v>0</v>
      </c>
    </row>
    <row r="19" spans="1:66" x14ac:dyDescent="0.2">
      <c r="A19" t="s">
        <v>40</v>
      </c>
      <c r="B19" t="s">
        <v>22</v>
      </c>
      <c r="D19">
        <f>E16/D16</f>
        <v>0</v>
      </c>
      <c r="G19" t="s">
        <v>75</v>
      </c>
      <c r="K19">
        <f>O16/N16</f>
        <v>0.83333333333333337</v>
      </c>
      <c r="M19">
        <f>SUM(M39:M50)</f>
        <v>-4</v>
      </c>
      <c r="P19">
        <f>T16/S16</f>
        <v>0.90909090909090906</v>
      </c>
      <c r="Z19">
        <f t="shared" si="35"/>
        <v>0</v>
      </c>
      <c r="AA19">
        <f t="shared" si="36"/>
        <v>0</v>
      </c>
      <c r="AE19">
        <f t="shared" si="37"/>
        <v>0</v>
      </c>
      <c r="AF19">
        <f t="shared" si="38"/>
        <v>0</v>
      </c>
      <c r="AG19">
        <f t="shared" si="39"/>
        <v>0</v>
      </c>
      <c r="AK19">
        <f t="shared" si="40"/>
        <v>0</v>
      </c>
      <c r="AL19">
        <f t="shared" si="41"/>
        <v>0</v>
      </c>
      <c r="AM19">
        <f t="shared" si="42"/>
        <v>0</v>
      </c>
      <c r="AN19">
        <f t="shared" si="43"/>
        <v>0</v>
      </c>
      <c r="AP19">
        <f t="shared" si="46"/>
        <v>0</v>
      </c>
      <c r="AQ19" s="4">
        <f t="shared" si="47"/>
        <v>0</v>
      </c>
      <c r="AR19" s="4">
        <f t="shared" si="44"/>
        <v>0</v>
      </c>
      <c r="AS19" s="4">
        <f t="shared" si="44"/>
        <v>0</v>
      </c>
      <c r="AT19" s="4">
        <f t="shared" si="44"/>
        <v>0</v>
      </c>
      <c r="AU19" s="4">
        <f t="shared" si="44"/>
        <v>0</v>
      </c>
      <c r="AV19" s="4">
        <f t="shared" si="44"/>
        <v>0</v>
      </c>
      <c r="AW19" s="4">
        <f t="shared" si="44"/>
        <v>0</v>
      </c>
      <c r="AX19" s="4">
        <f t="shared" si="44"/>
        <v>0</v>
      </c>
      <c r="AY19" s="4">
        <f t="shared" si="44"/>
        <v>0</v>
      </c>
      <c r="AZ19" s="4">
        <f t="shared" si="44"/>
        <v>0</v>
      </c>
      <c r="BA19" s="4">
        <f t="shared" si="44"/>
        <v>0</v>
      </c>
      <c r="BB19" s="4">
        <f t="shared" si="44"/>
        <v>0</v>
      </c>
      <c r="BC19" s="4">
        <f t="shared" si="44"/>
        <v>0</v>
      </c>
      <c r="BD19" s="4">
        <f t="shared" si="44"/>
        <v>0</v>
      </c>
      <c r="BE19" s="4">
        <f t="shared" si="44"/>
        <v>0</v>
      </c>
      <c r="BF19" s="4">
        <f t="shared" si="44"/>
        <v>0</v>
      </c>
      <c r="BG19" s="4">
        <f t="shared" si="44"/>
        <v>0</v>
      </c>
      <c r="BH19" s="4">
        <f t="shared" si="45"/>
        <v>0</v>
      </c>
      <c r="BI19" s="4">
        <f t="shared" si="45"/>
        <v>0</v>
      </c>
      <c r="BJ19" s="4">
        <f t="shared" si="45"/>
        <v>0</v>
      </c>
      <c r="BK19" s="4">
        <f t="shared" si="45"/>
        <v>0</v>
      </c>
      <c r="BL19" s="4">
        <f t="shared" si="45"/>
        <v>0</v>
      </c>
      <c r="BM19" s="4">
        <f t="shared" si="45"/>
        <v>0</v>
      </c>
      <c r="BN19" s="4">
        <f t="shared" si="45"/>
        <v>0</v>
      </c>
    </row>
    <row r="20" spans="1:66" x14ac:dyDescent="0.2">
      <c r="A20" t="s">
        <v>41</v>
      </c>
      <c r="B20" t="s">
        <v>23</v>
      </c>
      <c r="D20" t="s">
        <v>47</v>
      </c>
      <c r="G20" t="e">
        <f>AK28/AP28</f>
        <v>#DIV/0!</v>
      </c>
      <c r="K20" t="s">
        <v>13</v>
      </c>
      <c r="Z20">
        <f t="shared" si="35"/>
        <v>0</v>
      </c>
      <c r="AA20">
        <f t="shared" si="36"/>
        <v>0</v>
      </c>
      <c r="AE20">
        <f t="shared" si="37"/>
        <v>0</v>
      </c>
      <c r="AF20">
        <f t="shared" si="38"/>
        <v>0</v>
      </c>
      <c r="AG20">
        <f t="shared" si="39"/>
        <v>0</v>
      </c>
      <c r="AK20">
        <f t="shared" si="40"/>
        <v>0</v>
      </c>
      <c r="AL20">
        <f t="shared" si="41"/>
        <v>0</v>
      </c>
      <c r="AM20">
        <f t="shared" si="42"/>
        <v>0</v>
      </c>
      <c r="AN20">
        <f t="shared" si="43"/>
        <v>0</v>
      </c>
      <c r="AP20">
        <f t="shared" si="46"/>
        <v>0</v>
      </c>
      <c r="AQ20" s="4">
        <f t="shared" si="47"/>
        <v>0</v>
      </c>
      <c r="AR20" s="4">
        <f t="shared" si="44"/>
        <v>0</v>
      </c>
      <c r="AS20" s="4">
        <f t="shared" si="44"/>
        <v>0</v>
      </c>
      <c r="AT20" s="4">
        <f t="shared" si="44"/>
        <v>0</v>
      </c>
      <c r="AU20" s="4">
        <f t="shared" si="44"/>
        <v>0</v>
      </c>
      <c r="AV20" s="4">
        <f t="shared" si="44"/>
        <v>0</v>
      </c>
      <c r="AW20" s="4">
        <f t="shared" si="44"/>
        <v>0</v>
      </c>
      <c r="AX20" s="4">
        <f t="shared" si="44"/>
        <v>0</v>
      </c>
      <c r="AY20" s="4">
        <f t="shared" si="44"/>
        <v>0</v>
      </c>
      <c r="AZ20" s="4">
        <f t="shared" si="44"/>
        <v>0</v>
      </c>
      <c r="BA20" s="4">
        <f t="shared" si="44"/>
        <v>0</v>
      </c>
      <c r="BB20" s="4">
        <f t="shared" si="44"/>
        <v>0</v>
      </c>
      <c r="BC20" s="4">
        <f t="shared" si="44"/>
        <v>0</v>
      </c>
      <c r="BD20" s="4">
        <f t="shared" si="44"/>
        <v>0</v>
      </c>
      <c r="BE20" s="4">
        <f t="shared" si="44"/>
        <v>0</v>
      </c>
      <c r="BF20" s="4">
        <f t="shared" si="44"/>
        <v>0</v>
      </c>
      <c r="BG20" s="4">
        <f t="shared" si="44"/>
        <v>0</v>
      </c>
      <c r="BH20" s="4">
        <f t="shared" si="45"/>
        <v>0</v>
      </c>
      <c r="BI20" s="4">
        <f t="shared" si="45"/>
        <v>0</v>
      </c>
      <c r="BJ20" s="4">
        <f t="shared" si="45"/>
        <v>0</v>
      </c>
      <c r="BK20" s="4">
        <f t="shared" si="45"/>
        <v>0</v>
      </c>
      <c r="BL20" s="4">
        <f t="shared" si="45"/>
        <v>0</v>
      </c>
      <c r="BM20" s="4">
        <f t="shared" si="45"/>
        <v>0</v>
      </c>
      <c r="BN20" s="4">
        <f t="shared" si="45"/>
        <v>0</v>
      </c>
    </row>
    <row r="21" spans="1:66" x14ac:dyDescent="0.2">
      <c r="A21" s="1" t="s">
        <v>24</v>
      </c>
      <c r="D21">
        <f>G16/A31</f>
        <v>0</v>
      </c>
      <c r="G21" t="s">
        <v>76</v>
      </c>
      <c r="K21" t="s">
        <v>57</v>
      </c>
      <c r="L21" t="s">
        <v>58</v>
      </c>
      <c r="M21" t="s">
        <v>59</v>
      </c>
      <c r="N21" t="s">
        <v>60</v>
      </c>
      <c r="Z21">
        <f t="shared" si="35"/>
        <v>0</v>
      </c>
      <c r="AA21">
        <f t="shared" si="36"/>
        <v>0</v>
      </c>
      <c r="AE21">
        <f t="shared" si="37"/>
        <v>0</v>
      </c>
      <c r="AF21">
        <f t="shared" si="38"/>
        <v>0</v>
      </c>
      <c r="AG21">
        <f t="shared" si="39"/>
        <v>0</v>
      </c>
      <c r="AK21">
        <f t="shared" si="40"/>
        <v>0</v>
      </c>
      <c r="AL21">
        <f t="shared" si="41"/>
        <v>0</v>
      </c>
      <c r="AM21">
        <f t="shared" si="42"/>
        <v>0</v>
      </c>
      <c r="AN21">
        <f t="shared" si="43"/>
        <v>0</v>
      </c>
      <c r="AP21">
        <f t="shared" si="46"/>
        <v>0</v>
      </c>
      <c r="AQ21" s="4">
        <f t="shared" si="47"/>
        <v>0</v>
      </c>
      <c r="AR21" s="4">
        <f t="shared" si="44"/>
        <v>0</v>
      </c>
      <c r="AS21" s="4">
        <f t="shared" si="44"/>
        <v>0</v>
      </c>
      <c r="AT21" s="4">
        <f t="shared" si="44"/>
        <v>0</v>
      </c>
      <c r="AU21" s="4">
        <f t="shared" si="44"/>
        <v>0</v>
      </c>
      <c r="AV21" s="4">
        <f t="shared" si="44"/>
        <v>0</v>
      </c>
      <c r="AW21" s="4">
        <f t="shared" si="44"/>
        <v>0</v>
      </c>
      <c r="AX21" s="4">
        <f t="shared" si="44"/>
        <v>0</v>
      </c>
      <c r="AY21" s="4">
        <f t="shared" si="44"/>
        <v>0</v>
      </c>
      <c r="AZ21" s="4">
        <f t="shared" si="44"/>
        <v>0</v>
      </c>
      <c r="BA21" s="4">
        <f t="shared" si="44"/>
        <v>0</v>
      </c>
      <c r="BB21" s="4">
        <f t="shared" si="44"/>
        <v>0</v>
      </c>
      <c r="BC21" s="4">
        <f t="shared" si="44"/>
        <v>0</v>
      </c>
      <c r="BD21" s="4">
        <f t="shared" si="44"/>
        <v>0</v>
      </c>
      <c r="BE21" s="4">
        <f t="shared" si="44"/>
        <v>0</v>
      </c>
      <c r="BF21" s="4">
        <f t="shared" si="44"/>
        <v>0</v>
      </c>
      <c r="BG21" s="4">
        <f t="shared" si="44"/>
        <v>0</v>
      </c>
      <c r="BH21" s="4">
        <f t="shared" si="45"/>
        <v>0</v>
      </c>
      <c r="BI21" s="4">
        <f t="shared" si="45"/>
        <v>0</v>
      </c>
      <c r="BJ21" s="4">
        <f t="shared" si="45"/>
        <v>0</v>
      </c>
      <c r="BK21" s="4">
        <f t="shared" si="45"/>
        <v>0</v>
      </c>
      <c r="BL21" s="4">
        <f t="shared" si="45"/>
        <v>0</v>
      </c>
      <c r="BM21" s="4">
        <f t="shared" si="45"/>
        <v>0</v>
      </c>
      <c r="BN21" s="4">
        <f t="shared" si="45"/>
        <v>0</v>
      </c>
    </row>
    <row r="22" spans="1:66" x14ac:dyDescent="0.2">
      <c r="A22" t="s">
        <v>36</v>
      </c>
      <c r="B22" t="s">
        <v>10</v>
      </c>
      <c r="D22" t="s">
        <v>48</v>
      </c>
      <c r="G22" t="e">
        <f>AL28/AP28</f>
        <v>#DIV/0!</v>
      </c>
      <c r="K22">
        <f>AVERAGE(C39:C50)</f>
        <v>1.25</v>
      </c>
      <c r="L22">
        <f>MEDIAN(C39:C50)</f>
        <v>1</v>
      </c>
      <c r="M22">
        <f>MAX(C39:C50)</f>
        <v>3</v>
      </c>
      <c r="N22">
        <f>_xlfn.STDEV.S(C39:C50)</f>
        <v>0.8660254037844386</v>
      </c>
      <c r="Z22">
        <f t="shared" si="35"/>
        <v>0</v>
      </c>
      <c r="AA22">
        <f t="shared" si="36"/>
        <v>0</v>
      </c>
      <c r="AE22">
        <f t="shared" si="37"/>
        <v>0</v>
      </c>
      <c r="AF22">
        <f t="shared" si="38"/>
        <v>0</v>
      </c>
      <c r="AG22">
        <f t="shared" si="39"/>
        <v>0</v>
      </c>
      <c r="AK22">
        <f t="shared" si="40"/>
        <v>0</v>
      </c>
      <c r="AL22">
        <f t="shared" si="41"/>
        <v>0</v>
      </c>
      <c r="AM22">
        <f t="shared" si="42"/>
        <v>0</v>
      </c>
      <c r="AN22">
        <f t="shared" si="43"/>
        <v>0</v>
      </c>
      <c r="AP22">
        <f t="shared" si="46"/>
        <v>0</v>
      </c>
      <c r="AQ22" s="4">
        <f t="shared" si="47"/>
        <v>0</v>
      </c>
      <c r="AR22" s="4">
        <f t="shared" si="44"/>
        <v>0</v>
      </c>
      <c r="AS22" s="4">
        <f t="shared" si="44"/>
        <v>0</v>
      </c>
      <c r="AT22" s="4">
        <f t="shared" si="44"/>
        <v>0</v>
      </c>
      <c r="AU22" s="4">
        <f t="shared" si="44"/>
        <v>0</v>
      </c>
      <c r="AV22" s="4">
        <f t="shared" si="44"/>
        <v>0</v>
      </c>
      <c r="AW22" s="4">
        <f t="shared" si="44"/>
        <v>0</v>
      </c>
      <c r="AX22" s="4">
        <f t="shared" si="44"/>
        <v>0</v>
      </c>
      <c r="AY22" s="4">
        <f t="shared" si="44"/>
        <v>0</v>
      </c>
      <c r="AZ22" s="4">
        <f t="shared" si="44"/>
        <v>0</v>
      </c>
      <c r="BA22" s="4">
        <f t="shared" si="44"/>
        <v>0</v>
      </c>
      <c r="BB22" s="4">
        <f t="shared" si="44"/>
        <v>0</v>
      </c>
      <c r="BC22" s="4">
        <f t="shared" si="44"/>
        <v>0</v>
      </c>
      <c r="BD22" s="4">
        <f t="shared" si="44"/>
        <v>0</v>
      </c>
      <c r="BE22" s="4">
        <f t="shared" si="44"/>
        <v>0</v>
      </c>
      <c r="BF22" s="4">
        <f t="shared" si="44"/>
        <v>0</v>
      </c>
      <c r="BG22" s="4">
        <f t="shared" si="44"/>
        <v>0</v>
      </c>
      <c r="BH22" s="4">
        <f t="shared" si="45"/>
        <v>0</v>
      </c>
      <c r="BI22" s="4">
        <f t="shared" si="45"/>
        <v>0</v>
      </c>
      <c r="BJ22" s="4">
        <f t="shared" si="45"/>
        <v>0</v>
      </c>
      <c r="BK22" s="4">
        <f t="shared" si="45"/>
        <v>0</v>
      </c>
      <c r="BL22" s="4">
        <f t="shared" si="45"/>
        <v>0</v>
      </c>
      <c r="BM22" s="4">
        <f t="shared" si="45"/>
        <v>0</v>
      </c>
      <c r="BN22" s="4">
        <f t="shared" si="45"/>
        <v>0</v>
      </c>
    </row>
    <row r="23" spans="1:66" x14ac:dyDescent="0.2">
      <c r="A23" t="s">
        <v>37</v>
      </c>
      <c r="B23" t="s">
        <v>25</v>
      </c>
      <c r="D23">
        <f>H16/A31</f>
        <v>0</v>
      </c>
      <c r="G23" t="s">
        <v>77</v>
      </c>
      <c r="K23" t="s">
        <v>8</v>
      </c>
      <c r="Z23">
        <f t="shared" si="35"/>
        <v>0</v>
      </c>
      <c r="AA23">
        <f t="shared" si="36"/>
        <v>0</v>
      </c>
      <c r="AE23">
        <f t="shared" si="37"/>
        <v>0</v>
      </c>
      <c r="AF23">
        <f t="shared" si="38"/>
        <v>0</v>
      </c>
      <c r="AG23">
        <f t="shared" si="39"/>
        <v>0</v>
      </c>
      <c r="AK23">
        <f t="shared" si="40"/>
        <v>0</v>
      </c>
      <c r="AL23">
        <f t="shared" si="41"/>
        <v>0</v>
      </c>
      <c r="AM23">
        <f t="shared" si="42"/>
        <v>0</v>
      </c>
      <c r="AN23">
        <f t="shared" si="43"/>
        <v>0</v>
      </c>
      <c r="AP23">
        <f t="shared" si="46"/>
        <v>0</v>
      </c>
      <c r="AQ23" s="4">
        <f t="shared" si="47"/>
        <v>0</v>
      </c>
      <c r="AR23" s="4">
        <f t="shared" si="44"/>
        <v>0</v>
      </c>
      <c r="AS23" s="4">
        <f t="shared" si="44"/>
        <v>0</v>
      </c>
      <c r="AT23" s="4">
        <f t="shared" si="44"/>
        <v>0</v>
      </c>
      <c r="AU23" s="4">
        <f t="shared" si="44"/>
        <v>0</v>
      </c>
      <c r="AV23" s="4">
        <f t="shared" si="44"/>
        <v>0</v>
      </c>
      <c r="AW23" s="4">
        <f t="shared" si="44"/>
        <v>0</v>
      </c>
      <c r="AX23" s="4">
        <f t="shared" si="44"/>
        <v>0</v>
      </c>
      <c r="AY23" s="4">
        <f t="shared" si="44"/>
        <v>0</v>
      </c>
      <c r="AZ23" s="4">
        <f t="shared" si="44"/>
        <v>0</v>
      </c>
      <c r="BA23" s="4">
        <f t="shared" si="44"/>
        <v>0</v>
      </c>
      <c r="BB23" s="4">
        <f t="shared" si="44"/>
        <v>0</v>
      </c>
      <c r="BC23" s="4">
        <f t="shared" si="44"/>
        <v>0</v>
      </c>
      <c r="BD23" s="4">
        <f t="shared" si="44"/>
        <v>0</v>
      </c>
      <c r="BE23" s="4">
        <f t="shared" si="44"/>
        <v>0</v>
      </c>
      <c r="BF23" s="4">
        <f t="shared" si="44"/>
        <v>0</v>
      </c>
      <c r="BG23" s="4">
        <f t="shared" si="44"/>
        <v>0</v>
      </c>
      <c r="BH23" s="4">
        <f t="shared" si="45"/>
        <v>0</v>
      </c>
      <c r="BI23" s="4">
        <f t="shared" si="45"/>
        <v>0</v>
      </c>
      <c r="BJ23" s="4">
        <f t="shared" si="45"/>
        <v>0</v>
      </c>
      <c r="BK23" s="4">
        <f t="shared" si="45"/>
        <v>0</v>
      </c>
      <c r="BL23" s="4">
        <f t="shared" si="45"/>
        <v>0</v>
      </c>
      <c r="BM23" s="4">
        <f t="shared" si="45"/>
        <v>0</v>
      </c>
      <c r="BN23" s="4">
        <f t="shared" si="45"/>
        <v>0</v>
      </c>
    </row>
    <row r="24" spans="1:66" x14ac:dyDescent="0.2">
      <c r="A24" t="s">
        <v>38</v>
      </c>
      <c r="B24" t="s">
        <v>26</v>
      </c>
      <c r="D24" t="s">
        <v>50</v>
      </c>
      <c r="G24" t="e">
        <f>AM28/AP28</f>
        <v>#DIV/0!</v>
      </c>
      <c r="K24" t="s">
        <v>57</v>
      </c>
      <c r="L24" t="s">
        <v>61</v>
      </c>
      <c r="M24" t="s">
        <v>59</v>
      </c>
      <c r="N24" t="s">
        <v>60</v>
      </c>
      <c r="Z24">
        <f t="shared" si="35"/>
        <v>0</v>
      </c>
      <c r="AA24">
        <f t="shared" si="36"/>
        <v>0</v>
      </c>
      <c r="AE24">
        <f t="shared" si="37"/>
        <v>0</v>
      </c>
      <c r="AF24">
        <f t="shared" si="38"/>
        <v>0</v>
      </c>
      <c r="AG24">
        <f t="shared" si="39"/>
        <v>0</v>
      </c>
      <c r="AK24">
        <f t="shared" si="40"/>
        <v>0</v>
      </c>
      <c r="AL24">
        <f t="shared" si="41"/>
        <v>0</v>
      </c>
      <c r="AM24">
        <f t="shared" si="42"/>
        <v>0</v>
      </c>
      <c r="AN24">
        <f t="shared" si="43"/>
        <v>0</v>
      </c>
      <c r="AP24">
        <f t="shared" si="46"/>
        <v>0</v>
      </c>
      <c r="AQ24" s="4">
        <f t="shared" si="47"/>
        <v>0</v>
      </c>
      <c r="AR24" s="4">
        <f t="shared" si="44"/>
        <v>0</v>
      </c>
      <c r="AS24" s="4">
        <f t="shared" si="44"/>
        <v>0</v>
      </c>
      <c r="AT24" s="4">
        <f t="shared" si="44"/>
        <v>0</v>
      </c>
      <c r="AU24" s="4">
        <f t="shared" si="44"/>
        <v>0</v>
      </c>
      <c r="AV24" s="4">
        <f t="shared" si="44"/>
        <v>0</v>
      </c>
      <c r="AW24" s="4">
        <f t="shared" si="44"/>
        <v>0</v>
      </c>
      <c r="AX24" s="4">
        <f t="shared" si="44"/>
        <v>0</v>
      </c>
      <c r="AY24" s="4">
        <f t="shared" si="44"/>
        <v>0</v>
      </c>
      <c r="AZ24" s="4">
        <f t="shared" si="44"/>
        <v>0</v>
      </c>
      <c r="BA24" s="4">
        <f t="shared" si="44"/>
        <v>0</v>
      </c>
      <c r="BB24" s="4">
        <f t="shared" si="44"/>
        <v>0</v>
      </c>
      <c r="BC24" s="4">
        <f t="shared" si="44"/>
        <v>0</v>
      </c>
      <c r="BD24" s="4">
        <f t="shared" si="44"/>
        <v>0</v>
      </c>
      <c r="BE24" s="4">
        <f t="shared" si="44"/>
        <v>0</v>
      </c>
      <c r="BF24" s="4">
        <f t="shared" si="44"/>
        <v>0</v>
      </c>
      <c r="BG24" s="4">
        <f t="shared" si="44"/>
        <v>0</v>
      </c>
      <c r="BH24" s="4">
        <f t="shared" si="45"/>
        <v>0</v>
      </c>
      <c r="BI24" s="4">
        <f t="shared" si="45"/>
        <v>0</v>
      </c>
      <c r="BJ24" s="4">
        <f t="shared" si="45"/>
        <v>0</v>
      </c>
      <c r="BK24" s="4">
        <f t="shared" si="45"/>
        <v>0</v>
      </c>
      <c r="BL24" s="4">
        <f t="shared" si="45"/>
        <v>0</v>
      </c>
      <c r="BM24" s="4">
        <f t="shared" si="45"/>
        <v>0</v>
      </c>
      <c r="BN24" s="4">
        <f t="shared" si="45"/>
        <v>0</v>
      </c>
    </row>
    <row r="25" spans="1:66" x14ac:dyDescent="0.2">
      <c r="A25" t="s">
        <v>39</v>
      </c>
      <c r="B25" t="s">
        <v>27</v>
      </c>
      <c r="D25">
        <f>Z28/A31</f>
        <v>0</v>
      </c>
      <c r="G25" t="s">
        <v>78</v>
      </c>
      <c r="K25">
        <f>AVERAGE(E39:E50)</f>
        <v>0</v>
      </c>
      <c r="L25">
        <f>MEDIAN(E39:E50)</f>
        <v>0</v>
      </c>
      <c r="M25">
        <f>MAX(E39:E50)</f>
        <v>0</v>
      </c>
      <c r="N25">
        <f>_xlfn.STDEV.S(E39:E50)</f>
        <v>0</v>
      </c>
      <c r="Z25">
        <f t="shared" si="35"/>
        <v>0</v>
      </c>
      <c r="AA25">
        <f t="shared" si="36"/>
        <v>0</v>
      </c>
      <c r="AE25">
        <f t="shared" si="37"/>
        <v>0</v>
      </c>
      <c r="AF25">
        <f t="shared" si="38"/>
        <v>0</v>
      </c>
      <c r="AG25">
        <f t="shared" si="39"/>
        <v>0</v>
      </c>
      <c r="AK25">
        <f t="shared" si="40"/>
        <v>0</v>
      </c>
      <c r="AL25">
        <f t="shared" si="41"/>
        <v>0</v>
      </c>
      <c r="AM25">
        <f t="shared" si="42"/>
        <v>0</v>
      </c>
      <c r="AN25">
        <f t="shared" si="43"/>
        <v>0</v>
      </c>
      <c r="AP25">
        <f t="shared" si="46"/>
        <v>0</v>
      </c>
      <c r="AQ25" s="4">
        <f t="shared" si="47"/>
        <v>0</v>
      </c>
      <c r="AR25" s="4">
        <f t="shared" si="44"/>
        <v>0</v>
      </c>
      <c r="AS25" s="4">
        <f t="shared" si="44"/>
        <v>0</v>
      </c>
      <c r="AT25" s="4">
        <f t="shared" si="44"/>
        <v>0</v>
      </c>
      <c r="AU25" s="4">
        <f t="shared" si="44"/>
        <v>0</v>
      </c>
      <c r="AV25" s="4">
        <f t="shared" si="44"/>
        <v>0</v>
      </c>
      <c r="AW25" s="4">
        <f t="shared" si="44"/>
        <v>0</v>
      </c>
      <c r="AX25" s="4">
        <f t="shared" si="44"/>
        <v>0</v>
      </c>
      <c r="AY25" s="4">
        <f t="shared" si="44"/>
        <v>0</v>
      </c>
      <c r="AZ25" s="4">
        <f t="shared" si="44"/>
        <v>0</v>
      </c>
      <c r="BA25" s="4">
        <f t="shared" si="44"/>
        <v>0</v>
      </c>
      <c r="BB25" s="4">
        <f t="shared" si="44"/>
        <v>0</v>
      </c>
      <c r="BC25" s="4">
        <f t="shared" si="44"/>
        <v>0</v>
      </c>
      <c r="BD25" s="4">
        <f t="shared" si="44"/>
        <v>0</v>
      </c>
      <c r="BE25" s="4">
        <f t="shared" si="44"/>
        <v>0</v>
      </c>
      <c r="BF25" s="4">
        <f t="shared" si="44"/>
        <v>0</v>
      </c>
      <c r="BG25" s="4">
        <f t="shared" si="44"/>
        <v>0</v>
      </c>
      <c r="BH25" s="4">
        <f t="shared" si="45"/>
        <v>0</v>
      </c>
      <c r="BI25" s="4">
        <f t="shared" si="45"/>
        <v>0</v>
      </c>
      <c r="BJ25" s="4">
        <f t="shared" si="45"/>
        <v>0</v>
      </c>
      <c r="BK25" s="4">
        <f t="shared" si="45"/>
        <v>0</v>
      </c>
      <c r="BL25" s="4">
        <f t="shared" si="45"/>
        <v>0</v>
      </c>
      <c r="BM25" s="4">
        <f t="shared" si="45"/>
        <v>0</v>
      </c>
      <c r="BN25" s="4">
        <f t="shared" si="45"/>
        <v>0</v>
      </c>
    </row>
    <row r="26" spans="1:66" x14ac:dyDescent="0.2">
      <c r="A26" t="s">
        <v>44</v>
      </c>
      <c r="D26" t="s">
        <v>51</v>
      </c>
      <c r="G26" t="e">
        <f>AN28/AP28</f>
        <v>#DIV/0!</v>
      </c>
      <c r="K26" t="s">
        <v>62</v>
      </c>
      <c r="P26" t="s">
        <v>19</v>
      </c>
      <c r="Z26">
        <f t="shared" si="35"/>
        <v>0</v>
      </c>
      <c r="AA26">
        <f t="shared" si="36"/>
        <v>0</v>
      </c>
      <c r="AE26">
        <f t="shared" si="37"/>
        <v>0</v>
      </c>
      <c r="AF26">
        <f t="shared" si="38"/>
        <v>0</v>
      </c>
      <c r="AG26">
        <f t="shared" si="39"/>
        <v>0</v>
      </c>
      <c r="AK26">
        <f t="shared" si="40"/>
        <v>0</v>
      </c>
      <c r="AL26">
        <f t="shared" si="41"/>
        <v>0</v>
      </c>
      <c r="AM26">
        <f t="shared" si="42"/>
        <v>0</v>
      </c>
      <c r="AN26">
        <f t="shared" si="43"/>
        <v>0</v>
      </c>
      <c r="AP26">
        <f t="shared" si="46"/>
        <v>0</v>
      </c>
      <c r="AQ26" s="4">
        <f t="shared" si="47"/>
        <v>0</v>
      </c>
      <c r="AR26" s="4">
        <f t="shared" si="44"/>
        <v>0</v>
      </c>
      <c r="AS26" s="4">
        <f t="shared" si="44"/>
        <v>0</v>
      </c>
      <c r="AT26" s="4">
        <f t="shared" si="44"/>
        <v>0</v>
      </c>
      <c r="AU26" s="4">
        <f t="shared" si="44"/>
        <v>0</v>
      </c>
      <c r="AV26" s="4">
        <f t="shared" si="44"/>
        <v>0</v>
      </c>
      <c r="AW26" s="4">
        <f t="shared" si="44"/>
        <v>0</v>
      </c>
      <c r="AX26" s="4">
        <f t="shared" si="44"/>
        <v>0</v>
      </c>
      <c r="AY26" s="4">
        <f t="shared" si="44"/>
        <v>0</v>
      </c>
      <c r="AZ26" s="4">
        <f t="shared" si="44"/>
        <v>0</v>
      </c>
      <c r="BA26" s="4">
        <f t="shared" si="44"/>
        <v>0</v>
      </c>
      <c r="BB26" s="4">
        <f t="shared" si="44"/>
        <v>0</v>
      </c>
      <c r="BC26" s="4">
        <f t="shared" si="44"/>
        <v>0</v>
      </c>
      <c r="BD26" s="4">
        <f t="shared" si="44"/>
        <v>0</v>
      </c>
      <c r="BE26" s="4">
        <f t="shared" si="44"/>
        <v>0</v>
      </c>
      <c r="BF26" s="4">
        <f t="shared" si="44"/>
        <v>0</v>
      </c>
      <c r="BG26" s="4">
        <f t="shared" si="44"/>
        <v>0</v>
      </c>
      <c r="BH26" s="4">
        <f t="shared" si="45"/>
        <v>0</v>
      </c>
      <c r="BI26" s="4">
        <f t="shared" si="45"/>
        <v>0</v>
      </c>
      <c r="BJ26" s="4">
        <f t="shared" si="45"/>
        <v>0</v>
      </c>
      <c r="BK26" s="4">
        <f t="shared" si="45"/>
        <v>0</v>
      </c>
      <c r="BL26" s="4">
        <f t="shared" si="45"/>
        <v>0</v>
      </c>
      <c r="BM26" s="4">
        <f t="shared" si="45"/>
        <v>0</v>
      </c>
      <c r="BN26" s="4">
        <f t="shared" si="45"/>
        <v>0</v>
      </c>
    </row>
    <row r="27" spans="1:66" x14ac:dyDescent="0.2">
      <c r="A27" t="s">
        <v>45</v>
      </c>
      <c r="D27">
        <f>AA28/A31</f>
        <v>0</v>
      </c>
      <c r="G27" t="s">
        <v>56</v>
      </c>
      <c r="K27" t="s">
        <v>57</v>
      </c>
      <c r="L27" t="s">
        <v>58</v>
      </c>
      <c r="M27" t="s">
        <v>59</v>
      </c>
      <c r="N27" t="s">
        <v>60</v>
      </c>
      <c r="P27" t="s">
        <v>57</v>
      </c>
      <c r="Q27" t="s">
        <v>58</v>
      </c>
      <c r="R27" t="s">
        <v>59</v>
      </c>
      <c r="S27" t="s">
        <v>60</v>
      </c>
      <c r="Z27">
        <f t="shared" si="35"/>
        <v>0</v>
      </c>
      <c r="AA27">
        <f t="shared" si="36"/>
        <v>0</v>
      </c>
      <c r="AE27">
        <f t="shared" si="37"/>
        <v>0</v>
      </c>
      <c r="AF27">
        <f t="shared" si="38"/>
        <v>0</v>
      </c>
      <c r="AG27">
        <f t="shared" si="39"/>
        <v>0</v>
      </c>
      <c r="AK27">
        <f t="shared" si="40"/>
        <v>0</v>
      </c>
      <c r="AL27">
        <f t="shared" si="41"/>
        <v>0</v>
      </c>
      <c r="AM27">
        <f t="shared" si="42"/>
        <v>0</v>
      </c>
      <c r="AN27">
        <f t="shared" si="43"/>
        <v>0</v>
      </c>
      <c r="AP27">
        <f t="shared" si="46"/>
        <v>0</v>
      </c>
      <c r="AQ27" s="4">
        <f t="shared" si="47"/>
        <v>0</v>
      </c>
      <c r="AR27" s="4">
        <f t="shared" si="44"/>
        <v>0</v>
      </c>
      <c r="AS27" s="4">
        <f t="shared" si="44"/>
        <v>0</v>
      </c>
      <c r="AT27" s="4">
        <f t="shared" si="44"/>
        <v>0</v>
      </c>
      <c r="AU27" s="4">
        <f t="shared" si="44"/>
        <v>0</v>
      </c>
      <c r="AV27" s="4">
        <f t="shared" si="44"/>
        <v>0</v>
      </c>
      <c r="AW27" s="4">
        <f t="shared" si="44"/>
        <v>0</v>
      </c>
      <c r="AX27" s="4">
        <f t="shared" si="44"/>
        <v>0</v>
      </c>
      <c r="AY27" s="4">
        <f t="shared" si="44"/>
        <v>0</v>
      </c>
      <c r="AZ27" s="4">
        <f t="shared" si="44"/>
        <v>0</v>
      </c>
      <c r="BA27" s="4">
        <f t="shared" si="44"/>
        <v>0</v>
      </c>
      <c r="BB27" s="4">
        <f t="shared" si="44"/>
        <v>0</v>
      </c>
      <c r="BC27" s="4">
        <f t="shared" si="44"/>
        <v>0</v>
      </c>
      <c r="BD27" s="4">
        <f t="shared" si="44"/>
        <v>0</v>
      </c>
      <c r="BE27" s="4">
        <f t="shared" si="44"/>
        <v>0</v>
      </c>
      <c r="BF27" s="4">
        <f t="shared" si="44"/>
        <v>0</v>
      </c>
      <c r="BG27" s="4">
        <f t="shared" si="44"/>
        <v>0</v>
      </c>
      <c r="BH27" s="4">
        <f t="shared" si="45"/>
        <v>0</v>
      </c>
      <c r="BI27" s="4">
        <f t="shared" si="45"/>
        <v>0</v>
      </c>
      <c r="BJ27" s="4">
        <f t="shared" si="45"/>
        <v>0</v>
      </c>
      <c r="BK27" s="4">
        <f t="shared" si="45"/>
        <v>0</v>
      </c>
      <c r="BL27" s="4">
        <f t="shared" si="45"/>
        <v>0</v>
      </c>
      <c r="BM27" s="4">
        <f t="shared" si="45"/>
        <v>0</v>
      </c>
      <c r="BN27" s="4">
        <f t="shared" si="45"/>
        <v>0</v>
      </c>
    </row>
    <row r="28" spans="1:66" x14ac:dyDescent="0.2">
      <c r="A28" t="s">
        <v>46</v>
      </c>
      <c r="D28" t="s">
        <v>202</v>
      </c>
      <c r="G28" t="s">
        <v>57</v>
      </c>
      <c r="H28" t="s">
        <v>58</v>
      </c>
      <c r="I28" t="s">
        <v>59</v>
      </c>
      <c r="J28" t="s">
        <v>60</v>
      </c>
      <c r="K28">
        <f>AVERAGE(G39:G50)</f>
        <v>0</v>
      </c>
      <c r="L28">
        <f>MEDIAN(G39:G50)</f>
        <v>0</v>
      </c>
      <c r="M28">
        <f>MAX(G39:G50)</f>
        <v>0</v>
      </c>
      <c r="N28">
        <f>_xlfn.STDEV.S(G39:G50)</f>
        <v>0</v>
      </c>
      <c r="P28">
        <f>AVERAGE(N39:N50)</f>
        <v>4.666666666666667</v>
      </c>
      <c r="Q28">
        <f>MEDIAN(N39:N50)</f>
        <v>0</v>
      </c>
      <c r="R28">
        <f>MAX(N39:N50)</f>
        <v>45</v>
      </c>
      <c r="S28">
        <f>_xlfn.STDEV.S(N39:N50)</f>
        <v>12.893503179602673</v>
      </c>
      <c r="Y28" t="s">
        <v>33</v>
      </c>
      <c r="Z28">
        <f>SUM(Z16:Z27)</f>
        <v>0</v>
      </c>
      <c r="AA28">
        <f>SUM(AA16:AA27)</f>
        <v>0</v>
      </c>
      <c r="AE28">
        <f>SUM(AE16:AE27)</f>
        <v>0</v>
      </c>
      <c r="AF28">
        <f>SUM(AF16:AF27)</f>
        <v>1</v>
      </c>
      <c r="AG28">
        <f>SUM(AG16:AG27)</f>
        <v>0</v>
      </c>
      <c r="AK28">
        <f>SUM(AK16:AK27)</f>
        <v>0</v>
      </c>
      <c r="AL28">
        <f>SUM(AL16:AL27)</f>
        <v>0</v>
      </c>
      <c r="AM28">
        <f>SUM(AM16:AM27)</f>
        <v>0</v>
      </c>
      <c r="AN28">
        <f>SUM(AN16:AN27)</f>
        <v>0</v>
      </c>
      <c r="AP28">
        <f>SUM(AP16:AP27)</f>
        <v>0</v>
      </c>
    </row>
    <row r="29" spans="1:66" x14ac:dyDescent="0.2">
      <c r="D29" t="e">
        <f>SUM(O39:O50)/F16</f>
        <v>#DIV/0!</v>
      </c>
      <c r="G29">
        <f>AVERAGE(A39:A50)</f>
        <v>8.3333333333333329E-2</v>
      </c>
      <c r="H29">
        <f>MEDIAN(A39:A50)</f>
        <v>0</v>
      </c>
      <c r="I29">
        <f>MAX(A39:A50)</f>
        <v>1</v>
      </c>
      <c r="J29">
        <f>_xlfn.STDEV.S(A39:A50)</f>
        <v>0.28867513459481287</v>
      </c>
      <c r="K29" t="s">
        <v>63</v>
      </c>
      <c r="P29" t="s">
        <v>148</v>
      </c>
    </row>
    <row r="30" spans="1:66" x14ac:dyDescent="0.2">
      <c r="A30" t="s">
        <v>147</v>
      </c>
      <c r="D30" t="s">
        <v>203</v>
      </c>
      <c r="G30" t="s">
        <v>50</v>
      </c>
      <c r="H30" t="s">
        <v>51</v>
      </c>
      <c r="I30" t="s">
        <v>89</v>
      </c>
      <c r="K30" t="s">
        <v>57</v>
      </c>
      <c r="L30" t="s">
        <v>58</v>
      </c>
      <c r="M30" t="s">
        <v>59</v>
      </c>
      <c r="N30" t="s">
        <v>60</v>
      </c>
      <c r="P30" t="s">
        <v>57</v>
      </c>
      <c r="Q30" t="s">
        <v>58</v>
      </c>
      <c r="R30" t="s">
        <v>59</v>
      </c>
      <c r="S30" t="s">
        <v>60</v>
      </c>
      <c r="W30" t="s">
        <v>148</v>
      </c>
      <c r="Y30" t="s">
        <v>149</v>
      </c>
      <c r="AH30" t="s">
        <v>79</v>
      </c>
    </row>
    <row r="31" spans="1:66" x14ac:dyDescent="0.2">
      <c r="A31">
        <f>COUNT(B4:B15)</f>
        <v>12</v>
      </c>
      <c r="D31" s="2">
        <f>SUM(S39:S50)/SUM(Q39:Q50)</f>
        <v>0</v>
      </c>
      <c r="G31">
        <f>AE28/A31</f>
        <v>0</v>
      </c>
      <c r="H31">
        <f>AF28/A31</f>
        <v>8.3333333333333329E-2</v>
      </c>
      <c r="I31">
        <f>AG28/A31</f>
        <v>0</v>
      </c>
      <c r="K31" t="e">
        <f>AVERAGE(I39:I50)</f>
        <v>#DIV/0!</v>
      </c>
      <c r="L31" t="e">
        <f>MEDIAN(I39:I50)</f>
        <v>#NUM!</v>
      </c>
      <c r="M31">
        <f>MAX(I39:I50)</f>
        <v>0</v>
      </c>
      <c r="N31" t="e">
        <f>_xlfn.STDEV.S(I39:I50)</f>
        <v>#DIV/0!</v>
      </c>
      <c r="P31" t="e">
        <f>AVERAGE(W31:W42)</f>
        <v>#DIV/0!</v>
      </c>
      <c r="Q31" t="e">
        <f>MEDIAN(W31:W42)</f>
        <v>#NUM!</v>
      </c>
      <c r="R31">
        <f>MAX(W31:W42)</f>
        <v>0</v>
      </c>
      <c r="S31" t="e">
        <f>_xlfn.STDEV.S(W31:W42)</f>
        <v>#DIV/0!</v>
      </c>
      <c r="W31" t="str">
        <f t="shared" ref="W31:W33" si="48">IF(AND(ISBLANK(Q4), ISBLANK(R4), ISBLANK(G4), ISBLANK(H4)), "", U4)</f>
        <v/>
      </c>
      <c r="Y31" t="str">
        <f t="shared" ref="Y31:Y42" si="49">IF(ISBLANK(Y4), IF(X4 = 0, "", (G4 + H4/3 + V4/9 + W4/3)), U4)</f>
        <v/>
      </c>
      <c r="AH31" t="s">
        <v>80</v>
      </c>
    </row>
    <row r="32" spans="1:66" x14ac:dyDescent="0.2">
      <c r="A32" t="s">
        <v>236</v>
      </c>
      <c r="D32" s="3"/>
      <c r="K32" t="s">
        <v>64</v>
      </c>
      <c r="P32" t="s">
        <v>149</v>
      </c>
      <c r="W32" t="str">
        <f t="shared" si="48"/>
        <v/>
      </c>
      <c r="Y32" t="str">
        <f t="shared" si="49"/>
        <v/>
      </c>
      <c r="AH32" t="s">
        <v>81</v>
      </c>
    </row>
    <row r="33" spans="1:34" x14ac:dyDescent="0.2">
      <c r="A33" t="s">
        <v>245</v>
      </c>
      <c r="D33" s="3"/>
      <c r="K33" t="s">
        <v>57</v>
      </c>
      <c r="L33" t="s">
        <v>58</v>
      </c>
      <c r="M33" t="s">
        <v>59</v>
      </c>
      <c r="N33" t="s">
        <v>60</v>
      </c>
      <c r="P33" t="s">
        <v>57</v>
      </c>
      <c r="Q33" t="s">
        <v>58</v>
      </c>
      <c r="R33" t="s">
        <v>59</v>
      </c>
      <c r="S33" t="s">
        <v>60</v>
      </c>
      <c r="W33" t="str">
        <f t="shared" si="48"/>
        <v/>
      </c>
      <c r="Y33" t="str">
        <f t="shared" si="49"/>
        <v/>
      </c>
      <c r="AH33" t="s">
        <v>82</v>
      </c>
    </row>
    <row r="34" spans="1:34" x14ac:dyDescent="0.2">
      <c r="A34" t="s">
        <v>294</v>
      </c>
      <c r="D34" s="3"/>
      <c r="K34">
        <f>AVERAGE(K39:K50)</f>
        <v>0</v>
      </c>
      <c r="L34">
        <f>MEDIAN(K39:K50)</f>
        <v>0</v>
      </c>
      <c r="M34">
        <f>MAX(K39:K50)</f>
        <v>0</v>
      </c>
      <c r="N34">
        <f>_xlfn.STDEV.S(K39:K50)</f>
        <v>0</v>
      </c>
      <c r="P34" t="e">
        <f>AVERAGE(Y31:Y42)</f>
        <v>#DIV/0!</v>
      </c>
      <c r="Q34" t="e">
        <f>MEDIAN(Y31:Y42)</f>
        <v>#NUM!</v>
      </c>
      <c r="R34">
        <f>MAX(Y31:Y42)</f>
        <v>0</v>
      </c>
      <c r="S34" t="e">
        <f>_xlfn.STDEV.S(Y31:Y42)</f>
        <v>#DIV/0!</v>
      </c>
      <c r="W34" t="str">
        <f>IF(AND(ISBLANK(Q7), ISBLANK(R7), ISBLANK(G7), ISBLANK(H7)), "", U7)</f>
        <v/>
      </c>
      <c r="Y34" t="str">
        <f t="shared" si="49"/>
        <v/>
      </c>
      <c r="AH34" t="s">
        <v>83</v>
      </c>
    </row>
    <row r="35" spans="1:34" x14ac:dyDescent="0.2">
      <c r="A35" t="s">
        <v>307</v>
      </c>
      <c r="P35" t="s">
        <v>95</v>
      </c>
      <c r="R35" t="s">
        <v>197</v>
      </c>
      <c r="W35" t="str">
        <f t="shared" ref="W35:W42" si="50">IF(AND(ISBLANK(Q8), ISBLANK(R8), ISBLANK(G8), ISBLANK(H8)), "", U8)</f>
        <v/>
      </c>
      <c r="Y35" t="str">
        <f t="shared" si="49"/>
        <v/>
      </c>
    </row>
    <row r="36" spans="1:34" x14ac:dyDescent="0.2">
      <c r="P36" t="e">
        <f>Q16/(Q16+R16)</f>
        <v>#DIV/0!</v>
      </c>
      <c r="R36" t="e">
        <f>R16/(Q16+R16)</f>
        <v>#DIV/0!</v>
      </c>
      <c r="W36" t="str">
        <f t="shared" si="50"/>
        <v/>
      </c>
      <c r="Y36" t="str">
        <f t="shared" si="49"/>
        <v/>
      </c>
    </row>
    <row r="37" spans="1:34" x14ac:dyDescent="0.2">
      <c r="W37" t="str">
        <f t="shared" si="50"/>
        <v/>
      </c>
      <c r="Y37" t="str">
        <f t="shared" si="49"/>
        <v/>
      </c>
    </row>
    <row r="38" spans="1:34" x14ac:dyDescent="0.2">
      <c r="A38" t="s">
        <v>68</v>
      </c>
      <c r="C38" t="s">
        <v>69</v>
      </c>
      <c r="E38" t="s">
        <v>72</v>
      </c>
      <c r="G38" t="s">
        <v>250</v>
      </c>
      <c r="K38" t="s">
        <v>73</v>
      </c>
      <c r="M38" t="s">
        <v>70</v>
      </c>
      <c r="N38" t="s">
        <v>71</v>
      </c>
      <c r="O38" t="s">
        <v>199</v>
      </c>
      <c r="Q38" t="s">
        <v>200</v>
      </c>
      <c r="S38" t="s">
        <v>201</v>
      </c>
      <c r="W38" t="str">
        <f t="shared" si="50"/>
        <v/>
      </c>
      <c r="Y38" t="str">
        <f t="shared" si="49"/>
        <v/>
      </c>
    </row>
    <row r="39" spans="1:34" x14ac:dyDescent="0.2">
      <c r="A39">
        <f t="shared" ref="A39:A50" si="51">IF(ISBLANK(B4), "", SUM(AE16+AF16+AG16))</f>
        <v>1</v>
      </c>
      <c r="C39">
        <f t="shared" ref="C39:C50" si="52">IF(ISBLANK(B4), "", O4)</f>
        <v>1</v>
      </c>
      <c r="E39">
        <f t="shared" ref="E39:E50" si="53">IF(ISBLANK(B4), "", Q4)</f>
        <v>0</v>
      </c>
      <c r="G39">
        <f t="shared" ref="G39:G50" si="54">IF(ISBLANK(B4), "", R4)</f>
        <v>0</v>
      </c>
      <c r="K39">
        <f t="shared" ref="K39:K50" si="55">IF(ISBLANK(B4), "", SUM(Q4 + R4))</f>
        <v>0</v>
      </c>
      <c r="M39">
        <f t="shared" ref="M39:M50" si="56">IF(ISBLANK(B4), "", SUM(K4+M4) - O4)</f>
        <v>1</v>
      </c>
      <c r="N39">
        <f t="shared" ref="N39:N50" si="57">IF(ISBLANK(B4), "", U4)</f>
        <v>0</v>
      </c>
      <c r="O39">
        <f t="shared" ref="O39:O50" si="58">COUNTIF(E4, "1")*COUNTIF(F4, "1")</f>
        <v>0</v>
      </c>
      <c r="Q39">
        <f t="shared" ref="Q39:Q50" si="59">COUNTIF(D4, "1")*COUNTIF(F4, "")</f>
        <v>1</v>
      </c>
      <c r="S39">
        <f t="shared" ref="S39:S50" si="60">COUNTIF(E4, "1")*COUNTIF(F4, "")</f>
        <v>0</v>
      </c>
      <c r="W39" t="str">
        <f t="shared" si="50"/>
        <v/>
      </c>
      <c r="Y39" t="str">
        <f t="shared" si="49"/>
        <v/>
      </c>
    </row>
    <row r="40" spans="1:34" x14ac:dyDescent="0.2">
      <c r="A40">
        <f t="shared" si="51"/>
        <v>0</v>
      </c>
      <c r="C40">
        <f t="shared" si="52"/>
        <v>3</v>
      </c>
      <c r="E40">
        <f t="shared" si="53"/>
        <v>0</v>
      </c>
      <c r="G40">
        <f t="shared" si="54"/>
        <v>0</v>
      </c>
      <c r="K40">
        <f t="shared" si="55"/>
        <v>0</v>
      </c>
      <c r="M40">
        <f t="shared" si="56"/>
        <v>-1</v>
      </c>
      <c r="N40">
        <f t="shared" si="57"/>
        <v>7</v>
      </c>
      <c r="O40">
        <f t="shared" si="58"/>
        <v>0</v>
      </c>
      <c r="Q40">
        <f t="shared" si="59"/>
        <v>1</v>
      </c>
      <c r="S40">
        <f t="shared" si="60"/>
        <v>0</v>
      </c>
      <c r="W40" t="str">
        <f t="shared" si="50"/>
        <v/>
      </c>
      <c r="Y40" t="str">
        <f t="shared" si="49"/>
        <v/>
      </c>
    </row>
    <row r="41" spans="1:34" x14ac:dyDescent="0.2">
      <c r="A41">
        <f t="shared" si="51"/>
        <v>0</v>
      </c>
      <c r="C41">
        <f t="shared" si="52"/>
        <v>1</v>
      </c>
      <c r="E41">
        <f t="shared" si="53"/>
        <v>0</v>
      </c>
      <c r="G41">
        <f t="shared" si="54"/>
        <v>0</v>
      </c>
      <c r="K41">
        <f t="shared" si="55"/>
        <v>0</v>
      </c>
      <c r="M41">
        <f t="shared" si="56"/>
        <v>-1</v>
      </c>
      <c r="N41">
        <f t="shared" si="57"/>
        <v>0</v>
      </c>
      <c r="O41">
        <f t="shared" si="58"/>
        <v>0</v>
      </c>
      <c r="Q41">
        <f t="shared" si="59"/>
        <v>1</v>
      </c>
      <c r="S41">
        <f t="shared" si="60"/>
        <v>0</v>
      </c>
      <c r="W41" t="str">
        <f t="shared" si="50"/>
        <v/>
      </c>
      <c r="Y41" t="str">
        <f t="shared" si="49"/>
        <v/>
      </c>
    </row>
    <row r="42" spans="1:34" x14ac:dyDescent="0.2">
      <c r="A42">
        <f t="shared" si="51"/>
        <v>0</v>
      </c>
      <c r="C42">
        <f t="shared" si="52"/>
        <v>1</v>
      </c>
      <c r="E42">
        <f t="shared" si="53"/>
        <v>0</v>
      </c>
      <c r="G42">
        <f t="shared" si="54"/>
        <v>0</v>
      </c>
      <c r="K42">
        <f t="shared" si="55"/>
        <v>0</v>
      </c>
      <c r="M42">
        <f t="shared" si="56"/>
        <v>0</v>
      </c>
      <c r="N42">
        <f t="shared" si="57"/>
        <v>0</v>
      </c>
      <c r="O42">
        <f t="shared" si="58"/>
        <v>0</v>
      </c>
      <c r="Q42">
        <f t="shared" si="59"/>
        <v>0</v>
      </c>
      <c r="S42">
        <f t="shared" si="60"/>
        <v>0</v>
      </c>
      <c r="W42" t="str">
        <f t="shared" si="50"/>
        <v/>
      </c>
      <c r="Y42" t="str">
        <f t="shared" si="49"/>
        <v/>
      </c>
    </row>
    <row r="43" spans="1:34" x14ac:dyDescent="0.2">
      <c r="A43">
        <f t="shared" si="51"/>
        <v>0</v>
      </c>
      <c r="C43">
        <f t="shared" si="52"/>
        <v>2</v>
      </c>
      <c r="E43">
        <f t="shared" si="53"/>
        <v>0</v>
      </c>
      <c r="G43">
        <f t="shared" si="54"/>
        <v>0</v>
      </c>
      <c r="K43">
        <f t="shared" si="55"/>
        <v>0</v>
      </c>
      <c r="M43">
        <f t="shared" si="56"/>
        <v>-1</v>
      </c>
      <c r="N43">
        <f t="shared" si="57"/>
        <v>0</v>
      </c>
      <c r="O43">
        <f t="shared" si="58"/>
        <v>0</v>
      </c>
      <c r="Q43">
        <f t="shared" si="59"/>
        <v>0</v>
      </c>
      <c r="S43">
        <f t="shared" si="60"/>
        <v>0</v>
      </c>
    </row>
    <row r="44" spans="1:34" x14ac:dyDescent="0.2">
      <c r="A44">
        <f t="shared" si="51"/>
        <v>0</v>
      </c>
      <c r="C44">
        <f t="shared" si="52"/>
        <v>1</v>
      </c>
      <c r="E44">
        <f t="shared" si="53"/>
        <v>0</v>
      </c>
      <c r="G44">
        <f t="shared" si="54"/>
        <v>0</v>
      </c>
      <c r="K44">
        <f t="shared" si="55"/>
        <v>0</v>
      </c>
      <c r="M44">
        <f t="shared" si="56"/>
        <v>0</v>
      </c>
      <c r="N44">
        <f t="shared" si="57"/>
        <v>0</v>
      </c>
      <c r="O44">
        <f t="shared" si="58"/>
        <v>0</v>
      </c>
      <c r="Q44">
        <f t="shared" si="59"/>
        <v>0</v>
      </c>
      <c r="S44">
        <f t="shared" si="60"/>
        <v>0</v>
      </c>
    </row>
    <row r="45" spans="1:34" x14ac:dyDescent="0.2">
      <c r="A45">
        <f t="shared" si="51"/>
        <v>0</v>
      </c>
      <c r="C45">
        <f t="shared" si="52"/>
        <v>1</v>
      </c>
      <c r="E45">
        <f t="shared" si="53"/>
        <v>0</v>
      </c>
      <c r="G45">
        <f t="shared" si="54"/>
        <v>0</v>
      </c>
      <c r="K45">
        <f t="shared" si="55"/>
        <v>0</v>
      </c>
      <c r="M45">
        <f t="shared" si="56"/>
        <v>-1</v>
      </c>
      <c r="N45">
        <f t="shared" si="57"/>
        <v>0</v>
      </c>
      <c r="O45">
        <f t="shared" si="58"/>
        <v>0</v>
      </c>
      <c r="Q45">
        <f t="shared" si="59"/>
        <v>0</v>
      </c>
      <c r="S45">
        <f t="shared" si="60"/>
        <v>0</v>
      </c>
    </row>
    <row r="46" spans="1:34" x14ac:dyDescent="0.2">
      <c r="A46">
        <f t="shared" si="51"/>
        <v>0</v>
      </c>
      <c r="C46">
        <f t="shared" si="52"/>
        <v>0</v>
      </c>
      <c r="E46">
        <f t="shared" si="53"/>
        <v>0</v>
      </c>
      <c r="G46">
        <f t="shared" si="54"/>
        <v>0</v>
      </c>
      <c r="K46">
        <f t="shared" si="55"/>
        <v>0</v>
      </c>
      <c r="M46">
        <f t="shared" si="56"/>
        <v>1</v>
      </c>
      <c r="N46">
        <f t="shared" si="57"/>
        <v>0</v>
      </c>
      <c r="O46">
        <f t="shared" si="58"/>
        <v>0</v>
      </c>
      <c r="Q46">
        <f t="shared" si="59"/>
        <v>0</v>
      </c>
      <c r="S46">
        <f t="shared" si="60"/>
        <v>0</v>
      </c>
    </row>
    <row r="47" spans="1:34" x14ac:dyDescent="0.2">
      <c r="A47">
        <f t="shared" si="51"/>
        <v>0</v>
      </c>
      <c r="C47">
        <f t="shared" si="52"/>
        <v>0</v>
      </c>
      <c r="E47">
        <f t="shared" si="53"/>
        <v>0</v>
      </c>
      <c r="G47">
        <f t="shared" si="54"/>
        <v>0</v>
      </c>
      <c r="K47">
        <f t="shared" si="55"/>
        <v>0</v>
      </c>
      <c r="M47">
        <f t="shared" si="56"/>
        <v>0</v>
      </c>
      <c r="N47">
        <f t="shared" si="57"/>
        <v>45</v>
      </c>
      <c r="O47">
        <f t="shared" si="58"/>
        <v>0</v>
      </c>
      <c r="Q47">
        <f t="shared" si="59"/>
        <v>0</v>
      </c>
      <c r="S47">
        <f t="shared" si="60"/>
        <v>0</v>
      </c>
    </row>
    <row r="48" spans="1:34" x14ac:dyDescent="0.2">
      <c r="A48">
        <f t="shared" si="51"/>
        <v>0</v>
      </c>
      <c r="C48">
        <f t="shared" si="52"/>
        <v>2</v>
      </c>
      <c r="E48">
        <f t="shared" si="53"/>
        <v>0</v>
      </c>
      <c r="G48">
        <f t="shared" si="54"/>
        <v>0</v>
      </c>
      <c r="K48">
        <f t="shared" si="55"/>
        <v>0</v>
      </c>
      <c r="M48">
        <f t="shared" si="56"/>
        <v>0</v>
      </c>
      <c r="N48">
        <f t="shared" si="57"/>
        <v>0</v>
      </c>
      <c r="O48">
        <f t="shared" si="58"/>
        <v>0</v>
      </c>
      <c r="Q48">
        <f t="shared" si="59"/>
        <v>0</v>
      </c>
      <c r="S48">
        <f t="shared" si="60"/>
        <v>0</v>
      </c>
    </row>
    <row r="49" spans="1:19" x14ac:dyDescent="0.2">
      <c r="A49">
        <f t="shared" si="51"/>
        <v>0</v>
      </c>
      <c r="C49">
        <f t="shared" si="52"/>
        <v>2</v>
      </c>
      <c r="E49">
        <f t="shared" si="53"/>
        <v>0</v>
      </c>
      <c r="G49">
        <f t="shared" si="54"/>
        <v>0</v>
      </c>
      <c r="K49">
        <f t="shared" si="55"/>
        <v>0</v>
      </c>
      <c r="M49">
        <f t="shared" si="56"/>
        <v>-1</v>
      </c>
      <c r="N49">
        <f t="shared" si="57"/>
        <v>4</v>
      </c>
      <c r="O49">
        <f t="shared" si="58"/>
        <v>0</v>
      </c>
      <c r="Q49">
        <f t="shared" si="59"/>
        <v>0</v>
      </c>
      <c r="S49">
        <f t="shared" si="60"/>
        <v>0</v>
      </c>
    </row>
    <row r="50" spans="1:19" x14ac:dyDescent="0.2">
      <c r="A50">
        <f t="shared" si="51"/>
        <v>0</v>
      </c>
      <c r="C50">
        <f t="shared" si="52"/>
        <v>1</v>
      </c>
      <c r="E50">
        <f t="shared" si="53"/>
        <v>0</v>
      </c>
      <c r="G50">
        <f t="shared" si="54"/>
        <v>0</v>
      </c>
      <c r="K50">
        <f t="shared" si="55"/>
        <v>0</v>
      </c>
      <c r="M50">
        <f t="shared" si="56"/>
        <v>-1</v>
      </c>
      <c r="N50">
        <f t="shared" si="57"/>
        <v>0</v>
      </c>
      <c r="O50">
        <f t="shared" si="58"/>
        <v>0</v>
      </c>
      <c r="Q50">
        <f t="shared" si="59"/>
        <v>0</v>
      </c>
      <c r="S50">
        <f t="shared" si="60"/>
        <v>0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63</vt:i4>
      </vt:variant>
    </vt:vector>
  </HeadingPairs>
  <TitlesOfParts>
    <vt:vector size="63" baseType="lpstr">
      <vt:lpstr>Match Planning</vt:lpstr>
      <vt:lpstr>Summary Statistics</vt:lpstr>
      <vt:lpstr>Picklisting</vt:lpstr>
      <vt:lpstr>11</vt:lpstr>
      <vt:lpstr>25</vt:lpstr>
      <vt:lpstr>56</vt:lpstr>
      <vt:lpstr>75</vt:lpstr>
      <vt:lpstr>102</vt:lpstr>
      <vt:lpstr>103</vt:lpstr>
      <vt:lpstr>193</vt:lpstr>
      <vt:lpstr>203</vt:lpstr>
      <vt:lpstr>219</vt:lpstr>
      <vt:lpstr>222</vt:lpstr>
      <vt:lpstr>223</vt:lpstr>
      <vt:lpstr>225</vt:lpstr>
      <vt:lpstr>272</vt:lpstr>
      <vt:lpstr>293</vt:lpstr>
      <vt:lpstr>303</vt:lpstr>
      <vt:lpstr>316</vt:lpstr>
      <vt:lpstr>341</vt:lpstr>
      <vt:lpstr>365</vt:lpstr>
      <vt:lpstr>433</vt:lpstr>
      <vt:lpstr>486</vt:lpstr>
      <vt:lpstr>555</vt:lpstr>
      <vt:lpstr>708</vt:lpstr>
      <vt:lpstr>747</vt:lpstr>
      <vt:lpstr>816</vt:lpstr>
      <vt:lpstr>834</vt:lpstr>
      <vt:lpstr>1218</vt:lpstr>
      <vt:lpstr>1257</vt:lpstr>
      <vt:lpstr>1279</vt:lpstr>
      <vt:lpstr>1370</vt:lpstr>
      <vt:lpstr>1391</vt:lpstr>
      <vt:lpstr>1403</vt:lpstr>
      <vt:lpstr>1495</vt:lpstr>
      <vt:lpstr>1640</vt:lpstr>
      <vt:lpstr>1676</vt:lpstr>
      <vt:lpstr>1712</vt:lpstr>
      <vt:lpstr>1807</vt:lpstr>
      <vt:lpstr>5404</vt:lpstr>
      <vt:lpstr>1923</vt:lpstr>
      <vt:lpstr>2458</vt:lpstr>
      <vt:lpstr>2539</vt:lpstr>
      <vt:lpstr>2590</vt:lpstr>
      <vt:lpstr>2600</vt:lpstr>
      <vt:lpstr>2607</vt:lpstr>
      <vt:lpstr>2729</vt:lpstr>
      <vt:lpstr>3142</vt:lpstr>
      <vt:lpstr>3314</vt:lpstr>
      <vt:lpstr>3637</vt:lpstr>
      <vt:lpstr>3929</vt:lpstr>
      <vt:lpstr>3974</vt:lpstr>
      <vt:lpstr>4285</vt:lpstr>
      <vt:lpstr>4342</vt:lpstr>
      <vt:lpstr>4575</vt:lpstr>
      <vt:lpstr>4637</vt:lpstr>
      <vt:lpstr>4750</vt:lpstr>
      <vt:lpstr>5181</vt:lpstr>
      <vt:lpstr>5401</vt:lpstr>
      <vt:lpstr>5407</vt:lpstr>
      <vt:lpstr>5420</vt:lpstr>
      <vt:lpstr>5895</vt:lpstr>
      <vt:lpstr>6226</vt:lpstr>
    </vt:vector>
  </TitlesOfParts>
  <Company>Lower Merion School District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Maya Levitan (student LM)</dc:creator>
  <cp:lastModifiedBy>Microsoft Office User</cp:lastModifiedBy>
  <dcterms:created xsi:type="dcterms:W3CDTF">2017-01-19T22:01:31Z</dcterms:created>
  <dcterms:modified xsi:type="dcterms:W3CDTF">2018-08-16T06:02:57Z</dcterms:modified>
</cp:coreProperties>
</file>